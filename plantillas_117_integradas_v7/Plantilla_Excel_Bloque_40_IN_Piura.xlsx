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n" sheetId="1" state="visible" r:id="rId1"/>
    <sheet name="Cobertura MSAVI-NDVI" sheetId="2" state="visible" r:id="rId2"/>
    <sheet name="Estaciones fotográficas" sheetId="3" state="visible" r:id="rId3"/>
    <sheet name="Microcuenca" sheetId="4" state="visible" r:id="rId4"/>
    <sheet name="Control de consistencia" sheetId="5" state="visible" r:id="rId5"/>
    <sheet name="Integración de campo" sheetId="6" state="visible" r:id="rId6"/>
    <sheet name="Registro de campo F-DT" sheetId="7" state="visible" r:id="rId7"/>
    <sheet name="Gráficos de integración" sheetId="8" state="visible" r:id="rId8"/>
  </sheets>
  <definedNames/>
  <calcPr calcId="124519" fullCalcOnLoad="1"/>
</workbook>
</file>

<file path=xl/styles.xml><?xml version="1.0" encoding="utf-8"?>
<styleSheet xmlns="http://schemas.openxmlformats.org/spreadsheetml/2006/main">
  <numFmts count="3">
    <numFmt numFmtId="164" formatCode="0.0000"/>
    <numFmt numFmtId="165" formatCode="0.000"/>
    <numFmt numFmtId="166" formatCode="#,##0.0000"/>
  </numFmts>
  <fonts count="14">
    <font>
      <name val="Calibri"/>
      <family val="2"/>
      <color theme="1"/>
      <sz val="11"/>
      <scheme val="minor"/>
    </font>
    <font>
      <name val="Arial"/>
      <b val="1"/>
      <color rgb="00FFFFFF"/>
      <sz val="10"/>
    </font>
    <font>
      <name val="Arial"/>
      <color rgb="00FFFFFF"/>
      <sz val="8"/>
    </font>
    <font>
      <name val="Arial"/>
      <b val="1"/>
      <color rgb="001B4D2E"/>
      <sz val="12"/>
    </font>
    <font>
      <name val="Arial"/>
      <i val="1"/>
      <color rgb="00555555"/>
      <sz val="8"/>
    </font>
    <font>
      <name val="Arial"/>
      <b val="1"/>
      <sz val="9"/>
    </font>
    <font>
      <name val="Arial"/>
      <sz val="9"/>
    </font>
    <font>
      <name val="Arial"/>
      <i val="1"/>
      <color rgb="00333333"/>
      <sz val="8"/>
    </font>
    <font>
      <name val="Arial"/>
      <b val="1"/>
      <color rgb="00FFFFFF"/>
      <sz val="9"/>
    </font>
    <font>
      <name val="Arial"/>
      <b val="1"/>
      <color rgb="001B4D2E"/>
      <sz val="9"/>
    </font>
    <font>
      <name val="Arial"/>
      <i val="1"/>
      <sz val="8"/>
    </font>
    <font>
      <name val="Arial"/>
      <b val="1"/>
      <color rgb="00FFFFFF"/>
      <sz val="12"/>
    </font>
    <font>
      <name val="Arial"/>
      <b val="1"/>
      <color rgb="001B4F72"/>
      <sz val="10"/>
    </font>
    <font>
      <name val="Arial"/>
      <i val="1"/>
      <sz val="7.5"/>
    </font>
  </fonts>
  <fills count="9">
    <fill>
      <patternFill/>
    </fill>
    <fill>
      <patternFill patternType="gray125"/>
    </fill>
    <fill>
      <patternFill patternType="solid">
        <fgColor rgb="001B4D2E"/>
      </patternFill>
    </fill>
    <fill>
      <patternFill patternType="solid">
        <fgColor rgb="001B4F72"/>
      </patternFill>
    </fill>
    <fill>
      <patternFill patternType="solid">
        <fgColor rgb="00E8F0EA"/>
      </patternFill>
    </fill>
    <fill>
      <patternFill patternType="solid">
        <fgColor rgb="00F2F2F2"/>
      </patternFill>
    </fill>
    <fill>
      <patternFill patternType="solid">
        <fgColor rgb="00FFF2CC"/>
      </patternFill>
    </fill>
    <fill>
      <patternFill patternType="solid">
        <fgColor rgb="00D9E1F2"/>
      </patternFill>
    </fill>
    <fill>
      <patternFill patternType="solid">
        <fgColor rgb="00F8CBAD"/>
      </patternFill>
    </fill>
  </fills>
  <borders count="8">
    <border>
      <left/>
      <right/>
      <top/>
      <bottom/>
      <diagonal/>
    </border>
    <border>
      <left style="thin">
        <color rgb="009C9C9C"/>
      </left>
      <right style="thin">
        <color rgb="009C9C9C"/>
      </right>
      <top style="thin">
        <color rgb="009C9C9C"/>
      </top>
      <bottom style="thin">
        <color rgb="009C9C9C"/>
      </bottom>
    </border>
    <border>
      <left/>
      <right/>
      <top style="thin">
        <color rgb="009C9C9C"/>
      </top>
      <bottom/>
      <diagonal/>
    </border>
    <border>
      <left/>
      <right style="thin">
        <color rgb="009C9C9C"/>
      </right>
      <top style="thin">
        <color rgb="009C9C9C"/>
      </top>
      <bottom/>
      <diagonal/>
    </border>
    <border>
      <left/>
      <right/>
      <top style="thin">
        <color rgb="009C9C9C"/>
      </top>
      <bottom style="thin">
        <color rgb="009C9C9C"/>
      </bottom>
      <diagonal/>
    </border>
    <border>
      <left/>
      <right style="thin">
        <color rgb="009C9C9C"/>
      </right>
      <top style="thin">
        <color rgb="009C9C9C"/>
      </top>
      <bottom style="thin">
        <color rgb="009C9C9C"/>
      </bottom>
      <diagonal/>
    </border>
    <border>
      <left style="thin">
        <color rgb="00B7C4BA"/>
      </left>
      <right style="thin">
        <color rgb="00B7C4BA"/>
      </right>
      <top style="thin">
        <color rgb="00B7C4BA"/>
      </top>
      <bottom style="thin">
        <color rgb="00B7C4BA"/>
      </bottom>
    </border>
    <border>
      <left style="thin">
        <color rgb="00BFBFBF"/>
      </left>
      <right style="thin">
        <color rgb="00BFBFBF"/>
      </right>
      <top style="thin">
        <color rgb="00BFBFBF"/>
      </top>
      <bottom style="thin">
        <color rgb="00BFBFBF"/>
      </bottom>
    </border>
  </borders>
  <cellStyleXfs count="1">
    <xf numFmtId="0" fontId="0" fillId="0" borderId="0"/>
  </cellStyleXfs>
  <cellXfs count="62">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4" borderId="0" applyAlignment="1" pivotButton="0" quotePrefix="0" xfId="0">
      <alignment horizontal="center" vertical="center"/>
    </xf>
    <xf numFmtId="0" fontId="4" fillId="0" borderId="0" applyAlignment="1" pivotButton="0" quotePrefix="0" xfId="0">
      <alignment horizontal="center" vertical="center" wrapText="1"/>
    </xf>
    <xf numFmtId="0" fontId="1" fillId="2" borderId="0" applyAlignment="1" pivotButton="0" quotePrefix="0" xfId="0">
      <alignment horizontal="left" vertical="center" indent="1"/>
    </xf>
    <xf numFmtId="0" fontId="5" fillId="5" borderId="1" applyAlignment="1" pivotButton="0" quotePrefix="0" xfId="0">
      <alignment horizontal="left" vertical="center" wrapText="1" indent="1"/>
    </xf>
    <xf numFmtId="0" fontId="6" fillId="0" borderId="1" applyAlignment="1" pivotButton="0" quotePrefix="0" xfId="0">
      <alignment horizontal="left" vertical="center" wrapText="1" indent="1"/>
    </xf>
    <xf numFmtId="0" fontId="0" fillId="0" borderId="1" pivotButton="0" quotePrefix="0" xfId="0"/>
    <xf numFmtId="0" fontId="7" fillId="0" borderId="1" applyAlignment="1" pivotButton="0" quotePrefix="0" xfId="0">
      <alignment horizontal="justify" vertical="top" wrapText="1"/>
    </xf>
    <xf numFmtId="0" fontId="8" fillId="2" borderId="1" applyAlignment="1" pivotButton="0" quotePrefix="0" xfId="0">
      <alignment horizontal="center" vertical="center" wrapText="1"/>
    </xf>
    <xf numFmtId="0" fontId="5" fillId="6" borderId="1" applyAlignment="1" pivotButton="0" quotePrefix="0" xfId="0">
      <alignment horizontal="left" vertical="center" wrapText="1" indent="1"/>
    </xf>
    <xf numFmtId="0" fontId="5" fillId="6" borderId="1" applyAlignment="1" pivotButton="0" quotePrefix="0" xfId="0">
      <alignment horizontal="center" vertical="center" wrapText="1"/>
    </xf>
    <xf numFmtId="0" fontId="6" fillId="4" borderId="1" applyAlignment="1" pivotButton="0" quotePrefix="0" xfId="0">
      <alignment horizontal="left" vertical="center" wrapText="1" indent="1"/>
    </xf>
    <xf numFmtId="0" fontId="6" fillId="4" borderId="1" applyAlignment="1" pivotButton="0" quotePrefix="0" xfId="0">
      <alignment horizontal="center" vertical="center" wrapText="1"/>
    </xf>
    <xf numFmtId="0" fontId="6" fillId="0" borderId="1" applyAlignment="1" pivotButton="0" quotePrefix="0" xfId="0">
      <alignment horizontal="center" vertical="center" wrapText="1"/>
    </xf>
    <xf numFmtId="0" fontId="5" fillId="4" borderId="1" applyAlignment="1" pivotButton="0" quotePrefix="0" xfId="0">
      <alignment horizontal="left" vertical="center" wrapText="1" indent="1"/>
    </xf>
    <xf numFmtId="0" fontId="5" fillId="4" borderId="1" applyAlignment="1" pivotButton="0" quotePrefix="0" xfId="0">
      <alignment horizontal="center" vertical="center" wrapText="1"/>
    </xf>
    <xf numFmtId="164" fontId="6" fillId="0" borderId="1" applyAlignment="1" pivotButton="0" quotePrefix="0" xfId="0">
      <alignment horizontal="center" vertical="center" wrapText="1"/>
    </xf>
    <xf numFmtId="2" fontId="6" fillId="0" borderId="1" applyAlignment="1" pivotButton="0" quotePrefix="0" xfId="0">
      <alignment horizontal="center" vertical="center" wrapText="1"/>
    </xf>
    <xf numFmtId="164" fontId="6" fillId="4" borderId="1" applyAlignment="1" pivotButton="0" quotePrefix="0" xfId="0">
      <alignment horizontal="center" vertical="center" wrapText="1"/>
    </xf>
    <xf numFmtId="2" fontId="6" fillId="4" borderId="1" applyAlignment="1" pivotButton="0" quotePrefix="0" xfId="0">
      <alignment horizontal="center" vertical="center" wrapText="1"/>
    </xf>
    <xf numFmtId="164" fontId="5" fillId="4" borderId="1" applyAlignment="1" pivotButton="0" quotePrefix="0" xfId="0">
      <alignment horizontal="center" vertical="center" wrapText="1"/>
    </xf>
    <xf numFmtId="2" fontId="5" fillId="4" borderId="1" applyAlignment="1" pivotButton="0" quotePrefix="0" xfId="0">
      <alignment horizontal="center" vertical="center" wrapText="1"/>
    </xf>
    <xf numFmtId="0" fontId="5" fillId="0" borderId="1" applyAlignment="1" pivotButton="0" quotePrefix="0" xfId="0">
      <alignment horizontal="left" vertical="center" wrapText="1" indent="1"/>
    </xf>
    <xf numFmtId="0" fontId="5" fillId="0" borderId="1" applyAlignment="1" pivotButton="0" quotePrefix="0" xfId="0">
      <alignment horizontal="center" vertical="center" wrapText="1"/>
    </xf>
    <xf numFmtId="3" fontId="6" fillId="0" borderId="1" applyAlignment="1" pivotButton="0" quotePrefix="0" xfId="0">
      <alignment horizontal="center" vertical="center" wrapText="1"/>
    </xf>
    <xf numFmtId="3" fontId="6" fillId="4" borderId="1" applyAlignment="1" pivotButton="0" quotePrefix="0" xfId="0">
      <alignment horizontal="center" vertical="center" wrapText="1"/>
    </xf>
    <xf numFmtId="165" fontId="6" fillId="0" borderId="1" applyAlignment="1" pivotButton="0" quotePrefix="0" xfId="0">
      <alignment horizontal="center" vertical="center" wrapText="1"/>
    </xf>
    <xf numFmtId="165" fontId="6" fillId="4" borderId="1" applyAlignment="1" pivotButton="0" quotePrefix="0" xfId="0">
      <alignment horizontal="center" vertical="center" wrapText="1"/>
    </xf>
    <xf numFmtId="165" fontId="5" fillId="6" borderId="1" applyAlignment="1" pivotButton="0" quotePrefix="0" xfId="0">
      <alignment horizontal="center" vertical="center" wrapText="1"/>
    </xf>
    <xf numFmtId="2" fontId="5" fillId="6" borderId="1" applyAlignment="1" pivotButton="0" quotePrefix="0" xfId="0">
      <alignment horizontal="center" vertical="center" wrapText="1"/>
    </xf>
    <xf numFmtId="164" fontId="5" fillId="6" borderId="1" applyAlignment="1" pivotButton="0" quotePrefix="0" xfId="0">
      <alignment horizontal="center" vertical="center" wrapText="1"/>
    </xf>
    <xf numFmtId="165" fontId="5" fillId="4" borderId="1" applyAlignment="1" pivotButton="0" quotePrefix="0" xfId="0">
      <alignment horizontal="center" vertical="center" wrapText="1"/>
    </xf>
    <xf numFmtId="0" fontId="6" fillId="0" borderId="1" applyAlignment="1" pivotButton="0" quotePrefix="0" xfId="0">
      <alignment horizontal="left" vertical="top" wrapText="1" indent="1"/>
    </xf>
    <xf numFmtId="0" fontId="5" fillId="7" borderId="1" applyAlignment="1" pivotButton="0" quotePrefix="0" xfId="0">
      <alignment horizontal="center" vertical="center" wrapText="1"/>
    </xf>
    <xf numFmtId="0" fontId="6" fillId="4" borderId="1" applyAlignment="1" pivotButton="0" quotePrefix="0" xfId="0">
      <alignment horizontal="left" vertical="top" wrapText="1" indent="1"/>
    </xf>
    <xf numFmtId="0" fontId="5" fillId="8" borderId="1" applyAlignment="1" pivotButton="0" quotePrefix="0" xfId="0">
      <alignment horizontal="center" vertical="center" wrapText="1"/>
    </xf>
    <xf numFmtId="165" fontId="6" fillId="0" borderId="1" applyAlignment="1" pivotButton="0" quotePrefix="0" xfId="0">
      <alignment horizontal="left" vertical="center" wrapText="1" indent="1"/>
    </xf>
    <xf numFmtId="2" fontId="6" fillId="0" borderId="1" applyAlignment="1" pivotButton="0" quotePrefix="0" xfId="0">
      <alignment horizontal="left" vertical="center" wrapText="1" indent="1"/>
    </xf>
    <xf numFmtId="1" fontId="6" fillId="0" borderId="1" applyAlignment="1" pivotButton="0" quotePrefix="0" xfId="0">
      <alignment horizontal="left" vertical="center" wrapText="1" indent="1"/>
    </xf>
    <xf numFmtId="0" fontId="0" fillId="0" borderId="4" pivotButton="0" quotePrefix="0" xfId="0"/>
    <xf numFmtId="0" fontId="0" fillId="0" borderId="5" pivotButton="0" quotePrefix="0" xfId="0"/>
    <xf numFmtId="0" fontId="5" fillId="4" borderId="6" applyAlignment="1" pivotButton="0" quotePrefix="0" xfId="0">
      <alignment horizontal="left" vertical="center" wrapText="1"/>
    </xf>
    <xf numFmtId="164" fontId="5" fillId="4" borderId="6" applyAlignment="1" pivotButton="0" quotePrefix="0" xfId="0">
      <alignment horizontal="center" vertical="center" wrapText="1"/>
    </xf>
    <xf numFmtId="2" fontId="5" fillId="4" borderId="6" applyAlignment="1" pivotButton="0" quotePrefix="0" xfId="0">
      <alignment horizontal="center" vertical="center" wrapText="1"/>
    </xf>
    <xf numFmtId="0" fontId="6" fillId="0" borderId="6" applyAlignment="1" pivotButton="0" quotePrefix="0" xfId="0">
      <alignment horizontal="left" vertical="center" wrapText="1"/>
    </xf>
    <xf numFmtId="164" fontId="6" fillId="0" borderId="6" applyAlignment="1" pivotButton="0" quotePrefix="0" xfId="0">
      <alignment horizontal="center" vertical="center" wrapText="1"/>
    </xf>
    <xf numFmtId="2" fontId="6" fillId="0" borderId="6" applyAlignment="1" pivotButton="0" quotePrefix="0" xfId="0">
      <alignment horizontal="center" vertical="center" wrapText="1"/>
    </xf>
    <xf numFmtId="0" fontId="6" fillId="0" borderId="6" applyAlignment="1" pivotButton="0" quotePrefix="0" xfId="0">
      <alignment horizontal="center" vertical="center" wrapText="1"/>
    </xf>
    <xf numFmtId="0" fontId="6" fillId="0" borderId="1" applyAlignment="1" pivotButton="0" quotePrefix="0" xfId="0">
      <alignment vertical="top" wrapText="1"/>
    </xf>
    <xf numFmtId="0" fontId="9" fillId="0" borderId="0" pivotButton="0" quotePrefix="0" xfId="0"/>
    <xf numFmtId="0" fontId="10" fillId="0" borderId="0" pivotButton="0" quotePrefix="0" xfId="0"/>
    <xf numFmtId="0" fontId="11" fillId="2" borderId="0" applyAlignment="1" pivotButton="0" quotePrefix="0" xfId="0">
      <alignment horizontal="center" vertical="center"/>
    </xf>
    <xf numFmtId="0" fontId="12" fillId="0" borderId="0" pivotButton="0" quotePrefix="0" xfId="0"/>
    <xf numFmtId="0" fontId="8" fillId="2" borderId="7" applyAlignment="1" pivotButton="0" quotePrefix="0" xfId="0">
      <alignment horizontal="center" wrapText="1"/>
    </xf>
    <xf numFmtId="0" fontId="6" fillId="0" borderId="7" pivotButton="0" quotePrefix="0" xfId="0"/>
    <xf numFmtId="0" fontId="6" fillId="5" borderId="7" pivotButton="0" quotePrefix="0" xfId="0"/>
    <xf numFmtId="0" fontId="5" fillId="0" borderId="0" pivotButton="0" quotePrefix="0" xfId="0"/>
    <xf numFmtId="0" fontId="6" fillId="0" borderId="0" pivotButton="0" quotePrefix="0" xfId="0"/>
    <xf numFmtId="0" fontId="13" fillId="0" borderId="0" applyAlignment="1" pivotButton="0" quotePrefix="0" xfId="0">
      <alignment vertical="top" wrapText="1"/>
    </xf>
    <xf numFmtId="166" fontId="6" fillId="0" borderId="7"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charts/chart1.xml><?xml version="1.0" encoding="utf-8"?>
<chartSpace xmlns:a="http://schemas.openxmlformats.org/drawingml/2006/main" xmlns="http://schemas.openxmlformats.org/drawingml/2006/chart">
  <chart>
    <title>
      <tx>
        <rich>
          <a:bodyPr/>
          <a:p>
            <a:pPr>
              <a:defRPr/>
            </a:pPr>
            <a:r>
              <a:t>Procedencia de los hechos declarados</a:t>
            </a:r>
          </a:p>
        </rich>
      </tx>
    </title>
    <plotArea>
      <pieChart>
        <varyColors val="1"/>
        <ser>
          <idx val="0"/>
          <order val="0"/>
          <tx>
            <strRef>
              <f>'Gráficos de integración'!B8</f>
            </strRef>
          </tx>
          <spPr>
            <a:ln>
              <a:prstDash val="solid"/>
            </a:ln>
          </spPr>
          <cat>
            <numRef>
              <f>'Gráficos de integración'!$A$9:$A$11</f>
            </numRef>
          </cat>
          <val>
            <numRef>
              <f>'Gráficos de integración'!$B$9:$B$11</f>
            </numRef>
          </val>
        </ser>
        <firstSliceAng val="0"/>
      </pieChart>
    </plotArea>
    <legend>
      <legendPos val="r"/>
    </legend>
    <plotVisOnly val="1"/>
    <dispBlanksAs val="gap"/>
  </chart>
</chartSpace>
</file>

<file path=xl/charts/chart2.xml><?xml version="1.0" encoding="utf-8"?>
<chartSpace xmlns:a="http://schemas.openxmlformats.org/drawingml/2006/main" xmlns="http://schemas.openxmlformats.org/drawingml/2006/chart">
  <style val="10"/>
  <chart>
    <title>
      <tx>
        <rich>
          <a:bodyPr/>
          <a:p>
            <a:pPr>
              <a:defRPr/>
            </a:pPr>
            <a:r>
              <a:t>Estado del cruce entre fuentes</a:t>
            </a:r>
          </a:p>
        </rich>
      </tx>
    </title>
    <plotArea>
      <barChart>
        <barDir val="col"/>
        <grouping val="clustered"/>
        <ser>
          <idx val="0"/>
          <order val="0"/>
          <tx>
            <strRef>
              <f>'Gráficos de integración'!B29</f>
            </strRef>
          </tx>
          <spPr>
            <a:ln>
              <a:prstDash val="solid"/>
            </a:ln>
          </spPr>
          <cat>
            <numRef>
              <f>'Gráficos de integración'!$A$30:$A$34</f>
            </numRef>
          </cat>
          <val>
            <numRef>
              <f>'Gráficos de integración'!$B$30:$B$34</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Hechos</a:t>
                </a:r>
              </a:p>
            </rich>
          </tx>
        </title>
        <majorTickMark val="none"/>
        <minorTickMark val="none"/>
        <crossAx val="10"/>
      </valAx>
    </plotArea>
    <plotVisOnly val="1"/>
    <dispBlanksAs val="gap"/>
  </chart>
</chartSpace>
</file>

<file path=xl/charts/chart3.xml><?xml version="1.0" encoding="utf-8"?>
<chartSpace xmlns:a="http://schemas.openxmlformats.org/drawingml/2006/main" xmlns="http://schemas.openxmlformats.org/drawingml/2006/chart">
  <style val="10"/>
  <chart>
    <title>
      <tx>
        <rich>
          <a:bodyPr/>
          <a:p>
            <a:pPr>
              <a:defRPr/>
            </a:pPr>
            <a:r>
              <a:t>Causas activas por intensidad</a:t>
            </a:r>
          </a:p>
        </rich>
      </tx>
    </title>
    <plotArea>
      <barChart>
        <barDir val="col"/>
        <grouping val="clustered"/>
        <ser>
          <idx val="0"/>
          <order val="0"/>
          <tx>
            <strRef>
              <f>'Gráficos de integración'!B52</f>
            </strRef>
          </tx>
          <spPr>
            <a:ln>
              <a:prstDash val="solid"/>
            </a:ln>
          </spPr>
          <cat>
            <numRef>
              <f>'Gráficos de integración'!$A$53:$A$57</f>
            </numRef>
          </cat>
          <val>
            <numRef>
              <f>'Gráficos de integración'!$B$53:$B$57</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Intensidad</a:t>
                </a:r>
              </a:p>
            </rich>
          </tx>
        </title>
        <majorTickMark val="none"/>
        <minorTickMark val="none"/>
        <crossAx val="10"/>
      </valAx>
    </plotArea>
    <plotVisOnly val="1"/>
    <dispBlanksAs val="gap"/>
  </chart>
</chartSpace>
</file>

<file path=xl/charts/chart4.xml><?xml version="1.0" encoding="utf-8"?>
<chartSpace xmlns:a="http://schemas.openxmlformats.org/drawingml/2006/main" xmlns="http://schemas.openxmlformats.org/drawingml/2006/chart">
  <chart>
    <title>
      <tx>
        <rich>
          <a:bodyPr/>
          <a:p>
            <a:pPr>
              <a:defRPr/>
            </a:pPr>
            <a:r>
              <a:t>Control de consistencia</a:t>
            </a:r>
          </a:p>
        </rich>
      </tx>
    </title>
    <plotArea>
      <pieChart>
        <varyColors val="1"/>
        <ser>
          <idx val="0"/>
          <order val="0"/>
          <tx>
            <strRef>
              <f>'Gráficos de integración'!B75</f>
            </strRef>
          </tx>
          <spPr>
            <a:ln>
              <a:prstDash val="solid"/>
            </a:ln>
          </spPr>
          <cat>
            <numRef>
              <f>'Gráficos de integración'!$A$76:$A$79</f>
            </numRef>
          </cat>
          <val>
            <numRef>
              <f>'Gráficos de integración'!$B$76:$B$79</f>
            </numRef>
          </val>
        </ser>
        <firstSliceAng val="0"/>
      </pieChart>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 Type="http://schemas.openxmlformats.org/officeDocument/2006/relationships/chart" Target="/xl/charts/chart3.xml" Id="rId3" /><Relationship Type="http://schemas.openxmlformats.org/officeDocument/2006/relationships/chart" Target="/xl/charts/chart4.xml" Id="rId4"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3</col>
      <colOff>0</colOff>
      <row>7</row>
      <rowOff>0</rowOff>
    </from>
    <ext cx="4320000" cy="2880000"/>
    <graphicFrame>
      <nvGraphicFramePr>
        <cNvPr id="1" name="Chart 1"/>
        <cNvGraphicFramePr/>
      </nvGraphicFramePr>
      <xfrm/>
      <a:graphic>
        <a:graphicData uri="http://schemas.openxmlformats.org/drawingml/2006/chart">
          <c:chart r:id="rId1"/>
        </a:graphicData>
      </a:graphic>
    </graphicFrame>
    <clientData/>
  </oneCellAnchor>
  <oneCellAnchor>
    <from>
      <col>3</col>
      <colOff>0</colOff>
      <row>28</row>
      <rowOff>0</rowOff>
    </from>
    <ext cx="5760000" cy="2880000"/>
    <graphicFrame>
      <nvGraphicFramePr>
        <cNvPr id="2" name="Chart 2"/>
        <cNvGraphicFramePr/>
      </nvGraphicFramePr>
      <xfrm/>
      <a:graphic>
        <a:graphicData uri="http://schemas.openxmlformats.org/drawingml/2006/chart">
          <c:chart r:id="rId2"/>
        </a:graphicData>
      </a:graphic>
    </graphicFrame>
    <clientData/>
  </oneCellAnchor>
  <oneCellAnchor>
    <from>
      <col>3</col>
      <colOff>0</colOff>
      <row>51</row>
      <rowOff>0</rowOff>
    </from>
    <ext cx="5760000" cy="2880000"/>
    <graphicFrame>
      <nvGraphicFramePr>
        <cNvPr id="3" name="Chart 3"/>
        <cNvGraphicFramePr/>
      </nvGraphicFramePr>
      <xfrm/>
      <a:graphic>
        <a:graphicData uri="http://schemas.openxmlformats.org/drawingml/2006/chart">
          <c:chart r:id="rId3"/>
        </a:graphicData>
      </a:graphic>
    </graphicFrame>
    <clientData/>
  </oneCellAnchor>
  <oneCellAnchor>
    <from>
      <col>3</col>
      <colOff>0</colOff>
      <row>74</row>
      <rowOff>0</rowOff>
    </from>
    <ext cx="4320000" cy="2880000"/>
    <graphicFrame>
      <nvGraphicFramePr>
        <cNvPr id="4" name="Chart 4"/>
        <cNvGraphicFramePr/>
      </nvGraphicFramePr>
      <xfrm/>
      <a:graphic>
        <a:graphicData uri="http://schemas.openxmlformats.org/drawingml/2006/chart">
          <c:chart r:id="rId4"/>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8.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F57"/>
  <sheetViews>
    <sheetView showGridLines="0" workbookViewId="0">
      <pane ySplit="6" topLeftCell="A7" activePane="bottomLeft" state="frozen"/>
      <selection pane="bottomLeft" activeCell="A1" sqref="A1"/>
    </sheetView>
  </sheetViews>
  <sheetFormatPr baseColWidth="8" defaultRowHeight="15"/>
  <cols>
    <col width="26" customWidth="1" min="1" max="1"/>
    <col width="30" customWidth="1" min="2" max="2"/>
    <col width="26" customWidth="1" min="3" max="3"/>
    <col width="30" customWidth="1" min="4" max="4"/>
    <col width="14" customWidth="1" min="5" max="5"/>
    <col width="14" customWidth="1" min="6" max="6"/>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FICHA RESUMEN — BLOQUE PRELIMINAR DE INTERVENCIÓN 40</t>
        </is>
      </c>
    </row>
    <row r="6" ht="24" customHeight="1">
      <c r="A6" s="4" t="inlineStr">
        <is>
          <t>Diagnóstico Territorial — Plantilla DT Campo Check Validada V5 | Sistema de referencia: UTM WGS 84 Zona 17S (EPSG:32717) · Integrado con la ficha de campo F-DT vigente (Plantilla_DT_Campo_Bloque40_IN_Piura_rev_hscm.xlsx) — V7 - resumen V6 + campo F-DT integrado</t>
        </is>
      </c>
    </row>
    <row r="7"/>
    <row r="8" ht="18" customHeight="1">
      <c r="A8" s="5" t="inlineStr">
        <is>
          <t>1. IDENTIFICACIÓN Y LOCALIZACIÓN</t>
        </is>
      </c>
    </row>
    <row r="9">
      <c r="A9" s="6" t="inlineStr">
        <is>
          <t>Código del bloque</t>
        </is>
      </c>
      <c r="B9" s="7" t="inlineStr">
        <is>
          <t>40</t>
        </is>
      </c>
      <c r="C9" s="6" t="inlineStr">
        <is>
          <t>Microcuenca (catálogo)</t>
        </is>
      </c>
      <c r="D9" s="7" t="inlineStr">
        <is>
          <t>C1081-Q9591</t>
        </is>
      </c>
      <c r="E9" s="8" t="n"/>
      <c r="F9" s="8" t="n"/>
    </row>
    <row r="10">
      <c r="A10" s="6" t="inlineStr">
        <is>
          <t>Zona de planificación</t>
        </is>
      </c>
      <c r="B10" s="7" t="inlineStr">
        <is>
          <t>Z11</t>
        </is>
      </c>
      <c r="C10" s="6" t="inlineStr">
        <is>
          <t>Microcuenca declarada en ficha DT</t>
        </is>
      </c>
      <c r="D10" s="7" t="inlineStr">
        <is>
          <t>C1081-Q9591</t>
        </is>
      </c>
      <c r="E10" s="8" t="n"/>
      <c r="F10" s="8" t="n"/>
    </row>
    <row r="11">
      <c r="A11" s="6" t="inlineStr">
        <is>
          <t>Departamento</t>
        </is>
      </c>
      <c r="B11" s="7" t="inlineStr">
        <is>
          <t>Piura</t>
        </is>
      </c>
      <c r="C11" s="6" t="inlineStr">
        <is>
          <t>Provincia</t>
        </is>
      </c>
      <c r="D11" s="7" t="inlineStr">
        <is>
          <t>Huancabamba</t>
        </is>
      </c>
      <c r="E11" s="8" t="n"/>
      <c r="F11" s="8" t="n"/>
    </row>
    <row r="12">
      <c r="A12" s="6" t="inlineStr">
        <is>
          <t>Distrito</t>
        </is>
      </c>
      <c r="B12" s="7" t="inlineStr">
        <is>
          <t>Canchaque</t>
        </is>
      </c>
      <c r="C12" s="6" t="inlineStr">
        <is>
          <t>Capital distrital</t>
        </is>
      </c>
      <c r="D12" s="7" t="inlineStr">
        <is>
          <t>Canchaque</t>
        </is>
      </c>
      <c r="E12" s="8" t="n"/>
      <c r="F12" s="8" t="n"/>
    </row>
    <row r="13">
      <c r="A13" s="6" t="inlineStr">
        <is>
          <t>Centro poblado asociado</t>
        </is>
      </c>
      <c r="B13" s="7" t="inlineStr">
        <is>
          <t>Chacchacal y Chorro Blanco</t>
        </is>
      </c>
      <c r="C13" s="6" t="inlineStr">
        <is>
          <t>Comunidad campesina</t>
        </is>
      </c>
      <c r="D13" s="7" t="inlineStr">
        <is>
          <t>Por verificar</t>
        </is>
      </c>
      <c r="E13" s="8" t="n"/>
      <c r="F13" s="8" t="n"/>
    </row>
    <row r="14">
      <c r="A14" s="6" t="inlineStr">
        <is>
          <t>Superficie de catálogo (V5/V6), ha</t>
        </is>
      </c>
      <c r="B14" s="7" t="n">
        <v>28.52</v>
      </c>
      <c r="C14" s="6" t="inlineStr">
        <is>
          <t>Fuente de superficie</t>
        </is>
      </c>
      <c r="D14" s="7" t="inlineStr">
        <is>
          <t>Catálogo maestro Bloques V5/V6</t>
        </is>
      </c>
      <c r="E14" s="8" t="n"/>
      <c r="F14" s="8" t="n"/>
    </row>
    <row r="15">
      <c r="A15" s="6" t="inlineStr">
        <is>
          <t>Centroide UTM ESTE (m)</t>
        </is>
      </c>
      <c r="B15" s="7" t="n">
        <v>654137</v>
      </c>
      <c r="C15" s="6" t="inlineStr">
        <is>
          <t>Centroide UTM NORTE (m)</t>
        </is>
      </c>
      <c r="D15" s="7" t="n">
        <v>9424425</v>
      </c>
      <c r="E15" s="8" t="n"/>
      <c r="F15" s="8" t="n"/>
    </row>
    <row r="16">
      <c r="A16" s="6" t="inlineStr">
        <is>
          <t>Sistema de coordenadas</t>
        </is>
      </c>
      <c r="B16" s="7" t="inlineStr">
        <is>
          <t>UTM WGS 84 Zona 17S (EPSG:32717)</t>
        </is>
      </c>
      <c r="C16" s="6" t="inlineStr">
        <is>
          <t>Tipo de intervención</t>
        </is>
      </c>
      <c r="D16" s="7" t="inlineStr">
        <is>
          <t>Restauración</t>
        </is>
      </c>
      <c r="E16" s="8" t="n"/>
      <c r="F16" s="8" t="n"/>
    </row>
    <row r="17"/>
    <row r="18" ht="18" customHeight="1">
      <c r="A18" s="5" t="inlineStr">
        <is>
          <t>2. PARÁMETROS FÍSICOS (ESTADÍSTICA ZONAL SOBRE MDE)</t>
        </is>
      </c>
    </row>
    <row r="19">
      <c r="A19" s="6" t="inlineStr">
        <is>
          <t>Altitud mínima (msnm)</t>
        </is>
      </c>
      <c r="B19" s="7" t="n">
        <v>1407</v>
      </c>
      <c r="C19" s="6" t="inlineStr">
        <is>
          <t>Altitud máxima (msnm)</t>
        </is>
      </c>
      <c r="D19" s="7" t="n">
        <v>1656</v>
      </c>
      <c r="E19" s="8" t="n"/>
      <c r="F19" s="8" t="n"/>
    </row>
    <row r="20">
      <c r="A20" s="6" t="inlineStr">
        <is>
          <t>Amplitud altitudinal (m)</t>
        </is>
      </c>
      <c r="B20" s="7" t="n">
        <v>249</v>
      </c>
      <c r="C20" s="6" t="inlineStr">
        <is>
          <t>Piso altitudinal dominante</t>
        </is>
      </c>
      <c r="D20" s="7" t="inlineStr">
        <is>
          <t>1500-2000 m (Quechua media)</t>
        </is>
      </c>
      <c r="E20" s="8" t="n"/>
      <c r="F20" s="8" t="n"/>
    </row>
    <row r="21">
      <c r="A21" s="6" t="inlineStr">
        <is>
          <t>Pendiente promedio (%)</t>
        </is>
      </c>
      <c r="B21" s="7" t="n">
        <v>31.4</v>
      </c>
      <c r="C21" s="6" t="inlineStr">
        <is>
          <t>Pendiente promedio (grados)</t>
        </is>
      </c>
      <c r="D21" s="7" t="n">
        <v>17.4</v>
      </c>
      <c r="E21" s="8" t="n"/>
      <c r="F21" s="8" t="n"/>
    </row>
    <row r="22">
      <c r="A22" s="6" t="inlineStr">
        <is>
          <t>Clase de pendiente equivalente</t>
        </is>
      </c>
      <c r="B22" s="7" t="inlineStr">
        <is>
          <t>25-50% (Mod. escarpado)</t>
        </is>
      </c>
      <c r="C22" s="6" t="inlineStr">
        <is>
          <t>Rango de pendiente declarado en campo</t>
        </is>
      </c>
      <c r="D22" s="7" t="inlineStr">
        <is>
          <t>25-50% (Mod. escarpado)</t>
        </is>
      </c>
      <c r="E22" s="8" t="n"/>
      <c r="F22" s="8" t="n"/>
    </row>
    <row r="23">
      <c r="A23" s="6" t="inlineStr">
        <is>
          <t>Forma predominante del terreno</t>
        </is>
      </c>
      <c r="B23" s="7" t="inlineStr">
        <is>
          <t>Montañoso</t>
        </is>
      </c>
      <c r="C23" s="6" t="inlineStr">
        <is>
          <t>Posición fisiográfica</t>
        </is>
      </c>
      <c r="D23" s="7" t="inlineStr">
        <is>
          <t>Ladera media</t>
        </is>
      </c>
      <c r="E23" s="8" t="n"/>
      <c r="F23" s="8" t="n"/>
    </row>
    <row r="24">
      <c r="A24" s="6" t="inlineStr">
        <is>
          <t>Exposición / orientación</t>
        </is>
      </c>
      <c r="B24" s="7" t="inlineStr">
        <is>
          <t>Sur</t>
        </is>
      </c>
      <c r="C24" s="6" t="inlineStr">
        <is>
          <t>Afloramientos rocosos</t>
        </is>
      </c>
      <c r="D24" s="7" t="inlineStr">
        <is>
          <t>Sí</t>
        </is>
      </c>
      <c r="E24" s="8" t="n"/>
      <c r="F24" s="8" t="n"/>
    </row>
    <row r="25">
      <c r="A25" s="6" t="inlineStr">
        <is>
          <t>Escarpes activos</t>
        </is>
      </c>
      <c r="B25" s="7" t="inlineStr">
        <is>
          <t>Sí</t>
        </is>
      </c>
      <c r="C25" s="6" t="inlineStr">
        <is>
          <t>Remociones en masa activas</t>
        </is>
      </c>
      <c r="D25" s="7" t="inlineStr">
        <is>
          <t>Sí</t>
        </is>
      </c>
      <c r="E25" s="8" t="n"/>
      <c r="F25" s="8" t="n"/>
    </row>
    <row r="26"/>
    <row r="27" ht="18" customHeight="1">
      <c r="A27" s="5" t="inlineStr">
        <is>
          <t>3. ÍNDICES DE VEGETACIÓN (SENTINEL-2)</t>
        </is>
      </c>
    </row>
    <row r="28">
      <c r="A28" s="6" t="inlineStr">
        <is>
          <t>MSAVI 2024 — media del bloque</t>
        </is>
      </c>
      <c r="B28" s="7" t="n">
        <v>0.6401</v>
      </c>
      <c r="C28" s="6" t="inlineStr">
        <is>
          <t>MSAVI 2024 — clase de la media</t>
        </is>
      </c>
      <c r="D28" s="7" t="inlineStr">
        <is>
          <t>&gt; 0.6139 (Vigor alto)</t>
        </is>
      </c>
      <c r="E28" s="8" t="n"/>
      <c r="F28" s="8" t="n"/>
    </row>
    <row r="29">
      <c r="A29" s="6" t="inlineStr">
        <is>
          <t>Condición frente al umbral 0.4976</t>
        </is>
      </c>
      <c r="B29" s="7" t="inlineStr">
        <is>
          <t>Sobre umbral</t>
        </is>
      </c>
      <c r="C29" s="6" t="inlineStr">
        <is>
          <t>NDVI mediana 2025 — clase modal</t>
        </is>
      </c>
      <c r="D29" s="7" t="inlineStr">
        <is>
          <t>Vegetación alta (99.55 %)</t>
        </is>
      </c>
      <c r="E29" s="8" t="n"/>
      <c r="F29" s="8" t="n"/>
    </row>
    <row r="30">
      <c r="A30" s="6" t="inlineStr">
        <is>
          <t>Superficie clasificada NDVI 2025 (ha)</t>
        </is>
      </c>
      <c r="B30" s="7" t="n">
        <v>28.529</v>
      </c>
      <c r="C30" s="6" t="inlineStr">
        <is>
          <t>Desviación frente al catálogo (%)</t>
        </is>
      </c>
      <c r="D30" s="7" t="n">
        <v>0.03</v>
      </c>
      <c r="E30" s="8" t="n"/>
      <c r="F30" s="8" t="n"/>
    </row>
    <row r="31">
      <c r="A31" s="6" t="inlineStr">
        <is>
          <t>Superficie clasificada MSAVI 2024 (ha)</t>
        </is>
      </c>
      <c r="B31" s="38" t="n">
        <v>28.523</v>
      </c>
      <c r="C31" s="6" t="inlineStr">
        <is>
          <t>Desviación MSAVI frente al catálogo (%)</t>
        </is>
      </c>
      <c r="D31" s="39" t="n">
        <v>0.01</v>
      </c>
      <c r="E31" s="8" t="n"/>
      <c r="F31" s="8" t="n"/>
    </row>
    <row r="32">
      <c r="A32" s="6" t="inlineStr">
        <is>
          <t>Superficie bajo umbral MSAVI 0.4976 (ha)</t>
        </is>
      </c>
      <c r="B32" s="38" t="n">
        <v>0.828</v>
      </c>
      <c r="C32" s="6" t="inlineStr">
        <is>
          <t>% del bloque bajo umbral (brecha espectral)</t>
        </is>
      </c>
      <c r="D32" s="39" t="n">
        <v>2.9</v>
      </c>
      <c r="E32" s="8" t="n"/>
      <c r="F32" s="8" t="n"/>
    </row>
    <row r="33">
      <c r="A33" s="6" t="inlineStr">
        <is>
          <t>Clase DN dominante (MSAVI 2024)</t>
        </is>
      </c>
      <c r="B33" s="7" t="inlineStr">
        <is>
          <t>DN 5 · &gt; 0.6139 (Vigor alto)</t>
        </is>
      </c>
      <c r="C33" s="6" t="inlineStr">
        <is>
          <t>N.° de polígonos MSAVI del bloque</t>
        </is>
      </c>
      <c r="D33" s="40" t="n">
        <v>67</v>
      </c>
      <c r="E33" s="8" t="n"/>
      <c r="F33" s="8" t="n"/>
    </row>
    <row r="34"/>
    <row r="35" ht="18" customHeight="1">
      <c r="A35" s="5" t="inlineStr">
        <is>
          <t>4. ECOSISTEMA Y ESTADO DE CONSERVACIÓN</t>
        </is>
      </c>
    </row>
    <row r="36">
      <c r="A36" s="6" t="inlineStr">
        <is>
          <t>Tipo de ecosistema (UP)</t>
        </is>
      </c>
      <c r="B36" s="7" t="inlineStr">
        <is>
          <t>Agroecosistema / Mosaico</t>
        </is>
      </c>
      <c r="C36" s="6" t="inlineStr">
        <is>
          <t>Superficie de ecosistema (ha)</t>
        </is>
      </c>
      <c r="D36" s="7" t="inlineStr">
        <is>
          <t>Por determinar</t>
        </is>
      </c>
      <c r="E36" s="8" t="n"/>
      <c r="F36" s="8" t="n"/>
    </row>
    <row r="37">
      <c r="A37" s="6" t="inlineStr">
        <is>
          <t>Estado de conservación</t>
        </is>
      </c>
      <c r="B37" s="7" t="inlineStr">
        <is>
          <t>Muy alterado / Degradado</t>
        </is>
      </c>
      <c r="C37" s="6" t="inlineStr">
        <is>
          <t>Uso actual dominante del suelo</t>
        </is>
      </c>
      <c r="D37" s="7" t="inlineStr">
        <is>
          <t>Uso mixto</t>
        </is>
      </c>
      <c r="E37" s="8" t="n"/>
      <c r="F37" s="8" t="n"/>
    </row>
    <row r="38">
      <c r="A38" s="6" t="inlineStr">
        <is>
          <t>Tipo de cobertura dominante</t>
        </is>
      </c>
      <c r="B38" s="7" t="inlineStr">
        <is>
          <t>Mixto / Mosaico</t>
        </is>
      </c>
      <c r="C38" s="6" t="inlineStr">
        <is>
          <t>Cobertura vegetal total — campo (%)</t>
        </is>
      </c>
      <c r="D38" s="7" t="inlineStr">
        <is>
          <t>Por determinar</t>
        </is>
      </c>
      <c r="E38" s="8" t="n"/>
      <c r="F38" s="8" t="n"/>
    </row>
    <row r="39">
      <c r="A39" s="6" t="inlineStr">
        <is>
          <t>Suelo desnudo — campo (%)</t>
        </is>
      </c>
      <c r="B39" s="7" t="inlineStr">
        <is>
          <t>Por determinar</t>
        </is>
      </c>
      <c r="C39" s="6" t="inlineStr">
        <is>
          <t>Regeneración natural</t>
        </is>
      </c>
      <c r="D39" s="7" t="inlineStr">
        <is>
          <t>Escasa (&lt;10 pl./100m²)</t>
        </is>
      </c>
      <c r="E39" s="8" t="n"/>
      <c r="F39" s="8" t="n"/>
    </row>
    <row r="40">
      <c r="A40" s="6" t="inlineStr">
        <is>
          <t>Nivel general de erosión</t>
        </is>
      </c>
      <c r="B40" s="7" t="inlineStr">
        <is>
          <t>Severa (cárcavas activas)</t>
        </is>
      </c>
      <c r="C40" s="6" t="inlineStr">
        <is>
          <t>N.° de cárcavas registradas</t>
        </is>
      </c>
      <c r="D40" s="7" t="n">
        <v>0</v>
      </c>
      <c r="E40" s="8" t="n"/>
      <c r="F40" s="8" t="n"/>
    </row>
    <row r="41">
      <c r="A41" s="6" t="inlineStr">
        <is>
          <t>Elenco florístico (n.° de taxones)</t>
        </is>
      </c>
      <c r="B41" s="7" t="n">
        <v>11</v>
      </c>
      <c r="C41" s="6" t="inlineStr">
        <is>
          <t>Estado sanitario</t>
        </is>
      </c>
      <c r="D41" s="7" t="inlineStr">
        <is>
          <t>Sano</t>
        </is>
      </c>
      <c r="E41" s="8" t="n"/>
      <c r="F41" s="8" t="n"/>
    </row>
    <row r="42"/>
    <row r="43" ht="18" customHeight="1">
      <c r="A43" s="5" t="inlineStr">
        <is>
          <t>5. RESPONSABLE Y MODALIDAD DE LA EVALUACIÓN</t>
        </is>
      </c>
    </row>
    <row r="44">
      <c r="A44" s="6" t="inlineStr">
        <is>
          <t>Responsable de la evaluación</t>
        </is>
      </c>
      <c r="B44" s="7" t="inlineStr">
        <is>
          <t>Ing. Juan Domínguez e Ing. Pedro Talledo</t>
        </is>
      </c>
      <c r="C44" s="6" t="inlineStr">
        <is>
          <t>Fecha de evaluación</t>
        </is>
      </c>
      <c r="D44" s="7" t="inlineStr">
        <is>
          <t>2026-08-03</t>
        </is>
      </c>
      <c r="E44" s="8" t="n"/>
      <c r="F44" s="8" t="n"/>
    </row>
    <row r="45">
      <c r="A45" s="6" t="inlineStr">
        <is>
          <t>Hora de registro</t>
        </is>
      </c>
      <c r="B45" s="50" t="inlineStr">
        <is>
          <t>Por registrar</t>
        </is>
      </c>
      <c r="C45" s="6" t="inlineStr">
        <is>
          <t>Correlativo de ficha</t>
        </is>
      </c>
      <c r="D45" s="7" t="inlineStr">
        <is>
          <t>F-DT-01-40</t>
        </is>
      </c>
      <c r="E45" s="8" t="n"/>
      <c r="F45" s="8" t="n"/>
    </row>
    <row r="46">
      <c r="A46" s="6" t="inlineStr">
        <is>
          <t>Entidad</t>
        </is>
      </c>
      <c r="B46" s="7" t="inlineStr">
        <is>
          <t>ANIN - DIME - SESDI</t>
        </is>
      </c>
      <c r="C46" s="6" t="inlineStr">
        <is>
          <t>Fase del estudio</t>
        </is>
      </c>
      <c r="D46" s="7" t="inlineStr">
        <is>
          <t>Preinversión (Perfil) · Invierte.pe</t>
        </is>
      </c>
      <c r="E46" s="8" t="n"/>
      <c r="F46" s="8" t="n"/>
    </row>
    <row r="47">
      <c r="A47" s="6" t="inlineStr">
        <is>
          <t>Instrumento aplicado</t>
        </is>
      </c>
      <c r="B47" s="7" t="inlineStr">
        <is>
          <t>Fichas F-DT-01 a F-DT-05 (Plantilla V5)</t>
        </is>
      </c>
      <c r="C47" s="6" t="inlineStr">
        <is>
          <t>Parcela de muestreo</t>
        </is>
      </c>
      <c r="D47" s="7" t="inlineStr">
        <is>
          <t>Por determinar</t>
        </is>
      </c>
      <c r="E47" s="8" t="n"/>
      <c r="F47" s="8" t="n"/>
    </row>
    <row r="48">
      <c r="A48" s="6" t="inlineStr">
        <is>
          <t>Estaciones fotográficas georreferenciadas</t>
        </is>
      </c>
      <c r="B48" s="7" t="inlineStr">
        <is>
          <t>Sin registro en la ficha DT</t>
        </is>
      </c>
      <c r="C48" s="6" t="inlineStr">
        <is>
          <t>Modalidad de acceso</t>
        </is>
      </c>
      <c r="D48" s="7" t="inlineStr">
        <is>
          <t>Vehicular + caminata &lt;30 min</t>
        </is>
      </c>
      <c r="E48" s="8" t="n"/>
      <c r="F48" s="8" t="n"/>
    </row>
    <row r="49"/>
    <row r="50" ht="18" customHeight="1">
      <c r="A50" s="5" t="inlineStr">
        <is>
          <t>6. SÍNTESIS PARA LA GESTIÓN DEL RIESGO EN CONTEXTO DE CAMBIO CLIMÁTICO</t>
        </is>
      </c>
    </row>
    <row r="51">
      <c r="A51" s="6" t="inlineStr">
        <is>
          <t>Causa subyacente principal</t>
        </is>
      </c>
      <c r="B51" s="7" t="inlineStr">
        <is>
          <t>Ocupación productiva de laderas de fuerte pendiente sin prácticas de conservación de suelos, favorecida por la accesibilidad vial</t>
        </is>
      </c>
      <c r="C51" s="6" t="inlineStr">
        <is>
          <t>Velocidad de degradación</t>
        </is>
      </c>
      <c r="D51" s="7" t="inlineStr">
        <is>
          <t>Moderada</t>
        </is>
      </c>
      <c r="E51" s="8" t="n"/>
      <c r="F51" s="8" t="n"/>
    </row>
    <row r="52">
      <c r="A52" s="6" t="inlineStr">
        <is>
          <t>Reversibilidad técnica</t>
        </is>
      </c>
      <c r="B52" s="7" t="inlineStr">
        <is>
          <t>Parcialmente reversible</t>
        </is>
      </c>
      <c r="C52" s="6" t="inlineStr">
        <is>
          <t>Urgencia de intervención</t>
        </is>
      </c>
      <c r="D52" s="7" t="inlineStr">
        <is>
          <t>Alta</t>
        </is>
      </c>
      <c r="E52" s="8" t="n"/>
      <c r="F52" s="8" t="n"/>
    </row>
    <row r="53">
      <c r="A53" s="6" t="inlineStr">
        <is>
          <t>Urgencia de control de erosión</t>
        </is>
      </c>
      <c r="B53" s="7" t="inlineStr">
        <is>
          <t>Alta</t>
        </is>
      </c>
      <c r="C53" s="6" t="inlineStr">
        <is>
          <t>Zona de recarga hídrica</t>
        </is>
      </c>
      <c r="D53" s="7" t="inlineStr">
        <is>
          <t>Sí</t>
        </is>
      </c>
      <c r="E53" s="8" t="n"/>
      <c r="F53" s="8" t="n"/>
    </row>
    <row r="54">
      <c r="A54" s="6" t="inlineStr">
        <is>
          <t>Peligro integrado preliminar (MCA-AHP)</t>
        </is>
      </c>
      <c r="B54" s="7" t="inlineStr">
        <is>
          <t>No disponible en los insumos; debe tomarse del modelamiento de mesolocalización</t>
        </is>
      </c>
      <c r="C54" s="6" t="inlineStr">
        <is>
          <t>Prioridad de intervención</t>
        </is>
      </c>
      <c r="D54" s="7" t="inlineStr">
        <is>
          <t>Por definir en mesolocalización</t>
        </is>
      </c>
      <c r="E54" s="8" t="n"/>
      <c r="F54" s="8" t="n"/>
    </row>
    <row r="55">
      <c r="A55" s="6" t="inlineStr">
        <is>
          <t>Estado de verificación de campo</t>
        </is>
      </c>
      <c r="B55" s="7" t="inlineStr">
        <is>
          <t>VERIFICADO</t>
        </is>
      </c>
      <c r="C55" s="6" t="inlineStr">
        <is>
          <t>Marco del indicador de brecha</t>
        </is>
      </c>
      <c r="D55" s="7" t="inlineStr">
        <is>
          <t>R.M. N.° 00213-2024-MINAM</t>
        </is>
      </c>
      <c r="E55" s="8" t="n"/>
      <c r="F55" s="8" t="n"/>
    </row>
    <row r="56"/>
    <row r="57" ht="72" customHeight="1">
      <c r="A57" s="9" t="inlineStr">
        <is>
          <t>DECLARACIÓN DE INTEGRIDAD DE DATOS. Ningún valor ausente ha sido estimado o inferido sin declararlo. Los campos que no pudieron sustentarse en observación de campo, estadística zonal o catálogo oficial se consignan como «Por determinar» o «Por verificar». La altitud y la pendiente proceden de estadística zonal sobre el modelo digital de elevación; el MSAVI 2024 y el NDVI mediana 2025 proceden de compuestos Sentinel-2. Las discrepancias detectadas entre campo, gabinete y catálogo se listan en la hoja «Control de consistencia». La distribución areal por clase de MSAVI 2024 procede de la estadística zonal del ráster MSAVI clasificado (AREAS_MSAVI_BLOQUES_V6_REV_HSCM) y se detalla en la hoja «Cobertura MSAVI-NDVI»; la equivalencia entre el valor de clase DN y los umbrales del proyecto se declara en la nota metodológica de esa hoja.</t>
        </is>
      </c>
      <c r="B57" s="41" t="n"/>
      <c r="C57" s="41" t="n"/>
      <c r="D57" s="41" t="n"/>
      <c r="E57" s="41" t="n"/>
      <c r="F57" s="42" t="n"/>
    </row>
  </sheetData>
  <mergeCells count="13">
    <mergeCell ref="A2:F2"/>
    <mergeCell ref="A43:F43"/>
    <mergeCell ref="A1:F1"/>
    <mergeCell ref="A5:F5"/>
    <mergeCell ref="A27:F27"/>
    <mergeCell ref="A8:F8"/>
    <mergeCell ref="A6:F6"/>
    <mergeCell ref="A50:F50"/>
    <mergeCell ref="A35:F35"/>
    <mergeCell ref="A18:F18"/>
    <mergeCell ref="A3:F3"/>
    <mergeCell ref="A4:F4"/>
    <mergeCell ref="A57:F5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0"/>
  <sheetViews>
    <sheetView showGridLines="0" workbookViewId="0">
      <pane ySplit="6" topLeftCell="A7" activePane="bottomLeft" state="frozen"/>
      <selection pane="bottomLeft" activeCell="A1" sqref="A1"/>
    </sheetView>
  </sheetViews>
  <sheetFormatPr baseColWidth="8" defaultRowHeight="15"/>
  <cols>
    <col width="24" customWidth="1" min="1" max="1"/>
    <col width="16" customWidth="1" min="2" max="2"/>
    <col width="20" customWidth="1" min="3" max="3"/>
    <col width="30" customWidth="1" min="4" max="4"/>
    <col width="28"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DISTRIBUCIÓN AREAL DE CLASES ESPECTRALES — BLOQUE 40</t>
        </is>
      </c>
    </row>
    <row r="6" ht="24" customHeight="1">
      <c r="A6" s="4" t="inlineStr">
        <is>
          <t>MSAVI 2024 y NDVI mediana 2025 (Sentinel-2, mosaico Piura) · Umbral de brecha del proyecto: MSAVI = 0.4976</t>
        </is>
      </c>
    </row>
    <row r="8" ht="18" customHeight="1">
      <c r="A8" s="5" t="inlineStr">
        <is>
          <t>A. MSAVI 2024 — CLASIFICACIÓN POR UMBRALES DEL PROYECTO</t>
        </is>
      </c>
    </row>
    <row r="9" ht="28" customHeight="1">
      <c r="A9" s="10" t="inlineStr">
        <is>
          <t>Clase MSAVI</t>
        </is>
      </c>
      <c r="B9" s="10" t="inlineStr">
        <is>
          <t>Superficie (ha)</t>
        </is>
      </c>
      <c r="C9" s="10" t="inlineStr">
        <is>
          <t>% del área clasificada</t>
        </is>
      </c>
      <c r="D9" s="10" t="inlineStr">
        <is>
          <t>Interpretación</t>
        </is>
      </c>
      <c r="E9" s="10" t="inlineStr">
        <is>
          <t>Condición frente al umbral 0.4976</t>
        </is>
      </c>
    </row>
    <row r="10">
      <c r="A10" s="11" t="inlineStr">
        <is>
          <t>&gt; 0.6139 · DN 5</t>
        </is>
      </c>
      <c r="B10" s="32" t="n">
        <v>18.2866</v>
      </c>
      <c r="C10" s="31">
        <f>ROUND(B10/$B$15*100,2)</f>
        <v/>
      </c>
      <c r="D10" s="12" t="inlineStr">
        <is>
          <t>Vigor alto</t>
        </is>
      </c>
      <c r="E10" s="12" t="inlineStr">
        <is>
          <t>Sobre umbral</t>
        </is>
      </c>
    </row>
    <row r="11">
      <c r="A11" s="13" t="inlineStr">
        <is>
          <t>0.4976 - 0.6139 · DN 4</t>
        </is>
      </c>
      <c r="B11" s="20" t="n">
        <v>9.4092</v>
      </c>
      <c r="C11" s="21">
        <f>ROUND(B11/$B$15*100,2)</f>
        <v/>
      </c>
      <c r="D11" s="14" t="inlineStr">
        <is>
          <t>Vigor moderado</t>
        </is>
      </c>
      <c r="E11" s="14" t="inlineStr">
        <is>
          <t>Sobre umbral</t>
        </is>
      </c>
    </row>
    <row r="12">
      <c r="A12" s="7" t="inlineStr">
        <is>
          <t>0.3813 - 0.4976 · DN 3</t>
        </is>
      </c>
      <c r="B12" s="18" t="n">
        <v>0.8276</v>
      </c>
      <c r="C12" s="19">
        <f>ROUND(B12/$B$15*100,2)</f>
        <v/>
      </c>
      <c r="D12" s="15" t="inlineStr">
        <is>
          <t>Vigor bajo</t>
        </is>
      </c>
      <c r="E12" s="15" t="inlineStr">
        <is>
          <t>BAJO umbral 0.4976</t>
        </is>
      </c>
    </row>
    <row r="13">
      <c r="A13" s="13" t="inlineStr">
        <is>
          <t>0.2650 - 0.3813 · DN 2</t>
        </is>
      </c>
      <c r="B13" s="20" t="n">
        <v>0</v>
      </c>
      <c r="C13" s="21">
        <f>ROUND(B13/$B$15*100,2)</f>
        <v/>
      </c>
      <c r="D13" s="14" t="inlineStr">
        <is>
          <t>Vigor muy bajo</t>
        </is>
      </c>
      <c r="E13" s="14" t="inlineStr">
        <is>
          <t>BAJO umbral 0.4976</t>
        </is>
      </c>
    </row>
    <row r="14">
      <c r="A14" s="7" t="inlineStr">
        <is>
          <t>&lt;= 0.2650 · DN 1</t>
        </is>
      </c>
      <c r="B14" s="18" t="n">
        <v>0</v>
      </c>
      <c r="C14" s="19">
        <f>ROUND(B14/$B$15*100,2)</f>
        <v/>
      </c>
      <c r="D14" s="15" t="inlineStr">
        <is>
          <t>Suelo desnudo / no vegetal</t>
        </is>
      </c>
      <c r="E14" s="15" t="inlineStr">
        <is>
          <t>BAJO umbral 0.4976</t>
        </is>
      </c>
    </row>
    <row r="15" ht="30" customHeight="1">
      <c r="A15" s="43" t="inlineStr">
        <is>
          <t>TOTAL CLASIFICADO MSAVI 2024</t>
        </is>
      </c>
      <c r="B15" s="44">
        <f>SUM(B10:B14)</f>
        <v/>
      </c>
      <c r="C15" s="45">
        <f>SUM(C10:C14)</f>
        <v/>
      </c>
      <c r="D15" s="43" t="inlineStr">
        <is>
          <t>Suma de la distribución areal · 67 polígonos</t>
        </is>
      </c>
      <c r="E15" s="43" t="inlineStr">
        <is>
          <t>—</t>
        </is>
      </c>
    </row>
    <row r="16" ht="30" customHeight="1">
      <c r="A16" s="46" t="inlineStr">
        <is>
          <t>Superficie SOBRE umbral 0.4976 (ha)</t>
        </is>
      </c>
      <c r="B16" s="47">
        <f>SUM(B10:B11)</f>
        <v/>
      </c>
      <c r="C16" s="48">
        <f>ROUND(B16/B15*100,2)</f>
        <v/>
      </c>
      <c r="D16" s="46" t="inlineStr">
        <is>
          <t>Vigor alto y moderado (DN 4 y DN 5)</t>
        </is>
      </c>
      <c r="E16" s="46" t="inlineStr">
        <is>
          <t>Sobre umbral 0.4976</t>
        </is>
      </c>
    </row>
    <row r="17" ht="30" customHeight="1">
      <c r="A17" s="46" t="inlineStr">
        <is>
          <t>Superficie BAJO umbral 0.4976 (ha) — brecha</t>
        </is>
      </c>
      <c r="B17" s="47">
        <f>SUM(B12:B14)</f>
        <v/>
      </c>
      <c r="C17" s="48">
        <f>ROUND(B17/B15*100,2)</f>
        <v/>
      </c>
      <c r="D17" s="46" t="inlineStr">
        <is>
          <t>Vigor bajo, muy bajo y suelo desnudo (DN 1 a DN 3)</t>
        </is>
      </c>
      <c r="E17" s="46" t="inlineStr">
        <is>
          <t>Base para el indicador de brecha (R.M. N.° 00213-2024-MINAM)</t>
        </is>
      </c>
    </row>
    <row r="18" ht="30" customHeight="1">
      <c r="A18" s="46" t="inlineStr">
        <is>
          <t>Superficie de catálogo (V5/V6) — contraste MSAVI</t>
        </is>
      </c>
      <c r="B18" s="47" t="n">
        <v>28.52</v>
      </c>
      <c r="C18" s="49" t="inlineStr">
        <is>
          <t>—</t>
        </is>
      </c>
      <c r="D18" s="46" t="inlineStr">
        <is>
          <t>Desviación planimétrica frente al catálogo</t>
        </is>
      </c>
      <c r="E18" s="46" t="inlineStr">
        <is>
          <t>+0.01 %</t>
        </is>
      </c>
    </row>
    <row r="19">
      <c r="A19" s="16" t="inlineStr">
        <is>
          <t>MSAVI 2024 — MEDIA DEL BLOQUE</t>
        </is>
      </c>
      <c r="B19" s="17" t="n">
        <v>0.640099</v>
      </c>
      <c r="C19" s="17" t="inlineStr">
        <is>
          <t>—</t>
        </is>
      </c>
      <c r="D19" s="17" t="inlineStr">
        <is>
          <t>Vigor alto · clase &gt; 0.6139</t>
        </is>
      </c>
      <c r="E19" s="17" t="inlineStr">
        <is>
          <t>Sobre umbral</t>
        </is>
      </c>
    </row>
    <row r="21" ht="72" customHeight="1">
      <c r="A21" s="9" t="inlineStr">
        <is>
          <t>NOTA METODOLÓGICA. La distribución areal por clase de MSAVI 2024 procede de la estadística zonal por polígono del ráster MSAVI clasificado (archivo AREAS_MSAVI_BLOQUES_V6_REV_HSCM.xlsx, hojas «Datos_Detalle» y «Resumen_por_Bloque»): 67 polígonos agregados para este bloque, con superficies obtenidas como Area_m2 / 10 000. El archivo fuente no documenta la semántica del valor de clase DN; la equivalencia DN 1 = clase inferior … DN 5 = clase superior se estableció por contraste con la media MSAVI 2024 del catálogo maestro de los 117 bloques (coeficiente de correlación 0.9965 y error absoluto medio 0.0091 al reconstruir la media con los puntos medios de clase; el orden inverso arroja correlación negativa), y debe ser confirmada por el especialista SIG del proyecto. La media del bloque (0.6401) se conserva del catálogo maestro y es dato oficial; la fila resaltada indica la clase en la que cae dicha media. Los totales y porcentajes se calculan con fórmulas sobre las filas del cuadro.</t>
        </is>
      </c>
      <c r="B21" s="41" t="n"/>
      <c r="C21" s="41" t="n"/>
      <c r="D21" s="41" t="n"/>
      <c r="E21" s="42" t="n"/>
    </row>
    <row r="23" ht="18" customHeight="1">
      <c r="A23" s="5" t="inlineStr">
        <is>
          <t>B. NDVI MEDIANA 2025 — DISTRIBUCIÓN AREAL (ESTADÍSTICA ZONAL)</t>
        </is>
      </c>
    </row>
    <row r="24" ht="28" customHeight="1">
      <c r="A24" s="10" t="inlineStr">
        <is>
          <t>Clase NDVI</t>
        </is>
      </c>
      <c r="B24" s="10" t="inlineStr">
        <is>
          <t>Superficie (ha)</t>
        </is>
      </c>
      <c r="C24" s="10" t="inlineStr">
        <is>
          <t>% del área clasificada</t>
        </is>
      </c>
      <c r="D24" s="10" t="inlineStr">
        <is>
          <t>Interpretación</t>
        </is>
      </c>
      <c r="E24" s="10" t="inlineStr">
        <is>
          <t>Observación</t>
        </is>
      </c>
    </row>
    <row r="25">
      <c r="A25" s="7" t="inlineStr">
        <is>
          <t>Vegetación alta</t>
        </is>
      </c>
      <c r="B25" s="18" t="n">
        <v>28.4008</v>
      </c>
      <c r="C25" s="19" t="n">
        <v>99.55</v>
      </c>
      <c r="D25" s="15" t="inlineStr">
        <is>
          <t>Dosel continuo, matorral denso o mosaico agroforestal</t>
        </is>
      </c>
      <c r="E25" s="15" t="inlineStr"/>
    </row>
    <row r="26">
      <c r="A26" s="13" t="inlineStr">
        <is>
          <t>Vegetación mediana</t>
        </is>
      </c>
      <c r="B26" s="20" t="n">
        <v>0.1286</v>
      </c>
      <c r="C26" s="21" t="n">
        <v>0.45</v>
      </c>
      <c r="D26" s="14" t="inlineStr">
        <is>
          <t>Pastizal cultivado, matorral ralo, parcelas agrícolas</t>
        </is>
      </c>
      <c r="E26" s="14" t="inlineStr"/>
    </row>
    <row r="27">
      <c r="A27" s="16" t="inlineStr">
        <is>
          <t>TOTAL CLASIFICADO</t>
        </is>
      </c>
      <c r="B27" s="22">
        <f>SUM(B25:B26)</f>
        <v/>
      </c>
      <c r="C27" s="23">
        <f>SUM(C25:C26)</f>
        <v/>
      </c>
      <c r="D27" s="17" t="inlineStr"/>
      <c r="E27" s="17" t="inlineStr"/>
    </row>
    <row r="28">
      <c r="A28" s="24" t="inlineStr">
        <is>
          <t>Superficie de catálogo (V5/V6)</t>
        </is>
      </c>
      <c r="B28" s="25" t="n">
        <v>28.52</v>
      </c>
      <c r="C28" s="25" t="inlineStr">
        <is>
          <t>—</t>
        </is>
      </c>
      <c r="D28" s="25" t="inlineStr">
        <is>
          <t>Desviación planimétrica frente al catálogo</t>
        </is>
      </c>
      <c r="E28" s="25" t="inlineStr">
        <is>
          <t>+0.03 %</t>
        </is>
      </c>
    </row>
    <row r="30" ht="72" customHeight="1">
      <c r="A30" s="9" t="inlineStr">
        <is>
          <t>LECTURA CRÍTICA. Los índices MSAVI y NDVI miden vigor y densidad de biomasa, no composición ni integridad ecosistémica. Un valor alto NO equivale a ausencia de degradación: en bloques con mosaico agrícola, pastizal cultivado o plantaciones, la respuesta espectral puede ser alta sobre una unidad productora sustituida en su composición. La diferencia entre ambos productos no debe leerse como mejora entre 2024 y 2025: son índices distintos (el NDVI satura ante biomasa densa, el MSAVI conserva sensibilidad al suelo de fondo) aplicados sobre compuestos temporales distintos.</t>
        </is>
      </c>
      <c r="B30" s="41" t="n"/>
      <c r="C30" s="41" t="n"/>
      <c r="D30" s="41" t="n"/>
      <c r="E30" s="42" t="n"/>
    </row>
  </sheetData>
  <mergeCells count="10">
    <mergeCell ref="A30:E30"/>
    <mergeCell ref="A21:E21"/>
    <mergeCell ref="A4:E4"/>
    <mergeCell ref="A2:E2"/>
    <mergeCell ref="A1:E1"/>
    <mergeCell ref="A23:E23"/>
    <mergeCell ref="A5:E5"/>
    <mergeCell ref="A8:E8"/>
    <mergeCell ref="A6:E6"/>
    <mergeCell ref="A3:E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7"/>
  <sheetViews>
    <sheetView showGridLines="0" workbookViewId="0">
      <pane ySplit="6" topLeftCell="A7" activePane="bottomLeft" state="frozen"/>
      <selection pane="bottomLeft" activeCell="A1" sqref="A1"/>
    </sheetView>
  </sheetViews>
  <sheetFormatPr baseColWidth="8" defaultRowHeight="15"/>
  <cols>
    <col width="12" customWidth="1" min="1" max="1"/>
    <col width="34" customWidth="1" min="2" max="2"/>
    <col width="15" customWidth="1" min="3" max="3"/>
    <col width="15" customWidth="1" min="4" max="4"/>
    <col width="18" customWidth="1" min="5" max="5"/>
    <col width="22" customWidth="1" min="6" max="6"/>
    <col width="44" customWidth="1" min="7" max="7"/>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PUNTOS GEORREFERENCIADOS DE VERIFICACIÓN — BLOQUE 40</t>
        </is>
      </c>
    </row>
    <row r="6" ht="24" customHeight="1">
      <c r="A6" s="4" t="inlineStr">
        <is>
          <t>Levantamiento del 2026-08-03 · Sistema de referencia UTM WGS 84 Zona 17S (EPSG:32717)</t>
        </is>
      </c>
    </row>
    <row r="8" ht="18" customHeight="1">
      <c r="A8" s="5" t="inlineStr">
        <is>
          <t>INVENTARIO DE PUNTOS GEORREFERENCIADOS DE LA FICHA DT</t>
        </is>
      </c>
    </row>
    <row r="9" ht="28" customHeight="1">
      <c r="A9" s="10" t="inlineStr">
        <is>
          <t>Código</t>
        </is>
      </c>
      <c r="B9" s="10" t="inlineStr">
        <is>
          <t>Naturaleza del punto</t>
        </is>
      </c>
      <c r="C9" s="10" t="inlineStr">
        <is>
          <t>UTM ESTE (m)</t>
        </is>
      </c>
      <c r="D9" s="10" t="inlineStr">
        <is>
          <t>UTM NORTE (m)</t>
        </is>
      </c>
      <c r="E9" s="10" t="inlineStr">
        <is>
          <t>Dist. al centroide (m)</t>
        </is>
      </c>
      <c r="F9" s="10" t="inlineStr">
        <is>
          <t>Estado / régimen</t>
        </is>
      </c>
      <c r="G9" s="10" t="inlineStr">
        <is>
          <t>Contenido registrado</t>
        </is>
      </c>
    </row>
    <row r="10">
      <c r="A10" s="7" t="inlineStr">
        <is>
          <t>P-00</t>
        </is>
      </c>
      <c r="B10" s="15" t="inlineStr">
        <is>
          <t>Punto de muestreo declarado en ficha DT</t>
        </is>
      </c>
      <c r="C10" s="26" t="n">
        <v>654137</v>
      </c>
      <c r="D10" s="26" t="n">
        <v>9424425</v>
      </c>
      <c r="E10" s="15" t="n">
        <v>0</v>
      </c>
      <c r="F10" s="15" t="inlineStr"/>
      <c r="G10" s="15" t="inlineStr">
        <is>
          <t>Coordenada consignada en F-DT-01</t>
        </is>
      </c>
    </row>
    <row r="11">
      <c r="A11" s="13" t="inlineStr">
        <is>
          <t>H-01</t>
        </is>
      </c>
      <c r="B11" s="14" t="inlineStr">
        <is>
          <t>Fuente de agua — Quebrada estacional</t>
        </is>
      </c>
      <c r="C11" s="27" t="inlineStr">
        <is>
          <t>Por determinar</t>
        </is>
      </c>
      <c r="D11" s="27" t="inlineStr">
        <is>
          <t>Por determinar</t>
        </is>
      </c>
      <c r="E11" s="14" t="inlineStr"/>
      <c r="F11" s="14" t="inlineStr">
        <is>
          <t>Estacional</t>
        </is>
      </c>
      <c r="G11" s="14" t="inlineStr">
        <is>
          <t>Quebrada s/n colindante</t>
        </is>
      </c>
    </row>
    <row r="12">
      <c r="A12" s="16" t="inlineStr">
        <is>
          <t>TOTAL: 2 puntos</t>
        </is>
      </c>
      <c r="B12" s="17" t="inlineStr"/>
      <c r="C12" s="17" t="inlineStr"/>
      <c r="D12" s="17" t="inlineStr"/>
      <c r="E12" s="17" t="inlineStr"/>
      <c r="F12" s="17" t="inlineStr"/>
      <c r="G12" s="17" t="inlineStr"/>
    </row>
    <row r="14">
      <c r="A14" s="6" t="inlineStr">
        <is>
          <t>Centroide del bloque — UTM ESTE (m)</t>
        </is>
      </c>
      <c r="B14" s="7" t="n">
        <v>654137</v>
      </c>
      <c r="C14" s="6" t="inlineStr">
        <is>
          <t>Centroide del bloque — UTM NORTE (m)</t>
        </is>
      </c>
      <c r="D14" s="7" t="n">
        <v>9424425</v>
      </c>
      <c r="E14" s="8" t="n"/>
      <c r="F14" s="8" t="n"/>
      <c r="G14" s="8" t="n"/>
      <c r="H14" s="8" t="n"/>
    </row>
    <row r="15">
      <c r="A15" s="6" t="inlineStr">
        <is>
          <t>N.° de estaciones fotográficas declaradas</t>
        </is>
      </c>
      <c r="B15" s="7" t="inlineStr">
        <is>
          <t>Sin registro en la ficha DT</t>
        </is>
      </c>
      <c r="C15" s="6" t="inlineStr">
        <is>
          <t>Estaciones dentro del polígono</t>
        </is>
      </c>
      <c r="D15" s="7" t="inlineStr">
        <is>
          <t>Por determinar</t>
        </is>
      </c>
      <c r="E15" s="8" t="n"/>
      <c r="F15" s="8" t="n"/>
      <c r="G15" s="8" t="n"/>
      <c r="H15" s="8" t="n"/>
    </row>
    <row r="17" ht="108" customHeight="1">
      <c r="A17" s="9" t="inlineStr">
        <is>
          <t>CONTROL GEOMÉTRICO. Las coordenadas de esta hoja proceden de la ficha DT del bloque (F-DT-01 a F-DT-05) y corresponden a rasgos erosivos, fuentes de agua, especies clave y al punto de muestreo declarado. La distancia al centroide se calcula sobre coordenadas UTM 17S y es referencial: no acredita inclusión ni exclusión respecto del polígono, que exige prueba de inclusión sobre la geometría del bloque. Las estaciones situadas a menos de ~30 m del límite deben considerarse SOBRE EL LÍMITE, dentro del margen de error de la georreferenciación (± 10-15 m). Coordenadas correspondientes al CENTROIDE del polígono (Bloques V4/V5), no a un punto de muestreo GPS. Altitud GPS de campo 1390 msnm. Rango altitudinal según MDE: 1407-1656 msnm (amplitud 249 m); pendiente promedio 31.40%. Acceso: vía afirmada Los Ranchos – Chacchacal, margen derecha de una quebrada s/n.</t>
        </is>
      </c>
      <c r="B17" s="41" t="n"/>
      <c r="C17" s="41" t="n"/>
      <c r="D17" s="41" t="n"/>
      <c r="E17" s="41" t="n"/>
      <c r="F17" s="41" t="n"/>
      <c r="G17" s="42" t="n"/>
    </row>
  </sheetData>
  <mergeCells count="8">
    <mergeCell ref="A1:G1"/>
    <mergeCell ref="A17:G17"/>
    <mergeCell ref="A8:G8"/>
    <mergeCell ref="A3:G3"/>
    <mergeCell ref="A6:G6"/>
    <mergeCell ref="A4:G4"/>
    <mergeCell ref="A2:G2"/>
    <mergeCell ref="A5:G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24"/>
  <sheetViews>
    <sheetView showGridLines="0" workbookViewId="0">
      <pane ySplit="6" topLeftCell="A7" activePane="bottomLeft" state="frozen"/>
      <selection pane="bottomLeft" activeCell="A1" sqref="A1"/>
    </sheetView>
  </sheetViews>
  <sheetFormatPr baseColWidth="8" defaultRowHeight="15"/>
  <cols>
    <col width="14" customWidth="1" min="1" max="1"/>
    <col width="13" customWidth="1" min="2" max="2"/>
    <col width="14" customWidth="1" min="3" max="3"/>
    <col width="24" customWidth="1" min="4" max="4"/>
    <col width="13" customWidth="1" min="5" max="5"/>
    <col width="18" customWidth="1" min="6" max="6"/>
    <col width="13" customWidth="1" min="7" max="7"/>
    <col width="20" customWidth="1" min="8" max="8"/>
    <col width="22" customWidth="1" min="9" max="9"/>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CONTEXTO INTRAMICROCUENCA C1081-Q9591 — BLOQUE 40</t>
        </is>
      </c>
    </row>
    <row r="6" ht="24" customHeight="1">
      <c r="A6" s="4" t="inlineStr">
        <is>
          <t>Distrito de Canchaque · Provincia de Huancabamba · Comparación de los bloques preliminares de intervención de la misma microcuenca</t>
        </is>
      </c>
    </row>
    <row r="8" ht="18" customHeight="1">
      <c r="A8" s="5" t="inlineStr">
        <is>
          <t>BLOQUES DE LA MICROCUENCA C1081-Q9591</t>
        </is>
      </c>
    </row>
    <row r="9" ht="28" customHeight="1">
      <c r="A9" s="10" t="inlineStr">
        <is>
          <t>Bloque</t>
        </is>
      </c>
      <c r="B9" s="10" t="inlineStr">
        <is>
          <t>Área (ha)</t>
        </is>
      </c>
      <c r="C9" s="10" t="inlineStr">
        <is>
          <t>% microcuenca</t>
        </is>
      </c>
      <c r="D9" s="10" t="inlineStr">
        <is>
          <t>Rango altitudinal (msnm)</t>
        </is>
      </c>
      <c r="E9" s="10" t="inlineStr">
        <is>
          <t>Amplitud (m)</t>
        </is>
      </c>
      <c r="F9" s="10" t="inlineStr">
        <is>
          <t>Pendiente prom. (%)</t>
        </is>
      </c>
      <c r="G9" s="10" t="inlineStr">
        <is>
          <t>MSAVI 2024</t>
        </is>
      </c>
      <c r="H9" s="10" t="inlineStr">
        <is>
          <t>NDVI 2025 — Veg. alta (%)</t>
        </is>
      </c>
      <c r="I9" s="10" t="inlineStr">
        <is>
          <t>MSAVI — % bajo umbral 0.4976</t>
        </is>
      </c>
    </row>
    <row r="10">
      <c r="A10" s="7" t="inlineStr">
        <is>
          <t>66</t>
        </is>
      </c>
      <c r="B10" s="28" t="n">
        <v>102.34</v>
      </c>
      <c r="C10" s="19" t="n">
        <v>18.53</v>
      </c>
      <c r="D10" s="15" t="inlineStr">
        <is>
          <t>1171 – 1769</t>
        </is>
      </c>
      <c r="E10" s="15" t="n">
        <v>598</v>
      </c>
      <c r="F10" s="15" t="n">
        <v>31.55</v>
      </c>
      <c r="G10" s="18" t="n">
        <v>0.6403</v>
      </c>
      <c r="H10" s="19" t="n">
        <v>94.08</v>
      </c>
      <c r="I10" s="19" t="n">
        <v>8.84</v>
      </c>
    </row>
    <row r="11">
      <c r="A11" s="13" t="inlineStr">
        <is>
          <t>M30B5</t>
        </is>
      </c>
      <c r="B11" s="29" t="n">
        <v>90.90000000000001</v>
      </c>
      <c r="C11" s="21" t="n">
        <v>16.46</v>
      </c>
      <c r="D11" s="14" t="inlineStr">
        <is>
          <t>1782 – 2307</t>
        </is>
      </c>
      <c r="E11" s="14" t="n">
        <v>525</v>
      </c>
      <c r="F11" s="14" t="n">
        <v>21.23</v>
      </c>
      <c r="G11" s="20" t="n">
        <v>0.5564</v>
      </c>
      <c r="H11" s="21" t="n">
        <v>79.45999999999999</v>
      </c>
      <c r="I11" s="21" t="n">
        <v>33.03</v>
      </c>
    </row>
    <row r="12">
      <c r="A12" s="7" t="inlineStr">
        <is>
          <t>21</t>
        </is>
      </c>
      <c r="B12" s="28" t="n">
        <v>84.23</v>
      </c>
      <c r="C12" s="19" t="n">
        <v>15.25</v>
      </c>
      <c r="D12" s="15" t="inlineStr">
        <is>
          <t>1353 – 2004</t>
        </is>
      </c>
      <c r="E12" s="15" t="n">
        <v>651</v>
      </c>
      <c r="F12" s="15" t="n">
        <v>31.71</v>
      </c>
      <c r="G12" s="18" t="n">
        <v>0.6201</v>
      </c>
      <c r="H12" s="19" t="n">
        <v>89.39</v>
      </c>
      <c r="I12" s="19" t="n">
        <v>5.17</v>
      </c>
    </row>
    <row r="13">
      <c r="A13" s="13" t="inlineStr">
        <is>
          <t>28</t>
        </is>
      </c>
      <c r="B13" s="29" t="n">
        <v>52.97</v>
      </c>
      <c r="C13" s="21" t="n">
        <v>9.59</v>
      </c>
      <c r="D13" s="14" t="inlineStr">
        <is>
          <t>1462 – 1856</t>
        </is>
      </c>
      <c r="E13" s="14" t="n">
        <v>394</v>
      </c>
      <c r="F13" s="14" t="n">
        <v>30.36</v>
      </c>
      <c r="G13" s="20" t="n">
        <v>0.6394</v>
      </c>
      <c r="H13" s="21" t="n">
        <v>96.64</v>
      </c>
      <c r="I13" s="21" t="n">
        <v>0.93</v>
      </c>
    </row>
    <row r="14">
      <c r="A14" s="7" t="inlineStr">
        <is>
          <t>26</t>
        </is>
      </c>
      <c r="B14" s="28" t="n">
        <v>46.96</v>
      </c>
      <c r="C14" s="19" t="n">
        <v>8.5</v>
      </c>
      <c r="D14" s="15" t="inlineStr">
        <is>
          <t>1260 – 1855</t>
        </is>
      </c>
      <c r="E14" s="15" t="n">
        <v>595</v>
      </c>
      <c r="F14" s="15" t="n">
        <v>32.26</v>
      </c>
      <c r="G14" s="18" t="n">
        <v>0.6733</v>
      </c>
      <c r="H14" s="19" t="n">
        <v>97.29000000000001</v>
      </c>
      <c r="I14" s="19" t="n">
        <v>2.35</v>
      </c>
    </row>
    <row r="15">
      <c r="A15" s="13" t="inlineStr">
        <is>
          <t>60</t>
        </is>
      </c>
      <c r="B15" s="29" t="n">
        <v>40.13</v>
      </c>
      <c r="C15" s="21" t="n">
        <v>7.27</v>
      </c>
      <c r="D15" s="14" t="inlineStr">
        <is>
          <t>1638 – 2073</t>
        </is>
      </c>
      <c r="E15" s="14" t="n">
        <v>435</v>
      </c>
      <c r="F15" s="14" t="n">
        <v>32.67</v>
      </c>
      <c r="G15" s="20" t="n">
        <v>0.6745</v>
      </c>
      <c r="H15" s="21" t="n">
        <v>99.90000000000001</v>
      </c>
      <c r="I15" s="21" t="n">
        <v>0.61</v>
      </c>
    </row>
    <row r="16">
      <c r="A16" s="7" t="inlineStr">
        <is>
          <t>64</t>
        </is>
      </c>
      <c r="B16" s="28" t="n">
        <v>35.77</v>
      </c>
      <c r="C16" s="19" t="n">
        <v>6.48</v>
      </c>
      <c r="D16" s="15" t="inlineStr">
        <is>
          <t>2412 – 2651</t>
        </is>
      </c>
      <c r="E16" s="15" t="n">
        <v>239</v>
      </c>
      <c r="F16" s="15" t="n">
        <v>28.18</v>
      </c>
      <c r="G16" s="18" t="n">
        <v>0.5254</v>
      </c>
      <c r="H16" s="19" t="n">
        <v>78.22</v>
      </c>
      <c r="I16" s="19" t="n">
        <v>41.48</v>
      </c>
    </row>
    <row r="17">
      <c r="A17" s="13" t="inlineStr">
        <is>
          <t>37</t>
        </is>
      </c>
      <c r="B17" s="29" t="n">
        <v>35.49</v>
      </c>
      <c r="C17" s="21" t="n">
        <v>6.43</v>
      </c>
      <c r="D17" s="14" t="inlineStr">
        <is>
          <t>1184 – 1455</t>
        </is>
      </c>
      <c r="E17" s="14" t="n">
        <v>271</v>
      </c>
      <c r="F17" s="14" t="n">
        <v>23.59</v>
      </c>
      <c r="G17" s="20" t="n">
        <v>0.6588000000000001</v>
      </c>
      <c r="H17" s="21" t="n">
        <v>98.02</v>
      </c>
      <c r="I17" s="21" t="n">
        <v>1.92</v>
      </c>
    </row>
    <row r="18">
      <c r="A18" s="7" t="inlineStr">
        <is>
          <t>30</t>
        </is>
      </c>
      <c r="B18" s="28" t="n">
        <v>34.87</v>
      </c>
      <c r="C18" s="19" t="n">
        <v>6.31</v>
      </c>
      <c r="D18" s="15" t="inlineStr">
        <is>
          <t>1216 – 1541</t>
        </is>
      </c>
      <c r="E18" s="15" t="n">
        <v>325</v>
      </c>
      <c r="F18" s="15" t="n">
        <v>27.91</v>
      </c>
      <c r="G18" s="18" t="n">
        <v>0.6637999999999999</v>
      </c>
      <c r="H18" s="19" t="n">
        <v>99.38</v>
      </c>
      <c r="I18" s="19" t="n">
        <v>1.31</v>
      </c>
    </row>
    <row r="19">
      <c r="A19" s="11" t="inlineStr">
        <is>
          <t>► 40</t>
        </is>
      </c>
      <c r="B19" s="30" t="n">
        <v>28.52</v>
      </c>
      <c r="C19" s="31" t="n">
        <v>5.16</v>
      </c>
      <c r="D19" s="12" t="inlineStr">
        <is>
          <t>1407 – 1656</t>
        </is>
      </c>
      <c r="E19" s="12" t="n">
        <v>249</v>
      </c>
      <c r="F19" s="12" t="n">
        <v>31.4</v>
      </c>
      <c r="G19" s="32" t="n">
        <v>0.6401</v>
      </c>
      <c r="H19" s="31" t="n">
        <v>99.55</v>
      </c>
      <c r="I19" s="31" t="n">
        <v>2.9</v>
      </c>
    </row>
    <row r="20">
      <c r="A20" s="16" t="inlineStr">
        <is>
          <t>TOTAL / PROMEDIO</t>
        </is>
      </c>
      <c r="B20" s="33">
        <f>SUM(B10:B19)</f>
        <v/>
      </c>
      <c r="C20" s="23">
        <f>SUM(C10:C19)</f>
        <v/>
      </c>
      <c r="D20" s="17" t="inlineStr">
        <is>
          <t>1171 – 2651</t>
        </is>
      </c>
      <c r="E20" s="17" t="inlineStr"/>
      <c r="F20" s="17">
        <f>ROUND(AVERAGE(F10:F19),2)</f>
        <v/>
      </c>
      <c r="G20" s="22">
        <f>ROUND(AVERAGE(G10:G19),4)</f>
        <v/>
      </c>
      <c r="H20" s="23">
        <f>ROUND(AVERAGE(H10:H19),2)</f>
        <v/>
      </c>
      <c r="I20" s="23">
        <f>ROUND(AVERAGE(I10:I19),2)</f>
        <v/>
      </c>
    </row>
    <row r="22" ht="84" customHeight="1">
      <c r="A22" s="9" t="inlineStr">
        <is>
          <t>LECTURA INTRAMICROCUENCA. El bloque 40 ocupa el puesto 10 de 10 por superficie dentro de la microcuenca C1081-Q9591 (5.16 % de las 552.18 ha preliminares de la microcuenca). Su pendiente promedio (31.40 %, clase «25-50% (Mod. escarpado)») es la 6.ª más baja de 10 y se sitúa por encima del promedio de la microcuenca (29.09 %). Su MSAVI 2024 (0.6401) es el 6.º de 10 y queda por encima del promedio local (0.6292). Amplitud altitudinal del bloque: 249 m (1407–1656 msnm). El cuadro conserva todos los bloques catalogados en la microcuenca, incluidos los descartados en el tamizaje, para referencia del conjunto. Los bloques sin ficha DT figuran con sus parámetros de gabinete. BRECHA ESPECTRAL. El 2.90 % de la superficie del bloque (0.828 ha de 28.523 ha) se sitúa bajo el umbral MSAVI 0.4976, por debajo del promedio local de la microcuenca (9.85 %) calculado sobre los bloques con dato MSAVI disponible.</t>
        </is>
      </c>
      <c r="B22" s="41" t="n"/>
      <c r="C22" s="41" t="n"/>
      <c r="D22" s="41" t="n"/>
      <c r="E22" s="41" t="n"/>
      <c r="F22" s="41" t="n"/>
      <c r="G22" s="41" t="n"/>
      <c r="H22" s="41" t="n"/>
      <c r="I22" s="42" t="n"/>
    </row>
    <row r="24" ht="60" customHeight="1">
      <c r="A24" s="9" t="inlineStr">
        <is>
          <t>NOTA METODOLÓGICA. Área y MSAVI 2024 proceden del catálogo maestro de bloques V5/V6. El rango altitudinal y la pendiente promedio proceden del reporte de estadística zonal sobre el MDE («Rango de altitud y Pendiente Promedio por Bloques V6»). El porcentaje de «Vegetación alta» procede de la estadística zonal del NDVI mediana 2025 (Sentinel-2). Los totales y promedios se calculan con fórmulas sobre las filas del cuadro. El porcentaje bajo el umbral MSAVI 0.4976 procede de la estadística zonal del ráster MSAVI 2024 clasificado (AREAS_MSAVI_BLOQUES_V6_REV_HSCM) y corresponde a la suma de las clases DN 1 a DN 3 sobre la superficie clasificada de cada bloque; «s/d» indica bloques del catálogo sin cobertura en ese archivo.</t>
        </is>
      </c>
      <c r="B24" s="41" t="n"/>
      <c r="C24" s="41" t="n"/>
      <c r="D24" s="41" t="n"/>
      <c r="E24" s="41" t="n"/>
      <c r="F24" s="41" t="n"/>
      <c r="G24" s="41" t="n"/>
      <c r="H24" s="41" t="n"/>
      <c r="I24" s="42" t="n"/>
    </row>
  </sheetData>
  <mergeCells count="9">
    <mergeCell ref="A2:I2"/>
    <mergeCell ref="A5:I5"/>
    <mergeCell ref="A1:I1"/>
    <mergeCell ref="A8:I8"/>
    <mergeCell ref="A3:I3"/>
    <mergeCell ref="A6:I6"/>
    <mergeCell ref="A22:I22"/>
    <mergeCell ref="A4:I4"/>
    <mergeCell ref="A24:I24"/>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27"/>
  <sheetViews>
    <sheetView workbookViewId="0">
      <pane ySplit="8" topLeftCell="A9" activePane="bottomLeft" state="frozen"/>
      <selection pane="bottomLeft" activeCell="A1" sqref="A1"/>
    </sheetView>
  </sheetViews>
  <sheetFormatPr baseColWidth="8" defaultRowHeight="15"/>
  <cols>
    <col width="8" customWidth="1" min="1" max="1"/>
    <col width="30" customWidth="1" min="2" max="2"/>
    <col width="62" customWidth="1" min="3" max="3"/>
    <col width="16" customWidth="1" min="4" max="4"/>
    <col width="62" customWidth="1" min="5" max="5"/>
  </cols>
  <sheetData>
    <row r="1">
      <c r="A1" s="51" t="inlineStr">
        <is>
          <t>AUTORIDAD NACIONAL DE INFRAESTRUCTURA - ANIN</t>
        </is>
      </c>
    </row>
    <row r="2">
      <c r="A2" s="51" t="inlineStr">
        <is>
          <t>DIRECCION DE INTERVENCIONES MULTISECTORIALES Y DE EMERGENCIA - DIME</t>
        </is>
      </c>
    </row>
    <row r="3">
      <c r="A3" s="51" t="inlineStr">
        <is>
          <t>SUBDIRECCION DE ESTUDIOS DE INVERSION - SESDI</t>
        </is>
      </c>
    </row>
    <row r="4">
      <c r="A4" s="52" t="inlineStr">
        <is>
          <t>PROYECTO IN PIURA | CUI 2669244 | Recuperacion del servicio de regulacion de riesgos naturales y de ecosistemas degradados - Cuenca Alta del Rio Piura</t>
        </is>
      </c>
    </row>
    <row r="5" ht="22" customHeight="1">
      <c r="A5" s="53" t="inlineStr">
        <is>
          <t>CONTROL DE CONSISTENCIA — BLOQUE 40</t>
        </is>
      </c>
    </row>
    <row r="6">
      <c r="A6" s="52" t="inlineStr">
        <is>
          <t>Cruce de la ficha de campo F-DT vigente con la ficha de resumen de gabinete y el catálogo maestro. Integración 2026-09-11 20:22:28.</t>
        </is>
      </c>
    </row>
    <row r="7">
      <c r="A7" s="54" t="inlineStr">
        <is>
          <t>DISCREPANCIAS Y VERIFICACIONES</t>
        </is>
      </c>
    </row>
    <row r="8">
      <c r="A8" s="55" t="inlineStr">
        <is>
          <t>Cod.</t>
        </is>
      </c>
      <c r="B8" s="55" t="inlineStr">
        <is>
          <t>Campo afectado</t>
        </is>
      </c>
      <c r="C8" s="55" t="inlineStr">
        <is>
          <t>Discrepancia observada</t>
        </is>
      </c>
      <c r="D8" s="55" t="inlineStr">
        <is>
          <t>Calificación</t>
        </is>
      </c>
      <c r="E8" s="55" t="inlineStr">
        <is>
          <t>Tratamiento adoptado</t>
        </is>
      </c>
    </row>
    <row r="9">
      <c r="A9" s="56" t="inlineStr">
        <is>
          <t>G-01</t>
        </is>
      </c>
      <c r="B9" s="56" t="inlineStr">
        <is>
          <t>Código de microcuenca</t>
        </is>
      </c>
      <c r="C9" s="56" t="inlineStr">
        <is>
          <t>Ficha DT y catálogo maestro coinciden en «C1081-Q9591».</t>
        </is>
      </c>
      <c r="D9" s="56" t="inlineStr">
        <is>
          <t>CONFORME</t>
        </is>
      </c>
      <c r="E9" s="56" t="inlineStr">
        <is>
          <t>Sin acción.</t>
        </is>
      </c>
    </row>
    <row r="10">
      <c r="A10" s="57" t="inlineStr">
        <is>
          <t>G-02</t>
        </is>
      </c>
      <c r="B10" s="57" t="inlineStr">
        <is>
          <t>UTM del punto de muestreo</t>
        </is>
      </c>
      <c r="C10" s="57" t="inlineStr">
        <is>
          <t>El punto de muestreo declarado dista 0.0 m del centroide, dentro del radio de control.</t>
        </is>
      </c>
      <c r="D10" s="57" t="inlineStr">
        <is>
          <t>CONFORME</t>
        </is>
      </c>
      <c r="E10" s="57" t="inlineStr">
        <is>
          <t>Sin acción.</t>
        </is>
      </c>
    </row>
    <row r="11">
      <c r="A11" s="56" t="inlineStr">
        <is>
          <t>G-03</t>
        </is>
      </c>
      <c r="B11" s="56" t="inlineStr">
        <is>
          <t>Sistema de referencia UTM 17S</t>
        </is>
      </c>
      <c r="C11" s="56" t="inlineStr">
        <is>
          <t>Verificación de rango para EPSG:32717: Conforme.</t>
        </is>
      </c>
      <c r="D11" s="56" t="inlineStr">
        <is>
          <t>CONFORME</t>
        </is>
      </c>
      <c r="E11" s="56" t="inlineStr">
        <is>
          <t>Sin acción.</t>
        </is>
      </c>
    </row>
    <row r="12">
      <c r="A12" s="57" t="inlineStr">
        <is>
          <t>G-04</t>
        </is>
      </c>
      <c r="B12" s="57" t="inlineStr">
        <is>
          <t>Altitud del punto de muestreo</t>
        </is>
      </c>
      <c r="C12" s="57" t="inlineStr">
        <is>
          <t>La altitud GPS (1390 msnm) cae dentro del rango altitudinal del bloque (1407 - 1656 msnm).</t>
        </is>
      </c>
      <c r="D12" s="57" t="inlineStr">
        <is>
          <t>CONFORME</t>
        </is>
      </c>
      <c r="E12" s="57" t="inlineStr">
        <is>
          <t>Sin acción.</t>
        </is>
      </c>
    </row>
    <row r="13">
      <c r="A13" s="56" t="inlineStr">
        <is>
          <t>G-05</t>
        </is>
      </c>
      <c r="B13" s="56" t="inlineStr">
        <is>
          <t>Superficie NDVI vs. catálogo</t>
        </is>
      </c>
      <c r="C13" s="56" t="inlineStr">
        <is>
          <t>La superficie clasificada por el NDVI mediana 2025 (28.529 ha) se desvía 0.03 % de la superficie de catálogo (28.52 ha).</t>
        </is>
      </c>
      <c r="D13" s="56" t="inlineStr">
        <is>
          <t>CONFORME</t>
        </is>
      </c>
      <c r="E13" s="56" t="inlineStr">
        <is>
          <t>Sin acción: la segmentación valida la geometría del bloque.</t>
        </is>
      </c>
    </row>
    <row r="14">
      <c r="A14" s="57" t="inlineStr">
        <is>
          <t>G-06</t>
        </is>
      </c>
      <c r="B14" s="57" t="inlineStr">
        <is>
          <t>Superficie MSAVI vs. catálogo</t>
        </is>
      </c>
      <c r="C14" s="57" t="inlineStr">
        <is>
          <t>La superficie clasificada por el MSAVI 2024 (28.523 ha) se desvía 0.01 % de la superficie de catálogo (28.52 ha).</t>
        </is>
      </c>
      <c r="D14" s="57" t="inlineStr">
        <is>
          <t>CONFORME</t>
        </is>
      </c>
      <c r="E14" s="57" t="inlineStr">
        <is>
          <t>Sin acción: la segmentación valida la geometría del bloque.</t>
        </is>
      </c>
    </row>
    <row r="15">
      <c r="A15" s="56" t="inlineStr">
        <is>
          <t>G-07</t>
        </is>
      </c>
      <c r="B15" s="56" t="inlineStr">
        <is>
          <t>Brecha espectral MSAVI</t>
        </is>
      </c>
      <c r="C15" s="56" t="inlineStr">
        <is>
          <t>El 2.90 % del bloque queda bajo el umbral 0.4976; superficie de brecha 0.8276 ha.</t>
        </is>
      </c>
      <c r="D15" s="56" t="inlineStr">
        <is>
          <t>CONFORME</t>
        </is>
      </c>
      <c r="E15" s="56" t="inlineStr">
        <is>
          <t>Sin acción: alimenta el indicador de brecha del proyecto.</t>
        </is>
      </c>
    </row>
    <row r="16">
      <c r="A16" s="57" t="inlineStr">
        <is>
          <t>G-08</t>
        </is>
      </c>
      <c r="B16" s="57" t="inlineStr">
        <is>
          <t>Distribución areal MSAVI 2024</t>
        </is>
      </c>
      <c r="C16" s="57" t="inlineStr">
        <is>
          <t>La hoja de cobertura declara 5 clases DN con superficie, 28.52 ha clasificadas en total.</t>
        </is>
      </c>
      <c r="D16" s="57" t="inlineStr">
        <is>
          <t>CONFORME</t>
        </is>
      </c>
      <c r="E16" s="57" t="inlineStr">
        <is>
          <t>Sin acción: procede de la estadística zonal del raster MSAVI 2024 clasificado.</t>
        </is>
      </c>
    </row>
    <row r="17">
      <c r="A17" s="56" t="inlineStr">
        <is>
          <t>G-09</t>
        </is>
      </c>
      <c r="B17" s="56" t="inlineStr">
        <is>
          <t>Media MSAVI vs. clase DN dominante</t>
        </is>
      </c>
      <c r="C17" s="56" t="inlineStr">
        <is>
          <t>La media del bloque (0.6401) cae en la clase «&gt; 0.6139 (Vigor alto)» y la clase DN dominante por superficie es «DN 5 · &gt; 0.6139 (Vigor alto)».</t>
        </is>
      </c>
      <c r="D17" s="56" t="inlineStr">
        <is>
          <t>CONFORME</t>
        </is>
      </c>
      <c r="E17" s="56" t="inlineStr">
        <is>
          <t>Sin acción: media y clase dominante son coherentes.</t>
        </is>
      </c>
    </row>
    <row r="18">
      <c r="A18" s="57" t="inlineStr">
        <is>
          <t>G-10</t>
        </is>
      </c>
      <c r="B18" s="57" t="inlineStr">
        <is>
          <t>Peligro integrado (MCA-AHP)</t>
        </is>
      </c>
      <c r="C18" s="57" t="inlineStr">
        <is>
          <t>El nivel de peligro integrado no está disponible en los insumos de este entregable.</t>
        </is>
      </c>
      <c r="D18" s="57" t="inlineStr">
        <is>
          <t>SUSTANTIVA</t>
        </is>
      </c>
      <c r="E18" s="57" t="inlineStr">
        <is>
          <t>Debe tomarse del modelamiento de mesolocalización (MCA-AHP de PMM, EPH y PGI) antes de cerrar el perfil.</t>
        </is>
      </c>
    </row>
    <row r="19">
      <c r="A19" s="56" t="inlineStr">
        <is>
          <t>F-01</t>
        </is>
      </c>
      <c r="B19" s="56" t="inlineStr">
        <is>
          <t>Fichas F-DT levantadas</t>
        </is>
      </c>
      <c r="C19" s="56" t="inlineStr">
        <is>
          <t>La plantilla de campo trae las cinco fichas F-DT-01 a F-DT-05 (completitud 89.3 % de los campos esperados).</t>
        </is>
      </c>
      <c r="D19" s="56" t="inlineStr">
        <is>
          <t>CONFORME</t>
        </is>
      </c>
      <c r="E19" s="56" t="inlineStr">
        <is>
          <t>Sin acción.</t>
        </is>
      </c>
    </row>
    <row r="20">
      <c r="A20" s="57" t="inlineStr">
        <is>
          <t>F-02</t>
        </is>
      </c>
      <c r="B20" s="57" t="inlineStr">
        <is>
          <t>Cobertura de la integración</t>
        </is>
      </c>
      <c r="C20" s="57" t="inlineStr">
        <is>
          <t>Se declararon 87 de 114 hechos integrados (76.3 %); 27 quedan sin dato en ninguna fuente.</t>
        </is>
      </c>
      <c r="D20" s="57" t="inlineStr">
        <is>
          <t>CONFORME</t>
        </is>
      </c>
      <c r="E20" s="57" t="inlineStr">
        <is>
          <t>Sin acción.</t>
        </is>
      </c>
    </row>
    <row r="21">
      <c r="A21" s="56" t="inlineStr">
        <is>
          <t>H-01</t>
        </is>
      </c>
      <c r="B21" s="56" t="inlineStr">
        <is>
          <t>Rango altitudinal / piso ecológico</t>
        </is>
      </c>
      <c r="C21" s="56" t="inlineStr">
        <is>
          <t>La ficha DT declara «1000-1500 m (Quechua baja)»; el MDE sitúa el bloque entre 1407 y 1656 msnm, cuyo punto medio corresponde a «1500-2000 m (Quechua media)»</t>
        </is>
      </c>
      <c r="D21" s="56" t="inlineStr">
        <is>
          <t>NO SUSTANTIVA</t>
        </is>
      </c>
      <c r="E21" s="56" t="inlineStr">
        <is>
          <t>Se declara la divergencia. El bloque abarca más de un piso altitudinal cuando la amplitud supera el ancho de la clase; el registro de campo corresponde al sector recorrido. (Verificación heredada de la ficha de resumen V6.)</t>
        </is>
      </c>
    </row>
    <row r="22">
      <c r="A22" s="57" t="inlineStr">
        <is>
          <t>H-02</t>
        </is>
      </c>
      <c r="B22" s="57" t="inlineStr">
        <is>
          <t>Elenco florístico</t>
        </is>
      </c>
      <c r="C22" s="57" t="inlineStr">
        <is>
          <t>La ficha registra 11 taxones, por debajo del mínimo de 15 que exige el formato V5</t>
        </is>
      </c>
      <c r="D22" s="57" t="inlineStr">
        <is>
          <t>SUSTANTIVA</t>
        </is>
      </c>
      <c r="E22" s="57" t="inlineStr">
        <is>
          <t>Registro florístico preliminar, sin colecta ni determinación botánica formal. Debe cerrarse con colecta botánica en la siguiente campaña. (Verificación heredada de la ficha de resumen V6.)</t>
        </is>
      </c>
    </row>
    <row r="23">
      <c r="A23" s="56" t="inlineStr">
        <is>
          <t>H-03</t>
        </is>
      </c>
      <c r="B23" s="56" t="inlineStr">
        <is>
          <t>Centro poblado asociado</t>
        </is>
      </c>
      <c r="C23" s="56" t="inlineStr">
        <is>
          <t>La ficha DT declara «Chacchacal y Chorro Blanco»; el cruce INEI-Bloques V5 identifica 2 centro(s) poblado(s) en el bloque: CHACCHACAL, CHORRO BLANCO</t>
        </is>
      </c>
      <c r="D23" s="56" t="inlineStr">
        <is>
          <t>CONFORME</t>
        </is>
      </c>
      <c r="E23" s="56" t="inlineStr">
        <is>
          <t>Se conserva el registro de campo como referencia y se adopta el listado INEI para el diagnóstico social y el cálculo de población beneficiaria. (Verificación heredada de la ficha de resumen V6.)</t>
        </is>
      </c>
    </row>
    <row r="25">
      <c r="A25" s="58" t="inlineStr">
        <is>
          <t>RESUMEN</t>
        </is>
      </c>
      <c r="B25" s="59" t="inlineStr">
        <is>
          <t>15 verificaciones</t>
        </is>
      </c>
      <c r="C25" s="59" t="inlineStr">
        <is>
          <t>SUSTANTIVA: 2 · NO SUSTANTIVA: 1 · CONFORME: 12</t>
        </is>
      </c>
    </row>
    <row r="27">
      <c r="A27" s="60" t="inlineStr">
        <is>
          <t>NOTA METODOLÓGICA. Este control se genera del cruce automático entre la plantilla DT de campo vigente (fichas F-DT-01 a F-DT-05) y la ficha de resumen de gabinete. Cada hecho territorial se declara una sola vez, con la fuente que manda sobre el: campo para lo observado en terreno, gabinete para lo derivado del MDE y de los compuestos Sentinel-2, y fuente oficial para el catálogo maestro de bloques, la división política INEI y la codificación de microcuencas de la ANA. Ningún valor ausente se estima: lo que ninguna fuente declara se consigna como pendiente. Sistema de referencia UTM WGS 84 Zona 17S (EPSG:32717).</t>
        </is>
      </c>
    </row>
  </sheetData>
  <mergeCells count="7">
    <mergeCell ref="A4:E4"/>
    <mergeCell ref="A2:E2"/>
    <mergeCell ref="A1:E1"/>
    <mergeCell ref="A5:E5"/>
    <mergeCell ref="A6:E6"/>
    <mergeCell ref="A27:E27"/>
    <mergeCell ref="A3:E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51"/>
  <sheetViews>
    <sheetView workbookViewId="0">
      <selection activeCell="A1" sqref="A1"/>
    </sheetView>
  </sheetViews>
  <sheetFormatPr baseColWidth="8" defaultRowHeight="15"/>
  <cols>
    <col width="34" customWidth="1" min="1" max="1"/>
    <col width="38" customWidth="1" min="2" max="2"/>
    <col width="44" customWidth="1" min="3" max="3"/>
    <col width="44" customWidth="1" min="4" max="4"/>
    <col width="24" customWidth="1" min="5" max="5"/>
    <col width="18" customWidth="1" min="6" max="6"/>
  </cols>
  <sheetData>
    <row r="1">
      <c r="A1" s="51" t="inlineStr">
        <is>
          <t>AUTORIDAD NACIONAL DE INFRAESTRUCTURA - ANIN</t>
        </is>
      </c>
    </row>
    <row r="2">
      <c r="A2" s="51" t="inlineStr">
        <is>
          <t>DIRECCION DE INTERVENCIONES MULTISECTORIALES Y DE EMERGENCIA - DIME</t>
        </is>
      </c>
    </row>
    <row r="3">
      <c r="A3" s="51" t="inlineStr">
        <is>
          <t>SUBDIRECCION DE ESTUDIOS DE INVERSION - SESDI</t>
        </is>
      </c>
    </row>
    <row r="4">
      <c r="A4" s="52" t="inlineStr">
        <is>
          <t>PROYECTO IN PIURA | CUI 2669244 | Recuperacion del servicio de regulacion de riesgos naturales y de ecosistemas degradados - Cuenca Alta del Rio Piura</t>
        </is>
      </c>
    </row>
    <row r="5" ht="22" customHeight="1">
      <c r="A5" s="53" t="inlineStr">
        <is>
          <t>INTEGRACIÓN DE LA FICHA DE CAMPO — BLOQUE 40</t>
        </is>
      </c>
    </row>
    <row r="7">
      <c r="A7" s="54" t="inlineStr">
        <is>
          <t>A. HECHOS ACTUALIZADOS POR LA VERIFICACIÓN DE CAMPO</t>
        </is>
      </c>
    </row>
    <row r="8">
      <c r="A8" s="55" t="inlineStr">
        <is>
          <t>Sección</t>
        </is>
      </c>
      <c r="B8" s="55" t="inlineStr">
        <is>
          <t>Hecho</t>
        </is>
      </c>
      <c r="C8" s="55" t="inlineStr">
        <is>
          <t>Valor en la ficha V6</t>
        </is>
      </c>
      <c r="D8" s="55" t="inlineStr">
        <is>
          <t>Valor de campo vigente</t>
        </is>
      </c>
      <c r="E8" s="55" t="inlineStr">
        <is>
          <t>Fuente que manda</t>
        </is>
      </c>
    </row>
    <row r="9">
      <c r="A9" s="56" t="inlineStr">
        <is>
          <t>—</t>
        </is>
      </c>
      <c r="B9" s="56" t="inlineStr">
        <is>
          <t>Sin cambios: la ficha de campo confirma el libro V6</t>
        </is>
      </c>
      <c r="C9" s="56" t="inlineStr"/>
      <c r="D9" s="56" t="inlineStr"/>
      <c r="E9" s="56" t="inlineStr"/>
    </row>
    <row r="11">
      <c r="A11" s="54" t="inlineStr">
        <is>
          <t>B. HECHOS APORTADOS ÚNICAMENTE POR LA FICHA DE CAMPO</t>
        </is>
      </c>
    </row>
    <row r="12">
      <c r="A12" s="55" t="inlineStr">
        <is>
          <t>Sección</t>
        </is>
      </c>
      <c r="B12" s="55" t="inlineStr">
        <is>
          <t>Hecho</t>
        </is>
      </c>
      <c r="C12" s="55" t="inlineStr">
        <is>
          <t>Valor</t>
        </is>
      </c>
      <c r="D12" s="55" t="inlineStr">
        <is>
          <t>Unidad</t>
        </is>
      </c>
    </row>
    <row r="13">
      <c r="A13" s="56" t="inlineStr">
        <is>
          <t>1. Identificación y localización</t>
        </is>
      </c>
      <c r="B13" s="56" t="inlineStr">
        <is>
          <t>UTM ESTE del punto de muestreo (m)</t>
        </is>
      </c>
      <c r="C13" s="56" t="inlineStr">
        <is>
          <t>654137</t>
        </is>
      </c>
      <c r="D13" s="56" t="inlineStr">
        <is>
          <t>m</t>
        </is>
      </c>
    </row>
    <row r="14">
      <c r="A14" s="57" t="inlineStr">
        <is>
          <t>1. Identificación y localización</t>
        </is>
      </c>
      <c r="B14" s="57" t="inlineStr">
        <is>
          <t>UTM NORTE del punto de muestreo (m)</t>
        </is>
      </c>
      <c r="C14" s="57" t="inlineStr">
        <is>
          <t>9424425</t>
        </is>
      </c>
      <c r="D14" s="57" t="inlineStr">
        <is>
          <t>m</t>
        </is>
      </c>
    </row>
    <row r="15">
      <c r="A15" s="56" t="inlineStr">
        <is>
          <t>2. Parámetros físicos del terreno</t>
        </is>
      </c>
      <c r="B15" s="56" t="inlineStr">
        <is>
          <t>Altitud GPS del punto de muestreo (msnm)</t>
        </is>
      </c>
      <c r="C15" s="56" t="inlineStr">
        <is>
          <t>1390</t>
        </is>
      </c>
      <c r="D15" s="56" t="inlineStr">
        <is>
          <t>msnm</t>
        </is>
      </c>
    </row>
    <row r="16">
      <c r="A16" s="57" t="inlineStr">
        <is>
          <t>2. Parámetros físicos del terreno</t>
        </is>
      </c>
      <c r="B16" s="57" t="inlineStr">
        <is>
          <t>Piso altitudinal del punto de muestreo</t>
        </is>
      </c>
      <c r="C16" s="57" t="inlineStr">
        <is>
          <t>1000-1500 m (Quechua baja)</t>
        </is>
      </c>
      <c r="D16" s="57" t="inlineStr"/>
    </row>
    <row r="17">
      <c r="A17" s="56" t="inlineStr">
        <is>
          <t>2. Parámetros físicos del terreno</t>
        </is>
      </c>
      <c r="B17" s="56" t="inlineStr">
        <is>
          <t>Paisaje dominante descrito en campo</t>
        </is>
      </c>
      <c r="C17" s="56" t="inlineStr">
        <is>
          <t>Sistema de laderas convexo-cóncavas tributarias de la quebrada Q9591, con paisaje de montaña dominado por matorral andino y zona agrícola. Se identifican afloramientos rocosos en el bloque y la pendiente se incrementa al ascender por la ladera.</t>
        </is>
      </c>
      <c r="D17" s="56" t="inlineStr"/>
    </row>
    <row r="18">
      <c r="A18" s="57" t="inlineStr">
        <is>
          <t>2. Parámetros físicos del terreno</t>
        </is>
      </c>
      <c r="B18" s="57" t="inlineStr">
        <is>
          <t>Reptación de suelo</t>
        </is>
      </c>
      <c r="C18" s="57" t="inlineStr">
        <is>
          <t>Sí</t>
        </is>
      </c>
      <c r="D18" s="57" t="inlineStr"/>
    </row>
    <row r="19">
      <c r="A19" s="56" t="inlineStr">
        <is>
          <t>2. Parámetros físicos del terreno</t>
        </is>
      </c>
      <c r="B19" s="56" t="inlineStr">
        <is>
          <t>Deslizamientos antiguos</t>
        </is>
      </c>
      <c r="C19" s="56" t="inlineStr">
        <is>
          <t>Sí</t>
        </is>
      </c>
      <c r="D19" s="56" t="inlineStr"/>
    </row>
    <row r="20">
      <c r="A20" s="57" t="inlineStr">
        <is>
          <t>4. Suelos y erosión (F-DT-02)</t>
        </is>
      </c>
      <c r="B20" s="57" t="inlineStr">
        <is>
          <t>Nivel de erosión - síntesis de campo</t>
        </is>
      </c>
      <c r="C20" s="57" t="inlineStr">
        <is>
          <t>Severa (cárcavas activas)</t>
        </is>
      </c>
      <c r="D20" s="57" t="inlineStr"/>
    </row>
    <row r="21">
      <c r="A21" s="56" t="inlineStr">
        <is>
          <t>4. Suelos y erosión (F-DT-02)</t>
        </is>
      </c>
      <c r="B21" s="56" t="inlineStr">
        <is>
          <t>Sellamiento / costra superficial</t>
        </is>
      </c>
      <c r="C21" s="56" t="inlineStr">
        <is>
          <t>No</t>
        </is>
      </c>
      <c r="D21" s="56" t="inlineStr"/>
    </row>
    <row r="22">
      <c r="A22" s="57" t="inlineStr">
        <is>
          <t>4. Suelos y erosión (F-DT-02)</t>
        </is>
      </c>
      <c r="B22" s="57" t="inlineStr">
        <is>
          <t>Compactación por pisoteo</t>
        </is>
      </c>
      <c r="C22" s="57" t="inlineStr">
        <is>
          <t>Sí</t>
        </is>
      </c>
      <c r="D22" s="57" t="inlineStr"/>
    </row>
    <row r="23">
      <c r="A23" s="56" t="inlineStr">
        <is>
          <t>4. Suelos y erosión (F-DT-02)</t>
        </is>
      </c>
      <c r="B23" s="56" t="inlineStr">
        <is>
          <t>Longitud total de cárcavas (m)</t>
        </is>
      </c>
      <c r="C23" s="56" t="inlineStr">
        <is>
          <t>0</t>
        </is>
      </c>
      <c r="D23" s="56" t="inlineStr">
        <is>
          <t>m</t>
        </is>
      </c>
    </row>
    <row r="24">
      <c r="A24" s="57" t="inlineStr">
        <is>
          <t>4. Suelos y erosión (F-DT-02)</t>
        </is>
      </c>
      <c r="B24" s="57" t="inlineStr">
        <is>
          <t>% del bloque afectado por cárcavas</t>
        </is>
      </c>
      <c r="C24" s="57" t="inlineStr">
        <is>
          <t>0</t>
        </is>
      </c>
      <c r="D24" s="57" t="inlineStr">
        <is>
          <t>%</t>
        </is>
      </c>
    </row>
    <row r="25">
      <c r="A25" s="56" t="inlineStr">
        <is>
          <t>4. Suelos y erosión (F-DT-02)</t>
        </is>
      </c>
      <c r="B25" s="56" t="inlineStr">
        <is>
          <t>Patrón de cárcavas</t>
        </is>
      </c>
      <c r="C25" s="56" t="inlineStr">
        <is>
          <t>Aislado</t>
        </is>
      </c>
      <c r="D25" s="56" t="inlineStr"/>
    </row>
    <row r="26">
      <c r="A26" s="57" t="inlineStr">
        <is>
          <t>4. Suelos y erosión (F-DT-02)</t>
        </is>
      </c>
      <c r="B26" s="57" t="inlineStr">
        <is>
          <t>Socavamiento de cauce</t>
        </is>
      </c>
      <c r="C26" s="57" t="inlineStr">
        <is>
          <t>No</t>
        </is>
      </c>
      <c r="D26" s="57" t="inlineStr"/>
    </row>
    <row r="27">
      <c r="A27" s="56" t="inlineStr">
        <is>
          <t>5. Ecosistema, cobertura y flora (F-DT-03)</t>
        </is>
      </c>
      <c r="B27" s="56" t="inlineStr">
        <is>
          <t>Fenología dominante</t>
        </is>
      </c>
      <c r="C27" s="56" t="inlineStr">
        <is>
          <t>Vegetativo</t>
        </is>
      </c>
      <c r="D27" s="56" t="inlineStr"/>
    </row>
    <row r="28">
      <c r="A28" s="57" t="inlineStr">
        <is>
          <t>5. Ecosistema, cobertura y flora (F-DT-03)</t>
        </is>
      </c>
      <c r="B28" s="57" t="inlineStr">
        <is>
          <t>Pendiente de la parcela (%)</t>
        </is>
      </c>
      <c r="C28" s="57" t="inlineStr">
        <is>
          <t>31.4</t>
        </is>
      </c>
      <c r="D28" s="57" t="inlineStr">
        <is>
          <t>%</t>
        </is>
      </c>
    </row>
    <row r="29">
      <c r="A29" s="56" t="inlineStr">
        <is>
          <t>6. Degradación, causas y urgencia (F-DT-04)</t>
        </is>
      </c>
      <c r="B29" s="56" t="inlineStr">
        <is>
          <t>Causas directas de la degradación</t>
        </is>
      </c>
      <c r="C29" s="56" t="inlineStr">
        <is>
          <t>Sobrepastoreo (caprino/vacuno) (Fuerte); Cambio de uso a pastoreo (Fuerte); Cambio de uso a agricultura (Fuerte); Erosión natural severa (Fuerte); Expansión urbana / vial (Ligera)</t>
        </is>
      </c>
      <c r="D29" s="56" t="inlineStr"/>
    </row>
    <row r="30">
      <c r="A30" s="57" t="inlineStr">
        <is>
          <t>6. Degradación, causas y urgencia (F-DT-04)</t>
        </is>
      </c>
      <c r="B30" s="57" t="inlineStr">
        <is>
          <t>N.° de causas activas en la matriz F-DT-04</t>
        </is>
      </c>
      <c r="C30" s="57" t="inlineStr">
        <is>
          <t>5</t>
        </is>
      </c>
      <c r="D30" s="57" t="inlineStr"/>
    </row>
    <row r="31">
      <c r="A31" s="56" t="inlineStr">
        <is>
          <t>7. Hidrología, acceso y logística (F-DT-05)</t>
        </is>
      </c>
      <c r="B31" s="56" t="inlineStr">
        <is>
          <t>Escorrentía concentrada</t>
        </is>
      </c>
      <c r="C31" s="56" t="inlineStr">
        <is>
          <t>Sí</t>
        </is>
      </c>
      <c r="D31" s="56" t="inlineStr"/>
    </row>
    <row r="32">
      <c r="A32" s="57" t="inlineStr">
        <is>
          <t>7. Hidrología, acceso y logística (F-DT-05)</t>
        </is>
      </c>
      <c r="B32" s="57" t="inlineStr">
        <is>
          <t>Fuentes de agua inventariadas</t>
        </is>
      </c>
      <c r="C32" s="57" t="inlineStr">
        <is>
          <t>1</t>
        </is>
      </c>
      <c r="D32" s="57" t="inlineStr"/>
    </row>
    <row r="33">
      <c r="A33" s="56" t="inlineStr">
        <is>
          <t>7. Hidrología, acceso y logística (F-DT-05)</t>
        </is>
      </c>
      <c r="B33" s="56" t="inlineStr">
        <is>
          <t>Vía principal de acceso</t>
        </is>
      </c>
      <c r="C33" s="56" t="inlineStr">
        <is>
          <t>Vía afirmada Los Ranchos – Chacchacal</t>
        </is>
      </c>
      <c r="D33" s="56" t="inlineStr"/>
    </row>
    <row r="34">
      <c r="A34" s="57" t="inlineStr">
        <is>
          <t>7. Hidrología, acceso y logística (F-DT-05)</t>
        </is>
      </c>
      <c r="B34" s="57" t="inlineStr">
        <is>
          <t>Tipo de vía del tramo final</t>
        </is>
      </c>
      <c r="C34" s="57" t="inlineStr">
        <is>
          <t>Vecinal afirmada</t>
        </is>
      </c>
      <c r="D34" s="57" t="inlineStr"/>
    </row>
    <row r="35">
      <c r="A35" s="56" t="inlineStr">
        <is>
          <t>7. Hidrología, acceso y logística (F-DT-05)</t>
        </is>
      </c>
      <c r="B35" s="56" t="inlineStr">
        <is>
          <t>Transitabilidad en época seca</t>
        </is>
      </c>
      <c r="C35" s="56" t="inlineStr">
        <is>
          <t>Medio</t>
        </is>
      </c>
      <c r="D35" s="56" t="inlineStr"/>
    </row>
    <row r="36">
      <c r="A36" s="57" t="inlineStr">
        <is>
          <t>7. Hidrología, acceso y logística (F-DT-05)</t>
        </is>
      </c>
      <c r="B36" s="57" t="inlineStr">
        <is>
          <t>Transitabilidad en época lluviosa</t>
        </is>
      </c>
      <c r="C36" s="57" t="inlineStr">
        <is>
          <t>Bajo</t>
        </is>
      </c>
      <c r="D36" s="57" t="inlineStr"/>
    </row>
    <row r="37">
      <c r="A37" s="56" t="inlineStr">
        <is>
          <t>7. Hidrología, acceso y logística (F-DT-05)</t>
        </is>
      </c>
      <c r="B37" s="56" t="inlineStr">
        <is>
          <t>Requiere coordinación con ronda / comunidad</t>
        </is>
      </c>
      <c r="C37" s="56" t="inlineStr">
        <is>
          <t>Sí</t>
        </is>
      </c>
      <c r="D37" s="56" t="inlineStr"/>
    </row>
    <row r="39">
      <c r="A39" s="54" t="inlineStr">
        <is>
          <t>C. PROCEDENCIA DE LOS HECHOS DECLARADOS</t>
        </is>
      </c>
    </row>
    <row r="40">
      <c r="A40" s="55" t="inlineStr">
        <is>
          <t>Fuente</t>
        </is>
      </c>
      <c r="B40" s="55" t="inlineStr">
        <is>
          <t>Hechos</t>
        </is>
      </c>
      <c r="C40" s="55" t="inlineStr">
        <is>
          <t>Alcance de la fuente</t>
        </is>
      </c>
    </row>
    <row r="41">
      <c r="A41" s="56" t="inlineStr">
        <is>
          <t>Dato de campo</t>
        </is>
      </c>
      <c r="B41" s="56" t="n">
        <v>51</v>
      </c>
      <c r="C41" s="56" t="inlineStr">
        <is>
          <t>Verificación en campo. Fichas F-DT-01 a F-DT-05 de la Plantilla DT Campo Check Validada V5, suscritas por el evaluador.</t>
        </is>
      </c>
    </row>
    <row r="42">
      <c r="A42" s="57" t="inlineStr">
        <is>
          <t>Gabinete (GIS / teledetección)</t>
        </is>
      </c>
      <c r="B42" s="57" t="n">
        <v>22</v>
      </c>
      <c r="C42" s="57" t="inlineStr">
        <is>
          <t>Gabinete. Estadística zonal sobre el MDE y compuestos Sentinel-2 (NDVI mediana 2025, MSAVI 2024 por clase DN).</t>
        </is>
      </c>
    </row>
    <row r="43">
      <c r="A43" s="56" t="inlineStr">
        <is>
          <t>Fuente oficial</t>
        </is>
      </c>
      <c r="B43" s="56" t="n">
        <v>14</v>
      </c>
      <c r="C43" s="56" t="inlineStr">
        <is>
          <t>Fuente oficial. Catálogo maestro Bloques V5/V6, división política INEI y codificación de microcuencas de la ANA.</t>
        </is>
      </c>
    </row>
    <row r="45">
      <c r="A45" s="54" t="inlineStr">
        <is>
          <t>D. ESTADO DEL CRUCE ENTRE FUENTES</t>
        </is>
      </c>
    </row>
    <row r="46">
      <c r="A46" s="55" t="inlineStr">
        <is>
          <t>Estado</t>
        </is>
      </c>
      <c r="B46" s="55" t="inlineStr">
        <is>
          <t>Hechos</t>
        </is>
      </c>
      <c r="C46" s="55" t="inlineStr">
        <is>
          <t>Significado</t>
        </is>
      </c>
    </row>
    <row r="47">
      <c r="A47" s="56" t="inlineStr">
        <is>
          <t>CONFORME</t>
        </is>
      </c>
      <c r="B47" s="56" t="n">
        <v>86</v>
      </c>
      <c r="C47" s="56" t="inlineStr">
        <is>
          <t>Las dos fuentes declaran lo mismo, o solo la fuente que manda sobre el hecho lo declara.</t>
        </is>
      </c>
    </row>
    <row r="48">
      <c r="A48" s="57" t="inlineStr">
        <is>
          <t>COMPLEMENTADO</t>
        </is>
      </c>
      <c r="B48" s="57" t="n">
        <v>1</v>
      </c>
      <c r="C48" s="57" t="inlineStr">
        <is>
          <t>Solo una de las fuentes lo declara y se adopta ese valor.</t>
        </is>
      </c>
    </row>
    <row r="49">
      <c r="A49" s="56" t="inlineStr">
        <is>
          <t>ACTUALIZADO</t>
        </is>
      </c>
      <c r="B49" s="56" t="n">
        <v>0</v>
      </c>
      <c r="C49" s="56" t="inlineStr">
        <is>
          <t>La verificación de campo vigente corrige lo que traía el libro de resumen.</t>
        </is>
      </c>
    </row>
    <row r="50">
      <c r="A50" s="57" t="inlineStr">
        <is>
          <t>DISCREPANTE</t>
        </is>
      </c>
      <c r="B50" s="57" t="n">
        <v>0</v>
      </c>
      <c r="C50" s="57" t="inlineStr">
        <is>
          <t>Las fuentes se contradicen; prevalece la que manda sobre el hecho y la otra queda declarada.</t>
        </is>
      </c>
    </row>
    <row r="51">
      <c r="A51" s="56" t="inlineStr">
        <is>
          <t>PENDIENTE</t>
        </is>
      </c>
      <c r="B51" s="56" t="n">
        <v>27</v>
      </c>
      <c r="C51" s="56" t="inlineStr">
        <is>
          <t>Ninguna fuente lo declara; no se estima valor alguno.</t>
        </is>
      </c>
    </row>
  </sheetData>
  <mergeCells count="5">
    <mergeCell ref="A2:F2"/>
    <mergeCell ref="A1:F1"/>
    <mergeCell ref="A5:F5"/>
    <mergeCell ref="A4:F4"/>
    <mergeCell ref="A3:F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69"/>
  <sheetViews>
    <sheetView workbookViewId="0">
      <selection activeCell="A1" sqref="A1"/>
    </sheetView>
  </sheetViews>
  <sheetFormatPr baseColWidth="8" defaultRowHeight="15"/>
  <cols>
    <col width="8" customWidth="1" min="1" max="1"/>
    <col width="30" customWidth="1" min="2" max="2"/>
    <col width="30" customWidth="1" min="3" max="3"/>
    <col width="22" customWidth="1" min="4" max="4"/>
    <col width="20" customWidth="1" min="5" max="5"/>
    <col width="16" customWidth="1" min="6" max="6"/>
    <col width="16" customWidth="1" min="7" max="7"/>
    <col width="20" customWidth="1" min="8" max="8"/>
    <col width="34" customWidth="1" min="9" max="9"/>
  </cols>
  <sheetData>
    <row r="1">
      <c r="A1" s="51" t="inlineStr">
        <is>
          <t>AUTORIDAD NACIONAL DE INFRAESTRUCTURA - ANIN</t>
        </is>
      </c>
    </row>
    <row r="2">
      <c r="A2" s="51" t="inlineStr">
        <is>
          <t>DIRECCION DE INTERVENCIONES MULTISECTORIALES Y DE EMERGENCIA - DIME</t>
        </is>
      </c>
    </row>
    <row r="3">
      <c r="A3" s="51" t="inlineStr">
        <is>
          <t>SUBDIRECCION DE ESTUDIOS DE INVERSION - SESDI</t>
        </is>
      </c>
    </row>
    <row r="4">
      <c r="A4" s="52" t="inlineStr">
        <is>
          <t>PROYECTO IN PIURA | CUI 2669244 | Recuperacion del servicio de regulacion de riesgos naturales y de ecosistemas degradados - Cuenca Alta del Rio Piura</t>
        </is>
      </c>
    </row>
    <row r="5" ht="22" customHeight="1">
      <c r="A5" s="53" t="inlineStr">
        <is>
          <t>REGISTRO DE CAMPO F-DT-01 A F-DT-05 — BLOQUE 40</t>
        </is>
      </c>
    </row>
    <row r="7">
      <c r="A7" s="54" t="inlineStr">
        <is>
          <t>F-DT-02 · INVENTARIO DE CÁRCAVAS</t>
        </is>
      </c>
    </row>
    <row r="8">
      <c r="A8" s="55" t="inlineStr">
        <is>
          <t>Código</t>
        </is>
      </c>
      <c r="B8" s="55" t="inlineStr">
        <is>
          <t>Tipo</t>
        </is>
      </c>
      <c r="C8" s="55" t="inlineStr">
        <is>
          <t>UTM E ini.</t>
        </is>
      </c>
      <c r="D8" s="55" t="inlineStr">
        <is>
          <t>UTM N ini.</t>
        </is>
      </c>
      <c r="E8" s="55" t="inlineStr">
        <is>
          <t>Longitud (m)</t>
        </is>
      </c>
      <c r="F8" s="55" t="inlineStr">
        <is>
          <t>Prof. (m)</t>
        </is>
      </c>
      <c r="G8" s="55" t="inlineStr">
        <is>
          <t>Ancho (m)</t>
        </is>
      </c>
      <c r="H8" s="55" t="inlineStr">
        <is>
          <t>Estado</t>
        </is>
      </c>
      <c r="I8" s="55" t="inlineStr">
        <is>
          <t>Causa</t>
        </is>
      </c>
    </row>
    <row r="9">
      <c r="A9" s="56" t="inlineStr">
        <is>
          <t>Sin cárcavas inventariadas en el tramo verificado</t>
        </is>
      </c>
      <c r="B9" s="56" t="inlineStr"/>
      <c r="C9" s="56" t="inlineStr"/>
      <c r="D9" s="56" t="inlineStr"/>
      <c r="E9" s="56" t="inlineStr"/>
      <c r="F9" s="56" t="inlineStr"/>
      <c r="G9" s="56" t="inlineStr"/>
      <c r="H9" s="56" t="inlineStr"/>
      <c r="I9" s="56" t="inlineStr"/>
    </row>
    <row r="11">
      <c r="A11" s="54" t="inlineStr">
        <is>
          <t>F-DT-03 · ELENCO FLORÍSTICO</t>
        </is>
      </c>
    </row>
    <row r="12">
      <c r="A12" s="55" t="inlineStr">
        <is>
          <t>N.o</t>
        </is>
      </c>
      <c r="B12" s="55" t="inlineStr">
        <is>
          <t>Nombre común</t>
        </is>
      </c>
      <c r="C12" s="55" t="inlineStr">
        <is>
          <t>Nombre científico</t>
        </is>
      </c>
      <c r="D12" s="55" t="inlineStr">
        <is>
          <t>Familia</t>
        </is>
      </c>
      <c r="E12" s="55" t="inlineStr">
        <is>
          <t>Estrato</t>
        </is>
      </c>
      <c r="F12" s="55" t="inlineStr">
        <is>
          <t>Origen</t>
        </is>
      </c>
      <c r="G12" s="55" t="inlineStr">
        <is>
          <t>Abundancia</t>
        </is>
      </c>
      <c r="H12" s="55" t="inlineStr">
        <is>
          <t>DAP (cm)</t>
        </is>
      </c>
      <c r="I12" s="55" t="inlineStr">
        <is>
          <t>Altura (m)</t>
        </is>
      </c>
    </row>
    <row r="13">
      <c r="A13" s="56" t="inlineStr">
        <is>
          <t>1</t>
        </is>
      </c>
      <c r="B13" s="56" t="inlineStr">
        <is>
          <t>Nogal</t>
        </is>
      </c>
      <c r="C13" s="56" t="inlineStr">
        <is>
          <t>Juglans neotropica</t>
        </is>
      </c>
      <c r="D13" s="56" t="inlineStr">
        <is>
          <t>Juglandaceae</t>
        </is>
      </c>
      <c r="E13" s="56" t="inlineStr">
        <is>
          <t>Arbóreo medio (8-15 m)</t>
        </is>
      </c>
      <c r="F13" s="56" t="inlineStr">
        <is>
          <t>Nativa</t>
        </is>
      </c>
      <c r="G13" s="56" t="inlineStr">
        <is>
          <t>Ocasional (1-5%)</t>
        </is>
      </c>
      <c r="H13" s="56" t="n"/>
      <c r="I13" s="56" t="n"/>
    </row>
    <row r="14">
      <c r="A14" s="57" t="inlineStr">
        <is>
          <t>2</t>
        </is>
      </c>
      <c r="B14" s="57" t="inlineStr">
        <is>
          <t>Guaba</t>
        </is>
      </c>
      <c r="C14" s="57" t="inlineStr">
        <is>
          <t>Inga edulis</t>
        </is>
      </c>
      <c r="D14" s="57" t="inlineStr">
        <is>
          <t>Fabaceae</t>
        </is>
      </c>
      <c r="E14" s="57" t="inlineStr">
        <is>
          <t>Arbóreo bajo (4-8 m)</t>
        </is>
      </c>
      <c r="F14" s="57" t="inlineStr">
        <is>
          <t>Nativa</t>
        </is>
      </c>
      <c r="G14" s="57" t="inlineStr">
        <is>
          <t>Frecuente (5-20%)</t>
        </is>
      </c>
      <c r="H14" s="57" t="n"/>
      <c r="I14" s="57" t="n"/>
    </row>
    <row r="15">
      <c r="A15" s="56" t="inlineStr">
        <is>
          <t>3</t>
        </is>
      </c>
      <c r="B15" s="56" t="inlineStr">
        <is>
          <t>Café</t>
        </is>
      </c>
      <c r="C15" s="56" t="inlineStr">
        <is>
          <t>Coffea arabica</t>
        </is>
      </c>
      <c r="D15" s="56" t="inlineStr">
        <is>
          <t>Rubiaceae</t>
        </is>
      </c>
      <c r="E15" s="56" t="inlineStr">
        <is>
          <t>Arbustivo alto (1.5-4 m)</t>
        </is>
      </c>
      <c r="F15" s="56" t="inlineStr">
        <is>
          <t>Introducida</t>
        </is>
      </c>
      <c r="G15" s="56" t="inlineStr">
        <is>
          <t>Abundante (20-40%)</t>
        </is>
      </c>
      <c r="H15" s="56" t="n"/>
      <c r="I15" s="56" t="n"/>
    </row>
    <row r="16">
      <c r="A16" s="57" t="inlineStr">
        <is>
          <t>4</t>
        </is>
      </c>
      <c r="B16" s="57" t="inlineStr">
        <is>
          <t>Cardo</t>
        </is>
      </c>
      <c r="C16" s="57" t="inlineStr">
        <is>
          <t>Armatocereus sp.</t>
        </is>
      </c>
      <c r="D16" s="57" t="inlineStr">
        <is>
          <t>Cactaceae</t>
        </is>
      </c>
      <c r="E16" s="57" t="inlineStr">
        <is>
          <t>Arbustivo alto (1.5-4 m)</t>
        </is>
      </c>
      <c r="F16" s="57" t="inlineStr">
        <is>
          <t>Nativa</t>
        </is>
      </c>
      <c r="G16" s="57" t="inlineStr">
        <is>
          <t>Ocasional (1-5%)</t>
        </is>
      </c>
      <c r="H16" s="57" t="n"/>
      <c r="I16" s="57" t="n"/>
    </row>
    <row r="17">
      <c r="A17" s="56" t="inlineStr">
        <is>
          <t>5</t>
        </is>
      </c>
      <c r="B17" s="56" t="inlineStr">
        <is>
          <t>Pastos cultivados (forraje)</t>
        </is>
      </c>
      <c r="C17" s="56" t="inlineStr">
        <is>
          <t>Brachiaria / Pennisetum spp.</t>
        </is>
      </c>
      <c r="D17" s="56" t="inlineStr">
        <is>
          <t>Poaceae</t>
        </is>
      </c>
      <c r="E17" s="56" t="inlineStr">
        <is>
          <t>Herbáceo (&lt;0.5 m)</t>
        </is>
      </c>
      <c r="F17" s="56" t="inlineStr">
        <is>
          <t>Introducida</t>
        </is>
      </c>
      <c r="G17" s="56" t="inlineStr">
        <is>
          <t>Dominante (&gt;40%)</t>
        </is>
      </c>
      <c r="H17" s="56" t="n"/>
      <c r="I17" s="56" t="n"/>
    </row>
    <row r="18">
      <c r="A18" s="57" t="inlineStr">
        <is>
          <t>6</t>
        </is>
      </c>
      <c r="B18" s="57" t="inlineStr">
        <is>
          <t>Ceibo</t>
        </is>
      </c>
      <c r="C18" s="57" t="inlineStr">
        <is>
          <t>Ceiba pentandra</t>
        </is>
      </c>
      <c r="D18" s="57" t="inlineStr"/>
      <c r="E18" s="57" t="inlineStr">
        <is>
          <t>Arbóreo medio (8-15 m)</t>
        </is>
      </c>
      <c r="F18" s="57" t="inlineStr">
        <is>
          <t>Nativa</t>
        </is>
      </c>
      <c r="G18" s="57" t="inlineStr">
        <is>
          <t>Ocasional (1-5%)</t>
        </is>
      </c>
      <c r="H18" s="57" t="n"/>
      <c r="I18" s="57" t="n"/>
    </row>
    <row r="19">
      <c r="A19" s="56" t="inlineStr">
        <is>
          <t>7</t>
        </is>
      </c>
      <c r="B19" s="56" t="inlineStr">
        <is>
          <t>Pasallo</t>
        </is>
      </c>
      <c r="C19" s="56" t="inlineStr"/>
      <c r="D19" s="56" t="inlineStr"/>
      <c r="E19" s="56" t="inlineStr">
        <is>
          <t>Arbóreo bajo (4-8 m)</t>
        </is>
      </c>
      <c r="F19" s="56" t="inlineStr">
        <is>
          <t>Nativa</t>
        </is>
      </c>
      <c r="G19" s="56" t="inlineStr">
        <is>
          <t>Ocasional (1-5%)</t>
        </is>
      </c>
      <c r="H19" s="56" t="n"/>
      <c r="I19" s="56" t="n"/>
    </row>
    <row r="20">
      <c r="A20" s="57" t="inlineStr">
        <is>
          <t>8</t>
        </is>
      </c>
      <c r="B20" s="57" t="inlineStr">
        <is>
          <t>Charán</t>
        </is>
      </c>
      <c r="C20" s="57" t="inlineStr">
        <is>
          <t>Caesalpinea paipai</t>
        </is>
      </c>
      <c r="D20" s="57" t="inlineStr"/>
      <c r="E20" s="57" t="inlineStr">
        <is>
          <t>Arbóreo bajo (4-8 m)</t>
        </is>
      </c>
      <c r="F20" s="57" t="inlineStr">
        <is>
          <t>Nativa</t>
        </is>
      </c>
      <c r="G20" s="57" t="inlineStr">
        <is>
          <t>Ocasional (1-5%)</t>
        </is>
      </c>
      <c r="H20" s="57" t="n"/>
      <c r="I20" s="57" t="n"/>
    </row>
    <row r="21">
      <c r="A21" s="56" t="inlineStr">
        <is>
          <t>9</t>
        </is>
      </c>
      <c r="B21" s="56" t="inlineStr">
        <is>
          <t>Roble</t>
        </is>
      </c>
      <c r="C21" s="56" t="inlineStr">
        <is>
          <t>Grevilea robusta</t>
        </is>
      </c>
      <c r="D21" s="56" t="inlineStr"/>
      <c r="E21" s="56" t="inlineStr">
        <is>
          <t>Arbóreo superior (&gt;15 m)</t>
        </is>
      </c>
      <c r="F21" s="56" t="inlineStr">
        <is>
          <t>Introducida</t>
        </is>
      </c>
      <c r="G21" s="56" t="inlineStr">
        <is>
          <t>Ocasional (1-5%)</t>
        </is>
      </c>
      <c r="H21" s="56" t="n"/>
      <c r="I21" s="56" t="n"/>
    </row>
    <row r="22">
      <c r="A22" s="57" t="inlineStr">
        <is>
          <t>10</t>
        </is>
      </c>
      <c r="B22" s="57" t="inlineStr">
        <is>
          <t>Cítricos</t>
        </is>
      </c>
      <c r="C22" s="57" t="inlineStr"/>
      <c r="D22" s="57" t="inlineStr"/>
      <c r="E22" s="57" t="inlineStr">
        <is>
          <t>Arbustivo alto (1.5-4 m)</t>
        </is>
      </c>
      <c r="F22" s="57" t="inlineStr"/>
      <c r="G22" s="57" t="inlineStr">
        <is>
          <t>Ocasional (1-5%)</t>
        </is>
      </c>
      <c r="H22" s="57" t="n"/>
      <c r="I22" s="57" t="n"/>
    </row>
    <row r="23">
      <c r="A23" s="56" t="inlineStr">
        <is>
          <t>11</t>
        </is>
      </c>
      <c r="B23" s="56" t="inlineStr">
        <is>
          <t>Maíz</t>
        </is>
      </c>
      <c r="C23" s="56" t="inlineStr"/>
      <c r="D23" s="56" t="inlineStr"/>
      <c r="E23" s="56" t="inlineStr">
        <is>
          <t>Herbáceo (&lt;0.5 m)</t>
        </is>
      </c>
      <c r="F23" s="56" t="inlineStr"/>
      <c r="G23" s="56" t="inlineStr"/>
      <c r="H23" s="56" t="n"/>
      <c r="I23" s="56" t="n"/>
    </row>
    <row r="25">
      <c r="A25" s="54" t="inlineStr">
        <is>
          <t>F-DT-03 · ESPECIES CLAVE GEORREFERENCIADAS</t>
        </is>
      </c>
    </row>
    <row r="26">
      <c r="A26" s="55" t="inlineStr">
        <is>
          <t>N.o</t>
        </is>
      </c>
      <c r="B26" s="55" t="inlineStr">
        <is>
          <t>Especie</t>
        </is>
      </c>
      <c r="C26" s="55" t="inlineStr">
        <is>
          <t>Categoría</t>
        </is>
      </c>
      <c r="D26" s="55" t="inlineStr">
        <is>
          <t>Estado UICN</t>
        </is>
      </c>
      <c r="E26" s="55" t="inlineStr">
        <is>
          <t>UTM ESTE</t>
        </is>
      </c>
      <c r="F26" s="55" t="inlineStr">
        <is>
          <t>UTM NORTE</t>
        </is>
      </c>
      <c r="G26" s="55" t="inlineStr">
        <is>
          <t>N.° individuos</t>
        </is>
      </c>
      <c r="H26" s="55" t="inlineStr">
        <is>
          <t>Observación</t>
        </is>
      </c>
    </row>
    <row r="28">
      <c r="A28" s="54" t="inlineStr">
        <is>
          <t>F-DT-04 · MATRIZ DE CAUSAS DE DEGRADACIÓN</t>
        </is>
      </c>
    </row>
    <row r="29">
      <c r="A29" s="55" t="inlineStr">
        <is>
          <t>N.o</t>
        </is>
      </c>
      <c r="B29" s="55" t="inlineStr">
        <is>
          <t>Causa</t>
        </is>
      </c>
      <c r="C29" s="55" t="inlineStr">
        <is>
          <t>Presencia</t>
        </is>
      </c>
      <c r="D29" s="55" t="inlineStr">
        <is>
          <t>Intensidad</t>
        </is>
      </c>
      <c r="E29" s="55" t="inlineStr">
        <is>
          <t>Extensión</t>
        </is>
      </c>
      <c r="F29" s="55" t="inlineStr">
        <is>
          <t>Antigüedad</t>
        </is>
      </c>
      <c r="G29" s="55" t="inlineStr">
        <is>
          <t>Evidencia</t>
        </is>
      </c>
    </row>
    <row r="30">
      <c r="A30" s="56" t="inlineStr">
        <is>
          <t>1</t>
        </is>
      </c>
      <c r="B30" s="56" t="inlineStr">
        <is>
          <t>Sobrepastoreo (caprino/vacuno)</t>
        </is>
      </c>
      <c r="C30" s="56" t="inlineStr">
        <is>
          <t>Sí</t>
        </is>
      </c>
      <c r="D30" s="56" t="inlineStr">
        <is>
          <t>Fuerte</t>
        </is>
      </c>
      <c r="E30" s="56" t="inlineStr">
        <is>
          <t>35</t>
        </is>
      </c>
      <c r="F30" s="56" t="inlineStr"/>
      <c r="G30" s="56" t="inlineStr">
        <is>
          <t>Pastoreo extensivo de vacunos de Chacchacal y Chorro Blanco; suelos erosionados por tránsito de ganado</t>
        </is>
      </c>
    </row>
    <row r="31">
      <c r="A31" s="57" t="inlineStr">
        <is>
          <t>2</t>
        </is>
      </c>
      <c r="B31" s="57" t="inlineStr">
        <is>
          <t>Tala para leña</t>
        </is>
      </c>
      <c r="C31" s="57" t="inlineStr"/>
      <c r="D31" s="57" t="inlineStr"/>
      <c r="E31" s="57" t="inlineStr"/>
      <c r="F31" s="57" t="inlineStr"/>
      <c r="G31" s="57" t="inlineStr"/>
    </row>
    <row r="32">
      <c r="A32" s="56" t="inlineStr">
        <is>
          <t>3</t>
        </is>
      </c>
      <c r="B32" s="56" t="inlineStr">
        <is>
          <t>Tala para carbón</t>
        </is>
      </c>
      <c r="C32" s="56" t="inlineStr"/>
      <c r="D32" s="56" t="inlineStr"/>
      <c r="E32" s="56" t="inlineStr"/>
      <c r="F32" s="56" t="inlineStr"/>
      <c r="G32" s="56" t="inlineStr"/>
    </row>
    <row r="33">
      <c r="A33" s="57" t="inlineStr">
        <is>
          <t>4</t>
        </is>
      </c>
      <c r="B33" s="57" t="inlineStr">
        <is>
          <t>Tala para madera</t>
        </is>
      </c>
      <c r="C33" s="57" t="inlineStr"/>
      <c r="D33" s="57" t="inlineStr"/>
      <c r="E33" s="57" t="inlineStr"/>
      <c r="F33" s="57" t="inlineStr"/>
      <c r="G33" s="57" t="inlineStr"/>
    </row>
    <row r="34">
      <c r="A34" s="56" t="inlineStr">
        <is>
          <t>5</t>
        </is>
      </c>
      <c r="B34" s="56" t="inlineStr">
        <is>
          <t>Quema (renovación de pastos)</t>
        </is>
      </c>
      <c r="C34" s="56" t="inlineStr"/>
      <c r="D34" s="56" t="inlineStr"/>
      <c r="E34" s="56" t="inlineStr"/>
      <c r="F34" s="56" t="inlineStr"/>
      <c r="G34" s="56" t="inlineStr"/>
    </row>
    <row r="35">
      <c r="A35" s="57" t="inlineStr">
        <is>
          <t>6</t>
        </is>
      </c>
      <c r="B35" s="57" t="inlineStr">
        <is>
          <t>Quema accidental / Incendio</t>
        </is>
      </c>
      <c r="C35" s="57" t="inlineStr"/>
      <c r="D35" s="57" t="inlineStr"/>
      <c r="E35" s="57" t="inlineStr"/>
      <c r="F35" s="57" t="inlineStr"/>
      <c r="G35" s="57" t="inlineStr"/>
    </row>
    <row r="36">
      <c r="A36" s="56" t="inlineStr">
        <is>
          <t>7</t>
        </is>
      </c>
      <c r="B36" s="56" t="inlineStr">
        <is>
          <t>Cambio de uso a agricultura</t>
        </is>
      </c>
      <c r="C36" s="56" t="inlineStr">
        <is>
          <t>Sí</t>
        </is>
      </c>
      <c r="D36" s="56" t="inlineStr">
        <is>
          <t>Fuerte</t>
        </is>
      </c>
      <c r="E36" s="56" t="inlineStr">
        <is>
          <t>25</t>
        </is>
      </c>
      <c r="F36" s="56" t="inlineStr"/>
      <c r="G36" s="56" t="inlineStr">
        <is>
          <t>Cultivos de café y maíz en ladera</t>
        </is>
      </c>
    </row>
    <row r="37">
      <c r="A37" s="57" t="inlineStr">
        <is>
          <t>8</t>
        </is>
      </c>
      <c r="B37" s="57" t="inlineStr">
        <is>
          <t>Cambio de uso a pastoreo</t>
        </is>
      </c>
      <c r="C37" s="57" t="inlineStr">
        <is>
          <t>Sí</t>
        </is>
      </c>
      <c r="D37" s="57" t="inlineStr">
        <is>
          <t>Fuerte</t>
        </is>
      </c>
      <c r="E37" s="57" t="inlineStr">
        <is>
          <t>25</t>
        </is>
      </c>
      <c r="F37" s="57" t="inlineStr"/>
      <c r="G37" s="57" t="inlineStr">
        <is>
          <t>Áreas destinadas al cultivo de pastos para forraje</t>
        </is>
      </c>
    </row>
    <row r="38">
      <c r="A38" s="56" t="inlineStr">
        <is>
          <t>9</t>
        </is>
      </c>
      <c r="B38" s="56" t="inlineStr">
        <is>
          <t>Expansión urbana / vial</t>
        </is>
      </c>
      <c r="C38" s="56" t="inlineStr">
        <is>
          <t>Sí</t>
        </is>
      </c>
      <c r="D38" s="56" t="inlineStr">
        <is>
          <t>Ligera</t>
        </is>
      </c>
      <c r="E38" s="56" t="inlineStr">
        <is>
          <t>5</t>
        </is>
      </c>
      <c r="F38" s="56" t="inlineStr"/>
      <c r="G38" s="56" t="inlineStr">
        <is>
          <t>Vía afirmada, caminos de herradura y áreas de cultivo al pie del bloque</t>
        </is>
      </c>
    </row>
    <row r="39">
      <c r="A39" s="57" t="inlineStr">
        <is>
          <t>10</t>
        </is>
      </c>
      <c r="B39" s="57" t="inlineStr">
        <is>
          <t>Minería informal</t>
        </is>
      </c>
      <c r="C39" s="57" t="inlineStr"/>
      <c r="D39" s="57" t="inlineStr"/>
      <c r="E39" s="57" t="inlineStr"/>
      <c r="F39" s="57" t="inlineStr"/>
      <c r="G39" s="57" t="inlineStr"/>
    </row>
    <row r="40">
      <c r="A40" s="56" t="inlineStr">
        <is>
          <t>11</t>
        </is>
      </c>
      <c r="B40" s="56" t="inlineStr">
        <is>
          <t>Extracción de áridos (cauces)</t>
        </is>
      </c>
      <c r="C40" s="56" t="inlineStr"/>
      <c r="D40" s="56" t="inlineStr"/>
      <c r="E40" s="56" t="inlineStr"/>
      <c r="F40" s="56" t="inlineStr"/>
      <c r="G40" s="56" t="inlineStr"/>
    </row>
    <row r="41">
      <c r="A41" s="57" t="inlineStr">
        <is>
          <t>12</t>
        </is>
      </c>
      <c r="B41" s="57" t="inlineStr">
        <is>
          <t>Especies invasoras</t>
        </is>
      </c>
      <c r="C41" s="57" t="inlineStr"/>
      <c r="D41" s="57" t="inlineStr"/>
      <c r="E41" s="57" t="inlineStr"/>
      <c r="F41" s="57" t="inlineStr"/>
      <c r="G41" s="57" t="inlineStr"/>
    </row>
    <row r="42">
      <c r="A42" s="56" t="inlineStr">
        <is>
          <t>13</t>
        </is>
      </c>
      <c r="B42" s="56" t="inlineStr">
        <is>
          <t>Erosión natural severa</t>
        </is>
      </c>
      <c r="C42" s="56" t="inlineStr">
        <is>
          <t>Sí</t>
        </is>
      </c>
      <c r="D42" s="56" t="inlineStr">
        <is>
          <t>Fuerte</t>
        </is>
      </c>
      <c r="E42" s="56" t="inlineStr">
        <is>
          <t>10</t>
        </is>
      </c>
      <c r="F42" s="56" t="inlineStr"/>
      <c r="G42" s="56" t="inlineStr">
        <is>
          <t>Escarpes activos, deslizamientos antiguos y remociones en masa activas con antecedentes de daño a viviendas</t>
        </is>
      </c>
    </row>
    <row r="43">
      <c r="A43" s="57" t="inlineStr">
        <is>
          <t>14</t>
        </is>
      </c>
      <c r="B43" s="57" t="inlineStr">
        <is>
          <t>Sequía prolongada / CC</t>
        </is>
      </c>
      <c r="C43" s="57" t="inlineStr"/>
      <c r="D43" s="57" t="inlineStr"/>
      <c r="E43" s="57" t="inlineStr"/>
      <c r="F43" s="57" t="inlineStr"/>
      <c r="G43" s="57" t="inlineStr"/>
    </row>
    <row r="44">
      <c r="A44" s="56" t="inlineStr">
        <is>
          <t>15</t>
        </is>
      </c>
      <c r="B44" s="56" t="inlineStr">
        <is>
          <t>Plagas o enfermedades forestales</t>
        </is>
      </c>
      <c r="C44" s="56" t="inlineStr"/>
      <c r="D44" s="56" t="inlineStr"/>
      <c r="E44" s="56" t="inlineStr"/>
      <c r="F44" s="56" t="inlineStr"/>
      <c r="G44" s="56" t="inlineStr"/>
    </row>
    <row r="45">
      <c r="A45" s="57" t="inlineStr">
        <is>
          <t>16</t>
        </is>
      </c>
      <c r="B45" s="57" t="inlineStr">
        <is>
          <t>Otro</t>
        </is>
      </c>
      <c r="C45" s="57" t="inlineStr"/>
      <c r="D45" s="57" t="inlineStr"/>
      <c r="E45" s="57" t="inlineStr"/>
      <c r="F45" s="57" t="inlineStr"/>
      <c r="G45" s="57" t="inlineStr"/>
    </row>
    <row r="47">
      <c r="A47" s="54" t="inlineStr">
        <is>
          <t>F-DT-04 · INDICADORES CUANTITATIVOS</t>
        </is>
      </c>
    </row>
    <row r="48">
      <c r="A48" s="55" t="inlineStr">
        <is>
          <t>N.o</t>
        </is>
      </c>
      <c r="B48" s="55" t="inlineStr">
        <is>
          <t>Indicador</t>
        </is>
      </c>
      <c r="C48" s="55" t="inlineStr">
        <is>
          <t>Unidad</t>
        </is>
      </c>
      <c r="D48" s="55" t="inlineStr">
        <is>
          <t>Valor</t>
        </is>
      </c>
      <c r="E48" s="55" t="inlineStr">
        <is>
          <t>Fuente</t>
        </is>
      </c>
      <c r="F48" s="55" t="inlineStr">
        <is>
          <t>Umbral</t>
        </is>
      </c>
      <c r="G48" s="55" t="inlineStr">
        <is>
          <t>Nivel</t>
        </is>
      </c>
    </row>
    <row r="49">
      <c r="A49" s="56" t="inlineStr">
        <is>
          <t>1</t>
        </is>
      </c>
      <c r="B49" s="56" t="inlineStr">
        <is>
          <t>Cobertura vegetal total</t>
        </is>
      </c>
      <c r="C49" s="56" t="inlineStr">
        <is>
          <t>%</t>
        </is>
      </c>
      <c r="D49" s="56" t="inlineStr">
        <is>
          <t>97.2</t>
        </is>
      </c>
      <c r="E49" s="56" t="inlineStr">
        <is>
          <t>MSAVI 2024 (clases &gt; 0.4976), conteo de píxeles</t>
        </is>
      </c>
      <c r="F49" s="56" t="inlineStr">
        <is>
          <t>&gt;60% bueno; 30-60% medio; &lt;30% malo</t>
        </is>
      </c>
      <c r="G49" s="56" t="inlineStr">
        <is>
          <t>Alto</t>
        </is>
      </c>
    </row>
    <row r="50">
      <c r="A50" s="57" t="inlineStr">
        <is>
          <t>2</t>
        </is>
      </c>
      <c r="B50" s="57" t="inlineStr">
        <is>
          <t>Porcentaje de suelo desnudo</t>
        </is>
      </c>
      <c r="C50" s="57" t="inlineStr">
        <is>
          <t>%</t>
        </is>
      </c>
      <c r="D50" s="57" t="inlineStr">
        <is>
          <t>0</t>
        </is>
      </c>
      <c r="E50" s="57" t="inlineStr">
        <is>
          <t>MSAVI 2024 (clase &lt;= 0.2650)</t>
        </is>
      </c>
      <c r="F50" s="57" t="inlineStr">
        <is>
          <t>&lt;10% bueno; 10-30% medio; &gt;30% malo</t>
        </is>
      </c>
      <c r="G50" s="57" t="inlineStr">
        <is>
          <t>Bajo</t>
        </is>
      </c>
    </row>
    <row r="51">
      <c r="A51" s="56" t="inlineStr">
        <is>
          <t>3</t>
        </is>
      </c>
      <c r="B51" s="56" t="inlineStr">
        <is>
          <t>Densidad de cárcavas</t>
        </is>
      </c>
      <c r="C51" s="56" t="inlineStr">
        <is>
          <t>N°/ha</t>
        </is>
      </c>
      <c r="D51" s="56" t="inlineStr">
        <is>
          <t>Por determinar</t>
        </is>
      </c>
      <c r="E51" s="56" t="inlineStr">
        <is>
          <t>Inventario de cárcavas no ejecutado</t>
        </is>
      </c>
      <c r="F51" s="56" t="inlineStr">
        <is>
          <t>0 nulo; 1-3 medio; &gt;3 alto</t>
        </is>
      </c>
      <c r="G51" s="56" t="inlineStr"/>
    </row>
    <row r="52">
      <c r="A52" s="57" t="inlineStr">
        <is>
          <t>4</t>
        </is>
      </c>
      <c r="B52" s="57" t="inlineStr">
        <is>
          <t>Presencia de especies invasoras</t>
        </is>
      </c>
      <c r="C52" s="57" t="inlineStr">
        <is>
          <t>% área</t>
        </is>
      </c>
      <c r="D52" s="57" t="inlineStr">
        <is>
          <t>Por determinar</t>
        </is>
      </c>
      <c r="E52" s="57" t="inlineStr">
        <is>
          <t>Sin verificación botánica</t>
        </is>
      </c>
      <c r="F52" s="57" t="inlineStr">
        <is>
          <t>&lt;5% bueno; 5-20% medio; &gt;20% alto</t>
        </is>
      </c>
      <c r="G52" s="57" t="inlineStr"/>
    </row>
    <row r="53">
      <c r="A53" s="56" t="inlineStr">
        <is>
          <t>5</t>
        </is>
      </c>
      <c r="B53" s="56" t="inlineStr">
        <is>
          <t>Carga ganadera estimada</t>
        </is>
      </c>
      <c r="C53" s="56" t="inlineStr">
        <is>
          <t>UA/ha</t>
        </is>
      </c>
      <c r="D53" s="56" t="inlineStr">
        <is>
          <t>Por determinar</t>
        </is>
      </c>
      <c r="E53" s="56" t="inlineStr">
        <is>
          <t>Sin conteo de unidades animales</t>
        </is>
      </c>
      <c r="F53" s="56" t="inlineStr">
        <is>
          <t>Según tipo de ecosistema</t>
        </is>
      </c>
      <c r="G53" s="56" t="inlineStr"/>
    </row>
    <row r="54">
      <c r="A54" s="57" t="inlineStr">
        <is>
          <t>6</t>
        </is>
      </c>
      <c r="B54" s="57" t="inlineStr">
        <is>
          <t>Frecuencia de quemas últimos 5 años</t>
        </is>
      </c>
      <c r="C54" s="57" t="inlineStr">
        <is>
          <t>N°</t>
        </is>
      </c>
      <c r="D54" s="57" t="inlineStr">
        <is>
          <t>Por determinar</t>
        </is>
      </c>
      <c r="E54" s="57" t="inlineStr">
        <is>
          <t>Sin serie de focos de calor</t>
        </is>
      </c>
      <c r="F54" s="57" t="inlineStr">
        <is>
          <t>0 nulo; 1-2 medio; &gt;2 alto</t>
        </is>
      </c>
      <c r="G54" s="57" t="inlineStr"/>
    </row>
    <row r="55">
      <c r="A55" s="56" t="inlineStr">
        <is>
          <t>7</t>
        </is>
      </c>
      <c r="B55" s="56" t="inlineStr">
        <is>
          <t>% área con pendiente &gt;50%</t>
        </is>
      </c>
      <c r="C55" s="56" t="inlineStr">
        <is>
          <t>%</t>
        </is>
      </c>
      <c r="D55" s="56" t="inlineStr">
        <is>
          <t>Por determinar</t>
        </is>
      </c>
      <c r="E55" s="56" t="inlineStr">
        <is>
          <t>Requiere reclasificación del MDE</t>
        </is>
      </c>
      <c r="F55" s="56" t="inlineStr">
        <is>
          <t>Factor de susceptibilidad</t>
        </is>
      </c>
      <c r="G55" s="56" t="inlineStr"/>
    </row>
    <row r="56">
      <c r="A56" s="57" t="inlineStr">
        <is>
          <t>8</t>
        </is>
      </c>
      <c r="B56" s="57" t="inlineStr">
        <is>
          <t>Distancia a vía vecinal más cercana</t>
        </is>
      </c>
      <c r="C56" s="57" t="inlineStr">
        <is>
          <t>m</t>
        </is>
      </c>
      <c r="D56" s="57" t="inlineStr">
        <is>
          <t>0</t>
        </is>
      </c>
      <c r="E56" s="57" t="inlineStr">
        <is>
          <t>Vía de acceso colindante al bloque</t>
        </is>
      </c>
      <c r="F56" s="57" t="inlineStr">
        <is>
          <t>A menor distancia → mayor presión</t>
        </is>
      </c>
      <c r="G56" s="57" t="inlineStr">
        <is>
          <t>Alto</t>
        </is>
      </c>
    </row>
    <row r="58">
      <c r="A58" s="54" t="inlineStr">
        <is>
          <t>F-DT-05 · FUENTES DE AGUA INVENTARIADAS</t>
        </is>
      </c>
    </row>
    <row r="59">
      <c r="A59" s="55" t="inlineStr">
        <is>
          <t>N.o</t>
        </is>
      </c>
      <c r="B59" s="55" t="inlineStr">
        <is>
          <t>Tipo de fuente</t>
        </is>
      </c>
      <c r="C59" s="55" t="inlineStr">
        <is>
          <t>UTM ESTE</t>
        </is>
      </c>
      <c r="D59" s="55" t="inlineStr">
        <is>
          <t>UTM NORTE</t>
        </is>
      </c>
      <c r="E59" s="55" t="inlineStr">
        <is>
          <t>Régimen</t>
        </is>
      </c>
      <c r="F59" s="55" t="inlineStr">
        <is>
          <t>Calidad</t>
        </is>
      </c>
      <c r="G59" s="55" t="inlineStr">
        <is>
          <t>Distancia (m)</t>
        </is>
      </c>
      <c r="H59" s="55" t="inlineStr">
        <is>
          <t>Uso / observación</t>
        </is>
      </c>
    </row>
    <row r="60">
      <c r="A60" s="56" t="inlineStr">
        <is>
          <t>1</t>
        </is>
      </c>
      <c r="B60" s="56" t="inlineStr">
        <is>
          <t>Quebrada estacional</t>
        </is>
      </c>
      <c r="C60" s="56" t="n"/>
      <c r="D60" s="56" t="n"/>
      <c r="E60" s="56" t="inlineStr">
        <is>
          <t>Estacional (lluvias)</t>
        </is>
      </c>
      <c r="F60" s="56" t="inlineStr">
        <is>
          <t>No evaluable</t>
        </is>
      </c>
      <c r="G60" s="61" t="n">
        <v>0</v>
      </c>
      <c r="H60" s="56" t="inlineStr">
        <is>
          <t>Quebrada s/n colindante al bloque (margen derecha)</t>
        </is>
      </c>
    </row>
    <row r="63">
      <c r="A63" s="54" t="inlineStr">
        <is>
          <t>OBSERVACIONES DEL EVALUADOR POR FICHA</t>
        </is>
      </c>
    </row>
    <row r="64">
      <c r="A64" s="55" t="inlineStr">
        <is>
          <t>Ficha</t>
        </is>
      </c>
      <c r="B64" s="55" t="inlineStr">
        <is>
          <t>Observación registrada en campo</t>
        </is>
      </c>
    </row>
    <row r="65">
      <c r="A65" s="56" t="inlineStr">
        <is>
          <t>F-DT-01</t>
        </is>
      </c>
      <c r="B65" s="56" t="inlineStr">
        <is>
          <t>Coordenadas correspondientes al CENTROIDE del polígono (Bloques V4/V5); no a un punto de muestreo GPS de campo. Altitud consignada: altitud GPS de campo 1390 msnm. Rango altitudinal del bloque según MDE: 1407–1656 msnm (amplitud 249 m); pendiente promedio 31.40 %. Centro(s) poblado(s) asociado(s): Chacchacal y Chorro Blanco. Acceso: Vía afirmada Los Ranchos – Chacchacal, margen derecha de una quebrada s/n.</t>
        </is>
      </c>
    </row>
    <row r="66">
      <c r="A66" s="57" t="inlineStr">
        <is>
          <t>F-DT-02</t>
        </is>
      </c>
      <c r="B66" s="57" t="inlineStr">
        <is>
          <t>Nivel general de erosión severo, con erosión hídrica y por sobrepastoreo. Se observan suelos erosionados por el tránsito habitual del ganado y zonas escarpadas. No se identifican cárcavas desarrolladas dentro del bloque. El suelo presenta compactación por pisoteo y piedras de tamaño pequeño a mediano dispersas en el área. INVENTARIO DE CÁRCAVAS NO EJECUTADO: el registro de campo consigna la ausencia de cárcavas desarrolladas dentro del bloque, pero no se levantó inventario georreferenciado; 0 cárcavas registradas NO equivale a ausencia verificada. El % del bloque afectado por cárcavas y la erosión laminar quedan por determinar mediante ortomosaico y MDS.</t>
        </is>
      </c>
    </row>
    <row r="67">
      <c r="A67" s="56" t="inlineStr">
        <is>
          <t>F-DT-03</t>
        </is>
      </c>
      <c r="B67" s="56" t="inlineStr">
        <is>
          <t>Ecosistema declarado en campo: Zona agrícola (za), en mosaico con matorral andino. Registro de tres especies, todas cultivadas: no alcanza el mínimo de 15 exigido por la ficha F-DT-03. La composición del matorral andino remanente queda pendiente de colecta e identificación botánica. La superficie ocupada por cultivos debe excluirse del área efectiva en el tamizaje predial. Coberturas por estrato, alturas y DAP no medidos instrumentalmente en esta evaluación. No se confirmaron especies amenazadas del D.S. 043-2006-AG. La superficie ocupada por cultivos debe excluirse del área efectiva en el tamizaje predial.</t>
        </is>
      </c>
    </row>
    <row r="68">
      <c r="A68" s="57" t="inlineStr">
        <is>
          <t>F-DT-04</t>
        </is>
      </c>
      <c r="B68" s="57" t="inlineStr">
        <is>
          <t>Los indicadores 1 y 2 se derivan de la clasificación MSAVI 2024 por conteo de píxeles sobre el plano temático del bloque (por confirmar con estadística zonal). Los indicadores 3 a 7 no fueron cuantificados en esta evaluación y se rotulan «Por determinar»: no fueron estimados ni inferidos. Las causas marcadas «Por verificar» requieren confirmación en la siguiente visita.</t>
        </is>
      </c>
    </row>
    <row r="69">
      <c r="A69" s="56" t="inlineStr">
        <is>
          <t>F-DT-05</t>
        </is>
      </c>
      <c r="B69" s="56" t="inlineStr">
        <is>
          <t>Acceso: Vía afirmada Los Ranchos – Chacchacal, margen derecha de una quebrada s/n. Coordenadas de las fuentes de agua no levantadas con GPS: se identificaron por recorrido y por lectura cartográfica. El bloque se ubica en la ZONA DE ORIGEN del peligro generador de inundaciones (PGI), no en la zona de impacto. La existencia de JASS, captación poblacional, señal celular, tiempos de viaje y alojamiento rural queda por verificar.</t>
        </is>
      </c>
    </row>
  </sheetData>
  <mergeCells count="5">
    <mergeCell ref="A2:I2"/>
    <mergeCell ref="A5:I5"/>
    <mergeCell ref="A1:I1"/>
    <mergeCell ref="A3:I3"/>
    <mergeCell ref="A4:I4"/>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79"/>
  <sheetViews>
    <sheetView workbookViewId="0">
      <selection activeCell="A1" sqref="A1"/>
    </sheetView>
  </sheetViews>
  <sheetFormatPr baseColWidth="8" defaultRowHeight="15"/>
  <cols>
    <col width="44" customWidth="1" min="1" max="1"/>
    <col width="18" customWidth="1" min="2" max="2"/>
  </cols>
  <sheetData>
    <row r="1">
      <c r="A1" s="51" t="inlineStr">
        <is>
          <t>AUTORIDAD NACIONAL DE INFRAESTRUCTURA - ANIN</t>
        </is>
      </c>
    </row>
    <row r="2">
      <c r="A2" s="51" t="inlineStr">
        <is>
          <t>DIRECCION DE INTERVENCIONES MULTISECTORIALES Y DE EMERGENCIA - DIME</t>
        </is>
      </c>
    </row>
    <row r="3">
      <c r="A3" s="51" t="inlineStr">
        <is>
          <t>SUBDIRECCION DE ESTUDIOS DE INVERSION - SESDI</t>
        </is>
      </c>
    </row>
    <row r="4">
      <c r="A4" s="52" t="inlineStr">
        <is>
          <t>PROYECTO IN PIURA | CUI 2669244 | Recuperacion del servicio de regulacion de riesgos naturales y de ecosistemas degradados - Cuenca Alta del Rio Piura</t>
        </is>
      </c>
    </row>
    <row r="5" ht="22" customHeight="1">
      <c r="A5" s="53" t="inlineStr">
        <is>
          <t>GRÁFICOS DE LA INTEGRACIÓN — BLOQUE 40</t>
        </is>
      </c>
    </row>
    <row r="7">
      <c r="A7" s="54" t="inlineStr">
        <is>
          <t>Hechos declarados por fuente</t>
        </is>
      </c>
    </row>
    <row r="8">
      <c r="A8" s="55" t="inlineStr">
        <is>
          <t>Fuente</t>
        </is>
      </c>
      <c r="B8" s="55" t="inlineStr">
        <is>
          <t>Hechos</t>
        </is>
      </c>
    </row>
    <row r="9">
      <c r="A9" s="56" t="inlineStr">
        <is>
          <t>Dato de campo</t>
        </is>
      </c>
      <c r="B9" s="56" t="n">
        <v>51</v>
      </c>
    </row>
    <row r="10">
      <c r="A10" s="57" t="inlineStr">
        <is>
          <t>Gabinete (GIS / teledetección)</t>
        </is>
      </c>
      <c r="B10" s="57" t="n">
        <v>22</v>
      </c>
    </row>
    <row r="11">
      <c r="A11" s="56" t="inlineStr">
        <is>
          <t>Fuente oficial</t>
        </is>
      </c>
      <c r="B11" s="56" t="n">
        <v>14</v>
      </c>
    </row>
    <row r="28">
      <c r="A28" s="54" t="inlineStr">
        <is>
          <t>Estado del cruce entre fuentes</t>
        </is>
      </c>
    </row>
    <row r="29">
      <c r="A29" s="55" t="inlineStr">
        <is>
          <t>Estado</t>
        </is>
      </c>
      <c r="B29" s="55" t="inlineStr">
        <is>
          <t>Hechos</t>
        </is>
      </c>
    </row>
    <row r="30">
      <c r="A30" s="56" t="inlineStr">
        <is>
          <t>CONFORME</t>
        </is>
      </c>
      <c r="B30" s="56" t="n">
        <v>86</v>
      </c>
    </row>
    <row r="31">
      <c r="A31" s="57" t="inlineStr">
        <is>
          <t>COMPLEMENTADO</t>
        </is>
      </c>
      <c r="B31" s="57" t="n">
        <v>1</v>
      </c>
    </row>
    <row r="32">
      <c r="A32" s="56" t="inlineStr">
        <is>
          <t>ACTUALIZADO</t>
        </is>
      </c>
      <c r="B32" s="56" t="n">
        <v>0</v>
      </c>
    </row>
    <row r="33">
      <c r="A33" s="57" t="inlineStr">
        <is>
          <t>DISCREPANTE</t>
        </is>
      </c>
      <c r="B33" s="57" t="n">
        <v>0</v>
      </c>
    </row>
    <row r="34">
      <c r="A34" s="56" t="inlineStr">
        <is>
          <t>PENDIENTE</t>
        </is>
      </c>
      <c r="B34" s="56" t="n">
        <v>27</v>
      </c>
    </row>
    <row r="51">
      <c r="A51" s="54" t="inlineStr">
        <is>
          <t>Causas activas de degradación (F-DT-04)</t>
        </is>
      </c>
    </row>
    <row r="52">
      <c r="A52" s="55" t="inlineStr">
        <is>
          <t>Causa</t>
        </is>
      </c>
      <c r="B52" s="55" t="inlineStr">
        <is>
          <t>Intensidad (1 ligera - 4 muy fuerte)</t>
        </is>
      </c>
    </row>
    <row r="53">
      <c r="A53" s="56" t="inlineStr">
        <is>
          <t>Cambio de uso a agricultura</t>
        </is>
      </c>
      <c r="B53" s="56" t="n">
        <v>3</v>
      </c>
    </row>
    <row r="54">
      <c r="A54" s="57" t="inlineStr">
        <is>
          <t>Cambio de uso a pastoreo</t>
        </is>
      </c>
      <c r="B54" s="57" t="n">
        <v>3</v>
      </c>
    </row>
    <row r="55">
      <c r="A55" s="56" t="inlineStr">
        <is>
          <t>Erosión natural severa</t>
        </is>
      </c>
      <c r="B55" s="56" t="n">
        <v>3</v>
      </c>
    </row>
    <row r="56">
      <c r="A56" s="57" t="inlineStr">
        <is>
          <t>Sobrepastoreo (caprino/vacuno)</t>
        </is>
      </c>
      <c r="B56" s="57" t="n">
        <v>3</v>
      </c>
    </row>
    <row r="57">
      <c r="A57" s="56" t="inlineStr">
        <is>
          <t>Expansión urbana / vial</t>
        </is>
      </c>
      <c r="B57" s="56" t="n">
        <v>1</v>
      </c>
    </row>
    <row r="74">
      <c r="A74" s="54" t="inlineStr">
        <is>
          <t>Control de consistencia por calificación</t>
        </is>
      </c>
    </row>
    <row r="75">
      <c r="A75" s="55" t="inlineStr">
        <is>
          <t>Calificación</t>
        </is>
      </c>
      <c r="B75" s="55" t="inlineStr">
        <is>
          <t>Verificaciones</t>
        </is>
      </c>
    </row>
    <row r="76">
      <c r="A76" s="56" t="inlineStr">
        <is>
          <t>SUSTANTIVA</t>
        </is>
      </c>
      <c r="B76" s="56" t="n">
        <v>2</v>
      </c>
    </row>
    <row r="77">
      <c r="A77" s="57" t="inlineStr">
        <is>
          <t>NO SUSTANTIVA</t>
        </is>
      </c>
      <c r="B77" s="57" t="n">
        <v>1</v>
      </c>
    </row>
    <row r="78">
      <c r="A78" s="56" t="inlineStr">
        <is>
          <t>CORREGIDO</t>
        </is>
      </c>
      <c r="B78" s="56" t="n">
        <v>0</v>
      </c>
    </row>
    <row r="79">
      <c r="A79" s="57" t="inlineStr">
        <is>
          <t>CONFORME</t>
        </is>
      </c>
      <c r="B79" s="57" t="n">
        <v>12</v>
      </c>
    </row>
  </sheetData>
  <mergeCells count="5">
    <mergeCell ref="A1:H1"/>
    <mergeCell ref="A4:H4"/>
    <mergeCell ref="A3:H3"/>
    <mergeCell ref="A2:H2"/>
    <mergeCell ref="A5:H5"/>
  </mergeCells>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ANIN - DIME - SESDI | Proyecto IN Piura (CUI 2669244)</dc:creator>
  <dc:title>Plantilla Excel — Bloque 40 — IN Piura</dc:title>
  <dc:subject>Diagnóstico Territorial por bloque de intervención</dc:subject>
  <dcterms:created xsi:type="dcterms:W3CDTF">2026-09-08T03:39:54Z</dcterms:created>
  <dcterms:modified xsi:type="dcterms:W3CDTF">2026-09-11T20:22:28Z</dcterms:modified>
</cp:coreProperties>
</file>