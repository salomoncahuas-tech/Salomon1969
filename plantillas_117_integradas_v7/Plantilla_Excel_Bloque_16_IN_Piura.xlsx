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integración'!B46</f>
            </strRef>
          </tx>
          <spPr>
            <a:ln>
              <a:prstDash val="solid"/>
            </a:ln>
          </spPr>
          <cat>
            <numRef>
              <f>'Gráficos de integración'!$A$47:$A$56</f>
            </numRef>
          </cat>
          <val>
            <numRef>
              <f>'Gráficos de integración'!$B$47:$B$56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integración'!B65</f>
            </strRef>
          </tx>
          <spPr>
            <a:ln>
              <a:prstDash val="solid"/>
            </a:ln>
          </spPr>
          <cat>
            <numRef>
              <f>'Gráficos de integración'!$A$66:$A$69</f>
            </numRef>
          </cat>
          <val>
            <numRef>
              <f>'Gráficos de integración'!$B$66:$B$69</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432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16</t>
        </is>
      </c>
    </row>
    <row r="6" ht="24" customHeight="1">
      <c r="A6" s="4" t="inlineStr">
        <is>
          <t>Diagnóstico Territorial — Plantilla DT Campo Check Validada V5 | Sistema de referencia: UTM WGS 84 Zona 17S (EPSG:32717) · Integrado con la ficha de campo F-DT vigente (Plantilla_DT_Campo_Bloque16_IN_Piura.xlsx) — V7 - resumen V6 + campo F-DT integrado</t>
        </is>
      </c>
    </row>
    <row r="7"/>
    <row r="8" ht="18" customHeight="1">
      <c r="A8" s="5" t="inlineStr">
        <is>
          <t>1. IDENTIFICACIÓN Y LOCALIZACIÓN</t>
        </is>
      </c>
    </row>
    <row r="9">
      <c r="A9" s="6" t="inlineStr">
        <is>
          <t>Código del bloque</t>
        </is>
      </c>
      <c r="B9" s="7" t="inlineStr">
        <is>
          <t>16</t>
        </is>
      </c>
      <c r="C9" s="6" t="inlineStr">
        <is>
          <t>Microcuenca (catálogo)</t>
        </is>
      </c>
      <c r="D9" s="7" t="inlineStr">
        <is>
          <t>C1076-Q9593</t>
        </is>
      </c>
      <c r="E9" s="8" t="n"/>
      <c r="F9" s="8" t="n"/>
    </row>
    <row r="10">
      <c r="A10" s="6" t="inlineStr">
        <is>
          <t>Zona de planificación</t>
        </is>
      </c>
      <c r="B10" s="7" t="inlineStr">
        <is>
          <t>Z14</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Laguna de Paltama</t>
        </is>
      </c>
      <c r="C13" s="6" t="inlineStr">
        <is>
          <t>Comunidad campesina</t>
        </is>
      </c>
      <c r="D13" s="7" t="inlineStr">
        <is>
          <t>Por determinar</t>
        </is>
      </c>
      <c r="E13" s="8" t="n"/>
      <c r="F13" s="8" t="n"/>
    </row>
    <row r="14">
      <c r="A14" s="6" t="inlineStr">
        <is>
          <t>Superficie de catálogo (V5/V6), ha</t>
        </is>
      </c>
      <c r="B14" s="7" t="n">
        <v>83.33</v>
      </c>
      <c r="C14" s="6" t="inlineStr">
        <is>
          <t>Fuente de superficie</t>
        </is>
      </c>
      <c r="D14" s="7" t="inlineStr">
        <is>
          <t>Catálogo maestro Bloques V5/V6</t>
        </is>
      </c>
      <c r="E14" s="8" t="n"/>
      <c r="F14" s="8" t="n"/>
    </row>
    <row r="15">
      <c r="A15" s="6" t="inlineStr">
        <is>
          <t>Centroide UTM ESTE (m)</t>
        </is>
      </c>
      <c r="B15" s="7" t="n">
        <v>652939</v>
      </c>
      <c r="C15" s="6" t="inlineStr">
        <is>
          <t>Centroide UTM NORTE (m)</t>
        </is>
      </c>
      <c r="D15" s="7" t="n">
        <v>9382105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1349</v>
      </c>
      <c r="C19" s="6" t="inlineStr">
        <is>
          <t>Altitud máxima (msnm)</t>
        </is>
      </c>
      <c r="D19" s="7" t="n">
        <v>1746</v>
      </c>
      <c r="E19" s="8" t="n"/>
      <c r="F19" s="8" t="n"/>
    </row>
    <row r="20">
      <c r="A20" s="6" t="inlineStr">
        <is>
          <t>Amplitud altitudinal (m)</t>
        </is>
      </c>
      <c r="B20" s="7" t="n">
        <v>397</v>
      </c>
      <c r="C20" s="6" t="inlineStr">
        <is>
          <t>Piso altitudinal dominante</t>
        </is>
      </c>
      <c r="D20" s="7" t="inlineStr">
        <is>
          <t>1500-2000 m (Quechua media)</t>
        </is>
      </c>
      <c r="E20" s="8" t="n"/>
      <c r="F20" s="8" t="n"/>
    </row>
    <row r="21">
      <c r="A21" s="6" t="inlineStr">
        <is>
          <t>Pendiente promedio (%)</t>
        </is>
      </c>
      <c r="B21" s="7" t="n">
        <v>22.34</v>
      </c>
      <c r="C21" s="6" t="inlineStr">
        <is>
          <t>Pendiente promedio (grados)</t>
        </is>
      </c>
      <c r="D21" s="7" t="n">
        <v>12.6</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0.6284</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(94.13 %)</t>
        </is>
      </c>
      <c r="E29" s="8" t="n"/>
      <c r="F29" s="8" t="n"/>
    </row>
    <row r="30">
      <c r="A30" s="6" t="inlineStr">
        <is>
          <t>Superficie clasificada NDVI 2025 (ha)</t>
        </is>
      </c>
      <c r="B30" s="7" t="n">
        <v>83.346</v>
      </c>
      <c r="C30" s="6" t="inlineStr">
        <is>
          <t>Desviación frente al catálogo (%)</t>
        </is>
      </c>
      <c r="D30" s="7" t="n">
        <v>0.02</v>
      </c>
      <c r="E30" s="8" t="n"/>
      <c r="F30" s="8" t="n"/>
    </row>
    <row r="31">
      <c r="A31" s="6" t="inlineStr">
        <is>
          <t>Superficie clasificada MSAVI 2024 (ha)</t>
        </is>
      </c>
      <c r="B31" s="38" t="n">
        <v>83.328</v>
      </c>
      <c r="C31" s="6" t="inlineStr">
        <is>
          <t>Desviación MSAVI frente al catálogo (%)</t>
        </is>
      </c>
      <c r="D31" s="39" t="n">
        <v>0</v>
      </c>
      <c r="E31" s="8" t="n"/>
      <c r="F31" s="8" t="n"/>
    </row>
    <row r="32">
      <c r="A32" s="6" t="inlineStr">
        <is>
          <t>Superficie bajo umbral MSAVI 0.4976 (ha)</t>
        </is>
      </c>
      <c r="B32" s="38" t="n">
        <v>6.081</v>
      </c>
      <c r="C32" s="6" t="inlineStr">
        <is>
          <t>% del bloque bajo umbral (brecha espectral)</t>
        </is>
      </c>
      <c r="D32" s="39" t="n">
        <v>7.3</v>
      </c>
      <c r="E32" s="8" t="n"/>
      <c r="F32" s="8" t="n"/>
    </row>
    <row r="33">
      <c r="A33" s="6" t="inlineStr">
        <is>
          <t>Clase DN dominante (MSAVI 2024)</t>
        </is>
      </c>
      <c r="B33" s="7" t="inlineStr">
        <is>
          <t>DN 5 · &gt; 0.6139 (Vigor alto)</t>
        </is>
      </c>
      <c r="C33" s="6" t="inlineStr">
        <is>
          <t>N.° de polígonos MSAVI del bloque</t>
        </is>
      </c>
      <c r="D33" s="40" t="n">
        <v>276</v>
      </c>
      <c r="E33" s="8" t="n"/>
      <c r="F33" s="8" t="n"/>
    </row>
    <row r="34"/>
    <row r="35" ht="18" customHeight="1">
      <c r="A35" s="5" t="inlineStr">
        <is>
          <t>4. ECOSISTEMA Y ESTADO DE CONSERVACIÓN</t>
        </is>
      </c>
    </row>
    <row r="36">
      <c r="A36" s="6" t="inlineStr">
        <is>
          <t>Tipo de ecosistema (UP)</t>
        </is>
      </c>
      <c r="B36" s="7" t="inlineStr">
        <is>
          <t>Bosque Estacionalmente Seco Colina/Montaña (Bes-cm)</t>
        </is>
      </c>
      <c r="C36" s="6" t="inlineStr">
        <is>
          <t>Superficie de ecosistema (ha)</t>
        </is>
      </c>
      <c r="D36" s="7" t="inlineStr">
        <is>
          <t>Por determinar</t>
        </is>
      </c>
      <c r="E36" s="8" t="n"/>
      <c r="F36" s="8" t="n"/>
    </row>
    <row r="37">
      <c r="A37" s="6" t="inlineStr">
        <is>
          <t>Estado de conservación</t>
        </is>
      </c>
      <c r="B37" s="7" t="inlineStr">
        <is>
          <t>Medianamente alterado</t>
        </is>
      </c>
      <c r="C37" s="6" t="inlineStr">
        <is>
          <t>Uso actual dominante del suelo</t>
        </is>
      </c>
      <c r="D37" s="7" t="inlineStr">
        <is>
          <t>Forestal protección</t>
        </is>
      </c>
      <c r="E37" s="8" t="n"/>
      <c r="F37" s="8" t="n"/>
    </row>
    <row r="38">
      <c r="A38" s="6" t="inlineStr">
        <is>
          <t>Tipo de cobertura dominante</t>
        </is>
      </c>
      <c r="B38" s="7" t="inlineStr">
        <is>
          <t>Matorral denso</t>
        </is>
      </c>
      <c r="C38" s="6" t="inlineStr">
        <is>
          <t>Cobertura vegetal total — campo (%)</t>
        </is>
      </c>
      <c r="D38" s="7" t="inlineStr">
        <is>
          <t>Por determinar</t>
        </is>
      </c>
      <c r="E38" s="8" t="n"/>
      <c r="F38" s="8" t="n"/>
    </row>
    <row r="39">
      <c r="A39" s="6" t="inlineStr">
        <is>
          <t>Suelo desnudo — campo (%)</t>
        </is>
      </c>
      <c r="B39" s="7" t="inlineStr">
        <is>
          <t>Por determinar</t>
        </is>
      </c>
      <c r="C39" s="6" t="inlineStr">
        <is>
          <t>Regeneración natural</t>
        </is>
      </c>
      <c r="D39" s="7" t="inlineStr">
        <is>
          <t>Por determinar</t>
        </is>
      </c>
      <c r="E39" s="8" t="n"/>
      <c r="F39" s="8" t="n"/>
    </row>
    <row r="40">
      <c r="A40" s="6" t="inlineStr">
        <is>
          <t>Nivel general de erosión</t>
        </is>
      </c>
      <c r="B40" s="7" t="inlineStr">
        <is>
          <t>Ligera (laminar)</t>
        </is>
      </c>
      <c r="C40" s="6" t="inlineStr">
        <is>
          <t>N.° de cárcavas registradas</t>
        </is>
      </c>
      <c r="D40" s="7" t="inlineStr">
        <is>
          <t>Por determinar</t>
        </is>
      </c>
      <c r="E40" s="8" t="n"/>
      <c r="F40" s="8" t="n"/>
    </row>
    <row r="41">
      <c r="A41" s="6" t="inlineStr">
        <is>
          <t>Elenco florístico (n.° de taxones)</t>
        </is>
      </c>
      <c r="B41" s="7" t="n">
        <v>7</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Brigada SESDI – IN Piura</t>
        </is>
      </c>
      <c r="C44" s="6" t="inlineStr">
        <is>
          <t>Fecha de evaluación</t>
        </is>
      </c>
      <c r="D44" s="7" t="inlineStr">
        <is>
          <t>2026-08-12</t>
        </is>
      </c>
      <c r="E44" s="8" t="n"/>
      <c r="F44" s="8" t="n"/>
    </row>
    <row r="45">
      <c r="A45" s="6" t="inlineStr">
        <is>
          <t>Hora de registro</t>
        </is>
      </c>
      <c r="B45" s="7" t="inlineStr">
        <is>
          <t>15:42 - 15:52 h</t>
        </is>
      </c>
      <c r="C45" s="6" t="inlineStr">
        <is>
          <t>Correlativo de ficha</t>
        </is>
      </c>
      <c r="D45" s="7" t="inlineStr">
        <is>
          <t>F-DT-01-B16-2026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t>
        </is>
      </c>
      <c r="E47" s="8" t="n"/>
      <c r="F47" s="8" t="n"/>
    </row>
    <row r="48">
      <c r="A48" s="6" t="inlineStr">
        <is>
          <t>Estaciones fotográficas georreferenciadas</t>
        </is>
      </c>
      <c r="B48" s="7" t="n">
        <v>6</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de borde asociada al corredor vial y al pastoreo extensivo del entorno del C.P. Laguna de Paltama</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16</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47.8809</v>
      </c>
      <c r="C10" s="31">
        <f>ROUND(B10/$B$15*100,2)</f>
        <v/>
      </c>
      <c r="D10" s="12" t="inlineStr">
        <is>
          <t>Vigor alto</t>
        </is>
      </c>
      <c r="E10" s="12" t="inlineStr">
        <is>
          <t>Sobre umbral</t>
        </is>
      </c>
    </row>
    <row r="11">
      <c r="A11" s="13" t="inlineStr">
        <is>
          <t>0.4976 - 0.6139 · DN 4</t>
        </is>
      </c>
      <c r="B11" s="20" t="n">
        <v>29.3656</v>
      </c>
      <c r="C11" s="21">
        <f>ROUND(B11/$B$15*100,2)</f>
        <v/>
      </c>
      <c r="D11" s="14" t="inlineStr">
        <is>
          <t>Vigor moderado</t>
        </is>
      </c>
      <c r="E11" s="14" t="inlineStr">
        <is>
          <t>Sobre umbral</t>
        </is>
      </c>
    </row>
    <row r="12">
      <c r="A12" s="7" t="inlineStr">
        <is>
          <t>0.3813 - 0.4976 · DN 3</t>
        </is>
      </c>
      <c r="B12" s="18" t="n">
        <v>5.8869</v>
      </c>
      <c r="C12" s="19">
        <f>ROUND(B12/$B$15*100,2)</f>
        <v/>
      </c>
      <c r="D12" s="15" t="inlineStr">
        <is>
          <t>Vigor bajo</t>
        </is>
      </c>
      <c r="E12" s="15" t="inlineStr">
        <is>
          <t>BAJO umbral 0.4976</t>
        </is>
      </c>
    </row>
    <row r="13">
      <c r="A13" s="13" t="inlineStr">
        <is>
          <t>0.2650 - 0.3813 · DN 2</t>
        </is>
      </c>
      <c r="B13" s="20" t="n">
        <v>0.1941</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276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83.33</v>
      </c>
      <c r="C18" s="49" t="inlineStr">
        <is>
          <t>—</t>
        </is>
      </c>
      <c r="D18" s="46" t="inlineStr">
        <is>
          <t>Desviación planimétrica frente al catálogo</t>
        </is>
      </c>
      <c r="E18" s="46" t="inlineStr">
        <is>
          <t>+0.00 %</t>
        </is>
      </c>
    </row>
    <row r="19">
      <c r="A19" s="16" t="inlineStr">
        <is>
          <t>MSAVI 2024 — MEDIA DEL BLOQUE</t>
        </is>
      </c>
      <c r="B19" s="17" t="n">
        <v>0.628423</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276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(0.6284)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78.4551</v>
      </c>
      <c r="C25" s="19" t="n">
        <v>94.13</v>
      </c>
      <c r="D25" s="15" t="inlineStr">
        <is>
          <t>Dosel continuo, matorral denso o mosaico agroforestal</t>
        </is>
      </c>
      <c r="E25" s="15" t="inlineStr"/>
    </row>
    <row r="26">
      <c r="A26" s="13" t="inlineStr">
        <is>
          <t>Vegetación mediana</t>
        </is>
      </c>
      <c r="B26" s="20" t="n">
        <v>4.8709</v>
      </c>
      <c r="C26" s="21" t="n">
        <v>5.84</v>
      </c>
      <c r="D26" s="14" t="inlineStr">
        <is>
          <t>Pastizal cultivado, matorral ralo, parcelas agrícolas</t>
        </is>
      </c>
      <c r="E26" s="14" t="inlineStr"/>
    </row>
    <row r="27">
      <c r="A27" s="7" t="inlineStr">
        <is>
          <t>Vegetación ligera</t>
        </is>
      </c>
      <c r="B27" s="18" t="n">
        <v>0.0199</v>
      </c>
      <c r="C27" s="19" t="n">
        <v>0.02</v>
      </c>
      <c r="D27" s="15" t="inlineStr">
        <is>
          <t>Cobertura discontinua, suelo parcialmente expuesto</t>
        </is>
      </c>
      <c r="E27" s="15" t="inlineStr"/>
    </row>
    <row r="28">
      <c r="A28" s="16" t="inlineStr">
        <is>
          <t>TOTAL CLASIFICADO</t>
        </is>
      </c>
      <c r="B28" s="22">
        <f>SUM(B25:B27)</f>
        <v/>
      </c>
      <c r="C28" s="23">
        <f>SUM(C25:C27)</f>
        <v/>
      </c>
      <c r="D28" s="17" t="inlineStr"/>
      <c r="E28" s="17" t="inlineStr"/>
    </row>
    <row r="29">
      <c r="A29" s="24" t="inlineStr">
        <is>
          <t>Superficie de catálogo (V5/V6)</t>
        </is>
      </c>
      <c r="B29" s="25" t="n">
        <v>83.33</v>
      </c>
      <c r="C29" s="25" t="inlineStr">
        <is>
          <t>—</t>
        </is>
      </c>
      <c r="D29" s="25" t="inlineStr">
        <is>
          <t>Desviación planimétrica frente al catálogo</t>
        </is>
      </c>
      <c r="E29" s="25" t="inlineStr">
        <is>
          <t>+0.02 %</t>
        </is>
      </c>
    </row>
    <row r="31" ht="72"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1" s="41" t="n"/>
      <c r="C31" s="41" t="n"/>
      <c r="D31" s="41" t="n"/>
      <c r="E31" s="42"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16</t>
        </is>
      </c>
    </row>
    <row r="6" ht="24" customHeight="1">
      <c r="A6" s="4" t="inlineStr">
        <is>
          <t>Levantamiento del 2026-08-12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652674</v>
      </c>
      <c r="D10" s="26" t="n">
        <v>9382061</v>
      </c>
      <c r="E10" s="15" t="n">
        <v>268.6</v>
      </c>
      <c r="F10" s="15" t="inlineStr"/>
      <c r="G10" s="15" t="inlineStr">
        <is>
          <t>Coordenada consignada en F-DT-01</t>
        </is>
      </c>
    </row>
    <row r="11">
      <c r="A11" s="13" t="inlineStr">
        <is>
          <t>H-01</t>
        </is>
      </c>
      <c r="B11" s="14" t="inlineStr">
        <is>
          <t>Fuente de agua — Quebrada estacional</t>
        </is>
      </c>
      <c r="C11" s="27" t="inlineStr">
        <is>
          <t>Por determinar</t>
        </is>
      </c>
      <c r="D11" s="27" t="inlineStr">
        <is>
          <t>Por determinar</t>
        </is>
      </c>
      <c r="E11" s="14" t="inlineStr"/>
      <c r="F11" s="14" t="inlineStr">
        <is>
          <t>Estacional</t>
        </is>
      </c>
      <c r="G11" s="14" t="inlineStr">
        <is>
          <t>Red de vaguadas tributarias</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652939</v>
      </c>
      <c r="C14" s="6" t="inlineStr">
        <is>
          <t>Centroide del bloque — UTM NORTE (m)</t>
        </is>
      </c>
      <c r="D14" s="7" t="n">
        <v>9382105</v>
      </c>
      <c r="E14" s="8" t="n"/>
      <c r="F14" s="8" t="n"/>
      <c r="G14" s="8" t="n"/>
      <c r="H14" s="8" t="n"/>
    </row>
    <row r="15">
      <c r="A15" s="6" t="inlineStr">
        <is>
          <t>N.° de estaciones fotográficas declaradas</t>
        </is>
      </c>
      <c r="B15" s="7" t="n">
        <v>6</v>
      </c>
      <c r="C15" s="6" t="inlineStr">
        <is>
          <t>Estaciones dentro del polígono</t>
        </is>
      </c>
      <c r="D15" s="7" t="n">
        <v>0</v>
      </c>
      <c r="E15" s="8" t="n"/>
      <c r="F15" s="8" t="n"/>
      <c r="G15" s="8" t="n"/>
      <c r="H15" s="8" t="n"/>
    </row>
    <row r="17" ht="96"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PRELLENADO DE GABINETE. Reconocimiento del 12-08-2026 por recorrido vehicular con registro fotográfico georreferenciado; la ficha NO fue diligenciada en campo. LAS SEIS ESTACIONES SE UBICAN FUERA DEL POLÍGONO (de ~47 m a ~332 m del borde): el interior del bloque no ha sido verificado.</t>
        </is>
      </c>
      <c r="B17" s="41" t="n"/>
      <c r="C17" s="41" t="n"/>
      <c r="D17" s="41" t="n"/>
      <c r="E17" s="41" t="n"/>
      <c r="F17" s="41" t="n"/>
      <c r="G17" s="42"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C1076-Q9593 — BLOQUE 16</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10</t>
        </is>
      </c>
      <c r="B10" s="28" t="n">
        <v>150.21</v>
      </c>
      <c r="C10" s="19" t="n">
        <v>28.67</v>
      </c>
      <c r="D10" s="15" t="inlineStr">
        <is>
          <t>912 – 1510</t>
        </is>
      </c>
      <c r="E10" s="15" t="n">
        <v>598</v>
      </c>
      <c r="F10" s="15" t="n">
        <v>27.39</v>
      </c>
      <c r="G10" s="18" t="n">
        <v>0.5465</v>
      </c>
      <c r="H10" s="19" t="n">
        <v>85.18000000000001</v>
      </c>
      <c r="I10" s="19" t="n">
        <v>28.51</v>
      </c>
    </row>
    <row r="11">
      <c r="A11" s="13" t="inlineStr">
        <is>
          <t>8</t>
        </is>
      </c>
      <c r="B11" s="29" t="n">
        <v>126.95</v>
      </c>
      <c r="C11" s="21" t="n">
        <v>24.23</v>
      </c>
      <c r="D11" s="14" t="inlineStr">
        <is>
          <t>1504 – 1970</t>
        </is>
      </c>
      <c r="E11" s="14" t="n">
        <v>466</v>
      </c>
      <c r="F11" s="14" t="n">
        <v>29.85</v>
      </c>
      <c r="G11" s="20" t="n">
        <v>0.5548</v>
      </c>
      <c r="H11" s="21" t="n">
        <v>72.25</v>
      </c>
      <c r="I11" s="21" t="n">
        <v>28.4</v>
      </c>
    </row>
    <row r="12">
      <c r="A12" s="11" t="inlineStr">
        <is>
          <t>► 16</t>
        </is>
      </c>
      <c r="B12" s="30" t="n">
        <v>83.33</v>
      </c>
      <c r="C12" s="31" t="n">
        <v>15.91</v>
      </c>
      <c r="D12" s="12" t="inlineStr">
        <is>
          <t>1349 – 1746</t>
        </is>
      </c>
      <c r="E12" s="12" t="n">
        <v>397</v>
      </c>
      <c r="F12" s="12" t="n">
        <v>22.34</v>
      </c>
      <c r="G12" s="32" t="n">
        <v>0.6284</v>
      </c>
      <c r="H12" s="31" t="n">
        <v>94.13</v>
      </c>
      <c r="I12" s="31" t="n">
        <v>7.3</v>
      </c>
    </row>
    <row r="13">
      <c r="A13" s="13" t="inlineStr">
        <is>
          <t>20</t>
        </is>
      </c>
      <c r="B13" s="29" t="n">
        <v>81.33</v>
      </c>
      <c r="C13" s="21" t="n">
        <v>15.52</v>
      </c>
      <c r="D13" s="14" t="inlineStr">
        <is>
          <t>1217 – 1607</t>
        </is>
      </c>
      <c r="E13" s="14" t="n">
        <v>390</v>
      </c>
      <c r="F13" s="14" t="n">
        <v>24.54</v>
      </c>
      <c r="G13" s="20" t="n">
        <v>0.4851</v>
      </c>
      <c r="H13" s="21" t="n">
        <v>52.44</v>
      </c>
      <c r="I13" s="21" t="n">
        <v>59.23</v>
      </c>
    </row>
    <row r="14">
      <c r="A14" s="7" t="inlineStr">
        <is>
          <t>80</t>
        </is>
      </c>
      <c r="B14" s="28" t="n">
        <v>28.83</v>
      </c>
      <c r="C14" s="19" t="n">
        <v>5.5</v>
      </c>
      <c r="D14" s="15" t="inlineStr">
        <is>
          <t>2180 – 2491</t>
        </is>
      </c>
      <c r="E14" s="15" t="n">
        <v>311</v>
      </c>
      <c r="F14" s="15" t="n">
        <v>32.9</v>
      </c>
      <c r="G14" s="18" t="n">
        <v>0.5931</v>
      </c>
      <c r="H14" s="19" t="n">
        <v>78.73</v>
      </c>
      <c r="I14" s="19" t="n">
        <v>16.88</v>
      </c>
    </row>
    <row r="15">
      <c r="A15" s="13" t="inlineStr">
        <is>
          <t>51</t>
        </is>
      </c>
      <c r="B15" s="29" t="n">
        <v>22.93</v>
      </c>
      <c r="C15" s="21" t="n">
        <v>4.38</v>
      </c>
      <c r="D15" s="14" t="inlineStr">
        <is>
          <t>1734 – 2018</t>
        </is>
      </c>
      <c r="E15" s="14" t="n">
        <v>284</v>
      </c>
      <c r="F15" s="14" t="n">
        <v>31.74</v>
      </c>
      <c r="G15" s="20" t="n">
        <v>0.5238</v>
      </c>
      <c r="H15" s="21" t="n">
        <v>69.45999999999999</v>
      </c>
      <c r="I15" s="21" t="n">
        <v>34.63</v>
      </c>
    </row>
    <row r="16">
      <c r="A16" s="7" t="inlineStr">
        <is>
          <t>76</t>
        </is>
      </c>
      <c r="B16" s="28" t="n">
        <v>19.62</v>
      </c>
      <c r="C16" s="19" t="n">
        <v>3.75</v>
      </c>
      <c r="D16" s="15" t="inlineStr">
        <is>
          <t>1647 – 1838</t>
        </is>
      </c>
      <c r="E16" s="15" t="n">
        <v>191</v>
      </c>
      <c r="F16" s="15" t="n">
        <v>26.25</v>
      </c>
      <c r="G16" s="18" t="n">
        <v>0.4925</v>
      </c>
      <c r="H16" s="19" t="n">
        <v>46.27</v>
      </c>
      <c r="I16" s="19" t="n">
        <v>54.14</v>
      </c>
    </row>
    <row r="17">
      <c r="A17" s="13" t="inlineStr">
        <is>
          <t>71</t>
        </is>
      </c>
      <c r="B17" s="29" t="n">
        <v>10.67</v>
      </c>
      <c r="C17" s="21" t="n">
        <v>2.04</v>
      </c>
      <c r="D17" s="14" t="inlineStr">
        <is>
          <t>1478 – 1609</t>
        </is>
      </c>
      <c r="E17" s="14" t="n">
        <v>131</v>
      </c>
      <c r="F17" s="14" t="n">
        <v>29.45</v>
      </c>
      <c r="G17" s="20" t="n">
        <v>0.5571</v>
      </c>
      <c r="H17" s="21" t="n">
        <v>81.37</v>
      </c>
      <c r="I17" s="21" t="n">
        <v>25.94</v>
      </c>
    </row>
    <row r="18">
      <c r="A18" s="16" t="inlineStr">
        <is>
          <t>TOTAL / PROMEDIO</t>
        </is>
      </c>
      <c r="B18" s="33">
        <f>SUM(B10:B17)</f>
        <v/>
      </c>
      <c r="C18" s="23">
        <f>SUM(C10:C17)</f>
        <v/>
      </c>
      <c r="D18" s="17" t="inlineStr">
        <is>
          <t>912 – 2491</t>
        </is>
      </c>
      <c r="E18" s="17" t="inlineStr"/>
      <c r="F18" s="17">
        <f>ROUND(AVERAGE(F10:F17),2)</f>
        <v/>
      </c>
      <c r="G18" s="22">
        <f>ROUND(AVERAGE(G10:G17),4)</f>
        <v/>
      </c>
      <c r="H18" s="23">
        <f>ROUND(AVERAGE(H10:H17),2)</f>
        <v/>
      </c>
      <c r="I18" s="23">
        <f>ROUND(AVERAGE(I10:I17),2)</f>
        <v/>
      </c>
    </row>
    <row r="20" ht="84" customHeight="1">
      <c r="A20" s="9" t="inlineStr">
        <is>
          <t>LECTURA INTRAMICROCUENCA. El bloque 16 ocupa el puesto 3 de 8 por superficie dentro de la microcuenca C1076-Q9593 (15.91 % de las 523.87 ha preliminares de la microcuenca). Su pendiente promedio (22.34 %, clase «15-25% (Fuert. inclinado)») es la 1.ª más baja de 8 y se sitúa por debajo del promedio de la microcuenca (28.06 %). Su MSAVI 2024 (0.6284) es el 1.º de 8 y queda por encima del promedio local (0.5477). Amplitud altitudinal del bloque: 397 m (1349–1746 msnm). El cuadro conserva todos los bloques catalogados en la microcuenca, incluidos los descartados en el tamizaje, para referencia del conjunto. Los bloques sin ficha DT figuran con sus parámetros de gabinete. BRECHA ESPECTRAL. El 7.30 % de la superficie del bloque (6.081 ha de 83.328 ha) se sitúa bajo el umbral MSAVI 0.4976, por debajo del promedio local de la microcuenca (31.88 %) calculado sobre los bloques con dato MSAVI disponible.</t>
        </is>
      </c>
      <c r="B20" s="41" t="n"/>
      <c r="C20" s="41" t="n"/>
      <c r="D20" s="41" t="n"/>
      <c r="E20" s="41" t="n"/>
      <c r="F20" s="41" t="n"/>
      <c r="G20" s="41" t="n"/>
      <c r="H20" s="41" t="n"/>
      <c r="I20" s="42" t="n"/>
    </row>
    <row r="22" ht="60" customHeight="1">
      <c r="A22"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2" s="41" t="n"/>
      <c r="C22" s="41" t="n"/>
      <c r="D22" s="41" t="n"/>
      <c r="E22" s="41" t="n"/>
      <c r="F22" s="41" t="n"/>
      <c r="G22" s="41" t="n"/>
      <c r="H22" s="41" t="n"/>
      <c r="I22" s="42" t="n"/>
    </row>
  </sheetData>
  <mergeCells count="9">
    <mergeCell ref="A2:I2"/>
    <mergeCell ref="A5:I5"/>
    <mergeCell ref="A1:I1"/>
    <mergeCell ref="A8:I8"/>
    <mergeCell ref="A3:I3"/>
    <mergeCell ref="A6:I6"/>
    <mergeCell ref="A22:I22"/>
    <mergeCell ref="A4:I4"/>
    <mergeCell ref="A20:I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16</t>
        </is>
      </c>
    </row>
    <row r="6">
      <c r="A6" s="51" t="inlineStr">
        <is>
          <t>Cruce de la ficha de campo F-DT vigente con la ficha de resumen de gabinete y el catálogo maestro. Integración 2026-09-11 21:26:23.</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«C1076-Q9593».</t>
        </is>
      </c>
      <c r="D9" s="55" t="inlineStr">
        <is>
          <t>CONFORME</t>
        </is>
      </c>
      <c r="E9" s="55" t="inlineStr">
        <is>
          <t>Sin acción.</t>
        </is>
      </c>
    </row>
    <row r="10">
      <c r="A10" s="56" t="inlineStr">
        <is>
          <t>G-02</t>
        </is>
      </c>
      <c r="B10" s="56" t="inlineStr">
        <is>
          <t>UTM del punto de muestreo</t>
        </is>
      </c>
      <c r="C10" s="56" t="inlineStr">
        <is>
          <t>El punto de muestreo declarado dista 268.6 m del centroide, dentro del radio de control.</t>
        </is>
      </c>
      <c r="D10" s="56" t="inlineStr">
        <is>
          <t>CONFORME</t>
        </is>
      </c>
      <c r="E10" s="56" t="inlineStr">
        <is>
          <t>Sin acción.</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No es posible contrastar la altitud GPS con el rango altitudinal del bloque: falta uno de los dos datos.</t>
        </is>
      </c>
      <c r="D12" s="56" t="inlineStr">
        <is>
          <t>NO SUSTANTIVA</t>
        </is>
      </c>
      <c r="E12" s="56" t="inlineStr">
        <is>
          <t>Se completa con la lectura GPS de F-DT-01 o con la estadística zonal del MDE.</t>
        </is>
      </c>
    </row>
    <row r="13">
      <c r="A13" s="55" t="inlineStr">
        <is>
          <t>G-05</t>
        </is>
      </c>
      <c r="B13" s="55" t="inlineStr">
        <is>
          <t>Superficie NDVI vs. catálogo</t>
        </is>
      </c>
      <c r="C13" s="55" t="inlineStr">
        <is>
          <t>La superficie clasificada por el NDVI mediana 2025 (83.346 ha) se desvía 0.02 % de la superficie de catálogo (83.33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(83.328 ha) se desvía -0.00 % de la superficie de catálogo (83.33 ha).</t>
        </is>
      </c>
      <c r="D14" s="56" t="inlineStr">
        <is>
          <t>CONFORME</t>
        </is>
      </c>
      <c r="E14" s="56" t="inlineStr">
        <is>
          <t>Sin acción: la segmentación valida la geometría del bloque.</t>
        </is>
      </c>
    </row>
    <row r="15">
      <c r="A15" s="55" t="inlineStr">
        <is>
          <t>G-07</t>
        </is>
      </c>
      <c r="B15" s="55" t="inlineStr">
        <is>
          <t>Brecha espectral MSAVI</t>
        </is>
      </c>
      <c r="C15" s="55" t="inlineStr">
        <is>
          <t>El 7.30 % del bloque queda bajo el umbral 0.4976; superficie de brecha 6.0810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83.33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(0.6284) cae en la clase «&gt; 0.6139 (Vigor alto)» y la clase DN dominante por superficie es «DN 5 · &gt; 0.6139 (Vigor alto)».</t>
        </is>
      </c>
      <c r="D17" s="55" t="inlineStr">
        <is>
          <t>CONFORME</t>
        </is>
      </c>
      <c r="E17" s="55" t="inlineStr">
        <is>
          <t>Sin acción: media y clase dominante son coherentes.</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F-01</t>
        </is>
      </c>
      <c r="B19" s="55" t="inlineStr">
        <is>
          <t>Fichas F-DT levantadas</t>
        </is>
      </c>
      <c r="C19" s="55" t="inlineStr">
        <is>
          <t>La plantilla de campo trae las cinco fichas F-DT-01 a F-DT-05 (completitud 75.0 % de los campos esperados).</t>
        </is>
      </c>
      <c r="D19" s="55" t="inlineStr">
        <is>
          <t>CONFORME</t>
        </is>
      </c>
      <c r="E19" s="55" t="inlineStr">
        <is>
          <t>Sin acción.</t>
        </is>
      </c>
    </row>
    <row r="20">
      <c r="A20" s="56" t="inlineStr">
        <is>
          <t>F-02</t>
        </is>
      </c>
      <c r="B20" s="56" t="inlineStr">
        <is>
          <t>Cobertura de la integración</t>
        </is>
      </c>
      <c r="C20" s="56" t="inlineStr">
        <is>
          <t>Se declararon 81 de 114 hechos integrados (71.1 %); 33 quedan sin dato en ninguna fuente.</t>
        </is>
      </c>
      <c r="D20" s="56" t="inlineStr">
        <is>
          <t>CONFORME</t>
        </is>
      </c>
      <c r="E20" s="56" t="inlineStr">
        <is>
          <t>Sin acción.</t>
        </is>
      </c>
    </row>
    <row r="21">
      <c r="A21" s="55" t="inlineStr">
        <is>
          <t>H-01</t>
        </is>
      </c>
      <c r="B21" s="55" t="inlineStr">
        <is>
          <t>Rango altitudinal / piso ecológico</t>
        </is>
      </c>
      <c r="C21" s="55" t="inlineStr">
        <is>
          <t>La ficha DT declara «1000-1500 m (Quechua baja)»; el MDE sitúa el bloque entre 1349 y 1746 msnm, cuyo punto medio corresponde a «1500-2000 m (Quechua media)»</t>
        </is>
      </c>
      <c r="D21" s="55" t="inlineStr">
        <is>
          <t>NO SUSTANTIVA</t>
        </is>
      </c>
      <c r="E21" s="55" t="inlineStr">
        <is>
          <t>Se declara la divergencia. El bloque abarca más de un piso altitudinal cuando la amplitud supera el ancho de la clase; el registro de campo corresponde al sector recorrido. (Verificación heredada de la ficha de resumen V6.)</t>
        </is>
      </c>
    </row>
    <row r="22">
      <c r="A22" s="56" t="inlineStr">
        <is>
          <t>H-02</t>
        </is>
      </c>
      <c r="B22" s="56" t="inlineStr">
        <is>
          <t>Inventario georreferenciado de cárcavas</t>
        </is>
      </c>
      <c r="C22" s="56" t="inlineStr">
        <is>
          <t>El inventario de cárcavas no fue ejecutado o no consta en la ficha DT</t>
        </is>
      </c>
      <c r="D22" s="56" t="inlineStr">
        <is>
          <t>SUSTANTIVA</t>
        </is>
      </c>
      <c r="E22" s="56" t="inlineStr">
        <is>
          <t>La ausencia de registros NO equivale a ausencia verificada de cárcavas. Queda pendiente el levantamiento instrumental a cargo del especialista de Infraestructura Marrón antes de fijar metas físicas de infraestructura gris. (Verificación heredada de la ficha de resumen V6.)</t>
        </is>
      </c>
    </row>
    <row r="23">
      <c r="A23" s="55" t="inlineStr">
        <is>
          <t>H-03</t>
        </is>
      </c>
      <c r="B23" s="55" t="inlineStr">
        <is>
          <t>Elenco florístico</t>
        </is>
      </c>
      <c r="C23" s="55" t="inlineStr">
        <is>
          <t>La ficha registra 7 taxones, por debajo del mínimo de 15 que exige el formato V5</t>
        </is>
      </c>
      <c r="D23" s="55" t="inlineStr">
        <is>
          <t>SUSTANTIVA</t>
        </is>
      </c>
      <c r="E23" s="55" t="inlineStr">
        <is>
          <t>Registro florístico preliminar, sin colecta ni determinación botánica formal. Debe cerrarse con colecta botánica en la siguiente campaña. (Verificación heredada de la ficha de resumen V6.)</t>
        </is>
      </c>
    </row>
    <row r="24">
      <c r="A24" s="56" t="inlineStr">
        <is>
          <t>H-04</t>
        </is>
      </c>
      <c r="B24" s="56" t="inlineStr">
        <is>
          <t>Representatividad del levantamiento</t>
        </is>
      </c>
      <c r="C24" s="56" t="inlineStr">
        <is>
          <t>Ninguna de las estaciones fotográficas georreferenciadas se localiza dentro del polígono del bloque</t>
        </is>
      </c>
      <c r="D24" s="56" t="inlineStr">
        <is>
          <t>SUSTANTIVA</t>
        </is>
      </c>
      <c r="E24" s="56" t="inlineStr">
        <is>
          <t>La verificación documenta el perímetro y la vista panorámica del bloque, no su interior. Los parámetros que exigen recorrido interno se consignan «Por determinar». (Verificación heredada de la ficha de resumen V6.)</t>
        </is>
      </c>
    </row>
    <row r="25">
      <c r="A25" s="55" t="inlineStr">
        <is>
          <t>H-05</t>
        </is>
      </c>
      <c r="B25" s="55" t="inlineStr">
        <is>
          <t>Centro poblado asociado</t>
        </is>
      </c>
      <c r="C25" s="55" t="inlineStr">
        <is>
          <t>La ficha DT declara «Laguna de Paltama»; el cruce INEI-Bloques V5 identifica 1 centro(s) poblado(s) en el bloque: LAGUNA DE PALTAMA</t>
        </is>
      </c>
      <c r="D25" s="55" t="inlineStr">
        <is>
          <t>CONFORME</t>
        </is>
      </c>
      <c r="E25" s="55" t="inlineStr">
        <is>
          <t>Se conserva el registro de campo como referencia y se adopta el listado INEI para el diagnóstico social y el cálculo de población beneficiaria. (Verificación heredada de la ficha de resumen V6.)</t>
        </is>
      </c>
    </row>
    <row r="27">
      <c r="A27" s="57" t="inlineStr">
        <is>
          <t>RESUMEN</t>
        </is>
      </c>
      <c r="B27" s="58" t="inlineStr">
        <is>
          <t>17 verificaciones</t>
        </is>
      </c>
      <c r="C27" s="58" t="inlineStr">
        <is>
          <t>SUSTANTIVA: 4 · NO SUSTANTIVA: 2 · CONFORME: 11</t>
        </is>
      </c>
    </row>
    <row r="29">
      <c r="A29"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29:E29"/>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16</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t>
        </is>
      </c>
      <c r="B9" s="55" t="inlineStr">
        <is>
          <t>Sin cambios: la ficha de campo confirma el libro V6</t>
        </is>
      </c>
      <c r="C9" s="55" t="inlineStr"/>
      <c r="D9" s="55" t="inlineStr"/>
      <c r="E9" s="55" t="inlineStr"/>
    </row>
    <row r="11">
      <c r="A11" s="53" t="inlineStr">
        <is>
          <t>B. HECHOS APORTADOS ÚNICAMENTE POR LA FICHA DE CAMPO</t>
        </is>
      </c>
    </row>
    <row r="12">
      <c r="A12" s="54" t="inlineStr">
        <is>
          <t>Sección</t>
        </is>
      </c>
      <c r="B12" s="54" t="inlineStr">
        <is>
          <t>Hecho</t>
        </is>
      </c>
      <c r="C12" s="54" t="inlineStr">
        <is>
          <t>Valor</t>
        </is>
      </c>
      <c r="D12" s="54" t="inlineStr">
        <is>
          <t>Unidad</t>
        </is>
      </c>
    </row>
    <row r="13">
      <c r="A13" s="55" t="inlineStr">
        <is>
          <t>1. Identificación y localización</t>
        </is>
      </c>
      <c r="B13" s="55" t="inlineStr">
        <is>
          <t>UTM ESTE del punto de muestreo (m)</t>
        </is>
      </c>
      <c r="C13" s="55" t="inlineStr">
        <is>
          <t>652674</t>
        </is>
      </c>
      <c r="D13" s="55" t="inlineStr">
        <is>
          <t>m</t>
        </is>
      </c>
    </row>
    <row r="14">
      <c r="A14" s="56" t="inlineStr">
        <is>
          <t>1. Identificación y localización</t>
        </is>
      </c>
      <c r="B14" s="56" t="inlineStr">
        <is>
          <t>UTM NORTE del punto de muestreo (m)</t>
        </is>
      </c>
      <c r="C14" s="56" t="inlineStr">
        <is>
          <t>9382061</t>
        </is>
      </c>
      <c r="D14" s="56" t="inlineStr">
        <is>
          <t>m</t>
        </is>
      </c>
    </row>
    <row r="15">
      <c r="A15" s="55" t="inlineStr">
        <is>
          <t>2. Parámetros físicos del terreno</t>
        </is>
      </c>
      <c r="B15" s="55" t="inlineStr">
        <is>
          <t>Piso altitudinal del punto de muestreo</t>
        </is>
      </c>
      <c r="C15" s="55" t="inlineStr">
        <is>
          <t>1000-1500 m (Quechua baja)</t>
        </is>
      </c>
      <c r="D15" s="55" t="inlineStr"/>
    </row>
    <row r="16">
      <c r="A16" s="56" t="inlineStr">
        <is>
          <t>2. Parámetros físicos del terreno</t>
        </is>
      </c>
      <c r="B16" s="56" t="inlineStr">
        <is>
          <t>Paisaje dominante descrito en campo</t>
        </is>
      </c>
      <c r="C16" s="56" t="inlineStr">
        <is>
          <t>Laderas tributarias de la quebrada Q9593 entre 1349 y 1746 msnm (amplitud 397 m), pendiente promedio 22.34 % (MDE). Mosaico de bosque estacionalmente seco de colina y montaña, matorral con cactáceas columnares y faique, pastizal seco y parcelas agrícolas en fuerte pendiente.</t>
        </is>
      </c>
      <c r="D16" s="56" t="inlineStr"/>
    </row>
    <row r="17">
      <c r="A17" s="55" t="inlineStr">
        <is>
          <t>2. Parámetros físicos del terreno</t>
        </is>
      </c>
      <c r="B17" s="55" t="inlineStr">
        <is>
          <t>Reptación de suelo</t>
        </is>
      </c>
      <c r="C17" s="55" t="inlineStr">
        <is>
          <t>No</t>
        </is>
      </c>
      <c r="D17" s="55" t="inlineStr"/>
    </row>
    <row r="18">
      <c r="A18" s="56" t="inlineStr">
        <is>
          <t>2. Parámetros físicos del terreno</t>
        </is>
      </c>
      <c r="B18" s="56" t="inlineStr">
        <is>
          <t>Deslizamientos antiguos</t>
        </is>
      </c>
      <c r="C18" s="56" t="inlineStr">
        <is>
          <t>No</t>
        </is>
      </c>
      <c r="D18" s="56" t="inlineStr"/>
    </row>
    <row r="19">
      <c r="A19" s="55" t="inlineStr">
        <is>
          <t>4. Suelos y erosión (F-DT-02)</t>
        </is>
      </c>
      <c r="B19" s="55" t="inlineStr">
        <is>
          <t>Nivel de erosión - síntesis de campo</t>
        </is>
      </c>
      <c r="C19" s="55" t="inlineStr">
        <is>
          <t>Ligera (laminar)</t>
        </is>
      </c>
      <c r="D19" s="55" t="inlineStr"/>
    </row>
    <row r="20">
      <c r="A20" s="56" t="inlineStr">
        <is>
          <t>4. Suelos y erosión (F-DT-02)</t>
        </is>
      </c>
      <c r="B20" s="56" t="inlineStr">
        <is>
          <t>Patrón de cárcavas</t>
        </is>
      </c>
      <c r="C20" s="56" t="inlineStr">
        <is>
          <t>Lineal</t>
        </is>
      </c>
      <c r="D20" s="56" t="inlineStr"/>
    </row>
    <row r="21">
      <c r="A21" s="55" t="inlineStr">
        <is>
          <t>5. Ecosistema, cobertura y flora (F-DT-03)</t>
        </is>
      </c>
      <c r="B21" s="55" t="inlineStr">
        <is>
          <t>Presencia de epífitas</t>
        </is>
      </c>
      <c r="C21" s="55" t="inlineStr">
        <is>
          <t>No</t>
        </is>
      </c>
      <c r="D21" s="55" t="inlineStr"/>
    </row>
    <row r="22">
      <c r="A22" s="56" t="inlineStr">
        <is>
          <t>5. Ecosistema, cobertura y flora (F-DT-03)</t>
        </is>
      </c>
      <c r="B22" s="56" t="inlineStr">
        <is>
          <t>Fenología dominante</t>
        </is>
      </c>
      <c r="C22" s="56" t="inlineStr">
        <is>
          <t>Vegetativo</t>
        </is>
      </c>
      <c r="D22" s="56" t="inlineStr"/>
    </row>
    <row r="23">
      <c r="A23" s="55" t="inlineStr">
        <is>
          <t>5. Ecosistema, cobertura y flora (F-DT-03)</t>
        </is>
      </c>
      <c r="B23" s="55" t="inlineStr">
        <is>
          <t>Dimensiones de la parcela (m)</t>
        </is>
      </c>
      <c r="C23" s="55" t="inlineStr">
        <is>
          <t>No aplica</t>
        </is>
      </c>
      <c r="D23" s="55" t="inlineStr"/>
    </row>
    <row r="24">
      <c r="A24" s="56" t="inlineStr">
        <is>
          <t>5. Ecosistema, cobertura y flora (F-DT-03)</t>
        </is>
      </c>
      <c r="B24" s="56" t="inlineStr">
        <is>
          <t>Pendiente de la parcela (%)</t>
        </is>
      </c>
      <c r="C24" s="56" t="inlineStr">
        <is>
          <t>22.34</t>
        </is>
      </c>
      <c r="D24" s="56" t="inlineStr">
        <is>
          <t>%</t>
        </is>
      </c>
    </row>
    <row r="25">
      <c r="A25" s="55" t="inlineStr">
        <is>
          <t>5. Ecosistema, cobertura y flora (F-DT-03)</t>
        </is>
      </c>
      <c r="B25" s="55" t="inlineStr">
        <is>
          <t>Especies clave georreferenciadas</t>
        </is>
      </c>
      <c r="C25" s="55" t="inlineStr">
        <is>
          <t>2</t>
        </is>
      </c>
      <c r="D25" s="55" t="inlineStr"/>
    </row>
    <row r="26">
      <c r="A26" s="56" t="inlineStr">
        <is>
          <t>6. Degradación, causas y urgencia (F-DT-04)</t>
        </is>
      </c>
      <c r="B26" s="56" t="inlineStr">
        <is>
          <t>Causas directas de la degradación</t>
        </is>
      </c>
      <c r="C26" s="56" t="inlineStr">
        <is>
          <t>Presión perimetral de baja intensidad: pastoreo extensivo y sendero de herradura en la ladera de aproximación, y trocha carrozable adyacente a los límites oeste y sur. No se identificó causa activa dentro del polígono.</t>
        </is>
      </c>
      <c r="D26" s="56" t="inlineStr"/>
    </row>
    <row r="27">
      <c r="A27" s="55" t="inlineStr">
        <is>
          <t>6. Degradación, causas y urgencia (F-DT-04)</t>
        </is>
      </c>
      <c r="B27" s="55" t="inlineStr">
        <is>
          <t>N.° de causas activas en la matriz F-DT-04</t>
        </is>
      </c>
      <c r="C27" s="55" t="inlineStr">
        <is>
          <t>16</t>
        </is>
      </c>
      <c r="D27" s="55" t="inlineStr"/>
    </row>
    <row r="28">
      <c r="A28" s="56" t="inlineStr">
        <is>
          <t>7. Hidrología, acceso y logística (F-DT-05)</t>
        </is>
      </c>
      <c r="B28" s="56" t="inlineStr">
        <is>
          <t>Fuentes de agua inventariadas</t>
        </is>
      </c>
      <c r="C28" s="56" t="inlineStr">
        <is>
          <t>1</t>
        </is>
      </c>
      <c r="D28" s="56" t="inlineStr"/>
    </row>
    <row r="29">
      <c r="A29" s="55" t="inlineStr">
        <is>
          <t>7. Hidrología, acceso y logística (F-DT-05)</t>
        </is>
      </c>
      <c r="B29" s="55" t="inlineStr">
        <is>
          <t>Vía principal de acceso</t>
        </is>
      </c>
      <c r="C29" s="55" t="inlineStr">
        <is>
          <t>Trocha carrozable de acceso al C.P. Laguna de Paltama (sin código MTC verificado)</t>
        </is>
      </c>
      <c r="D29" s="55" t="inlineStr"/>
    </row>
    <row r="30">
      <c r="A30" s="56" t="inlineStr">
        <is>
          <t>7. Hidrología, acceso y logística (F-DT-05)</t>
        </is>
      </c>
      <c r="B30" s="56" t="inlineStr">
        <is>
          <t>Tipo de vía del tramo final</t>
        </is>
      </c>
      <c r="C30" s="56" t="inlineStr">
        <is>
          <t>Trocha carrozable</t>
        </is>
      </c>
      <c r="D30" s="56" t="inlineStr"/>
    </row>
    <row r="31">
      <c r="A31" s="55" t="inlineStr">
        <is>
          <t>7. Hidrología, acceso y logística (F-DT-05)</t>
        </is>
      </c>
      <c r="B31" s="55" t="inlineStr">
        <is>
          <t>Transitabilidad en época seca</t>
        </is>
      </c>
      <c r="C31" s="55" t="inlineStr">
        <is>
          <t>Medio</t>
        </is>
      </c>
      <c r="D31" s="55" t="inlineStr"/>
    </row>
    <row r="32">
      <c r="A32" s="56" t="inlineStr">
        <is>
          <t>7. Hidrología, acceso y logística (F-DT-05)</t>
        </is>
      </c>
      <c r="B32" s="56" t="inlineStr">
        <is>
          <t>Transitabilidad en época lluviosa</t>
        </is>
      </c>
      <c r="C32" s="56" t="inlineStr">
        <is>
          <t>Bajo</t>
        </is>
      </c>
      <c r="D32" s="56" t="inlineStr"/>
    </row>
    <row r="34">
      <c r="A34" s="53" t="inlineStr">
        <is>
          <t>C. PROCEDENCIA DE LOS HECHOS DECLARADOS</t>
        </is>
      </c>
    </row>
    <row r="35">
      <c r="A35" s="54" t="inlineStr">
        <is>
          <t>Fuente</t>
        </is>
      </c>
      <c r="B35" s="54" t="inlineStr">
        <is>
          <t>Hechos</t>
        </is>
      </c>
      <c r="C35" s="54" t="inlineStr">
        <is>
          <t>Alcance de la fuente</t>
        </is>
      </c>
    </row>
    <row r="36">
      <c r="A36" s="55" t="inlineStr">
        <is>
          <t>Dato de campo</t>
        </is>
      </c>
      <c r="B36" s="55" t="n">
        <v>47</v>
      </c>
      <c r="C36" s="55" t="inlineStr">
        <is>
          <t>Verificación en campo. Fichas F-DT-01 a F-DT-05 de la Plantilla DT Campo Check Validada V5, suscritas por el evaluador.</t>
        </is>
      </c>
    </row>
    <row r="37">
      <c r="A37" s="56" t="inlineStr">
        <is>
          <t>Gabinete (GIS / teledetección)</t>
        </is>
      </c>
      <c r="B37" s="56" t="n">
        <v>20</v>
      </c>
      <c r="C37" s="56" t="inlineStr">
        <is>
          <t>Gabinete. Estadística zonal sobre el MDE y compuestos Sentinel-2 (NDVI mediana 2025, MSAVI 2024 por clase DN).</t>
        </is>
      </c>
    </row>
    <row r="38">
      <c r="A38" s="55" t="inlineStr">
        <is>
          <t>Fuente oficial</t>
        </is>
      </c>
      <c r="B38" s="55" t="n">
        <v>14</v>
      </c>
      <c r="C38" s="55" t="inlineStr">
        <is>
          <t>Fuente oficial. Catálogo maestro Bloques V5/V6, división política INEI y codificación de microcuencas de la ANA.</t>
        </is>
      </c>
    </row>
    <row r="40">
      <c r="A40" s="53" t="inlineStr">
        <is>
          <t>D. ESTADO DEL CRUCE ENTRE FUENTES</t>
        </is>
      </c>
    </row>
    <row r="41">
      <c r="A41" s="54" t="inlineStr">
        <is>
          <t>Estado</t>
        </is>
      </c>
      <c r="B41" s="54" t="inlineStr">
        <is>
          <t>Hechos</t>
        </is>
      </c>
      <c r="C41" s="54" t="inlineStr">
        <is>
          <t>Significado</t>
        </is>
      </c>
    </row>
    <row r="42">
      <c r="A42" s="55" t="inlineStr">
        <is>
          <t>CONFORME</t>
        </is>
      </c>
      <c r="B42" s="55" t="n">
        <v>81</v>
      </c>
      <c r="C42" s="55" t="inlineStr">
        <is>
          <t>Las dos fuentes declaran lo mismo, o solo la fuente que manda sobre el hecho lo declara.</t>
        </is>
      </c>
    </row>
    <row r="43">
      <c r="A43" s="56" t="inlineStr">
        <is>
          <t>COMPLEMENTADO</t>
        </is>
      </c>
      <c r="B43" s="56" t="n">
        <v>0</v>
      </c>
      <c r="C43" s="56" t="inlineStr">
        <is>
          <t>Solo una de las fuentes lo declara y se adopta ese valor.</t>
        </is>
      </c>
    </row>
    <row r="44">
      <c r="A44" s="55" t="inlineStr">
        <is>
          <t>ACTUALIZADO</t>
        </is>
      </c>
      <c r="B44" s="55" t="n">
        <v>0</v>
      </c>
      <c r="C44" s="55" t="inlineStr">
        <is>
          <t>La verificación de campo vigente corrige lo que traía el libro de resumen.</t>
        </is>
      </c>
    </row>
    <row r="45">
      <c r="A45" s="56" t="inlineStr">
        <is>
          <t>DISCREPANTE</t>
        </is>
      </c>
      <c r="B45" s="56" t="n">
        <v>0</v>
      </c>
      <c r="C45" s="56" t="inlineStr">
        <is>
          <t>Las fuentes se contradicen; prevalece la que manda sobre el hecho y la otra queda declarada.</t>
        </is>
      </c>
    </row>
    <row r="46">
      <c r="A46" s="55" t="inlineStr">
        <is>
          <t>PENDIENTE</t>
        </is>
      </c>
      <c r="B46" s="55" t="n">
        <v>33</v>
      </c>
      <c r="C46"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16</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Sin cárcavas inventariadas en el tramo verificado</t>
        </is>
      </c>
      <c r="B9" s="55" t="inlineStr"/>
      <c r="C9" s="55" t="inlineStr"/>
      <c r="D9" s="55" t="inlineStr"/>
      <c r="E9" s="55" t="inlineStr"/>
      <c r="F9" s="55" t="inlineStr"/>
      <c r="G9" s="55" t="inlineStr"/>
      <c r="H9" s="55" t="inlineStr"/>
      <c r="I9" s="55" t="inlineStr"/>
    </row>
    <row r="11">
      <c r="A11" s="53" t="inlineStr">
        <is>
          <t>F-DT-03 · ELENCO FLORÍSTICO</t>
        </is>
      </c>
    </row>
    <row r="12">
      <c r="A12" s="54" t="inlineStr">
        <is>
          <t>N.o</t>
        </is>
      </c>
      <c r="B12" s="54" t="inlineStr">
        <is>
          <t>Nombre común</t>
        </is>
      </c>
      <c r="C12" s="54" t="inlineStr">
        <is>
          <t>Nombre científico</t>
        </is>
      </c>
      <c r="D12" s="54" t="inlineStr">
        <is>
          <t>Familia</t>
        </is>
      </c>
      <c r="E12" s="54" t="inlineStr">
        <is>
          <t>Estrato</t>
        </is>
      </c>
      <c r="F12" s="54" t="inlineStr">
        <is>
          <t>Origen</t>
        </is>
      </c>
      <c r="G12" s="54" t="inlineStr">
        <is>
          <t>Abundancia</t>
        </is>
      </c>
      <c r="H12" s="54" t="inlineStr">
        <is>
          <t>DAP (cm)</t>
        </is>
      </c>
      <c r="I12" s="54" t="inlineStr">
        <is>
          <t>Altura (m)</t>
        </is>
      </c>
    </row>
    <row r="13">
      <c r="A13" s="55" t="inlineStr">
        <is>
          <t>1</t>
        </is>
      </c>
      <c r="B13" s="55" t="inlineStr">
        <is>
          <t>Faique</t>
        </is>
      </c>
      <c r="C13" s="55" t="inlineStr">
        <is>
          <t>Vachellia macracantha</t>
        </is>
      </c>
      <c r="D13" s="55" t="inlineStr">
        <is>
          <t>Fabaceae</t>
        </is>
      </c>
      <c r="E13" s="55" t="inlineStr">
        <is>
          <t>Arbóreo bajo (4-8 m)</t>
        </is>
      </c>
      <c r="F13" s="55" t="inlineStr">
        <is>
          <t>Nativa</t>
        </is>
      </c>
      <c r="G13" s="55" t="inlineStr">
        <is>
          <t>Frecuente (5-20%)</t>
        </is>
      </c>
      <c r="H13" s="55" t="n"/>
      <c r="I13" s="55" t="n"/>
    </row>
    <row r="14">
      <c r="A14" s="56" t="inlineStr">
        <is>
          <t>2</t>
        </is>
      </c>
      <c r="B14" s="56" t="inlineStr">
        <is>
          <t>Cactácea columnar</t>
        </is>
      </c>
      <c r="C14" s="56" t="inlineStr">
        <is>
          <t>Armatocereus sp. / Neoraimondia sp.</t>
        </is>
      </c>
      <c r="D14" s="56" t="inlineStr">
        <is>
          <t>Cactaceae</t>
        </is>
      </c>
      <c r="E14" s="56" t="inlineStr">
        <is>
          <t>Arbustivo alto (1.5-4 m)</t>
        </is>
      </c>
      <c r="F14" s="56" t="inlineStr">
        <is>
          <t>Nativa</t>
        </is>
      </c>
      <c r="G14" s="56" t="inlineStr">
        <is>
          <t>Ocasional (1-5%)</t>
        </is>
      </c>
      <c r="H14" s="56" t="n"/>
      <c r="I14" s="56" t="n"/>
    </row>
    <row r="15">
      <c r="A15" s="55" t="inlineStr">
        <is>
          <t>3</t>
        </is>
      </c>
      <c r="B15" s="55" t="inlineStr">
        <is>
          <t>Arbustivas de bosque estacionalmente seco</t>
        </is>
      </c>
      <c r="C15" s="55" t="inlineStr">
        <is>
          <t>Por determinar</t>
        </is>
      </c>
      <c r="D15" s="55" t="inlineStr">
        <is>
          <t>Por determinar</t>
        </is>
      </c>
      <c r="E15" s="55" t="inlineStr">
        <is>
          <t>Arbustivo alto (1.5-4 m)</t>
        </is>
      </c>
      <c r="F15" s="55" t="inlineStr">
        <is>
          <t>Nativa</t>
        </is>
      </c>
      <c r="G15" s="55" t="inlineStr">
        <is>
          <t>Abundante (20-40%)</t>
        </is>
      </c>
      <c r="H15" s="55" t="n"/>
      <c r="I15" s="55" t="n"/>
    </row>
    <row r="16">
      <c r="A16" s="56" t="inlineStr">
        <is>
          <t>4</t>
        </is>
      </c>
      <c r="B16" s="56" t="inlineStr">
        <is>
          <t>Arbusto de flor blanca</t>
        </is>
      </c>
      <c r="C16" s="56" t="inlineStr">
        <is>
          <t>Asteraceae por determinar</t>
        </is>
      </c>
      <c r="D16" s="56" t="inlineStr">
        <is>
          <t>Asteraceae</t>
        </is>
      </c>
      <c r="E16" s="56" t="inlineStr">
        <is>
          <t>Arbustivo alto (1.5-4 m)</t>
        </is>
      </c>
      <c r="F16" s="56" t="inlineStr">
        <is>
          <t>Nativa</t>
        </is>
      </c>
      <c r="G16" s="56" t="inlineStr">
        <is>
          <t>Frecuente (5-20%)</t>
        </is>
      </c>
      <c r="H16" s="56" t="n"/>
      <c r="I16" s="56" t="n"/>
    </row>
    <row r="17">
      <c r="A17" s="55" t="inlineStr">
        <is>
          <t>5</t>
        </is>
      </c>
      <c r="B17" s="55" t="inlineStr">
        <is>
          <t>Gramíneas / pastos naturales</t>
        </is>
      </c>
      <c r="C17" s="55" t="inlineStr">
        <is>
          <t>Poaceae por determinar</t>
        </is>
      </c>
      <c r="D17" s="55" t="inlineStr">
        <is>
          <t>Poaceae</t>
        </is>
      </c>
      <c r="E17" s="55" t="inlineStr">
        <is>
          <t>Herbáceo (&lt;0.5 m)</t>
        </is>
      </c>
      <c r="F17" s="55" t="inlineStr">
        <is>
          <t>Nativa</t>
        </is>
      </c>
      <c r="G17" s="55" t="inlineStr">
        <is>
          <t>Frecuente (5-20%)</t>
        </is>
      </c>
      <c r="H17" s="55" t="n"/>
      <c r="I17" s="55" t="n"/>
    </row>
    <row r="18">
      <c r="A18" s="56" t="inlineStr">
        <is>
          <t>6</t>
        </is>
      </c>
      <c r="B18" s="56" t="inlineStr">
        <is>
          <t>Café bajo sombra (cultivo)</t>
        </is>
      </c>
      <c r="C18" s="56" t="inlineStr">
        <is>
          <t>Coffea arabica</t>
        </is>
      </c>
      <c r="D18" s="56" t="inlineStr">
        <is>
          <t>Rubiaceae</t>
        </is>
      </c>
      <c r="E18" s="56" t="inlineStr">
        <is>
          <t>Arbustivo alto (1.5-4 m)</t>
        </is>
      </c>
      <c r="F18" s="56" t="inlineStr">
        <is>
          <t>Introducida</t>
        </is>
      </c>
      <c r="G18" s="56" t="inlineStr">
        <is>
          <t>Ocasional (1-5%)</t>
        </is>
      </c>
      <c r="H18" s="56" t="n"/>
      <c r="I18" s="56" t="n"/>
    </row>
    <row r="19">
      <c r="A19" s="55" t="inlineStr">
        <is>
          <t>7</t>
        </is>
      </c>
      <c r="B19" s="55" t="inlineStr">
        <is>
          <t>Plátano (cultivo)</t>
        </is>
      </c>
      <c r="C19" s="55" t="inlineStr">
        <is>
          <t>Musa × paradisiaca</t>
        </is>
      </c>
      <c r="D19" s="55" t="inlineStr">
        <is>
          <t>Musaceae</t>
        </is>
      </c>
      <c r="E19" s="55" t="inlineStr">
        <is>
          <t>Arbóreo bajo (4-8 m)</t>
        </is>
      </c>
      <c r="F19" s="55" t="inlineStr">
        <is>
          <t>Introducida</t>
        </is>
      </c>
      <c r="G19" s="55" t="inlineStr">
        <is>
          <t>Ocasional (1-5%)</t>
        </is>
      </c>
      <c r="H19" s="55" t="n"/>
      <c r="I19" s="55" t="n"/>
    </row>
    <row r="21">
      <c r="A21" s="53" t="inlineStr">
        <is>
          <t>F-DT-03 · ESPECIES CLAVE GEORREFERENCIADAS</t>
        </is>
      </c>
    </row>
    <row r="22">
      <c r="A22" s="54" t="inlineStr">
        <is>
          <t>N.o</t>
        </is>
      </c>
      <c r="B22" s="54" t="inlineStr">
        <is>
          <t>Especie</t>
        </is>
      </c>
      <c r="C22" s="54" t="inlineStr">
        <is>
          <t>Categoría</t>
        </is>
      </c>
      <c r="D22" s="54" t="inlineStr">
        <is>
          <t>Estado UICN</t>
        </is>
      </c>
      <c r="E22" s="54" t="inlineStr">
        <is>
          <t>UTM ESTE</t>
        </is>
      </c>
      <c r="F22" s="54" t="inlineStr">
        <is>
          <t>UTM NORTE</t>
        </is>
      </c>
      <c r="G22" s="54" t="inlineStr">
        <is>
          <t>N.° individuos</t>
        </is>
      </c>
      <c r="H22" s="54" t="inlineStr">
        <is>
          <t>Observación</t>
        </is>
      </c>
    </row>
    <row r="23">
      <c r="A23" s="55" t="inlineStr">
        <is>
          <t>1</t>
        </is>
      </c>
      <c r="B23" s="55" t="inlineStr">
        <is>
          <t>Cactáceas columnares (Cactaceae)</t>
        </is>
      </c>
      <c r="C23" s="55" t="inlineStr">
        <is>
          <t>Indicadora de perturbación</t>
        </is>
      </c>
      <c r="D23" s="55" t="inlineStr">
        <is>
          <t>NE — No Evaluado</t>
        </is>
      </c>
      <c r="E23" s="55" t="n"/>
      <c r="F23" s="55" t="n"/>
      <c r="G23" s="55" t="n"/>
      <c r="H23" s="55" t="inlineStr">
        <is>
          <t>Determinación específica indispensable frente al D.S. 043-2006-AG</t>
        </is>
      </c>
    </row>
    <row r="24">
      <c r="A24" s="56" t="inlineStr">
        <is>
          <t>2</t>
        </is>
      </c>
      <c r="B24" s="56" t="inlineStr">
        <is>
          <t>Vachellia macracantha (faique)</t>
        </is>
      </c>
      <c r="C24" s="56" t="inlineStr">
        <is>
          <t>Indicadora de buen estado</t>
        </is>
      </c>
      <c r="D24" s="56" t="inlineStr">
        <is>
          <t>LC — Preocupación Menor</t>
        </is>
      </c>
      <c r="E24" s="56" t="n"/>
      <c r="F24" s="56" t="n"/>
      <c r="G24" s="56" t="n"/>
      <c r="H24" s="56" t="inlineStr">
        <is>
          <t>Especie estructurante del Bes-cm; fijadora de nitrógeno, apta para revegetación</t>
        </is>
      </c>
    </row>
    <row r="26">
      <c r="A26" s="53" t="inlineStr">
        <is>
          <t>F-DT-04 · MATRIZ DE CAUSAS DE DEGRADACIÓN</t>
        </is>
      </c>
    </row>
    <row r="27">
      <c r="A27" s="54" t="inlineStr">
        <is>
          <t>N.o</t>
        </is>
      </c>
      <c r="B27" s="54" t="inlineStr">
        <is>
          <t>Causa</t>
        </is>
      </c>
      <c r="C27" s="54" t="inlineStr">
        <is>
          <t>Presencia</t>
        </is>
      </c>
      <c r="D27" s="54" t="inlineStr">
        <is>
          <t>Intensidad</t>
        </is>
      </c>
      <c r="E27" s="54" t="inlineStr">
        <is>
          <t>Extensión</t>
        </is>
      </c>
      <c r="F27" s="54" t="inlineStr">
        <is>
          <t>Antigüedad</t>
        </is>
      </c>
      <c r="G27" s="54" t="inlineStr">
        <is>
          <t>Evidencia</t>
        </is>
      </c>
    </row>
    <row r="28">
      <c r="A28" s="55" t="inlineStr">
        <is>
          <t>1</t>
        </is>
      </c>
      <c r="B28" s="55" t="inlineStr">
        <is>
          <t>Sobrepastoreo (caprino/vacuno)</t>
        </is>
      </c>
      <c r="C28" s="55" t="inlineStr">
        <is>
          <t>Sí</t>
        </is>
      </c>
      <c r="D28" s="55" t="inlineStr">
        <is>
          <t>Ligera</t>
        </is>
      </c>
      <c r="E28" s="55" t="inlineStr">
        <is>
          <t>Por determinar</t>
        </is>
      </c>
      <c r="F28" s="55" t="inlineStr">
        <is>
          <t>Por determinar</t>
        </is>
      </c>
      <c r="G28" s="55" t="inlineStr">
        <is>
          <t>Indicios de pastoreo extensivo en el entorno; carga no cuantificada</t>
        </is>
      </c>
    </row>
    <row r="29">
      <c r="A29" s="56" t="inlineStr">
        <is>
          <t>2</t>
        </is>
      </c>
      <c r="B29" s="56" t="inlineStr">
        <is>
          <t>Tala para leña</t>
        </is>
      </c>
      <c r="C29" s="56" t="inlineStr">
        <is>
          <t>Por determinar</t>
        </is>
      </c>
      <c r="D29" s="56" t="inlineStr"/>
      <c r="E29" s="56" t="inlineStr"/>
      <c r="F29" s="56" t="inlineStr"/>
      <c r="G29" s="56" t="inlineStr"/>
    </row>
    <row r="30">
      <c r="A30" s="55" t="inlineStr">
        <is>
          <t>3</t>
        </is>
      </c>
      <c r="B30" s="55" t="inlineStr">
        <is>
          <t>Tala para carbón</t>
        </is>
      </c>
      <c r="C30" s="55" t="inlineStr">
        <is>
          <t>Por determinar</t>
        </is>
      </c>
      <c r="D30" s="55" t="inlineStr"/>
      <c r="E30" s="55" t="inlineStr"/>
      <c r="F30" s="55" t="inlineStr"/>
      <c r="G30" s="55" t="inlineStr"/>
    </row>
    <row r="31">
      <c r="A31" s="56" t="inlineStr">
        <is>
          <t>4</t>
        </is>
      </c>
      <c r="B31" s="56" t="inlineStr">
        <is>
          <t>Tala para madera</t>
        </is>
      </c>
      <c r="C31" s="56" t="inlineStr">
        <is>
          <t>Por determinar</t>
        </is>
      </c>
      <c r="D31" s="56" t="inlineStr"/>
      <c r="E31" s="56" t="inlineStr"/>
      <c r="F31" s="56" t="inlineStr"/>
      <c r="G31" s="56" t="inlineStr"/>
    </row>
    <row r="32">
      <c r="A32" s="55" t="inlineStr">
        <is>
          <t>5</t>
        </is>
      </c>
      <c r="B32" s="55" t="inlineStr">
        <is>
          <t>Quema (renovación de pastos)</t>
        </is>
      </c>
      <c r="C32" s="55" t="inlineStr">
        <is>
          <t>Por determinar</t>
        </is>
      </c>
      <c r="D32" s="55" t="inlineStr"/>
      <c r="E32" s="55" t="inlineStr"/>
      <c r="F32" s="55" t="inlineStr"/>
      <c r="G32" s="55" t="inlineStr"/>
    </row>
    <row r="33">
      <c r="A33" s="56" t="inlineStr">
        <is>
          <t>6</t>
        </is>
      </c>
      <c r="B33" s="56" t="inlineStr">
        <is>
          <t>Quema accidental / Incendio</t>
        </is>
      </c>
      <c r="C33" s="56" t="inlineStr">
        <is>
          <t>Por determinar</t>
        </is>
      </c>
      <c r="D33" s="56" t="inlineStr"/>
      <c r="E33" s="56" t="inlineStr"/>
      <c r="F33" s="56" t="inlineStr"/>
      <c r="G33" s="56" t="inlineStr"/>
    </row>
    <row r="34">
      <c r="A34" s="55" t="inlineStr">
        <is>
          <t>7</t>
        </is>
      </c>
      <c r="B34" s="55" t="inlineStr">
        <is>
          <t>Cambio de uso a agricultura</t>
        </is>
      </c>
      <c r="C34" s="55" t="inlineStr">
        <is>
          <t>Sí</t>
        </is>
      </c>
      <c r="D34" s="55" t="inlineStr">
        <is>
          <t>Ligera</t>
        </is>
      </c>
      <c r="E34" s="55" t="inlineStr">
        <is>
          <t>Por determinar</t>
        </is>
      </c>
      <c r="F34" s="55" t="inlineStr">
        <is>
          <t>Por determinar</t>
        </is>
      </c>
      <c r="G34" s="55" t="inlineStr">
        <is>
          <t>Parcelas de cultivo y vivienda rural en el borde superior de la ladera, fuera del polígono (E-03)</t>
        </is>
      </c>
    </row>
    <row r="35">
      <c r="A35" s="56" t="inlineStr">
        <is>
          <t>8</t>
        </is>
      </c>
      <c r="B35" s="56" t="inlineStr">
        <is>
          <t>Cambio de uso a pastoreo</t>
        </is>
      </c>
      <c r="C35" s="56" t="inlineStr">
        <is>
          <t>Sí</t>
        </is>
      </c>
      <c r="D35" s="56" t="inlineStr">
        <is>
          <t>Moderada</t>
        </is>
      </c>
      <c r="E35" s="56" t="inlineStr">
        <is>
          <t>Por determinar</t>
        </is>
      </c>
      <c r="F35" s="56" t="inlineStr">
        <is>
          <t>Por determinar</t>
        </is>
      </c>
      <c r="G35" s="56" t="inlineStr">
        <is>
          <t>Pastizal seco con arbustos dispersos y sendero de herradura en la ladera de aproximación (E-03, E-05)</t>
        </is>
      </c>
    </row>
    <row r="36">
      <c r="A36" s="55" t="inlineStr">
        <is>
          <t>9</t>
        </is>
      </c>
      <c r="B36" s="55" t="inlineStr">
        <is>
          <t>Expansión urbana / vial</t>
        </is>
      </c>
      <c r="C36" s="55" t="inlineStr">
        <is>
          <t>Sí</t>
        </is>
      </c>
      <c r="D36" s="55" t="inlineStr">
        <is>
          <t>Ligera</t>
        </is>
      </c>
      <c r="E36" s="55" t="inlineStr">
        <is>
          <t>Por determinar</t>
        </is>
      </c>
      <c r="F36" s="55" t="inlineStr">
        <is>
          <t>Por determinar</t>
        </is>
      </c>
      <c r="G36" s="55" t="inlineStr">
        <is>
          <t>Trocha carrozable que bordea los límites occidental y meridional del bloque (E-06); no se observó apertura dentro del polígono</t>
        </is>
      </c>
    </row>
    <row r="37">
      <c r="A37" s="56" t="inlineStr">
        <is>
          <t>10</t>
        </is>
      </c>
      <c r="B37" s="56" t="inlineStr">
        <is>
          <t>Minería informal</t>
        </is>
      </c>
      <c r="C37" s="56" t="inlineStr">
        <is>
          <t>Por determinar</t>
        </is>
      </c>
      <c r="D37" s="56" t="inlineStr"/>
      <c r="E37" s="56" t="inlineStr"/>
      <c r="F37" s="56" t="inlineStr"/>
      <c r="G37" s="56" t="inlineStr"/>
    </row>
    <row r="38">
      <c r="A38" s="55" t="inlineStr">
        <is>
          <t>11</t>
        </is>
      </c>
      <c r="B38" s="55" t="inlineStr">
        <is>
          <t>Extracción de áridos (cauces)</t>
        </is>
      </c>
      <c r="C38" s="55" t="inlineStr">
        <is>
          <t>Por determinar</t>
        </is>
      </c>
      <c r="D38" s="55" t="inlineStr"/>
      <c r="E38" s="55" t="inlineStr"/>
      <c r="F38" s="55" t="inlineStr"/>
      <c r="G38" s="55" t="inlineStr"/>
    </row>
    <row r="39">
      <c r="A39" s="56" t="inlineStr">
        <is>
          <t>12</t>
        </is>
      </c>
      <c r="B39" s="56" t="inlineStr">
        <is>
          <t>Especies invasoras</t>
        </is>
      </c>
      <c r="C39" s="56" t="inlineStr">
        <is>
          <t>Por determinar</t>
        </is>
      </c>
      <c r="D39" s="56" t="inlineStr"/>
      <c r="E39" s="56" t="inlineStr"/>
      <c r="F39" s="56" t="inlineStr"/>
      <c r="G39" s="56" t="inlineStr"/>
    </row>
    <row r="40">
      <c r="A40" s="55" t="inlineStr">
        <is>
          <t>13</t>
        </is>
      </c>
      <c r="B40" s="55" t="inlineStr">
        <is>
          <t>Erosión natural severa</t>
        </is>
      </c>
      <c r="C40" s="55" t="inlineStr">
        <is>
          <t>Sí</t>
        </is>
      </c>
      <c r="D40" s="55" t="inlineStr">
        <is>
          <t>Ligera</t>
        </is>
      </c>
      <c r="E40" s="55" t="inlineStr">
        <is>
          <t>Por determinar</t>
        </is>
      </c>
      <c r="F40" s="55" t="inlineStr">
        <is>
          <t>Por determinar</t>
        </is>
      </c>
      <c r="G40" s="55" t="inlineStr">
        <is>
          <t>Incisión lineal por escorrentía concentrada sobre sendero de herradura (E-05), fuera del polígono</t>
        </is>
      </c>
    </row>
    <row r="41">
      <c r="A41" s="56" t="inlineStr">
        <is>
          <t>14</t>
        </is>
      </c>
      <c r="B41" s="56" t="inlineStr">
        <is>
          <t>Sequía prolongada / CC</t>
        </is>
      </c>
      <c r="C41" s="56" t="inlineStr">
        <is>
          <t>Por determinar</t>
        </is>
      </c>
      <c r="D41" s="56" t="inlineStr"/>
      <c r="E41" s="56" t="inlineStr"/>
      <c r="F41" s="56" t="inlineStr"/>
      <c r="G41" s="56" t="inlineStr"/>
    </row>
    <row r="42">
      <c r="A42" s="55" t="inlineStr">
        <is>
          <t>15</t>
        </is>
      </c>
      <c r="B42" s="55" t="inlineStr">
        <is>
          <t>Plagas o enfermedades forestales</t>
        </is>
      </c>
      <c r="C42" s="55" t="inlineStr">
        <is>
          <t>Por determinar</t>
        </is>
      </c>
      <c r="D42" s="55" t="inlineStr"/>
      <c r="E42" s="55" t="inlineStr"/>
      <c r="F42" s="55" t="inlineStr"/>
      <c r="G42" s="55" t="inlineStr"/>
    </row>
    <row r="43">
      <c r="A43" s="56" t="inlineStr">
        <is>
          <t>16</t>
        </is>
      </c>
      <c r="B43" s="56" t="inlineStr">
        <is>
          <t>Otro</t>
        </is>
      </c>
      <c r="C43" s="56" t="inlineStr">
        <is>
          <t>Por determinar</t>
        </is>
      </c>
      <c r="D43" s="56" t="inlineStr"/>
      <c r="E43" s="56" t="inlineStr"/>
      <c r="F43" s="56" t="inlineStr"/>
      <c r="G43" s="56" t="inlineStr"/>
    </row>
    <row r="45">
      <c r="A45" s="53" t="inlineStr">
        <is>
          <t>F-DT-04 · INDICADORES CUANTITATIVOS</t>
        </is>
      </c>
    </row>
    <row r="46">
      <c r="A46" s="54" t="inlineStr">
        <is>
          <t>N.o</t>
        </is>
      </c>
      <c r="B46" s="54" t="inlineStr">
        <is>
          <t>Indicador</t>
        </is>
      </c>
      <c r="C46" s="54" t="inlineStr">
        <is>
          <t>Unidad</t>
        </is>
      </c>
      <c r="D46" s="54" t="inlineStr">
        <is>
          <t>Valor</t>
        </is>
      </c>
      <c r="E46" s="54" t="inlineStr">
        <is>
          <t>Fuente</t>
        </is>
      </c>
      <c r="F46" s="54" t="inlineStr">
        <is>
          <t>Umbral</t>
        </is>
      </c>
      <c r="G46" s="54" t="inlineStr">
        <is>
          <t>Nivel</t>
        </is>
      </c>
    </row>
    <row r="47">
      <c r="A47" s="55" t="inlineStr">
        <is>
          <t>1</t>
        </is>
      </c>
      <c r="B47" s="55" t="inlineStr">
        <is>
          <t>Cobertura vegetal total</t>
        </is>
      </c>
      <c r="C47" s="55" t="inlineStr">
        <is>
          <t>%</t>
        </is>
      </c>
      <c r="D47" s="55" t="inlineStr">
        <is>
          <t>Por determinar</t>
        </is>
      </c>
      <c r="E47" s="55" t="inlineStr">
        <is>
          <t>No cuantificado en campo</t>
        </is>
      </c>
      <c r="F47" s="55" t="inlineStr">
        <is>
          <t>&gt;60% bueno; 30-60% medio; &lt;30% malo</t>
        </is>
      </c>
      <c r="G47" s="55" t="inlineStr"/>
    </row>
    <row r="48">
      <c r="A48" s="56" t="inlineStr">
        <is>
          <t>2</t>
        </is>
      </c>
      <c r="B48" s="56" t="inlineStr">
        <is>
          <t>Porcentaje de suelo desnudo</t>
        </is>
      </c>
      <c r="C48" s="56" t="inlineStr">
        <is>
          <t>%</t>
        </is>
      </c>
      <c r="D48" s="56" t="inlineStr">
        <is>
          <t>Por determinar</t>
        </is>
      </c>
      <c r="E48" s="56" t="inlineStr">
        <is>
          <t>No cuantificado en campo</t>
        </is>
      </c>
      <c r="F48" s="56" t="inlineStr">
        <is>
          <t>&lt;10% bueno; 10-30% medio; &gt;30% malo</t>
        </is>
      </c>
      <c r="G48" s="56" t="inlineStr"/>
    </row>
    <row r="49">
      <c r="A49" s="55" t="inlineStr">
        <is>
          <t>3</t>
        </is>
      </c>
      <c r="B49" s="55" t="inlineStr">
        <is>
          <t>Densidad de cárcavas</t>
        </is>
      </c>
      <c r="C49" s="55" t="inlineStr">
        <is>
          <t>N°/ha</t>
        </is>
      </c>
      <c r="D49" s="55" t="inlineStr">
        <is>
          <t>Por determinar</t>
        </is>
      </c>
      <c r="E49" s="55" t="inlineStr">
        <is>
          <t>No cuantificado en campo</t>
        </is>
      </c>
      <c r="F49" s="55" t="inlineStr">
        <is>
          <t>0 nulo; 1-3 medio; &gt;3 alto</t>
        </is>
      </c>
      <c r="G49" s="55" t="inlineStr"/>
    </row>
    <row r="50">
      <c r="A50" s="56" t="inlineStr">
        <is>
          <t>4</t>
        </is>
      </c>
      <c r="B50" s="56" t="inlineStr">
        <is>
          <t>Presencia de especies invasoras</t>
        </is>
      </c>
      <c r="C50" s="56" t="inlineStr">
        <is>
          <t>% área</t>
        </is>
      </c>
      <c r="D50" s="56" t="inlineStr">
        <is>
          <t>Por determinar</t>
        </is>
      </c>
      <c r="E50" s="56" t="inlineStr">
        <is>
          <t>No cuantificado en campo</t>
        </is>
      </c>
      <c r="F50" s="56" t="inlineStr">
        <is>
          <t>&lt;5% bueno; 5-20% medio; &gt;20% alto</t>
        </is>
      </c>
      <c r="G50" s="56" t="inlineStr"/>
    </row>
    <row r="51">
      <c r="A51" s="55" t="inlineStr">
        <is>
          <t>5</t>
        </is>
      </c>
      <c r="B51" s="55" t="inlineStr">
        <is>
          <t>Carga ganadera estimada</t>
        </is>
      </c>
      <c r="C51" s="55" t="inlineStr">
        <is>
          <t>UA/ha</t>
        </is>
      </c>
      <c r="D51" s="55" t="inlineStr">
        <is>
          <t>Por determinar</t>
        </is>
      </c>
      <c r="E51" s="55" t="inlineStr">
        <is>
          <t>No cuantificado en campo</t>
        </is>
      </c>
      <c r="F51" s="55" t="inlineStr">
        <is>
          <t>Según tipo de ecosistema</t>
        </is>
      </c>
      <c r="G51" s="55" t="inlineStr"/>
    </row>
    <row r="52">
      <c r="A52" s="56" t="inlineStr">
        <is>
          <t>6</t>
        </is>
      </c>
      <c r="B52" s="56" t="inlineStr">
        <is>
          <t>Frecuencia de quemas últimos 5 años</t>
        </is>
      </c>
      <c r="C52" s="56" t="inlineStr">
        <is>
          <t>N°</t>
        </is>
      </c>
      <c r="D52" s="56" t="inlineStr">
        <is>
          <t>Por determinar</t>
        </is>
      </c>
      <c r="E52" s="56" t="inlineStr">
        <is>
          <t>No cuantificado en campo</t>
        </is>
      </c>
      <c r="F52" s="56" t="inlineStr">
        <is>
          <t>0 nulo; 1-2 medio; &gt;2 alto</t>
        </is>
      </c>
      <c r="G52" s="56" t="inlineStr"/>
    </row>
    <row r="53">
      <c r="A53" s="55" t="inlineStr">
        <is>
          <t>7</t>
        </is>
      </c>
      <c r="B53" s="55" t="inlineStr">
        <is>
          <t>% área con pendiente &gt;50%</t>
        </is>
      </c>
      <c r="C53" s="55" t="inlineStr">
        <is>
          <t>%</t>
        </is>
      </c>
      <c r="D53" s="55" t="inlineStr">
        <is>
          <t>Por determinar</t>
        </is>
      </c>
      <c r="E53" s="55" t="inlineStr">
        <is>
          <t>No cuantificado en campo</t>
        </is>
      </c>
      <c r="F53" s="55" t="inlineStr">
        <is>
          <t>Factor de susceptibilidad</t>
        </is>
      </c>
      <c r="G53" s="55" t="inlineStr"/>
    </row>
    <row r="54">
      <c r="A54" s="56" t="inlineStr">
        <is>
          <t>8</t>
        </is>
      </c>
      <c r="B54" s="56" t="inlineStr">
        <is>
          <t>Distancia a vía vecinal más cercana</t>
        </is>
      </c>
      <c r="C54" s="56" t="inlineStr">
        <is>
          <t>m</t>
        </is>
      </c>
      <c r="D54" s="56" t="inlineStr">
        <is>
          <t>47</t>
        </is>
      </c>
      <c r="E54" s="56" t="inlineStr">
        <is>
          <t>Medición sobre plano temático (E-06)</t>
        </is>
      </c>
      <c r="F54" s="56" t="inlineStr">
        <is>
          <t>A menor distancia → mayor presión</t>
        </is>
      </c>
      <c r="G54" s="56" t="inlineStr">
        <is>
          <t>Alto</t>
        </is>
      </c>
    </row>
    <row r="56">
      <c r="A56" s="53" t="inlineStr">
        <is>
          <t>F-DT-05 · FUENTES DE AGUA INVENTARIADAS</t>
        </is>
      </c>
    </row>
    <row r="57">
      <c r="A57" s="54" t="inlineStr">
        <is>
          <t>N.o</t>
        </is>
      </c>
      <c r="B57" s="54" t="inlineStr">
        <is>
          <t>Tipo de fuente</t>
        </is>
      </c>
      <c r="C57" s="54" t="inlineStr">
        <is>
          <t>UTM ESTE</t>
        </is>
      </c>
      <c r="D57" s="54" t="inlineStr">
        <is>
          <t>UTM NORTE</t>
        </is>
      </c>
      <c r="E57" s="54" t="inlineStr">
        <is>
          <t>Régimen</t>
        </is>
      </c>
      <c r="F57" s="54" t="inlineStr">
        <is>
          <t>Calidad</t>
        </is>
      </c>
      <c r="G57" s="54" t="inlineStr">
        <is>
          <t>Distancia (m)</t>
        </is>
      </c>
      <c r="H57" s="54" t="inlineStr">
        <is>
          <t>Uso / observación</t>
        </is>
      </c>
    </row>
    <row r="58">
      <c r="A58" s="55" t="inlineStr">
        <is>
          <t>1</t>
        </is>
      </c>
      <c r="B58" s="55" t="inlineStr">
        <is>
          <t>Quebrada estacional</t>
        </is>
      </c>
      <c r="C58" s="55" t="n"/>
      <c r="D58" s="55" t="n"/>
      <c r="E58" s="55" t="inlineStr">
        <is>
          <t>Estacional (lluvias)</t>
        </is>
      </c>
      <c r="F58" s="55" t="inlineStr">
        <is>
          <t>No evaluable</t>
        </is>
      </c>
      <c r="G58" s="55" t="n"/>
      <c r="H58" s="55" t="inlineStr">
        <is>
          <t>Red de vaguadas tributarias de la quebrada Q9593; sin inventario georreferenciado</t>
        </is>
      </c>
    </row>
    <row r="61">
      <c r="A61" s="53" t="inlineStr">
        <is>
          <t>OBSERVACIONES DEL EVALUADOR POR FICHA</t>
        </is>
      </c>
    </row>
    <row r="62">
      <c r="A62" s="54" t="inlineStr">
        <is>
          <t>Ficha</t>
        </is>
      </c>
      <c r="B62" s="54" t="inlineStr">
        <is>
          <t>Observación registrada en campo</t>
        </is>
      </c>
    </row>
    <row r="63">
      <c r="A63" s="55" t="inlineStr">
        <is>
          <t>F-DT-01</t>
        </is>
      </c>
      <c r="B63" s="55" t="inlineStr">
        <is>
          <t>PRELLENADO DE GABINETE. Reconocimiento del 12-08-2026 mediante recorrido vehicular con registro fotográfico georreferenciado; la ficha NO fue diligenciada en campo. Altitud GPS no registrada. Rango altitudinal y pendiente proceden de estadística zonal sobre el MDE. LAS SEIS ESTACIONES SE UBICAN FUERA DEL POLÍGONO (de ~47 m a ~332 m del borde): el interior del bloque no ha sido verificado. Los indicadores no cuantificados se rotulan «Por determinar» y no fueron inferidos.</t>
        </is>
      </c>
    </row>
    <row r="64">
      <c r="A64" s="56" t="inlineStr">
        <is>
          <t>F-DT-02</t>
        </is>
      </c>
      <c r="B64" s="56" t="inlineStr">
        <is>
          <t>FICHA NO LEVANTADA EN CAMPO — INVENTARIO DE CÁRCAVAS NO EJECUTADO. La ausencia de registros no equivale a ausencia verificada. Síntesis de gabinete a partir del registro fotográfico y de la clasificación MSAVI. Evidencia externa: sendero de herradura sobre suelo desnudo con incisión lineal por escorrentía concentrada (E-05), fuera del polígono. Dentro del bloque no se registró evidencia directa.</t>
        </is>
      </c>
    </row>
    <row r="65">
      <c r="A65" s="55" t="inlineStr">
        <is>
          <t>F-DT-03</t>
        </is>
      </c>
      <c r="B65" s="55" t="inlineStr">
        <is>
          <t>REGISTRO FLORÍSTICO INCOMPLETO: 7 taxones frente al mínimo de 15 exigido por la ficha. Las tres primeras entradas proceden de la declaración de campo (faique, cactáceas columnares y arbustivas de bosque estacionalmente seco de colina y montaña); las restantes, de fotointerpretación y quedan sujetas a confirmación. Ningún binomio ha sido confirmado taxonómicamente. No se instalaron parcelas de muestreo ni se ejecutó colecta botánica o medición dasométrica.</t>
        </is>
      </c>
    </row>
    <row r="66">
      <c r="A66" s="56" t="inlineStr">
        <is>
          <t>F-DT-04</t>
        </is>
      </c>
      <c r="B66" s="56" t="inlineStr">
        <is>
          <t>Indicador de brecha (R.M. N° 00213-2024-MINAM): 7.44 % del bloque (6.20 ha) bajo el umbral MSAVI 2024 de 0.4976. MSAVI medio del bloque 0.6284 frente a 0.5477 de la microcuenca C1076-Q9593. Clases de cobertura obtenidas por planimetría digital sobre los planos temáticos georreferenciados (tolerancia estimada ±2 %); requieren confirmación con estadística zonal directa sobre el ráster.</t>
        </is>
      </c>
    </row>
    <row r="67">
      <c r="A67" s="55" t="inlineStr">
        <is>
          <t>F-DT-05</t>
        </is>
      </c>
      <c r="B67" s="55" t="inlineStr">
        <is>
          <t>FICHA PARCIAL. Sin inventario de manantiales con GPS, JASS, captación poblacional, señal celular, tiempos de viaje ni contacto de Ronda Campesina. El bloque se declara en zona de recarga hídrica por su posición en la cabecera del drenaje de la quebrada Q9593 (zona de origen del PGI). El acceso vehicular llega al límite occidental del bloque; el interior se alcanza a pie.</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16</t>
        </is>
      </c>
    </row>
    <row r="7">
      <c r="A7" s="53" t="inlineStr">
        <is>
          <t>Hechos declarados por fuente</t>
        </is>
      </c>
    </row>
    <row r="8">
      <c r="A8" s="54" t="inlineStr">
        <is>
          <t>Fuente</t>
        </is>
      </c>
      <c r="B8" s="54" t="inlineStr">
        <is>
          <t>Hechos</t>
        </is>
      </c>
    </row>
    <row r="9">
      <c r="A9" s="55" t="inlineStr">
        <is>
          <t>Dato de campo</t>
        </is>
      </c>
      <c r="B9" s="55" t="n">
        <v>47</v>
      </c>
    </row>
    <row r="10">
      <c r="A10" s="56" t="inlineStr">
        <is>
          <t>Gabinete (GIS / teledetección)</t>
        </is>
      </c>
      <c r="B10" s="56" t="n">
        <v>20</v>
      </c>
    </row>
    <row r="11">
      <c r="A11" s="55" t="inlineStr">
        <is>
          <t>Fuente oficial</t>
        </is>
      </c>
      <c r="B11" s="55" t="n">
        <v>14</v>
      </c>
    </row>
    <row r="26">
      <c r="A26" s="53" t="inlineStr">
        <is>
          <t>Estado del cruce entre fuentes</t>
        </is>
      </c>
    </row>
    <row r="27">
      <c r="A27" s="54" t="inlineStr">
        <is>
          <t>Estado</t>
        </is>
      </c>
      <c r="B27" s="54" t="inlineStr">
        <is>
          <t>Hechos</t>
        </is>
      </c>
    </row>
    <row r="28">
      <c r="A28" s="55" t="inlineStr">
        <is>
          <t>CONFORME</t>
        </is>
      </c>
      <c r="B28" s="55" t="n">
        <v>81</v>
      </c>
    </row>
    <row r="29">
      <c r="A29" s="56" t="inlineStr">
        <is>
          <t>COMPLEMENTADO</t>
        </is>
      </c>
      <c r="B29" s="56" t="n">
        <v>0</v>
      </c>
    </row>
    <row r="30">
      <c r="A30" s="55" t="inlineStr">
        <is>
          <t>ACTUALIZADO</t>
        </is>
      </c>
      <c r="B30" s="55" t="n">
        <v>0</v>
      </c>
    </row>
    <row r="31">
      <c r="A31" s="56" t="inlineStr">
        <is>
          <t>DISCREPANTE</t>
        </is>
      </c>
      <c r="B31" s="56" t="n">
        <v>0</v>
      </c>
    </row>
    <row r="32">
      <c r="A32" s="55" t="inlineStr">
        <is>
          <t>PENDIENTE</t>
        </is>
      </c>
      <c r="B32" s="55" t="n">
        <v>33</v>
      </c>
    </row>
    <row r="45">
      <c r="A45" s="53" t="inlineStr">
        <is>
          <t>Causas activas de degradación (F-DT-04)</t>
        </is>
      </c>
    </row>
    <row r="46">
      <c r="A46" s="54" t="inlineStr">
        <is>
          <t>Causa</t>
        </is>
      </c>
      <c r="B46" s="54" t="inlineStr">
        <is>
          <t>Intensidad (1 ligera - 4 muy fuerte)</t>
        </is>
      </c>
    </row>
    <row r="47">
      <c r="A47" s="55" t="inlineStr">
        <is>
          <t>Cambio de uso a pastoreo</t>
        </is>
      </c>
      <c r="B47" s="55" t="n">
        <v>2</v>
      </c>
    </row>
    <row r="48">
      <c r="A48" s="56" t="inlineStr">
        <is>
          <t>Cambio de uso a agricultura</t>
        </is>
      </c>
      <c r="B48" s="56" t="n">
        <v>1</v>
      </c>
    </row>
    <row r="49">
      <c r="A49" s="55" t="inlineStr">
        <is>
          <t>Erosión natural severa</t>
        </is>
      </c>
      <c r="B49" s="55" t="n">
        <v>1</v>
      </c>
    </row>
    <row r="50">
      <c r="A50" s="56" t="inlineStr">
        <is>
          <t>Especies invasoras</t>
        </is>
      </c>
      <c r="B50" s="56" t="n">
        <v>1</v>
      </c>
    </row>
    <row r="51">
      <c r="A51" s="55" t="inlineStr">
        <is>
          <t>Expansión urbana / vial</t>
        </is>
      </c>
      <c r="B51" s="55" t="n">
        <v>1</v>
      </c>
    </row>
    <row r="52">
      <c r="A52" s="56" t="inlineStr">
        <is>
          <t>Extracción de áridos (cauces)</t>
        </is>
      </c>
      <c r="B52" s="56" t="n">
        <v>1</v>
      </c>
    </row>
    <row r="53">
      <c r="A53" s="55" t="inlineStr">
        <is>
          <t>Minería informal</t>
        </is>
      </c>
      <c r="B53" s="55" t="n">
        <v>1</v>
      </c>
    </row>
    <row r="54">
      <c r="A54" s="56" t="inlineStr">
        <is>
          <t>Otro</t>
        </is>
      </c>
      <c r="B54" s="56" t="n">
        <v>1</v>
      </c>
    </row>
    <row r="55">
      <c r="A55" s="55" t="inlineStr">
        <is>
          <t>Plagas o enfermedades forestales</t>
        </is>
      </c>
      <c r="B55" s="55" t="n">
        <v>1</v>
      </c>
    </row>
    <row r="56">
      <c r="A56" s="56" t="inlineStr">
        <is>
          <t>Quema (renovación de pastos)</t>
        </is>
      </c>
      <c r="B56" s="56" t="n">
        <v>1</v>
      </c>
    </row>
    <row r="64">
      <c r="A64" s="53" t="inlineStr">
        <is>
          <t>Control de consistencia por calificación</t>
        </is>
      </c>
    </row>
    <row r="65">
      <c r="A65" s="54" t="inlineStr">
        <is>
          <t>Calificación</t>
        </is>
      </c>
      <c r="B65" s="54" t="inlineStr">
        <is>
          <t>Verificaciones</t>
        </is>
      </c>
    </row>
    <row r="66">
      <c r="A66" s="55" t="inlineStr">
        <is>
          <t>SUSTANTIVA</t>
        </is>
      </c>
      <c r="B66" s="55" t="n">
        <v>4</v>
      </c>
    </row>
    <row r="67">
      <c r="A67" s="56" t="inlineStr">
        <is>
          <t>NO SUSTANTIVA</t>
        </is>
      </c>
      <c r="B67" s="56" t="n">
        <v>2</v>
      </c>
    </row>
    <row r="68">
      <c r="A68" s="55" t="inlineStr">
        <is>
          <t>CORREGIDO</t>
        </is>
      </c>
      <c r="B68" s="55" t="n">
        <v>0</v>
      </c>
    </row>
    <row r="69">
      <c r="A69" s="56" t="inlineStr">
        <is>
          <t>CONFORME</t>
        </is>
      </c>
      <c r="B69" s="56"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16 — IN Piura</dc:title>
  <dc:subject>Diagnóstico Territorial por bloque de intervención</dc:subject>
  <dcterms:created xsi:type="dcterms:W3CDTF">2026-09-08T03:39:59Z</dcterms:created>
  <dcterms:modified xsi:type="dcterms:W3CDTF">2026-09-11T21:26:23Z</dcterms:modified>
</cp:coreProperties>
</file>