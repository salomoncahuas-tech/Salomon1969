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f>
            </numRef>
          </cat>
          <val>
            <numRef>
              <f>'Gráficos de integración'!$B$53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integración'!B71</f>
            </strRef>
          </tx>
          <spPr>
            <a:ln>
              <a:prstDash val="solid"/>
            </a:ln>
          </spPr>
          <cat>
            <numRef>
              <f>'Gráficos de integración'!$A$72:$A$78</f>
            </numRef>
          </cat>
          <val>
            <numRef>
              <f>'Gráficos de integración'!$B$72:$B$78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integración'!B96</f>
            </strRef>
          </tx>
          <spPr>
            <a:ln>
              <a:prstDash val="solid"/>
            </a:ln>
          </spPr>
          <cat>
            <numRef>
              <f>'Gráficos de integración'!$A$97:$A$100</f>
            </numRef>
          </cat>
          <val>
            <numRef>
              <f>'Gráficos de integración'!$B$97:$B$100</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70</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95</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26</t>
        </is>
      </c>
    </row>
    <row r="6" ht="24" customHeight="1">
      <c r="A6" s="4" t="inlineStr">
        <is>
          <t>Diagnóstico Territorial — Plantilla DT Campo Check Validada V5 | Sistema de referencia: UTM WGS 84 Zona 17S (EPSG:32717) · Integrado con la ficha de campo F-DT vigente (Plantilla_DT_Campo_Check_Validada_V5_Bloque26.xlsx) — V7 - resumen V6 + campo F-DT integrado</t>
        </is>
      </c>
    </row>
    <row r="7"/>
    <row r="8" ht="18" customHeight="1">
      <c r="A8" s="5" t="inlineStr">
        <is>
          <t>1. IDENTIFICACIÓN Y LOCALIZACIÓN</t>
        </is>
      </c>
    </row>
    <row r="9">
      <c r="A9" s="6" t="inlineStr">
        <is>
          <t>Código del bloque</t>
        </is>
      </c>
      <c r="B9" s="7" t="inlineStr">
        <is>
          <t>26</t>
        </is>
      </c>
      <c r="C9" s="6" t="inlineStr">
        <is>
          <t>Microcuenca (catálogo)</t>
        </is>
      </c>
      <c r="D9" s="7" t="inlineStr">
        <is>
          <t>C1081-Q9591</t>
        </is>
      </c>
      <c r="E9" s="8" t="n"/>
      <c r="F9" s="8" t="n"/>
    </row>
    <row r="10">
      <c r="A10" s="6" t="inlineStr">
        <is>
          <t>Zona de planificación</t>
        </is>
      </c>
      <c r="B10" s="7" t="inlineStr">
        <is>
          <t>Z10</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La Laguna</t>
        </is>
      </c>
      <c r="C13" s="6" t="inlineStr">
        <is>
          <t>Comunidad campesina</t>
        </is>
      </c>
      <c r="D13" s="7" t="inlineStr">
        <is>
          <t>Por verificar</t>
        </is>
      </c>
      <c r="E13" s="8" t="n"/>
      <c r="F13" s="8" t="n"/>
    </row>
    <row r="14">
      <c r="A14" s="6" t="inlineStr">
        <is>
          <t>Superficie de catálogo (V5/V6), ha</t>
        </is>
      </c>
      <c r="B14" s="7" t="n">
        <v>46.96</v>
      </c>
      <c r="C14" s="6" t="inlineStr">
        <is>
          <t>Fuente de superficie</t>
        </is>
      </c>
      <c r="D14" s="7" t="inlineStr">
        <is>
          <t>Catálogo maestro Bloques V5/V6</t>
        </is>
      </c>
      <c r="E14" s="8" t="n"/>
      <c r="F14" s="8" t="n"/>
    </row>
    <row r="15">
      <c r="A15" s="6" t="inlineStr">
        <is>
          <t>Centroide UTM ESTE (m)</t>
        </is>
      </c>
      <c r="B15" s="7" t="n">
        <v>649472</v>
      </c>
      <c r="C15" s="6" t="inlineStr">
        <is>
          <t>Centroide UTM NORTE (m)</t>
        </is>
      </c>
      <c r="D15" s="7" t="n">
        <v>9425705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1260</v>
      </c>
      <c r="C19" s="6" t="inlineStr">
        <is>
          <t>Altitud máxima (msnm)</t>
        </is>
      </c>
      <c r="D19" s="7" t="n">
        <v>1855</v>
      </c>
      <c r="E19" s="8" t="n"/>
      <c r="F19" s="8" t="n"/>
    </row>
    <row r="20">
      <c r="A20" s="6" t="inlineStr">
        <is>
          <t>Amplitud altitudinal (m)</t>
        </is>
      </c>
      <c r="B20" s="7" t="n">
        <v>595</v>
      </c>
      <c r="C20" s="6" t="inlineStr">
        <is>
          <t>Piso altitudinal dominante</t>
        </is>
      </c>
      <c r="D20" s="7" t="inlineStr">
        <is>
          <t>1500-2000 m (Quechua media)</t>
        </is>
      </c>
      <c r="E20" s="8" t="n"/>
      <c r="F20" s="8" t="n"/>
    </row>
    <row r="21">
      <c r="A21" s="6" t="inlineStr">
        <is>
          <t>Pendiente promedio (%)</t>
        </is>
      </c>
      <c r="B21" s="7" t="n">
        <v>32.26</v>
      </c>
      <c r="C21" s="6" t="inlineStr">
        <is>
          <t>Pendiente promedio (grados)</t>
        </is>
      </c>
      <c r="D21" s="7" t="n">
        <v>17.9</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0.6733</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(97.29 %)</t>
        </is>
      </c>
      <c r="E29" s="8" t="n"/>
      <c r="F29" s="8" t="n"/>
    </row>
    <row r="30">
      <c r="A30" s="6" t="inlineStr">
        <is>
          <t>Superficie clasificada NDVI 2025 (ha)</t>
        </is>
      </c>
      <c r="B30" s="7" t="n">
        <v>46.973</v>
      </c>
      <c r="C30" s="6" t="inlineStr">
        <is>
          <t>Desviación frente al catálogo (%)</t>
        </is>
      </c>
      <c r="D30" s="7" t="n">
        <v>0.03</v>
      </c>
      <c r="E30" s="8" t="n"/>
      <c r="F30" s="8" t="n"/>
    </row>
    <row r="31">
      <c r="A31" s="6" t="inlineStr">
        <is>
          <t>Superficie clasificada MSAVI 2024 (ha)</t>
        </is>
      </c>
      <c r="B31" s="38" t="n">
        <v>46.962</v>
      </c>
      <c r="C31" s="6" t="inlineStr">
        <is>
          <t>Desviación MSAVI frente al catálogo (%)</t>
        </is>
      </c>
      <c r="D31" s="39" t="n">
        <v>0</v>
      </c>
      <c r="E31" s="8" t="n"/>
      <c r="F31" s="8" t="n"/>
    </row>
    <row r="32">
      <c r="A32" s="6" t="inlineStr">
        <is>
          <t>Superficie bajo umbral MSAVI 0.4976 (ha)</t>
        </is>
      </c>
      <c r="B32" s="38" t="n">
        <v>1.102</v>
      </c>
      <c r="C32" s="6" t="inlineStr">
        <is>
          <t>% del bloque bajo umbral (brecha espectral)</t>
        </is>
      </c>
      <c r="D32" s="39" t="n">
        <v>2.35</v>
      </c>
      <c r="E32" s="8" t="n"/>
      <c r="F32" s="8" t="n"/>
    </row>
    <row r="33">
      <c r="A33" s="6" t="inlineStr">
        <is>
          <t>Clase DN dominante (MSAVI 2024)</t>
        </is>
      </c>
      <c r="B33" s="7" t="inlineStr">
        <is>
          <t>DN 5 · &gt; 0.6139 (Vigor alto)</t>
        </is>
      </c>
      <c r="C33" s="6" t="inlineStr">
        <is>
          <t>N.° de polígonos MSAVI del bloque</t>
        </is>
      </c>
      <c r="D33" s="40" t="n">
        <v>101</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46.96 ha (MINAM: Zona agrícola 100%)</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50" t="inlineStr">
        <is>
          <t>&lt;10</t>
        </is>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50" t="inlineStr">
        <is>
          <t>2</t>
        </is>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 ANIN/DIME/SESDI</t>
        </is>
      </c>
      <c r="C44" s="6" t="inlineStr">
        <is>
          <t>Fecha de evaluación</t>
        </is>
      </c>
      <c r="D44" s="7" t="inlineStr">
        <is>
          <t>2026-07-16</t>
        </is>
      </c>
      <c r="E44" s="8" t="n"/>
      <c r="F44" s="8" t="n"/>
    </row>
    <row r="45">
      <c r="A45" s="6" t="inlineStr">
        <is>
          <t>Hora de registro</t>
        </is>
      </c>
      <c r="B45" s="50" t="inlineStr">
        <is>
          <t>00:55</t>
        </is>
      </c>
      <c r="C45" s="6" t="inlineStr">
        <is>
          <t>Correlativo de ficha</t>
        </is>
      </c>
      <c r="D45" s="50" t="inlineStr">
        <is>
          <t>Por registrar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No instalada</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en propiedad privada sobre laderas de fuerte pendiente, sin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36.1159</v>
      </c>
      <c r="C10" s="31">
        <f>ROUND(B10/$B$15*100,2)</f>
        <v/>
      </c>
      <c r="D10" s="12" t="inlineStr">
        <is>
          <t>Vigor alto</t>
        </is>
      </c>
      <c r="E10" s="12" t="inlineStr">
        <is>
          <t>Sobre umbral</t>
        </is>
      </c>
    </row>
    <row r="11">
      <c r="A11" s="13" t="inlineStr">
        <is>
          <t>0.4976 - 0.6139 · DN 4</t>
        </is>
      </c>
      <c r="B11" s="20" t="n">
        <v>9.743600000000001</v>
      </c>
      <c r="C11" s="21">
        <f>ROUND(B11/$B$15*100,2)</f>
        <v/>
      </c>
      <c r="D11" s="14" t="inlineStr">
        <is>
          <t>Vigor moderado</t>
        </is>
      </c>
      <c r="E11" s="14" t="inlineStr">
        <is>
          <t>Sobre umbral</t>
        </is>
      </c>
    </row>
    <row r="12">
      <c r="A12" s="7" t="inlineStr">
        <is>
          <t>0.3813 - 0.4976 · DN 3</t>
        </is>
      </c>
      <c r="B12" s="18" t="n">
        <v>1.1022</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101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46.96</v>
      </c>
      <c r="C18" s="49" t="inlineStr">
        <is>
          <t>—</t>
        </is>
      </c>
      <c r="D18" s="46" t="inlineStr">
        <is>
          <t>Desviación planimétrica frente al catálogo</t>
        </is>
      </c>
      <c r="E18" s="46" t="inlineStr">
        <is>
          <t>+0.00 %</t>
        </is>
      </c>
    </row>
    <row r="19">
      <c r="A19" s="16" t="inlineStr">
        <is>
          <t>MSAVI 2024 — MEDIA DEL BLOQUE</t>
        </is>
      </c>
      <c r="B19" s="17" t="n">
        <v>0.673303</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101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(0.6733)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45.7024</v>
      </c>
      <c r="C25" s="19" t="n">
        <v>97.29000000000001</v>
      </c>
      <c r="D25" s="15" t="inlineStr">
        <is>
          <t>Dosel continuo, matorral denso o mosaico agroforestal</t>
        </is>
      </c>
      <c r="E25" s="15" t="inlineStr"/>
    </row>
    <row r="26">
      <c r="A26" s="13" t="inlineStr">
        <is>
          <t>Vegetación mediana</t>
        </is>
      </c>
      <c r="B26" s="20" t="n">
        <v>1.2709</v>
      </c>
      <c r="C26" s="21" t="n">
        <v>2.71</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46.96</v>
      </c>
      <c r="C28" s="25" t="inlineStr">
        <is>
          <t>—</t>
        </is>
      </c>
      <c r="D28" s="25" t="inlineStr">
        <is>
          <t>Desviación planimétrica frente al catálogo</t>
        </is>
      </c>
      <c r="E28" s="25" t="inlineStr">
        <is>
          <t>+0.03 %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97.29 % del polígono clasificado como «Vegetación alta» por el NDVI 2025; la observación de campo corresponde a una parcela o recorrido puntual y no es estadísticamente representativa de las 46.960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26</t>
        </is>
      </c>
    </row>
    <row r="6" ht="24" customHeight="1">
      <c r="A6" s="4" t="inlineStr">
        <is>
          <t>Levantamiento del 2026-07-16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649472</v>
      </c>
      <c r="D10" s="26" t="n">
        <v>9425705</v>
      </c>
      <c r="E10" s="15" t="n">
        <v>0</v>
      </c>
      <c r="F10" s="15" t="inlineStr"/>
      <c r="G10" s="15" t="inlineStr">
        <is>
          <t>Coordenada consignada en F-DT-01</t>
        </is>
      </c>
    </row>
    <row r="11">
      <c r="A11" s="13" t="inlineStr">
        <is>
          <t>E-01</t>
        </is>
      </c>
      <c r="B11" s="14" t="inlineStr">
        <is>
          <t>Rasgo erosivo — Por determinar</t>
        </is>
      </c>
      <c r="C11" s="27" t="n">
        <v>650018</v>
      </c>
      <c r="D11" s="27" t="n">
        <v>9425968</v>
      </c>
      <c r="E11" s="14" t="n">
        <v>606</v>
      </c>
      <c r="F11" s="14" t="inlineStr">
        <is>
          <t>Activa</t>
        </is>
      </c>
      <c r="G11" s="14" t="inlineStr">
        <is>
          <t>Otro</t>
        </is>
      </c>
    </row>
    <row r="12">
      <c r="A12" s="7" t="inlineStr">
        <is>
          <t>E-02</t>
        </is>
      </c>
      <c r="B12" s="15" t="inlineStr">
        <is>
          <t>Rasgo erosivo — Por determinar</t>
        </is>
      </c>
      <c r="C12" s="26" t="n">
        <v>650032</v>
      </c>
      <c r="D12" s="26" t="n">
        <v>9425645</v>
      </c>
      <c r="E12" s="15" t="n">
        <v>563.2</v>
      </c>
      <c r="F12" s="15" t="inlineStr">
        <is>
          <t>Semi-activa</t>
        </is>
      </c>
      <c r="G12" s="15" t="inlineStr">
        <is>
          <t>Otro</t>
        </is>
      </c>
    </row>
    <row r="13">
      <c r="A13" s="13" t="inlineStr">
        <is>
          <t>H-01</t>
        </is>
      </c>
      <c r="B13" s="14" t="inlineStr">
        <is>
          <t>Fuente de agua — Quebrada estacional</t>
        </is>
      </c>
      <c r="C13" s="27" t="n">
        <v>649669</v>
      </c>
      <c r="D13" s="27" t="n">
        <v>9425248</v>
      </c>
      <c r="E13" s="14" t="n">
        <v>497.7</v>
      </c>
      <c r="F13" s="14" t="inlineStr"/>
      <c r="G13" s="14" t="inlineStr">
        <is>
          <t>Sector húmedo con platanales</t>
        </is>
      </c>
    </row>
    <row r="14">
      <c r="A14" s="7" t="inlineStr">
        <is>
          <t>B-03</t>
        </is>
      </c>
      <c r="B14" s="15" t="inlineStr">
        <is>
          <t>Especie clave — Higuerón (Ficus sp.)</t>
        </is>
      </c>
      <c r="C14" s="26" t="n">
        <v>649636</v>
      </c>
      <c r="D14" s="26" t="n">
        <v>9425233</v>
      </c>
      <c r="E14" s="15" t="n">
        <v>499.7</v>
      </c>
      <c r="F14" s="15" t="inlineStr">
        <is>
          <t>Indicadora de buen estado</t>
        </is>
      </c>
      <c r="G14" s="15" t="inlineStr">
        <is>
          <t>No aplica</t>
        </is>
      </c>
    </row>
    <row r="15">
      <c r="A15" s="13" t="inlineStr">
        <is>
          <t>B-05</t>
        </is>
      </c>
      <c r="B15" s="14" t="inlineStr">
        <is>
          <t>Especie clave — Molle (Schinus molle)</t>
        </is>
      </c>
      <c r="C15" s="27" t="n">
        <v>650032</v>
      </c>
      <c r="D15" s="27" t="n">
        <v>9425645</v>
      </c>
      <c r="E15" s="14" t="n">
        <v>563.2</v>
      </c>
      <c r="F15" s="14" t="inlineStr">
        <is>
          <t>Clave cultural</t>
        </is>
      </c>
      <c r="G15" s="14" t="inlineStr">
        <is>
          <t>NE</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649472</v>
      </c>
      <c r="C18" s="6" t="inlineStr">
        <is>
          <t>Centroide del bloque — UTM NORTE (m)</t>
        </is>
      </c>
      <c r="D18" s="7" t="n">
        <v>9425705</v>
      </c>
      <c r="E18" s="8" t="n"/>
      <c r="F18" s="8" t="n"/>
      <c r="G18" s="8" t="n"/>
      <c r="H18" s="8" t="n"/>
    </row>
    <row r="19">
      <c r="A19" s="6" t="inlineStr">
        <is>
          <t>N.° de estaciones fotográficas declaradas</t>
        </is>
      </c>
      <c r="B19" s="7" t="inlineStr">
        <is>
          <t>Sin registro en la ficha DT</t>
        </is>
      </c>
      <c r="C19" s="6" t="inlineStr">
        <is>
          <t>Estaciones dentro del polígono</t>
        </is>
      </c>
      <c r="D19" s="7" t="inlineStr">
        <is>
          <t>Por determinar</t>
        </is>
      </c>
      <c r="E19" s="8" t="n"/>
      <c r="F19" s="8" t="n"/>
      <c r="G19" s="8" t="n"/>
      <c r="H19" s="8" t="n"/>
    </row>
    <row r="21" ht="96"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clasificado por MINAM como Zona agrícola (100%); en campo es un mosaico agroforestal húmedo con relictos de bosque montano. Sector rotulado con ≈80% de pendiente. Coordenadas de referencia = CENTROIDE del bloque. Altitud GPS, hora de registro y comunidad campesina: por verificar.</t>
        </is>
      </c>
      <c r="B21" s="41" t="n"/>
      <c r="C21" s="41" t="n"/>
      <c r="D21" s="41" t="n"/>
      <c r="E21" s="41" t="n"/>
      <c r="F21" s="41" t="n"/>
      <c r="G21" s="42"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26</t>
        </is>
      </c>
    </row>
    <row r="6" ht="24" customHeight="1">
      <c r="A6" s="4" t="inlineStr">
        <is>
          <t>Distrito de Lalaquiz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66</t>
        </is>
      </c>
      <c r="B10" s="28" t="n">
        <v>102.34</v>
      </c>
      <c r="C10" s="19" t="n">
        <v>18.53</v>
      </c>
      <c r="D10" s="15" t="inlineStr">
        <is>
          <t>1171 – 1769</t>
        </is>
      </c>
      <c r="E10" s="15" t="n">
        <v>598</v>
      </c>
      <c r="F10" s="15" t="n">
        <v>31.55</v>
      </c>
      <c r="G10" s="18" t="n">
        <v>0.6403</v>
      </c>
      <c r="H10" s="19" t="n">
        <v>94.08</v>
      </c>
      <c r="I10" s="19" t="n">
        <v>8.84</v>
      </c>
    </row>
    <row r="11">
      <c r="A11" s="13" t="inlineStr">
        <is>
          <t>M30B5</t>
        </is>
      </c>
      <c r="B11" s="29" t="n">
        <v>90.90000000000001</v>
      </c>
      <c r="C11" s="21" t="n">
        <v>16.46</v>
      </c>
      <c r="D11" s="14" t="inlineStr">
        <is>
          <t>1782 – 2307</t>
        </is>
      </c>
      <c r="E11" s="14" t="n">
        <v>525</v>
      </c>
      <c r="F11" s="14" t="n">
        <v>21.23</v>
      </c>
      <c r="G11" s="20" t="n">
        <v>0.5564</v>
      </c>
      <c r="H11" s="21" t="n">
        <v>79.45999999999999</v>
      </c>
      <c r="I11" s="21" t="n">
        <v>33.03</v>
      </c>
    </row>
    <row r="12">
      <c r="A12" s="7" t="inlineStr">
        <is>
          <t>21</t>
        </is>
      </c>
      <c r="B12" s="28" t="n">
        <v>84.23</v>
      </c>
      <c r="C12" s="19" t="n">
        <v>15.25</v>
      </c>
      <c r="D12" s="15" t="inlineStr">
        <is>
          <t>1353 – 2004</t>
        </is>
      </c>
      <c r="E12" s="15" t="n">
        <v>651</v>
      </c>
      <c r="F12" s="15" t="n">
        <v>31.71</v>
      </c>
      <c r="G12" s="18" t="n">
        <v>0.6201</v>
      </c>
      <c r="H12" s="19" t="n">
        <v>89.39</v>
      </c>
      <c r="I12" s="19" t="n">
        <v>5.17</v>
      </c>
    </row>
    <row r="13">
      <c r="A13" s="13" t="inlineStr">
        <is>
          <t>28</t>
        </is>
      </c>
      <c r="B13" s="29" t="n">
        <v>52.97</v>
      </c>
      <c r="C13" s="21" t="n">
        <v>9.59</v>
      </c>
      <c r="D13" s="14" t="inlineStr">
        <is>
          <t>1462 – 1856</t>
        </is>
      </c>
      <c r="E13" s="14" t="n">
        <v>394</v>
      </c>
      <c r="F13" s="14" t="n">
        <v>30.36</v>
      </c>
      <c r="G13" s="20" t="n">
        <v>0.6394</v>
      </c>
      <c r="H13" s="21" t="n">
        <v>96.64</v>
      </c>
      <c r="I13" s="21" t="n">
        <v>0.93</v>
      </c>
    </row>
    <row r="14">
      <c r="A14" s="11" t="inlineStr">
        <is>
          <t>► 26</t>
        </is>
      </c>
      <c r="B14" s="30" t="n">
        <v>46.96</v>
      </c>
      <c r="C14" s="31" t="n">
        <v>8.5</v>
      </c>
      <c r="D14" s="12" t="inlineStr">
        <is>
          <t>1260 – 1855</t>
        </is>
      </c>
      <c r="E14" s="12" t="n">
        <v>595</v>
      </c>
      <c r="F14" s="12" t="n">
        <v>32.26</v>
      </c>
      <c r="G14" s="32" t="n">
        <v>0.6733</v>
      </c>
      <c r="H14" s="31" t="n">
        <v>97.29000000000001</v>
      </c>
      <c r="I14" s="31" t="n">
        <v>2.35</v>
      </c>
    </row>
    <row r="15">
      <c r="A15" s="13" t="inlineStr">
        <is>
          <t>60</t>
        </is>
      </c>
      <c r="B15" s="29" t="n">
        <v>40.13</v>
      </c>
      <c r="C15" s="21" t="n">
        <v>7.27</v>
      </c>
      <c r="D15" s="14" t="inlineStr">
        <is>
          <t>1638 – 2073</t>
        </is>
      </c>
      <c r="E15" s="14" t="n">
        <v>435</v>
      </c>
      <c r="F15" s="14" t="n">
        <v>32.67</v>
      </c>
      <c r="G15" s="20" t="n">
        <v>0.6745</v>
      </c>
      <c r="H15" s="21" t="n">
        <v>99.90000000000001</v>
      </c>
      <c r="I15" s="21" t="n">
        <v>0.61</v>
      </c>
    </row>
    <row r="16">
      <c r="A16" s="7" t="inlineStr">
        <is>
          <t>64</t>
        </is>
      </c>
      <c r="B16" s="28" t="n">
        <v>35.77</v>
      </c>
      <c r="C16" s="19" t="n">
        <v>6.48</v>
      </c>
      <c r="D16" s="15" t="inlineStr">
        <is>
          <t>2412 – 2651</t>
        </is>
      </c>
      <c r="E16" s="15" t="n">
        <v>239</v>
      </c>
      <c r="F16" s="15" t="n">
        <v>28.18</v>
      </c>
      <c r="G16" s="18" t="n">
        <v>0.5254</v>
      </c>
      <c r="H16" s="19" t="n">
        <v>78.22</v>
      </c>
      <c r="I16" s="19" t="n">
        <v>41.48</v>
      </c>
    </row>
    <row r="17">
      <c r="A17" s="13" t="inlineStr">
        <is>
          <t>37</t>
        </is>
      </c>
      <c r="B17" s="29" t="n">
        <v>35.49</v>
      </c>
      <c r="C17" s="21" t="n">
        <v>6.43</v>
      </c>
      <c r="D17" s="14" t="inlineStr">
        <is>
          <t>1184 – 1455</t>
        </is>
      </c>
      <c r="E17" s="14" t="n">
        <v>271</v>
      </c>
      <c r="F17" s="14" t="n">
        <v>23.59</v>
      </c>
      <c r="G17" s="20" t="n">
        <v>0.6588000000000001</v>
      </c>
      <c r="H17" s="21" t="n">
        <v>98.02</v>
      </c>
      <c r="I17" s="21" t="n">
        <v>1.92</v>
      </c>
    </row>
    <row r="18">
      <c r="A18" s="7" t="inlineStr">
        <is>
          <t>30</t>
        </is>
      </c>
      <c r="B18" s="28" t="n">
        <v>34.87</v>
      </c>
      <c r="C18" s="19" t="n">
        <v>6.31</v>
      </c>
      <c r="D18" s="15" t="inlineStr">
        <is>
          <t>1216 – 1541</t>
        </is>
      </c>
      <c r="E18" s="15" t="n">
        <v>325</v>
      </c>
      <c r="F18" s="15" t="n">
        <v>27.91</v>
      </c>
      <c r="G18" s="18" t="n">
        <v>0.6637999999999999</v>
      </c>
      <c r="H18" s="19" t="n">
        <v>99.38</v>
      </c>
      <c r="I18" s="19" t="n">
        <v>1.31</v>
      </c>
    </row>
    <row r="19">
      <c r="A19" s="13" t="inlineStr">
        <is>
          <t>40</t>
        </is>
      </c>
      <c r="B19" s="29" t="n">
        <v>28.52</v>
      </c>
      <c r="C19" s="21" t="n">
        <v>5.16</v>
      </c>
      <c r="D19" s="14" t="inlineStr">
        <is>
          <t>1407 – 1656</t>
        </is>
      </c>
      <c r="E19" s="14" t="n">
        <v>249</v>
      </c>
      <c r="F19" s="14" t="n">
        <v>31.4</v>
      </c>
      <c r="G19" s="20" t="n">
        <v>0.6401</v>
      </c>
      <c r="H19" s="21" t="n">
        <v>99.55</v>
      </c>
      <c r="I19" s="21" t="n">
        <v>2.9</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c r="I20" s="23">
        <f>ROUND(AVERAGE(I10:I19),2)</f>
        <v/>
      </c>
    </row>
    <row r="22" ht="84" customHeight="1">
      <c r="A22" s="9" t="inlineStr">
        <is>
          <t>LECTURA INTRAMICROCUENCA. El bloque 26 ocupa el puesto 5 de 10 por superficie dentro de la microcuenca C1081-Q9591 (8.50 % de las 552.18 ha preliminares de la microcuenca). Su pendiente promedio (32.26 %, clase «25-50% (Mod. escarpado)») es la 9.ª más baja de 10 y se sitúa por encima del promedio de la microcuenca (29.09 %). Su MSAVI 2024 (0.6733) es el 2.º de 10 y queda por encima del promedio local (0.6292). Amplitud altitudinal del bloque: 595 m (1260–1855 msnm). El cuadro conserva todos los bloques catalogados en la microcuenca, incluidos los descartados en el tamizaje, para referencia del conjunto. Los bloques sin ficha DT figuran con sus parámetros de gabinete. BRECHA ESPECTRAL. El 2.35 % de la superficie del bloque (1.102 ha de 46.962 ha) se sitúa bajo el umbral MSAVI 0.4976, por debajo del promedio local de la microcuenca (9.85 %)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9">
    <mergeCell ref="A2:I2"/>
    <mergeCell ref="A5:I5"/>
    <mergeCell ref="A1:I1"/>
    <mergeCell ref="A8:I8"/>
    <mergeCell ref="A3:I3"/>
    <mergeCell ref="A6:I6"/>
    <mergeCell ref="A22:I22"/>
    <mergeCell ref="A4:I4"/>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26</t>
        </is>
      </c>
    </row>
    <row r="6">
      <c r="A6" s="52" t="inlineStr">
        <is>
          <t>Cruce de la ficha de campo F-DT vigente con la ficha de resumen de gabinete y el catálogo maestro. Integración 2026-09-11 20:22:26.</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«C1081-Q9591».</t>
        </is>
      </c>
      <c r="D9" s="56" t="inlineStr">
        <is>
          <t>CONFORME</t>
        </is>
      </c>
      <c r="E9" s="56" t="inlineStr">
        <is>
          <t>Sin acción.</t>
        </is>
      </c>
    </row>
    <row r="10">
      <c r="A10" s="57" t="inlineStr">
        <is>
          <t>G-02</t>
        </is>
      </c>
      <c r="B10" s="57" t="inlineStr">
        <is>
          <t>UTM del punto de muestreo</t>
        </is>
      </c>
      <c r="C10" s="57" t="inlineStr">
        <is>
          <t>El punto de muestreo declarado dista 0.0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(46.973 ha) se desvía 0.03 % de la superficie de catálogo (46.96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(46.962 ha) se desvía 0.00 % de la superficie de catálogo (46.96 ha).</t>
        </is>
      </c>
      <c r="D14" s="57" t="inlineStr">
        <is>
          <t>CONFORME</t>
        </is>
      </c>
      <c r="E14" s="57" t="inlineStr">
        <is>
          <t>Sin acción: la segmentación valida la geometría del bloque.</t>
        </is>
      </c>
    </row>
    <row r="15">
      <c r="A15" s="56" t="inlineStr">
        <is>
          <t>G-07</t>
        </is>
      </c>
      <c r="B15" s="56" t="inlineStr">
        <is>
          <t>Brecha espectral MSAVI</t>
        </is>
      </c>
      <c r="C15" s="56" t="inlineStr">
        <is>
          <t>El 2.35 % del bloque queda bajo el umbral 0.4976; superficie de brecha 1.1022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46.96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(0.6733)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89.3 % de los campos esperados).</t>
        </is>
      </c>
      <c r="D19" s="56" t="inlineStr">
        <is>
          <t>CONFORME</t>
        </is>
      </c>
      <c r="E19" s="56" t="inlineStr">
        <is>
          <t>Sin acción.</t>
        </is>
      </c>
    </row>
    <row r="20">
      <c r="A20" s="57" t="inlineStr">
        <is>
          <t>F-02</t>
        </is>
      </c>
      <c r="B20" s="57" t="inlineStr">
        <is>
          <t>Cobertura de la integración</t>
        </is>
      </c>
      <c r="C20" s="57" t="inlineStr">
        <is>
          <t>Se declararon 90 de 114 hechos integrados (78.9 %); 24 quedan sin dato en ninguna fuente.</t>
        </is>
      </c>
      <c r="D20" s="57" t="inlineStr">
        <is>
          <t>CONFORME</t>
        </is>
      </c>
      <c r="E20" s="57" t="inlineStr">
        <is>
          <t>Sin acción.</t>
        </is>
      </c>
    </row>
    <row r="21">
      <c r="A21" s="56" t="inlineStr">
        <is>
          <t>H-01</t>
        </is>
      </c>
      <c r="B21" s="56" t="inlineStr">
        <is>
          <t>Rango de pendiente dominante</t>
        </is>
      </c>
      <c r="C21" s="56" t="inlineStr">
        <is>
          <t>La ficha DT declara «50-75% (Escarpado)»; la estadística zonal sobre el MDE arroja una pendiente promedio de 32.26 %, que corresponde a la clase «25-50% (Mod. escarpado)»</t>
        </is>
      </c>
      <c r="D21" s="56" t="inlineStr">
        <is>
          <t>NO SUSTANTIVA</t>
        </is>
      </c>
      <c r="E21" s="5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7" t="inlineStr">
        <is>
          <t>H-02</t>
        </is>
      </c>
      <c r="B22" s="57" t="inlineStr">
        <is>
          <t>Dimensiones del inventario de cárcavas</t>
        </is>
      </c>
      <c r="C22" s="57" t="inlineStr">
        <is>
          <t>Se registran 2 rasgos erosivos, pero longitud, profundidad y ancho no fueron medidos instrumentalmente</t>
        </is>
      </c>
      <c r="D22" s="57" t="inlineStr">
        <is>
          <t>NO SUSTANTIVA</t>
        </is>
      </c>
      <c r="E22" s="57" t="inlineStr">
        <is>
          <t>El conteo registrado no debe usarse para calcular densidad de cárcavas por hectárea. Pendiente de levantamiento con GPS submétrico. (Verificación heredada de la ficha de resumen V6.)</t>
        </is>
      </c>
    </row>
    <row r="23">
      <c r="A23" s="56" t="inlineStr">
        <is>
          <t>H-03</t>
        </is>
      </c>
      <c r="B23" s="56" t="inlineStr">
        <is>
          <t>Centro poblado asociado</t>
        </is>
      </c>
      <c r="C23" s="56" t="inlineStr">
        <is>
          <t>La ficha DT declara «La Laguna»; el cruce INEI-Bloques V5 identifica 1 centro(s) poblado(s) en el bloque: LA LAGUNA</t>
        </is>
      </c>
      <c r="D23" s="56" t="inlineStr">
        <is>
          <t>CONFORME</t>
        </is>
      </c>
      <c r="E23" s="56" t="inlineStr">
        <is>
          <t>Se conserva el registro de campo como referencia y se adopta el listado INEI para el diagnóstico social y el cálculo de población beneficiaria. (Verificación heredada de la ficha de resumen V6.)</t>
        </is>
      </c>
    </row>
    <row r="25">
      <c r="A25" s="58" t="inlineStr">
        <is>
          <t>RESUMEN</t>
        </is>
      </c>
      <c r="B25" s="59" t="inlineStr">
        <is>
          <t>15 verificaciones</t>
        </is>
      </c>
      <c r="C25" s="59" t="inlineStr">
        <is>
          <t>SUSTANTIVA: 1 · NO SUSTANTIVA: 3 · CONFORME: 11</t>
        </is>
      </c>
    </row>
    <row r="27">
      <c r="A27"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6:E6"/>
    <mergeCell ref="A27:E27"/>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26</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649472</t>
        </is>
      </c>
      <c r="D13" s="56" t="inlineStr">
        <is>
          <t>m</t>
        </is>
      </c>
    </row>
    <row r="14">
      <c r="A14" s="57" t="inlineStr">
        <is>
          <t>1. Identificación y localización</t>
        </is>
      </c>
      <c r="B14" s="57" t="inlineStr">
        <is>
          <t>UTM NORTE del punto de muestreo (m)</t>
        </is>
      </c>
      <c r="C14" s="57" t="inlineStr">
        <is>
          <t>9425705</t>
        </is>
      </c>
      <c r="D14" s="57" t="inlineStr">
        <is>
          <t>m</t>
        </is>
      </c>
    </row>
    <row r="15">
      <c r="A15" s="56" t="inlineStr">
        <is>
          <t>2. Parámetros físicos del terreno</t>
        </is>
      </c>
      <c r="B15" s="56" t="inlineStr">
        <is>
          <t>Piso altitudinal del punto de muestreo</t>
        </is>
      </c>
      <c r="C15" s="56" t="inlineStr">
        <is>
          <t>1500-2000 m (Quechua media)</t>
        </is>
      </c>
      <c r="D15" s="56" t="inlineStr"/>
    </row>
    <row r="16">
      <c r="A16" s="57" t="inlineStr">
        <is>
          <t>2. Parámetros físicos del terreno</t>
        </is>
      </c>
      <c r="B16" s="57" t="inlineStr">
        <is>
          <t>Paisaje dominante descrito en campo</t>
        </is>
      </c>
      <c r="C16" s="57" t="inlineStr">
        <is>
          <t>Ladera de montaña de fuerte pendiente con mosaico agroforestal (SAF de café), matorral y relictos de bosque montano húmedo; microcuenca C1081-Q9591.</t>
        </is>
      </c>
      <c r="D16" s="57" t="inlineStr"/>
    </row>
    <row r="17">
      <c r="A17" s="56" t="inlineStr">
        <is>
          <t>2. Parámetros físicos del terreno</t>
        </is>
      </c>
      <c r="B17" s="56" t="inlineStr">
        <is>
          <t>Reptación de suelo</t>
        </is>
      </c>
      <c r="C17" s="56" t="inlineStr">
        <is>
          <t>No</t>
        </is>
      </c>
      <c r="D17" s="56" t="inlineStr"/>
    </row>
    <row r="18">
      <c r="A18" s="57" t="inlineStr">
        <is>
          <t>2. Parámetros físicos del terreno</t>
        </is>
      </c>
      <c r="B18" s="57" t="inlineStr">
        <is>
          <t>Deslizamientos antiguos</t>
        </is>
      </c>
      <c r="C18" s="57" t="inlineStr">
        <is>
          <t>No</t>
        </is>
      </c>
      <c r="D18" s="57" t="inlineStr"/>
    </row>
    <row r="19">
      <c r="A19" s="56" t="inlineStr">
        <is>
          <t>4. Suelos y erosión (F-DT-02)</t>
        </is>
      </c>
      <c r="B19" s="56" t="inlineStr">
        <is>
          <t>Nivel de erosión - síntesis de campo</t>
        </is>
      </c>
      <c r="C19" s="56" t="inlineStr">
        <is>
          <t>Moderada (surcos)</t>
        </is>
      </c>
      <c r="D19" s="56" t="inlineStr"/>
    </row>
    <row r="20">
      <c r="A20" s="57" t="inlineStr">
        <is>
          <t>4. Suelos y erosión (F-DT-02)</t>
        </is>
      </c>
      <c r="B20" s="57" t="inlineStr">
        <is>
          <t>Sellamiento / costra superficial</t>
        </is>
      </c>
      <c r="C20" s="57" t="inlineStr">
        <is>
          <t>No</t>
        </is>
      </c>
      <c r="D20" s="57" t="inlineStr"/>
    </row>
    <row r="21">
      <c r="A21" s="56" t="inlineStr">
        <is>
          <t>4. Suelos y erosión (F-DT-02)</t>
        </is>
      </c>
      <c r="B21" s="56" t="inlineStr">
        <is>
          <t>Compactación por pisoteo</t>
        </is>
      </c>
      <c r="C21" s="56" t="inlineStr">
        <is>
          <t>Sí</t>
        </is>
      </c>
      <c r="D21" s="56" t="inlineStr"/>
    </row>
    <row r="22">
      <c r="A22" s="57" t="inlineStr">
        <is>
          <t>4. Suelos y erosión (F-DT-02)</t>
        </is>
      </c>
      <c r="B22" s="57" t="inlineStr">
        <is>
          <t>Raíces expuestas</t>
        </is>
      </c>
      <c r="C22" s="57" t="inlineStr">
        <is>
          <t>Sí</t>
        </is>
      </c>
      <c r="D22" s="57" t="inlineStr"/>
    </row>
    <row r="23">
      <c r="A23" s="56" t="inlineStr">
        <is>
          <t>4. Suelos y erosión (F-DT-02)</t>
        </is>
      </c>
      <c r="B23" s="56" t="inlineStr">
        <is>
          <t>Patrón de cárcavas</t>
        </is>
      </c>
      <c r="C23" s="56" t="inlineStr">
        <is>
          <t>Aislado</t>
        </is>
      </c>
      <c r="D23" s="56" t="inlineStr"/>
    </row>
    <row r="24">
      <c r="A24" s="57" t="inlineStr">
        <is>
          <t>4. Suelos y erosión (F-DT-02)</t>
        </is>
      </c>
      <c r="B24" s="57" t="inlineStr">
        <is>
          <t>Socavamiento de cauce</t>
        </is>
      </c>
      <c r="C24" s="57" t="inlineStr">
        <is>
          <t>No</t>
        </is>
      </c>
      <c r="D24" s="57" t="inlineStr"/>
    </row>
    <row r="25">
      <c r="A25" s="56" t="inlineStr">
        <is>
          <t>5. Ecosistema, cobertura y flora (F-DT-03)</t>
        </is>
      </c>
      <c r="B25" s="56" t="inlineStr">
        <is>
          <t>Presencia de epífitas</t>
        </is>
      </c>
      <c r="C25" s="56" t="inlineStr">
        <is>
          <t>Sí</t>
        </is>
      </c>
      <c r="D25" s="56" t="inlineStr"/>
    </row>
    <row r="26">
      <c r="A26" s="57" t="inlineStr">
        <is>
          <t>5. Ecosistema, cobertura y flora (F-DT-03)</t>
        </is>
      </c>
      <c r="B26" s="57" t="inlineStr">
        <is>
          <t>Fenología dominante</t>
        </is>
      </c>
      <c r="C26" s="57" t="inlineStr">
        <is>
          <t>Vegetativo</t>
        </is>
      </c>
      <c r="D26" s="57" t="inlineStr"/>
    </row>
    <row r="27">
      <c r="A27" s="56" t="inlineStr">
        <is>
          <t>5. Ecosistema, cobertura y flora (F-DT-03)</t>
        </is>
      </c>
      <c r="B27" s="56" t="inlineStr">
        <is>
          <t>Especies clave georreferenciadas</t>
        </is>
      </c>
      <c r="C27" s="56" t="inlineStr">
        <is>
          <t>5</t>
        </is>
      </c>
      <c r="D27" s="56" t="inlineStr"/>
    </row>
    <row r="28">
      <c r="A28" s="57" t="inlineStr">
        <is>
          <t>6. Degradación, causas y urgencia (F-DT-04)</t>
        </is>
      </c>
      <c r="B28" s="57" t="inlineStr">
        <is>
          <t>Causas directas de la degradación</t>
        </is>
      </c>
      <c r="C28" s="57" t="inlineStr">
        <is>
          <t>Cambio de uso a SAF/agricultura, pastoreo disperso, taludes de corte de vía y especies introducidas, sobre laderas de fuerte pendiente.</t>
        </is>
      </c>
      <c r="D28" s="57" t="inlineStr"/>
    </row>
    <row r="29">
      <c r="A29" s="56" t="inlineStr">
        <is>
          <t>6. Degradación, causas y urgencia (F-DT-04)</t>
        </is>
      </c>
      <c r="B29" s="56" t="inlineStr">
        <is>
          <t>N.° de causas activas en la matriz F-DT-04</t>
        </is>
      </c>
      <c r="C29" s="56" t="inlineStr">
        <is>
          <t>7</t>
        </is>
      </c>
      <c r="D29" s="56" t="inlineStr"/>
    </row>
    <row r="30">
      <c r="A30" s="57" t="inlineStr">
        <is>
          <t>7. Hidrología, acceso y logística (F-DT-05)</t>
        </is>
      </c>
      <c r="B30" s="57" t="inlineStr">
        <is>
          <t>Escorrentía concentrada</t>
        </is>
      </c>
      <c r="C30" s="57" t="inlineStr">
        <is>
          <t>No</t>
        </is>
      </c>
      <c r="D30" s="57" t="inlineStr"/>
    </row>
    <row r="31">
      <c r="A31" s="56" t="inlineStr">
        <is>
          <t>7. Hidrología, acceso y logística (F-DT-05)</t>
        </is>
      </c>
      <c r="B31" s="56" t="inlineStr">
        <is>
          <t>Fuentes de agua inventariadas</t>
        </is>
      </c>
      <c r="C31" s="56" t="inlineStr">
        <is>
          <t>1</t>
        </is>
      </c>
      <c r="D31" s="56" t="inlineStr"/>
    </row>
    <row r="32">
      <c r="A32" s="57" t="inlineStr">
        <is>
          <t>7. Hidrología, acceso y logística (F-DT-05)</t>
        </is>
      </c>
      <c r="B32" s="57" t="inlineStr">
        <is>
          <t>Interferencia con riego</t>
        </is>
      </c>
      <c r="C32" s="57" t="inlineStr">
        <is>
          <t>No</t>
        </is>
      </c>
      <c r="D32" s="57" t="inlineStr"/>
    </row>
    <row r="33">
      <c r="A33" s="56" t="inlineStr">
        <is>
          <t>7. Hidrología, acceso y logística (F-DT-05)</t>
        </is>
      </c>
      <c r="B33" s="56" t="inlineStr">
        <is>
          <t>Vía principal de acceso</t>
        </is>
      </c>
      <c r="C33" s="56" t="inlineStr">
        <is>
          <t>Trocha carrozable afirmada hasta el C.P. La Laguna (Lalaquiz)</t>
        </is>
      </c>
      <c r="D33" s="56" t="inlineStr"/>
    </row>
    <row r="34">
      <c r="A34" s="57" t="inlineStr">
        <is>
          <t>7. Hidrología, acceso y logística (F-DT-05)</t>
        </is>
      </c>
      <c r="B34" s="57" t="inlineStr">
        <is>
          <t>Tipo de vía del tramo final</t>
        </is>
      </c>
      <c r="C34" s="57" t="inlineStr">
        <is>
          <t>Camino de herradura</t>
        </is>
      </c>
      <c r="D34" s="57" t="inlineStr"/>
    </row>
    <row r="35">
      <c r="A35" s="56" t="inlineStr">
        <is>
          <t>7. Hidrología, acceso y logística (F-DT-05)</t>
        </is>
      </c>
      <c r="B35" s="56" t="inlineStr">
        <is>
          <t>Transitabilidad en época seca</t>
        </is>
      </c>
      <c r="C35" s="56" t="inlineStr">
        <is>
          <t>Medio</t>
        </is>
      </c>
      <c r="D35" s="56" t="inlineStr"/>
    </row>
    <row r="36">
      <c r="A36" s="57" t="inlineStr">
        <is>
          <t>7. Hidrología, acceso y logística (F-DT-05)</t>
        </is>
      </c>
      <c r="B36" s="57" t="inlineStr">
        <is>
          <t>Transitabilidad en época lluviosa</t>
        </is>
      </c>
      <c r="C36" s="57" t="inlineStr">
        <is>
          <t>Bajo</t>
        </is>
      </c>
      <c r="D36" s="57" t="inlineStr"/>
    </row>
    <row r="38">
      <c r="A38" s="54" t="inlineStr">
        <is>
          <t>C. PROCEDENCIA DE LOS HECHOS DECLARADOS</t>
        </is>
      </c>
    </row>
    <row r="39">
      <c r="A39" s="55" t="inlineStr">
        <is>
          <t>Fuente</t>
        </is>
      </c>
      <c r="B39" s="55" t="inlineStr">
        <is>
          <t>Hechos</t>
        </is>
      </c>
      <c r="C39" s="55" t="inlineStr">
        <is>
          <t>Alcance de la fuente</t>
        </is>
      </c>
    </row>
    <row r="40">
      <c r="A40" s="56" t="inlineStr">
        <is>
          <t>Dato de campo</t>
        </is>
      </c>
      <c r="B40" s="56" t="n">
        <v>50</v>
      </c>
      <c r="C40" s="56" t="inlineStr">
        <is>
          <t>Verificación en campo. Fichas F-DT-01 a F-DT-05 de la Plantilla DT Campo Check Validada V5, suscritas por el evaluador.</t>
        </is>
      </c>
    </row>
    <row r="41">
      <c r="A41" s="57" t="inlineStr">
        <is>
          <t>Gabinete (GIS / teledetección)</t>
        </is>
      </c>
      <c r="B41" s="57" t="n">
        <v>26</v>
      </c>
      <c r="C41" s="57" t="inlineStr">
        <is>
          <t>Gabinete. Estadística zonal sobre el MDE y compuestos Sentinel-2 (NDVI mediana 2025, MSAVI 2024 por clase DN).</t>
        </is>
      </c>
    </row>
    <row r="42">
      <c r="A42" s="56" t="inlineStr">
        <is>
          <t>Fuente oficial</t>
        </is>
      </c>
      <c r="B42" s="56" t="n">
        <v>14</v>
      </c>
      <c r="C42" s="56" t="inlineStr">
        <is>
          <t>Fuente oficial. Catálogo maestro Bloques V5/V6, división política INEI y codificación de microcuencas de la ANA.</t>
        </is>
      </c>
    </row>
    <row r="44">
      <c r="A44" s="54" t="inlineStr">
        <is>
          <t>D. ESTADO DEL CRUCE ENTRE FUENTES</t>
        </is>
      </c>
    </row>
    <row r="45">
      <c r="A45" s="55" t="inlineStr">
        <is>
          <t>Estado</t>
        </is>
      </c>
      <c r="B45" s="55" t="inlineStr">
        <is>
          <t>Hechos</t>
        </is>
      </c>
      <c r="C45" s="55" t="inlineStr">
        <is>
          <t>Significado</t>
        </is>
      </c>
    </row>
    <row r="46">
      <c r="A46" s="56" t="inlineStr">
        <is>
          <t>CONFORME</t>
        </is>
      </c>
      <c r="B46" s="56" t="n">
        <v>85</v>
      </c>
      <c r="C46" s="56" t="inlineStr">
        <is>
          <t>Las dos fuentes declaran lo mismo, o solo la fuente que manda sobre el hecho lo declara.</t>
        </is>
      </c>
    </row>
    <row r="47">
      <c r="A47" s="57" t="inlineStr">
        <is>
          <t>COMPLEMENTADO</t>
        </is>
      </c>
      <c r="B47" s="57" t="n">
        <v>5</v>
      </c>
      <c r="C47" s="57" t="inlineStr">
        <is>
          <t>Solo una de las fuentes lo declara y se adopta ese valor.</t>
        </is>
      </c>
    </row>
    <row r="48">
      <c r="A48" s="56" t="inlineStr">
        <is>
          <t>ACTUALIZADO</t>
        </is>
      </c>
      <c r="B48" s="56" t="n">
        <v>0</v>
      </c>
      <c r="C48" s="56" t="inlineStr">
        <is>
          <t>La verificación de campo vigente corrige lo que traía el libro de resumen.</t>
        </is>
      </c>
    </row>
    <row r="49">
      <c r="A49" s="57" t="inlineStr">
        <is>
          <t>DISCREPANTE</t>
        </is>
      </c>
      <c r="B49" s="57" t="n">
        <v>0</v>
      </c>
      <c r="C49" s="57" t="inlineStr">
        <is>
          <t>Las fuentes se contradicen; prevalece la que manda sobre el hecho y la otra queda declarada.</t>
        </is>
      </c>
    </row>
    <row r="50">
      <c r="A50" s="56" t="inlineStr">
        <is>
          <t>PENDIENTE</t>
        </is>
      </c>
      <c r="B50" s="56" t="n">
        <v>24</v>
      </c>
      <c r="C50"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26</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E-01</t>
        </is>
      </c>
      <c r="B9" s="56" t="inlineStr">
        <is>
          <t>Surco (&lt;30 cm)</t>
        </is>
      </c>
      <c r="C9" s="61" t="n">
        <v>650018</v>
      </c>
      <c r="D9" s="61" t="n">
        <v>9425968</v>
      </c>
      <c r="E9" s="56" t="n"/>
      <c r="F9" s="56" t="n"/>
      <c r="G9" s="56" t="n"/>
      <c r="H9" s="56" t="inlineStr">
        <is>
          <t>Activa</t>
        </is>
      </c>
      <c r="I9" s="56" t="inlineStr">
        <is>
          <t>Otro</t>
        </is>
      </c>
    </row>
    <row r="10">
      <c r="A10" s="57" t="inlineStr">
        <is>
          <t>E-02</t>
        </is>
      </c>
      <c r="B10" s="57" t="inlineStr">
        <is>
          <t>Surco (&lt;30 cm)</t>
        </is>
      </c>
      <c r="C10" s="62" t="n">
        <v>650032</v>
      </c>
      <c r="D10" s="62" t="n">
        <v>9425645</v>
      </c>
      <c r="E10" s="57" t="n"/>
      <c r="F10" s="57" t="n"/>
      <c r="G10" s="57" t="n"/>
      <c r="H10" s="57" t="inlineStr">
        <is>
          <t>Semi-activa</t>
        </is>
      </c>
      <c r="I10" s="57" t="inlineStr">
        <is>
          <t>Otro</t>
        </is>
      </c>
    </row>
    <row r="12">
      <c r="A12" s="54" t="inlineStr">
        <is>
          <t>F-DT-03 · ELENCO FLORÍSTICO</t>
        </is>
      </c>
    </row>
    <row r="13">
      <c r="A13" s="55" t="inlineStr">
        <is>
          <t>N.o</t>
        </is>
      </c>
      <c r="B13" s="55" t="inlineStr">
        <is>
          <t>Nombre común</t>
        </is>
      </c>
      <c r="C13" s="55" t="inlineStr">
        <is>
          <t>Nombre científico</t>
        </is>
      </c>
      <c r="D13" s="55" t="inlineStr">
        <is>
          <t>Familia</t>
        </is>
      </c>
      <c r="E13" s="55" t="inlineStr">
        <is>
          <t>Estrato</t>
        </is>
      </c>
      <c r="F13" s="55" t="inlineStr">
        <is>
          <t>Origen</t>
        </is>
      </c>
      <c r="G13" s="55" t="inlineStr">
        <is>
          <t>Abundancia</t>
        </is>
      </c>
      <c r="H13" s="55" t="inlineStr">
        <is>
          <t>DAP (cm)</t>
        </is>
      </c>
      <c r="I13" s="55" t="inlineStr">
        <is>
          <t>Altura (m)</t>
        </is>
      </c>
    </row>
    <row r="14">
      <c r="A14" s="56" t="inlineStr">
        <is>
          <t>1</t>
        </is>
      </c>
      <c r="B14" s="56" t="inlineStr">
        <is>
          <t>Molle</t>
        </is>
      </c>
      <c r="C14" s="56" t="inlineStr">
        <is>
          <t>Schinus molle</t>
        </is>
      </c>
      <c r="D14" s="56" t="inlineStr">
        <is>
          <t>Anacardiaceae</t>
        </is>
      </c>
      <c r="E14" s="56" t="inlineStr">
        <is>
          <t>Arbóreo bajo (4-8 m)</t>
        </is>
      </c>
      <c r="F14" s="56" t="inlineStr">
        <is>
          <t>Nativa</t>
        </is>
      </c>
      <c r="G14" s="56" t="inlineStr">
        <is>
          <t>Frecuente (5-20%)</t>
        </is>
      </c>
      <c r="H14" s="56" t="n"/>
      <c r="I14" s="56" t="n"/>
    </row>
    <row r="15">
      <c r="A15" s="57" t="inlineStr">
        <is>
          <t>2</t>
        </is>
      </c>
      <c r="B15" s="57" t="inlineStr">
        <is>
          <t>Higuerón</t>
        </is>
      </c>
      <c r="C15" s="57" t="inlineStr">
        <is>
          <t>Ficus sp.</t>
        </is>
      </c>
      <c r="D15" s="57" t="inlineStr">
        <is>
          <t>Moraceae</t>
        </is>
      </c>
      <c r="E15" s="57" t="inlineStr">
        <is>
          <t>Arbóreo superior (&gt;15 m)</t>
        </is>
      </c>
      <c r="F15" s="57" t="inlineStr">
        <is>
          <t>Nativa</t>
        </is>
      </c>
      <c r="G15" s="57" t="inlineStr">
        <is>
          <t>Ocasional (1-5%)</t>
        </is>
      </c>
      <c r="H15" s="57" t="n"/>
      <c r="I15" s="57" t="n"/>
    </row>
    <row r="16">
      <c r="A16" s="56" t="inlineStr">
        <is>
          <t>3</t>
        </is>
      </c>
      <c r="B16" s="56" t="inlineStr">
        <is>
          <t>Chirimoyo silvestre</t>
        </is>
      </c>
      <c r="C16" s="56" t="inlineStr">
        <is>
          <t>Annona sp.</t>
        </is>
      </c>
      <c r="D16" s="56" t="inlineStr">
        <is>
          <t>Annonaceae</t>
        </is>
      </c>
      <c r="E16" s="56" t="inlineStr">
        <is>
          <t>Arbóreo bajo (4-8 m)</t>
        </is>
      </c>
      <c r="F16" s="56" t="inlineStr">
        <is>
          <t>Nativa</t>
        </is>
      </c>
      <c r="G16" s="56" t="inlineStr">
        <is>
          <t>Ocasional (1-5%)</t>
        </is>
      </c>
      <c r="H16" s="56" t="n"/>
      <c r="I16" s="56" t="n"/>
    </row>
    <row r="17">
      <c r="A17" s="57" t="inlineStr">
        <is>
          <t>4</t>
        </is>
      </c>
      <c r="B17" s="57" t="inlineStr">
        <is>
          <t>Pacae</t>
        </is>
      </c>
      <c r="C17" s="57" t="inlineStr">
        <is>
          <t>Inga sp.</t>
        </is>
      </c>
      <c r="D17" s="57" t="inlineStr">
        <is>
          <t>Fabaceae</t>
        </is>
      </c>
      <c r="E17" s="57" t="inlineStr">
        <is>
          <t>Arbóreo medio (8-15 m)</t>
        </is>
      </c>
      <c r="F17" s="57" t="inlineStr">
        <is>
          <t>Nativa</t>
        </is>
      </c>
      <c r="G17" s="57" t="inlineStr">
        <is>
          <t>Ocasional (1-5%)</t>
        </is>
      </c>
      <c r="H17" s="57" t="n"/>
      <c r="I17" s="57" t="n"/>
    </row>
    <row r="18">
      <c r="A18" s="56" t="inlineStr">
        <is>
          <t>5</t>
        </is>
      </c>
      <c r="B18" s="56" t="inlineStr">
        <is>
          <t>Chilca</t>
        </is>
      </c>
      <c r="C18" s="56" t="inlineStr">
        <is>
          <t>Baccharis sp.</t>
        </is>
      </c>
      <c r="D18" s="56" t="inlineStr">
        <is>
          <t>Asteraceae</t>
        </is>
      </c>
      <c r="E18" s="56" t="inlineStr">
        <is>
          <t>Arbustivo alto (1.5-4 m)</t>
        </is>
      </c>
      <c r="F18" s="56" t="inlineStr">
        <is>
          <t>Nativa</t>
        </is>
      </c>
      <c r="G18" s="56" t="inlineStr">
        <is>
          <t>Frecuente (5-20%)</t>
        </is>
      </c>
      <c r="H18" s="56" t="n"/>
      <c r="I18" s="56" t="n"/>
    </row>
    <row r="19">
      <c r="A19" s="57" t="inlineStr">
        <is>
          <t>6</t>
        </is>
      </c>
      <c r="B19" s="57" t="inlineStr">
        <is>
          <t>Bambú / caña</t>
        </is>
      </c>
      <c r="C19" s="57" t="inlineStr">
        <is>
          <t>Bambusoideae (indet.)</t>
        </is>
      </c>
      <c r="D19" s="57" t="inlineStr">
        <is>
          <t>Poaceae</t>
        </is>
      </c>
      <c r="E19" s="57" t="inlineStr">
        <is>
          <t>Arbóreo bajo (4-8 m)</t>
        </is>
      </c>
      <c r="F19" s="57" t="inlineStr">
        <is>
          <t>Nativa</t>
        </is>
      </c>
      <c r="G19" s="57" t="inlineStr">
        <is>
          <t>Ocasional (1-5%)</t>
        </is>
      </c>
      <c r="H19" s="57" t="n"/>
      <c r="I19" s="57" t="n"/>
    </row>
    <row r="20">
      <c r="A20" s="56" t="inlineStr">
        <is>
          <t>7</t>
        </is>
      </c>
      <c r="B20" s="56" t="inlineStr">
        <is>
          <t>Bromelias epífitas</t>
        </is>
      </c>
      <c r="C20" s="56" t="inlineStr">
        <is>
          <t>Bromeliaceae (indet.)</t>
        </is>
      </c>
      <c r="D20" s="56" t="inlineStr">
        <is>
          <t>Bromeliaceae</t>
        </is>
      </c>
      <c r="E20" s="56" t="inlineStr">
        <is>
          <t>Epífito</t>
        </is>
      </c>
      <c r="F20" s="56" t="inlineStr">
        <is>
          <t>Nativa</t>
        </is>
      </c>
      <c r="G20" s="56" t="inlineStr">
        <is>
          <t>Frecuente (5-20%)</t>
        </is>
      </c>
      <c r="H20" s="56" t="n"/>
      <c r="I20" s="56" t="n"/>
    </row>
    <row r="21">
      <c r="A21" s="57" t="inlineStr">
        <is>
          <t>8</t>
        </is>
      </c>
      <c r="B21" s="57" t="inlineStr">
        <is>
          <t>Helechos</t>
        </is>
      </c>
      <c r="C21" s="57" t="inlineStr">
        <is>
          <t>Pteridophyta (indet.)</t>
        </is>
      </c>
      <c r="D21" s="57" t="inlineStr">
        <is>
          <t>Indet.</t>
        </is>
      </c>
      <c r="E21" s="57" t="inlineStr">
        <is>
          <t>Herbáceo (&lt;0.5 m)</t>
        </is>
      </c>
      <c r="F21" s="57" t="inlineStr">
        <is>
          <t>Nativa</t>
        </is>
      </c>
      <c r="G21" s="57" t="inlineStr">
        <is>
          <t>Abundante (20-40%)</t>
        </is>
      </c>
      <c r="H21" s="57" t="n"/>
      <c r="I21" s="57" t="n"/>
    </row>
    <row r="22">
      <c r="A22" s="56" t="inlineStr">
        <is>
          <t>9</t>
        </is>
      </c>
      <c r="B22" s="56" t="inlineStr">
        <is>
          <t>Nogal (ref.)</t>
        </is>
      </c>
      <c r="C22" s="56" t="inlineStr">
        <is>
          <t>Juglans sp.</t>
        </is>
      </c>
      <c r="D22" s="56" t="inlineStr">
        <is>
          <t>Juglandaceae</t>
        </is>
      </c>
      <c r="E22" s="56" t="inlineStr">
        <is>
          <t>Arbóreo medio (8-15 m)</t>
        </is>
      </c>
      <c r="F22" s="56" t="inlineStr">
        <is>
          <t>Nativa</t>
        </is>
      </c>
      <c r="G22" s="56" t="inlineStr">
        <is>
          <t>Rara (&lt;1%)</t>
        </is>
      </c>
      <c r="H22" s="56" t="n"/>
      <c r="I22" s="56" t="n"/>
    </row>
    <row r="23">
      <c r="A23" s="57" t="inlineStr">
        <is>
          <t>10</t>
        </is>
      </c>
      <c r="B23" s="57" t="inlineStr">
        <is>
          <t>Roble (ref.)</t>
        </is>
      </c>
      <c r="C23" s="57" t="inlineStr">
        <is>
          <t>Por determinar</t>
        </is>
      </c>
      <c r="D23" s="57" t="inlineStr">
        <is>
          <t>Indet.</t>
        </is>
      </c>
      <c r="E23" s="57" t="inlineStr">
        <is>
          <t>Arbóreo medio (8-15 m)</t>
        </is>
      </c>
      <c r="F23" s="57" t="inlineStr">
        <is>
          <t>Nativa</t>
        </is>
      </c>
      <c r="G23" s="57" t="inlineStr">
        <is>
          <t>Rara (&lt;1%)</t>
        </is>
      </c>
      <c r="H23" s="57" t="n"/>
      <c r="I23" s="57" t="n"/>
    </row>
    <row r="24">
      <c r="A24" s="56" t="inlineStr">
        <is>
          <t>11</t>
        </is>
      </c>
      <c r="B24" s="56" t="inlineStr">
        <is>
          <t>Cedro de altura (ref.)</t>
        </is>
      </c>
      <c r="C24" s="56" t="inlineStr">
        <is>
          <t>Cedrela sp.</t>
        </is>
      </c>
      <c r="D24" s="56" t="inlineStr">
        <is>
          <t>Meliaceae</t>
        </is>
      </c>
      <c r="E24" s="56" t="inlineStr">
        <is>
          <t>Arbóreo superior (&gt;15 m)</t>
        </is>
      </c>
      <c r="F24" s="56" t="inlineStr">
        <is>
          <t>Nativa</t>
        </is>
      </c>
      <c r="G24" s="56" t="inlineStr">
        <is>
          <t>Rara (&lt;1%)</t>
        </is>
      </c>
      <c r="H24" s="56" t="n"/>
      <c r="I24" s="56" t="n"/>
    </row>
    <row r="25">
      <c r="A25" s="57" t="inlineStr">
        <is>
          <t>12</t>
        </is>
      </c>
      <c r="B25" s="57" t="inlineStr">
        <is>
          <t>Grevilea</t>
        </is>
      </c>
      <c r="C25" s="57" t="inlineStr">
        <is>
          <t>Grevillea robusta</t>
        </is>
      </c>
      <c r="D25" s="57" t="inlineStr">
        <is>
          <t>Proteaceae</t>
        </is>
      </c>
      <c r="E25" s="57" t="inlineStr">
        <is>
          <t>Arbóreo superior (&gt;15 m)</t>
        </is>
      </c>
      <c r="F25" s="57" t="inlineStr">
        <is>
          <t>Introducida</t>
        </is>
      </c>
      <c r="G25" s="57" t="inlineStr">
        <is>
          <t>Frecuente (5-20%)</t>
        </is>
      </c>
      <c r="H25" s="57" t="n"/>
      <c r="I25" s="57" t="n"/>
    </row>
    <row r="26">
      <c r="A26" s="56" t="inlineStr">
        <is>
          <t>13</t>
        </is>
      </c>
      <c r="B26" s="56" t="inlineStr">
        <is>
          <t>Casuarina</t>
        </is>
      </c>
      <c r="C26" s="56" t="inlineStr">
        <is>
          <t>Casuarina equisetifolia</t>
        </is>
      </c>
      <c r="D26" s="56" t="inlineStr">
        <is>
          <t>Casuarinaceae</t>
        </is>
      </c>
      <c r="E26" s="56" t="inlineStr">
        <is>
          <t>Arbóreo medio (8-15 m)</t>
        </is>
      </c>
      <c r="F26" s="56" t="inlineStr">
        <is>
          <t>Introducida</t>
        </is>
      </c>
      <c r="G26" s="56" t="inlineStr">
        <is>
          <t>Ocasional (1-5%)</t>
        </is>
      </c>
      <c r="H26" s="56" t="n"/>
      <c r="I26" s="56" t="n"/>
    </row>
    <row r="27">
      <c r="A27" s="57" t="inlineStr">
        <is>
          <t>14</t>
        </is>
      </c>
      <c r="B27" s="57" t="inlineStr">
        <is>
          <t>Agave</t>
        </is>
      </c>
      <c r="C27" s="57" t="inlineStr">
        <is>
          <t>Agave americana</t>
        </is>
      </c>
      <c r="D27" s="57" t="inlineStr">
        <is>
          <t>Asparagaceae</t>
        </is>
      </c>
      <c r="E27" s="57" t="inlineStr">
        <is>
          <t>Arbustivo alto (1.5-4 m)</t>
        </is>
      </c>
      <c r="F27" s="57" t="inlineStr">
        <is>
          <t>Introducida</t>
        </is>
      </c>
      <c r="G27" s="57" t="inlineStr">
        <is>
          <t>Frecuente (5-20%)</t>
        </is>
      </c>
      <c r="H27" s="57" t="n"/>
      <c r="I27" s="57" t="n"/>
    </row>
    <row r="28">
      <c r="A28" s="56" t="inlineStr">
        <is>
          <t>15</t>
        </is>
      </c>
      <c r="B28" s="56" t="inlineStr">
        <is>
          <t>Pino</t>
        </is>
      </c>
      <c r="C28" s="56" t="inlineStr">
        <is>
          <t>Pinus sp.</t>
        </is>
      </c>
      <c r="D28" s="56" t="inlineStr">
        <is>
          <t>Pinaceae</t>
        </is>
      </c>
      <c r="E28" s="56" t="inlineStr">
        <is>
          <t>Arbóreo superior (&gt;15 m)</t>
        </is>
      </c>
      <c r="F28" s="56" t="inlineStr">
        <is>
          <t>Introducida</t>
        </is>
      </c>
      <c r="G28" s="56" t="inlineStr">
        <is>
          <t>Ocasional (1-5%)</t>
        </is>
      </c>
      <c r="H28" s="56" t="n"/>
      <c r="I28" s="56" t="n"/>
    </row>
    <row r="30">
      <c r="A30" s="54" t="inlineStr">
        <is>
          <t>F-DT-03 · ESPECIES CLAVE GEORREFERENCIADAS</t>
        </is>
      </c>
    </row>
    <row r="31">
      <c r="A31" s="55" t="inlineStr">
        <is>
          <t>N.o</t>
        </is>
      </c>
      <c r="B31" s="55" t="inlineStr">
        <is>
          <t>Especie</t>
        </is>
      </c>
      <c r="C31" s="55" t="inlineStr">
        <is>
          <t>Categoría</t>
        </is>
      </c>
      <c r="D31" s="55" t="inlineStr">
        <is>
          <t>Estado UICN</t>
        </is>
      </c>
      <c r="E31" s="55" t="inlineStr">
        <is>
          <t>UTM ESTE</t>
        </is>
      </c>
      <c r="F31" s="55" t="inlineStr">
        <is>
          <t>UTM NORTE</t>
        </is>
      </c>
      <c r="G31" s="55" t="inlineStr">
        <is>
          <t>N.° individuos</t>
        </is>
      </c>
      <c r="H31" s="55" t="inlineStr">
        <is>
          <t>Observación</t>
        </is>
      </c>
    </row>
    <row r="32">
      <c r="A32" s="56" t="inlineStr">
        <is>
          <t>1</t>
        </is>
      </c>
      <c r="B32" s="56" t="inlineStr">
        <is>
          <t>Nogal (Juglans sp.)</t>
        </is>
      </c>
      <c r="C32" s="56" t="inlineStr">
        <is>
          <t>Amenazada (D.S. 043-2006-AG)</t>
        </is>
      </c>
      <c r="D32" s="56" t="inlineStr">
        <is>
          <t>EN — En Peligro</t>
        </is>
      </c>
      <c r="E32" s="56" t="n"/>
      <c r="F32" s="56" t="n"/>
      <c r="G32" s="56" t="n"/>
      <c r="H32" s="56" t="inlineStr">
        <is>
          <t>Referencial; por confirmar con colección</t>
        </is>
      </c>
    </row>
    <row r="33">
      <c r="A33" s="57" t="inlineStr">
        <is>
          <t>2</t>
        </is>
      </c>
      <c r="B33" s="57" t="inlineStr">
        <is>
          <t>Cedro de altura (Cedrela sp.)</t>
        </is>
      </c>
      <c r="C33" s="57" t="inlineStr">
        <is>
          <t>Amenazada (D.S. 043-2006-AG)</t>
        </is>
      </c>
      <c r="D33" s="57" t="inlineStr">
        <is>
          <t>VU — Vulnerable</t>
        </is>
      </c>
      <c r="E33" s="57" t="n"/>
      <c r="F33" s="57" t="n"/>
      <c r="G33" s="57" t="n"/>
      <c r="H33" s="57" t="inlineStr">
        <is>
          <t>Referencial; especie por confirmar</t>
        </is>
      </c>
    </row>
    <row r="34">
      <c r="A34" s="56" t="inlineStr">
        <is>
          <t>3</t>
        </is>
      </c>
      <c r="B34" s="56" t="inlineStr">
        <is>
          <t>Higuerón (Ficus sp.)</t>
        </is>
      </c>
      <c r="C34" s="56" t="inlineStr">
        <is>
          <t>Indicadora de buen estado</t>
        </is>
      </c>
      <c r="D34" s="56" t="inlineStr">
        <is>
          <t>No aplica</t>
        </is>
      </c>
      <c r="E34" s="61" t="n">
        <v>649636</v>
      </c>
      <c r="F34" s="61" t="n">
        <v>9425233</v>
      </c>
      <c r="G34" s="56" t="n"/>
      <c r="H34" s="56" t="inlineStr">
        <is>
          <t>Emergente de relicto montano</t>
        </is>
      </c>
    </row>
    <row r="35">
      <c r="A35" s="57" t="inlineStr">
        <is>
          <t>4</t>
        </is>
      </c>
      <c r="B35" s="57" t="inlineStr">
        <is>
          <t>Bromelias epífitas / Helechos</t>
        </is>
      </c>
      <c r="C35" s="57" t="inlineStr">
        <is>
          <t>Indicadora de buen estado</t>
        </is>
      </c>
      <c r="D35" s="57" t="inlineStr">
        <is>
          <t>No aplica</t>
        </is>
      </c>
      <c r="E35" s="57" t="n"/>
      <c r="F35" s="57" t="n"/>
      <c r="G35" s="57" t="n"/>
      <c r="H35" s="57" t="inlineStr">
        <is>
          <t>Indicadoras de humedad; abundantes</t>
        </is>
      </c>
    </row>
    <row r="36">
      <c r="A36" s="56" t="inlineStr">
        <is>
          <t>5</t>
        </is>
      </c>
      <c r="B36" s="56" t="inlineStr">
        <is>
          <t>Molle (Schinus molle)</t>
        </is>
      </c>
      <c r="C36" s="56" t="inlineStr">
        <is>
          <t>Clave cultural</t>
        </is>
      </c>
      <c r="D36" s="56" t="inlineStr">
        <is>
          <t>NE — No Evaluado</t>
        </is>
      </c>
      <c r="E36" s="61" t="n">
        <v>650032</v>
      </c>
      <c r="F36" s="61" t="n">
        <v>9425645</v>
      </c>
      <c r="G36" s="56" t="n"/>
      <c r="H36" s="56" t="inlineStr">
        <is>
          <t>Rebrotes: recuperación natural</t>
        </is>
      </c>
    </row>
    <row r="38">
      <c r="A38" s="54" t="inlineStr">
        <is>
          <t>F-DT-04 · MATRIZ DE CAUSAS DE DEGRADACIÓN</t>
        </is>
      </c>
    </row>
    <row r="39">
      <c r="A39" s="55" t="inlineStr">
        <is>
          <t>N.o</t>
        </is>
      </c>
      <c r="B39" s="55" t="inlineStr">
        <is>
          <t>Causa</t>
        </is>
      </c>
      <c r="C39" s="55" t="inlineStr">
        <is>
          <t>Presencia</t>
        </is>
      </c>
      <c r="D39" s="55" t="inlineStr">
        <is>
          <t>Intensidad</t>
        </is>
      </c>
      <c r="E39" s="55" t="inlineStr">
        <is>
          <t>Extensión</t>
        </is>
      </c>
      <c r="F39" s="55" t="inlineStr">
        <is>
          <t>Antigüedad</t>
        </is>
      </c>
      <c r="G39" s="55" t="inlineStr">
        <is>
          <t>Evidencia</t>
        </is>
      </c>
    </row>
    <row r="40">
      <c r="A40" s="56" t="inlineStr">
        <is>
          <t>1</t>
        </is>
      </c>
      <c r="B40" s="56" t="inlineStr">
        <is>
          <t>Sobrepastoreo (caprino/vacuno)</t>
        </is>
      </c>
      <c r="C40" s="56" t="inlineStr">
        <is>
          <t>Sí</t>
        </is>
      </c>
      <c r="D40" s="56" t="inlineStr">
        <is>
          <t>Ligera</t>
        </is>
      </c>
      <c r="E40" s="56" t="inlineStr"/>
      <c r="F40" s="56" t="inlineStr"/>
      <c r="G40" s="56" t="inlineStr">
        <is>
          <t>Ganado asnal en laderas; pastoreo disperso (F-13)</t>
        </is>
      </c>
    </row>
    <row r="41">
      <c r="A41" s="57" t="inlineStr">
        <is>
          <t>2</t>
        </is>
      </c>
      <c r="B41" s="57" t="inlineStr">
        <is>
          <t>Tala para leña</t>
        </is>
      </c>
      <c r="C41" s="57" t="inlineStr"/>
      <c r="D41" s="57" t="inlineStr"/>
      <c r="E41" s="57" t="inlineStr"/>
      <c r="F41" s="57" t="inlineStr"/>
      <c r="G41" s="57" t="inlineStr"/>
    </row>
    <row r="42">
      <c r="A42" s="56" t="inlineStr">
        <is>
          <t>3</t>
        </is>
      </c>
      <c r="B42" s="56" t="inlineStr">
        <is>
          <t>Tala para carbón</t>
        </is>
      </c>
      <c r="C42" s="56" t="inlineStr">
        <is>
          <t>No</t>
        </is>
      </c>
      <c r="D42" s="56" t="inlineStr"/>
      <c r="E42" s="56" t="inlineStr"/>
      <c r="F42" s="56" t="inlineStr"/>
      <c r="G42" s="56" t="inlineStr"/>
    </row>
    <row r="43">
      <c r="A43" s="57" t="inlineStr">
        <is>
          <t>4</t>
        </is>
      </c>
      <c r="B43" s="57" t="inlineStr">
        <is>
          <t>Tala para madera</t>
        </is>
      </c>
      <c r="C43" s="57" t="inlineStr">
        <is>
          <t>Sí</t>
        </is>
      </c>
      <c r="D43" s="57" t="inlineStr">
        <is>
          <t>Ligera</t>
        </is>
      </c>
      <c r="E43" s="57" t="inlineStr"/>
      <c r="F43" s="57" t="inlineStr"/>
      <c r="G43" s="57" t="inlineStr">
        <is>
          <t>Tablones de madera aserrada en viviendas (F-15); por verificar</t>
        </is>
      </c>
    </row>
    <row r="44">
      <c r="A44" s="56" t="inlineStr">
        <is>
          <t>5</t>
        </is>
      </c>
      <c r="B44" s="56" t="inlineStr">
        <is>
          <t>Quema (renovación de pastos)</t>
        </is>
      </c>
      <c r="C44" s="56" t="inlineStr"/>
      <c r="D44" s="56" t="inlineStr"/>
      <c r="E44" s="56" t="inlineStr"/>
      <c r="F44" s="56" t="inlineStr"/>
      <c r="G44" s="56" t="inlineStr"/>
    </row>
    <row r="45">
      <c r="A45" s="57" t="inlineStr">
        <is>
          <t>6</t>
        </is>
      </c>
      <c r="B45" s="57" t="inlineStr">
        <is>
          <t>Quema accidental / Incendio</t>
        </is>
      </c>
      <c r="C45" s="57" t="inlineStr"/>
      <c r="D45" s="57" t="inlineStr"/>
      <c r="E45" s="57" t="inlineStr"/>
      <c r="F45" s="57" t="inlineStr"/>
      <c r="G45" s="57" t="inlineStr"/>
    </row>
    <row r="46">
      <c r="A46" s="56" t="inlineStr">
        <is>
          <t>7</t>
        </is>
      </c>
      <c r="B46" s="56" t="inlineStr">
        <is>
          <t>Cambio de uso a agricultura</t>
        </is>
      </c>
      <c r="C46" s="56" t="inlineStr">
        <is>
          <t>Sí</t>
        </is>
      </c>
      <c r="D46" s="56" t="inlineStr">
        <is>
          <t>Moderada</t>
        </is>
      </c>
      <c r="E46" s="56" t="inlineStr"/>
      <c r="F46" s="56" t="inlineStr"/>
      <c r="G46" s="56" t="inlineStr">
        <is>
          <t>SAF de café, plátano, maíz, caña de azúcar y papaya (F-10, F-14)</t>
        </is>
      </c>
    </row>
    <row r="47">
      <c r="A47" s="57" t="inlineStr">
        <is>
          <t>8</t>
        </is>
      </c>
      <c r="B47" s="57" t="inlineStr">
        <is>
          <t>Cambio de uso a pastoreo</t>
        </is>
      </c>
      <c r="C47" s="57" t="inlineStr">
        <is>
          <t>Sí</t>
        </is>
      </c>
      <c r="D47" s="57" t="inlineStr">
        <is>
          <t>Ligera</t>
        </is>
      </c>
      <c r="E47" s="57" t="inlineStr"/>
      <c r="F47" s="57" t="inlineStr"/>
      <c r="G47" s="57" t="inlineStr">
        <is>
          <t>Pastoreo disperso en laderas (F-13)</t>
        </is>
      </c>
    </row>
    <row r="48">
      <c r="A48" s="56" t="inlineStr">
        <is>
          <t>9</t>
        </is>
      </c>
      <c r="B48" s="56" t="inlineStr">
        <is>
          <t>Expansión urbana / vial</t>
        </is>
      </c>
      <c r="C48" s="56" t="inlineStr">
        <is>
          <t>Sí</t>
        </is>
      </c>
      <c r="D48" s="56" t="inlineStr">
        <is>
          <t>Moderada</t>
        </is>
      </c>
      <c r="E48" s="56" t="inlineStr"/>
      <c r="F48" s="56" t="inlineStr"/>
      <c r="G48" s="56" t="inlineStr">
        <is>
          <t>Taludes de corte de trocha (F-05, F-06); C.P. La Laguna (F-15)</t>
        </is>
      </c>
    </row>
    <row r="49">
      <c r="A49" s="57" t="inlineStr">
        <is>
          <t>10</t>
        </is>
      </c>
      <c r="B49" s="57" t="inlineStr">
        <is>
          <t>Minería informal</t>
        </is>
      </c>
      <c r="C49" s="57" t="inlineStr">
        <is>
          <t>No</t>
        </is>
      </c>
      <c r="D49" s="57" t="inlineStr"/>
      <c r="E49" s="57" t="inlineStr"/>
      <c r="F49" s="57" t="inlineStr"/>
      <c r="G49" s="57" t="inlineStr"/>
    </row>
    <row r="50">
      <c r="A50" s="56" t="inlineStr">
        <is>
          <t>11</t>
        </is>
      </c>
      <c r="B50" s="56" t="inlineStr">
        <is>
          <t>Extracción de áridos (cauces)</t>
        </is>
      </c>
      <c r="C50" s="56" t="inlineStr">
        <is>
          <t>No</t>
        </is>
      </c>
      <c r="D50" s="56" t="inlineStr"/>
      <c r="E50" s="56" t="inlineStr"/>
      <c r="F50" s="56" t="inlineStr"/>
      <c r="G50" s="56" t="inlineStr"/>
    </row>
    <row r="51">
      <c r="A51" s="57" t="inlineStr">
        <is>
          <t>12</t>
        </is>
      </c>
      <c r="B51" s="57" t="inlineStr">
        <is>
          <t>Especies invasoras</t>
        </is>
      </c>
      <c r="C51" s="57" t="inlineStr">
        <is>
          <t>Sí</t>
        </is>
      </c>
      <c r="D51" s="57" t="inlineStr">
        <is>
          <t>Ligera</t>
        </is>
      </c>
      <c r="E51" s="57" t="inlineStr"/>
      <c r="F51" s="57" t="inlineStr"/>
      <c r="G51" s="57" t="inlineStr">
        <is>
          <t>Grevilea, Casuarina, Pino, Agave (F-09, F-11, F-14)</t>
        </is>
      </c>
    </row>
    <row r="52">
      <c r="A52" s="56" t="inlineStr">
        <is>
          <t>13</t>
        </is>
      </c>
      <c r="B52" s="56" t="inlineStr">
        <is>
          <t>Erosión natural severa</t>
        </is>
      </c>
      <c r="C52" s="56" t="inlineStr">
        <is>
          <t>Sí</t>
        </is>
      </c>
      <c r="D52" s="56" t="inlineStr">
        <is>
          <t>Moderada</t>
        </is>
      </c>
      <c r="E52" s="56" t="inlineStr"/>
      <c r="F52" s="56" t="inlineStr"/>
      <c r="G52" s="56" t="inlineStr">
        <is>
          <t>Pendiente extrema ≈ 80 % (F-04)</t>
        </is>
      </c>
    </row>
    <row r="53">
      <c r="A53" s="57" t="inlineStr">
        <is>
          <t>14</t>
        </is>
      </c>
      <c r="B53" s="57" t="inlineStr">
        <is>
          <t>Sequía prolongada / CC</t>
        </is>
      </c>
      <c r="C53" s="57" t="inlineStr"/>
      <c r="D53" s="57" t="inlineStr"/>
      <c r="E53" s="57" t="inlineStr"/>
      <c r="F53" s="57" t="inlineStr"/>
      <c r="G53" s="57" t="inlineStr"/>
    </row>
    <row r="54">
      <c r="A54" s="56" t="inlineStr">
        <is>
          <t>15</t>
        </is>
      </c>
      <c r="B54" s="56" t="inlineStr">
        <is>
          <t>Plagas o enfermedades forestales</t>
        </is>
      </c>
      <c r="C54" s="56" t="inlineStr"/>
      <c r="D54" s="56" t="inlineStr"/>
      <c r="E54" s="56" t="inlineStr"/>
      <c r="F54" s="56" t="inlineStr"/>
      <c r="G54" s="56" t="inlineStr"/>
    </row>
    <row r="55">
      <c r="A55" s="57" t="inlineStr">
        <is>
          <t>16</t>
        </is>
      </c>
      <c r="B55" s="57" t="inlineStr">
        <is>
          <t>Otro</t>
        </is>
      </c>
      <c r="C55" s="57" t="inlineStr"/>
      <c r="D55" s="57" t="inlineStr"/>
      <c r="E55" s="57" t="inlineStr"/>
      <c r="F55" s="57" t="inlineStr"/>
      <c r="G55" s="57" t="inlineStr"/>
    </row>
    <row r="57">
      <c r="A57" s="54" t="inlineStr">
        <is>
          <t>F-DT-04 · INDICADORES CUANTITATIVOS</t>
        </is>
      </c>
    </row>
    <row r="58">
      <c r="A58" s="55" t="inlineStr">
        <is>
          <t>N.o</t>
        </is>
      </c>
      <c r="B58" s="55" t="inlineStr">
        <is>
          <t>Indicador</t>
        </is>
      </c>
      <c r="C58" s="55" t="inlineStr">
        <is>
          <t>Unidad</t>
        </is>
      </c>
      <c r="D58" s="55" t="inlineStr">
        <is>
          <t>Valor</t>
        </is>
      </c>
      <c r="E58" s="55" t="inlineStr">
        <is>
          <t>Fuente</t>
        </is>
      </c>
      <c r="F58" s="55" t="inlineStr">
        <is>
          <t>Umbral</t>
        </is>
      </c>
      <c r="G58" s="55" t="inlineStr">
        <is>
          <t>Nivel</t>
        </is>
      </c>
    </row>
    <row r="59">
      <c r="A59" s="56" t="inlineStr">
        <is>
          <t>1</t>
        </is>
      </c>
      <c r="B59" s="56" t="inlineStr">
        <is>
          <t>Cobertura vegetal total</t>
        </is>
      </c>
      <c r="C59" s="56" t="inlineStr">
        <is>
          <t>%</t>
        </is>
      </c>
      <c r="D59" s="56" t="inlineStr">
        <is>
          <t>85</t>
        </is>
      </c>
      <c r="E59" s="56" t="inlineStr">
        <is>
          <t>MSAVI 2024 (0,673) + estimación ocular</t>
        </is>
      </c>
      <c r="F59" s="56" t="inlineStr">
        <is>
          <t>&gt;60% bueno; 30-60% medio; &lt;30% malo</t>
        </is>
      </c>
      <c r="G59" s="56" t="inlineStr">
        <is>
          <t>Alto</t>
        </is>
      </c>
    </row>
    <row r="60">
      <c r="A60" s="57" t="inlineStr">
        <is>
          <t>2</t>
        </is>
      </c>
      <c r="B60" s="57" t="inlineStr">
        <is>
          <t>Porcentaje de suelo desnudo</t>
        </is>
      </c>
      <c r="C60" s="57" t="inlineStr">
        <is>
          <t>%</t>
        </is>
      </c>
      <c r="D60" s="57" t="inlineStr">
        <is>
          <t>&lt;10</t>
        </is>
      </c>
      <c r="E60" s="57" t="inlineStr">
        <is>
          <t>Estimación ocular de campo</t>
        </is>
      </c>
      <c r="F60" s="57" t="inlineStr">
        <is>
          <t>&lt;10% bueno; 10-30% medio; &gt;30% malo</t>
        </is>
      </c>
      <c r="G60" s="57" t="inlineStr">
        <is>
          <t>Bajo</t>
        </is>
      </c>
    </row>
    <row r="61">
      <c r="A61" s="56" t="inlineStr">
        <is>
          <t>3</t>
        </is>
      </c>
      <c r="B61" s="56" t="inlineStr">
        <is>
          <t>Densidad de cárcavas</t>
        </is>
      </c>
      <c r="C61" s="56" t="inlineStr">
        <is>
          <t>N°/ha</t>
        </is>
      </c>
      <c r="D61" s="56" t="inlineStr"/>
      <c r="E61" s="56" t="inlineStr"/>
      <c r="F61" s="56" t="inlineStr">
        <is>
          <t>0 nulo; 1-3 medio; &gt;3 alto</t>
        </is>
      </c>
      <c r="G61" s="56" t="inlineStr"/>
    </row>
    <row r="62">
      <c r="A62" s="57" t="inlineStr">
        <is>
          <t>4</t>
        </is>
      </c>
      <c r="B62" s="57" t="inlineStr">
        <is>
          <t>Presencia de especies invasoras</t>
        </is>
      </c>
      <c r="C62" s="57" t="inlineStr">
        <is>
          <t>% área</t>
        </is>
      </c>
      <c r="D62" s="57" t="inlineStr">
        <is>
          <t>≈10</t>
        </is>
      </c>
      <c r="E62" s="57" t="inlineStr">
        <is>
          <t>Estimación ocular</t>
        </is>
      </c>
      <c r="F62" s="57" t="inlineStr">
        <is>
          <t>&lt;5% bueno; 5-20% medio; &gt;20% alto</t>
        </is>
      </c>
      <c r="G62" s="57" t="inlineStr">
        <is>
          <t>Medio</t>
        </is>
      </c>
    </row>
    <row r="63">
      <c r="A63" s="56" t="inlineStr">
        <is>
          <t>5</t>
        </is>
      </c>
      <c r="B63" s="56" t="inlineStr">
        <is>
          <t>Carga ganadera estimada</t>
        </is>
      </c>
      <c r="C63" s="56" t="inlineStr">
        <is>
          <t>UA/ha</t>
        </is>
      </c>
      <c r="D63" s="56" t="inlineStr"/>
      <c r="E63" s="56" t="inlineStr"/>
      <c r="F63" s="56" t="inlineStr">
        <is>
          <t>Según tipo de ecosistema</t>
        </is>
      </c>
      <c r="G63" s="56" t="inlineStr"/>
    </row>
    <row r="64">
      <c r="A64" s="57" t="inlineStr">
        <is>
          <t>6</t>
        </is>
      </c>
      <c r="B64" s="57" t="inlineStr">
        <is>
          <t>Frecuencia de quemas últimos 5 años</t>
        </is>
      </c>
      <c r="C64" s="57" t="inlineStr">
        <is>
          <t>N°</t>
        </is>
      </c>
      <c r="D64" s="57" t="inlineStr"/>
      <c r="E64" s="57" t="inlineStr"/>
      <c r="F64" s="57" t="inlineStr">
        <is>
          <t>0 nulo; 1-2 medio; &gt;2 alto</t>
        </is>
      </c>
      <c r="G64" s="57" t="inlineStr"/>
    </row>
    <row r="65">
      <c r="A65" s="56" t="inlineStr">
        <is>
          <t>7</t>
        </is>
      </c>
      <c r="B65" s="56" t="inlineStr">
        <is>
          <t>% área con pendiente &gt;50%</t>
        </is>
      </c>
      <c r="C65" s="56" t="inlineStr">
        <is>
          <t>%</t>
        </is>
      </c>
      <c r="D65" s="56" t="inlineStr"/>
      <c r="E65" s="56" t="inlineStr">
        <is>
          <t>Perfil de elevación Google Earth (media 42 %, máx 67 %)</t>
        </is>
      </c>
      <c r="F65" s="56" t="inlineStr">
        <is>
          <t>Factor de susceptibilidad</t>
        </is>
      </c>
      <c r="G65" s="56" t="inlineStr">
        <is>
          <t>Alto</t>
        </is>
      </c>
    </row>
    <row r="66">
      <c r="A66" s="57" t="inlineStr">
        <is>
          <t>8</t>
        </is>
      </c>
      <c r="B66" s="57" t="inlineStr">
        <is>
          <t>Distancia a vía vecinal más cercana</t>
        </is>
      </c>
      <c r="C66" s="57" t="inlineStr">
        <is>
          <t>m</t>
        </is>
      </c>
      <c r="D66" s="57" t="inlineStr">
        <is>
          <t>0</t>
        </is>
      </c>
      <c r="E66" s="57" t="inlineStr">
        <is>
          <t>Trocha carrozable bordea/atraviesa el bloque</t>
        </is>
      </c>
      <c r="F66" s="57" t="inlineStr">
        <is>
          <t>A menor distancia → mayor presión</t>
        </is>
      </c>
      <c r="G66" s="57" t="inlineStr">
        <is>
          <t>Alto</t>
        </is>
      </c>
    </row>
    <row r="68">
      <c r="A68" s="54" t="inlineStr">
        <is>
          <t>F-DT-05 · FUENTES DE AGUA INVENTARIADAS</t>
        </is>
      </c>
    </row>
    <row r="69">
      <c r="A69" s="55" t="inlineStr">
        <is>
          <t>N.o</t>
        </is>
      </c>
      <c r="B69" s="55" t="inlineStr">
        <is>
          <t>Tipo de fuente</t>
        </is>
      </c>
      <c r="C69" s="55" t="inlineStr">
        <is>
          <t>UTM ESTE</t>
        </is>
      </c>
      <c r="D69" s="55" t="inlineStr">
        <is>
          <t>UTM NORTE</t>
        </is>
      </c>
      <c r="E69" s="55" t="inlineStr">
        <is>
          <t>Régimen</t>
        </is>
      </c>
      <c r="F69" s="55" t="inlineStr">
        <is>
          <t>Calidad</t>
        </is>
      </c>
      <c r="G69" s="55" t="inlineStr">
        <is>
          <t>Distancia (m)</t>
        </is>
      </c>
      <c r="H69" s="55" t="inlineStr">
        <is>
          <t>Uso / observación</t>
        </is>
      </c>
    </row>
    <row r="70">
      <c r="A70" s="56" t="inlineStr">
        <is>
          <t>1</t>
        </is>
      </c>
      <c r="B70" s="56" t="inlineStr">
        <is>
          <t>Quebrada estacional</t>
        </is>
      </c>
      <c r="C70" s="61" t="n">
        <v>649669</v>
      </c>
      <c r="D70" s="61" t="n">
        <v>9425248</v>
      </c>
      <c r="E70" s="56" t="inlineStr"/>
      <c r="F70" s="56" t="inlineStr"/>
      <c r="G70" s="56" t="n"/>
      <c r="H70" s="56" t="inlineStr">
        <is>
          <t>Sector húmedo con platanales (F-16); régimen y calidad por verificar.</t>
        </is>
      </c>
    </row>
    <row r="73">
      <c r="A73" s="54" t="inlineStr">
        <is>
          <t>OBSERVACIONES DEL EVALUADOR POR FICHA</t>
        </is>
      </c>
    </row>
    <row r="74">
      <c r="A74" s="55" t="inlineStr">
        <is>
          <t>Ficha</t>
        </is>
      </c>
      <c r="B74" s="55" t="inlineStr">
        <is>
          <t>Observación registrada en campo</t>
        </is>
      </c>
    </row>
    <row r="75">
      <c r="A75" s="56" t="inlineStr">
        <is>
          <t>F-DT-01</t>
        </is>
      </c>
      <c r="B75" s="56" t="inlineStr">
        <is>
          <t>Bloque clasificado por MINAM como Zona agrícola (100 %); en campo es un mosaico agroforestal húmedo con relictos de bosque montano. Sector rotulado ≈ 80 % de pendiente (Foto F-04). Coordenadas de referencia = centroide del bloque. Altitud GPS, hora de registro y comunidad campesina: por verificar.</t>
        </is>
      </c>
    </row>
    <row r="76">
      <c r="A76" s="57" t="inlineStr">
        <is>
          <t>F-DT-02</t>
        </is>
      </c>
      <c r="B76" s="57" t="inlineStr">
        <is>
          <t>Erosión localizada en taludes de corte de la trocha (F-05) y en sector de pendiente extrema ≈ 80 % (F-04); rebrotes de molle colonizan el talud (F-06). La densa cobertura vegetal (MSAVI 0,673) limita la erosión laminar. Dimensiones instrumentales (longitud, profundidad, ancho), N° y % de cárcavas por levantar.</t>
        </is>
      </c>
    </row>
    <row r="77">
      <c r="A77" s="56" t="inlineStr">
        <is>
          <t>F-DT-03</t>
        </is>
      </c>
      <c r="B77" s="56" t="inlineStr">
        <is>
          <t>La capa MINAM clasifica la totalidad del bloque como Zona agrícola (100 %; 46,96 ha). En campo predomina un mosaico agroforestal húmedo (SAF de café bajo sombra), matorral y relictos de bosque montano de vertiente occidental. Nogal, Roble y Cedro de altura se registran como referencias (mención/avistamiento no confirmado con colección). Lista florística PRELIMINAR sujeta a determinación botánica formal. Cultivos en propiedad privada (cercos): café, plátano, maíz, caña de azúcar y papaya.</t>
        </is>
      </c>
    </row>
    <row r="78">
      <c r="A78" s="57" t="inlineStr">
        <is>
          <t>F-DT-05</t>
        </is>
      </c>
      <c r="B78" s="57" t="inlineStr">
        <is>
          <t>Zona de origen y recarga de la microcuenca C1081-Q9591. Alta humedad (bromeliáceas epífitas, helechos abundantes, platanales, neblina). El C.P. La Laguna cuenta con energía eléctrica. Manantiales/JASS, distancia a captación, tiempos de viaje, señal celular y autorización de Ronda Campesina: por verificar.</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26</t>
        </is>
      </c>
    </row>
    <row r="7">
      <c r="A7" s="54" t="inlineStr">
        <is>
          <t>Hechos declarados por fuente</t>
        </is>
      </c>
    </row>
    <row r="8">
      <c r="A8" s="55" t="inlineStr">
        <is>
          <t>Fuente</t>
        </is>
      </c>
      <c r="B8" s="55" t="inlineStr">
        <is>
          <t>Hechos</t>
        </is>
      </c>
    </row>
    <row r="9">
      <c r="A9" s="56" t="inlineStr">
        <is>
          <t>Dato de campo</t>
        </is>
      </c>
      <c r="B9" s="56" t="n">
        <v>50</v>
      </c>
    </row>
    <row r="10">
      <c r="A10" s="57" t="inlineStr">
        <is>
          <t>Gabinete (GIS / teledetección)</t>
        </is>
      </c>
      <c r="B10" s="57" t="n">
        <v>26</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85</v>
      </c>
    </row>
    <row r="31">
      <c r="A31" s="57" t="inlineStr">
        <is>
          <t>COMPLEMENTADO</t>
        </is>
      </c>
      <c r="B31" s="57" t="n">
        <v>5</v>
      </c>
    </row>
    <row r="32">
      <c r="A32" s="56" t="inlineStr">
        <is>
          <t>ACTUALIZADO</t>
        </is>
      </c>
      <c r="B32" s="56" t="n">
        <v>0</v>
      </c>
    </row>
    <row r="33">
      <c r="A33" s="57" t="inlineStr">
        <is>
          <t>DISCREPANTE</t>
        </is>
      </c>
      <c r="B33" s="57" t="n">
        <v>0</v>
      </c>
    </row>
    <row r="34">
      <c r="A34" s="56" t="inlineStr">
        <is>
          <t>PENDIENTE</t>
        </is>
      </c>
      <c r="B34" s="56" t="n">
        <v>24</v>
      </c>
    </row>
    <row r="51">
      <c r="A51" s="54" t="inlineStr">
        <is>
          <t>Cobertura por estrato — campo (%)</t>
        </is>
      </c>
    </row>
    <row r="52">
      <c r="A52" s="55" t="inlineStr">
        <is>
          <t>Estrato</t>
        </is>
      </c>
      <c r="B52" s="55" t="inlineStr">
        <is>
          <t>% del área</t>
        </is>
      </c>
    </row>
    <row r="53">
      <c r="A53" s="56" t="inlineStr">
        <is>
          <t>Suelo desnudo</t>
        </is>
      </c>
      <c r="B53" s="61" t="n">
        <v>10</v>
      </c>
    </row>
    <row r="70">
      <c r="A70" s="54" t="inlineStr">
        <is>
          <t>Causas activas de degradación (F-DT-04)</t>
        </is>
      </c>
    </row>
    <row r="71">
      <c r="A71" s="55" t="inlineStr">
        <is>
          <t>Causa</t>
        </is>
      </c>
      <c r="B71" s="55" t="inlineStr">
        <is>
          <t>Intensidad (1 ligera - 4 muy fuerte)</t>
        </is>
      </c>
    </row>
    <row r="72">
      <c r="A72" s="56" t="inlineStr">
        <is>
          <t>Cambio de uso a agricultura</t>
        </is>
      </c>
      <c r="B72" s="56" t="n">
        <v>2</v>
      </c>
    </row>
    <row r="73">
      <c r="A73" s="57" t="inlineStr">
        <is>
          <t>Erosión natural severa</t>
        </is>
      </c>
      <c r="B73" s="57" t="n">
        <v>2</v>
      </c>
    </row>
    <row r="74">
      <c r="A74" s="56" t="inlineStr">
        <is>
          <t>Expansión urbana / vial</t>
        </is>
      </c>
      <c r="B74" s="56" t="n">
        <v>2</v>
      </c>
    </row>
    <row r="75">
      <c r="A75" s="57" t="inlineStr">
        <is>
          <t>Cambio de uso a pastoreo</t>
        </is>
      </c>
      <c r="B75" s="57" t="n">
        <v>1</v>
      </c>
    </row>
    <row r="76">
      <c r="A76" s="56" t="inlineStr">
        <is>
          <t>Especies invasoras</t>
        </is>
      </c>
      <c r="B76" s="56" t="n">
        <v>1</v>
      </c>
    </row>
    <row r="77">
      <c r="A77" s="57" t="inlineStr">
        <is>
          <t>Sobrepastoreo (caprino/vacuno)</t>
        </is>
      </c>
      <c r="B77" s="57" t="n">
        <v>1</v>
      </c>
    </row>
    <row r="78">
      <c r="A78" s="56" t="inlineStr">
        <is>
          <t>Tala para madera</t>
        </is>
      </c>
      <c r="B78" s="56" t="n">
        <v>1</v>
      </c>
    </row>
    <row r="95">
      <c r="A95" s="54" t="inlineStr">
        <is>
          <t>Control de consistencia por calificación</t>
        </is>
      </c>
    </row>
    <row r="96">
      <c r="A96" s="55" t="inlineStr">
        <is>
          <t>Calificación</t>
        </is>
      </c>
      <c r="B96" s="55" t="inlineStr">
        <is>
          <t>Verificaciones</t>
        </is>
      </c>
    </row>
    <row r="97">
      <c r="A97" s="56" t="inlineStr">
        <is>
          <t>SUSTANTIVA</t>
        </is>
      </c>
      <c r="B97" s="56" t="n">
        <v>1</v>
      </c>
    </row>
    <row r="98">
      <c r="A98" s="57" t="inlineStr">
        <is>
          <t>NO SUSTANTIVA</t>
        </is>
      </c>
      <c r="B98" s="57" t="n">
        <v>3</v>
      </c>
    </row>
    <row r="99">
      <c r="A99" s="56" t="inlineStr">
        <is>
          <t>CORREGIDO</t>
        </is>
      </c>
      <c r="B99" s="56" t="n">
        <v>0</v>
      </c>
    </row>
    <row r="100">
      <c r="A100" s="57" t="inlineStr">
        <is>
          <t>CONFORME</t>
        </is>
      </c>
      <c r="B100"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26 — IN Piura</dc:title>
  <dc:subject>Diagnóstico Territorial por bloque de intervención</dc:subject>
  <dcterms:created xsi:type="dcterms:W3CDTF">2026-09-08T03:39:56Z</dcterms:created>
  <dcterms:modified xsi:type="dcterms:W3CDTF">2026-09-11T20:22:26Z</dcterms:modified>
</cp:coreProperties>
</file>