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f>
            </numRef>
          </cat>
          <val>
            <numRef>
              <f>'Gráficos de integración'!$B$47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26</t>
        </is>
      </c>
    </row>
    <row r="6" ht="24" customHeight="1">
      <c r="A6" s="4" t="inlineStr">
        <is>
          <t>Diagnóstico Territorial — Plantilla DT Campo Check Validada V5 | Sistema de referencia: UTM WGS 84 Zona 17S (EPSG:32717) · Integrado con la ficha de campo F-DT vigente (Plantilla_DT_Campo_Check_Validada_V5_Bloque26.xlsx) — V7 - resumen V6 + campo F-DT integrado</t>
        </is>
      </c>
    </row>
    <row r="7"/>
    <row r="8" ht="18" customHeight="1">
      <c r="A8" s="5" t="inlineStr">
        <is>
          <t>1. IDENTIFICACIÓN Y LOCALIZACIÓN</t>
        </is>
      </c>
    </row>
    <row r="9">
      <c r="A9" s="6" t="inlineStr">
        <is>
          <t>Código del bloque</t>
        </is>
      </c>
      <c r="B9" s="7" t="inlineStr">
        <is>
          <t>26</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La Laguna</t>
        </is>
      </c>
      <c r="C13" s="6" t="inlineStr">
        <is>
          <t>Comunidad campesina</t>
        </is>
      </c>
      <c r="D13" s="7" t="inlineStr">
        <is>
          <t>Por verificar</t>
        </is>
      </c>
      <c r="E13" s="8" t="n"/>
      <c r="F13" s="8" t="n"/>
    </row>
    <row r="14">
      <c r="A14" s="6" t="inlineStr">
        <is>
          <t>Superficie de catálogo (V5/V6), ha</t>
        </is>
      </c>
      <c r="B14" s="7" t="n">
        <v>46.96</v>
      </c>
      <c r="C14" s="6" t="inlineStr">
        <is>
          <t>Fuente de superficie</t>
        </is>
      </c>
      <c r="D14" s="7" t="inlineStr">
        <is>
          <t>Catálogo maestro Bloques V5/V6</t>
        </is>
      </c>
      <c r="E14" s="8" t="n"/>
      <c r="F14" s="8" t="n"/>
    </row>
    <row r="15">
      <c r="A15" s="6" t="inlineStr">
        <is>
          <t>Centroide UTM ESTE (m)</t>
        </is>
      </c>
      <c r="B15" s="7" t="n">
        <v>649472</v>
      </c>
      <c r="C15" s="6" t="inlineStr">
        <is>
          <t>Centroide UTM NORTE (m)</t>
        </is>
      </c>
      <c r="D15" s="7" t="n">
        <v>9425705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1260</v>
      </c>
      <c r="C19" s="6" t="inlineStr">
        <is>
          <t>Altitud máxima (msnm)</t>
        </is>
      </c>
      <c r="D19" s="7" t="n">
        <v>1855</v>
      </c>
      <c r="E19" s="8" t="n"/>
      <c r="F19" s="8" t="n"/>
    </row>
    <row r="20">
      <c r="A20" s="6" t="inlineStr">
        <is>
          <t>Amplitud altitudinal (m)</t>
        </is>
      </c>
      <c r="B20" s="7" t="n">
        <v>595</v>
      </c>
      <c r="C20" s="6" t="inlineStr">
        <is>
          <t>Piso altitudinal dominante</t>
        </is>
      </c>
      <c r="D20" s="7" t="inlineStr">
        <is>
          <t>1500-2000 m (Quechua media)</t>
        </is>
      </c>
      <c r="E20" s="8" t="n"/>
      <c r="F20" s="8" t="n"/>
    </row>
    <row r="21">
      <c r="A21" s="6" t="inlineStr">
        <is>
          <t>Pendiente promedio (%)</t>
        </is>
      </c>
      <c r="B21" s="7" t="n">
        <v>32.26</v>
      </c>
      <c r="C21" s="6" t="inlineStr">
        <is>
          <t>Pendiente promedio (grados)</t>
        </is>
      </c>
      <c r="D21" s="7" t="n">
        <v>17.9</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0.6733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(97.29 %)</t>
        </is>
      </c>
      <c r="E29" s="8" t="n"/>
      <c r="F29" s="8" t="n"/>
    </row>
    <row r="30">
      <c r="A30" s="6" t="inlineStr">
        <is>
          <t>Superficie clasificada NDVI 2025 (ha)</t>
        </is>
      </c>
      <c r="B30" s="7" t="n">
        <v>46.973</v>
      </c>
      <c r="C30" s="6" t="inlineStr">
        <is>
          <t>Desviación frente al catálogo (%)</t>
        </is>
      </c>
      <c r="D30" s="7" t="n">
        <v>0.03</v>
      </c>
      <c r="E30" s="8" t="n"/>
      <c r="F30" s="8" t="n"/>
    </row>
    <row r="31">
      <c r="A31" s="6" t="inlineStr">
        <is>
          <t>Superficie clasificada MSAVI 2024 (ha)</t>
        </is>
      </c>
      <c r="B31" s="38" t="n">
        <v>46.962</v>
      </c>
      <c r="C31" s="6" t="inlineStr">
        <is>
          <t>Desviación MSAVI frente al catálogo (%)</t>
        </is>
      </c>
      <c r="D31" s="39" t="n">
        <v>0</v>
      </c>
      <c r="E31" s="8" t="n"/>
      <c r="F31" s="8" t="n"/>
    </row>
    <row r="32">
      <c r="A32" s="6" t="inlineStr">
        <is>
          <t>Superficie bajo umbral MSAVI 0.4976 (ha)</t>
        </is>
      </c>
      <c r="B32" s="38" t="n">
        <v>1.102</v>
      </c>
      <c r="C32" s="6" t="inlineStr">
        <is>
          <t>% del bloque bajo umbral (brecha espectral)</t>
        </is>
      </c>
      <c r="D32" s="39" t="n">
        <v>2.35</v>
      </c>
      <c r="E32" s="8" t="n"/>
      <c r="F32" s="8" t="n"/>
    </row>
    <row r="33">
      <c r="A33" s="6" t="inlineStr">
        <is>
          <t>Clase DN dominante (MSAVI 2024)</t>
        </is>
      </c>
      <c r="B33" s="7" t="inlineStr">
        <is>
          <t>DN 5 · &gt; 0.6139 (Vigor alto)</t>
        </is>
      </c>
      <c r="C33" s="6" t="inlineStr">
        <is>
          <t>N.° de polígonos MSAVI del bloque</t>
        </is>
      </c>
      <c r="D33" s="40" t="n">
        <v>101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46.96 ha (MINAM: Zona agrícola 100%)</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50" t="inlineStr">
        <is>
          <t>&lt;10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50" t="inlineStr">
        <is>
          <t>2</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2026-07-16</t>
        </is>
      </c>
      <c r="E44" s="8" t="n"/>
      <c r="F44" s="8" t="n"/>
    </row>
    <row r="45">
      <c r="A45" s="6" t="inlineStr">
        <is>
          <t>Hora de registro</t>
        </is>
      </c>
      <c r="B45" s="50" t="inlineStr">
        <is>
          <t>00:55</t>
        </is>
      </c>
      <c r="C45" s="6" t="inlineStr">
        <is>
          <t>Correlativo de ficha</t>
        </is>
      </c>
      <c r="D45" s="50"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en propiedad privada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36.1159</v>
      </c>
      <c r="C10" s="31">
        <f>ROUND(B10/$B$15*100,2)</f>
        <v/>
      </c>
      <c r="D10" s="12" t="inlineStr">
        <is>
          <t>Vigor alto</t>
        </is>
      </c>
      <c r="E10" s="12" t="inlineStr">
        <is>
          <t>Sobre umbral</t>
        </is>
      </c>
    </row>
    <row r="11">
      <c r="A11" s="13" t="inlineStr">
        <is>
          <t>0.4976 - 0.6139 · DN 4</t>
        </is>
      </c>
      <c r="B11" s="20" t="n">
        <v>9.743600000000001</v>
      </c>
      <c r="C11" s="21">
        <f>ROUND(B11/$B$15*100,2)</f>
        <v/>
      </c>
      <c r="D11" s="14" t="inlineStr">
        <is>
          <t>Vigor moderado</t>
        </is>
      </c>
      <c r="E11" s="14" t="inlineStr">
        <is>
          <t>Sobre umbral</t>
        </is>
      </c>
    </row>
    <row r="12">
      <c r="A12" s="7" t="inlineStr">
        <is>
          <t>0.3813 - 0.4976 · DN 3</t>
        </is>
      </c>
      <c r="B12" s="18" t="n">
        <v>1.1022</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101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46.96</v>
      </c>
      <c r="C18" s="49" t="inlineStr">
        <is>
          <t>—</t>
        </is>
      </c>
      <c r="D18" s="46" t="inlineStr">
        <is>
          <t>Desviación planimétrica frente al catálogo</t>
        </is>
      </c>
      <c r="E18" s="46" t="inlineStr">
        <is>
          <t>+0.00 %</t>
        </is>
      </c>
    </row>
    <row r="19">
      <c r="A19" s="16" t="inlineStr">
        <is>
          <t>MSAVI 2024 — MEDIA DEL BLOQUE</t>
        </is>
      </c>
      <c r="B19" s="17" t="n">
        <v>0.673303</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(0.6733)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45.7024</v>
      </c>
      <c r="C25" s="19" t="n">
        <v>97.29000000000001</v>
      </c>
      <c r="D25" s="15" t="inlineStr">
        <is>
          <t>Dosel continuo, matorral denso o mosaico agroforestal</t>
        </is>
      </c>
      <c r="E25" s="15" t="inlineStr"/>
    </row>
    <row r="26">
      <c r="A26" s="13" t="inlineStr">
        <is>
          <t>Vegetación mediana</t>
        </is>
      </c>
      <c r="B26" s="20" t="n">
        <v>1.2709</v>
      </c>
      <c r="C26" s="21" t="n">
        <v>2.71</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46.96</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97.29 % del polígono clasificado como «Vegetación alta» por el NDVI 2025; la observación de campo corresponde a una parcela o recorrido puntual y no es estadísticamente representativa de las 46.960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26</t>
        </is>
      </c>
    </row>
    <row r="6" ht="24" customHeight="1">
      <c r="A6" s="4" t="inlineStr">
        <is>
          <t>Levantamiento del 2026-07-16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649472</v>
      </c>
      <c r="D10" s="26" t="n">
        <v>9425705</v>
      </c>
      <c r="E10" s="15" t="n">
        <v>0</v>
      </c>
      <c r="F10" s="15" t="inlineStr"/>
      <c r="G10" s="15" t="inlineStr">
        <is>
          <t>Coordenada consignada en F-DT-01</t>
        </is>
      </c>
    </row>
    <row r="11">
      <c r="A11" s="13" t="inlineStr">
        <is>
          <t>E-01</t>
        </is>
      </c>
      <c r="B11" s="14" t="inlineStr">
        <is>
          <t>Rasgo erosivo — Por determinar</t>
        </is>
      </c>
      <c r="C11" s="27" t="n">
        <v>650018</v>
      </c>
      <c r="D11" s="27" t="n">
        <v>9425968</v>
      </c>
      <c r="E11" s="14" t="n">
        <v>606</v>
      </c>
      <c r="F11" s="14" t="inlineStr">
        <is>
          <t>Activa</t>
        </is>
      </c>
      <c r="G11" s="14" t="inlineStr">
        <is>
          <t>Otro</t>
        </is>
      </c>
    </row>
    <row r="12">
      <c r="A12" s="7" t="inlineStr">
        <is>
          <t>E-02</t>
        </is>
      </c>
      <c r="B12" s="15" t="inlineStr">
        <is>
          <t>Rasgo erosivo — Por determinar</t>
        </is>
      </c>
      <c r="C12" s="26" t="n">
        <v>650032</v>
      </c>
      <c r="D12" s="26" t="n">
        <v>9425645</v>
      </c>
      <c r="E12" s="15" t="n">
        <v>563.2</v>
      </c>
      <c r="F12" s="15" t="inlineStr">
        <is>
          <t>Semi-activa</t>
        </is>
      </c>
      <c r="G12" s="15" t="inlineStr">
        <is>
          <t>Otro</t>
        </is>
      </c>
    </row>
    <row r="13">
      <c r="A13" s="13" t="inlineStr">
        <is>
          <t>H-01</t>
        </is>
      </c>
      <c r="B13" s="14" t="inlineStr">
        <is>
          <t>Fuente de agua — Quebrada estacional</t>
        </is>
      </c>
      <c r="C13" s="27" t="n">
        <v>649669</v>
      </c>
      <c r="D13" s="27" t="n">
        <v>9425248</v>
      </c>
      <c r="E13" s="14" t="n">
        <v>497.7</v>
      </c>
      <c r="F13" s="14" t="inlineStr"/>
      <c r="G13" s="14" t="inlineStr">
        <is>
          <t>Sector húmedo con platanales</t>
        </is>
      </c>
    </row>
    <row r="14">
      <c r="A14" s="7" t="inlineStr">
        <is>
          <t>B-03</t>
        </is>
      </c>
      <c r="B14" s="15" t="inlineStr">
        <is>
          <t>Especie clave — Higuerón (Ficus sp.)</t>
        </is>
      </c>
      <c r="C14" s="26" t="n">
        <v>649636</v>
      </c>
      <c r="D14" s="26" t="n">
        <v>9425233</v>
      </c>
      <c r="E14" s="15" t="n">
        <v>499.7</v>
      </c>
      <c r="F14" s="15" t="inlineStr">
        <is>
          <t>Indicadora de buen estado</t>
        </is>
      </c>
      <c r="G14" s="15" t="inlineStr">
        <is>
          <t>No aplica</t>
        </is>
      </c>
    </row>
    <row r="15">
      <c r="A15" s="13" t="inlineStr">
        <is>
          <t>B-05</t>
        </is>
      </c>
      <c r="B15" s="14" t="inlineStr">
        <is>
          <t>Especie clave — Molle (Schinus molle)</t>
        </is>
      </c>
      <c r="C15" s="27" t="n">
        <v>650032</v>
      </c>
      <c r="D15" s="27" t="n">
        <v>9425645</v>
      </c>
      <c r="E15" s="14" t="n">
        <v>563.2</v>
      </c>
      <c r="F15" s="14" t="inlineStr">
        <is>
          <t>Clave cultural</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649472</v>
      </c>
      <c r="C18" s="6" t="inlineStr">
        <is>
          <t>Centroide del bloque — UTM NORTE (m)</t>
        </is>
      </c>
      <c r="D18" s="7" t="n">
        <v>9425705</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96"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clasificado por MINAM como Zona agrícola (100%); en campo es un mosaico agroforestal húmedo con relictos de bosque montano. Sector rotulado con ≈80% de pendiente. Coordenadas de referencia = CENTROIDE del bloque. Altitud GPS, hora de registro y comunidad campesina: por verificar.</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26</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11" t="inlineStr">
        <is>
          <t>► 26</t>
        </is>
      </c>
      <c r="B14" s="30" t="n">
        <v>46.96</v>
      </c>
      <c r="C14" s="31" t="n">
        <v>8.5</v>
      </c>
      <c r="D14" s="12" t="inlineStr">
        <is>
          <t>1260 – 1855</t>
        </is>
      </c>
      <c r="E14" s="12" t="n">
        <v>595</v>
      </c>
      <c r="F14" s="12" t="n">
        <v>32.26</v>
      </c>
      <c r="G14" s="32" t="n">
        <v>0.6733</v>
      </c>
      <c r="H14" s="31" t="n">
        <v>97.29000000000001</v>
      </c>
      <c r="I14" s="31"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26 ocupa el puesto 5 de 10 por superficie dentro de la microcuenca C1081-Q9591 (8.50 % de las 552.18 ha preliminares de la microcuenca). Su pendiente promedio (32.26 %, clase «25-50% (Mod. escarpado)») es la 9.ª más baja de 10 y se sitúa por encima del promedio de la microcuenca (29.09 %). Su MSAVI 2024 (0.6733) es el 2.º de 10 y queda por encima del promedio local (0.6292). Amplitud altitudinal del bloque: 595 m (1260–1855 msnm). El cuadro conserva todos los bloques catalogados en la microcuenca, incluidos los descartados en el tamizaje, para referencia del conjunto. Los bloques sin ficha DT figuran con sus parámetros de gabinete. BRECHA ESPECTRAL. El 2.35 % de la superficie del bloque (1.102 ha de 46.962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26</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(46.973 ha) se desvía 0.03 % de la superficie de catálogo (46.96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(46.962 ha) se desvía 0.00 % de la superficie de catálogo (46.96 ha).</t>
        </is>
      </c>
      <c r="D14" s="57" t="inlineStr">
        <is>
          <t>CONFORME</t>
        </is>
      </c>
      <c r="E14" s="57" t="inlineStr">
        <is>
          <t>Sin acción: la segmentación valida la geometría del bloque.</t>
        </is>
      </c>
    </row>
    <row r="15">
      <c r="A15" s="56" t="inlineStr">
        <is>
          <t>G-07</t>
        </is>
      </c>
      <c r="B15" s="56" t="inlineStr">
        <is>
          <t>Brecha espectral MSAVI</t>
        </is>
      </c>
      <c r="C15" s="56" t="inlineStr">
        <is>
          <t>El 2.35 % del bloque queda bajo el umbral 0.4976; superficie de brecha 1.1022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46.96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(0.6733)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90 de 114 hechos integrados (78.9 %); 24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«50-75% (Escarpado)»; la estadística zonal sobre el MDE arroja una pendiente promedio de 32.26 %, que corresponde a la clase «25-50% (Mod. escarpado)»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Dimensiones del inventario de cárcavas</t>
        </is>
      </c>
      <c r="C22" s="57" t="inlineStr">
        <is>
          <t>Se registran 2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Centro poblado asociado</t>
        </is>
      </c>
      <c r="C23" s="56" t="inlineStr">
        <is>
          <t>La ficha DT declara «La Laguna»; el cruce INEI-Bloques V5 identifica 1 centro(s) poblado(s) en el bloque: LA LAGUNA</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1 · NO SUSTANTIVA: 3 · CONFORME: 11</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649472</t>
        </is>
      </c>
      <c r="D13" s="56" t="inlineStr">
        <is>
          <t>m</t>
        </is>
      </c>
    </row>
    <row r="14">
      <c r="A14" s="57" t="inlineStr">
        <is>
          <t>1. Identificación y localización</t>
        </is>
      </c>
      <c r="B14" s="57" t="inlineStr">
        <is>
          <t>UTM NORTE del punto de muestreo (m)</t>
        </is>
      </c>
      <c r="C14" s="57" t="inlineStr">
        <is>
          <t>9425705</t>
        </is>
      </c>
      <c r="D14" s="57" t="inlineStr">
        <is>
          <t>m</t>
        </is>
      </c>
    </row>
    <row r="15">
      <c r="A15" s="56" t="inlineStr">
        <is>
          <t>2. Parámetros físicos del terreno</t>
        </is>
      </c>
      <c r="B15" s="56" t="inlineStr">
        <is>
          <t>Piso altitudinal del punto de muestreo</t>
        </is>
      </c>
      <c r="C15" s="56" t="inlineStr">
        <is>
          <t>1500-2000 m (Quechua media)</t>
        </is>
      </c>
      <c r="D15" s="56" t="inlineStr"/>
    </row>
    <row r="16">
      <c r="A16" s="57" t="inlineStr">
        <is>
          <t>2. Parámetros físicos del terreno</t>
        </is>
      </c>
      <c r="B16" s="57" t="inlineStr">
        <is>
          <t>Paisaje dominante descrito en campo</t>
        </is>
      </c>
      <c r="C16" s="57" t="inlineStr">
        <is>
          <t>Ladera de montaña de fuerte pendiente con mosaico agroforestal (SAF de café), matorral y relictos de bosque montano húmedo; microcuenca C1081-Q9591.</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Patrón de cárcavas</t>
        </is>
      </c>
      <c r="C23" s="56" t="inlineStr">
        <is>
          <t>Aislado</t>
        </is>
      </c>
      <c r="D23" s="56" t="inlineStr"/>
    </row>
    <row r="24">
      <c r="A24" s="57" t="inlineStr">
        <is>
          <t>4. Suelos y erosión (F-DT-02)</t>
        </is>
      </c>
      <c r="B24" s="57" t="inlineStr">
        <is>
          <t>Socavamiento de cauce</t>
        </is>
      </c>
      <c r="C24" s="57" t="inlineStr">
        <is>
          <t>No</t>
        </is>
      </c>
      <c r="D24" s="57" t="inlineStr"/>
    </row>
    <row r="25">
      <c r="A25" s="56" t="inlineStr">
        <is>
          <t>5. Ecosistema, cobertura y flora (F-DT-03)</t>
        </is>
      </c>
      <c r="B25" s="56" t="inlineStr">
        <is>
          <t>Presencia de epífitas</t>
        </is>
      </c>
      <c r="C25" s="56" t="inlineStr">
        <is>
          <t>Sí</t>
        </is>
      </c>
      <c r="D25" s="56" t="inlineStr"/>
    </row>
    <row r="26">
      <c r="A26" s="57" t="inlineStr">
        <is>
          <t>5. Ecosistema, cobertura y flora (F-DT-03)</t>
        </is>
      </c>
      <c r="B26" s="57" t="inlineStr">
        <is>
          <t>Fenología dominante</t>
        </is>
      </c>
      <c r="C26" s="57" t="inlineStr">
        <is>
          <t>Vegetativo</t>
        </is>
      </c>
      <c r="D26" s="57" t="inlineStr"/>
    </row>
    <row r="27">
      <c r="A27" s="56" t="inlineStr">
        <is>
          <t>5. Ecosistema, cobertura y flora (F-DT-03)</t>
        </is>
      </c>
      <c r="B27" s="56" t="inlineStr">
        <is>
          <t>Especies clave georreferenciadas</t>
        </is>
      </c>
      <c r="C27" s="56" t="inlineStr">
        <is>
          <t>5</t>
        </is>
      </c>
      <c r="D27" s="56" t="inlineStr"/>
    </row>
    <row r="28">
      <c r="A28" s="57" t="inlineStr">
        <is>
          <t>6. Degradación, causas y urgencia (F-DT-04)</t>
        </is>
      </c>
      <c r="B28" s="57" t="inlineStr">
        <is>
          <t>Causas directas de la degradación</t>
        </is>
      </c>
      <c r="C28" s="57" t="inlineStr">
        <is>
          <t>Cambio de uso a SAF/agricultura, pastoreo disperso, taludes de corte de vía y especies introducidas, sobre laderas de fuerte pendiente.</t>
        </is>
      </c>
      <c r="D28" s="57" t="inlineStr"/>
    </row>
    <row r="29">
      <c r="A29" s="56" t="inlineStr">
        <is>
          <t>6. Degradación, causas y urgencia (F-DT-04)</t>
        </is>
      </c>
      <c r="B29" s="56" t="inlineStr">
        <is>
          <t>N.° de causas activas en la matriz F-DT-04</t>
        </is>
      </c>
      <c r="C29" s="56" t="inlineStr">
        <is>
          <t>7</t>
        </is>
      </c>
      <c r="D29" s="56" t="inlineStr"/>
    </row>
    <row r="30">
      <c r="A30" s="57" t="inlineStr">
        <is>
          <t>7. Hidrología, acceso y logística (F-DT-05)</t>
        </is>
      </c>
      <c r="B30" s="57" t="inlineStr">
        <is>
          <t>Escorrentía concentrada</t>
        </is>
      </c>
      <c r="C30" s="57" t="inlineStr">
        <is>
          <t>No</t>
        </is>
      </c>
      <c r="D30" s="57" t="inlineStr"/>
    </row>
    <row r="31">
      <c r="A31" s="56" t="inlineStr">
        <is>
          <t>7. Hidrología, acceso y logística (F-DT-05)</t>
        </is>
      </c>
      <c r="B31" s="56" t="inlineStr">
        <is>
          <t>Fuentes de agua inventariadas</t>
        </is>
      </c>
      <c r="C31" s="56" t="inlineStr">
        <is>
          <t>1</t>
        </is>
      </c>
      <c r="D31" s="56" t="inlineStr"/>
    </row>
    <row r="32">
      <c r="A32" s="57" t="inlineStr">
        <is>
          <t>7. Hidrología, acceso y logística (F-DT-05)</t>
        </is>
      </c>
      <c r="B32" s="57" t="inlineStr">
        <is>
          <t>Interferencia con riego</t>
        </is>
      </c>
      <c r="C32" s="57" t="inlineStr">
        <is>
          <t>No</t>
        </is>
      </c>
      <c r="D32" s="57" t="inlineStr"/>
    </row>
    <row r="33">
      <c r="A33" s="56" t="inlineStr">
        <is>
          <t>7. Hidrología, acceso y logística (F-DT-05)</t>
        </is>
      </c>
      <c r="B33" s="56" t="inlineStr">
        <is>
          <t>Vía principal de acceso</t>
        </is>
      </c>
      <c r="C33" s="56" t="inlineStr">
        <is>
          <t>Trocha carrozable afirmada hasta el C.P. La Laguna (Lalaquiz)</t>
        </is>
      </c>
      <c r="D33" s="56" t="inlineStr"/>
    </row>
    <row r="34">
      <c r="A34" s="57" t="inlineStr">
        <is>
          <t>7. Hidrología, acceso y logística (F-DT-05)</t>
        </is>
      </c>
      <c r="B34" s="57" t="inlineStr">
        <is>
          <t>Tipo de vía del tramo final</t>
        </is>
      </c>
      <c r="C34" s="57" t="inlineStr">
        <is>
          <t>Camino de herradura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8">
      <c r="A38" s="54" t="inlineStr">
        <is>
          <t>C. PROCEDENCIA DE LOS HECHOS DECLARADOS</t>
        </is>
      </c>
    </row>
    <row r="39">
      <c r="A39" s="55" t="inlineStr">
        <is>
          <t>Fuente</t>
        </is>
      </c>
      <c r="B39" s="55" t="inlineStr">
        <is>
          <t>Hechos</t>
        </is>
      </c>
      <c r="C39" s="55" t="inlineStr">
        <is>
          <t>Alcance de la fuente</t>
        </is>
      </c>
    </row>
    <row r="40">
      <c r="A40" s="56" t="inlineStr">
        <is>
          <t>Dato de campo</t>
        </is>
      </c>
      <c r="B40" s="56" t="n">
        <v>50</v>
      </c>
      <c r="C40" s="56" t="inlineStr">
        <is>
          <t>Verificación en campo. Fichas F-DT-01 a F-DT-05 de la Plantilla DT Campo Check Validada V5, suscritas por el evaluador.</t>
        </is>
      </c>
    </row>
    <row r="41">
      <c r="A41" s="57" t="inlineStr">
        <is>
          <t>Gabinete (GIS / teledetección)</t>
        </is>
      </c>
      <c r="B41" s="57" t="n">
        <v>26</v>
      </c>
      <c r="C41" s="57" t="inlineStr">
        <is>
          <t>Gabinete. Estadística zonal sobre el MDE y compuestos Sentinel-2 (NDVI mediana 2025, MSAVI 2024 por clase DN).</t>
        </is>
      </c>
    </row>
    <row r="42">
      <c r="A42" s="56" t="inlineStr">
        <is>
          <t>Fuente oficial</t>
        </is>
      </c>
      <c r="B42" s="56" t="n">
        <v>14</v>
      </c>
      <c r="C42" s="56" t="inlineStr">
        <is>
          <t>Fuente oficial. Catálogo maestro Bloques V5/V6, división política INEI y codificación de microcuencas de la ANA.</t>
        </is>
      </c>
    </row>
    <row r="44">
      <c r="A44" s="54" t="inlineStr">
        <is>
          <t>D. ESTADO DEL CRUCE ENTRE FUENTES</t>
        </is>
      </c>
    </row>
    <row r="45">
      <c r="A45" s="55" t="inlineStr">
        <is>
          <t>Estado</t>
        </is>
      </c>
      <c r="B45" s="55" t="inlineStr">
        <is>
          <t>Hechos</t>
        </is>
      </c>
      <c r="C45" s="55" t="inlineStr">
        <is>
          <t>Significado</t>
        </is>
      </c>
    </row>
    <row r="46">
      <c r="A46" s="56" t="inlineStr">
        <is>
          <t>CONFORME</t>
        </is>
      </c>
      <c r="B46" s="56" t="n">
        <v>85</v>
      </c>
      <c r="C46" s="56" t="inlineStr">
        <is>
          <t>Las dos fuentes declaran lo mismo, o solo la fuente que manda sobre el hecho lo declara.</t>
        </is>
      </c>
    </row>
    <row r="47">
      <c r="A47" s="57" t="inlineStr">
        <is>
          <t>COMPLEMENTADO</t>
        </is>
      </c>
      <c r="B47" s="57" t="n">
        <v>5</v>
      </c>
      <c r="C47" s="57" t="inlineStr">
        <is>
          <t>Solo una de las fuentes lo declara y se adopta ese valor.</t>
        </is>
      </c>
    </row>
    <row r="48">
      <c r="A48" s="56" t="inlineStr">
        <is>
          <t>ACTUALIZADO</t>
        </is>
      </c>
      <c r="B48" s="56" t="n">
        <v>0</v>
      </c>
      <c r="C48" s="56" t="inlineStr">
        <is>
          <t>La verificación de campo vigente corrige lo que traía el libro de resumen.</t>
        </is>
      </c>
    </row>
    <row r="49">
      <c r="A49" s="57" t="inlineStr">
        <is>
          <t>DISCREPANTE</t>
        </is>
      </c>
      <c r="B49" s="57" t="n">
        <v>0</v>
      </c>
      <c r="C49" s="57" t="inlineStr">
        <is>
          <t>Las fuentes se contradicen; prevalece la que manda sobre el hecho y la otra queda declarada.</t>
        </is>
      </c>
    </row>
    <row r="50">
      <c r="A50" s="56" t="inlineStr">
        <is>
          <t>PENDIENTE</t>
        </is>
      </c>
      <c r="B50" s="56" t="n">
        <v>24</v>
      </c>
      <c r="C5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E-01</t>
        </is>
      </c>
      <c r="B9" s="56" t="inlineStr">
        <is>
          <t>Surco (&lt;30 cm)</t>
        </is>
      </c>
      <c r="C9" s="61" t="n">
        <v>650018</v>
      </c>
      <c r="D9" s="61" t="n">
        <v>9425968</v>
      </c>
      <c r="E9" s="56" t="n"/>
      <c r="F9" s="56" t="n"/>
      <c r="G9" s="56" t="n"/>
      <c r="H9" s="56" t="inlineStr">
        <is>
          <t>Activa</t>
        </is>
      </c>
      <c r="I9" s="56" t="inlineStr">
        <is>
          <t>Otro</t>
        </is>
      </c>
    </row>
    <row r="10">
      <c r="A10" s="57" t="inlineStr">
        <is>
          <t>E-02</t>
        </is>
      </c>
      <c r="B10" s="57" t="inlineStr">
        <is>
          <t>Surco (&lt;30 cm)</t>
        </is>
      </c>
      <c r="C10" s="62" t="n">
        <v>650032</v>
      </c>
      <c r="D10" s="62" t="n">
        <v>9425645</v>
      </c>
      <c r="E10" s="57" t="n"/>
      <c r="F10" s="57" t="n"/>
      <c r="G10" s="57" t="n"/>
      <c r="H10" s="57" t="inlineStr">
        <is>
          <t>Semi-activa</t>
        </is>
      </c>
      <c r="I10" s="57" t="inlineStr">
        <is>
          <t>Otro</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Molle</t>
        </is>
      </c>
      <c r="C14" s="56" t="inlineStr">
        <is>
          <t>Schinus molle</t>
        </is>
      </c>
      <c r="D14" s="56" t="inlineStr">
        <is>
          <t>Anacardiaceae</t>
        </is>
      </c>
      <c r="E14" s="56" t="inlineStr">
        <is>
          <t>Arbóreo bajo (4-8 m)</t>
        </is>
      </c>
      <c r="F14" s="56" t="inlineStr">
        <is>
          <t>Nativa</t>
        </is>
      </c>
      <c r="G14" s="56" t="inlineStr">
        <is>
          <t>Frecuente (5-20%)</t>
        </is>
      </c>
      <c r="H14" s="56" t="n"/>
      <c r="I14" s="56" t="n"/>
    </row>
    <row r="15">
      <c r="A15" s="57" t="inlineStr">
        <is>
          <t>2</t>
        </is>
      </c>
      <c r="B15" s="57" t="inlineStr">
        <is>
          <t>Higuerón</t>
        </is>
      </c>
      <c r="C15" s="57" t="inlineStr">
        <is>
          <t>Ficus sp.</t>
        </is>
      </c>
      <c r="D15" s="57" t="inlineStr">
        <is>
          <t>Moraceae</t>
        </is>
      </c>
      <c r="E15" s="57" t="inlineStr">
        <is>
          <t>Arbóreo superior (&gt;15 m)</t>
        </is>
      </c>
      <c r="F15" s="57" t="inlineStr">
        <is>
          <t>Nativa</t>
        </is>
      </c>
      <c r="G15" s="57" t="inlineStr">
        <is>
          <t>Ocasional (1-5%)</t>
        </is>
      </c>
      <c r="H15" s="57" t="n"/>
      <c r="I15" s="57" t="n"/>
    </row>
    <row r="16">
      <c r="A16" s="56" t="inlineStr">
        <is>
          <t>3</t>
        </is>
      </c>
      <c r="B16" s="56" t="inlineStr">
        <is>
          <t>Chirimoyo silvestre</t>
        </is>
      </c>
      <c r="C16" s="56" t="inlineStr">
        <is>
          <t>Annona sp.</t>
        </is>
      </c>
      <c r="D16" s="56" t="inlineStr">
        <is>
          <t>Annonaceae</t>
        </is>
      </c>
      <c r="E16" s="56" t="inlineStr">
        <is>
          <t>Arbóreo bajo (4-8 m)</t>
        </is>
      </c>
      <c r="F16" s="56" t="inlineStr">
        <is>
          <t>Nativa</t>
        </is>
      </c>
      <c r="G16" s="56" t="inlineStr">
        <is>
          <t>Ocasional (1-5%)</t>
        </is>
      </c>
      <c r="H16" s="56" t="n"/>
      <c r="I16" s="56" t="n"/>
    </row>
    <row r="17">
      <c r="A17" s="57" t="inlineStr">
        <is>
          <t>4</t>
        </is>
      </c>
      <c r="B17" s="57" t="inlineStr">
        <is>
          <t>Pacae</t>
        </is>
      </c>
      <c r="C17" s="57" t="inlineStr">
        <is>
          <t>Inga sp.</t>
        </is>
      </c>
      <c r="D17" s="57" t="inlineStr">
        <is>
          <t>Fabaceae</t>
        </is>
      </c>
      <c r="E17" s="57" t="inlineStr">
        <is>
          <t>Arbóreo medio (8-15 m)</t>
        </is>
      </c>
      <c r="F17" s="57" t="inlineStr">
        <is>
          <t>Nativa</t>
        </is>
      </c>
      <c r="G17" s="57" t="inlineStr">
        <is>
          <t>Ocasional (1-5%)</t>
        </is>
      </c>
      <c r="H17" s="57" t="n"/>
      <c r="I17" s="57" t="n"/>
    </row>
    <row r="18">
      <c r="A18" s="56" t="inlineStr">
        <is>
          <t>5</t>
        </is>
      </c>
      <c r="B18" s="56" t="inlineStr">
        <is>
          <t>Chilca</t>
        </is>
      </c>
      <c r="C18" s="56" t="inlineStr">
        <is>
          <t>Baccharis sp.</t>
        </is>
      </c>
      <c r="D18" s="56" t="inlineStr">
        <is>
          <t>Asteraceae</t>
        </is>
      </c>
      <c r="E18" s="56" t="inlineStr">
        <is>
          <t>Arbustivo alto (1.5-4 m)</t>
        </is>
      </c>
      <c r="F18" s="56" t="inlineStr">
        <is>
          <t>Nativa</t>
        </is>
      </c>
      <c r="G18" s="56" t="inlineStr">
        <is>
          <t>Frecuente (5-20%)</t>
        </is>
      </c>
      <c r="H18" s="56" t="n"/>
      <c r="I18" s="56" t="n"/>
    </row>
    <row r="19">
      <c r="A19" s="57" t="inlineStr">
        <is>
          <t>6</t>
        </is>
      </c>
      <c r="B19" s="57" t="inlineStr">
        <is>
          <t>Bambú / caña</t>
        </is>
      </c>
      <c r="C19" s="57" t="inlineStr">
        <is>
          <t>Bambusoideae (indet.)</t>
        </is>
      </c>
      <c r="D19" s="57" t="inlineStr">
        <is>
          <t>Poaceae</t>
        </is>
      </c>
      <c r="E19" s="57" t="inlineStr">
        <is>
          <t>Arbóreo bajo (4-8 m)</t>
        </is>
      </c>
      <c r="F19" s="57" t="inlineStr">
        <is>
          <t>Nativa</t>
        </is>
      </c>
      <c r="G19" s="57" t="inlineStr">
        <is>
          <t>Ocasional (1-5%)</t>
        </is>
      </c>
      <c r="H19" s="57" t="n"/>
      <c r="I19" s="57" t="n"/>
    </row>
    <row r="20">
      <c r="A20" s="56" t="inlineStr">
        <is>
          <t>7</t>
        </is>
      </c>
      <c r="B20" s="56" t="inlineStr">
        <is>
          <t>Bromelias epífitas</t>
        </is>
      </c>
      <c r="C20" s="56" t="inlineStr">
        <is>
          <t>Bromeliaceae (indet.)</t>
        </is>
      </c>
      <c r="D20" s="56" t="inlineStr">
        <is>
          <t>Bromeliaceae</t>
        </is>
      </c>
      <c r="E20" s="56" t="inlineStr">
        <is>
          <t>Epífito</t>
        </is>
      </c>
      <c r="F20" s="56" t="inlineStr">
        <is>
          <t>Nativa</t>
        </is>
      </c>
      <c r="G20" s="56" t="inlineStr">
        <is>
          <t>Frecuente (5-20%)</t>
        </is>
      </c>
      <c r="H20" s="56" t="n"/>
      <c r="I20" s="56" t="n"/>
    </row>
    <row r="21">
      <c r="A21" s="57" t="inlineStr">
        <is>
          <t>8</t>
        </is>
      </c>
      <c r="B21" s="57" t="inlineStr">
        <is>
          <t>Helechos</t>
        </is>
      </c>
      <c r="C21" s="57" t="inlineStr">
        <is>
          <t>Pteridophyta (indet.)</t>
        </is>
      </c>
      <c r="D21" s="57" t="inlineStr">
        <is>
          <t>Indet.</t>
        </is>
      </c>
      <c r="E21" s="57" t="inlineStr">
        <is>
          <t>Herbáceo (&lt;0.5 m)</t>
        </is>
      </c>
      <c r="F21" s="57" t="inlineStr">
        <is>
          <t>Nativa</t>
        </is>
      </c>
      <c r="G21" s="57" t="inlineStr">
        <is>
          <t>Abundante (20-40%)</t>
        </is>
      </c>
      <c r="H21" s="57" t="n"/>
      <c r="I21" s="57" t="n"/>
    </row>
    <row r="22">
      <c r="A22" s="56" t="inlineStr">
        <is>
          <t>9</t>
        </is>
      </c>
      <c r="B22" s="56" t="inlineStr">
        <is>
          <t>Nogal (ref.)</t>
        </is>
      </c>
      <c r="C22" s="56" t="inlineStr">
        <is>
          <t>Juglans sp.</t>
        </is>
      </c>
      <c r="D22" s="56" t="inlineStr">
        <is>
          <t>Juglandaceae</t>
        </is>
      </c>
      <c r="E22" s="56" t="inlineStr">
        <is>
          <t>Arbóreo medio (8-15 m)</t>
        </is>
      </c>
      <c r="F22" s="56" t="inlineStr">
        <is>
          <t>Nativa</t>
        </is>
      </c>
      <c r="G22" s="56" t="inlineStr">
        <is>
          <t>Rara (&lt;1%)</t>
        </is>
      </c>
      <c r="H22" s="56" t="n"/>
      <c r="I22" s="56" t="n"/>
    </row>
    <row r="23">
      <c r="A23" s="57" t="inlineStr">
        <is>
          <t>10</t>
        </is>
      </c>
      <c r="B23" s="57" t="inlineStr">
        <is>
          <t>Roble (ref.)</t>
        </is>
      </c>
      <c r="C23" s="57" t="inlineStr">
        <is>
          <t>Por determinar</t>
        </is>
      </c>
      <c r="D23" s="57" t="inlineStr">
        <is>
          <t>Indet.</t>
        </is>
      </c>
      <c r="E23" s="57" t="inlineStr">
        <is>
          <t>Arbóreo medio (8-15 m)</t>
        </is>
      </c>
      <c r="F23" s="57" t="inlineStr">
        <is>
          <t>Nativa</t>
        </is>
      </c>
      <c r="G23" s="57" t="inlineStr">
        <is>
          <t>Rara (&lt;1%)</t>
        </is>
      </c>
      <c r="H23" s="57" t="n"/>
      <c r="I23" s="57" t="n"/>
    </row>
    <row r="24">
      <c r="A24" s="56" t="inlineStr">
        <is>
          <t>11</t>
        </is>
      </c>
      <c r="B24" s="56" t="inlineStr">
        <is>
          <t>Cedro de altura (ref.)</t>
        </is>
      </c>
      <c r="C24" s="56" t="inlineStr">
        <is>
          <t>Cedrela sp.</t>
        </is>
      </c>
      <c r="D24" s="56" t="inlineStr">
        <is>
          <t>Meliaceae</t>
        </is>
      </c>
      <c r="E24" s="56" t="inlineStr">
        <is>
          <t>Arbóreo superior (&gt;15 m)</t>
        </is>
      </c>
      <c r="F24" s="56" t="inlineStr">
        <is>
          <t>Nativa</t>
        </is>
      </c>
      <c r="G24" s="56" t="inlineStr">
        <is>
          <t>Rara (&lt;1%)</t>
        </is>
      </c>
      <c r="H24" s="56" t="n"/>
      <c r="I24" s="56" t="n"/>
    </row>
    <row r="25">
      <c r="A25" s="57" t="inlineStr">
        <is>
          <t>12</t>
        </is>
      </c>
      <c r="B25" s="57" t="inlineStr">
        <is>
          <t>Grevilea</t>
        </is>
      </c>
      <c r="C25" s="57" t="inlineStr">
        <is>
          <t>Grevillea robusta</t>
        </is>
      </c>
      <c r="D25" s="57" t="inlineStr">
        <is>
          <t>Proteaceae</t>
        </is>
      </c>
      <c r="E25" s="57" t="inlineStr">
        <is>
          <t>Arbóreo superior (&gt;15 m)</t>
        </is>
      </c>
      <c r="F25" s="57" t="inlineStr">
        <is>
          <t>Introducida</t>
        </is>
      </c>
      <c r="G25" s="57" t="inlineStr">
        <is>
          <t>Frecuente (5-20%)</t>
        </is>
      </c>
      <c r="H25" s="57" t="n"/>
      <c r="I25" s="57" t="n"/>
    </row>
    <row r="26">
      <c r="A26" s="56" t="inlineStr">
        <is>
          <t>13</t>
        </is>
      </c>
      <c r="B26" s="56" t="inlineStr">
        <is>
          <t>Casuarina</t>
        </is>
      </c>
      <c r="C26" s="56" t="inlineStr">
        <is>
          <t>Casuarina equisetifolia</t>
        </is>
      </c>
      <c r="D26" s="56" t="inlineStr">
        <is>
          <t>Casuarinaceae</t>
        </is>
      </c>
      <c r="E26" s="56" t="inlineStr">
        <is>
          <t>Arbóreo medio (8-15 m)</t>
        </is>
      </c>
      <c r="F26" s="56" t="inlineStr">
        <is>
          <t>Introducida</t>
        </is>
      </c>
      <c r="G26" s="56" t="inlineStr">
        <is>
          <t>Ocasional (1-5%)</t>
        </is>
      </c>
      <c r="H26" s="56" t="n"/>
      <c r="I26" s="56" t="n"/>
    </row>
    <row r="27">
      <c r="A27" s="57" t="inlineStr">
        <is>
          <t>14</t>
        </is>
      </c>
      <c r="B27" s="57" t="inlineStr">
        <is>
          <t>Agave</t>
        </is>
      </c>
      <c r="C27" s="57" t="inlineStr">
        <is>
          <t>Agave americana</t>
        </is>
      </c>
      <c r="D27" s="57" t="inlineStr">
        <is>
          <t>Asparagaceae</t>
        </is>
      </c>
      <c r="E27" s="57" t="inlineStr">
        <is>
          <t>Arbustivo alto (1.5-4 m)</t>
        </is>
      </c>
      <c r="F27" s="57" t="inlineStr">
        <is>
          <t>Introducida</t>
        </is>
      </c>
      <c r="G27" s="57" t="inlineStr">
        <is>
          <t>Frecuente (5-20%)</t>
        </is>
      </c>
      <c r="H27" s="57" t="n"/>
      <c r="I27" s="57" t="n"/>
    </row>
    <row r="28">
      <c r="A28" s="56" t="inlineStr">
        <is>
          <t>15</t>
        </is>
      </c>
      <c r="B28" s="56" t="inlineStr">
        <is>
          <t>Pino</t>
        </is>
      </c>
      <c r="C28" s="56" t="inlineStr">
        <is>
          <t>Pinus sp.</t>
        </is>
      </c>
      <c r="D28" s="56" t="inlineStr">
        <is>
          <t>Pinaceae</t>
        </is>
      </c>
      <c r="E28" s="56" t="inlineStr">
        <is>
          <t>Arbóreo superior (&gt;15 m)</t>
        </is>
      </c>
      <c r="F28" s="56" t="inlineStr">
        <is>
          <t>Introducida</t>
        </is>
      </c>
      <c r="G28" s="56" t="inlineStr">
        <is>
          <t>Ocasional (1-5%)</t>
        </is>
      </c>
      <c r="H28" s="56" t="n"/>
      <c r="I28" s="56" t="n"/>
    </row>
    <row r="30">
      <c r="A30" s="54" t="inlineStr">
        <is>
          <t>F-DT-03 · ESPECIES CLAVE GEORREFERENCIADAS</t>
        </is>
      </c>
    </row>
    <row r="31">
      <c r="A31" s="55" t="inlineStr">
        <is>
          <t>N.o</t>
        </is>
      </c>
      <c r="B31" s="55" t="inlineStr">
        <is>
          <t>Especie</t>
        </is>
      </c>
      <c r="C31" s="55" t="inlineStr">
        <is>
          <t>Categoría</t>
        </is>
      </c>
      <c r="D31" s="55" t="inlineStr">
        <is>
          <t>Estado UICN</t>
        </is>
      </c>
      <c r="E31" s="55" t="inlineStr">
        <is>
          <t>UTM ESTE</t>
        </is>
      </c>
      <c r="F31" s="55" t="inlineStr">
        <is>
          <t>UTM NORTE</t>
        </is>
      </c>
      <c r="G31" s="55" t="inlineStr">
        <is>
          <t>N.° individuos</t>
        </is>
      </c>
      <c r="H31" s="55" t="inlineStr">
        <is>
          <t>Observación</t>
        </is>
      </c>
    </row>
    <row r="32">
      <c r="A32" s="56" t="inlineStr">
        <is>
          <t>1</t>
        </is>
      </c>
      <c r="B32" s="56" t="inlineStr">
        <is>
          <t>Nogal (Juglans sp.)</t>
        </is>
      </c>
      <c r="C32" s="56" t="inlineStr">
        <is>
          <t>Amenazada (D.S. 043-2006-AG)</t>
        </is>
      </c>
      <c r="D32" s="56" t="inlineStr">
        <is>
          <t>EN — En Peligro</t>
        </is>
      </c>
      <c r="E32" s="56" t="n"/>
      <c r="F32" s="56" t="n"/>
      <c r="G32" s="56" t="n"/>
      <c r="H32" s="56" t="inlineStr">
        <is>
          <t>Referencial; por confirmar con colección</t>
        </is>
      </c>
    </row>
    <row r="33">
      <c r="A33" s="57" t="inlineStr">
        <is>
          <t>2</t>
        </is>
      </c>
      <c r="B33" s="57" t="inlineStr">
        <is>
          <t>Cedro de altura (Cedrela sp.)</t>
        </is>
      </c>
      <c r="C33" s="57" t="inlineStr">
        <is>
          <t>Amenazada (D.S. 043-2006-AG)</t>
        </is>
      </c>
      <c r="D33" s="57" t="inlineStr">
        <is>
          <t>VU — Vulnerable</t>
        </is>
      </c>
      <c r="E33" s="57" t="n"/>
      <c r="F33" s="57" t="n"/>
      <c r="G33" s="57" t="n"/>
      <c r="H33" s="57" t="inlineStr">
        <is>
          <t>Referencial; especie por confirmar</t>
        </is>
      </c>
    </row>
    <row r="34">
      <c r="A34" s="56" t="inlineStr">
        <is>
          <t>3</t>
        </is>
      </c>
      <c r="B34" s="56" t="inlineStr">
        <is>
          <t>Higuerón (Ficus sp.)</t>
        </is>
      </c>
      <c r="C34" s="56" t="inlineStr">
        <is>
          <t>Indicadora de buen estado</t>
        </is>
      </c>
      <c r="D34" s="56" t="inlineStr">
        <is>
          <t>No aplica</t>
        </is>
      </c>
      <c r="E34" s="61" t="n">
        <v>649636</v>
      </c>
      <c r="F34" s="61" t="n">
        <v>9425233</v>
      </c>
      <c r="G34" s="56" t="n"/>
      <c r="H34" s="56" t="inlineStr">
        <is>
          <t>Emergente de relicto montano</t>
        </is>
      </c>
    </row>
    <row r="35">
      <c r="A35" s="57" t="inlineStr">
        <is>
          <t>4</t>
        </is>
      </c>
      <c r="B35" s="57" t="inlineStr">
        <is>
          <t>Bromelias epífitas / Helechos</t>
        </is>
      </c>
      <c r="C35" s="57" t="inlineStr">
        <is>
          <t>Indicadora de buen estado</t>
        </is>
      </c>
      <c r="D35" s="57" t="inlineStr">
        <is>
          <t>No aplica</t>
        </is>
      </c>
      <c r="E35" s="57" t="n"/>
      <c r="F35" s="57" t="n"/>
      <c r="G35" s="57" t="n"/>
      <c r="H35" s="57" t="inlineStr">
        <is>
          <t>Indicadoras de humedad; abundantes</t>
        </is>
      </c>
    </row>
    <row r="36">
      <c r="A36" s="56" t="inlineStr">
        <is>
          <t>5</t>
        </is>
      </c>
      <c r="B36" s="56" t="inlineStr">
        <is>
          <t>Molle (Schinus molle)</t>
        </is>
      </c>
      <c r="C36" s="56" t="inlineStr">
        <is>
          <t>Clave cultural</t>
        </is>
      </c>
      <c r="D36" s="56" t="inlineStr">
        <is>
          <t>NE — No Evaluado</t>
        </is>
      </c>
      <c r="E36" s="61" t="n">
        <v>650032</v>
      </c>
      <c r="F36" s="61" t="n">
        <v>9425645</v>
      </c>
      <c r="G36" s="56" t="n"/>
      <c r="H36" s="56" t="inlineStr">
        <is>
          <t>Rebrotes: recuperación natural</t>
        </is>
      </c>
    </row>
    <row r="38">
      <c r="A38" s="54" t="inlineStr">
        <is>
          <t>F-DT-04 · MATRIZ DE CAUSAS DE DEGRADACIÓN</t>
        </is>
      </c>
    </row>
    <row r="39">
      <c r="A39" s="55" t="inlineStr">
        <is>
          <t>N.o</t>
        </is>
      </c>
      <c r="B39" s="55" t="inlineStr">
        <is>
          <t>Causa</t>
        </is>
      </c>
      <c r="C39" s="55" t="inlineStr">
        <is>
          <t>Presencia</t>
        </is>
      </c>
      <c r="D39" s="55" t="inlineStr">
        <is>
          <t>Intensidad</t>
        </is>
      </c>
      <c r="E39" s="55" t="inlineStr">
        <is>
          <t>Extensión</t>
        </is>
      </c>
      <c r="F39" s="55" t="inlineStr">
        <is>
          <t>Antigüedad</t>
        </is>
      </c>
      <c r="G39" s="55" t="inlineStr">
        <is>
          <t>Evidencia</t>
        </is>
      </c>
    </row>
    <row r="40">
      <c r="A40" s="56" t="inlineStr">
        <is>
          <t>1</t>
        </is>
      </c>
      <c r="B40" s="56" t="inlineStr">
        <is>
          <t>Sobrepastoreo (caprino/vacuno)</t>
        </is>
      </c>
      <c r="C40" s="56" t="inlineStr">
        <is>
          <t>Sí</t>
        </is>
      </c>
      <c r="D40" s="56" t="inlineStr">
        <is>
          <t>Ligera</t>
        </is>
      </c>
      <c r="E40" s="56" t="inlineStr"/>
      <c r="F40" s="56" t="inlineStr"/>
      <c r="G40" s="56" t="inlineStr">
        <is>
          <t>Ganado asnal en laderas; pastoreo disperso (F-13)</t>
        </is>
      </c>
    </row>
    <row r="41">
      <c r="A41" s="57" t="inlineStr">
        <is>
          <t>2</t>
        </is>
      </c>
      <c r="B41" s="57" t="inlineStr">
        <is>
          <t>Tala para leña</t>
        </is>
      </c>
      <c r="C41" s="57" t="inlineStr"/>
      <c r="D41" s="57" t="inlineStr"/>
      <c r="E41" s="57" t="inlineStr"/>
      <c r="F41" s="57" t="inlineStr"/>
      <c r="G41" s="57" t="inlineStr"/>
    </row>
    <row r="42">
      <c r="A42" s="56" t="inlineStr">
        <is>
          <t>3</t>
        </is>
      </c>
      <c r="B42" s="56" t="inlineStr">
        <is>
          <t>Tala para carbón</t>
        </is>
      </c>
      <c r="C42" s="56" t="inlineStr">
        <is>
          <t>No</t>
        </is>
      </c>
      <c r="D42" s="56" t="inlineStr"/>
      <c r="E42" s="56" t="inlineStr"/>
      <c r="F42" s="56" t="inlineStr"/>
      <c r="G42" s="56" t="inlineStr"/>
    </row>
    <row r="43">
      <c r="A43" s="57" t="inlineStr">
        <is>
          <t>4</t>
        </is>
      </c>
      <c r="B43" s="57" t="inlineStr">
        <is>
          <t>Tala para madera</t>
        </is>
      </c>
      <c r="C43" s="57" t="inlineStr">
        <is>
          <t>Sí</t>
        </is>
      </c>
      <c r="D43" s="57" t="inlineStr">
        <is>
          <t>Ligera</t>
        </is>
      </c>
      <c r="E43" s="57" t="inlineStr"/>
      <c r="F43" s="57" t="inlineStr"/>
      <c r="G43" s="57" t="inlineStr">
        <is>
          <t>Tablones de madera aserrada en viviendas (F-15); por verificar</t>
        </is>
      </c>
    </row>
    <row r="44">
      <c r="A44" s="56" t="inlineStr">
        <is>
          <t>5</t>
        </is>
      </c>
      <c r="B44" s="56" t="inlineStr">
        <is>
          <t>Quema (renovación de pastos)</t>
        </is>
      </c>
      <c r="C44" s="56" t="inlineStr"/>
      <c r="D44" s="56" t="inlineStr"/>
      <c r="E44" s="56" t="inlineStr"/>
      <c r="F44" s="56" t="inlineStr"/>
      <c r="G44" s="56" t="inlineStr"/>
    </row>
    <row r="45">
      <c r="A45" s="57" t="inlineStr">
        <is>
          <t>6</t>
        </is>
      </c>
      <c r="B45" s="57" t="inlineStr">
        <is>
          <t>Quema accidental / Incendio</t>
        </is>
      </c>
      <c r="C45" s="57" t="inlineStr"/>
      <c r="D45" s="57" t="inlineStr"/>
      <c r="E45" s="57" t="inlineStr"/>
      <c r="F45" s="57" t="inlineStr"/>
      <c r="G45" s="57" t="inlineStr"/>
    </row>
    <row r="46">
      <c r="A46" s="56" t="inlineStr">
        <is>
          <t>7</t>
        </is>
      </c>
      <c r="B46" s="56" t="inlineStr">
        <is>
          <t>Cambio de uso a agricultura</t>
        </is>
      </c>
      <c r="C46" s="56" t="inlineStr">
        <is>
          <t>Sí</t>
        </is>
      </c>
      <c r="D46" s="56" t="inlineStr">
        <is>
          <t>Moderada</t>
        </is>
      </c>
      <c r="E46" s="56" t="inlineStr"/>
      <c r="F46" s="56" t="inlineStr"/>
      <c r="G46" s="56" t="inlineStr">
        <is>
          <t>SAF de café, plátano, maíz, caña de azúcar y papaya (F-10, F-14)</t>
        </is>
      </c>
    </row>
    <row r="47">
      <c r="A47" s="57" t="inlineStr">
        <is>
          <t>8</t>
        </is>
      </c>
      <c r="B47" s="57" t="inlineStr">
        <is>
          <t>Cambio de uso a pastoreo</t>
        </is>
      </c>
      <c r="C47" s="57" t="inlineStr">
        <is>
          <t>Sí</t>
        </is>
      </c>
      <c r="D47" s="57" t="inlineStr">
        <is>
          <t>Ligera</t>
        </is>
      </c>
      <c r="E47" s="57" t="inlineStr"/>
      <c r="F47" s="57" t="inlineStr"/>
      <c r="G47" s="57" t="inlineStr">
        <is>
          <t>Pastoreo disperso en laderas (F-13)</t>
        </is>
      </c>
    </row>
    <row r="48">
      <c r="A48" s="56" t="inlineStr">
        <is>
          <t>9</t>
        </is>
      </c>
      <c r="B48" s="56" t="inlineStr">
        <is>
          <t>Expansión urbana / vial</t>
        </is>
      </c>
      <c r="C48" s="56" t="inlineStr">
        <is>
          <t>Sí</t>
        </is>
      </c>
      <c r="D48" s="56" t="inlineStr">
        <is>
          <t>Moderada</t>
        </is>
      </c>
      <c r="E48" s="56" t="inlineStr"/>
      <c r="F48" s="56" t="inlineStr"/>
      <c r="G48" s="56" t="inlineStr">
        <is>
          <t>Taludes de corte de trocha (F-05, F-06); C.P. La Laguna (F-15)</t>
        </is>
      </c>
    </row>
    <row r="49">
      <c r="A49" s="57" t="inlineStr">
        <is>
          <t>10</t>
        </is>
      </c>
      <c r="B49" s="57" t="inlineStr">
        <is>
          <t>Minería informal</t>
        </is>
      </c>
      <c r="C49" s="57" t="inlineStr">
        <is>
          <t>No</t>
        </is>
      </c>
      <c r="D49" s="57" t="inlineStr"/>
      <c r="E49" s="57" t="inlineStr"/>
      <c r="F49" s="57" t="inlineStr"/>
      <c r="G49" s="57" t="inlineStr"/>
    </row>
    <row r="50">
      <c r="A50" s="56" t="inlineStr">
        <is>
          <t>11</t>
        </is>
      </c>
      <c r="B50" s="56" t="inlineStr">
        <is>
          <t>Extracción de áridos (cauces)</t>
        </is>
      </c>
      <c r="C50" s="56" t="inlineStr">
        <is>
          <t>No</t>
        </is>
      </c>
      <c r="D50" s="56" t="inlineStr"/>
      <c r="E50" s="56" t="inlineStr"/>
      <c r="F50" s="56" t="inlineStr"/>
      <c r="G50" s="56" t="inlineStr"/>
    </row>
    <row r="51">
      <c r="A51" s="57" t="inlineStr">
        <is>
          <t>12</t>
        </is>
      </c>
      <c r="B51" s="57" t="inlineStr">
        <is>
          <t>Especies invasoras</t>
        </is>
      </c>
      <c r="C51" s="57" t="inlineStr">
        <is>
          <t>Sí</t>
        </is>
      </c>
      <c r="D51" s="57" t="inlineStr">
        <is>
          <t>Ligera</t>
        </is>
      </c>
      <c r="E51" s="57" t="inlineStr"/>
      <c r="F51" s="57" t="inlineStr"/>
      <c r="G51" s="57" t="inlineStr">
        <is>
          <t>Grevilea, Casuarina, Pino, Agave (F-09, F-11, F-14)</t>
        </is>
      </c>
    </row>
    <row r="52">
      <c r="A52" s="56" t="inlineStr">
        <is>
          <t>13</t>
        </is>
      </c>
      <c r="B52" s="56" t="inlineStr">
        <is>
          <t>Erosión natural severa</t>
        </is>
      </c>
      <c r="C52" s="56" t="inlineStr">
        <is>
          <t>Sí</t>
        </is>
      </c>
      <c r="D52" s="56" t="inlineStr">
        <is>
          <t>Moderada</t>
        </is>
      </c>
      <c r="E52" s="56" t="inlineStr"/>
      <c r="F52" s="56" t="inlineStr"/>
      <c r="G52" s="56" t="inlineStr">
        <is>
          <t>Pendiente extrema ≈ 80 % (F-04)</t>
        </is>
      </c>
    </row>
    <row r="53">
      <c r="A53" s="57" t="inlineStr">
        <is>
          <t>14</t>
        </is>
      </c>
      <c r="B53" s="57" t="inlineStr">
        <is>
          <t>Sequía prolongada / CC</t>
        </is>
      </c>
      <c r="C53" s="57" t="inlineStr"/>
      <c r="D53" s="57" t="inlineStr"/>
      <c r="E53" s="57" t="inlineStr"/>
      <c r="F53" s="57" t="inlineStr"/>
      <c r="G53" s="57" t="inlineStr"/>
    </row>
    <row r="54">
      <c r="A54" s="56" t="inlineStr">
        <is>
          <t>15</t>
        </is>
      </c>
      <c r="B54" s="56" t="inlineStr">
        <is>
          <t>Plagas o enfermedades forestales</t>
        </is>
      </c>
      <c r="C54" s="56" t="inlineStr"/>
      <c r="D54" s="56" t="inlineStr"/>
      <c r="E54" s="56" t="inlineStr"/>
      <c r="F54" s="56" t="inlineStr"/>
      <c r="G54" s="56" t="inlineStr"/>
    </row>
    <row r="55">
      <c r="A55" s="57" t="inlineStr">
        <is>
          <t>16</t>
        </is>
      </c>
      <c r="B55" s="57" t="inlineStr">
        <is>
          <t>Otro</t>
        </is>
      </c>
      <c r="C55" s="57" t="inlineStr"/>
      <c r="D55" s="57" t="inlineStr"/>
      <c r="E55" s="57" t="inlineStr"/>
      <c r="F55" s="57" t="inlineStr"/>
      <c r="G55" s="57" t="inlineStr"/>
    </row>
    <row r="57">
      <c r="A57" s="54" t="inlineStr">
        <is>
          <t>F-DT-04 · INDICADORES CUANTITATIVOS</t>
        </is>
      </c>
    </row>
    <row r="58">
      <c r="A58" s="55" t="inlineStr">
        <is>
          <t>N.o</t>
        </is>
      </c>
      <c r="B58" s="55" t="inlineStr">
        <is>
          <t>Indicador</t>
        </is>
      </c>
      <c r="C58" s="55" t="inlineStr">
        <is>
          <t>Unidad</t>
        </is>
      </c>
      <c r="D58" s="55" t="inlineStr">
        <is>
          <t>Valor</t>
        </is>
      </c>
      <c r="E58" s="55" t="inlineStr">
        <is>
          <t>Fuente</t>
        </is>
      </c>
      <c r="F58" s="55" t="inlineStr">
        <is>
          <t>Umbral</t>
        </is>
      </c>
      <c r="G58" s="55" t="inlineStr">
        <is>
          <t>Nivel</t>
        </is>
      </c>
    </row>
    <row r="59">
      <c r="A59" s="56" t="inlineStr">
        <is>
          <t>1</t>
        </is>
      </c>
      <c r="B59" s="56" t="inlineStr">
        <is>
          <t>Cobertura vegetal total</t>
        </is>
      </c>
      <c r="C59" s="56" t="inlineStr">
        <is>
          <t>%</t>
        </is>
      </c>
      <c r="D59" s="56" t="inlineStr">
        <is>
          <t>85</t>
        </is>
      </c>
      <c r="E59" s="56" t="inlineStr">
        <is>
          <t>MSAVI 2024 (0,673) + estimación ocular</t>
        </is>
      </c>
      <c r="F59" s="56" t="inlineStr">
        <is>
          <t>&gt;60% bueno; 30-60% medio; &lt;30% malo</t>
        </is>
      </c>
      <c r="G59" s="56" t="inlineStr">
        <is>
          <t>Alto</t>
        </is>
      </c>
    </row>
    <row r="60">
      <c r="A60" s="57" t="inlineStr">
        <is>
          <t>2</t>
        </is>
      </c>
      <c r="B60" s="57" t="inlineStr">
        <is>
          <t>Porcentaje de suelo desnudo</t>
        </is>
      </c>
      <c r="C60" s="57" t="inlineStr">
        <is>
          <t>%</t>
        </is>
      </c>
      <c r="D60" s="57" t="inlineStr">
        <is>
          <t>&lt;10</t>
        </is>
      </c>
      <c r="E60" s="57" t="inlineStr">
        <is>
          <t>Estimación ocular de campo</t>
        </is>
      </c>
      <c r="F60" s="57" t="inlineStr">
        <is>
          <t>&lt;10% bueno; 10-30% medio; &gt;30% malo</t>
        </is>
      </c>
      <c r="G60" s="57" t="inlineStr">
        <is>
          <t>Bajo</t>
        </is>
      </c>
    </row>
    <row r="61">
      <c r="A61" s="56" t="inlineStr">
        <is>
          <t>3</t>
        </is>
      </c>
      <c r="B61" s="56" t="inlineStr">
        <is>
          <t>Densidad de cárcavas</t>
        </is>
      </c>
      <c r="C61" s="56" t="inlineStr">
        <is>
          <t>N°/ha</t>
        </is>
      </c>
      <c r="D61" s="56" t="inlineStr"/>
      <c r="E61" s="56" t="inlineStr"/>
      <c r="F61" s="56" t="inlineStr">
        <is>
          <t>0 nulo; 1-3 medio; &gt;3 alto</t>
        </is>
      </c>
      <c r="G61" s="56" t="inlineStr"/>
    </row>
    <row r="62">
      <c r="A62" s="57" t="inlineStr">
        <is>
          <t>4</t>
        </is>
      </c>
      <c r="B62" s="57" t="inlineStr">
        <is>
          <t>Presencia de especies invasoras</t>
        </is>
      </c>
      <c r="C62" s="57" t="inlineStr">
        <is>
          <t>% área</t>
        </is>
      </c>
      <c r="D62" s="57" t="inlineStr">
        <is>
          <t>≈10</t>
        </is>
      </c>
      <c r="E62" s="57" t="inlineStr">
        <is>
          <t>Estimación ocular</t>
        </is>
      </c>
      <c r="F62" s="57" t="inlineStr">
        <is>
          <t>&lt;5% bueno; 5-20% medio; &gt;20% alto</t>
        </is>
      </c>
      <c r="G62" s="57" t="inlineStr">
        <is>
          <t>Medio</t>
        </is>
      </c>
    </row>
    <row r="63">
      <c r="A63" s="56" t="inlineStr">
        <is>
          <t>5</t>
        </is>
      </c>
      <c r="B63" s="56" t="inlineStr">
        <is>
          <t>Carga ganadera estimada</t>
        </is>
      </c>
      <c r="C63" s="56" t="inlineStr">
        <is>
          <t>UA/ha</t>
        </is>
      </c>
      <c r="D63" s="56" t="inlineStr"/>
      <c r="E63" s="56" t="inlineStr"/>
      <c r="F63" s="56" t="inlineStr">
        <is>
          <t>Según tipo de ecosistema</t>
        </is>
      </c>
      <c r="G63" s="56" t="inlineStr"/>
    </row>
    <row r="64">
      <c r="A64" s="57" t="inlineStr">
        <is>
          <t>6</t>
        </is>
      </c>
      <c r="B64" s="57" t="inlineStr">
        <is>
          <t>Frecuencia de quemas últimos 5 años</t>
        </is>
      </c>
      <c r="C64" s="57" t="inlineStr">
        <is>
          <t>N°</t>
        </is>
      </c>
      <c r="D64" s="57" t="inlineStr"/>
      <c r="E64" s="57" t="inlineStr"/>
      <c r="F64" s="57" t="inlineStr">
        <is>
          <t>0 nulo; 1-2 medio; &gt;2 alto</t>
        </is>
      </c>
      <c r="G64" s="57" t="inlineStr"/>
    </row>
    <row r="65">
      <c r="A65" s="56" t="inlineStr">
        <is>
          <t>7</t>
        </is>
      </c>
      <c r="B65" s="56" t="inlineStr">
        <is>
          <t>% área con pendiente &gt;50%</t>
        </is>
      </c>
      <c r="C65" s="56" t="inlineStr">
        <is>
          <t>%</t>
        </is>
      </c>
      <c r="D65" s="56" t="inlineStr"/>
      <c r="E65" s="56" t="inlineStr">
        <is>
          <t>Perfil de elevación Google Earth (media 42 %, máx 67 %)</t>
        </is>
      </c>
      <c r="F65" s="56" t="inlineStr">
        <is>
          <t>Factor de susceptibilidad</t>
        </is>
      </c>
      <c r="G65" s="56" t="inlineStr">
        <is>
          <t>Alto</t>
        </is>
      </c>
    </row>
    <row r="66">
      <c r="A66" s="57" t="inlineStr">
        <is>
          <t>8</t>
        </is>
      </c>
      <c r="B66" s="57" t="inlineStr">
        <is>
          <t>Distancia a vía vecinal más cercana</t>
        </is>
      </c>
      <c r="C66" s="57" t="inlineStr">
        <is>
          <t>m</t>
        </is>
      </c>
      <c r="D66" s="57" t="inlineStr">
        <is>
          <t>0</t>
        </is>
      </c>
      <c r="E66" s="57" t="inlineStr">
        <is>
          <t>Trocha carrozable bordea/atraviesa el bloque</t>
        </is>
      </c>
      <c r="F66" s="57" t="inlineStr">
        <is>
          <t>A menor distancia → mayor presión</t>
        </is>
      </c>
      <c r="G66" s="57" t="inlineStr">
        <is>
          <t>Alto</t>
        </is>
      </c>
    </row>
    <row r="68">
      <c r="A68" s="54" t="inlineStr">
        <is>
          <t>F-DT-05 · FUENTES DE AGUA INVENTARIADAS</t>
        </is>
      </c>
    </row>
    <row r="69">
      <c r="A69" s="55" t="inlineStr">
        <is>
          <t>N.o</t>
        </is>
      </c>
      <c r="B69" s="55" t="inlineStr">
        <is>
          <t>Tipo de fuente</t>
        </is>
      </c>
      <c r="C69" s="55" t="inlineStr">
        <is>
          <t>UTM ESTE</t>
        </is>
      </c>
      <c r="D69" s="55" t="inlineStr">
        <is>
          <t>UTM NORTE</t>
        </is>
      </c>
      <c r="E69" s="55" t="inlineStr">
        <is>
          <t>Régimen</t>
        </is>
      </c>
      <c r="F69" s="55" t="inlineStr">
        <is>
          <t>Calidad</t>
        </is>
      </c>
      <c r="G69" s="55" t="inlineStr">
        <is>
          <t>Distancia (m)</t>
        </is>
      </c>
      <c r="H69" s="55" t="inlineStr">
        <is>
          <t>Uso / observación</t>
        </is>
      </c>
    </row>
    <row r="70">
      <c r="A70" s="56" t="inlineStr">
        <is>
          <t>1</t>
        </is>
      </c>
      <c r="B70" s="56" t="inlineStr">
        <is>
          <t>Quebrada estacional</t>
        </is>
      </c>
      <c r="C70" s="61" t="n">
        <v>649669</v>
      </c>
      <c r="D70" s="61" t="n">
        <v>9425248</v>
      </c>
      <c r="E70" s="56" t="inlineStr"/>
      <c r="F70" s="56" t="inlineStr"/>
      <c r="G70" s="56" t="n"/>
      <c r="H70" s="56" t="inlineStr">
        <is>
          <t>Sector húmedo con platanales (F-16); régimen y calidad por verificar.</t>
        </is>
      </c>
    </row>
    <row r="73">
      <c r="A73" s="54" t="inlineStr">
        <is>
          <t>OBSERVACIONES DEL EVALUADOR POR FICHA</t>
        </is>
      </c>
    </row>
    <row r="74">
      <c r="A74" s="55" t="inlineStr">
        <is>
          <t>Ficha</t>
        </is>
      </c>
      <c r="B74" s="55" t="inlineStr">
        <is>
          <t>Observación registrada en campo</t>
        </is>
      </c>
    </row>
    <row r="75">
      <c r="A75" s="56" t="inlineStr">
        <is>
          <t>F-DT-01</t>
        </is>
      </c>
      <c r="B75" s="56" t="inlineStr">
        <is>
          <t>Bloque clasificado por MINAM como Zona agrícola (100 %); en campo es un mosaico agroforestal húmedo con relictos de bosque montano. Sector rotulado ≈ 80 % de pendiente (Foto F-04). Coordenadas de referencia = centroide del bloque. Altitud GPS, hora de registro y comunidad campesina: por verificar.</t>
        </is>
      </c>
    </row>
    <row r="76">
      <c r="A76" s="57" t="inlineStr">
        <is>
          <t>F-DT-02</t>
        </is>
      </c>
      <c r="B76" s="57" t="inlineStr">
        <is>
          <t>Erosión localizada en taludes de corte de la trocha (F-05) y en sector de pendiente extrema ≈ 80 % (F-04); rebrotes de molle colonizan el talud (F-06). La densa cobertura vegetal (MSAVI 0,673) limita la erosión laminar. Dimensiones instrumentales (longitud, profundidad, ancho), N° y % de cárcavas por levantar.</t>
        </is>
      </c>
    </row>
    <row r="77">
      <c r="A77" s="56" t="inlineStr">
        <is>
          <t>F-DT-03</t>
        </is>
      </c>
      <c r="B77" s="56" t="inlineStr">
        <is>
          <t>La capa MINAM clasifica la totalidad del bloque como Zona agrícola (100 %; 46,96 ha). En campo predomina un mosaico agroforestal húmedo (SAF de café bajo sombra), matorral y relictos de bosque montano de vertiente occidental. Nogal, Roble y Cedro de altura se registran como referencias (mención/avistamiento no confirmado con colección). Lista florística PRELIMINAR sujeta a determinación botánica formal. Cultivos en propiedad privada (cercos): café, plátano, maíz, caña de azúcar y papaya.</t>
        </is>
      </c>
    </row>
    <row r="78">
      <c r="A78" s="57" t="inlineStr">
        <is>
          <t>F-DT-05</t>
        </is>
      </c>
      <c r="B78" s="57" t="inlineStr">
        <is>
          <t>Zona de origen y recarga de la microcuenca C1081-Q9591. Alta humedad (bromeliáceas epífitas, helechos abundantes, platanales, neblina). El C.P. La Laguna cuenta con energía eléctrica. Manantiales/JASS, distancia a captación, tiempos de viaje, señal celular y autorización de Ronda Campesina: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26</t>
        </is>
      </c>
    </row>
    <row r="7">
      <c r="A7" s="54" t="inlineStr">
        <is>
          <t>Hechos declarados por fuente</t>
        </is>
      </c>
    </row>
    <row r="8">
      <c r="A8" s="55" t="inlineStr">
        <is>
          <t>Fuente</t>
        </is>
      </c>
      <c r="B8" s="55" t="inlineStr">
        <is>
          <t>Hechos</t>
        </is>
      </c>
    </row>
    <row r="9">
      <c r="A9" s="56" t="inlineStr">
        <is>
          <t>Dato de campo</t>
        </is>
      </c>
      <c r="B9" s="56" t="n">
        <v>50</v>
      </c>
    </row>
    <row r="10">
      <c r="A10" s="57" t="inlineStr">
        <is>
          <t>Gabinete (GIS / teledetección)</t>
        </is>
      </c>
      <c r="B10" s="57" t="n">
        <v>26</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85</v>
      </c>
    </row>
    <row r="29">
      <c r="A29" s="57" t="inlineStr">
        <is>
          <t>COMPLEMENTADO</t>
        </is>
      </c>
      <c r="B29" s="57" t="n">
        <v>5</v>
      </c>
    </row>
    <row r="30">
      <c r="A30" s="56" t="inlineStr">
        <is>
          <t>ACTUALIZADO</t>
        </is>
      </c>
      <c r="B30" s="56" t="n">
        <v>0</v>
      </c>
    </row>
    <row r="31">
      <c r="A31" s="57" t="inlineStr">
        <is>
          <t>DISCREPANTE</t>
        </is>
      </c>
      <c r="B31" s="57" t="n">
        <v>0</v>
      </c>
    </row>
    <row r="32">
      <c r="A32" s="56" t="inlineStr">
        <is>
          <t>PENDIENTE</t>
        </is>
      </c>
      <c r="B32" s="56" t="n">
        <v>24</v>
      </c>
    </row>
    <row r="45">
      <c r="A45" s="54" t="inlineStr">
        <is>
          <t>Cobertura por estrato — campo (%)</t>
        </is>
      </c>
    </row>
    <row r="46">
      <c r="A46" s="55" t="inlineStr">
        <is>
          <t>Estrato</t>
        </is>
      </c>
      <c r="B46" s="55" t="inlineStr">
        <is>
          <t>% del área</t>
        </is>
      </c>
    </row>
    <row r="47">
      <c r="A47" s="56" t="inlineStr">
        <is>
          <t>Suelo desnudo</t>
        </is>
      </c>
      <c r="B47"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Erosión natural severa</t>
        </is>
      </c>
      <c r="B67" s="57" t="n">
        <v>2</v>
      </c>
    </row>
    <row r="68">
      <c r="A68" s="56" t="inlineStr">
        <is>
          <t>Expansión urbana / vial</t>
        </is>
      </c>
      <c r="B68" s="56" t="n">
        <v>2</v>
      </c>
    </row>
    <row r="69">
      <c r="A69" s="57" t="inlineStr">
        <is>
          <t>Cambio de uso a pastoreo</t>
        </is>
      </c>
      <c r="B69" s="57" t="n">
        <v>1</v>
      </c>
    </row>
    <row r="70">
      <c r="A70" s="56" t="inlineStr">
        <is>
          <t>Especies invasoras</t>
        </is>
      </c>
      <c r="B70" s="56" t="n">
        <v>1</v>
      </c>
    </row>
    <row r="71">
      <c r="A71" s="57" t="inlineStr">
        <is>
          <t>Sobrepastoreo (caprino/vacuno)</t>
        </is>
      </c>
      <c r="B71" s="57" t="n">
        <v>1</v>
      </c>
    </row>
    <row r="72">
      <c r="A72" s="56" t="inlineStr">
        <is>
          <t>Tala para madera</t>
        </is>
      </c>
      <c r="B72" s="56" t="n">
        <v>1</v>
      </c>
    </row>
    <row r="83">
      <c r="A83" s="54" t="inlineStr">
        <is>
          <t>Control de consistencia por calificación</t>
        </is>
      </c>
    </row>
    <row r="84">
      <c r="A84" s="55" t="inlineStr">
        <is>
          <t>Calificación</t>
        </is>
      </c>
      <c r="B84" s="55" t="inlineStr">
        <is>
          <t>Verificaciones</t>
        </is>
      </c>
    </row>
    <row r="85">
      <c r="A85" s="56" t="inlineStr">
        <is>
          <t>SUSTANTIVA</t>
        </is>
      </c>
      <c r="B85" s="56" t="n">
        <v>1</v>
      </c>
    </row>
    <row r="86">
      <c r="A86" s="57" t="inlineStr">
        <is>
          <t>NO SUSTANTIVA</t>
        </is>
      </c>
      <c r="B86" s="57" t="n">
        <v>3</v>
      </c>
    </row>
    <row r="87">
      <c r="A87" s="56" t="inlineStr">
        <is>
          <t>CORREGIDO</t>
        </is>
      </c>
      <c r="B87" s="56" t="n">
        <v>0</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26 — IN Piura</dc:title>
  <dc:subject>Diagnóstico Territorial por bloque de intervención</dc:subject>
  <dcterms:created xsi:type="dcterms:W3CDTF">2026-09-08T03:39:56Z</dcterms:created>
  <dcterms:modified xsi:type="dcterms:W3CDTF">2026-09-11T21:26:24Z</dcterms:modified>
</cp:coreProperties>
</file>