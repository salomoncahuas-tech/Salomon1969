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integración'!$A$74:$A$83</f>
            </numRef>
          </cat>
          <val>
            <numRef>
              <f>'Gráficos de integración'!$B$74:$B$83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integración'!B101</f>
            </strRef>
          </tx>
          <spPr>
            <a:ln>
              <a:prstDash val="solid"/>
            </a:ln>
          </spPr>
          <cat>
            <numRef>
              <f>'Gráficos de integración'!$A$102:$A$105</f>
            </numRef>
          </cat>
          <val>
            <numRef>
              <f>'Gráficos de integración'!$B$102:$B$105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100</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52</t>
        </is>
      </c>
    </row>
    <row r="6" ht="24" customHeight="1">
      <c r="A6" s="4" t="inlineStr">
        <is>
          <t>Diagnóstico Territorial — Plantilla DT Campo Check Validada V5 | Sistema de referencia: UTM WGS 84 Zona 17S (EPSG:32717) · Integrado con la ficha de campo F-DT vigente (FDT_B52_Diagnostico_Territorial.xlsx) — V7 - resumen V6 + campo F-DT integrado</t>
        </is>
      </c>
    </row>
    <row r="7"/>
    <row r="8" ht="18" customHeight="1">
      <c r="A8" s="5" t="inlineStr">
        <is>
          <t>1. IDENTIFICACIÓN Y LOCALIZACIÓN</t>
        </is>
      </c>
    </row>
    <row r="9">
      <c r="A9" s="6" t="inlineStr">
        <is>
          <t>Código del bloque</t>
        </is>
      </c>
      <c r="B9" s="7" t="inlineStr">
        <is>
          <t>52</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Miraflores</t>
        </is>
      </c>
      <c r="C13" s="6" t="inlineStr">
        <is>
          <t>Comunidad campesina</t>
        </is>
      </c>
      <c r="D13" s="7" t="inlineStr">
        <is>
          <t>C.C. Yamango - Sector Miraflores</t>
        </is>
      </c>
      <c r="E13" s="8" t="n"/>
      <c r="F13" s="8" t="n"/>
    </row>
    <row r="14">
      <c r="A14" s="6" t="inlineStr">
        <is>
          <t>Superficie de catálogo (V5/V6), ha</t>
        </is>
      </c>
      <c r="B14" s="7" t="n">
        <v>11.06</v>
      </c>
      <c r="C14" s="6" t="inlineStr">
        <is>
          <t>Fuente de superficie</t>
        </is>
      </c>
      <c r="D14" s="7" t="inlineStr">
        <is>
          <t>Catálogo maestro Bloques V5/V6</t>
        </is>
      </c>
      <c r="E14" s="8" t="n"/>
      <c r="F14" s="8" t="n"/>
    </row>
    <row r="15">
      <c r="A15" s="6" t="inlineStr">
        <is>
          <t>Centroide UTM ESTE (m)</t>
        </is>
      </c>
      <c r="B15" s="7" t="n">
        <v>641522</v>
      </c>
      <c r="C15" s="6" t="inlineStr">
        <is>
          <t>Centroide UTM NORTE (m)</t>
        </is>
      </c>
      <c r="D15" s="7" t="n">
        <v>9438064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3011</v>
      </c>
      <c r="C19" s="6" t="inlineStr">
        <is>
          <t>Altitud máxima (msnm)</t>
        </is>
      </c>
      <c r="D19" s="7" t="n">
        <v>3164</v>
      </c>
      <c r="E19" s="8" t="n"/>
      <c r="F19" s="8" t="n"/>
    </row>
    <row r="20">
      <c r="A20" s="6" t="inlineStr">
        <is>
          <t>Amplitud altitudinal (m)</t>
        </is>
      </c>
      <c r="B20" s="7" t="n">
        <v>153</v>
      </c>
      <c r="C20" s="6" t="inlineStr">
        <is>
          <t>Piso altitudinal dominante</t>
        </is>
      </c>
      <c r="D20" s="7" t="inlineStr">
        <is>
          <t>3000-3500 m (Puna baja)</t>
        </is>
      </c>
      <c r="E20" s="8" t="n"/>
      <c r="F20" s="8" t="n"/>
    </row>
    <row r="21">
      <c r="A21" s="6" t="inlineStr">
        <is>
          <t>Pendiente promedio (%)</t>
        </is>
      </c>
      <c r="B21" s="7" t="n">
        <v>26.16</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0.6685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(97.32 %)</t>
        </is>
      </c>
      <c r="E29" s="8" t="n"/>
      <c r="F29" s="8" t="n"/>
    </row>
    <row r="30">
      <c r="A30" s="6" t="inlineStr">
        <is>
          <t>Superficie clasificada NDVI 2025 (ha)</t>
        </is>
      </c>
      <c r="B30" s="7" t="n">
        <v>11.063</v>
      </c>
      <c r="C30" s="6" t="inlineStr">
        <is>
          <t>Desviación frente al catálogo (%)</t>
        </is>
      </c>
      <c r="D30" s="7" t="n">
        <v>0.02</v>
      </c>
      <c r="E30" s="8" t="n"/>
      <c r="F30" s="8" t="n"/>
    </row>
    <row r="31">
      <c r="A31" s="6" t="inlineStr">
        <is>
          <t>Superficie clasificada MSAVI 2024 (ha)</t>
        </is>
      </c>
      <c r="B31" s="38" t="n">
        <v>11.059</v>
      </c>
      <c r="C31" s="6" t="inlineStr">
        <is>
          <t>Desviación MSAVI frente al catálogo (%)</t>
        </is>
      </c>
      <c r="D31" s="39" t="n">
        <v>-0.01</v>
      </c>
      <c r="E31" s="8" t="n"/>
      <c r="F31" s="8" t="n"/>
    </row>
    <row r="32">
      <c r="A32" s="6" t="inlineStr">
        <is>
          <t>Superficie bajo umbral MSAVI 0.4976 (ha)</t>
        </is>
      </c>
      <c r="B32" s="38" t="n">
        <v>0.42</v>
      </c>
      <c r="C32" s="6" t="inlineStr">
        <is>
          <t>% del bloque bajo umbral (brecha espectral)</t>
        </is>
      </c>
      <c r="D32" s="39" t="n">
        <v>3.8</v>
      </c>
      <c r="E32" s="8" t="n"/>
      <c r="F32" s="8" t="n"/>
    </row>
    <row r="33">
      <c r="A33" s="6" t="inlineStr">
        <is>
          <t>Clase DN dominante (MSAVI 2024)</t>
        </is>
      </c>
      <c r="B33" s="7" t="inlineStr">
        <is>
          <t>DN 5 · &gt; 0.6139 (Vigor alto)</t>
        </is>
      </c>
      <c r="C33" s="6" t="inlineStr">
        <is>
          <t>N.° de polígonos MSAVI del bloque</t>
        </is>
      </c>
      <c r="D33" s="40" t="n">
        <v>40</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11.06 ha</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50" t="inlineStr">
        <is>
          <t>70</t>
        </is>
      </c>
      <c r="E38" s="8" t="n"/>
      <c r="F38" s="8" t="n"/>
    </row>
    <row r="39">
      <c r="A39" s="6" t="inlineStr">
        <is>
          <t>Suelo desnudo — campo (%)</t>
        </is>
      </c>
      <c r="B39" s="7" t="n">
        <v>12</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 Cahuas M. / Ing. Juan C. Domínguez V. / Biól. Abel Aucasime O.</t>
        </is>
      </c>
      <c r="C44" s="6" t="inlineStr">
        <is>
          <t>Fecha de evaluación</t>
        </is>
      </c>
      <c r="D44" s="7" t="inlineStr">
        <is>
          <t>2026-05-26</t>
        </is>
      </c>
      <c r="E44" s="8" t="n"/>
      <c r="F44" s="8" t="n"/>
    </row>
    <row r="45">
      <c r="A45" s="6" t="inlineStr">
        <is>
          <t>Hora de registro</t>
        </is>
      </c>
      <c r="B45" s="7" t="inlineStr">
        <is>
          <t>12:38</t>
        </is>
      </c>
      <c r="C45" s="6" t="inlineStr">
        <is>
          <t>Correlativo de ficha</t>
        </is>
      </c>
      <c r="D45" s="7" t="inlineStr">
        <is>
          <t>DT-B52-2026-05</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t>
        </is>
      </c>
      <c r="E47" s="8" t="n"/>
      <c r="F47" s="8" t="n"/>
    </row>
    <row r="48">
      <c r="A48" s="6" t="inlineStr">
        <is>
          <t>Estaciones fotográficas georreferenciadas</t>
        </is>
      </c>
      <c r="B48" s="7" t="n">
        <v>14</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50" t="inlineStr">
        <is>
          <t>Modelo ganadero tradicional extensivo de subsistencia, débil diversificación productiva en cabeceras y ausencia de incentivos para mantener cobertura forestal en predios privados.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7.7288</v>
      </c>
      <c r="C10" s="31">
        <f>ROUND(B10/$B$15*100,2)</f>
        <v/>
      </c>
      <c r="D10" s="12" t="inlineStr">
        <is>
          <t>Vigor alto</t>
        </is>
      </c>
      <c r="E10" s="12" t="inlineStr">
        <is>
          <t>Sobre umbral</t>
        </is>
      </c>
    </row>
    <row r="11">
      <c r="A11" s="13" t="inlineStr">
        <is>
          <t>0.4976 - 0.6139 · DN 4</t>
        </is>
      </c>
      <c r="B11" s="20" t="n">
        <v>2.9107</v>
      </c>
      <c r="C11" s="21">
        <f>ROUND(B11/$B$15*100,2)</f>
        <v/>
      </c>
      <c r="D11" s="14" t="inlineStr">
        <is>
          <t>Vigor moderado</t>
        </is>
      </c>
      <c r="E11" s="14" t="inlineStr">
        <is>
          <t>Sobre umbral</t>
        </is>
      </c>
    </row>
    <row r="12">
      <c r="A12" s="7" t="inlineStr">
        <is>
          <t>0.3813 - 0.4976 · DN 3</t>
        </is>
      </c>
      <c r="B12" s="18" t="n">
        <v>0.4199</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40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11.06</v>
      </c>
      <c r="C18" s="49" t="inlineStr">
        <is>
          <t>—</t>
        </is>
      </c>
      <c r="D18" s="46" t="inlineStr">
        <is>
          <t>Desviación planimétrica frente al catálogo</t>
        </is>
      </c>
      <c r="E18" s="46" t="inlineStr">
        <is>
          <t>-0.01 %</t>
        </is>
      </c>
    </row>
    <row r="19">
      <c r="A19" s="16" t="inlineStr">
        <is>
          <t>MSAVI 2024 — MEDIA DEL BLOQUE</t>
        </is>
      </c>
      <c r="B19" s="17" t="n">
        <v>0.66855</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(0.6685)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10.7659</v>
      </c>
      <c r="C25" s="19" t="n">
        <v>97.31999999999999</v>
      </c>
      <c r="D25" s="15" t="inlineStr">
        <is>
          <t>Dosel continuo, matorral denso o mosaico agroforestal</t>
        </is>
      </c>
      <c r="E25" s="15" t="inlineStr"/>
    </row>
    <row r="26">
      <c r="A26" s="13" t="inlineStr">
        <is>
          <t>Vegetación mediana</t>
        </is>
      </c>
      <c r="B26" s="20" t="n">
        <v>0.2969</v>
      </c>
      <c r="C26" s="21" t="n">
        <v>2.68</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11.06</v>
      </c>
      <c r="C28" s="25" t="inlineStr">
        <is>
          <t>—</t>
        </is>
      </c>
      <c r="D28" s="25" t="inlineStr">
        <is>
          <t>Desviación planimétrica frente al catálogo</t>
        </is>
      </c>
      <c r="E28" s="25" t="inlineStr">
        <is>
          <t>+0.02 %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97.32 % del polígono clasificado como «Vegetación alta» por el NDVI 2025; la observación de campo corresponde a una parcela o recorrido puntual y no es estadísticamente representativa de las 11.060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52</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9437881</v>
      </c>
      <c r="E10" s="15" t="n">
        <v>4057.1</v>
      </c>
      <c r="F10" s="15" t="inlineStr"/>
      <c r="G10" s="15" t="inlineStr">
        <is>
          <t>Coordenada consignada en F-DT-01</t>
        </is>
      </c>
    </row>
    <row r="11">
      <c r="A11" s="13" t="inlineStr">
        <is>
          <t>C-01</t>
        </is>
      </c>
      <c r="B11" s="14" t="inlineStr">
        <is>
          <t>Rasgo erosivo — Surco (&lt;30 cm)</t>
        </is>
      </c>
      <c r="C11" s="27" t="n">
        <v>641610</v>
      </c>
      <c r="D11" s="27" t="n">
        <v>9437872</v>
      </c>
      <c r="E11" s="14" t="n">
        <v>211.2</v>
      </c>
      <c r="F11" s="14" t="inlineStr">
        <is>
          <t>Activa</t>
        </is>
      </c>
      <c r="G11" s="14" t="inlineStr">
        <is>
          <t>Caminos / huellas de ganado</t>
        </is>
      </c>
    </row>
    <row r="12">
      <c r="A12" s="7" t="inlineStr">
        <is>
          <t>C-02</t>
        </is>
      </c>
      <c r="B12" s="15" t="inlineStr">
        <is>
          <t>Rasgo erosivo — Cárcava incipiente (30-50 cm)</t>
        </is>
      </c>
      <c r="C12" s="26" t="n">
        <v>641586</v>
      </c>
      <c r="D12" s="26" t="n">
        <v>9437832</v>
      </c>
      <c r="E12" s="15" t="n">
        <v>240.7</v>
      </c>
      <c r="F12" s="15" t="inlineStr">
        <is>
          <t>Semi-activa</t>
        </is>
      </c>
      <c r="G12" s="15" t="inlineStr">
        <is>
          <t>Sobrepastoreo</t>
        </is>
      </c>
    </row>
    <row r="13">
      <c r="A13" s="13" t="inlineStr">
        <is>
          <t>C-03</t>
        </is>
      </c>
      <c r="B13" s="14" t="inlineStr">
        <is>
          <t>Rasgo erosivo — Cárcava somera (0.5-2 m)</t>
        </is>
      </c>
      <c r="C13" s="27" t="n">
        <v>641360</v>
      </c>
      <c r="D13" s="27" t="n">
        <v>9437903</v>
      </c>
      <c r="E13" s="14" t="n">
        <v>228.4</v>
      </c>
      <c r="F13" s="14" t="inlineStr">
        <is>
          <t>Activa</t>
        </is>
      </c>
      <c r="G13" s="14" t="inlineStr">
        <is>
          <t>Concentración natural de escorrentía</t>
        </is>
      </c>
    </row>
    <row r="14">
      <c r="A14" s="7" t="inlineStr">
        <is>
          <t>H-01</t>
        </is>
      </c>
      <c r="B14" s="15" t="inlineStr">
        <is>
          <t>Fuente de agua — Quebrada estacional</t>
        </is>
      </c>
      <c r="C14" s="26" t="n">
        <v>641450</v>
      </c>
      <c r="D14" s="26" t="n">
        <v>9438050</v>
      </c>
      <c r="E14" s="15" t="n">
        <v>73.3</v>
      </c>
      <c r="F14" s="15" t="inlineStr">
        <is>
          <t>Estacional (lluvias)</t>
        </is>
      </c>
      <c r="G14" s="15" t="inlineStr">
        <is>
          <t>Drenaje natural Q9575</t>
        </is>
      </c>
    </row>
    <row r="15">
      <c r="A15" s="13" t="inlineStr">
        <is>
          <t>H-02</t>
        </is>
      </c>
      <c r="B15" s="14" t="inlineStr">
        <is>
          <t>Fuente de agua — Manantial / Puquio</t>
        </is>
      </c>
      <c r="C15" s="27" t="n">
        <v>641680</v>
      </c>
      <c r="D15" s="27" t="n">
        <v>9437950</v>
      </c>
      <c r="E15" s="14" t="n">
        <v>194.8</v>
      </c>
      <c r="F15" s="14" t="inlineStr">
        <is>
          <t>Permanente</t>
        </is>
      </c>
      <c r="G15" s="14" t="inlineStr">
        <is>
          <t>Manantial pequeño dentro del bloque</t>
        </is>
      </c>
    </row>
    <row r="16">
      <c r="A16" s="7" t="inlineStr">
        <is>
          <t>B-01</t>
        </is>
      </c>
      <c r="B16" s="15" t="inlineStr">
        <is>
          <t>Especie clave — Polylepis racemosa (Queñual)</t>
        </is>
      </c>
      <c r="C16" s="26" t="n">
        <v>641675</v>
      </c>
      <c r="D16" s="26" t="n">
        <v>9437943</v>
      </c>
      <c r="E16" s="15" t="n">
        <v>195.1</v>
      </c>
      <c r="F16" s="15" t="inlineStr">
        <is>
          <t>Amenazada D.S. 043</t>
        </is>
      </c>
      <c r="G16" s="15" t="inlineStr">
        <is>
          <t>VU — Vulnerable</t>
        </is>
      </c>
    </row>
    <row r="17">
      <c r="A17" s="13" t="inlineStr">
        <is>
          <t>B-02</t>
        </is>
      </c>
      <c r="B17" s="14" t="inlineStr">
        <is>
          <t>Especie clave — Juglans neotropica (Nogal)</t>
        </is>
      </c>
      <c r="C17" s="27" t="n">
        <v>641675</v>
      </c>
      <c r="D17" s="27" t="n">
        <v>9437943</v>
      </c>
      <c r="E17" s="14" t="n">
        <v>195.1</v>
      </c>
      <c r="F17" s="14" t="inlineStr">
        <is>
          <t>Amenazada D.S. 043</t>
        </is>
      </c>
      <c r="G17" s="14" t="inlineStr">
        <is>
          <t>EN — En Peligro</t>
        </is>
      </c>
    </row>
    <row r="18">
      <c r="A18" s="7" t="inlineStr">
        <is>
          <t>B-03</t>
        </is>
      </c>
      <c r="B18" s="15" t="inlineStr">
        <is>
          <t>Especie clave — Cedrela montana (Cedro)</t>
        </is>
      </c>
      <c r="C18" s="26" t="n">
        <v>641675</v>
      </c>
      <c r="D18" s="26" t="n">
        <v>9437943</v>
      </c>
      <c r="E18" s="15" t="n">
        <v>195.1</v>
      </c>
      <c r="F18" s="15" t="inlineStr">
        <is>
          <t>Amenazada D.S. 043</t>
        </is>
      </c>
      <c r="G18" s="15" t="inlineStr">
        <is>
          <t>VU — Vulnerable</t>
        </is>
      </c>
    </row>
    <row r="19">
      <c r="A19" s="13" t="inlineStr">
        <is>
          <t>B-04</t>
        </is>
      </c>
      <c r="B19" s="14" t="inlineStr">
        <is>
          <t>Especie clave — Podocarpus oleifolius (Romerillo)</t>
        </is>
      </c>
      <c r="C19" s="27" t="n">
        <v>641675</v>
      </c>
      <c r="D19" s="27" t="n">
        <v>9437943</v>
      </c>
      <c r="E19" s="14" t="n">
        <v>195.1</v>
      </c>
      <c r="F19" s="14" t="inlineStr">
        <is>
          <t>Amenazada D.S. 043</t>
        </is>
      </c>
      <c r="G19" s="14" t="inlineStr">
        <is>
          <t>NT — Casi Amenazado</t>
        </is>
      </c>
    </row>
    <row r="20">
      <c r="A20" s="7" t="inlineStr">
        <is>
          <t>B-05</t>
        </is>
      </c>
      <c r="B20" s="15" t="inlineStr">
        <is>
          <t>Especie clave — Alnus acuminata (Aliso)</t>
        </is>
      </c>
      <c r="C20" s="26" t="n">
        <v>641618</v>
      </c>
      <c r="D20" s="26" t="n">
        <v>9437881</v>
      </c>
      <c r="E20" s="15" t="n">
        <v>206.7</v>
      </c>
      <c r="F20" s="15" t="inlineStr">
        <is>
          <t>Indicadora de buen estado</t>
        </is>
      </c>
      <c r="G20" s="15" t="inlineStr">
        <is>
          <t>LC</t>
        </is>
      </c>
    </row>
    <row r="21">
      <c r="A21" s="13" t="inlineStr">
        <is>
          <t>B-06</t>
        </is>
      </c>
      <c r="B21" s="14" t="inlineStr">
        <is>
          <t>Especie clave — Vaccinium sp. (Pushgay)</t>
        </is>
      </c>
      <c r="C21" s="27" t="n">
        <v>641675</v>
      </c>
      <c r="D21" s="27" t="n">
        <v>9437943</v>
      </c>
      <c r="E21" s="14" t="n">
        <v>195.1</v>
      </c>
      <c r="F21" s="14" t="inlineStr">
        <is>
          <t>Indicadora de buen estado</t>
        </is>
      </c>
      <c r="G21" s="14" t="inlineStr">
        <is>
          <t>LC</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641522</v>
      </c>
      <c r="C24" s="6" t="inlineStr">
        <is>
          <t>Centroide del bloque — UTM NORTE (m)</t>
        </is>
      </c>
      <c r="D24" s="7" t="n">
        <v>9438064</v>
      </c>
      <c r="E24" s="8" t="n"/>
      <c r="F24" s="8" t="n"/>
      <c r="G24" s="8" t="n"/>
      <c r="H24" s="8" t="n"/>
    </row>
    <row r="25">
      <c r="A25" s="6" t="inlineStr">
        <is>
          <t>N.° de estaciones fotográficas declaradas</t>
        </is>
      </c>
      <c r="B25" s="7" t="n">
        <v>14</v>
      </c>
      <c r="C25" s="6" t="inlineStr">
        <is>
          <t>Estaciones dentro del polígono</t>
        </is>
      </c>
      <c r="D25" s="7" t="inlineStr">
        <is>
          <t>Por determinar</t>
        </is>
      </c>
      <c r="E25" s="8" t="n"/>
      <c r="F25" s="8" t="n"/>
      <c r="G25" s="8" t="n"/>
      <c r="H25" s="8" t="n"/>
    </row>
    <row r="27" ht="108"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Cluster de bloques B52-B49-B55 en microcuenca C1086-Q9575 (zona Z09). Acceso por carretera departamental PI-124 (Yamango-Choco) y trocha vecinal afirmada; ingreso al polígono a pie desde el lado sur. Pendiente media observada en transectos: 24.3% y 32.9%; máxima local 55.9% (sector noreste). El talud de la trocha presenta evidencia de DERRUMBE COLUVIAL RECIENTE.</t>
        </is>
      </c>
      <c r="B27" s="41" t="n"/>
      <c r="C27" s="41" t="n"/>
      <c r="D27" s="41" t="n"/>
      <c r="E27" s="41" t="n"/>
      <c r="F27" s="41" t="n"/>
      <c r="G27" s="42"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52</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8" t="n">
        <v>283.43</v>
      </c>
      <c r="C10" s="19" t="n">
        <v>58.52</v>
      </c>
      <c r="D10" s="15" t="inlineStr">
        <is>
          <t>297 – 634</t>
        </is>
      </c>
      <c r="E10" s="15" t="n">
        <v>337</v>
      </c>
      <c r="F10" s="15" t="n">
        <v>13.75</v>
      </c>
      <c r="G10" s="18" t="n">
        <v>0.4275</v>
      </c>
      <c r="H10" s="19" t="n">
        <v>18.09</v>
      </c>
      <c r="I10" s="19" t="n">
        <v>74.81</v>
      </c>
    </row>
    <row r="11">
      <c r="A11" s="13" t="inlineStr">
        <is>
          <t>M28B2</t>
        </is>
      </c>
      <c r="B11" s="29" t="n">
        <v>90.2</v>
      </c>
      <c r="C11" s="21" t="n">
        <v>18.62</v>
      </c>
      <c r="D11" s="14" t="inlineStr">
        <is>
          <t>754 – 1111</t>
        </is>
      </c>
      <c r="E11" s="14" t="n">
        <v>357</v>
      </c>
      <c r="F11" s="14" t="n">
        <v>20.65</v>
      </c>
      <c r="G11" s="20" t="n">
        <v>0.4753</v>
      </c>
      <c r="H11" s="21" t="n">
        <v>37.12</v>
      </c>
      <c r="I11" s="21" t="n">
        <v>62.19</v>
      </c>
    </row>
    <row r="12">
      <c r="A12" s="7" t="inlineStr">
        <is>
          <t>M28B3</t>
        </is>
      </c>
      <c r="B12" s="28" t="n">
        <v>58.29</v>
      </c>
      <c r="C12" s="19" t="n">
        <v>12.04</v>
      </c>
      <c r="D12" s="15" t="inlineStr">
        <is>
          <t>73 – 777</t>
        </is>
      </c>
      <c r="E12" s="15" t="n">
        <v>704</v>
      </c>
      <c r="F12" s="15" t="n">
        <v>22.13</v>
      </c>
      <c r="G12" s="18" t="n">
        <v>0.5075</v>
      </c>
      <c r="H12" s="19" t="n">
        <v>45.27</v>
      </c>
      <c r="I12" s="19" t="n">
        <v>49.67</v>
      </c>
    </row>
    <row r="13">
      <c r="A13" s="13" t="inlineStr">
        <is>
          <t>46</t>
        </is>
      </c>
      <c r="B13" s="29" t="n">
        <v>18.87</v>
      </c>
      <c r="C13" s="21" t="n">
        <v>3.9</v>
      </c>
      <c r="D13" s="14" t="inlineStr">
        <is>
          <t>1371 – 1655</t>
        </is>
      </c>
      <c r="E13" s="14" t="n">
        <v>284</v>
      </c>
      <c r="F13" s="14" t="n">
        <v>31.77</v>
      </c>
      <c r="G13" s="20" t="n">
        <v>0.7244</v>
      </c>
      <c r="H13" s="21" t="inlineStr">
        <is>
          <t>Por determinar</t>
        </is>
      </c>
      <c r="I13" s="14" t="inlineStr">
        <is>
          <t>s/d</t>
        </is>
      </c>
    </row>
    <row r="14">
      <c r="A14" s="7" t="inlineStr">
        <is>
          <t>49</t>
        </is>
      </c>
      <c r="B14" s="28" t="n">
        <v>15.84</v>
      </c>
      <c r="C14" s="19" t="n">
        <v>3.27</v>
      </c>
      <c r="D14" s="15" t="inlineStr">
        <is>
          <t>3065 – 3246</t>
        </is>
      </c>
      <c r="E14" s="15" t="n">
        <v>181</v>
      </c>
      <c r="F14" s="15" t="n">
        <v>25.96</v>
      </c>
      <c r="G14" s="18" t="n">
        <v>0.6860000000000001</v>
      </c>
      <c r="H14" s="19" t="n">
        <v>98.8</v>
      </c>
      <c r="I14" s="19" t="n">
        <v>3.64</v>
      </c>
    </row>
    <row r="15">
      <c r="A15" s="11" t="inlineStr">
        <is>
          <t>► 52</t>
        </is>
      </c>
      <c r="B15" s="30" t="n">
        <v>11.06</v>
      </c>
      <c r="C15" s="31" t="n">
        <v>2.28</v>
      </c>
      <c r="D15" s="12" t="inlineStr">
        <is>
          <t>3011 – 3164</t>
        </is>
      </c>
      <c r="E15" s="12" t="n">
        <v>153</v>
      </c>
      <c r="F15" s="12" t="n">
        <v>26.16</v>
      </c>
      <c r="G15" s="32" t="n">
        <v>0.6685</v>
      </c>
      <c r="H15" s="31" t="n">
        <v>97.31999999999999</v>
      </c>
      <c r="I15" s="31" t="n">
        <v>3.8</v>
      </c>
    </row>
    <row r="16">
      <c r="A16" s="7" t="inlineStr">
        <is>
          <t>48</t>
        </is>
      </c>
      <c r="B16" s="28" t="n">
        <v>5.75</v>
      </c>
      <c r="C16" s="19" t="n">
        <v>1.19</v>
      </c>
      <c r="D16" s="15" t="inlineStr">
        <is>
          <t>1458 – 1595</t>
        </is>
      </c>
      <c r="E16" s="15" t="n">
        <v>137</v>
      </c>
      <c r="F16" s="15" t="n">
        <v>33.6</v>
      </c>
      <c r="G16" s="18" t="n">
        <v>0.6978</v>
      </c>
      <c r="H16" s="19" t="inlineStr">
        <is>
          <t>Por determinar</t>
        </is>
      </c>
      <c r="I16" s="15" t="inlineStr">
        <is>
          <t>s/d</t>
        </is>
      </c>
    </row>
    <row r="17">
      <c r="A17" s="13" t="inlineStr">
        <is>
          <t>55</t>
        </is>
      </c>
      <c r="B17" s="29" t="n">
        <v>0.86</v>
      </c>
      <c r="C17" s="21" t="n">
        <v>0.18</v>
      </c>
      <c r="D17" s="14" t="inlineStr">
        <is>
          <t>3066 – 3131</t>
        </is>
      </c>
      <c r="E17" s="14" t="n">
        <v>65</v>
      </c>
      <c r="F17" s="14" t="n">
        <v>30.04</v>
      </c>
      <c r="G17" s="20" t="n">
        <v>0.63</v>
      </c>
      <c r="H17" s="21" t="n">
        <v>100</v>
      </c>
      <c r="I17" s="21" t="n">
        <v>1.76</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1" t="n"/>
      <c r="I19" s="42" t="n"/>
    </row>
    <row r="21" ht="84" customHeight="1">
      <c r="A21" s="9" t="inlineStr">
        <is>
          <t>LECTURA INTRAMICROCUENCA. El bloque 52 ocupa el puesto 6 de 8 por superficie dentro de la microcuenca C1086-Q9575 (2.28 % de las 484.30 ha preliminares de la microcuenca). Su pendiente promedio (26.16 %, clase «25-50% (Mod. escarpado)») es la 5.ª más baja de 8 y se sitúa por encima del promedio de la microcuenca (25.51 %). Su MSAVI 2024 (0.6685) es el 4.º de 8 y queda por encima del promedio local (0.6021). Amplitud altitudinal del bloque: 153 m (3011–3164 msnm). El cuadro conserva todos los bloques catalogados en la microcuenca, incluidos los descartados en el tamizaje, para referencia del conjunto. Los bloques sin ficha DT figuran con sus parámetros de gabinete. BRECHA ESPECTRAL. El 3.80 % de la superficie del bloque (0.420 ha de 11.059 ha) se sitúa bajo el umbral MSAVI 0.4976, por debajo del promedio local de la microcuenca (32.64 %) calculado sobre los bloques con dato MSAVI disponible.</t>
        </is>
      </c>
      <c r="B21" s="41" t="n"/>
      <c r="C21" s="41" t="n"/>
      <c r="D21" s="41" t="n"/>
      <c r="E21" s="41" t="n"/>
      <c r="F21" s="41" t="n"/>
      <c r="G21" s="41" t="n"/>
      <c r="H21" s="41" t="n"/>
      <c r="I21" s="42"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1" t="n"/>
      <c r="I23" s="42" t="n"/>
    </row>
  </sheetData>
  <mergeCells count="10">
    <mergeCell ref="A19:I19"/>
    <mergeCell ref="A2:I2"/>
    <mergeCell ref="A5:I5"/>
    <mergeCell ref="A1:I1"/>
    <mergeCell ref="A23:I23"/>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52</t>
        </is>
      </c>
    </row>
    <row r="6">
      <c r="A6" s="52" t="inlineStr">
        <is>
          <t>Cruce de la ficha de campo F-DT vigente con la ficha de resumen de gabinete y el catálogo maestro. Integración 2026-09-11 20:22:29.</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«C1086-Q9575».</t>
        </is>
      </c>
      <c r="D9" s="56" t="inlineStr">
        <is>
          <t>CONFORME</t>
        </is>
      </c>
      <c r="E9" s="56" t="inlineStr">
        <is>
          <t>Sin acción.</t>
        </is>
      </c>
    </row>
    <row r="10">
      <c r="A10" s="57" t="inlineStr">
        <is>
          <t>G-02</t>
        </is>
      </c>
      <c r="B10" s="57" t="inlineStr">
        <is>
          <t>UTM del punto de muestreo</t>
        </is>
      </c>
      <c r="C10" s="57" t="inlineStr">
        <is>
          <t>El punto de muestreo declarado dista 206.7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(3070 msnm) cae dentro del rango altitudinal del bloque (3011 - 3164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(11.063 ha) se desvía 0.03 % de la superficie de catálogo (11.06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(11.059 ha) se desvía -0.01 % de la superficie de catálogo (11.06 ha).</t>
        </is>
      </c>
      <c r="D14" s="57" t="inlineStr">
        <is>
          <t>CONFORME</t>
        </is>
      </c>
      <c r="E14" s="57" t="inlineStr">
        <is>
          <t>Sin acción: la segmentación valida la geometría del bloque.</t>
        </is>
      </c>
    </row>
    <row r="15">
      <c r="A15" s="56" t="inlineStr">
        <is>
          <t>G-07</t>
        </is>
      </c>
      <c r="B15" s="56" t="inlineStr">
        <is>
          <t>Brecha espectral MSAVI</t>
        </is>
      </c>
      <c r="C15" s="56" t="inlineStr">
        <is>
          <t>El 3.80 % del bloque queda bajo el umbral 0.4976; superficie de brecha 0.4199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11.06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(0.6685)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Causa subyacente principal</t>
        </is>
      </c>
      <c r="C19" s="56" t="inlineStr">
        <is>
          <t>El libro de resumen V6 consignaba «Modelo ganadero tradicional extensivo de subsistencia, débil diversificación productiva en cabeceras y ausencia de manejo silvopastoril»; la ficha de campo vigente declara «Modelo ganadero tradicional extensivo de subsistencia, débil diversificación productiva en cabeceras y ausencia de incentivos para mantener…».</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Responsable de la evaluación</t>
        </is>
      </c>
      <c r="C20" s="57" t="inlineStr">
        <is>
          <t>El libro de resumen V6 consignaba «Ing. Juan Domínguez Varas»; la ficha de campo vigente declara «Ing. Héctor S. Cahuas M. / Ing. Juan C. Domínguez V. / Biól. Abel Aucasime O.».</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96.4 % de los campos esperados).</t>
        </is>
      </c>
      <c r="D21" s="56" t="inlineStr">
        <is>
          <t>CONFORME</t>
        </is>
      </c>
      <c r="E21" s="56" t="inlineStr">
        <is>
          <t>Sin acción.</t>
        </is>
      </c>
    </row>
    <row r="22">
      <c r="A22" s="57" t="inlineStr">
        <is>
          <t>F-02</t>
        </is>
      </c>
      <c r="B22" s="57" t="inlineStr">
        <is>
          <t>Cobertura de la integración</t>
        </is>
      </c>
      <c r="C22" s="57" t="inlineStr">
        <is>
          <t>Se declararon 101 de 114 hechos integrados (88.6 %); 13 quedan sin dato en ninguna fuente.</t>
        </is>
      </c>
      <c r="D22" s="57" t="inlineStr">
        <is>
          <t>CONFORME</t>
        </is>
      </c>
      <c r="E22" s="57" t="inlineStr">
        <is>
          <t>Sin acción.</t>
        </is>
      </c>
    </row>
    <row r="23">
      <c r="A23" s="56" t="inlineStr">
        <is>
          <t>H-01</t>
        </is>
      </c>
      <c r="B23" s="56" t="inlineStr">
        <is>
          <t>Cobertura vegetal total</t>
        </is>
      </c>
      <c r="C23" s="56" t="inlineStr">
        <is>
          <t>La ficha DT estima 70 % de cobertura vegetal en campo; el NDVI mediana 2025 clasifica 100.00 %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H-02</t>
        </is>
      </c>
      <c r="B24" s="57" t="inlineStr">
        <is>
          <t>Dimensiones del inventario de cárcavas</t>
        </is>
      </c>
      <c r="C24" s="57" t="inlineStr">
        <is>
          <t>Se registran 3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H-03</t>
        </is>
      </c>
      <c r="B25" s="56" t="inlineStr">
        <is>
          <t>Elenco florístico</t>
        </is>
      </c>
      <c r="C25" s="56" t="inlineStr">
        <is>
          <t>La ficha registra 14 taxones, por debajo del mínimo de 15 que exige el formato V5</t>
        </is>
      </c>
      <c r="D25" s="56" t="inlineStr">
        <is>
          <t>SUSTANTIVA</t>
        </is>
      </c>
      <c r="E25" s="56" t="inlineStr">
        <is>
          <t>Registro florístico preliminar, sin colecta ni determinación botánica formal. Debe cerrarse con colecta botánica en la siguiente campaña. (Verificación heredada de la ficha de resumen V6.)</t>
        </is>
      </c>
    </row>
    <row r="26">
      <c r="A26" s="57" t="inlineStr">
        <is>
          <t>H-04</t>
        </is>
      </c>
      <c r="B26" s="57" t="inlineStr">
        <is>
          <t>Centro poblado asociado</t>
        </is>
      </c>
      <c r="C26" s="57" t="inlineStr">
        <is>
          <t>La ficha DT declara «Miraflores»; el cruce INEI-Bloques V5 identifica 1 centro(s) poblado(s) en el bloque: MIRAFLORES</t>
        </is>
      </c>
      <c r="D26" s="57" t="inlineStr">
        <is>
          <t>CONFORME</t>
        </is>
      </c>
      <c r="E26" s="57" t="inlineStr">
        <is>
          <t>Se conserva el registro de campo como referencia y se adopta el listado INEI para el diagnóstico social y el cálculo de población beneficiaria. (Verificación heredada de la ficha de resumen V6.)</t>
        </is>
      </c>
    </row>
    <row r="28">
      <c r="A28" s="58" t="inlineStr">
        <is>
          <t>RESUMEN</t>
        </is>
      </c>
      <c r="B28" s="59" t="inlineStr">
        <is>
          <t>18 verificaciones</t>
        </is>
      </c>
      <c r="C28" s="59" t="inlineStr">
        <is>
          <t>SUSTANTIVA: 2 · NO SUSTANTIVA: 2 · CORREGIDO: 2 · CONFORME: 12</t>
        </is>
      </c>
    </row>
    <row r="30">
      <c r="A30"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0:E30"/>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52</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6. Degradación, causas y urgencia (F-DT-04)</t>
        </is>
      </c>
      <c r="B9" s="56" t="inlineStr">
        <is>
          <t>Causa subyacente principal</t>
        </is>
      </c>
      <c r="C9" s="56" t="inlineStr">
        <is>
          <t>Modelo ganadero tradicional extensivo de subsistencia, débil diversificación productiva en cabeceras y ausencia de manejo silvopastoril</t>
        </is>
      </c>
      <c r="D9" s="56" t="inlineStr">
        <is>
          <t>Modelo ganadero tradicional extensivo de subsistencia, débil diversificación productiva en cabeceras y ausencia de incentivos para mantener cobertura forestal en predios privados.</t>
        </is>
      </c>
      <c r="E9" s="56" t="inlineStr">
        <is>
          <t>Dato de campo</t>
        </is>
      </c>
    </row>
    <row r="10">
      <c r="A10" s="57" t="inlineStr">
        <is>
          <t>8. Responsable y modalidad de la evaluación</t>
        </is>
      </c>
      <c r="B10" s="57" t="inlineStr">
        <is>
          <t>Responsable de la evaluación</t>
        </is>
      </c>
      <c r="C10" s="57" t="inlineStr">
        <is>
          <t>Ing. Juan Domínguez Varas</t>
        </is>
      </c>
      <c r="D10" s="57" t="inlineStr">
        <is>
          <t>Ing. Héctor S. Cahuas M. / Ing. Juan C. Domínguez V. / Biól. Abel Aucasime O.</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641618</t>
        </is>
      </c>
      <c r="D14" s="56" t="inlineStr">
        <is>
          <t>m</t>
        </is>
      </c>
    </row>
    <row r="15">
      <c r="A15" s="57" t="inlineStr">
        <is>
          <t>1. Identificación y localización</t>
        </is>
      </c>
      <c r="B15" s="57" t="inlineStr">
        <is>
          <t>UTM NORTE del punto de muestreo (m)</t>
        </is>
      </c>
      <c r="C15" s="57" t="inlineStr">
        <is>
          <t>9437881</t>
        </is>
      </c>
      <c r="D15" s="57" t="inlineStr">
        <is>
          <t>m</t>
        </is>
      </c>
    </row>
    <row r="16">
      <c r="A16" s="56" t="inlineStr">
        <is>
          <t>2. Parámetros físicos del terreno</t>
        </is>
      </c>
      <c r="B16" s="56" t="inlineStr">
        <is>
          <t>Altitud GPS del punto de muestreo (msnm)</t>
        </is>
      </c>
      <c r="C16" s="56" t="inlineStr">
        <is>
          <t>3070</t>
        </is>
      </c>
      <c r="D16" s="56" t="inlineStr">
        <is>
          <t>msnm</t>
        </is>
      </c>
    </row>
    <row r="17">
      <c r="A17" s="57" t="inlineStr">
        <is>
          <t>2. Parámetros físicos del terreno</t>
        </is>
      </c>
      <c r="B17" s="57" t="inlineStr">
        <is>
          <t>Piso altitudinal del punto de muestreo</t>
        </is>
      </c>
      <c r="C17" s="57" t="inlineStr">
        <is>
          <t>3000-3500 m (Puna baja)</t>
        </is>
      </c>
      <c r="D17" s="57" t="inlineStr"/>
    </row>
    <row r="18">
      <c r="A18" s="56" t="inlineStr">
        <is>
          <t>2. Parámetros físicos del terreno</t>
        </is>
      </c>
      <c r="B18" s="56" t="inlineStr">
        <is>
          <t>Paisaje dominante descrito en campo</t>
        </is>
      </c>
      <c r="C18" s="56" t="inlineStr">
        <is>
          <t>Sistema de laderas convexo-cóncavas tributarias de la quebrada Q9575 (microcuenca C1086), con altitudes de 2984 a 3124 msnm y desniveles internos de 140 m en 412 m de transecto. Paisaje montañoso de la vertiente occidental andina norte, dominado por pastizal en mosaico con relictos arbóreos en cabeceras y crestas inaccesibles.</t>
        </is>
      </c>
      <c r="D18" s="56" t="inlineStr"/>
    </row>
    <row r="19">
      <c r="A19" s="57" t="inlineStr">
        <is>
          <t>2. Parámetros físicos del terreno</t>
        </is>
      </c>
      <c r="B19" s="57" t="inlineStr">
        <is>
          <t>Reptación de suelo</t>
        </is>
      </c>
      <c r="C19" s="57" t="inlineStr">
        <is>
          <t>No</t>
        </is>
      </c>
      <c r="D19" s="57" t="inlineStr"/>
    </row>
    <row r="20">
      <c r="A20" s="56" t="inlineStr">
        <is>
          <t>2. Parámetros físicos del terreno</t>
        </is>
      </c>
      <c r="B20" s="56" t="inlineStr">
        <is>
          <t>Deslizamientos antiguos</t>
        </is>
      </c>
      <c r="C20" s="56" t="inlineStr">
        <is>
          <t>No</t>
        </is>
      </c>
      <c r="D20" s="56" t="inlineStr"/>
    </row>
    <row r="21">
      <c r="A21" s="57" t="inlineStr">
        <is>
          <t>4. Suelos y erosión (F-DT-02)</t>
        </is>
      </c>
      <c r="B21" s="57" t="inlineStr">
        <is>
          <t>Nivel de erosión - síntesis de campo</t>
        </is>
      </c>
      <c r="C21" s="57" t="inlineStr">
        <is>
          <t>Moderada (surcos)</t>
        </is>
      </c>
      <c r="D21" s="57" t="inlineStr"/>
    </row>
    <row r="22">
      <c r="A22" s="56" t="inlineStr">
        <is>
          <t>4. Suelos y erosión (F-DT-02)</t>
        </is>
      </c>
      <c r="B22" s="56" t="inlineStr">
        <is>
          <t>Sellamiento / costra superficial</t>
        </is>
      </c>
      <c r="C22" s="56" t="inlineStr">
        <is>
          <t>No</t>
        </is>
      </c>
      <c r="D22" s="56" t="inlineStr"/>
    </row>
    <row r="23">
      <c r="A23" s="57" t="inlineStr">
        <is>
          <t>4. Suelos y erosión (F-DT-02)</t>
        </is>
      </c>
      <c r="B23" s="57" t="inlineStr">
        <is>
          <t>Compactación por pisoteo</t>
        </is>
      </c>
      <c r="C23" s="57" t="inlineStr">
        <is>
          <t>Sí</t>
        </is>
      </c>
      <c r="D23" s="57" t="inlineStr"/>
    </row>
    <row r="24">
      <c r="A24" s="56" t="inlineStr">
        <is>
          <t>4. Suelos y erosión (F-DT-02)</t>
        </is>
      </c>
      <c r="B24" s="56" t="inlineStr">
        <is>
          <t>Raíces expuestas</t>
        </is>
      </c>
      <c r="C24" s="56" t="inlineStr">
        <is>
          <t>Sí</t>
        </is>
      </c>
      <c r="D24" s="56" t="inlineStr"/>
    </row>
    <row r="25">
      <c r="A25" s="57" t="inlineStr">
        <is>
          <t>4. Suelos y erosión (F-DT-02)</t>
        </is>
      </c>
      <c r="B25" s="57" t="inlineStr">
        <is>
          <t>% del bloque afectado por cárcavas</t>
        </is>
      </c>
      <c r="C25" s="57" t="inlineStr">
        <is>
          <t>8</t>
        </is>
      </c>
      <c r="D25" s="57" t="inlineStr">
        <is>
          <t>%</t>
        </is>
      </c>
    </row>
    <row r="26">
      <c r="A26" s="56" t="inlineStr">
        <is>
          <t>4. Suelos y erosión (F-DT-02)</t>
        </is>
      </c>
      <c r="B26" s="56" t="inlineStr">
        <is>
          <t>Patrón de cárcavas</t>
        </is>
      </c>
      <c r="C26" s="56" t="inlineStr">
        <is>
          <t>Aislado</t>
        </is>
      </c>
      <c r="D26" s="56" t="inlineStr"/>
    </row>
    <row r="27">
      <c r="A27" s="57" t="inlineStr">
        <is>
          <t>4. Suelos y erosión (F-DT-02)</t>
        </is>
      </c>
      <c r="B27" s="57" t="inlineStr">
        <is>
          <t>Socavamiento de cauce</t>
        </is>
      </c>
      <c r="C27" s="57" t="inlineStr">
        <is>
          <t>Sí</t>
        </is>
      </c>
      <c r="D27" s="57" t="inlineStr"/>
    </row>
    <row r="28">
      <c r="A28" s="56" t="inlineStr">
        <is>
          <t>5. Ecosistema, cobertura y flora (F-DT-03)</t>
        </is>
      </c>
      <c r="B28" s="56" t="inlineStr">
        <is>
          <t>Cobertura del dosel (%)</t>
        </is>
      </c>
      <c r="C28" s="56" t="inlineStr">
        <is>
          <t>15</t>
        </is>
      </c>
      <c r="D28" s="56" t="inlineStr">
        <is>
          <t>%</t>
        </is>
      </c>
    </row>
    <row r="29">
      <c r="A29" s="57" t="inlineStr">
        <is>
          <t>5. Ecosistema, cobertura y flora (F-DT-03)</t>
        </is>
      </c>
      <c r="B29" s="57" t="inlineStr">
        <is>
          <t>Cobertura herbácea (%)</t>
        </is>
      </c>
      <c r="C29" s="57" t="inlineStr">
        <is>
          <t>60</t>
        </is>
      </c>
      <c r="D29" s="57" t="inlineStr">
        <is>
          <t>%</t>
        </is>
      </c>
    </row>
    <row r="30">
      <c r="A30" s="56" t="inlineStr">
        <is>
          <t>5. Ecosistema, cobertura y flora (F-DT-03)</t>
        </is>
      </c>
      <c r="B30" s="56" t="inlineStr">
        <is>
          <t>Altura máxima registrada (m)</t>
        </is>
      </c>
      <c r="C30" s="56" t="inlineStr">
        <is>
          <t>16</t>
        </is>
      </c>
      <c r="D30" s="56" t="inlineStr">
        <is>
          <t>m</t>
        </is>
      </c>
    </row>
    <row r="31">
      <c r="A31" s="57" t="inlineStr">
        <is>
          <t>5. Ecosistema, cobertura y flora (F-DT-03)</t>
        </is>
      </c>
      <c r="B31" s="57" t="inlineStr">
        <is>
          <t>Presencia de epífitas</t>
        </is>
      </c>
      <c r="C31" s="57" t="inlineStr">
        <is>
          <t>Sí</t>
        </is>
      </c>
      <c r="D31" s="57" t="inlineStr"/>
    </row>
    <row r="32">
      <c r="A32" s="56" t="inlineStr">
        <is>
          <t>5. Ecosistema, cobertura y flora (F-DT-03)</t>
        </is>
      </c>
      <c r="B32" s="56" t="inlineStr">
        <is>
          <t>Fenología dominante</t>
        </is>
      </c>
      <c r="C32" s="56" t="inlineStr">
        <is>
          <t>Vegetativo</t>
        </is>
      </c>
      <c r="D32" s="56" t="inlineStr"/>
    </row>
    <row r="33">
      <c r="A33" s="57" t="inlineStr">
        <is>
          <t>5. Ecosistema, cobertura y flora (F-DT-03)</t>
        </is>
      </c>
      <c r="B33" s="57" t="inlineStr">
        <is>
          <t>Especies clave georreferenciadas</t>
        </is>
      </c>
      <c r="C33" s="57" t="inlineStr">
        <is>
          <t>5</t>
        </is>
      </c>
      <c r="D33" s="57" t="inlineStr"/>
    </row>
    <row r="34">
      <c r="A34" s="56" t="inlineStr">
        <is>
          <t>6. Degradación, causas y urgencia (F-DT-04)</t>
        </is>
      </c>
      <c r="B34" s="56" t="inlineStr">
        <is>
          <t>Causas directas de la degradación</t>
        </is>
      </c>
      <c r="C34" s="56" t="inlineStr">
        <is>
          <t>(1) Sobrepastoreo extensivo bovino-ovino histórico sobre laderas de pendiente moderada a fuerte; (2) cambio de uso de bosque montano a pastizal cultivado-mixto, con expansión de kikuyo introducido; (3) tala selectiva histórica de especies maderables (Cedrela, Juglans); (4) quemas estacionales para renovación de pastos.</t>
        </is>
      </c>
      <c r="D34" s="56" t="inlineStr"/>
    </row>
    <row r="35">
      <c r="A35" s="57" t="inlineStr">
        <is>
          <t>6. Degradación, causas y urgencia (F-DT-04)</t>
        </is>
      </c>
      <c r="B35" s="57" t="inlineStr">
        <is>
          <t>N.° de causas activas en la matriz F-DT-04</t>
        </is>
      </c>
      <c r="C35" s="57" t="inlineStr">
        <is>
          <t>10</t>
        </is>
      </c>
      <c r="D35" s="57" t="inlineStr"/>
    </row>
    <row r="36">
      <c r="A36" s="56" t="inlineStr">
        <is>
          <t>7. Hidrología, acceso y logística (F-DT-05)</t>
        </is>
      </c>
      <c r="B36" s="56" t="inlineStr">
        <is>
          <t>Escorrentía concentrada</t>
        </is>
      </c>
      <c r="C36" s="56" t="inlineStr">
        <is>
          <t>Sí</t>
        </is>
      </c>
      <c r="D36" s="56" t="inlineStr"/>
    </row>
    <row r="37">
      <c r="A37" s="57" t="inlineStr">
        <is>
          <t>7. Hidrología, acceso y logística (F-DT-05)</t>
        </is>
      </c>
      <c r="B37" s="57" t="inlineStr">
        <is>
          <t>Fuentes de agua inventariadas</t>
        </is>
      </c>
      <c r="C37" s="57" t="inlineStr">
        <is>
          <t>2</t>
        </is>
      </c>
      <c r="D37" s="57" t="inlineStr"/>
    </row>
    <row r="38">
      <c r="A38" s="56" t="inlineStr">
        <is>
          <t>7. Hidrología, acceso y logística (F-DT-05)</t>
        </is>
      </c>
      <c r="B38" s="56" t="inlineStr">
        <is>
          <t>Distancia a captación (m)</t>
        </is>
      </c>
      <c r="C38" s="56" t="inlineStr">
        <is>
          <t>800</t>
        </is>
      </c>
      <c r="D38" s="56" t="inlineStr">
        <is>
          <t>m</t>
        </is>
      </c>
    </row>
    <row r="39">
      <c r="A39" s="57" t="inlineStr">
        <is>
          <t>7. Hidrología, acceso y logística (F-DT-05)</t>
        </is>
      </c>
      <c r="B39" s="57" t="inlineStr">
        <is>
          <t>Interferencia con riego</t>
        </is>
      </c>
      <c r="C39" s="57" t="inlineStr">
        <is>
          <t>No</t>
        </is>
      </c>
      <c r="D39" s="57" t="inlineStr"/>
    </row>
    <row r="40">
      <c r="A40" s="56" t="inlineStr">
        <is>
          <t>7. Hidrología, acceso y logística (F-DT-05)</t>
        </is>
      </c>
      <c r="B40" s="56" t="inlineStr">
        <is>
          <t>Tipo de vía del tramo final</t>
        </is>
      </c>
      <c r="C40" s="56" t="inlineStr">
        <is>
          <t>Trocha carrozable</t>
        </is>
      </c>
      <c r="D40" s="56" t="inlineStr"/>
    </row>
    <row r="41">
      <c r="A41" s="57" t="inlineStr">
        <is>
          <t>7. Hidrología, acceso y logística (F-DT-05)</t>
        </is>
      </c>
      <c r="B41" s="57" t="inlineStr">
        <is>
          <t>Transitabilidad en época seca</t>
        </is>
      </c>
      <c r="C41" s="57" t="inlineStr">
        <is>
          <t>Medio</t>
        </is>
      </c>
      <c r="D41" s="57" t="inlineStr"/>
    </row>
    <row r="42">
      <c r="A42" s="56" t="inlineStr">
        <is>
          <t>7. Hidrología, acceso y logística (F-DT-05)</t>
        </is>
      </c>
      <c r="B42" s="56" t="inlineStr">
        <is>
          <t>Transitabilidad en época lluviosa</t>
        </is>
      </c>
      <c r="C42" s="56" t="inlineStr">
        <is>
          <t>Bajo</t>
        </is>
      </c>
      <c r="D42" s="56" t="inlineStr"/>
    </row>
    <row r="43">
      <c r="A43" s="57" t="inlineStr">
        <is>
          <t>7. Hidrología, acceso y logística (F-DT-05)</t>
        </is>
      </c>
      <c r="B43" s="57" t="inlineStr">
        <is>
          <t>Tiempo a la capital distrital (min)</t>
        </is>
      </c>
      <c r="C43" s="57" t="inlineStr">
        <is>
          <t>45</t>
        </is>
      </c>
      <c r="D43" s="57" t="inlineStr">
        <is>
          <t>min</t>
        </is>
      </c>
    </row>
    <row r="44">
      <c r="A44" s="56" t="inlineStr">
        <is>
          <t>7. Hidrología, acceso y logística (F-DT-05)</t>
        </is>
      </c>
      <c r="B44" s="56" t="inlineStr">
        <is>
          <t>Señal celular</t>
        </is>
      </c>
      <c r="C44" s="56" t="inlineStr">
        <is>
          <t>Intermitente</t>
        </is>
      </c>
      <c r="D44" s="56" t="inlineStr"/>
    </row>
    <row r="45">
      <c r="A45" s="57" t="inlineStr">
        <is>
          <t>7. Hidrología, acceso y logística (F-DT-05)</t>
        </is>
      </c>
      <c r="B45" s="57" t="inlineStr">
        <is>
          <t>Operador con cobertura</t>
        </is>
      </c>
      <c r="C45" s="57" t="inlineStr">
        <is>
          <t>Bitel</t>
        </is>
      </c>
      <c r="D45" s="57" t="inlineStr"/>
    </row>
    <row r="46">
      <c r="A46" s="56" t="inlineStr">
        <is>
          <t>7. Hidrología, acceso y logística (F-DT-05)</t>
        </is>
      </c>
      <c r="B46" s="56" t="inlineStr">
        <is>
          <t>Alojamiento disponible en la zona</t>
        </is>
      </c>
      <c r="C46" s="56" t="inlineStr">
        <is>
          <t>No</t>
        </is>
      </c>
      <c r="D46" s="56" t="inlineStr"/>
    </row>
    <row r="47">
      <c r="A47" s="57" t="inlineStr">
        <is>
          <t>7. Hidrología, acceso y logística (F-DT-05)</t>
        </is>
      </c>
      <c r="B47" s="57" t="inlineStr">
        <is>
          <t>Requiere coordinación con ronda / comunidad</t>
        </is>
      </c>
      <c r="C47" s="57" t="inlineStr">
        <is>
          <t>Sí</t>
        </is>
      </c>
      <c r="D47" s="57" t="inlineStr"/>
    </row>
    <row r="49">
      <c r="A49" s="54" t="inlineStr">
        <is>
          <t>C. PROCEDENCIA DE LOS HECHOS DECLARADOS</t>
        </is>
      </c>
    </row>
    <row r="50">
      <c r="A50" s="55" t="inlineStr">
        <is>
          <t>Fuente</t>
        </is>
      </c>
      <c r="B50" s="55" t="inlineStr">
        <is>
          <t>Hechos</t>
        </is>
      </c>
      <c r="C50" s="55" t="inlineStr">
        <is>
          <t>Alcance de la fuente</t>
        </is>
      </c>
    </row>
    <row r="51">
      <c r="A51" s="56" t="inlineStr">
        <is>
          <t>Dato de campo</t>
        </is>
      </c>
      <c r="B51" s="56" t="n">
        <v>64</v>
      </c>
      <c r="C51" s="56" t="inlineStr">
        <is>
          <t>Verificación en campo. Fichas F-DT-01 a F-DT-05 de la Plantilla DT Campo Check Validada V5, suscritas por el evaluador.</t>
        </is>
      </c>
    </row>
    <row r="52">
      <c r="A52" s="57" t="inlineStr">
        <is>
          <t>Gabinete (GIS / teledetección)</t>
        </is>
      </c>
      <c r="B52" s="57" t="n">
        <v>23</v>
      </c>
      <c r="C52" s="57" t="inlineStr">
        <is>
          <t>Gabinete. Estadística zonal sobre el MDE y compuestos Sentinel-2 (NDVI mediana 2025, MSAVI 2024 por clase DN).</t>
        </is>
      </c>
    </row>
    <row r="53">
      <c r="A53" s="56" t="inlineStr">
        <is>
          <t>Fuente oficial</t>
        </is>
      </c>
      <c r="B53" s="56" t="n">
        <v>14</v>
      </c>
      <c r="C53" s="56" t="inlineStr">
        <is>
          <t>Fuente oficial. Catálogo maestro Bloques V5/V6, división política INEI y codificación de microcuencas de la ANA.</t>
        </is>
      </c>
    </row>
    <row r="55">
      <c r="A55" s="54" t="inlineStr">
        <is>
          <t>D. ESTADO DEL CRUCE ENTRE FUENTES</t>
        </is>
      </c>
    </row>
    <row r="56">
      <c r="A56" s="55" t="inlineStr">
        <is>
          <t>Estado</t>
        </is>
      </c>
      <c r="B56" s="55" t="inlineStr">
        <is>
          <t>Hechos</t>
        </is>
      </c>
      <c r="C56" s="55" t="inlineStr">
        <is>
          <t>Significado</t>
        </is>
      </c>
    </row>
    <row r="57">
      <c r="A57" s="56" t="inlineStr">
        <is>
          <t>CONFORME</t>
        </is>
      </c>
      <c r="B57" s="56" t="n">
        <v>97</v>
      </c>
      <c r="C57" s="56" t="inlineStr">
        <is>
          <t>Las dos fuentes declaran lo mismo, o solo la fuente que manda sobre el hecho lo declara.</t>
        </is>
      </c>
    </row>
    <row r="58">
      <c r="A58" s="57" t="inlineStr">
        <is>
          <t>COMPLEMENTADO</t>
        </is>
      </c>
      <c r="B58" s="57" t="n">
        <v>2</v>
      </c>
      <c r="C58" s="57" t="inlineStr">
        <is>
          <t>Solo una de las fuentes lo declara y se adopta ese valor.</t>
        </is>
      </c>
    </row>
    <row r="59">
      <c r="A59" s="56" t="inlineStr">
        <is>
          <t>ACTUALIZADO</t>
        </is>
      </c>
      <c r="B59" s="56" t="n">
        <v>2</v>
      </c>
      <c r="C59" s="56" t="inlineStr">
        <is>
          <t>La verificación de campo vigente corrige lo que traía el libro de resumen.</t>
        </is>
      </c>
    </row>
    <row r="60">
      <c r="A60" s="57" t="inlineStr">
        <is>
          <t>DISCREPANTE</t>
        </is>
      </c>
      <c r="B60" s="57" t="n">
        <v>0</v>
      </c>
      <c r="C60" s="57" t="inlineStr">
        <is>
          <t>Las fuentes se contradicen; prevalece la que manda sobre el hecho y la otra queda declarada.</t>
        </is>
      </c>
    </row>
    <row r="61">
      <c r="A61" s="56" t="inlineStr">
        <is>
          <t>PENDIENTE</t>
        </is>
      </c>
      <c r="B61" s="56" t="n">
        <v>13</v>
      </c>
      <c r="C6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52</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Surco (&lt;30 cm)</t>
        </is>
      </c>
      <c r="C9" s="61" t="n">
        <v>641610</v>
      </c>
      <c r="D9" s="61" t="n">
        <v>9437872</v>
      </c>
      <c r="E9" s="62" t="n">
        <v>7.5</v>
      </c>
      <c r="F9" s="62" t="n">
        <v>0.25</v>
      </c>
      <c r="G9" s="62" t="n">
        <v>0.6</v>
      </c>
      <c r="H9" s="56" t="inlineStr">
        <is>
          <t>Activa</t>
        </is>
      </c>
      <c r="I9" s="56" t="inlineStr">
        <is>
          <t>Caminos / huellas de ganado</t>
        </is>
      </c>
    </row>
    <row r="10">
      <c r="A10" s="57" t="inlineStr">
        <is>
          <t>C-02</t>
        </is>
      </c>
      <c r="B10" s="57" t="inlineStr">
        <is>
          <t>Cárcava incipiente (30-50 cm)</t>
        </is>
      </c>
      <c r="C10" s="63" t="n">
        <v>641586</v>
      </c>
      <c r="D10" s="63" t="n">
        <v>9437832</v>
      </c>
      <c r="E10" s="63" t="n">
        <v>14</v>
      </c>
      <c r="F10" s="64" t="n">
        <v>0.45</v>
      </c>
      <c r="G10" s="64" t="n">
        <v>1.1</v>
      </c>
      <c r="H10" s="57" t="inlineStr">
        <is>
          <t>Semi-activa</t>
        </is>
      </c>
      <c r="I10" s="57" t="inlineStr">
        <is>
          <t>Sobrepastoreo</t>
        </is>
      </c>
    </row>
    <row r="11">
      <c r="A11" s="56" t="inlineStr">
        <is>
          <t>C-03</t>
        </is>
      </c>
      <c r="B11" s="56" t="inlineStr">
        <is>
          <t>Cárcava somera (0.5-2 m)</t>
        </is>
      </c>
      <c r="C11" s="61" t="n">
        <v>641360</v>
      </c>
      <c r="D11" s="61" t="n">
        <v>9437903</v>
      </c>
      <c r="E11" s="62" t="n">
        <v>8</v>
      </c>
      <c r="F11" s="62" t="n">
        <v>1.2</v>
      </c>
      <c r="G11" s="62" t="n">
        <v>1.8</v>
      </c>
      <c r="H11" s="56" t="inlineStr">
        <is>
          <t>Activa</t>
        </is>
      </c>
      <c r="I11" s="56" t="inlineStr">
        <is>
          <t>Concentración natural de escorrentía</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Aliso</t>
        </is>
      </c>
      <c r="C15" s="56" t="inlineStr">
        <is>
          <t>Alnus acuminata</t>
        </is>
      </c>
      <c r="D15" s="56" t="inlineStr">
        <is>
          <t>Betulaceae</t>
        </is>
      </c>
      <c r="E15" s="56" t="inlineStr">
        <is>
          <t>Arbóreo medio (8-15 m)</t>
        </is>
      </c>
      <c r="F15" s="56" t="inlineStr">
        <is>
          <t>Nativa</t>
        </is>
      </c>
      <c r="G15" s="56" t="inlineStr">
        <is>
          <t>Frecuente (5-20%)</t>
        </is>
      </c>
      <c r="H15" s="61" t="n">
        <v>18</v>
      </c>
      <c r="I15" s="61" t="n">
        <v>12</v>
      </c>
    </row>
    <row r="16">
      <c r="A16" s="57" t="inlineStr">
        <is>
          <t>2</t>
        </is>
      </c>
      <c r="B16" s="57" t="inlineStr">
        <is>
          <t>Queñual / Quinual</t>
        </is>
      </c>
      <c r="C16" s="57" t="inlineStr">
        <is>
          <t>Polylepis racemosa</t>
        </is>
      </c>
      <c r="D16" s="57" t="inlineStr">
        <is>
          <t>Rosaceae</t>
        </is>
      </c>
      <c r="E16" s="57" t="inlineStr">
        <is>
          <t>Arbóreo bajo (4-8 m)</t>
        </is>
      </c>
      <c r="F16" s="57" t="inlineStr">
        <is>
          <t>Nativa</t>
        </is>
      </c>
      <c r="G16" s="57" t="inlineStr">
        <is>
          <t>Ocasional (1-5%)</t>
        </is>
      </c>
      <c r="H16" s="63" t="n">
        <v>14</v>
      </c>
      <c r="I16" s="64" t="n">
        <v>6</v>
      </c>
    </row>
    <row r="17">
      <c r="A17" s="56" t="inlineStr">
        <is>
          <t>3</t>
        </is>
      </c>
      <c r="B17" s="56" t="inlineStr">
        <is>
          <t>Nogal</t>
        </is>
      </c>
      <c r="C17" s="56" t="inlineStr">
        <is>
          <t>Juglans neotropica</t>
        </is>
      </c>
      <c r="D17" s="56" t="inlineStr">
        <is>
          <t>Juglandaceae</t>
        </is>
      </c>
      <c r="E17" s="56" t="inlineStr">
        <is>
          <t>Arbóreo medio (8-15 m)</t>
        </is>
      </c>
      <c r="F17" s="56" t="inlineStr">
        <is>
          <t>Nativa</t>
        </is>
      </c>
      <c r="G17" s="56" t="inlineStr">
        <is>
          <t>Rara (&lt;1%)</t>
        </is>
      </c>
      <c r="H17" s="61" t="n">
        <v>28</v>
      </c>
      <c r="I17" s="61" t="n">
        <v>14</v>
      </c>
    </row>
    <row r="18">
      <c r="A18" s="57" t="inlineStr">
        <is>
          <t>4</t>
        </is>
      </c>
      <c r="B18" s="57" t="inlineStr">
        <is>
          <t>Cedro de altura</t>
        </is>
      </c>
      <c r="C18" s="57" t="inlineStr">
        <is>
          <t>Cedrela montana</t>
        </is>
      </c>
      <c r="D18" s="57" t="inlineStr">
        <is>
          <t>Meliaceae</t>
        </is>
      </c>
      <c r="E18" s="57" t="inlineStr">
        <is>
          <t>Arbóreo medio (8-15 m)</t>
        </is>
      </c>
      <c r="F18" s="57" t="inlineStr">
        <is>
          <t>Nativa</t>
        </is>
      </c>
      <c r="G18" s="57" t="inlineStr">
        <is>
          <t>Rara (&lt;1%)</t>
        </is>
      </c>
      <c r="H18" s="63" t="n">
        <v>25</v>
      </c>
      <c r="I18" s="63" t="n">
        <v>13</v>
      </c>
    </row>
    <row r="19">
      <c r="A19" s="56" t="inlineStr">
        <is>
          <t>5</t>
        </is>
      </c>
      <c r="B19" s="56" t="inlineStr">
        <is>
          <t>Romerillo</t>
        </is>
      </c>
      <c r="C19" s="56" t="inlineStr">
        <is>
          <t>Podocarpus oleifolius</t>
        </is>
      </c>
      <c r="D19" s="56" t="inlineStr">
        <is>
          <t>Podocarpaceae</t>
        </is>
      </c>
      <c r="E19" s="56" t="inlineStr">
        <is>
          <t>Arbóreo medio (8-15 m)</t>
        </is>
      </c>
      <c r="F19" s="56" t="inlineStr">
        <is>
          <t>Nativa</t>
        </is>
      </c>
      <c r="G19" s="56" t="inlineStr">
        <is>
          <t>Rara (&lt;1%)</t>
        </is>
      </c>
      <c r="H19" s="61" t="n">
        <v>22</v>
      </c>
      <c r="I19" s="61" t="n">
        <v>12</v>
      </c>
    </row>
    <row r="20">
      <c r="A20" s="57" t="inlineStr">
        <is>
          <t>6</t>
        </is>
      </c>
      <c r="B20" s="57" t="inlineStr">
        <is>
          <t>Maqui-maqui</t>
        </is>
      </c>
      <c r="C20" s="57" t="inlineStr">
        <is>
          <t>Oreopanax raimondii</t>
        </is>
      </c>
      <c r="D20" s="57" t="inlineStr">
        <is>
          <t>Araliaceae</t>
        </is>
      </c>
      <c r="E20" s="57" t="inlineStr">
        <is>
          <t>Arbóreo bajo (4-8 m)</t>
        </is>
      </c>
      <c r="F20" s="57" t="inlineStr">
        <is>
          <t>Nativa</t>
        </is>
      </c>
      <c r="G20" s="57" t="inlineStr">
        <is>
          <t>Ocasional (1-5%)</t>
        </is>
      </c>
      <c r="H20" s="63" t="n">
        <v>12</v>
      </c>
      <c r="I20" s="64" t="n">
        <v>6</v>
      </c>
    </row>
    <row r="21">
      <c r="A21" s="56" t="inlineStr">
        <is>
          <t>7</t>
        </is>
      </c>
      <c r="B21" s="56" t="inlineStr">
        <is>
          <t>Lanche</t>
        </is>
      </c>
      <c r="C21" s="56" t="inlineStr">
        <is>
          <t>Myrcianthes rhopaloides</t>
        </is>
      </c>
      <c r="D21" s="56" t="inlineStr">
        <is>
          <t>Myrtaceae</t>
        </is>
      </c>
      <c r="E21" s="56" t="inlineStr">
        <is>
          <t>Arbóreo bajo (4-8 m)</t>
        </is>
      </c>
      <c r="F21" s="56" t="inlineStr">
        <is>
          <t>Nativa</t>
        </is>
      </c>
      <c r="G21" s="56" t="inlineStr">
        <is>
          <t>Frecuente (5-20%)</t>
        </is>
      </c>
      <c r="H21" s="61" t="n">
        <v>10</v>
      </c>
      <c r="I21" s="62" t="n">
        <v>5</v>
      </c>
    </row>
    <row r="22">
      <c r="A22" s="57" t="inlineStr">
        <is>
          <t>8</t>
        </is>
      </c>
      <c r="B22" s="57" t="inlineStr">
        <is>
          <t>Chachacomo</t>
        </is>
      </c>
      <c r="C22" s="57" t="inlineStr">
        <is>
          <t>Escallonia myrtilloides</t>
        </is>
      </c>
      <c r="D22" s="57" t="inlineStr">
        <is>
          <t>Escalloniaceae</t>
        </is>
      </c>
      <c r="E22" s="57" t="inlineStr">
        <is>
          <t>Arbustivo alto (1.5-4 m)</t>
        </is>
      </c>
      <c r="F22" s="57" t="inlineStr">
        <is>
          <t>Nativa</t>
        </is>
      </c>
      <c r="G22" s="57" t="inlineStr">
        <is>
          <t>Frecuente (5-20%)</t>
        </is>
      </c>
      <c r="H22" s="57" t="n"/>
      <c r="I22" s="64" t="n">
        <v>3</v>
      </c>
    </row>
    <row r="23">
      <c r="A23" s="56" t="inlineStr">
        <is>
          <t>9</t>
        </is>
      </c>
      <c r="B23" s="56" t="inlineStr">
        <is>
          <t>Chilca</t>
        </is>
      </c>
      <c r="C23" s="56" t="inlineStr">
        <is>
          <t>Baccharis latifolia</t>
        </is>
      </c>
      <c r="D23" s="56" t="inlineStr">
        <is>
          <t>Asteraceae</t>
        </is>
      </c>
      <c r="E23" s="56" t="inlineStr">
        <is>
          <t>Arbustivo bajo (0.5-1.5 m)</t>
        </is>
      </c>
      <c r="F23" s="56" t="inlineStr">
        <is>
          <t>Nativa</t>
        </is>
      </c>
      <c r="G23" s="56" t="inlineStr">
        <is>
          <t>Abundante (20-40%)</t>
        </is>
      </c>
      <c r="H23" s="56" t="n"/>
      <c r="I23" s="62" t="n">
        <v>1.2</v>
      </c>
    </row>
    <row r="24">
      <c r="A24" s="57" t="inlineStr">
        <is>
          <t>10</t>
        </is>
      </c>
      <c r="B24" s="57" t="inlineStr">
        <is>
          <t>Hierba santa</t>
        </is>
      </c>
      <c r="C24" s="57" t="inlineStr">
        <is>
          <t>Ageratina sternbergiana</t>
        </is>
      </c>
      <c r="D24" s="57" t="inlineStr">
        <is>
          <t>Asteraceae</t>
        </is>
      </c>
      <c r="E24" s="57" t="inlineStr">
        <is>
          <t>Arbustivo bajo (0.5-1.5 m)</t>
        </is>
      </c>
      <c r="F24" s="57" t="inlineStr">
        <is>
          <t>Nativa</t>
        </is>
      </c>
      <c r="G24" s="57" t="inlineStr">
        <is>
          <t>Frecuente (5-20%)</t>
        </is>
      </c>
      <c r="H24" s="57" t="n"/>
      <c r="I24" s="64" t="n">
        <v>1</v>
      </c>
    </row>
    <row r="25">
      <c r="A25" s="56" t="inlineStr">
        <is>
          <t>11</t>
        </is>
      </c>
      <c r="B25" s="56" t="inlineStr">
        <is>
          <t>Pushgay</t>
        </is>
      </c>
      <c r="C25" s="56" t="inlineStr">
        <is>
          <t>Vaccinium sp.</t>
        </is>
      </c>
      <c r="D25" s="56" t="inlineStr">
        <is>
          <t>Ericaceae</t>
        </is>
      </c>
      <c r="E25" s="56" t="inlineStr">
        <is>
          <t>Arbustivo bajo (0.5-1.5 m)</t>
        </is>
      </c>
      <c r="F25" s="56" t="inlineStr">
        <is>
          <t>Nativa</t>
        </is>
      </c>
      <c r="G25" s="56" t="inlineStr">
        <is>
          <t>Ocasional (1-5%)</t>
        </is>
      </c>
      <c r="H25" s="56" t="n"/>
      <c r="I25" s="62" t="n">
        <v>0.8</v>
      </c>
    </row>
    <row r="26">
      <c r="A26" s="57" t="inlineStr">
        <is>
          <t>12</t>
        </is>
      </c>
      <c r="B26" s="57" t="inlineStr">
        <is>
          <t>Kikuyo</t>
        </is>
      </c>
      <c r="C26" s="57" t="inlineStr">
        <is>
          <t>Pennisetum clandestinum</t>
        </is>
      </c>
      <c r="D26" s="57" t="inlineStr">
        <is>
          <t>Poaceae</t>
        </is>
      </c>
      <c r="E26" s="57" t="inlineStr">
        <is>
          <t>Herbáceo (&lt;0.5 m)</t>
        </is>
      </c>
      <c r="F26" s="57" t="inlineStr">
        <is>
          <t>Introducida</t>
        </is>
      </c>
      <c r="G26" s="57" t="inlineStr">
        <is>
          <t>Dominante (&gt;40%)</t>
        </is>
      </c>
      <c r="H26" s="57" t="n"/>
      <c r="I26" s="64" t="n">
        <v>0.3</v>
      </c>
    </row>
    <row r="27">
      <c r="A27" s="56" t="inlineStr">
        <is>
          <t>13</t>
        </is>
      </c>
      <c r="B27" s="56" t="inlineStr">
        <is>
          <t>Pino radiata</t>
        </is>
      </c>
      <c r="C27" s="56" t="inlineStr">
        <is>
          <t>Pinus radiata</t>
        </is>
      </c>
      <c r="D27" s="56" t="inlineStr">
        <is>
          <t>Pinaceae</t>
        </is>
      </c>
      <c r="E27" s="56" t="inlineStr">
        <is>
          <t>Arbóreo medio (8-15 m)</t>
        </is>
      </c>
      <c r="F27" s="56" t="inlineStr">
        <is>
          <t>Introducida</t>
        </is>
      </c>
      <c r="G27" s="56" t="inlineStr">
        <is>
          <t>Frecuente (5-20%)</t>
        </is>
      </c>
      <c r="H27" s="61" t="n">
        <v>20</v>
      </c>
      <c r="I27" s="61" t="n">
        <v>10</v>
      </c>
    </row>
    <row r="28">
      <c r="A28" s="57" t="inlineStr">
        <is>
          <t>14</t>
        </is>
      </c>
      <c r="B28" s="57" t="inlineStr">
        <is>
          <t>Eucalipto</t>
        </is>
      </c>
      <c r="C28" s="57" t="inlineStr">
        <is>
          <t>Eucalyptus globulus</t>
        </is>
      </c>
      <c r="D28" s="57" t="inlineStr">
        <is>
          <t>Myrtaceae</t>
        </is>
      </c>
      <c r="E28" s="57" t="inlineStr">
        <is>
          <t>Arbóreo medio (8-15 m)</t>
        </is>
      </c>
      <c r="F28" s="57" t="inlineStr">
        <is>
          <t>Introducida</t>
        </is>
      </c>
      <c r="G28" s="57" t="inlineStr">
        <is>
          <t>Ocasional (1-5%)</t>
        </is>
      </c>
      <c r="H28" s="63" t="n">
        <v>24</v>
      </c>
      <c r="I28" s="63" t="n">
        <v>14</v>
      </c>
    </row>
    <row r="30">
      <c r="A30" s="54" t="inlineStr">
        <is>
          <t>F-DT-03 · ESPECIES CLAVE GEORREFERENCIADAS</t>
        </is>
      </c>
    </row>
    <row r="31">
      <c r="A31" s="55" t="inlineStr">
        <is>
          <t>N.o</t>
        </is>
      </c>
      <c r="B31" s="55" t="inlineStr">
        <is>
          <t>Especie</t>
        </is>
      </c>
      <c r="C31" s="55" t="inlineStr">
        <is>
          <t>Categoría</t>
        </is>
      </c>
      <c r="D31" s="55" t="inlineStr">
        <is>
          <t>Estado UICN</t>
        </is>
      </c>
      <c r="E31" s="55" t="inlineStr">
        <is>
          <t>UTM ESTE</t>
        </is>
      </c>
      <c r="F31" s="55" t="inlineStr">
        <is>
          <t>UTM NORTE</t>
        </is>
      </c>
      <c r="G31" s="55" t="inlineStr">
        <is>
          <t>N.° individuos</t>
        </is>
      </c>
      <c r="H31" s="55" t="inlineStr">
        <is>
          <t>Observación</t>
        </is>
      </c>
    </row>
    <row r="32">
      <c r="A32" s="56" t="inlineStr">
        <is>
          <t>1</t>
        </is>
      </c>
      <c r="B32" s="56" t="inlineStr">
        <is>
          <t>Polylepis racemosa (Queñual)</t>
        </is>
      </c>
      <c r="C32" s="56" t="inlineStr">
        <is>
          <t>Amenazada (D.S. 043-2006-AG)</t>
        </is>
      </c>
      <c r="D32" s="56" t="inlineStr">
        <is>
          <t>VU — Vulnerable</t>
        </is>
      </c>
      <c r="E32" s="61" t="n">
        <v>641675</v>
      </c>
      <c r="F32" s="61" t="n">
        <v>9437943</v>
      </c>
      <c r="G32" s="62" t="n">
        <v>8</v>
      </c>
      <c r="H32" s="56" t="inlineStr">
        <is>
          <t>Relictos en parte alta inaccesible</t>
        </is>
      </c>
    </row>
    <row r="33">
      <c r="A33" s="57" t="inlineStr">
        <is>
          <t>2</t>
        </is>
      </c>
      <c r="B33" s="57" t="inlineStr">
        <is>
          <t>Juglans neotropica (Nogal)</t>
        </is>
      </c>
      <c r="C33" s="57" t="inlineStr">
        <is>
          <t>Amenazada (D.S. 043-2006-AG)</t>
        </is>
      </c>
      <c r="D33" s="57" t="inlineStr">
        <is>
          <t>EN — En Peligro</t>
        </is>
      </c>
      <c r="E33" s="63" t="n">
        <v>641675</v>
      </c>
      <c r="F33" s="63" t="n">
        <v>9437943</v>
      </c>
      <c r="G33" s="64" t="n">
        <v>3</v>
      </c>
      <c r="H33" s="57" t="inlineStr">
        <is>
          <t>Árboles dispersos remanentes; extracción histórica</t>
        </is>
      </c>
    </row>
    <row r="34">
      <c r="A34" s="56" t="inlineStr">
        <is>
          <t>3</t>
        </is>
      </c>
      <c r="B34" s="56" t="inlineStr">
        <is>
          <t>Cedrela montana (Cedro)</t>
        </is>
      </c>
      <c r="C34" s="56" t="inlineStr">
        <is>
          <t>Amenazada (D.S. 043-2006-AG)</t>
        </is>
      </c>
      <c r="D34" s="56" t="inlineStr">
        <is>
          <t>VU — Vulnerable</t>
        </is>
      </c>
      <c r="E34" s="61" t="n">
        <v>641675</v>
      </c>
      <c r="F34" s="61" t="n">
        <v>9437943</v>
      </c>
      <c r="G34" s="62" t="n">
        <v>2</v>
      </c>
      <c r="H34" s="56" t="inlineStr">
        <is>
          <t>Tala selectiva histórica</t>
        </is>
      </c>
    </row>
    <row r="35">
      <c r="A35" s="57" t="inlineStr">
        <is>
          <t>4</t>
        </is>
      </c>
      <c r="B35" s="57" t="inlineStr">
        <is>
          <t>Podocarpus oleifolius (Romerillo)</t>
        </is>
      </c>
      <c r="C35" s="57" t="inlineStr">
        <is>
          <t>Amenazada (D.S. 043-2006-AG)</t>
        </is>
      </c>
      <c r="D35" s="57" t="inlineStr">
        <is>
          <t>NT — Casi Amenazado</t>
        </is>
      </c>
      <c r="E35" s="63" t="n">
        <v>641675</v>
      </c>
      <c r="F35" s="63" t="n">
        <v>9437943</v>
      </c>
      <c r="G35" s="64" t="n">
        <v>1</v>
      </c>
      <c r="H35" s="57" t="inlineStr">
        <is>
          <t>Único registro en transecto; conífera nativa</t>
        </is>
      </c>
    </row>
    <row r="36">
      <c r="A36" s="56" t="inlineStr">
        <is>
          <t>5</t>
        </is>
      </c>
      <c r="B36" s="56" t="inlineStr">
        <is>
          <t>Alnus acuminata (Aliso)</t>
        </is>
      </c>
      <c r="C36" s="56" t="inlineStr">
        <is>
          <t>Indicadora de buen estado</t>
        </is>
      </c>
      <c r="D36" s="56" t="inlineStr">
        <is>
          <t>LC — Preocupación Menor</t>
        </is>
      </c>
      <c r="E36" s="61" t="n">
        <v>641618</v>
      </c>
      <c r="F36" s="61" t="n">
        <v>9437881</v>
      </c>
      <c r="G36" s="61" t="n">
        <v>25</v>
      </c>
      <c r="H36" s="56" t="inlineStr">
        <is>
          <t>Indicadora de humedad y zonas de recarga</t>
        </is>
      </c>
    </row>
    <row r="38">
      <c r="A38" s="54" t="inlineStr">
        <is>
          <t>F-DT-04 · MATRIZ DE CAUSAS DE DEGRADACIÓN</t>
        </is>
      </c>
    </row>
    <row r="39">
      <c r="A39" s="55" t="inlineStr">
        <is>
          <t>N.o</t>
        </is>
      </c>
      <c r="B39" s="55" t="inlineStr">
        <is>
          <t>Causa</t>
        </is>
      </c>
      <c r="C39" s="55" t="inlineStr">
        <is>
          <t>Presencia</t>
        </is>
      </c>
      <c r="D39" s="55" t="inlineStr">
        <is>
          <t>Intensidad</t>
        </is>
      </c>
      <c r="E39" s="55" t="inlineStr">
        <is>
          <t>Extensión</t>
        </is>
      </c>
      <c r="F39" s="55" t="inlineStr">
        <is>
          <t>Antigüedad</t>
        </is>
      </c>
      <c r="G39" s="55" t="inlineStr">
        <is>
          <t>Evidencia</t>
        </is>
      </c>
    </row>
    <row r="40">
      <c r="A40" s="56" t="inlineStr">
        <is>
          <t>1</t>
        </is>
      </c>
      <c r="B40" s="56" t="inlineStr">
        <is>
          <t>Sobrepastoreo (caprino/vacuno)</t>
        </is>
      </c>
      <c r="C40" s="56" t="inlineStr">
        <is>
          <t>Sí</t>
        </is>
      </c>
      <c r="D40" s="56" t="inlineStr">
        <is>
          <t>Muy fuerte</t>
        </is>
      </c>
      <c r="E40" s="56" t="inlineStr">
        <is>
          <t>80</t>
        </is>
      </c>
      <c r="F40" s="56" t="inlineStr">
        <is>
          <t>&gt;30</t>
        </is>
      </c>
      <c r="G40" s="56" t="inlineStr">
        <is>
          <t>Carga ganadera elevada bovino-ovino; senderos de pisoteo en toda la ladera</t>
        </is>
      </c>
    </row>
    <row r="41">
      <c r="A41" s="57" t="inlineStr">
        <is>
          <t>2</t>
        </is>
      </c>
      <c r="B41" s="57" t="inlineStr">
        <is>
          <t>Tala para leña</t>
        </is>
      </c>
      <c r="C41" s="57" t="inlineStr">
        <is>
          <t>Sí</t>
        </is>
      </c>
      <c r="D41" s="57" t="inlineStr">
        <is>
          <t>Moderada</t>
        </is>
      </c>
      <c r="E41" s="57" t="inlineStr">
        <is>
          <t>30</t>
        </is>
      </c>
      <c r="F41" s="57" t="inlineStr">
        <is>
          <t>&gt;30</t>
        </is>
      </c>
      <c r="G41" s="57" t="inlineStr">
        <is>
          <t>Extracción puntual para uso doméstico en relictos accesibles</t>
        </is>
      </c>
    </row>
    <row r="42">
      <c r="A42" s="56" t="inlineStr">
        <is>
          <t>3</t>
        </is>
      </c>
      <c r="B42" s="56" t="inlineStr">
        <is>
          <t>Tala para carbón</t>
        </is>
      </c>
      <c r="C42" s="56" t="inlineStr">
        <is>
          <t>No</t>
        </is>
      </c>
      <c r="D42" s="56" t="inlineStr">
        <is>
          <t>Nula</t>
        </is>
      </c>
      <c r="E42" s="56" t="inlineStr">
        <is>
          <t>0</t>
        </is>
      </c>
      <c r="F42" s="56" t="inlineStr"/>
      <c r="G42" s="56" t="inlineStr">
        <is>
          <t>No aplica para esta altitud y especies disponibles</t>
        </is>
      </c>
    </row>
    <row r="43">
      <c r="A43" s="57" t="inlineStr">
        <is>
          <t>4</t>
        </is>
      </c>
      <c r="B43" s="57" t="inlineStr">
        <is>
          <t>Tala para madera</t>
        </is>
      </c>
      <c r="C43" s="57" t="inlineStr">
        <is>
          <t>Sí</t>
        </is>
      </c>
      <c r="D43" s="57" t="inlineStr">
        <is>
          <t>Ligera</t>
        </is>
      </c>
      <c r="E43" s="57" t="inlineStr">
        <is>
          <t>15</t>
        </is>
      </c>
      <c r="F43" s="57" t="inlineStr">
        <is>
          <t>&gt;30</t>
        </is>
      </c>
      <c r="G43" s="57" t="inlineStr">
        <is>
          <t>Tala selectiva histórica de Cedrela y Juglans en relictos</t>
        </is>
      </c>
    </row>
    <row r="44">
      <c r="A44" s="56" t="inlineStr">
        <is>
          <t>5</t>
        </is>
      </c>
      <c r="B44" s="56" t="inlineStr">
        <is>
          <t>Quema (renovación de pastos)</t>
        </is>
      </c>
      <c r="C44" s="56" t="inlineStr">
        <is>
          <t>Sí</t>
        </is>
      </c>
      <c r="D44" s="56" t="inlineStr">
        <is>
          <t>Moderada</t>
        </is>
      </c>
      <c r="E44" s="56" t="inlineStr">
        <is>
          <t>25</t>
        </is>
      </c>
      <c r="F44" s="56" t="inlineStr">
        <is>
          <t>10-30</t>
        </is>
      </c>
      <c r="G44" s="56" t="inlineStr">
        <is>
          <t>Quema controlada al inicio de lluvias para renovación de pasto</t>
        </is>
      </c>
    </row>
    <row r="45">
      <c r="A45" s="57" t="inlineStr">
        <is>
          <t>6</t>
        </is>
      </c>
      <c r="B45" s="57" t="inlineStr">
        <is>
          <t>Quema accidental / Incendio</t>
        </is>
      </c>
      <c r="C45" s="57" t="inlineStr">
        <is>
          <t>No</t>
        </is>
      </c>
      <c r="D45" s="57" t="inlineStr">
        <is>
          <t>Nula</t>
        </is>
      </c>
      <c r="E45" s="57" t="inlineStr">
        <is>
          <t>0</t>
        </is>
      </c>
      <c r="F45" s="57" t="inlineStr"/>
      <c r="G45" s="57" t="inlineStr">
        <is>
          <t>Sin evidencia reciente</t>
        </is>
      </c>
    </row>
    <row r="46">
      <c r="A46" s="56" t="inlineStr">
        <is>
          <t>7</t>
        </is>
      </c>
      <c r="B46" s="56" t="inlineStr">
        <is>
          <t>Cambio de uso a agricultura</t>
        </is>
      </c>
      <c r="C46" s="56" t="inlineStr">
        <is>
          <t>Sí</t>
        </is>
      </c>
      <c r="D46" s="56" t="inlineStr">
        <is>
          <t>Ligera</t>
        </is>
      </c>
      <c r="E46" s="56" t="inlineStr">
        <is>
          <t>8</t>
        </is>
      </c>
      <c r="F46" s="56" t="inlineStr">
        <is>
          <t>10-30</t>
        </is>
      </c>
      <c r="G46" s="56" t="inlineStr">
        <is>
          <t>Pequeños cultivos de subsistencia en quebradas</t>
        </is>
      </c>
    </row>
    <row r="47">
      <c r="A47" s="57" t="inlineStr">
        <is>
          <t>8</t>
        </is>
      </c>
      <c r="B47" s="57" t="inlineStr">
        <is>
          <t>Cambio de uso a pastoreo</t>
        </is>
      </c>
      <c r="C47" s="57" t="inlineStr">
        <is>
          <t>Sí</t>
        </is>
      </c>
      <c r="D47" s="57" t="inlineStr">
        <is>
          <t>Muy fuerte</t>
        </is>
      </c>
      <c r="E47" s="57" t="inlineStr">
        <is>
          <t>85</t>
        </is>
      </c>
      <c r="F47" s="57" t="inlineStr">
        <is>
          <t>&gt;30</t>
        </is>
      </c>
      <c r="G47" s="57" t="inlineStr">
        <is>
          <t>Toda la matriz del bloque dedicada a pastoreo extensivo</t>
        </is>
      </c>
    </row>
    <row r="48">
      <c r="A48" s="56" t="inlineStr">
        <is>
          <t>9</t>
        </is>
      </c>
      <c r="B48" s="56" t="inlineStr">
        <is>
          <t>Expansión urbana / vial</t>
        </is>
      </c>
      <c r="C48" s="56" t="inlineStr">
        <is>
          <t>Sí</t>
        </is>
      </c>
      <c r="D48" s="56" t="inlineStr">
        <is>
          <t>Ligera</t>
        </is>
      </c>
      <c r="E48" s="56" t="inlineStr">
        <is>
          <t>5</t>
        </is>
      </c>
      <c r="F48" s="56" t="inlineStr">
        <is>
          <t>5-10</t>
        </is>
      </c>
      <c r="G48" s="56" t="inlineStr">
        <is>
          <t>Apertura/mejoramiento de trocha vecinal (talud F14)</t>
        </is>
      </c>
    </row>
    <row r="49">
      <c r="A49" s="57" t="inlineStr">
        <is>
          <t>10</t>
        </is>
      </c>
      <c r="B49" s="57" t="inlineStr">
        <is>
          <t>Minería informal</t>
        </is>
      </c>
      <c r="C49" s="57" t="inlineStr">
        <is>
          <t>No</t>
        </is>
      </c>
      <c r="D49" s="57" t="inlineStr">
        <is>
          <t>Nula</t>
        </is>
      </c>
      <c r="E49" s="57" t="inlineStr">
        <is>
          <t>0</t>
        </is>
      </c>
      <c r="F49" s="57" t="inlineStr"/>
      <c r="G49" s="57" t="inlineStr">
        <is>
          <t>Sin actividad minera observada</t>
        </is>
      </c>
    </row>
    <row r="50">
      <c r="A50" s="56" t="inlineStr">
        <is>
          <t>11</t>
        </is>
      </c>
      <c r="B50" s="56" t="inlineStr">
        <is>
          <t>Extracción de áridos (cauces)</t>
        </is>
      </c>
      <c r="C50" s="56" t="inlineStr">
        <is>
          <t>No</t>
        </is>
      </c>
      <c r="D50" s="56" t="inlineStr">
        <is>
          <t>Nula</t>
        </is>
      </c>
      <c r="E50" s="56" t="inlineStr">
        <is>
          <t>0</t>
        </is>
      </c>
      <c r="F50" s="56" t="inlineStr"/>
      <c r="G50" s="56" t="inlineStr">
        <is>
          <t>Sin extracción de áridos</t>
        </is>
      </c>
    </row>
    <row r="51">
      <c r="A51" s="57" t="inlineStr">
        <is>
          <t>12</t>
        </is>
      </c>
      <c r="B51" s="57" t="inlineStr">
        <is>
          <t>Especies invasoras</t>
        </is>
      </c>
      <c r="C51" s="57" t="inlineStr">
        <is>
          <t>Sí</t>
        </is>
      </c>
      <c r="D51" s="57" t="inlineStr">
        <is>
          <t>Moderada</t>
        </is>
      </c>
      <c r="E51" s="57" t="inlineStr">
        <is>
          <t>25</t>
        </is>
      </c>
      <c r="F51" s="57" t="inlineStr">
        <is>
          <t>10-30</t>
        </is>
      </c>
      <c r="G51" s="57" t="inlineStr">
        <is>
          <t>Pennisetum clandestinum (kikuyo) dominante; Pinus radiata plantado</t>
        </is>
      </c>
    </row>
    <row r="52">
      <c r="A52" s="56" t="inlineStr">
        <is>
          <t>13</t>
        </is>
      </c>
      <c r="B52" s="56" t="inlineStr">
        <is>
          <t>Erosión natural severa</t>
        </is>
      </c>
      <c r="C52" s="56" t="inlineStr">
        <is>
          <t>Sí</t>
        </is>
      </c>
      <c r="D52" s="56" t="inlineStr">
        <is>
          <t>Moderada</t>
        </is>
      </c>
      <c r="E52" s="56" t="inlineStr">
        <is>
          <t>10</t>
        </is>
      </c>
      <c r="F52" s="56" t="inlineStr">
        <is>
          <t>5-10</t>
        </is>
      </c>
      <c r="G52" s="56" t="inlineStr">
        <is>
          <t>Talud F14 con derrumbe; surcos por concentración natural de escorrentía</t>
        </is>
      </c>
    </row>
    <row r="53">
      <c r="A53" s="57" t="inlineStr">
        <is>
          <t>14</t>
        </is>
      </c>
      <c r="B53" s="57" t="inlineStr">
        <is>
          <t>Sequía prolongada / CC</t>
        </is>
      </c>
      <c r="C53" s="57" t="inlineStr">
        <is>
          <t>Sí</t>
        </is>
      </c>
      <c r="D53" s="57" t="inlineStr">
        <is>
          <t>Moderada</t>
        </is>
      </c>
      <c r="E53" s="57" t="inlineStr">
        <is>
          <t>100</t>
        </is>
      </c>
      <c r="F53" s="57" t="inlineStr">
        <is>
          <t>&gt;10</t>
        </is>
      </c>
      <c r="G53" s="57" t="inlineStr">
        <is>
          <t>Tendencia a períodos secos más prolongados; estrés en relictos</t>
        </is>
      </c>
    </row>
    <row r="54">
      <c r="A54" s="56" t="inlineStr">
        <is>
          <t>15</t>
        </is>
      </c>
      <c r="B54" s="56" t="inlineStr">
        <is>
          <t>Plagas o enfermedades forestales</t>
        </is>
      </c>
      <c r="C54" s="56" t="inlineStr">
        <is>
          <t>No</t>
        </is>
      </c>
      <c r="D54" s="56" t="inlineStr">
        <is>
          <t>Nula</t>
        </is>
      </c>
      <c r="E54" s="56" t="inlineStr">
        <is>
          <t>0</t>
        </is>
      </c>
      <c r="F54" s="56" t="inlineStr"/>
      <c r="G54" s="56" t="inlineStr">
        <is>
          <t>Sin evidencia de plagas o enfermedades en el dosel</t>
        </is>
      </c>
    </row>
    <row r="55">
      <c r="A55" s="57" t="inlineStr">
        <is>
          <t>16</t>
        </is>
      </c>
      <c r="B55" s="57" t="inlineStr">
        <is>
          <t>Otro</t>
        </is>
      </c>
      <c r="C55" s="57" t="inlineStr">
        <is>
          <t>No</t>
        </is>
      </c>
      <c r="D55" s="57" t="inlineStr">
        <is>
          <t>Nula</t>
        </is>
      </c>
      <c r="E55" s="57" t="inlineStr">
        <is>
          <t>0</t>
        </is>
      </c>
      <c r="F55" s="57" t="inlineStr"/>
      <c r="G55" s="57" t="inlineStr">
        <is>
          <t>No aplica</t>
        </is>
      </c>
    </row>
    <row r="57">
      <c r="A57" s="54" t="inlineStr">
        <is>
          <t>F-DT-04 · INDICADORES CUANTITATIVOS</t>
        </is>
      </c>
    </row>
    <row r="58">
      <c r="A58" s="55" t="inlineStr">
        <is>
          <t>N.o</t>
        </is>
      </c>
      <c r="B58" s="55" t="inlineStr">
        <is>
          <t>Indicador</t>
        </is>
      </c>
      <c r="C58" s="55" t="inlineStr">
        <is>
          <t>Unidad</t>
        </is>
      </c>
      <c r="D58" s="55" t="inlineStr">
        <is>
          <t>Valor</t>
        </is>
      </c>
      <c r="E58" s="55" t="inlineStr">
        <is>
          <t>Fuente</t>
        </is>
      </c>
      <c r="F58" s="55" t="inlineStr">
        <is>
          <t>Umbral</t>
        </is>
      </c>
      <c r="G58" s="55" t="inlineStr">
        <is>
          <t>Nivel</t>
        </is>
      </c>
    </row>
    <row r="59">
      <c r="A59" s="56" t="inlineStr">
        <is>
          <t>1</t>
        </is>
      </c>
      <c r="B59" s="56" t="inlineStr">
        <is>
          <t>Cobertura vegetal total</t>
        </is>
      </c>
      <c r="C59" s="56" t="inlineStr">
        <is>
          <t>%</t>
        </is>
      </c>
      <c r="D59" s="56" t="inlineStr">
        <is>
          <t>80</t>
        </is>
      </c>
      <c r="E59" s="56" t="inlineStr">
        <is>
          <t>Estimación visual de campo (P-01)</t>
        </is>
      </c>
      <c r="F59" s="56" t="inlineStr">
        <is>
          <t>&gt;60% bueno; 30-60% medio; &lt;30% malo</t>
        </is>
      </c>
      <c r="G59" s="56" t="inlineStr">
        <is>
          <t>Medio</t>
        </is>
      </c>
    </row>
    <row r="60">
      <c r="A60" s="57" t="inlineStr">
        <is>
          <t>2</t>
        </is>
      </c>
      <c r="B60" s="57" t="inlineStr">
        <is>
          <t>Porcentaje de suelo desnudo</t>
        </is>
      </c>
      <c r="C60" s="57" t="inlineStr">
        <is>
          <t>%</t>
        </is>
      </c>
      <c r="D60" s="57" t="inlineStr">
        <is>
          <t>12</t>
        </is>
      </c>
      <c r="E60" s="57" t="inlineStr">
        <is>
          <t>Estimación visual + Foto F08 (talud)</t>
        </is>
      </c>
      <c r="F60" s="57" t="inlineStr">
        <is>
          <t>&lt;10% bueno; 10-30% medio; &gt;30% malo</t>
        </is>
      </c>
      <c r="G60" s="57" t="inlineStr">
        <is>
          <t>Medio</t>
        </is>
      </c>
    </row>
    <row r="61">
      <c r="A61" s="56" t="inlineStr">
        <is>
          <t>3</t>
        </is>
      </c>
      <c r="B61" s="56" t="inlineStr">
        <is>
          <t>Densidad de cárcavas</t>
        </is>
      </c>
      <c r="C61" s="56" t="inlineStr">
        <is>
          <t>N°/ha</t>
        </is>
      </c>
      <c r="D61" s="56" t="inlineStr">
        <is>
          <t>0.27</t>
        </is>
      </c>
      <c r="E61" s="56" t="inlineStr">
        <is>
          <t>Inventario campo (3 cárcavas / 11.06 ha)</t>
        </is>
      </c>
      <c r="F61" s="56" t="inlineStr">
        <is>
          <t>0 nulo; 1-3 medio; &gt;3 alto</t>
        </is>
      </c>
      <c r="G61" s="56" t="inlineStr">
        <is>
          <t>Medio</t>
        </is>
      </c>
    </row>
    <row r="62">
      <c r="A62" s="57" t="inlineStr">
        <is>
          <t>4</t>
        </is>
      </c>
      <c r="B62" s="57" t="inlineStr">
        <is>
          <t>Presencia de especies invasoras</t>
        </is>
      </c>
      <c r="C62" s="57" t="inlineStr">
        <is>
          <t>% área</t>
        </is>
      </c>
      <c r="D62" s="57" t="inlineStr">
        <is>
          <t>30</t>
        </is>
      </c>
      <c r="E62" s="57" t="inlineStr">
        <is>
          <t>Cobertura kikuyo + pino radiata (estimación campo)</t>
        </is>
      </c>
      <c r="F62" s="57" t="inlineStr">
        <is>
          <t>&lt;5% bueno; 5-20% medio; &gt;20% alto</t>
        </is>
      </c>
      <c r="G62" s="57" t="inlineStr">
        <is>
          <t>Alto</t>
        </is>
      </c>
    </row>
    <row r="63">
      <c r="A63" s="56" t="inlineStr">
        <is>
          <t>5</t>
        </is>
      </c>
      <c r="B63" s="56" t="inlineStr">
        <is>
          <t>Carga ganadera estimada</t>
        </is>
      </c>
      <c r="C63" s="56" t="inlineStr">
        <is>
          <t>UA/ha</t>
        </is>
      </c>
      <c r="D63" s="56" t="inlineStr">
        <is>
          <t>2.5</t>
        </is>
      </c>
      <c r="E63" s="56" t="inlineStr">
        <is>
          <t>Estimación pastoreo extensivo (UA/ha)</t>
        </is>
      </c>
      <c r="F63" s="56" t="inlineStr">
        <is>
          <t>Según tipo de ecosistema</t>
        </is>
      </c>
      <c r="G63" s="56" t="inlineStr">
        <is>
          <t>Alto</t>
        </is>
      </c>
    </row>
    <row r="64">
      <c r="A64" s="57" t="inlineStr">
        <is>
          <t>6</t>
        </is>
      </c>
      <c r="B64" s="57" t="inlineStr">
        <is>
          <t>Frecuencia de quemas últimos 5 años</t>
        </is>
      </c>
      <c r="C64" s="57" t="inlineStr">
        <is>
          <t>N°</t>
        </is>
      </c>
      <c r="D64" s="57" t="inlineStr">
        <is>
          <t>3</t>
        </is>
      </c>
      <c r="E64" s="57" t="inlineStr">
        <is>
          <t>Información comunal (consulta verbal en ronda)</t>
        </is>
      </c>
      <c r="F64" s="57" t="inlineStr">
        <is>
          <t>0 nulo; 1-2 medio; &gt;2 alto</t>
        </is>
      </c>
      <c r="G64" s="57" t="inlineStr">
        <is>
          <t>Alto</t>
        </is>
      </c>
    </row>
    <row r="65">
      <c r="A65" s="56" t="inlineStr">
        <is>
          <t>7</t>
        </is>
      </c>
      <c r="B65" s="56" t="inlineStr">
        <is>
          <t>% área con pendiente &gt;50%</t>
        </is>
      </c>
      <c r="C65" s="56" t="inlineStr">
        <is>
          <t>%</t>
        </is>
      </c>
      <c r="D65" s="56" t="inlineStr">
        <is>
          <t>20</t>
        </is>
      </c>
      <c r="E65" s="56" t="inlineStr">
        <is>
          <t>DEM SRTM 30 m (gabinete) + verificación campo</t>
        </is>
      </c>
      <c r="F65" s="56" t="inlineStr">
        <is>
          <t>Factor de susceptibilidad</t>
        </is>
      </c>
      <c r="G65" s="56" t="inlineStr">
        <is>
          <t>Medio</t>
        </is>
      </c>
    </row>
    <row r="66">
      <c r="A66" s="57" t="inlineStr">
        <is>
          <t>8</t>
        </is>
      </c>
      <c r="B66" s="57" t="inlineStr">
        <is>
          <t>Distancia a vía vecinal más cercana</t>
        </is>
      </c>
      <c r="C66" s="57" t="inlineStr">
        <is>
          <t>m</t>
        </is>
      </c>
      <c r="D66" s="57" t="inlineStr">
        <is>
          <t>50</t>
        </is>
      </c>
      <c r="E66" s="57" t="inlineStr">
        <is>
          <t>Trocha vecinal afirmada bordea el flanco sur</t>
        </is>
      </c>
      <c r="F66" s="57" t="inlineStr">
        <is>
          <t>A menor distancia → mayor presión</t>
        </is>
      </c>
      <c r="G66" s="57" t="inlineStr">
        <is>
          <t>Alto</t>
        </is>
      </c>
    </row>
    <row r="68">
      <c r="A68" s="54" t="inlineStr">
        <is>
          <t>F-DT-05 · FUENTES DE AGUA INVENTARIADAS</t>
        </is>
      </c>
    </row>
    <row r="69">
      <c r="A69" s="55" t="inlineStr">
        <is>
          <t>N.o</t>
        </is>
      </c>
      <c r="B69" s="55" t="inlineStr">
        <is>
          <t>Tipo de fuente</t>
        </is>
      </c>
      <c r="C69" s="55" t="inlineStr">
        <is>
          <t>UTM ESTE</t>
        </is>
      </c>
      <c r="D69" s="55" t="inlineStr">
        <is>
          <t>UTM NORTE</t>
        </is>
      </c>
      <c r="E69" s="55" t="inlineStr">
        <is>
          <t>Régimen</t>
        </is>
      </c>
      <c r="F69" s="55" t="inlineStr">
        <is>
          <t>Calidad</t>
        </is>
      </c>
      <c r="G69" s="55" t="inlineStr">
        <is>
          <t>Distancia (m)</t>
        </is>
      </c>
      <c r="H69" s="55" t="inlineStr">
        <is>
          <t>Uso / observación</t>
        </is>
      </c>
    </row>
    <row r="70">
      <c r="A70" s="56" t="inlineStr">
        <is>
          <t>1</t>
        </is>
      </c>
      <c r="B70" s="56" t="inlineStr">
        <is>
          <t>Quebrada estacional</t>
        </is>
      </c>
      <c r="C70" s="61" t="n">
        <v>641450</v>
      </c>
      <c r="D70" s="61" t="n">
        <v>9438050</v>
      </c>
      <c r="E70" s="56" t="inlineStr">
        <is>
          <t>Estacional (lluvias)</t>
        </is>
      </c>
      <c r="F70" s="56" t="inlineStr">
        <is>
          <t>No evaluable</t>
        </is>
      </c>
      <c r="G70" s="61" t="n">
        <v>50</v>
      </c>
      <c r="H70" s="56" t="inlineStr">
        <is>
          <t>Drenaje natural Q9575 al sur del bloque; cauce con vegetación riparia</t>
        </is>
      </c>
    </row>
    <row r="71">
      <c r="A71" s="57" t="inlineStr">
        <is>
          <t>2</t>
        </is>
      </c>
      <c r="B71" s="57" t="inlineStr">
        <is>
          <t>Manantial / Puquio</t>
        </is>
      </c>
      <c r="C71" s="63" t="n">
        <v>641680</v>
      </c>
      <c r="D71" s="63" t="n">
        <v>9437950</v>
      </c>
      <c r="E71" s="57" t="inlineStr">
        <is>
          <t>Permanente</t>
        </is>
      </c>
      <c r="F71" s="57" t="inlineStr">
        <is>
          <t>Buena (clara, sin olor, sin sedimentos)</t>
        </is>
      </c>
      <c r="G71" s="64" t="n">
        <v>0</v>
      </c>
      <c r="H71" s="57" t="inlineStr">
        <is>
          <t>Manantial pequeño dentro del bloque (a confirmar por SIG); humedad evidente en Foto F13</t>
        </is>
      </c>
    </row>
    <row r="74">
      <c r="A74" s="54" t="inlineStr">
        <is>
          <t>OBSERVACIONES DEL EVALUADOR POR FICHA</t>
        </is>
      </c>
    </row>
    <row r="75">
      <c r="A75" s="55" t="inlineStr">
        <is>
          <t>Ficha</t>
        </is>
      </c>
      <c r="B75" s="55" t="inlineStr">
        <is>
          <t>Observación registrada en campo</t>
        </is>
      </c>
    </row>
    <row r="76">
      <c r="A76" s="56" t="inlineStr">
        <is>
          <t>F-DT-01</t>
        </is>
      </c>
      <c r="B76" s="56" t="inlineStr">
        <is>
          <t>Cluster de bloques B52-B49-B55 en microcuenca C1086-Q9575 (zona Z09). Acceso por carretera departamental PI-124 (Yamango–Choco) y trocha vecinal afirmada hasta el punto donde se estacionó la camioneta; ingreso al polígono efectivo por caminata desde el lado sur del bloque. Pendiente media observada en transectos GE: 24.3% y 32.9%; pendiente máxima local: 55.9% (sector noreste). Talud de trocha presenta evidencia de derrumbe coluvial reciente (Foto F14).</t>
        </is>
      </c>
    </row>
    <row r="77">
      <c r="A77" s="57" t="inlineStr">
        <is>
          <t>F-DT-02</t>
        </is>
      </c>
      <c r="B77" s="57" t="inlineStr">
        <is>
          <t>Procesos erosivos dominados por compactación y formación de surcos asociados a senderos de pastoreo extensivo (bovino-ovino) sobre laderas de pendiente moderada a fuerte. Los rasgos más severos se concentran en el corte del talud de la trocha de acceso (Foto F14), donde el material coluvial alterado de matriz arcillo-limosa presenta caídas recientes que reducen la transitabilidad. La densidad de cárcavas dentro del bloque (≈0.27 cárcavas/ha en 11.06 ha) es baja; sin embargo, su actividad sostenida indica un proceso de degradación lento pero progresivo cuya control mediante zanjas de infiltración, clausura temporal y prácticas de manejo ganadero es factible.</t>
        </is>
      </c>
    </row>
    <row r="78">
      <c r="A78" s="56" t="inlineStr">
        <is>
          <t>F-DT-03</t>
        </is>
      </c>
      <c r="B78" s="56" t="inlineStr">
        <is>
          <t>La unidad productora (UP) corresponde a un mosaico agroecosistémico altoandino derivado de la conversión histórica de bosque relictual montano (asignable a la categoría Bosque Relicto Montano de la Vertiente Occidental — BMVO según MINAM 2018) a pastizal cultivado y mixto. Los relictos arbóreos persisten en crestas y laderas inaccesibles (Foto F13) y conservan especies clave de alto valor ecológico y de conservación. La nomenclatura científica preliminar se basa en referentes regionales (Sánchez &amp; Grados 2007 — Bosque Mijal, Chalaco; Farfán 2007 — Bosque Cuyas, Ayabaca) y requiere confirmación mediante colecta botánica posterior.</t>
        </is>
      </c>
    </row>
    <row r="79">
      <c r="A79" s="57" t="inlineStr">
        <is>
          <t>F-DT-04</t>
        </is>
      </c>
      <c r="B79" s="57" t="inlineStr">
        <is>
          <t>La degradación es de tipo crónico-extensivo: la matriz del bloque ha alcanzado un nuevo equilibrio en pastizal antrópico, con los relictos arbóreos confinados a refugios topográficos. La restauración pasiva en su conjunto es factible mediante clausura temporal, manejo de carga ganadera, control de quemas y enriquecimiento progresivo con especies nativas (Aliso, Queñual, Nogal). Los antecedentes de la Cooperativa Norandino en Yamango (CP Choco, 2800-3350 msnm) validan la factibilidad técnica.</t>
        </is>
      </c>
    </row>
    <row r="80">
      <c r="A80" s="56" t="inlineStr">
        <is>
          <t>F-DT-05</t>
        </is>
      </c>
      <c r="B80" s="56" t="inlineStr">
        <is>
          <t>El bloque B52 se ubica en cabecera de la microcuenca C1086-Q9575, función reguladora hídrica relevante para los sistemas de agua de uso doméstico aguas abajo. La presencia de manantiales y humedad persistente en los relictos confirma el rol del bloque como zona de recarga. El acceso es factible en época seca con caminata corta; en época lluviosa la trocha de acceso pierde transitabilidad por el talud de derrumbe (Foto F14), lo cual condiciona la ventana operativa de obras y plantaciones.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52</t>
        </is>
      </c>
    </row>
    <row r="7">
      <c r="A7" s="54" t="inlineStr">
        <is>
          <t>Hechos declarados por fuente</t>
        </is>
      </c>
    </row>
    <row r="8">
      <c r="A8" s="55" t="inlineStr">
        <is>
          <t>Fuente</t>
        </is>
      </c>
      <c r="B8" s="55" t="inlineStr">
        <is>
          <t>Hechos</t>
        </is>
      </c>
    </row>
    <row r="9">
      <c r="A9" s="56" t="inlineStr">
        <is>
          <t>Dato de campo</t>
        </is>
      </c>
      <c r="B9" s="56" t="n">
        <v>64</v>
      </c>
    </row>
    <row r="10">
      <c r="A10" s="57" t="inlineStr">
        <is>
          <t>Gabinete (GIS / teledetección)</t>
        </is>
      </c>
      <c r="B10" s="57" t="n">
        <v>23</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97</v>
      </c>
    </row>
    <row r="31">
      <c r="A31" s="57" t="inlineStr">
        <is>
          <t>COMPLEMENTADO</t>
        </is>
      </c>
      <c r="B31" s="57" t="n">
        <v>2</v>
      </c>
    </row>
    <row r="32">
      <c r="A32" s="56" t="inlineStr">
        <is>
          <t>ACTUALIZADO</t>
        </is>
      </c>
      <c r="B32" s="56" t="n">
        <v>2</v>
      </c>
    </row>
    <row r="33">
      <c r="A33" s="57" t="inlineStr">
        <is>
          <t>DISCREPANTE</t>
        </is>
      </c>
      <c r="B33" s="57" t="n">
        <v>0</v>
      </c>
    </row>
    <row r="34">
      <c r="A34" s="56" t="inlineStr">
        <is>
          <t>PENDIENTE</t>
        </is>
      </c>
      <c r="B34" s="56" t="n">
        <v>13</v>
      </c>
    </row>
    <row r="51">
      <c r="A51" s="54" t="inlineStr">
        <is>
          <t>Cobertura por estrato — campo (%)</t>
        </is>
      </c>
    </row>
    <row r="52">
      <c r="A52" s="55" t="inlineStr">
        <is>
          <t>Estrato</t>
        </is>
      </c>
      <c r="B52" s="55" t="inlineStr">
        <is>
          <t>% del área</t>
        </is>
      </c>
    </row>
    <row r="53">
      <c r="A53" s="56" t="inlineStr">
        <is>
          <t>Dosel</t>
        </is>
      </c>
      <c r="B53" s="61" t="n">
        <v>15</v>
      </c>
    </row>
    <row r="54">
      <c r="A54" s="57" t="inlineStr">
        <is>
          <t>Herbácea</t>
        </is>
      </c>
      <c r="B54" s="63" t="n">
        <v>60</v>
      </c>
    </row>
    <row r="55">
      <c r="A55" s="56" t="inlineStr">
        <is>
          <t>Suelo desnudo</t>
        </is>
      </c>
      <c r="B55" s="61" t="n">
        <v>12</v>
      </c>
    </row>
    <row r="72">
      <c r="A72" s="54" t="inlineStr">
        <is>
          <t>Causas activas de degradación (F-DT-04)</t>
        </is>
      </c>
    </row>
    <row r="73">
      <c r="A73" s="55" t="inlineStr">
        <is>
          <t>Causa</t>
        </is>
      </c>
      <c r="B73" s="55" t="inlineStr">
        <is>
          <t>Intensidad (1 ligera - 4 muy fuerte)</t>
        </is>
      </c>
    </row>
    <row r="74">
      <c r="A74" s="56" t="inlineStr">
        <is>
          <t>Cambio de uso a pastoreo</t>
        </is>
      </c>
      <c r="B74" s="56" t="n">
        <v>4</v>
      </c>
    </row>
    <row r="75">
      <c r="A75" s="57" t="inlineStr">
        <is>
          <t>Sobrepastoreo (caprino/vacuno)</t>
        </is>
      </c>
      <c r="B75" s="57" t="n">
        <v>4</v>
      </c>
    </row>
    <row r="76">
      <c r="A76" s="56" t="inlineStr">
        <is>
          <t>Erosión natural severa</t>
        </is>
      </c>
      <c r="B76" s="56" t="n">
        <v>2</v>
      </c>
    </row>
    <row r="77">
      <c r="A77" s="57" t="inlineStr">
        <is>
          <t>Especies invasoras</t>
        </is>
      </c>
      <c r="B77" s="57" t="n">
        <v>2</v>
      </c>
    </row>
    <row r="78">
      <c r="A78" s="56" t="inlineStr">
        <is>
          <t>Quema (renovación de pastos)</t>
        </is>
      </c>
      <c r="B78" s="56" t="n">
        <v>2</v>
      </c>
    </row>
    <row r="79">
      <c r="A79" s="57" t="inlineStr">
        <is>
          <t>Sequía prolongada / CC</t>
        </is>
      </c>
      <c r="B79" s="57" t="n">
        <v>2</v>
      </c>
    </row>
    <row r="80">
      <c r="A80" s="56" t="inlineStr">
        <is>
          <t>Tala para leña</t>
        </is>
      </c>
      <c r="B80" s="56" t="n">
        <v>2</v>
      </c>
    </row>
    <row r="81">
      <c r="A81" s="57" t="inlineStr">
        <is>
          <t>Cambio de uso a agricultura</t>
        </is>
      </c>
      <c r="B81" s="57" t="n">
        <v>1</v>
      </c>
    </row>
    <row r="82">
      <c r="A82" s="56" t="inlineStr">
        <is>
          <t>Expansión urbana / vial</t>
        </is>
      </c>
      <c r="B82" s="56" t="n">
        <v>1</v>
      </c>
    </row>
    <row r="83">
      <c r="A83" s="57" t="inlineStr">
        <is>
          <t>Tala para madera</t>
        </is>
      </c>
      <c r="B83" s="57" t="n">
        <v>1</v>
      </c>
    </row>
    <row r="100">
      <c r="A100" s="54" t="inlineStr">
        <is>
          <t>Control de consistencia por calificación</t>
        </is>
      </c>
    </row>
    <row r="101">
      <c r="A101" s="55" t="inlineStr">
        <is>
          <t>Calificación</t>
        </is>
      </c>
      <c r="B101" s="55" t="inlineStr">
        <is>
          <t>Verificaciones</t>
        </is>
      </c>
    </row>
    <row r="102">
      <c r="A102" s="56" t="inlineStr">
        <is>
          <t>SUSTANTIVA</t>
        </is>
      </c>
      <c r="B102" s="56" t="n">
        <v>2</v>
      </c>
    </row>
    <row r="103">
      <c r="A103" s="57" t="inlineStr">
        <is>
          <t>NO SUSTANTIVA</t>
        </is>
      </c>
      <c r="B103" s="57" t="n">
        <v>2</v>
      </c>
    </row>
    <row r="104">
      <c r="A104" s="56" t="inlineStr">
        <is>
          <t>CORREGIDO</t>
        </is>
      </c>
      <c r="B104" s="56" t="n">
        <v>2</v>
      </c>
    </row>
    <row r="105">
      <c r="A105" s="57" t="inlineStr">
        <is>
          <t>CONFORME</t>
        </is>
      </c>
      <c r="B105"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52 — IN Piura</dc:title>
  <dc:subject>Diagnóstico Territorial por bloque de intervención</dc:subject>
  <dcterms:created xsi:type="dcterms:W3CDTF">2026-09-08T03:39:56Z</dcterms:created>
  <dcterms:modified xsi:type="dcterms:W3CDTF">2026-09-11T20:22:29Z</dcterms:modified>
</cp:coreProperties>
</file>