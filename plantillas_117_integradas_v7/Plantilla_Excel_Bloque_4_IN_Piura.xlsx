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integración'!B46</f>
            </strRef>
          </tx>
          <spPr>
            <a:ln>
              <a:prstDash val="solid"/>
            </a:ln>
          </spPr>
          <cat>
            <numRef>
              <f>'Gráficos de integración'!$A$47:$A$53</f>
            </numRef>
          </cat>
          <val>
            <numRef>
              <f>'Gráficos de integración'!$B$47:$B$53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integración'!B65</f>
            </strRef>
          </tx>
          <spPr>
            <a:ln>
              <a:prstDash val="solid"/>
            </a:ln>
          </spPr>
          <cat>
            <numRef>
              <f>'Gráficos de integración'!$A$66:$A$69</f>
            </numRef>
          </cat>
          <val>
            <numRef>
              <f>'Gráficos de integración'!$B$66:$B$69</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4320000" cy="288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4</t>
        </is>
      </c>
    </row>
    <row r="6" ht="24" customHeight="1">
      <c r="A6" s="4" t="inlineStr">
        <is>
          <t>Diagnóstico Territorial — Plantilla DT Campo Check Validada V5 | Sistema de referencia: UTM WGS 84 Zona 17S (EPSG:32717) · Integrado con la ficha de campo F-DT vigente (Plantilla_DT_Campo_Bloque4_IN_Piura.xlsx) — V7 - resumen V6 + campo F-DT integrado</t>
        </is>
      </c>
    </row>
    <row r="7"/>
    <row r="8" ht="18" customHeight="1">
      <c r="A8" s="5" t="inlineStr">
        <is>
          <t>1. IDENTIFICACIÓN Y LOCALIZACIÓN</t>
        </is>
      </c>
    </row>
    <row r="9">
      <c r="A9" s="6" t="inlineStr">
        <is>
          <t>Código del bloque</t>
        </is>
      </c>
      <c r="B9" s="7" t="inlineStr">
        <is>
          <t>4</t>
        </is>
      </c>
      <c r="C9" s="6" t="inlineStr">
        <is>
          <t>Microcuenca (catálogo)</t>
        </is>
      </c>
      <c r="D9" s="7" t="inlineStr">
        <is>
          <t>C1076-Q9588</t>
        </is>
      </c>
      <c r="E9" s="8" t="n"/>
      <c r="F9" s="8" t="n"/>
    </row>
    <row r="10">
      <c r="A10" s="6" t="inlineStr">
        <is>
          <t>Zona de planificación</t>
        </is>
      </c>
      <c r="B10" s="7" t="inlineStr">
        <is>
          <t>Z14</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San Antonio de Succhirca / La Rinconada</t>
        </is>
      </c>
      <c r="C13" s="6" t="inlineStr">
        <is>
          <t>Comunidad campesina</t>
        </is>
      </c>
      <c r="D13" s="7" t="inlineStr">
        <is>
          <t>Por verificar</t>
        </is>
      </c>
      <c r="E13" s="8" t="n"/>
      <c r="F13" s="8" t="n"/>
    </row>
    <row r="14">
      <c r="A14" s="6" t="inlineStr">
        <is>
          <t>Superficie de catálogo (V5/V6), ha</t>
        </is>
      </c>
      <c r="B14" s="7" t="n">
        <v>230.1</v>
      </c>
      <c r="C14" s="6" t="inlineStr">
        <is>
          <t>Fuente de superficie</t>
        </is>
      </c>
      <c r="D14" s="7" t="inlineStr">
        <is>
          <t>Catálogo maestro Bloques V5/V6</t>
        </is>
      </c>
      <c r="E14" s="8" t="n"/>
      <c r="F14" s="8" t="n"/>
    </row>
    <row r="15">
      <c r="A15" s="6" t="inlineStr">
        <is>
          <t>Centroide UTM ESTE (m)</t>
        </is>
      </c>
      <c r="B15" s="7" t="n">
        <v>656549</v>
      </c>
      <c r="C15" s="6" t="inlineStr">
        <is>
          <t>Centroide UTM NORTE (m)</t>
        </is>
      </c>
      <c r="D15" s="7" t="n">
        <v>9382009</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1378</v>
      </c>
      <c r="C19" s="6" t="inlineStr">
        <is>
          <t>Altitud máxima (msnm)</t>
        </is>
      </c>
      <c r="D19" s="7" t="n">
        <v>2318</v>
      </c>
      <c r="E19" s="8" t="n"/>
      <c r="F19" s="8" t="n"/>
    </row>
    <row r="20">
      <c r="A20" s="6" t="inlineStr">
        <is>
          <t>Amplitud altitudinal (m)</t>
        </is>
      </c>
      <c r="B20" s="7" t="n">
        <v>940</v>
      </c>
      <c r="C20" s="6" t="inlineStr">
        <is>
          <t>Piso altitudinal dominante</t>
        </is>
      </c>
      <c r="D20" s="7" t="inlineStr">
        <is>
          <t>1500-2000 m (Quechua media)</t>
        </is>
      </c>
      <c r="E20" s="8" t="n"/>
      <c r="F20" s="8" t="n"/>
    </row>
    <row r="21">
      <c r="A21" s="6" t="inlineStr">
        <is>
          <t>Pendiente promedio (%)</t>
        </is>
      </c>
      <c r="B21" s="7" t="n">
        <v>35.01</v>
      </c>
      <c r="C21" s="6" t="inlineStr">
        <is>
          <t>Pendiente promedio (grados)</t>
        </is>
      </c>
      <c r="D21" s="7" t="n">
        <v>19.3</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0.6601</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(88.10 %)</t>
        </is>
      </c>
      <c r="E29" s="8" t="n"/>
      <c r="F29" s="8" t="n"/>
    </row>
    <row r="30">
      <c r="A30" s="6" t="inlineStr">
        <is>
          <t>Superficie clasificada NDVI 2025 (ha)</t>
        </is>
      </c>
      <c r="B30" s="7" t="n">
        <v>230.143</v>
      </c>
      <c r="C30" s="6" t="inlineStr">
        <is>
          <t>Desviación frente al catálogo (%)</t>
        </is>
      </c>
      <c r="D30" s="7" t="n">
        <v>0.02</v>
      </c>
      <c r="E30" s="8" t="n"/>
      <c r="F30" s="8" t="n"/>
    </row>
    <row r="31">
      <c r="A31" s="6" t="inlineStr">
        <is>
          <t>Superficie clasificada MSAVI 2024 (ha)</t>
        </is>
      </c>
      <c r="B31" s="37" t="n">
        <v>230.098</v>
      </c>
      <c r="C31" s="6" t="inlineStr">
        <is>
          <t>Desviación MSAVI frente al catálogo (%)</t>
        </is>
      </c>
      <c r="D31" s="38" t="n">
        <v>0</v>
      </c>
      <c r="E31" s="8" t="n"/>
      <c r="F31" s="8" t="n"/>
    </row>
    <row r="32">
      <c r="A32" s="6" t="inlineStr">
        <is>
          <t>Superficie bajo umbral MSAVI 0.4976 (ha)</t>
        </is>
      </c>
      <c r="B32" s="37" t="n">
        <v>21.228</v>
      </c>
      <c r="C32" s="6" t="inlineStr">
        <is>
          <t>% del bloque bajo umbral (brecha espectral)</t>
        </is>
      </c>
      <c r="D32" s="38" t="n">
        <v>9.23</v>
      </c>
      <c r="E32" s="8" t="n"/>
      <c r="F32" s="8" t="n"/>
    </row>
    <row r="33">
      <c r="A33" s="6" t="inlineStr">
        <is>
          <t>Clase DN dominante (MSAVI 2024)</t>
        </is>
      </c>
      <c r="B33" s="7" t="inlineStr">
        <is>
          <t>DN 5 · &gt; 0.6139 (Vigor alto)</t>
        </is>
      </c>
      <c r="C33" s="6" t="inlineStr">
        <is>
          <t>N.° de polígonos MSAVI del bloque</t>
        </is>
      </c>
      <c r="D33" s="39" t="n">
        <v>557</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230.10 ha declaradas como Zona agrícola (100% del bloque)</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91</v>
      </c>
      <c r="E38" s="8" t="n"/>
      <c r="F38" s="8" t="n"/>
    </row>
    <row r="39">
      <c r="A39" s="6" t="inlineStr">
        <is>
          <t>Suelo desnudo — campo (%)</t>
        </is>
      </c>
      <c r="B39" s="7" t="inlineStr">
        <is>
          <t>Por determinar</t>
        </is>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10</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Pedro Talledo Hernández</t>
        </is>
      </c>
      <c r="C44" s="6" t="inlineStr">
        <is>
          <t>Fecha de evaluación</t>
        </is>
      </c>
      <c r="D44" s="7" t="inlineStr">
        <is>
          <t>2026-08-20</t>
        </is>
      </c>
      <c r="E44" s="8" t="n"/>
      <c r="F44" s="8" t="n"/>
    </row>
    <row r="45">
      <c r="A45" s="6" t="inlineStr">
        <is>
          <t>Hora de registro</t>
        </is>
      </c>
      <c r="B45" s="7" t="inlineStr">
        <is>
          <t>09:23 - 10:50 h</t>
        </is>
      </c>
      <c r="C45" s="6" t="inlineStr">
        <is>
          <t>Correlativo de ficha</t>
        </is>
      </c>
      <c r="D45" s="7" t="inlineStr">
        <is>
          <t>DT-B4-001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 (observación libre desde estaciones exteriores)</t>
        </is>
      </c>
      <c r="E47" s="8" t="n"/>
      <c r="F47" s="8" t="n"/>
    </row>
    <row r="48">
      <c r="A48" s="6" t="inlineStr">
        <is>
          <t>Estaciones fotográficas georreferenciadas</t>
        </is>
      </c>
      <c r="B48" s="7" t="n">
        <v>12</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49" t="inlineStr">
        <is>
          <t>Estructura de tenencia y de subsistencia familiar: la economía local del sector San Antonio de Succhirca – La Rinconada descansa en el cultivo de café y plátano en ladera, sin alternativas de ingreso ni de manejo que contengan el ascenso altitudinal de la frontera agrícola. La degradación no es un abandono del territorio sino su intensificación productiva sobre pendientes de 35 % promedio.</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4</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1" t="n">
        <v>165.0947</v>
      </c>
      <c r="C10" s="30">
        <f>ROUND(B10/$B$15*100,2)</f>
        <v/>
      </c>
      <c r="D10" s="12" t="inlineStr">
        <is>
          <t>Vigor alto</t>
        </is>
      </c>
      <c r="E10" s="12" t="inlineStr">
        <is>
          <t>Sobre umbral</t>
        </is>
      </c>
    </row>
    <row r="11">
      <c r="A11" s="13" t="inlineStr">
        <is>
          <t>0.4976 - 0.6139 · DN 4</t>
        </is>
      </c>
      <c r="B11" s="20" t="n">
        <v>43.7754</v>
      </c>
      <c r="C11" s="21">
        <f>ROUND(B11/$B$15*100,2)</f>
        <v/>
      </c>
      <c r="D11" s="14" t="inlineStr">
        <is>
          <t>Vigor moderado</t>
        </is>
      </c>
      <c r="E11" s="14" t="inlineStr">
        <is>
          <t>Sobre umbral</t>
        </is>
      </c>
    </row>
    <row r="12">
      <c r="A12" s="7" t="inlineStr">
        <is>
          <t>0.3813 - 0.4976 · DN 3</t>
        </is>
      </c>
      <c r="B12" s="18" t="n">
        <v>18.2778</v>
      </c>
      <c r="C12" s="19">
        <f>ROUND(B12/$B$15*100,2)</f>
        <v/>
      </c>
      <c r="D12" s="15" t="inlineStr">
        <is>
          <t>Vigor bajo</t>
        </is>
      </c>
      <c r="E12" s="15" t="inlineStr">
        <is>
          <t>BAJO umbral 0.4976</t>
        </is>
      </c>
    </row>
    <row r="13">
      <c r="A13" s="13" t="inlineStr">
        <is>
          <t>0.2650 - 0.3813 · DN 2</t>
        </is>
      </c>
      <c r="B13" s="20" t="n">
        <v>2.2581</v>
      </c>
      <c r="C13" s="21">
        <f>ROUND(B13/$B$15*100,2)</f>
        <v/>
      </c>
      <c r="D13" s="14" t="inlineStr">
        <is>
          <t>Vigor muy bajo</t>
        </is>
      </c>
      <c r="E13" s="14" t="inlineStr">
        <is>
          <t>BAJO umbral 0.4976</t>
        </is>
      </c>
    </row>
    <row r="14">
      <c r="A14" s="7" t="inlineStr">
        <is>
          <t>&lt;= 0.2650 · DN 1</t>
        </is>
      </c>
      <c r="B14" s="18" t="n">
        <v>0.6923</v>
      </c>
      <c r="C14" s="19">
        <f>ROUND(B14/$B$15*100,2)</f>
        <v/>
      </c>
      <c r="D14" s="15" t="inlineStr">
        <is>
          <t>Suelo desnudo / no vegetal</t>
        </is>
      </c>
      <c r="E14" s="15" t="inlineStr">
        <is>
          <t>BAJO umbral 0.4976</t>
        </is>
      </c>
    </row>
    <row r="15" ht="30" customHeight="1">
      <c r="A15" s="42" t="inlineStr">
        <is>
          <t>TOTAL CLASIFICADO MSAVI 2024</t>
        </is>
      </c>
      <c r="B15" s="43">
        <f>SUM(B10:B14)</f>
        <v/>
      </c>
      <c r="C15" s="44">
        <f>SUM(C10:C14)</f>
        <v/>
      </c>
      <c r="D15" s="42" t="inlineStr">
        <is>
          <t>Suma de la distribución areal · 557 polígonos</t>
        </is>
      </c>
      <c r="E15" s="42" t="inlineStr">
        <is>
          <t>—</t>
        </is>
      </c>
    </row>
    <row r="16" ht="30" customHeight="1">
      <c r="A16" s="45" t="inlineStr">
        <is>
          <t>Superficie SOBRE umbral 0.4976 (ha)</t>
        </is>
      </c>
      <c r="B16" s="46">
        <f>SUM(B10:B11)</f>
        <v/>
      </c>
      <c r="C16" s="47">
        <f>ROUND(B16/B15*100,2)</f>
        <v/>
      </c>
      <c r="D16" s="45" t="inlineStr">
        <is>
          <t>Vigor alto y moderado (DN 4 y DN 5)</t>
        </is>
      </c>
      <c r="E16" s="45" t="inlineStr">
        <is>
          <t>Sobre umbral 0.4976</t>
        </is>
      </c>
    </row>
    <row r="17" ht="30" customHeight="1">
      <c r="A17" s="45" t="inlineStr">
        <is>
          <t>Superficie BAJO umbral 0.4976 (ha) — brecha</t>
        </is>
      </c>
      <c r="B17" s="46">
        <f>SUM(B12:B14)</f>
        <v/>
      </c>
      <c r="C17" s="47">
        <f>ROUND(B17/B15*100,2)</f>
        <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230.1</v>
      </c>
      <c r="C18" s="48" t="inlineStr">
        <is>
          <t>—</t>
        </is>
      </c>
      <c r="D18" s="45" t="inlineStr">
        <is>
          <t>Desviación planimétrica frente al catálogo</t>
        </is>
      </c>
      <c r="E18" s="45" t="inlineStr">
        <is>
          <t>+0.00 %</t>
        </is>
      </c>
    </row>
    <row r="19">
      <c r="A19" s="16" t="inlineStr">
        <is>
          <t>MSAVI 2024 — MEDIA DEL BLOQUE</t>
        </is>
      </c>
      <c r="B19" s="17" t="n">
        <v>0.660111</v>
      </c>
      <c r="C19" s="17" t="inlineStr">
        <is>
          <t>—</t>
        </is>
      </c>
      <c r="D19" s="17" t="inlineStr">
        <is>
          <t>Vigor alto · clase &gt;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557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(0.6601) se conserva del catálogo maestro y es dato oficial; la fila resaltada indica la clase en la que cae dicha media. Los totales y porcentajes se calculan con fórmulas sobre las filas del cuadro.</t>
        </is>
      </c>
      <c r="B21" s="40" t="n"/>
      <c r="C21" s="40" t="n"/>
      <c r="D21" s="40" t="n"/>
      <c r="E21" s="41"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202.7485</v>
      </c>
      <c r="C25" s="19" t="n">
        <v>88.09999999999999</v>
      </c>
      <c r="D25" s="15" t="inlineStr">
        <is>
          <t>Dosel continuo, matorral denso o mosaico agroforestal</t>
        </is>
      </c>
      <c r="E25" s="15" t="inlineStr"/>
    </row>
    <row r="26">
      <c r="A26" s="13" t="inlineStr">
        <is>
          <t>Vegetación mediana</t>
        </is>
      </c>
      <c r="B26" s="20" t="n">
        <v>25.1485</v>
      </c>
      <c r="C26" s="21" t="n">
        <v>10.93</v>
      </c>
      <c r="D26" s="14" t="inlineStr">
        <is>
          <t>Pastizal cultivado, matorral ralo, parcelas agrícolas</t>
        </is>
      </c>
      <c r="E26" s="14" t="inlineStr"/>
    </row>
    <row r="27">
      <c r="A27" s="7" t="inlineStr">
        <is>
          <t>Vegetación ligera</t>
        </is>
      </c>
      <c r="B27" s="18" t="n">
        <v>2.1467</v>
      </c>
      <c r="C27" s="19" t="n">
        <v>0.93</v>
      </c>
      <c r="D27" s="15" t="inlineStr">
        <is>
          <t>Cobertura discontinua, suelo parcialmente expuesto</t>
        </is>
      </c>
      <c r="E27" s="15" t="inlineStr"/>
    </row>
    <row r="28">
      <c r="A28" s="13" t="inlineStr">
        <is>
          <t>Tierra desnuda</t>
        </is>
      </c>
      <c r="B28" s="20" t="n">
        <v>0.0989</v>
      </c>
      <c r="C28" s="21" t="n">
        <v>0.04</v>
      </c>
      <c r="D28" s="14" t="inlineStr">
        <is>
          <t>Suelo desnudo, afloramientos, plataformas y taludes</t>
        </is>
      </c>
      <c r="E28" s="14" t="inlineStr"/>
    </row>
    <row r="29">
      <c r="A29" s="16" t="inlineStr">
        <is>
          <t>TOTAL CLASIFICADO</t>
        </is>
      </c>
      <c r="B29" s="22">
        <f>SUM(B25:B28)</f>
        <v/>
      </c>
      <c r="C29" s="23">
        <f>SUM(C25:C28)</f>
        <v/>
      </c>
      <c r="D29" s="17" t="inlineStr"/>
      <c r="E29" s="17" t="inlineStr"/>
    </row>
    <row r="30">
      <c r="A30" s="24" t="inlineStr">
        <is>
          <t>Superficie de catálogo (V5/V6)</t>
        </is>
      </c>
      <c r="B30" s="25" t="n">
        <v>230.1</v>
      </c>
      <c r="C30" s="25" t="inlineStr">
        <is>
          <t>—</t>
        </is>
      </c>
      <c r="D30" s="25" t="inlineStr">
        <is>
          <t>Desviación planimétrica frente al catálogo</t>
        </is>
      </c>
      <c r="E30" s="25" t="inlineStr">
        <is>
          <t>+0.02 %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91 % frente a un 88.10 % del polígono clasificado como «Vegetación alta» por el NDVI 2025; la observación de campo corresponde a una parcela o recorrido puntual y no es estadísticamente representativa de las 230.100 ha del bloque.</t>
        </is>
      </c>
      <c r="B32" s="40" t="n"/>
      <c r="C32" s="40" t="n"/>
      <c r="D32" s="40" t="n"/>
      <c r="E32" s="41"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4</t>
        </is>
      </c>
    </row>
    <row r="6" ht="24" customHeight="1">
      <c r="A6" s="4" t="inlineStr">
        <is>
          <t>Levantamiento del 2026-08-20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656704</v>
      </c>
      <c r="D10" s="26" t="n">
        <v>9382756</v>
      </c>
      <c r="E10" s="15" t="n">
        <v>762.9</v>
      </c>
      <c r="F10" s="15" t="inlineStr"/>
      <c r="G10" s="15" t="inlineStr">
        <is>
          <t>Coordenada consignada en F-DT-01</t>
        </is>
      </c>
    </row>
    <row r="11">
      <c r="A11" s="13" t="inlineStr">
        <is>
          <t>E-02</t>
        </is>
      </c>
      <c r="B11" s="14" t="inlineStr">
        <is>
          <t>Estación fotográfica</t>
        </is>
      </c>
      <c r="C11" s="27" t="n">
        <v>657482</v>
      </c>
      <c r="D11" s="27" t="n">
        <v>9383238</v>
      </c>
      <c r="E11" s="14" t="n">
        <v>1543</v>
      </c>
      <c r="F11" s="14" t="inlineStr"/>
      <c r="G11" s="14" t="inlineStr">
        <is>
          <t>Registro fotográfico georreferenciado</t>
        </is>
      </c>
    </row>
    <row r="12">
      <c r="A12" s="7" t="inlineStr">
        <is>
          <t>E-03</t>
        </is>
      </c>
      <c r="B12" s="15" t="inlineStr">
        <is>
          <t>Estación fotográfica</t>
        </is>
      </c>
      <c r="C12" s="26" t="n">
        <v>656704</v>
      </c>
      <c r="D12" s="26" t="n">
        <v>9382756</v>
      </c>
      <c r="E12" s="15" t="n">
        <v>762.9</v>
      </c>
      <c r="F12" s="15" t="inlineStr"/>
      <c r="G12" s="15" t="inlineStr">
        <is>
          <t>Registro fotográfico georreferenciado</t>
        </is>
      </c>
    </row>
    <row r="13">
      <c r="A13" s="13" t="inlineStr">
        <is>
          <t>E-05</t>
        </is>
      </c>
      <c r="B13" s="14" t="inlineStr">
        <is>
          <t>Estación fotográfica</t>
        </is>
      </c>
      <c r="C13" s="27" t="n">
        <v>656513</v>
      </c>
      <c r="D13" s="27" t="n">
        <v>9382803</v>
      </c>
      <c r="E13" s="14" t="n">
        <v>794.8</v>
      </c>
      <c r="F13" s="14" t="inlineStr"/>
      <c r="G13" s="14" t="inlineStr">
        <is>
          <t>Registro fotográfico georreferenciado</t>
        </is>
      </c>
    </row>
    <row r="14">
      <c r="A14" s="7" t="inlineStr">
        <is>
          <t>E-06</t>
        </is>
      </c>
      <c r="B14" s="15" t="inlineStr">
        <is>
          <t>Estación fotográfica</t>
        </is>
      </c>
      <c r="C14" s="26" t="n">
        <v>656485</v>
      </c>
      <c r="D14" s="26" t="n">
        <v>9382766</v>
      </c>
      <c r="E14" s="15" t="n">
        <v>759.7</v>
      </c>
      <c r="F14" s="15" t="inlineStr"/>
      <c r="G14" s="15" t="inlineStr">
        <is>
          <t>Registro fotográfico georreferenciado</t>
        </is>
      </c>
    </row>
    <row r="15">
      <c r="A15" s="13" t="inlineStr">
        <is>
          <t>E-07</t>
        </is>
      </c>
      <c r="B15" s="14" t="inlineStr">
        <is>
          <t>Estación fotográfica</t>
        </is>
      </c>
      <c r="C15" s="27" t="n">
        <v>656445</v>
      </c>
      <c r="D15" s="27" t="n">
        <v>9382836</v>
      </c>
      <c r="E15" s="14" t="n">
        <v>833.5</v>
      </c>
      <c r="F15" s="14" t="inlineStr"/>
      <c r="G15" s="14" t="inlineStr">
        <is>
          <t>Registro fotográfico georreferenciado</t>
        </is>
      </c>
    </row>
    <row r="16">
      <c r="A16" s="7" t="inlineStr">
        <is>
          <t>E-09</t>
        </is>
      </c>
      <c r="B16" s="15" t="inlineStr">
        <is>
          <t>Estación fotográfica</t>
        </is>
      </c>
      <c r="C16" s="26" t="n">
        <v>656516</v>
      </c>
      <c r="D16" s="26" t="n">
        <v>9382809</v>
      </c>
      <c r="E16" s="15" t="n">
        <v>800.7</v>
      </c>
      <c r="F16" s="15" t="inlineStr"/>
      <c r="G16" s="15" t="inlineStr">
        <is>
          <t>Registro fotográfico georreferenciado</t>
        </is>
      </c>
    </row>
    <row r="17">
      <c r="A17" s="13" t="inlineStr">
        <is>
          <t>—</t>
        </is>
      </c>
      <c r="B17" s="14" t="inlineStr">
        <is>
          <t>Rasgo erosivo — Surco (&lt;30 cm)</t>
        </is>
      </c>
      <c r="C17" s="27" t="n">
        <v>656445</v>
      </c>
      <c r="D17" s="27" t="n">
        <v>9382836</v>
      </c>
      <c r="E17" s="14" t="n">
        <v>833.5</v>
      </c>
      <c r="F17" s="14" t="inlineStr">
        <is>
          <t>Semi-activa</t>
        </is>
      </c>
      <c r="G17" s="14" t="inlineStr">
        <is>
          <t>Caminos / huellas de ganado</t>
        </is>
      </c>
    </row>
    <row r="18">
      <c r="A18" s="7" t="inlineStr">
        <is>
          <t>—</t>
        </is>
      </c>
      <c r="B18" s="15" t="inlineStr">
        <is>
          <t>Rasgo erosivo — Surco (&lt;30 cm)</t>
        </is>
      </c>
      <c r="C18" s="26" t="n">
        <v>656516</v>
      </c>
      <c r="D18" s="26" t="n">
        <v>9382809</v>
      </c>
      <c r="E18" s="15" t="n">
        <v>800.7</v>
      </c>
      <c r="F18" s="15" t="inlineStr">
        <is>
          <t>Semi-activa</t>
        </is>
      </c>
      <c r="G18" s="15" t="inlineStr">
        <is>
          <t>Caminos / huellas de ganado</t>
        </is>
      </c>
    </row>
    <row r="19">
      <c r="A19" s="13" t="inlineStr">
        <is>
          <t>H-01</t>
        </is>
      </c>
      <c r="B19" s="14" t="inlineStr">
        <is>
          <t>Fuente de agua — Quebrada estacional</t>
        </is>
      </c>
      <c r="C19" s="27" t="n">
        <v>656485</v>
      </c>
      <c r="D19" s="27" t="n">
        <v>9382766</v>
      </c>
      <c r="E19" s="14" t="n">
        <v>759.7</v>
      </c>
      <c r="F19" s="14" t="inlineStr">
        <is>
          <t>Intermitente</t>
        </is>
      </c>
      <c r="G19" s="14" t="inlineStr">
        <is>
          <t>Cauce de fondo plano</t>
        </is>
      </c>
    </row>
    <row r="20">
      <c r="A20" s="7" t="inlineStr">
        <is>
          <t>H-02</t>
        </is>
      </c>
      <c r="B20" s="15" t="inlineStr">
        <is>
          <t>Fuente de agua — Quebrada estacional</t>
        </is>
      </c>
      <c r="C20" s="26" t="n">
        <v>656704</v>
      </c>
      <c r="D20" s="26" t="n">
        <v>9382756</v>
      </c>
      <c r="E20" s="15" t="n">
        <v>762.9</v>
      </c>
      <c r="F20" s="15" t="inlineStr">
        <is>
          <t>Intermitente</t>
        </is>
      </c>
      <c r="G20" s="15" t="inlineStr">
        <is>
          <t>Quebrada encajonada</t>
        </is>
      </c>
    </row>
    <row r="21">
      <c r="A21" s="13" t="inlineStr">
        <is>
          <t>H-03</t>
        </is>
      </c>
      <c r="B21" s="14" t="inlineStr">
        <is>
          <t>Fuente de agua — Otro (reservorio elevado)</t>
        </is>
      </c>
      <c r="C21" s="27" t="n">
        <v>657460</v>
      </c>
      <c r="D21" s="27" t="n">
        <v>9382956</v>
      </c>
      <c r="E21" s="14" t="n">
        <v>1314.1</v>
      </c>
      <c r="F21" s="14" t="inlineStr">
        <is>
          <t>Permanente</t>
        </is>
      </c>
      <c r="G21" s="14" t="inlineStr">
        <is>
          <t>Reservorio elevado</t>
        </is>
      </c>
    </row>
    <row r="22">
      <c r="A22" s="16" t="inlineStr">
        <is>
          <t>TOTAL: 12 puntos</t>
        </is>
      </c>
      <c r="B22" s="17" t="inlineStr"/>
      <c r="C22" s="17" t="inlineStr"/>
      <c r="D22" s="17" t="inlineStr"/>
      <c r="E22" s="17" t="inlineStr"/>
      <c r="F22" s="17" t="inlineStr"/>
      <c r="G22" s="17" t="inlineStr"/>
    </row>
    <row r="24">
      <c r="A24" s="6" t="inlineStr">
        <is>
          <t>Centroide del bloque — UTM ESTE (m)</t>
        </is>
      </c>
      <c r="B24" s="7" t="n">
        <v>656549</v>
      </c>
      <c r="C24" s="6" t="inlineStr">
        <is>
          <t>Centroide del bloque — UTM NORTE (m)</t>
        </is>
      </c>
      <c r="D24" s="7" t="n">
        <v>9382009</v>
      </c>
      <c r="E24" s="8" t="n"/>
      <c r="F24" s="8" t="n"/>
      <c r="G24" s="8" t="n"/>
      <c r="H24" s="8" t="n"/>
    </row>
    <row r="25">
      <c r="A25" s="6" t="inlineStr">
        <is>
          <t>N.° de estaciones fotográficas declaradas</t>
        </is>
      </c>
      <c r="B25" s="7" t="n">
        <v>12</v>
      </c>
      <c r="C25" s="6" t="inlineStr">
        <is>
          <t>Estaciones dentro del polígono</t>
        </is>
      </c>
      <c r="D25" s="7" t="n">
        <v>0</v>
      </c>
      <c r="E25" s="8" t="n"/>
      <c r="F25" s="8" t="n"/>
      <c r="G25" s="8" t="n"/>
      <c r="H25" s="8" t="n"/>
    </row>
    <row r="27" ht="120" customHeight="1">
      <c r="A2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Ficha NO diligenciada en campo; prellenado de gabinete a partir del registro fotográfico georreferenciado del 20-08-2026 (12 tomas, 10 con sello UTM), planos MSAVI 2024 y NDVI 2025, Google Earth y catálogos V4/V5/V6. El punto de muestreo (656704 E / 9382756 N) es la estación E-03, 69 m al norte del límite: NINGUNA estación se localiza dentro del bloque. El registro «No» en reptación, deslizamientos y remociones NO equivale a ausencia verificada. Pendiente promedio MDE: 35.01% (la mayor de la microcuenca C1076-Q9588).</t>
        </is>
      </c>
      <c r="B27" s="40" t="n"/>
      <c r="C27" s="40" t="n"/>
      <c r="D27" s="40" t="n"/>
      <c r="E27" s="40" t="n"/>
      <c r="F27" s="40" t="n"/>
      <c r="G27" s="41" t="n"/>
    </row>
  </sheetData>
  <mergeCells count="8">
    <mergeCell ref="A1:G1"/>
    <mergeCell ref="A27:G2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C1076-Q9588 — BLOQUE 4</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C1076-Q9588</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M12B1</t>
        </is>
      </c>
      <c r="B10" s="28" t="n">
        <v>268.39</v>
      </c>
      <c r="C10" s="19" t="n">
        <v>50.86</v>
      </c>
      <c r="D10" s="15" t="inlineStr">
        <is>
          <t>333 – 821</t>
        </is>
      </c>
      <c r="E10" s="15" t="n">
        <v>488</v>
      </c>
      <c r="F10" s="15" t="n">
        <v>18.18</v>
      </c>
      <c r="G10" s="18" t="n">
        <v>0.3475</v>
      </c>
      <c r="H10" s="19" t="n">
        <v>2.49</v>
      </c>
      <c r="I10" s="19" t="n">
        <v>96.62</v>
      </c>
    </row>
    <row r="11">
      <c r="A11" s="11" t="inlineStr">
        <is>
          <t>► 4</t>
        </is>
      </c>
      <c r="B11" s="29" t="n">
        <v>230.1</v>
      </c>
      <c r="C11" s="30" t="n">
        <v>43.6</v>
      </c>
      <c r="D11" s="12" t="inlineStr">
        <is>
          <t>1378 – 2318</t>
        </is>
      </c>
      <c r="E11" s="12" t="n">
        <v>940</v>
      </c>
      <c r="F11" s="12" t="n">
        <v>35.01</v>
      </c>
      <c r="G11" s="31" t="n">
        <v>0.6601</v>
      </c>
      <c r="H11" s="30" t="n">
        <v>88.09999999999999</v>
      </c>
      <c r="I11" s="30" t="n">
        <v>9.23</v>
      </c>
    </row>
    <row r="12">
      <c r="A12" s="7" t="inlineStr">
        <is>
          <t>74</t>
        </is>
      </c>
      <c r="B12" s="28" t="n">
        <v>29.23</v>
      </c>
      <c r="C12" s="19" t="n">
        <v>5.54</v>
      </c>
      <c r="D12" s="15" t="inlineStr">
        <is>
          <t>663 – 975</t>
        </is>
      </c>
      <c r="E12" s="15" t="n">
        <v>312</v>
      </c>
      <c r="F12" s="15" t="n">
        <v>29.51</v>
      </c>
      <c r="G12" s="18" t="n">
        <v>0.3565</v>
      </c>
      <c r="H12" s="19" t="n">
        <v>3.75</v>
      </c>
      <c r="I12" s="19" t="n">
        <v>99.8</v>
      </c>
    </row>
    <row r="13">
      <c r="A13" s="16" t="inlineStr">
        <is>
          <t>TOTAL / PROMEDIO</t>
        </is>
      </c>
      <c r="B13" s="32">
        <f>SUM(B10:B12)</f>
        <v/>
      </c>
      <c r="C13" s="23">
        <f>SUM(C10:C12)</f>
        <v/>
      </c>
      <c r="D13" s="17" t="inlineStr">
        <is>
          <t>333 – 2318</t>
        </is>
      </c>
      <c r="E13" s="17" t="inlineStr"/>
      <c r="F13" s="17">
        <f>ROUND(AVERAGE(F10:F12),2)</f>
        <v/>
      </c>
      <c r="G13" s="22">
        <f>ROUND(AVERAGE(G10:G12),4)</f>
        <v/>
      </c>
      <c r="H13" s="23">
        <f>ROUND(AVERAGE(H10:H12),2)</f>
        <v/>
      </c>
      <c r="I13" s="23">
        <f>ROUND(AVERAGE(I10:I12),2)</f>
        <v/>
      </c>
    </row>
    <row r="15" ht="84" customHeight="1">
      <c r="A15" s="9" t="inlineStr">
        <is>
          <t>LECTURA INTRAMICROCUENCA. El bloque 4 ocupa el puesto 2 de 3 por superficie dentro de la microcuenca C1076-Q9588 (43.60 % de las 527.72 ha preliminares de la microcuenca). Su pendiente promedio (35.01 %, clase «25-50% (Mod. escarpado)») es la 3.ª más baja de 3 y se sitúa por encima del promedio de la microcuenca (27.57 %). Su MSAVI 2024 (0.6601) es el 1.º de 3 y queda por encima del promedio local (0.4547). Amplitud altitudinal del bloque: 940 m (1378–2318 msnm). El cuadro conserva todos los bloques catalogados en la microcuenca, incluidos los descartados en el tamizaje, para referencia del conjunto. Los bloques sin ficha DT figuran con sus parámetros de gabinete. BRECHA ESPECTRAL. El 9.23 % de la superficie del bloque (21.228 ha de 230.098 ha) se sitúa bajo el umbral MSAVI 0.4976, por debajo del promedio local de la microcuenca (68.55 %) calculado sobre los bloques con dato MSAVI disponible.</t>
        </is>
      </c>
      <c r="B15" s="40" t="n"/>
      <c r="C15" s="40" t="n"/>
      <c r="D15" s="40" t="n"/>
      <c r="E15" s="40" t="n"/>
      <c r="F15" s="40" t="n"/>
      <c r="G15" s="40" t="n"/>
      <c r="H15" s="40" t="n"/>
      <c r="I15" s="41" t="n"/>
    </row>
    <row r="17" ht="60" customHeight="1">
      <c r="A17"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7" s="40" t="n"/>
      <c r="C17" s="40" t="n"/>
      <c r="D17" s="40" t="n"/>
      <c r="E17" s="40" t="n"/>
      <c r="F17" s="40" t="n"/>
      <c r="G17" s="40" t="n"/>
      <c r="H17" s="40" t="n"/>
      <c r="I17" s="41" t="n"/>
    </row>
  </sheetData>
  <mergeCells count="9">
    <mergeCell ref="A15:I15"/>
    <mergeCell ref="A2:I2"/>
    <mergeCell ref="A5:I5"/>
    <mergeCell ref="A1:I1"/>
    <mergeCell ref="A17:I17"/>
    <mergeCell ref="A8:I8"/>
    <mergeCell ref="A3:I3"/>
    <mergeCell ref="A6:I6"/>
    <mergeCell ref="A4:I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4</t>
        </is>
      </c>
    </row>
    <row r="6">
      <c r="A6" s="51" t="inlineStr">
        <is>
          <t>Cruce de la ficha de campo F-DT vigente con la ficha de resumen de gabinete y el catálogo maestro. Integración 2026-09-11 21:26:27.</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«C1076-Q9588».</t>
        </is>
      </c>
      <c r="D9" s="55" t="inlineStr">
        <is>
          <t>CONFORME</t>
        </is>
      </c>
      <c r="E9" s="55" t="inlineStr">
        <is>
          <t>Sin acción.</t>
        </is>
      </c>
    </row>
    <row r="10">
      <c r="A10" s="56" t="inlineStr">
        <is>
          <t>G-02</t>
        </is>
      </c>
      <c r="B10" s="56" t="inlineStr">
        <is>
          <t>UTM del punto de muestreo</t>
        </is>
      </c>
      <c r="C10" s="56" t="inlineStr">
        <is>
          <t>El punto de muestreo declarado dista 762.9 m del centroide, dentro del radio de control.</t>
        </is>
      </c>
      <c r="D10" s="56" t="inlineStr">
        <is>
          <t>CONFORME</t>
        </is>
      </c>
      <c r="E10" s="56" t="inlineStr">
        <is>
          <t>Sin acción.</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No es posible contrastar la altitud GPS con el rango altitudinal del bloque: falta uno de los dos datos.</t>
        </is>
      </c>
      <c r="D12" s="56" t="inlineStr">
        <is>
          <t>NO SUSTANTIVA</t>
        </is>
      </c>
      <c r="E12" s="56" t="inlineStr">
        <is>
          <t>Se completa con la lectura GPS de F-DT-01 o con la estadística zonal del MDE.</t>
        </is>
      </c>
    </row>
    <row r="13">
      <c r="A13" s="55" t="inlineStr">
        <is>
          <t>G-05</t>
        </is>
      </c>
      <c r="B13" s="55" t="inlineStr">
        <is>
          <t>Superficie NDVI vs. catálogo</t>
        </is>
      </c>
      <c r="C13" s="55" t="inlineStr">
        <is>
          <t>La superficie clasificada por el NDVI mediana 2025 (230.143 ha) se desvía 0.02 % de la superficie de catálogo (230.10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(230.098 ha) se desvía -0.00 % de la superficie de catálogo (230.10 ha).</t>
        </is>
      </c>
      <c r="D14" s="56" t="inlineStr">
        <is>
          <t>CONFORME</t>
        </is>
      </c>
      <c r="E14" s="56" t="inlineStr">
        <is>
          <t>Sin acción: la segmentación valida la geometría del bloque.</t>
        </is>
      </c>
    </row>
    <row r="15">
      <c r="A15" s="55" t="inlineStr">
        <is>
          <t>G-07</t>
        </is>
      </c>
      <c r="B15" s="55" t="inlineStr">
        <is>
          <t>Brecha espectral MSAVI</t>
        </is>
      </c>
      <c r="C15" s="55" t="inlineStr">
        <is>
          <t>El 9.23 % del bloque queda bajo el umbral 0.4976; superficie de brecha 21.23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230.10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(0.6601) cae en la clase «&gt; 0.6139 (Vigor alto)» y la clase DN dominante por superficie es «DN 5 · &gt; 0.6139 (Vigor alto)».</t>
        </is>
      </c>
      <c r="D17" s="55" t="inlineStr">
        <is>
          <t>CONFORME</t>
        </is>
      </c>
      <c r="E17" s="55" t="inlineStr">
        <is>
          <t>Sin acción: media y clase dominante son coherentes.</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I-01</t>
        </is>
      </c>
      <c r="B19" s="55" t="inlineStr">
        <is>
          <t>Causa subyacente principal</t>
        </is>
      </c>
      <c r="C19" s="55" t="inlineStr">
        <is>
          <t>El libro de resumen V6 consignaba «Estructura de tenencia y de subsistencia familiar del sector San Antonio de Succhirca - La Rinconada»; la ficha de campo vigente declara «Estructura de tenencia y de subsistencia familiar: la economía local del sector San Antonio de Succhirca – La Rinconada descansa en el cult…».</t>
        </is>
      </c>
      <c r="D19" s="55" t="inlineStr">
        <is>
          <t>CORREGIDO</t>
        </is>
      </c>
      <c r="E19" s="55" t="inlineStr">
        <is>
          <t>Se adopta el valor de campo por ser la fuente que manda sobre el dato y la más reciente. El valor anterior queda declarado para trazabilidad.</t>
        </is>
      </c>
    </row>
    <row r="20">
      <c r="A20" s="56" t="inlineStr">
        <is>
          <t>F-01</t>
        </is>
      </c>
      <c r="B20" s="56" t="inlineStr">
        <is>
          <t>Fichas F-DT levantadas</t>
        </is>
      </c>
      <c r="C20" s="56" t="inlineStr">
        <is>
          <t>La plantilla de campo trae las cinco fichas F-DT-01 a F-DT-05 (completitud 89.3 % de los campos esperados).</t>
        </is>
      </c>
      <c r="D20" s="56" t="inlineStr">
        <is>
          <t>CONFORME</t>
        </is>
      </c>
      <c r="E20" s="56" t="inlineStr">
        <is>
          <t>Sin acción.</t>
        </is>
      </c>
    </row>
    <row r="21">
      <c r="A21" s="55" t="inlineStr">
        <is>
          <t>F-02</t>
        </is>
      </c>
      <c r="B21" s="55" t="inlineStr">
        <is>
          <t>Cobertura de la integración</t>
        </is>
      </c>
      <c r="C21" s="55" t="inlineStr">
        <is>
          <t>Se declararon 92 de 114 hechos integrados (80.7 %); 22 quedan sin dato en ninguna fuente.</t>
        </is>
      </c>
      <c r="D21" s="55" t="inlineStr">
        <is>
          <t>CONFORME</t>
        </is>
      </c>
      <c r="E21" s="55" t="inlineStr">
        <is>
          <t>Sin acción.</t>
        </is>
      </c>
    </row>
    <row r="22">
      <c r="A22" s="56" t="inlineStr">
        <is>
          <t>H-01</t>
        </is>
      </c>
      <c r="B22" s="56" t="inlineStr">
        <is>
          <t>Rango altitudinal / piso ecológico</t>
        </is>
      </c>
      <c r="C22" s="56" t="inlineStr">
        <is>
          <t>La ficha DT declara «2000-2500 m (Quechua alta)»; el MDE sitúa el bloque entre 1378 y 2318 msnm, cuyo punto medio corresponde a «1500-2000 m (Quechua media)»</t>
        </is>
      </c>
      <c r="D22" s="56" t="inlineStr">
        <is>
          <t>NO SUSTANTIVA</t>
        </is>
      </c>
      <c r="E22" s="56" t="inlineStr">
        <is>
          <t>Se declara la divergencia. El bloque abarca más de un piso altitudinal cuando la amplitud supera el ancho de la clase; el registro de campo corresponde al sector recorrido. (Verificación heredada de la ficha de resumen V6.)</t>
        </is>
      </c>
    </row>
    <row r="23">
      <c r="A23" s="55" t="inlineStr">
        <is>
          <t>H-02</t>
        </is>
      </c>
      <c r="B23" s="55" t="inlineStr">
        <is>
          <t>Dimensiones del inventario de cárcavas</t>
        </is>
      </c>
      <c r="C23" s="55" t="inlineStr">
        <is>
          <t>Se registran 0 rasgos erosivos, pero longitud, profundidad y ancho no fueron medidos instrumentalmente</t>
        </is>
      </c>
      <c r="D23" s="55" t="inlineStr">
        <is>
          <t>NO SUSTANTIVA</t>
        </is>
      </c>
      <c r="E23" s="55" t="inlineStr">
        <is>
          <t>El conteo registrado no debe usarse para calcular densidad de cárcavas por hectárea. Pendiente de levantamiento con GPS submétrico. (Verificación heredada de la ficha de resumen V6.)</t>
        </is>
      </c>
    </row>
    <row r="24">
      <c r="A24" s="56" t="inlineStr">
        <is>
          <t>H-03</t>
        </is>
      </c>
      <c r="B24" s="56" t="inlineStr">
        <is>
          <t>Elenco florístico</t>
        </is>
      </c>
      <c r="C24" s="56" t="inlineStr">
        <is>
          <t>La ficha registra 10 taxones, por debajo del mínimo de 15 que exige el formato V5</t>
        </is>
      </c>
      <c r="D24" s="56" t="inlineStr">
        <is>
          <t>SUSTANTIVA</t>
        </is>
      </c>
      <c r="E24" s="56" t="inlineStr">
        <is>
          <t>Registro florístico preliminar, sin colecta ni determinación botánica formal. Debe cerrarse con colecta botánica en la siguiente campaña. (Verificación heredada de la ficha de resumen V6.)</t>
        </is>
      </c>
    </row>
    <row r="25">
      <c r="A25" s="55" t="inlineStr">
        <is>
          <t>H-04</t>
        </is>
      </c>
      <c r="B25" s="55" t="inlineStr">
        <is>
          <t>Representatividad del levantamiento</t>
        </is>
      </c>
      <c r="C25" s="55" t="inlineStr">
        <is>
          <t>Ninguna de las estaciones fotográficas georreferenciadas se localiza dentro del polígono del bloque</t>
        </is>
      </c>
      <c r="D25" s="55" t="inlineStr">
        <is>
          <t>SUSTANTIVA</t>
        </is>
      </c>
      <c r="E25" s="55" t="inlineStr">
        <is>
          <t>La verificación documenta el perímetro y la vista panorámica del bloque, no su interior. Los parámetros que exigen recorrido interno se consignan «Por determinar». (Verificación heredada de la ficha de resumen V6.)</t>
        </is>
      </c>
    </row>
    <row r="26">
      <c r="A26" s="56" t="inlineStr">
        <is>
          <t>H-05</t>
        </is>
      </c>
      <c r="B26" s="56" t="inlineStr">
        <is>
          <t>Centro poblado asociado</t>
        </is>
      </c>
      <c r="C26" s="56" t="inlineStr">
        <is>
          <t>La ficha DT declara «San Antonio de Succhirca / La Rinconada»; el cruce INEI-Bloques V5 identifica 2 centro(s) poblado(s) en el bloque: LA RINCONADA, SAN ANTONIO DE SUCCHIRCA</t>
        </is>
      </c>
      <c r="D26" s="56" t="inlineStr">
        <is>
          <t>CONFORME</t>
        </is>
      </c>
      <c r="E26" s="56" t="inlineStr">
        <is>
          <t>Se conserva el registro de campo como referencia y se adopta el listado INEI para el diagnóstico social y el cálculo de población beneficiaria. (Verificación heredada de la ficha de resumen V6.)</t>
        </is>
      </c>
    </row>
    <row r="28">
      <c r="A28" s="57" t="inlineStr">
        <is>
          <t>RESUMEN</t>
        </is>
      </c>
      <c r="B28" s="58" t="inlineStr">
        <is>
          <t>18 verificaciones</t>
        </is>
      </c>
      <c r="C28" s="58" t="inlineStr">
        <is>
          <t>SUSTANTIVA: 3 · NO SUSTANTIVA: 3 · CORREGIDO: 1 · CONFORME: 11</t>
        </is>
      </c>
    </row>
    <row r="30">
      <c r="A30"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0:E30"/>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4</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6. Degradación, causas y urgencia (F-DT-04)</t>
        </is>
      </c>
      <c r="B9" s="55" t="inlineStr">
        <is>
          <t>Causa subyacente principal</t>
        </is>
      </c>
      <c r="C9" s="55" t="inlineStr">
        <is>
          <t>Estructura de tenencia y de subsistencia familiar del sector San Antonio de Succhirca - La Rinconada</t>
        </is>
      </c>
      <c r="D9" s="55" t="inlineStr">
        <is>
          <t>Estructura de tenencia y de subsistencia familiar: la economía local del sector San Antonio de Succhirca – La Rinconada descansa en el cultivo de café y plátano en ladera, sin alternativas de ingreso ni de manejo que contengan el ascenso altitudinal de la frontera agrícola. La degradación no es un abandono del territorio sino su intensificación productiva sobre pendientes de 35 % promedio.</t>
        </is>
      </c>
      <c r="E9" s="55" t="inlineStr">
        <is>
          <t>Dato de campo</t>
        </is>
      </c>
    </row>
    <row r="11">
      <c r="A11" s="53" t="inlineStr">
        <is>
          <t>B. HECHOS APORTADOS ÚNICAMENTE POR LA FICHA DE CAMPO</t>
        </is>
      </c>
    </row>
    <row r="12">
      <c r="A12" s="54" t="inlineStr">
        <is>
          <t>Sección</t>
        </is>
      </c>
      <c r="B12" s="54" t="inlineStr">
        <is>
          <t>Hecho</t>
        </is>
      </c>
      <c r="C12" s="54" t="inlineStr">
        <is>
          <t>Valor</t>
        </is>
      </c>
      <c r="D12" s="54" t="inlineStr">
        <is>
          <t>Unidad</t>
        </is>
      </c>
    </row>
    <row r="13">
      <c r="A13" s="55" t="inlineStr">
        <is>
          <t>1. Identificación y localización</t>
        </is>
      </c>
      <c r="B13" s="55" t="inlineStr">
        <is>
          <t>UTM ESTE del punto de muestreo (m)</t>
        </is>
      </c>
      <c r="C13" s="55" t="inlineStr">
        <is>
          <t>656704</t>
        </is>
      </c>
      <c r="D13" s="55" t="inlineStr">
        <is>
          <t>m</t>
        </is>
      </c>
    </row>
    <row r="14">
      <c r="A14" s="56" t="inlineStr">
        <is>
          <t>1. Identificación y localización</t>
        </is>
      </c>
      <c r="B14" s="56" t="inlineStr">
        <is>
          <t>UTM NORTE del punto de muestreo (m)</t>
        </is>
      </c>
      <c r="C14" s="56" t="inlineStr">
        <is>
          <t>9382756</t>
        </is>
      </c>
      <c r="D14" s="56" t="inlineStr">
        <is>
          <t>m</t>
        </is>
      </c>
    </row>
    <row r="15">
      <c r="A15" s="55" t="inlineStr">
        <is>
          <t>2. Parámetros físicos del terreno</t>
        </is>
      </c>
      <c r="B15" s="55" t="inlineStr">
        <is>
          <t>Piso altitudinal del punto de muestreo</t>
        </is>
      </c>
      <c r="C15" s="55" t="inlineStr">
        <is>
          <t>2000-2500 m (Quechua alta)</t>
        </is>
      </c>
      <c r="D15" s="55" t="inlineStr"/>
    </row>
    <row r="16">
      <c r="A16" s="56" t="inlineStr">
        <is>
          <t>2. Parámetros físicos del terreno</t>
        </is>
      </c>
      <c r="B16" s="56" t="inlineStr">
        <is>
          <t>Paisaje dominante descrito en campo</t>
        </is>
      </c>
      <c r="C16" s="56" t="inlineStr">
        <is>
          <t>Vertiente de fuerte energía de relieve que asciende desde el fondo de quebrada (1 378 msnm, extremo norte) hasta la divisoria del macizo de Cerro Banquitos (2 318 msnm, borde sur), con 940 m de amplitud altitudinal. Mosaico agro-silvo-forestal de dosel continuo en los dos tercios inferiores —cafetales bajo sombra, platanares, rodales de bambú en vaguadas y quebradas, y plantaciones densas de eucalipto y grevílea en las terrazas de ladera media— que contrasta con el tercio superior, donde por encima de ~1 900 msnm el dosel se abre y aparecen laderas de pastizal seco, afloramientos rocosos masivos, crestones fracturados y parcelas de cultivo en fuerte pendiente. Red de quebradas encajonadas de trazo dendrítico. Trocha carrozable de acceso por el borde norte, con taludes de corte sin tratamiento.</t>
        </is>
      </c>
      <c r="D16" s="56" t="inlineStr"/>
    </row>
    <row r="17">
      <c r="A17" s="55" t="inlineStr">
        <is>
          <t>2. Parámetros físicos del terreno</t>
        </is>
      </c>
      <c r="B17" s="55" t="inlineStr">
        <is>
          <t>Reptación de suelo</t>
        </is>
      </c>
      <c r="C17" s="55" t="inlineStr">
        <is>
          <t>No</t>
        </is>
      </c>
      <c r="D17" s="55" t="inlineStr"/>
    </row>
    <row r="18">
      <c r="A18" s="56" t="inlineStr">
        <is>
          <t>2. Parámetros físicos del terreno</t>
        </is>
      </c>
      <c r="B18" s="56" t="inlineStr">
        <is>
          <t>Deslizamientos antiguos</t>
        </is>
      </c>
      <c r="C18" s="56" t="inlineStr">
        <is>
          <t>No</t>
        </is>
      </c>
      <c r="D18" s="56" t="inlineStr"/>
    </row>
    <row r="19">
      <c r="A19" s="55" t="inlineStr">
        <is>
          <t>4. Suelos y erosión (F-DT-02)</t>
        </is>
      </c>
      <c r="B19" s="55" t="inlineStr">
        <is>
          <t>Nivel de erosión - síntesis de campo</t>
        </is>
      </c>
      <c r="C19" s="55" t="inlineStr">
        <is>
          <t>Moderada (surcos)</t>
        </is>
      </c>
      <c r="D19" s="55" t="inlineStr"/>
    </row>
    <row r="20">
      <c r="A20" s="56" t="inlineStr">
        <is>
          <t>4. Suelos y erosión (F-DT-02)</t>
        </is>
      </c>
      <c r="B20" s="56" t="inlineStr">
        <is>
          <t>Sellamiento / costra superficial</t>
        </is>
      </c>
      <c r="C20" s="56" t="inlineStr">
        <is>
          <t>No</t>
        </is>
      </c>
      <c r="D20" s="56" t="inlineStr"/>
    </row>
    <row r="21">
      <c r="A21" s="55" t="inlineStr">
        <is>
          <t>4. Suelos y erosión (F-DT-02)</t>
        </is>
      </c>
      <c r="B21" s="55" t="inlineStr">
        <is>
          <t>Compactación por pisoteo</t>
        </is>
      </c>
      <c r="C21" s="55" t="inlineStr">
        <is>
          <t>No</t>
        </is>
      </c>
      <c r="D21" s="55" t="inlineStr"/>
    </row>
    <row r="22">
      <c r="A22" s="56" t="inlineStr">
        <is>
          <t>4. Suelos y erosión (F-DT-02)</t>
        </is>
      </c>
      <c r="B22" s="56" t="inlineStr">
        <is>
          <t>Raíces expuestas</t>
        </is>
      </c>
      <c r="C22" s="56" t="inlineStr">
        <is>
          <t>No</t>
        </is>
      </c>
      <c r="D22" s="56" t="inlineStr"/>
    </row>
    <row r="23">
      <c r="A23" s="55" t="inlineStr">
        <is>
          <t>4. Suelos y erosión (F-DT-02)</t>
        </is>
      </c>
      <c r="B23" s="55" t="inlineStr">
        <is>
          <t>Longitud total de cárcavas (m)</t>
        </is>
      </c>
      <c r="C23" s="55" t="inlineStr">
        <is>
          <t>No determinada</t>
        </is>
      </c>
      <c r="D23" s="55" t="inlineStr">
        <is>
          <t>m</t>
        </is>
      </c>
    </row>
    <row r="24">
      <c r="A24" s="56" t="inlineStr">
        <is>
          <t>4. Suelos y erosión (F-DT-02)</t>
        </is>
      </c>
      <c r="B24" s="56" t="inlineStr">
        <is>
          <t>Patrón de cárcavas</t>
        </is>
      </c>
      <c r="C24" s="56" t="inlineStr">
        <is>
          <t>Lineal</t>
        </is>
      </c>
      <c r="D24" s="56" t="inlineStr"/>
    </row>
    <row r="25">
      <c r="A25" s="55" t="inlineStr">
        <is>
          <t>4. Suelos y erosión (F-DT-02)</t>
        </is>
      </c>
      <c r="B25" s="55" t="inlineStr">
        <is>
          <t>Socavamiento de cauce</t>
        </is>
      </c>
      <c r="C25" s="55" t="inlineStr">
        <is>
          <t>No</t>
        </is>
      </c>
      <c r="D25" s="55" t="inlineStr"/>
    </row>
    <row r="26">
      <c r="A26" s="56" t="inlineStr">
        <is>
          <t>5. Ecosistema, cobertura y flora (F-DT-03)</t>
        </is>
      </c>
      <c r="B26" s="56" t="inlineStr">
        <is>
          <t>Presencia de epífitas</t>
        </is>
      </c>
      <c r="C26" s="56" t="inlineStr">
        <is>
          <t>Sí</t>
        </is>
      </c>
      <c r="D26" s="56" t="inlineStr"/>
    </row>
    <row r="27">
      <c r="A27" s="55" t="inlineStr">
        <is>
          <t>5. Ecosistema, cobertura y flora (F-DT-03)</t>
        </is>
      </c>
      <c r="B27" s="55" t="inlineStr">
        <is>
          <t>Fenología dominante</t>
        </is>
      </c>
      <c r="C27" s="55" t="inlineStr">
        <is>
          <t>Vegetativo</t>
        </is>
      </c>
      <c r="D27" s="55" t="inlineStr"/>
    </row>
    <row r="28">
      <c r="A28" s="56" t="inlineStr">
        <is>
          <t>5. Ecosistema, cobertura y flora (F-DT-03)</t>
        </is>
      </c>
      <c r="B28" s="56" t="inlineStr">
        <is>
          <t>Dimensiones de la parcela (m)</t>
        </is>
      </c>
      <c r="C28" s="56" t="inlineStr">
        <is>
          <t>No aplica</t>
        </is>
      </c>
      <c r="D28" s="56" t="inlineStr"/>
    </row>
    <row r="29">
      <c r="A29" s="55" t="inlineStr">
        <is>
          <t>5. Ecosistema, cobertura y flora (F-DT-03)</t>
        </is>
      </c>
      <c r="B29" s="55" t="inlineStr">
        <is>
          <t>Pendiente de la parcela (%)</t>
        </is>
      </c>
      <c r="C29" s="55" t="inlineStr">
        <is>
          <t>35.01</t>
        </is>
      </c>
      <c r="D29" s="55" t="inlineStr">
        <is>
          <t>%</t>
        </is>
      </c>
    </row>
    <row r="30">
      <c r="A30" s="56" t="inlineStr">
        <is>
          <t>5. Ecosistema, cobertura y flora (F-DT-03)</t>
        </is>
      </c>
      <c r="B30" s="56" t="inlineStr">
        <is>
          <t>Especies clave georreferenciadas</t>
        </is>
      </c>
      <c r="C30" s="56" t="inlineStr">
        <is>
          <t>6</t>
        </is>
      </c>
      <c r="D30" s="56" t="inlineStr"/>
    </row>
    <row r="31">
      <c r="A31" s="55" t="inlineStr">
        <is>
          <t>6. Degradación, causas y urgencia (F-DT-04)</t>
        </is>
      </c>
      <c r="B31" s="55" t="inlineStr">
        <is>
          <t>Causas directas de la degradación</t>
        </is>
      </c>
      <c r="C31" s="55" t="inlineStr">
        <is>
          <t>Expansión de la frontera agrícola sobre laderas de fuerte pendiente (causa dominante), con dos expresiones espacialmente diferenciadas: (i) sustitución completa del ecosistema natural por un mosaico agroforestal estable —café bajo sombra, plátano, bambú, frutales— en el fondo de valle y la ladera baja, de alta cobertura pero baja funcionalidad ecológica; y (ii) avance de parcelas de cultivo y pastizal sobre las laderas descubiertas del tercio superior (&gt; 1 900 msnm), donde se concentran las 20.43 ha bajo umbral MSAVI. Se suman la plantación forestal exótica de eucalipto y grevílea en el borde nororiental y la presión asociada a la trocha carrozable y al tendido eléctrico.</t>
        </is>
      </c>
      <c r="D31" s="55" t="inlineStr"/>
    </row>
    <row r="32">
      <c r="A32" s="56" t="inlineStr">
        <is>
          <t>6. Degradación, causas y urgencia (F-DT-04)</t>
        </is>
      </c>
      <c r="B32" s="56" t="inlineStr">
        <is>
          <t>N.° de causas activas en la matriz F-DT-04</t>
        </is>
      </c>
      <c r="C32" s="56" t="inlineStr">
        <is>
          <t>7</t>
        </is>
      </c>
      <c r="D32" s="56" t="inlineStr"/>
    </row>
    <row r="33">
      <c r="A33" s="55" t="inlineStr">
        <is>
          <t>7. Hidrología, acceso y logística (F-DT-05)</t>
        </is>
      </c>
      <c r="B33" s="55" t="inlineStr">
        <is>
          <t>Escorrentía concentrada</t>
        </is>
      </c>
      <c r="C33" s="55" t="inlineStr">
        <is>
          <t>No</t>
        </is>
      </c>
      <c r="D33" s="55" t="inlineStr"/>
    </row>
    <row r="34">
      <c r="A34" s="56" t="inlineStr">
        <is>
          <t>7. Hidrología, acceso y logística (F-DT-05)</t>
        </is>
      </c>
      <c r="B34" s="56" t="inlineStr">
        <is>
          <t>Fuentes de agua inventariadas</t>
        </is>
      </c>
      <c r="C34" s="56" t="inlineStr">
        <is>
          <t>3</t>
        </is>
      </c>
      <c r="D34" s="56" t="inlineStr"/>
    </row>
    <row r="35">
      <c r="A35" s="55" t="inlineStr">
        <is>
          <t>7. Hidrología, acceso y logística (F-DT-05)</t>
        </is>
      </c>
      <c r="B35" s="55" t="inlineStr">
        <is>
          <t>Interferencia con riego</t>
        </is>
      </c>
      <c r="C35" s="55" t="inlineStr">
        <is>
          <t>No</t>
        </is>
      </c>
      <c r="D35" s="55" t="inlineStr"/>
    </row>
    <row r="36">
      <c r="A36" s="56" t="inlineStr">
        <is>
          <t>7. Hidrología, acceso y logística (F-DT-05)</t>
        </is>
      </c>
      <c r="B36" s="56" t="inlineStr">
        <is>
          <t>Vía principal de acceso</t>
        </is>
      </c>
      <c r="C36" s="56" t="inlineStr">
        <is>
          <t>Trocha carrozable de acceso a San Antonio de Succhirca, desde la red vial de Huarmaca</t>
        </is>
      </c>
      <c r="D36" s="56" t="inlineStr"/>
    </row>
    <row r="37">
      <c r="A37" s="55" t="inlineStr">
        <is>
          <t>7. Hidrología, acceso y logística (F-DT-05)</t>
        </is>
      </c>
      <c r="B37" s="55" t="inlineStr">
        <is>
          <t>Tipo de vía del tramo final</t>
        </is>
      </c>
      <c r="C37" s="55" t="inlineStr">
        <is>
          <t>Trocha carrozable</t>
        </is>
      </c>
      <c r="D37" s="55" t="inlineStr"/>
    </row>
    <row r="38">
      <c r="A38" s="56" t="inlineStr">
        <is>
          <t>7. Hidrología, acceso y logística (F-DT-05)</t>
        </is>
      </c>
      <c r="B38" s="56" t="inlineStr">
        <is>
          <t>Transitabilidad en época seca</t>
        </is>
      </c>
      <c r="C38" s="56" t="inlineStr">
        <is>
          <t>Alto</t>
        </is>
      </c>
      <c r="D38" s="56" t="inlineStr"/>
    </row>
    <row r="39">
      <c r="A39" s="55" t="inlineStr">
        <is>
          <t>7. Hidrología, acceso y logística (F-DT-05)</t>
        </is>
      </c>
      <c r="B39" s="55" t="inlineStr">
        <is>
          <t>Transitabilidad en época lluviosa</t>
        </is>
      </c>
      <c r="C39" s="55" t="inlineStr">
        <is>
          <t>Bajo</t>
        </is>
      </c>
      <c r="D39" s="55" t="inlineStr"/>
    </row>
    <row r="41">
      <c r="A41" s="53" t="inlineStr">
        <is>
          <t>C. PROCEDENCIA DE LOS HECHOS DECLARADOS</t>
        </is>
      </c>
    </row>
    <row r="42">
      <c r="A42" s="54" t="inlineStr">
        <is>
          <t>Fuente</t>
        </is>
      </c>
      <c r="B42" s="54" t="inlineStr">
        <is>
          <t>Hechos</t>
        </is>
      </c>
      <c r="C42" s="54" t="inlineStr">
        <is>
          <t>Alcance de la fuente</t>
        </is>
      </c>
    </row>
    <row r="43">
      <c r="A43" s="55" t="inlineStr">
        <is>
          <t>Dato de campo</t>
        </is>
      </c>
      <c r="B43" s="55" t="n">
        <v>58</v>
      </c>
      <c r="C43" s="55" t="inlineStr">
        <is>
          <t>Verificación en campo. Fichas F-DT-01 a F-DT-05 de la Plantilla DT Campo Check Validada V5, suscritas por el evaluador.</t>
        </is>
      </c>
    </row>
    <row r="44">
      <c r="A44" s="56" t="inlineStr">
        <is>
          <t>Gabinete (GIS / teledetección)</t>
        </is>
      </c>
      <c r="B44" s="56" t="n">
        <v>20</v>
      </c>
      <c r="C44" s="56" t="inlineStr">
        <is>
          <t>Gabinete. Estadística zonal sobre el MDE y compuestos Sentinel-2 (NDVI mediana 2025, MSAVI 2024 por clase DN).</t>
        </is>
      </c>
    </row>
    <row r="45">
      <c r="A45" s="55" t="inlineStr">
        <is>
          <t>Fuente oficial</t>
        </is>
      </c>
      <c r="B45" s="55" t="n">
        <v>14</v>
      </c>
      <c r="C45" s="55" t="inlineStr">
        <is>
          <t>Fuente oficial. Catálogo maestro Bloques V5/V6, división política INEI y codificación de microcuencas de la ANA.</t>
        </is>
      </c>
    </row>
    <row r="47">
      <c r="A47" s="53" t="inlineStr">
        <is>
          <t>D. ESTADO DEL CRUCE ENTRE FUENTES</t>
        </is>
      </c>
    </row>
    <row r="48">
      <c r="A48" s="54" t="inlineStr">
        <is>
          <t>Estado</t>
        </is>
      </c>
      <c r="B48" s="54" t="inlineStr">
        <is>
          <t>Hechos</t>
        </is>
      </c>
      <c r="C48" s="54" t="inlineStr">
        <is>
          <t>Significado</t>
        </is>
      </c>
    </row>
    <row r="49">
      <c r="A49" s="55" t="inlineStr">
        <is>
          <t>CONFORME</t>
        </is>
      </c>
      <c r="B49" s="55" t="n">
        <v>91</v>
      </c>
      <c r="C49" s="55" t="inlineStr">
        <is>
          <t>Las dos fuentes declaran lo mismo, o solo la fuente que manda sobre el hecho lo declara.</t>
        </is>
      </c>
    </row>
    <row r="50">
      <c r="A50" s="56" t="inlineStr">
        <is>
          <t>COMPLEMENTADO</t>
        </is>
      </c>
      <c r="B50" s="56" t="n">
        <v>0</v>
      </c>
      <c r="C50" s="56" t="inlineStr">
        <is>
          <t>Solo una de las fuentes lo declara y se adopta ese valor.</t>
        </is>
      </c>
    </row>
    <row r="51">
      <c r="A51" s="55" t="inlineStr">
        <is>
          <t>ACTUALIZADO</t>
        </is>
      </c>
      <c r="B51" s="55" t="n">
        <v>1</v>
      </c>
      <c r="C51" s="55" t="inlineStr">
        <is>
          <t>La verificación de campo vigente corrige lo que traía el libro de resumen.</t>
        </is>
      </c>
    </row>
    <row r="52">
      <c r="A52" s="56" t="inlineStr">
        <is>
          <t>DISCREPANTE</t>
        </is>
      </c>
      <c r="B52" s="56" t="n">
        <v>0</v>
      </c>
      <c r="C52" s="56" t="inlineStr">
        <is>
          <t>Las fuentes se contradicen; prevalece la que manda sobre el hecho y la otra queda declarada.</t>
        </is>
      </c>
    </row>
    <row r="53">
      <c r="A53" s="55" t="inlineStr">
        <is>
          <t>PENDIENTE</t>
        </is>
      </c>
      <c r="B53" s="55" t="n">
        <v>22</v>
      </c>
      <c r="C53"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4</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t>
        </is>
      </c>
      <c r="B9" s="55" t="inlineStr">
        <is>
          <t>Surco (&lt;30 cm)</t>
        </is>
      </c>
      <c r="C9" s="60" t="n">
        <v>656445</v>
      </c>
      <c r="D9" s="60" t="n">
        <v>9382836</v>
      </c>
      <c r="E9" s="55" t="n"/>
      <c r="F9" s="55" t="n"/>
      <c r="G9" s="55" t="n"/>
      <c r="H9" s="55" t="inlineStr">
        <is>
          <t>Semi-activa</t>
        </is>
      </c>
      <c r="I9" s="55" t="inlineStr">
        <is>
          <t>Caminos / huellas de ganado</t>
        </is>
      </c>
    </row>
    <row r="10">
      <c r="A10" s="56" t="inlineStr">
        <is>
          <t>—</t>
        </is>
      </c>
      <c r="B10" s="56" t="inlineStr">
        <is>
          <t>Surco (&lt;30 cm)</t>
        </is>
      </c>
      <c r="C10" s="61" t="n">
        <v>656516</v>
      </c>
      <c r="D10" s="61" t="n">
        <v>9382809</v>
      </c>
      <c r="E10" s="56" t="n"/>
      <c r="F10" s="56" t="n"/>
      <c r="G10" s="56" t="n"/>
      <c r="H10" s="56" t="inlineStr">
        <is>
          <t>Semi-activa</t>
        </is>
      </c>
      <c r="I10" s="56" t="inlineStr">
        <is>
          <t>Caminos / huellas de ganado</t>
        </is>
      </c>
    </row>
    <row r="12">
      <c r="A12" s="53" t="inlineStr">
        <is>
          <t>F-DT-03 · ELENCO FLORÍSTICO</t>
        </is>
      </c>
    </row>
    <row r="13">
      <c r="A13" s="54" t="inlineStr">
        <is>
          <t>N.o</t>
        </is>
      </c>
      <c r="B13" s="54" t="inlineStr">
        <is>
          <t>Nombre común</t>
        </is>
      </c>
      <c r="C13" s="54" t="inlineStr">
        <is>
          <t>Nombre científico</t>
        </is>
      </c>
      <c r="D13" s="54" t="inlineStr">
        <is>
          <t>Familia</t>
        </is>
      </c>
      <c r="E13" s="54" t="inlineStr">
        <is>
          <t>Estrato</t>
        </is>
      </c>
      <c r="F13" s="54" t="inlineStr">
        <is>
          <t>Origen</t>
        </is>
      </c>
      <c r="G13" s="54" t="inlineStr">
        <is>
          <t>Abundancia</t>
        </is>
      </c>
      <c r="H13" s="54" t="inlineStr">
        <is>
          <t>DAP (cm)</t>
        </is>
      </c>
      <c r="I13" s="54" t="inlineStr">
        <is>
          <t>Altura (m)</t>
        </is>
      </c>
    </row>
    <row r="14">
      <c r="A14" s="55" t="inlineStr">
        <is>
          <t>1</t>
        </is>
      </c>
      <c r="B14" s="55" t="inlineStr">
        <is>
          <t>Eucalipto</t>
        </is>
      </c>
      <c r="C14" s="55" t="inlineStr">
        <is>
          <t>Eucalyptus globulus</t>
        </is>
      </c>
      <c r="D14" s="55" t="inlineStr">
        <is>
          <t>Myrtaceae</t>
        </is>
      </c>
      <c r="E14" s="55" t="inlineStr">
        <is>
          <t>Arbóreo superior (&gt;15 m)</t>
        </is>
      </c>
      <c r="F14" s="55" t="inlineStr">
        <is>
          <t>Introducida</t>
        </is>
      </c>
      <c r="G14" s="55" t="inlineStr">
        <is>
          <t>Abundante (20-40%)</t>
        </is>
      </c>
      <c r="H14" s="55" t="n"/>
      <c r="I14" s="55" t="n"/>
    </row>
    <row r="15">
      <c r="A15" s="56" t="inlineStr">
        <is>
          <t>2</t>
        </is>
      </c>
      <c r="B15" s="56" t="inlineStr">
        <is>
          <t>Grevílea</t>
        </is>
      </c>
      <c r="C15" s="56" t="inlineStr">
        <is>
          <t>Grevillea robusta</t>
        </is>
      </c>
      <c r="D15" s="56" t="inlineStr">
        <is>
          <t>Proteaceae</t>
        </is>
      </c>
      <c r="E15" s="56" t="inlineStr">
        <is>
          <t>Arbóreo superior (&gt;15 m)</t>
        </is>
      </c>
      <c r="F15" s="56" t="inlineStr">
        <is>
          <t>Introducida</t>
        </is>
      </c>
      <c r="G15" s="56" t="inlineStr">
        <is>
          <t>Frecuente (5-20%)</t>
        </is>
      </c>
      <c r="H15" s="56" t="n"/>
      <c r="I15" s="56" t="n"/>
    </row>
    <row r="16">
      <c r="A16" s="55" t="inlineStr">
        <is>
          <t>3</t>
        </is>
      </c>
      <c r="B16" s="55" t="inlineStr">
        <is>
          <t>Bambú / caña de Guayaquil</t>
        </is>
      </c>
      <c r="C16" s="55" t="inlineStr">
        <is>
          <t>Guadua angustifolia (por confirmar vs. Bambusa vulgaris)</t>
        </is>
      </c>
      <c r="D16" s="55" t="inlineStr">
        <is>
          <t>Poaceae</t>
        </is>
      </c>
      <c r="E16" s="55" t="inlineStr">
        <is>
          <t>Arbóreo bajo (4-8 m)</t>
        </is>
      </c>
      <c r="F16" s="55" t="inlineStr">
        <is>
          <t>Nativa</t>
        </is>
      </c>
      <c r="G16" s="55" t="inlineStr">
        <is>
          <t>Abundante (20-40%)</t>
        </is>
      </c>
      <c r="H16" s="55" t="n"/>
      <c r="I16" s="55" t="n"/>
    </row>
    <row r="17">
      <c r="A17" s="56" t="inlineStr">
        <is>
          <t>4</t>
        </is>
      </c>
      <c r="B17" s="56" t="inlineStr">
        <is>
          <t>Higuerón</t>
        </is>
      </c>
      <c r="C17" s="56" t="inlineStr">
        <is>
          <t>Ficus sp.</t>
        </is>
      </c>
      <c r="D17" s="56" t="inlineStr">
        <is>
          <t>Moraceae</t>
        </is>
      </c>
      <c r="E17" s="56" t="inlineStr">
        <is>
          <t>Arbóreo medio (8-15 m)</t>
        </is>
      </c>
      <c r="F17" s="56" t="inlineStr">
        <is>
          <t>Nativa</t>
        </is>
      </c>
      <c r="G17" s="56" t="inlineStr">
        <is>
          <t>Ocasional (1-5%)</t>
        </is>
      </c>
      <c r="H17" s="56" t="n"/>
      <c r="I17" s="56" t="n"/>
    </row>
    <row r="18">
      <c r="A18" s="55" t="inlineStr">
        <is>
          <t>5</t>
        </is>
      </c>
      <c r="B18" s="55" t="inlineStr">
        <is>
          <t>Sauce</t>
        </is>
      </c>
      <c r="C18" s="55" t="inlineStr">
        <is>
          <t>Salix humboldtiana</t>
        </is>
      </c>
      <c r="D18" s="55" t="inlineStr">
        <is>
          <t>Salicaceae</t>
        </is>
      </c>
      <c r="E18" s="55" t="inlineStr">
        <is>
          <t>Arbóreo medio (8-15 m)</t>
        </is>
      </c>
      <c r="F18" s="55" t="inlineStr">
        <is>
          <t>Nativa</t>
        </is>
      </c>
      <c r="G18" s="55" t="inlineStr">
        <is>
          <t>Ocasional (1-5%)</t>
        </is>
      </c>
      <c r="H18" s="55" t="n"/>
      <c r="I18" s="55" t="n"/>
    </row>
    <row r="19">
      <c r="A19" s="56" t="inlineStr">
        <is>
          <t>6</t>
        </is>
      </c>
      <c r="B19" s="56" t="inlineStr">
        <is>
          <t>Chirimoyo silvestre</t>
        </is>
      </c>
      <c r="C19" s="56" t="inlineStr">
        <is>
          <t>Annona cherimola</t>
        </is>
      </c>
      <c r="D19" s="56" t="inlineStr">
        <is>
          <t>Annonaceae</t>
        </is>
      </c>
      <c r="E19" s="56" t="inlineStr">
        <is>
          <t>Arbóreo bajo (4-8 m)</t>
        </is>
      </c>
      <c r="F19" s="56" t="inlineStr">
        <is>
          <t>Nativa</t>
        </is>
      </c>
      <c r="G19" s="56" t="inlineStr">
        <is>
          <t>Ocasional (1-5%)</t>
        </is>
      </c>
      <c r="H19" s="56" t="n"/>
      <c r="I19" s="56" t="n"/>
    </row>
    <row r="20">
      <c r="A20" s="55" t="inlineStr">
        <is>
          <t>7</t>
        </is>
      </c>
      <c r="B20" s="55" t="inlineStr">
        <is>
          <t>Chilca</t>
        </is>
      </c>
      <c r="C20" s="55" t="inlineStr">
        <is>
          <t>Baccharis latifolia</t>
        </is>
      </c>
      <c r="D20" s="55" t="inlineStr">
        <is>
          <t>Asteraceae</t>
        </is>
      </c>
      <c r="E20" s="55" t="inlineStr">
        <is>
          <t>Arbustivo alto (1.5-4 m)</t>
        </is>
      </c>
      <c r="F20" s="55" t="inlineStr">
        <is>
          <t>Nativa</t>
        </is>
      </c>
      <c r="G20" s="55" t="inlineStr">
        <is>
          <t>Frecuente (5-20%)</t>
        </is>
      </c>
      <c r="H20" s="55" t="n"/>
      <c r="I20" s="55" t="n"/>
    </row>
    <row r="21">
      <c r="A21" s="56" t="inlineStr">
        <is>
          <t>8</t>
        </is>
      </c>
      <c r="B21" s="56" t="inlineStr">
        <is>
          <t>Agave / penca</t>
        </is>
      </c>
      <c r="C21" s="56" t="inlineStr">
        <is>
          <t>Agave americana</t>
        </is>
      </c>
      <c r="D21" s="56" t="inlineStr">
        <is>
          <t>Asparagaceae</t>
        </is>
      </c>
      <c r="E21" s="56" t="inlineStr">
        <is>
          <t>Arbustivo alto (1.5-4 m)</t>
        </is>
      </c>
      <c r="F21" s="56" t="inlineStr">
        <is>
          <t>Introducida</t>
        </is>
      </c>
      <c r="G21" s="56" t="inlineStr">
        <is>
          <t>Ocasional (1-5%)</t>
        </is>
      </c>
      <c r="H21" s="56" t="n"/>
      <c r="I21" s="56" t="n"/>
    </row>
    <row r="22">
      <c r="A22" s="55" t="inlineStr">
        <is>
          <t>9</t>
        </is>
      </c>
      <c r="B22" s="55" t="inlineStr">
        <is>
          <t>Plátano (cultivo)</t>
        </is>
      </c>
      <c r="C22" s="55" t="inlineStr">
        <is>
          <t>Musa × paradisiaca</t>
        </is>
      </c>
      <c r="D22" s="55" t="inlineStr">
        <is>
          <t>Musaceae</t>
        </is>
      </c>
      <c r="E22" s="55" t="inlineStr">
        <is>
          <t>Arbustivo alto (1.5-4 m)</t>
        </is>
      </c>
      <c r="F22" s="55" t="inlineStr">
        <is>
          <t>Introducida</t>
        </is>
      </c>
      <c r="G22" s="55" t="inlineStr">
        <is>
          <t>Frecuente (5-20%)</t>
        </is>
      </c>
      <c r="H22" s="55" t="n"/>
      <c r="I22" s="55" t="n"/>
    </row>
    <row r="23">
      <c r="A23" s="56" t="inlineStr">
        <is>
          <t>10</t>
        </is>
      </c>
      <c r="B23" s="56" t="inlineStr">
        <is>
          <t>Café (cultivo)</t>
        </is>
      </c>
      <c r="C23" s="56" t="inlineStr">
        <is>
          <t>Coffea arabica</t>
        </is>
      </c>
      <c r="D23" s="56" t="inlineStr">
        <is>
          <t>Rubiaceae</t>
        </is>
      </c>
      <c r="E23" s="56" t="inlineStr">
        <is>
          <t>Arbustivo alto (1.5-4 m)</t>
        </is>
      </c>
      <c r="F23" s="56" t="inlineStr">
        <is>
          <t>Introducida</t>
        </is>
      </c>
      <c r="G23" s="56" t="inlineStr">
        <is>
          <t>Frecuente (5-20%)</t>
        </is>
      </c>
      <c r="H23" s="56" t="n"/>
      <c r="I23" s="56" t="n"/>
    </row>
    <row r="25">
      <c r="A25" s="53" t="inlineStr">
        <is>
          <t>F-DT-03 · ESPECIES CLAVE GEORREFERENCIADAS</t>
        </is>
      </c>
    </row>
    <row r="26">
      <c r="A26" s="54" t="inlineStr">
        <is>
          <t>N.o</t>
        </is>
      </c>
      <c r="B26" s="54" t="inlineStr">
        <is>
          <t>Especie</t>
        </is>
      </c>
      <c r="C26" s="54" t="inlineStr">
        <is>
          <t>Categoría</t>
        </is>
      </c>
      <c r="D26" s="54" t="inlineStr">
        <is>
          <t>Estado UICN</t>
        </is>
      </c>
      <c r="E26" s="54" t="inlineStr">
        <is>
          <t>UTM ESTE</t>
        </is>
      </c>
      <c r="F26" s="54" t="inlineStr">
        <is>
          <t>UTM NORTE</t>
        </is>
      </c>
      <c r="G26" s="54" t="inlineStr">
        <is>
          <t>N.° individuos</t>
        </is>
      </c>
      <c r="H26" s="54" t="inlineStr">
        <is>
          <t>Observación</t>
        </is>
      </c>
    </row>
    <row r="27">
      <c r="A27" s="55" t="inlineStr">
        <is>
          <t>1</t>
        </is>
      </c>
      <c r="B27" s="55" t="inlineStr">
        <is>
          <t>Eucalyptus globulus / Grevillea robusta</t>
        </is>
      </c>
      <c r="C27" s="55" t="inlineStr">
        <is>
          <t>Indicadora de perturbación</t>
        </is>
      </c>
      <c r="D27" s="55" t="inlineStr">
        <is>
          <t>No aplica</t>
        </is>
      </c>
      <c r="E27" s="60" t="n">
        <v>657482</v>
      </c>
      <c r="F27" s="60" t="n">
        <v>9383238</v>
      </c>
      <c r="G27" s="55" t="n"/>
      <c r="H27" s="55" t="inlineStr">
        <is>
          <t>Rodal denso y coetáneo, de alineamiento regular y sotobosque prácticamente nulo, sobre ladera de fuerte pendiente: plantación forestal exótica, no ecosistema natural</t>
        </is>
      </c>
    </row>
    <row r="28">
      <c r="A28" s="56" t="inlineStr">
        <is>
          <t>2</t>
        </is>
      </c>
      <c r="B28" s="56" t="inlineStr">
        <is>
          <t>Guadua angustifolia (bambú)</t>
        </is>
      </c>
      <c r="C28" s="56" t="inlineStr">
        <is>
          <t>Clave cultural</t>
        </is>
      </c>
      <c r="D28" s="56" t="inlineStr">
        <is>
          <t>No aplica</t>
        </is>
      </c>
      <c r="E28" s="61" t="n">
        <v>656485</v>
      </c>
      <c r="F28" s="61" t="n">
        <v>9382766</v>
      </c>
      <c r="G28" s="56" t="n"/>
      <c r="H28" s="56" t="inlineStr">
        <is>
          <t>Rodales continuos en fondo de quebrada y márgenes de cauce; alto valor de uso local y sistema radicular apto para el control del socavamiento de márgenes</t>
        </is>
      </c>
    </row>
    <row r="29">
      <c r="A29" s="55" t="inlineStr">
        <is>
          <t>3</t>
        </is>
      </c>
      <c r="B29" s="55" t="inlineStr">
        <is>
          <t>Baccharis latifolia (chilca)</t>
        </is>
      </c>
      <c r="C29" s="55" t="inlineStr">
        <is>
          <t>Indicadora de perturbación</t>
        </is>
      </c>
      <c r="D29" s="55" t="inlineStr">
        <is>
          <t>No aplica</t>
        </is>
      </c>
      <c r="E29" s="60" t="n">
        <v>656445</v>
      </c>
      <c r="F29" s="60" t="n">
        <v>9382836</v>
      </c>
      <c r="G29" s="55" t="n"/>
      <c r="H29" s="55" t="inlineStr">
        <is>
          <t>Coloniza espontáneamente taludes de corte y material removido: pionera de primer orden para la estabilización biológica</t>
        </is>
      </c>
    </row>
    <row r="30">
      <c r="A30" s="56" t="inlineStr">
        <is>
          <t>4</t>
        </is>
      </c>
      <c r="B30" s="56" t="inlineStr">
        <is>
          <t>Agave americana (penca)</t>
        </is>
      </c>
      <c r="C30" s="56" t="inlineStr">
        <is>
          <t>Indicadora de perturbación</t>
        </is>
      </c>
      <c r="D30" s="56" t="inlineStr">
        <is>
          <t>No aplica</t>
        </is>
      </c>
      <c r="E30" s="61" t="n">
        <v>656513</v>
      </c>
      <c r="F30" s="61" t="n">
        <v>9382803</v>
      </c>
      <c r="G30" s="56" t="n"/>
      <c r="H30" s="56" t="inlineStr">
        <is>
          <t>Marca los subsectores de mayor insolación y déficit hídrico edáfico del tercio medio-alto; uso tradicional en cercos vivos</t>
        </is>
      </c>
    </row>
    <row r="31">
      <c r="A31" s="55" t="inlineStr">
        <is>
          <t>5</t>
        </is>
      </c>
      <c r="B31" s="55" t="inlineStr">
        <is>
          <t>Cactáceas columnares (por determinar)</t>
        </is>
      </c>
      <c r="C31" s="55" t="inlineStr">
        <is>
          <t>Indicadora de perturbación</t>
        </is>
      </c>
      <c r="D31" s="55" t="inlineStr">
        <is>
          <t>No aplica</t>
        </is>
      </c>
      <c r="E31" s="60" t="n">
        <v>656704</v>
      </c>
      <c r="F31" s="60" t="n">
        <v>9382756</v>
      </c>
      <c r="G31" s="55" t="n"/>
      <c r="H31" s="55" t="inlineStr">
        <is>
          <t>Observadas fotográficamente sobre crestones rocosos y laderas de solana por encima de ~1 800 msnm; NO figuran en el registro florístico remitido</t>
        </is>
      </c>
    </row>
    <row r="32">
      <c r="A32" s="56" t="inlineStr">
        <is>
          <t>6</t>
        </is>
      </c>
      <c r="B32" s="56" t="inlineStr">
        <is>
          <t>Coffea arabica / Musa × paradisiaca</t>
        </is>
      </c>
      <c r="C32" s="56" t="inlineStr">
        <is>
          <t>Indicadora de perturbación</t>
        </is>
      </c>
      <c r="D32" s="56" t="inlineStr">
        <is>
          <t>No aplica</t>
        </is>
      </c>
      <c r="E32" s="61" t="n">
        <v>656516</v>
      </c>
      <c r="F32" s="61" t="n">
        <v>9382809</v>
      </c>
      <c r="G32" s="56" t="n"/>
      <c r="H32" s="56" t="inlineStr">
        <is>
          <t>Cultivos permanentes que ocupan el fondo de valle y la ladera baja: su superficie debe excluirse del área efectiva en el tamizaje predial</t>
        </is>
      </c>
    </row>
    <row r="34">
      <c r="A34" s="53" t="inlineStr">
        <is>
          <t>F-DT-04 · MATRIZ DE CAUSAS DE DEGRADACIÓN</t>
        </is>
      </c>
    </row>
    <row r="35">
      <c r="A35" s="54" t="inlineStr">
        <is>
          <t>N.o</t>
        </is>
      </c>
      <c r="B35" s="54" t="inlineStr">
        <is>
          <t>Causa</t>
        </is>
      </c>
      <c r="C35" s="54" t="inlineStr">
        <is>
          <t>Presencia</t>
        </is>
      </c>
      <c r="D35" s="54" t="inlineStr">
        <is>
          <t>Intensidad</t>
        </is>
      </c>
      <c r="E35" s="54" t="inlineStr">
        <is>
          <t>Extensión</t>
        </is>
      </c>
      <c r="F35" s="54" t="inlineStr">
        <is>
          <t>Antigüedad</t>
        </is>
      </c>
      <c r="G35" s="54" t="inlineStr">
        <is>
          <t>Evidencia</t>
        </is>
      </c>
    </row>
    <row r="36">
      <c r="A36" s="55" t="inlineStr">
        <is>
          <t>1</t>
        </is>
      </c>
      <c r="B36" s="55" t="inlineStr">
        <is>
          <t>Sobrepastoreo (caprino/vacuno)</t>
        </is>
      </c>
      <c r="C36" s="55" t="inlineStr">
        <is>
          <t>Sí</t>
        </is>
      </c>
      <c r="D36" s="55" t="inlineStr">
        <is>
          <t>Ligera</t>
        </is>
      </c>
      <c r="E36" s="55" t="inlineStr">
        <is>
          <t>Por determinar</t>
        </is>
      </c>
      <c r="F36" s="55" t="inlineStr">
        <is>
          <t>Por determinar</t>
        </is>
      </c>
      <c r="G36" s="55" t="inlineStr">
        <is>
          <t>Pastoreo disperso asociado a las parcelas familiares del fondo de valle; no se observaron hatos ni majadas desde las estaciones recorridas</t>
        </is>
      </c>
    </row>
    <row r="37">
      <c r="A37" s="56" t="inlineStr">
        <is>
          <t>2</t>
        </is>
      </c>
      <c r="B37" s="56" t="inlineStr">
        <is>
          <t>Tala para leña</t>
        </is>
      </c>
      <c r="C37" s="56" t="inlineStr">
        <is>
          <t>Sí</t>
        </is>
      </c>
      <c r="D37" s="56" t="inlineStr">
        <is>
          <t>Ligera</t>
        </is>
      </c>
      <c r="E37" s="56" t="inlineStr">
        <is>
          <t>Por determinar</t>
        </is>
      </c>
      <c r="F37" s="56" t="inlineStr">
        <is>
          <t>Por determinar</t>
        </is>
      </c>
      <c r="G37" s="56" t="inlineStr">
        <is>
          <t>Extracción presumible para autoconsumo doméstico en los caseríos San Antonio de Succhirca y La Rinconada; sin acopios registrados</t>
        </is>
      </c>
    </row>
    <row r="38">
      <c r="A38" s="55" t="inlineStr">
        <is>
          <t>3</t>
        </is>
      </c>
      <c r="B38" s="55" t="inlineStr">
        <is>
          <t>Tala para carbón</t>
        </is>
      </c>
      <c r="C38" s="55" t="inlineStr">
        <is>
          <t>No</t>
        </is>
      </c>
      <c r="D38" s="55" t="inlineStr">
        <is>
          <t>Nula</t>
        </is>
      </c>
      <c r="E38" s="55" t="inlineStr">
        <is>
          <t>0</t>
        </is>
      </c>
      <c r="F38" s="55" t="inlineStr">
        <is>
          <t>—</t>
        </is>
      </c>
      <c r="G38" s="55" t="inlineStr">
        <is>
          <t>Sin hornos ni evidencia de carboneo observada</t>
        </is>
      </c>
    </row>
    <row r="39">
      <c r="A39" s="56" t="inlineStr">
        <is>
          <t>4</t>
        </is>
      </c>
      <c r="B39" s="56" t="inlineStr">
        <is>
          <t>Tala para madera</t>
        </is>
      </c>
      <c r="C39" s="56" t="inlineStr">
        <is>
          <t>Sí</t>
        </is>
      </c>
      <c r="D39" s="56" t="inlineStr">
        <is>
          <t>Moderada</t>
        </is>
      </c>
      <c r="E39" s="56" t="inlineStr">
        <is>
          <t>Por determinar</t>
        </is>
      </c>
      <c r="F39" s="56" t="inlineStr">
        <is>
          <t>&gt; 10 años</t>
        </is>
      </c>
      <c r="G39" s="56" t="inlineStr">
        <is>
          <t>Rodal denso y coetáneo de eucalipto y grevílea con alineamiento regular sobre ladera de fuerte pendiente (E-02): plantación forestal de producción en el borde nororiental</t>
        </is>
      </c>
    </row>
    <row r="40">
      <c r="A40" s="55" t="inlineStr">
        <is>
          <t>5</t>
        </is>
      </c>
      <c r="B40" s="55" t="inlineStr">
        <is>
          <t>Quema (renovación de pastos)</t>
        </is>
      </c>
      <c r="C40" s="55" t="inlineStr">
        <is>
          <t>Por determinar</t>
        </is>
      </c>
      <c r="D40" s="55" t="inlineStr">
        <is>
          <t>Nula</t>
        </is>
      </c>
      <c r="E40" s="55" t="inlineStr">
        <is>
          <t>—</t>
        </is>
      </c>
      <c r="F40" s="55" t="inlineStr">
        <is>
          <t>—</t>
        </is>
      </c>
      <c r="G40" s="55" t="inlineStr">
        <is>
          <t>No observada desde las estaciones recorridas; NO descartada — el sector alto no fue verificado</t>
        </is>
      </c>
    </row>
    <row r="41">
      <c r="A41" s="56" t="inlineStr">
        <is>
          <t>6</t>
        </is>
      </c>
      <c r="B41" s="56" t="inlineStr">
        <is>
          <t>Quema accidental / Incendio</t>
        </is>
      </c>
      <c r="C41" s="56" t="inlineStr">
        <is>
          <t>Por determinar</t>
        </is>
      </c>
      <c r="D41" s="56" t="inlineStr">
        <is>
          <t>Nula</t>
        </is>
      </c>
      <c r="E41" s="56" t="inlineStr">
        <is>
          <t>—</t>
        </is>
      </c>
      <c r="F41" s="56" t="inlineStr">
        <is>
          <t>—</t>
        </is>
      </c>
      <c r="G41" s="56" t="inlineStr">
        <is>
          <t>No observada; NO descartada</t>
        </is>
      </c>
    </row>
    <row r="42">
      <c r="A42" s="55" t="inlineStr">
        <is>
          <t>7</t>
        </is>
      </c>
      <c r="B42" s="55" t="inlineStr">
        <is>
          <t>Cambio de uso a agricultura</t>
        </is>
      </c>
      <c r="C42" s="55" t="inlineStr">
        <is>
          <t>Sí</t>
        </is>
      </c>
      <c r="D42" s="55" t="inlineStr">
        <is>
          <t>Fuerte</t>
        </is>
      </c>
      <c r="E42" s="55" t="inlineStr">
        <is>
          <t>Por determinar</t>
        </is>
      </c>
      <c r="F42" s="55" t="inlineStr">
        <is>
          <t>&gt; 10 años</t>
        </is>
      </c>
      <c r="G42" s="55" t="inlineStr">
        <is>
          <t>CAUSA DOMINANTE. Frente agrícola continuo: cafetales bajo sombra y platanares en fondo de valle y ladera baja (E-03, E-05, E-06, E-09), y parcelas en terrazas sobre laderas de fuerte pendiente ascendiendo hasta las cotas altas de la vertiente oriental (E-12). El catálogo declara el 100 % del bloque como Zona agrícola</t>
        </is>
      </c>
    </row>
    <row r="43">
      <c r="A43" s="56" t="inlineStr">
        <is>
          <t>8</t>
        </is>
      </c>
      <c r="B43" s="56" t="inlineStr">
        <is>
          <t>Cambio de uso a pastoreo</t>
        </is>
      </c>
      <c r="C43" s="56" t="inlineStr">
        <is>
          <t>Sí</t>
        </is>
      </c>
      <c r="D43" s="56" t="inlineStr">
        <is>
          <t>Ligera</t>
        </is>
      </c>
      <c r="E43" s="56" t="inlineStr">
        <is>
          <t>Por determinar</t>
        </is>
      </c>
      <c r="F43" s="56" t="inlineStr">
        <is>
          <t>Por determinar</t>
        </is>
      </c>
      <c r="G43" s="56" t="inlineStr">
        <is>
          <t>Pastizal seco entre matas en las laderas de solana del tercio superior (E-01, E-12)</t>
        </is>
      </c>
    </row>
    <row r="44">
      <c r="A44" s="55" t="inlineStr">
        <is>
          <t>9</t>
        </is>
      </c>
      <c r="B44" s="55" t="inlineStr">
        <is>
          <t>Expansión urbana / vial</t>
        </is>
      </c>
      <c r="C44" s="55" t="inlineStr">
        <is>
          <t>Sí</t>
        </is>
      </c>
      <c r="D44" s="55" t="inlineStr">
        <is>
          <t>Moderada</t>
        </is>
      </c>
      <c r="E44" s="55" t="inlineStr">
        <is>
          <t>Por determinar</t>
        </is>
      </c>
      <c r="F44" s="55" t="inlineStr">
        <is>
          <t>Por determinar</t>
        </is>
      </c>
      <c r="G44" s="55" t="inlineStr">
        <is>
          <t>Trocha carrozable de acceso por el borde norte con taludes de corte sin banquetas, cunetas ni revegetación (E-01, E-07, E-09, E-11); tendido eléctrico de media tensión y edificación educativa y comunal en San Antonio de Succhirca (E-10)</t>
        </is>
      </c>
    </row>
    <row r="45">
      <c r="A45" s="56" t="inlineStr">
        <is>
          <t>10</t>
        </is>
      </c>
      <c r="B45" s="56" t="inlineStr">
        <is>
          <t>Minería informal</t>
        </is>
      </c>
      <c r="C45" s="56" t="inlineStr">
        <is>
          <t>No</t>
        </is>
      </c>
      <c r="D45" s="56" t="inlineStr">
        <is>
          <t>Nula</t>
        </is>
      </c>
      <c r="E45" s="56" t="inlineStr">
        <is>
          <t>0</t>
        </is>
      </c>
      <c r="F45" s="56" t="inlineStr">
        <is>
          <t>—</t>
        </is>
      </c>
      <c r="G45" s="56" t="inlineStr">
        <is>
          <t>Sin evidencia de actividad minera</t>
        </is>
      </c>
    </row>
    <row r="46">
      <c r="A46" s="55" t="inlineStr">
        <is>
          <t>11</t>
        </is>
      </c>
      <c r="B46" s="55" t="inlineStr">
        <is>
          <t>Extracción de áridos (cauces)</t>
        </is>
      </c>
      <c r="C46" s="55" t="inlineStr">
        <is>
          <t>No</t>
        </is>
      </c>
      <c r="D46" s="55" t="inlineStr">
        <is>
          <t>Nula</t>
        </is>
      </c>
      <c r="E46" s="55" t="inlineStr">
        <is>
          <t>0</t>
        </is>
      </c>
      <c r="F46" s="55" t="inlineStr">
        <is>
          <t>—</t>
        </is>
      </c>
      <c r="G46" s="55" t="inlineStr">
        <is>
          <t>Sin extracción de áridos observada en los cauces recorridos</t>
        </is>
      </c>
    </row>
    <row r="47">
      <c r="A47" s="56" t="inlineStr">
        <is>
          <t>12</t>
        </is>
      </c>
      <c r="B47" s="56" t="inlineStr">
        <is>
          <t>Especies invasoras</t>
        </is>
      </c>
      <c r="C47" s="56" t="inlineStr">
        <is>
          <t>Por determinar</t>
        </is>
      </c>
      <c r="D47" s="56" t="inlineStr">
        <is>
          <t>Nula</t>
        </is>
      </c>
      <c r="E47" s="56" t="inlineStr">
        <is>
          <t>—</t>
        </is>
      </c>
      <c r="F47" s="56" t="inlineStr">
        <is>
          <t>—</t>
        </is>
      </c>
      <c r="G47" s="56" t="inlineStr">
        <is>
          <t>No evaluada</t>
        </is>
      </c>
    </row>
    <row r="48">
      <c r="A48" s="55" t="inlineStr">
        <is>
          <t>13</t>
        </is>
      </c>
      <c r="B48" s="55" t="inlineStr">
        <is>
          <t>Erosión natural severa</t>
        </is>
      </c>
      <c r="C48" s="55" t="inlineStr">
        <is>
          <t>Sí</t>
        </is>
      </c>
      <c r="D48" s="55" t="inlineStr">
        <is>
          <t>Moderada</t>
        </is>
      </c>
      <c r="E48" s="55" t="inlineStr">
        <is>
          <t>Por determinar</t>
        </is>
      </c>
      <c r="F48" s="55" t="inlineStr">
        <is>
          <t>Por determinar</t>
        </is>
      </c>
      <c r="G48" s="55" t="inlineStr">
        <is>
          <t>Laderas descubiertas, crestones fracturados y afloramientos rocosos masivos por encima de ~1 900 msnm, coincidentes con el núcleo de menor MSAVI del polígono (E-01, E-05, E-12)</t>
        </is>
      </c>
    </row>
    <row r="49">
      <c r="A49" s="56" t="inlineStr">
        <is>
          <t>14</t>
        </is>
      </c>
      <c r="B49" s="56" t="inlineStr">
        <is>
          <t>Sequía prolongada / CC</t>
        </is>
      </c>
      <c r="C49" s="56" t="inlineStr">
        <is>
          <t>Por determinar</t>
        </is>
      </c>
      <c r="D49" s="56" t="inlineStr">
        <is>
          <t>Nula</t>
        </is>
      </c>
      <c r="E49" s="56" t="inlineStr">
        <is>
          <t>—</t>
        </is>
      </c>
      <c r="F49" s="56" t="inlineStr">
        <is>
          <t>—</t>
        </is>
      </c>
      <c r="G49" s="56" t="inlineStr">
        <is>
          <t>No evaluada en campo; el bloque figura en el área de déficit hídrico futuro del modelo MPI-ESM1-2HR, SSP 5-8.5, horizonte 2021-2040</t>
        </is>
      </c>
    </row>
    <row r="50">
      <c r="A50" s="55" t="inlineStr">
        <is>
          <t>15</t>
        </is>
      </c>
      <c r="B50" s="55" t="inlineStr">
        <is>
          <t>Plagas o enfermedades forestales</t>
        </is>
      </c>
      <c r="C50" s="55" t="inlineStr">
        <is>
          <t>Por determinar</t>
        </is>
      </c>
      <c r="D50" s="55" t="inlineStr">
        <is>
          <t>Nula</t>
        </is>
      </c>
      <c r="E50" s="55" t="inlineStr">
        <is>
          <t>—</t>
        </is>
      </c>
      <c r="F50" s="55" t="inlineStr">
        <is>
          <t>—</t>
        </is>
      </c>
      <c r="G50" s="55" t="inlineStr">
        <is>
          <t>No evaluada; el estado sanitario aparente del dosel es sano</t>
        </is>
      </c>
    </row>
    <row r="51">
      <c r="A51" s="56" t="inlineStr">
        <is>
          <t>16</t>
        </is>
      </c>
      <c r="B51" s="56" t="inlineStr">
        <is>
          <t>Otro</t>
        </is>
      </c>
      <c r="C51" s="56" t="inlineStr">
        <is>
          <t>No</t>
        </is>
      </c>
      <c r="D51" s="56" t="inlineStr">
        <is>
          <t>Nula</t>
        </is>
      </c>
      <c r="E51" s="56" t="inlineStr">
        <is>
          <t>—</t>
        </is>
      </c>
      <c r="F51" s="56" t="inlineStr">
        <is>
          <t>—</t>
        </is>
      </c>
      <c r="G51" s="56" t="inlineStr">
        <is>
          <t>—</t>
        </is>
      </c>
    </row>
    <row r="53">
      <c r="A53" s="53" t="inlineStr">
        <is>
          <t>F-DT-04 · INDICADORES CUANTITATIVOS</t>
        </is>
      </c>
    </row>
    <row r="54">
      <c r="A54" s="54" t="inlineStr">
        <is>
          <t>N.o</t>
        </is>
      </c>
      <c r="B54" s="54" t="inlineStr">
        <is>
          <t>Indicador</t>
        </is>
      </c>
      <c r="C54" s="54" t="inlineStr">
        <is>
          <t>Unidad</t>
        </is>
      </c>
      <c r="D54" s="54" t="inlineStr">
        <is>
          <t>Valor</t>
        </is>
      </c>
      <c r="E54" s="54" t="inlineStr">
        <is>
          <t>Fuente</t>
        </is>
      </c>
      <c r="F54" s="54" t="inlineStr">
        <is>
          <t>Umbral</t>
        </is>
      </c>
      <c r="G54" s="54" t="inlineStr">
        <is>
          <t>Nivel</t>
        </is>
      </c>
    </row>
    <row r="55">
      <c r="A55" s="55" t="inlineStr">
        <is>
          <t>1</t>
        </is>
      </c>
      <c r="B55" s="55" t="inlineStr">
        <is>
          <t>Cobertura vegetal total</t>
        </is>
      </c>
      <c r="C55" s="55" t="inlineStr">
        <is>
          <t>%</t>
        </is>
      </c>
      <c r="D55" s="55" t="inlineStr">
        <is>
          <t>91</t>
        </is>
      </c>
      <c r="E55" s="55" t="inlineStr">
        <is>
          <t>Planos NDVI 2025 / MSAVI 2024 (clasificación cromática)</t>
        </is>
      </c>
      <c r="F55" s="55" t="inlineStr">
        <is>
          <t>&gt;60% bueno; 30-60% medio; &lt;30% malo</t>
        </is>
      </c>
      <c r="G55" s="55" t="inlineStr">
        <is>
          <t>Alto</t>
        </is>
      </c>
    </row>
    <row r="56">
      <c r="A56" s="56" t="inlineStr">
        <is>
          <t>2</t>
        </is>
      </c>
      <c r="B56" s="56" t="inlineStr">
        <is>
          <t>Porcentaje de suelo desnudo</t>
        </is>
      </c>
      <c r="C56" s="56" t="inlineStr">
        <is>
          <t>%</t>
        </is>
      </c>
      <c r="D56" s="56" t="inlineStr">
        <is>
          <t>0.05</t>
        </is>
      </c>
      <c r="E56" s="56" t="inlineStr">
        <is>
          <t>Plano NDVI mediana 2025 — clase "Tierra desnuda" (0.122 ha)</t>
        </is>
      </c>
      <c r="F56" s="56" t="inlineStr">
        <is>
          <t>&lt;10% bueno; 10-30% medio; &gt;30% malo</t>
        </is>
      </c>
      <c r="G56" s="56" t="inlineStr">
        <is>
          <t>Bajo</t>
        </is>
      </c>
    </row>
    <row r="57">
      <c r="A57" s="55" t="inlineStr">
        <is>
          <t>3</t>
        </is>
      </c>
      <c r="B57" s="55" t="inlineStr">
        <is>
          <t>Densidad de cárcavas</t>
        </is>
      </c>
      <c r="C57" s="55" t="inlineStr">
        <is>
          <t>N°/ha</t>
        </is>
      </c>
      <c r="D57" s="55" t="inlineStr">
        <is>
          <t>Por determinar</t>
        </is>
      </c>
      <c r="E57" s="55" t="inlineStr">
        <is>
          <t>Inventario no ejecutado</t>
        </is>
      </c>
      <c r="F57" s="55" t="inlineStr">
        <is>
          <t>0 nulo; 1-3 medio; &gt;3 alto</t>
        </is>
      </c>
      <c r="G57" s="55" t="inlineStr">
        <is>
          <t>Bajo</t>
        </is>
      </c>
    </row>
    <row r="58">
      <c r="A58" s="56" t="inlineStr">
        <is>
          <t>4</t>
        </is>
      </c>
      <c r="B58" s="56" t="inlineStr">
        <is>
          <t>Presencia de especies invasoras</t>
        </is>
      </c>
      <c r="C58" s="56" t="inlineStr">
        <is>
          <t>% área</t>
        </is>
      </c>
      <c r="D58" s="56" t="inlineStr">
        <is>
          <t>Por determinar</t>
        </is>
      </c>
      <c r="E58" s="56" t="inlineStr">
        <is>
          <t>No evaluada</t>
        </is>
      </c>
      <c r="F58" s="56" t="inlineStr">
        <is>
          <t>&lt;5% bueno; 5-20% medio; &gt;20% alto</t>
        </is>
      </c>
      <c r="G58" s="56" t="inlineStr">
        <is>
          <t>Bajo</t>
        </is>
      </c>
    </row>
    <row r="59">
      <c r="A59" s="55" t="inlineStr">
        <is>
          <t>5</t>
        </is>
      </c>
      <c r="B59" s="55" t="inlineStr">
        <is>
          <t>Carga ganadera estimada</t>
        </is>
      </c>
      <c r="C59" s="55" t="inlineStr">
        <is>
          <t>UA/ha</t>
        </is>
      </c>
      <c r="D59" s="55" t="inlineStr">
        <is>
          <t>Por determinar</t>
        </is>
      </c>
      <c r="E59" s="55" t="inlineStr">
        <is>
          <t>No evaluada</t>
        </is>
      </c>
      <c r="F59" s="55" t="inlineStr">
        <is>
          <t>Según tipo de ecosistema</t>
        </is>
      </c>
      <c r="G59" s="55" t="inlineStr"/>
    </row>
    <row r="60">
      <c r="A60" s="56" t="inlineStr">
        <is>
          <t>6</t>
        </is>
      </c>
      <c r="B60" s="56" t="inlineStr">
        <is>
          <t>Frecuencia de quemas últimos 5 años</t>
        </is>
      </c>
      <c r="C60" s="56" t="inlineStr">
        <is>
          <t>N°</t>
        </is>
      </c>
      <c r="D60" s="56" t="inlineStr">
        <is>
          <t>Por determinar</t>
        </is>
      </c>
      <c r="E60" s="56" t="inlineStr">
        <is>
          <t>No evaluada</t>
        </is>
      </c>
      <c r="F60" s="56" t="inlineStr">
        <is>
          <t>0 nulo; 1-2 medio; &gt;2 alto</t>
        </is>
      </c>
      <c r="G60" s="56" t="inlineStr"/>
    </row>
    <row r="61">
      <c r="A61" s="55" t="inlineStr">
        <is>
          <t>7</t>
        </is>
      </c>
      <c r="B61" s="55" t="inlineStr">
        <is>
          <t>% área con pendiente &gt;50%</t>
        </is>
      </c>
      <c r="C61" s="55" t="inlineStr">
        <is>
          <t>%</t>
        </is>
      </c>
      <c r="D61" s="55" t="inlineStr">
        <is>
          <t>Por determinar</t>
        </is>
      </c>
      <c r="E61" s="55" t="inlineStr">
        <is>
          <t>Estadística zonal de pendientes no ejecutada</t>
        </is>
      </c>
      <c r="F61" s="55" t="inlineStr">
        <is>
          <t>Factor de susceptibilidad</t>
        </is>
      </c>
      <c r="G61" s="55" t="inlineStr"/>
    </row>
    <row r="62">
      <c r="A62" s="56" t="inlineStr">
        <is>
          <t>8</t>
        </is>
      </c>
      <c r="B62" s="56" t="inlineStr">
        <is>
          <t>Distancia a vía vecinal más cercana</t>
        </is>
      </c>
      <c r="C62" s="56" t="inlineStr">
        <is>
          <t>m</t>
        </is>
      </c>
      <c r="D62" s="56" t="inlineStr">
        <is>
          <t>≈ 0</t>
        </is>
      </c>
      <c r="E62" s="56" t="inlineStr">
        <is>
          <t>Medición sobre plano MSAVI georreferenciado — contacto con el límite norte</t>
        </is>
      </c>
      <c r="F62" s="56" t="inlineStr">
        <is>
          <t>A menor distancia → mayor presión</t>
        </is>
      </c>
      <c r="G62" s="56" t="inlineStr">
        <is>
          <t>Alto</t>
        </is>
      </c>
    </row>
    <row r="64">
      <c r="A64" s="53" t="inlineStr">
        <is>
          <t>F-DT-05 · FUENTES DE AGUA INVENTARIADAS</t>
        </is>
      </c>
    </row>
    <row r="65">
      <c r="A65" s="54" t="inlineStr">
        <is>
          <t>N.o</t>
        </is>
      </c>
      <c r="B65" s="54" t="inlineStr">
        <is>
          <t>Tipo de fuente</t>
        </is>
      </c>
      <c r="C65" s="54" t="inlineStr">
        <is>
          <t>UTM ESTE</t>
        </is>
      </c>
      <c r="D65" s="54" t="inlineStr">
        <is>
          <t>UTM NORTE</t>
        </is>
      </c>
      <c r="E65" s="54" t="inlineStr">
        <is>
          <t>Régimen</t>
        </is>
      </c>
      <c r="F65" s="54" t="inlineStr">
        <is>
          <t>Calidad</t>
        </is>
      </c>
      <c r="G65" s="54" t="inlineStr">
        <is>
          <t>Distancia (m)</t>
        </is>
      </c>
      <c r="H65" s="54" t="inlineStr">
        <is>
          <t>Uso / observación</t>
        </is>
      </c>
    </row>
    <row r="66">
      <c r="A66" s="55" t="inlineStr">
        <is>
          <t>1</t>
        </is>
      </c>
      <c r="B66" s="55" t="inlineStr">
        <is>
          <t>Quebrada estacional</t>
        </is>
      </c>
      <c r="C66" s="60" t="n">
        <v>656485</v>
      </c>
      <c r="D66" s="60" t="n">
        <v>9382766</v>
      </c>
      <c r="E66" s="55" t="inlineStr">
        <is>
          <t>Intermitente</t>
        </is>
      </c>
      <c r="F66" s="55" t="inlineStr">
        <is>
          <t>No evaluable</t>
        </is>
      </c>
      <c r="G66" s="60" t="n">
        <v>66</v>
      </c>
      <c r="H66" s="55" t="inlineStr">
        <is>
          <t>Cauce de fondo plano con lámina de agua somera y bancos de arena en plena época seca (E-06, 09:58 h); márgenes con bambusales y platanares. Tributaria de la red de la Q9588</t>
        </is>
      </c>
    </row>
    <row r="67">
      <c r="A67" s="56" t="inlineStr">
        <is>
          <t>2</t>
        </is>
      </c>
      <c r="B67" s="56" t="inlineStr">
        <is>
          <t>Quebrada estacional</t>
        </is>
      </c>
      <c r="C67" s="61" t="n">
        <v>656704</v>
      </c>
      <c r="D67" s="61" t="n">
        <v>9382756</v>
      </c>
      <c r="E67" s="56" t="inlineStr">
        <is>
          <t>Intermitente</t>
        </is>
      </c>
      <c r="F67" s="56" t="inlineStr">
        <is>
          <t>No evaluable</t>
        </is>
      </c>
      <c r="G67" s="61" t="n">
        <v>69</v>
      </c>
      <c r="H67" s="56" t="inlineStr">
        <is>
          <t>Quebrada encajonada de fuerte encañonamiento entre paredes rocosas, con dosel cerrado y cactáceas sobre los farallones (E-03, 09:52 h). Sin lámina de agua visible en la toma</t>
        </is>
      </c>
    </row>
    <row r="68">
      <c r="A68" s="55" t="inlineStr">
        <is>
          <t>3</t>
        </is>
      </c>
      <c r="B68" s="55" t="inlineStr">
        <is>
          <t>Otro</t>
        </is>
      </c>
      <c r="C68" s="60" t="n">
        <v>657460</v>
      </c>
      <c r="D68" s="60" t="n">
        <v>9382956</v>
      </c>
      <c r="E68" s="55" t="inlineStr">
        <is>
          <t>Permanente</t>
        </is>
      </c>
      <c r="F68" s="55" t="inlineStr">
        <is>
          <t>No evaluable</t>
        </is>
      </c>
      <c r="G68" s="60" t="n">
        <v>789</v>
      </c>
      <c r="H68" s="55" t="inlineStr">
        <is>
          <t>Reservorio elevado tipo Rotoplas sobre estructura metálica en la institución educativa de San Antonio de Succhirca (E-10, 10:44 h). Almacenamiento, no fuente; captación de origen POR VERIFICAR</t>
        </is>
      </c>
    </row>
    <row r="71">
      <c r="A71" s="53" t="inlineStr">
        <is>
          <t>OBSERVACIONES DEL EVALUADOR POR FICHA</t>
        </is>
      </c>
    </row>
    <row r="72">
      <c r="A72" s="54" t="inlineStr">
        <is>
          <t>Ficha</t>
        </is>
      </c>
      <c r="B72" s="54" t="inlineStr">
        <is>
          <t>Observación registrada en campo</t>
        </is>
      </c>
    </row>
    <row r="73">
      <c r="A73" s="55" t="inlineStr">
        <is>
          <t>F-DT-01</t>
        </is>
      </c>
      <c r="B73" s="55" t="inlineStr">
        <is>
          <t>OBSERVACIONES: Ficha NO diligenciada en campo; prellenado de gabinete a partir del registro fotográfico georreferenciado del 20-08-2026 (12 tomas, 10 con sello UTM), planos temáticos MSAVI 2024 y NDVI mediana 2025, vista satelital Google Earth y catálogos Bloques V4/V5/V6. El punto de muestreo consignado (656 704 E / 9 382 756 N) corresponde a la estación E-03, la más próxima al polígono, situada 69 m al norte del límite: NINGUNA de las estaciones se localiza dentro del bloque. La forma del terreno, la posición fisiográfica y la exposición se derivan del MDE y de la lectura de los planos, no de medición de campo. Los indicios de inestabilidad registrados como "Sí" (afloramientos rocosos y escarpes) proceden de interpretación fotográfica de las laderas altas y de los taludes de corte de la trocha; el registro "No" en reptación, deslizamientos antiguos y remociones activas NO equivale a ausencia verificada: significa que no fueron observados desde las posiciones recorridas, todas exteriores al polígono. Pendiente promedio del bloque según MDE: 35.01 % (la mayor de la microcuenca C1076-Q9588).</t>
        </is>
      </c>
    </row>
    <row r="74">
      <c r="A74" s="56" t="inlineStr">
        <is>
          <t>F-DT-02</t>
        </is>
      </c>
      <c r="B74" s="56" t="inlineStr">
        <is>
          <t>OBSERVACIONES: INVENTARIO GEORREFERENCIADO NO EJECUTADO. Las dos filas consignadas NO son cárcavas inventariadas: corresponden a rasgos erosivos lineales asociados a los taludes de corte y a la plataforma de la trocha carrozable, identificados por interpretación fotográfica en las estaciones E-07/E-08 y E-09, sin medición instrumental de longitud, profundidad ni ancho. Por esa razón el conteo de cárcavas se declara 0 y la longitud total como no determinada. No se observaron cárcavas de sección apreciable ni socavamiento de cauce en las posiciones recorridas, todas exteriores al bloque y circunscritas al fondo de valle y al borde norte; el tercio superior del polígono (por encima de 1 900 msnm), donde los índices MSAVI y NDVI concentran la pérdida de cobertura y donde se observan parcelas de cultivo en fuerte pendiente sobre laderas descubiertas, NO fue recorrido ni fotografiado de cerca. La calificación "Moderada (surcos)" es por tanto representativa del sector bajo verificado y NO del bloque en su conjunto; el sector alto exige verificación específica antes de fijar metas físicas de infraestructura marrón. Sustrato observado en los cortes de la trocha: material coluvial y saprolítico pardo-rojizo, de baja cohesión y alta erodibilidad una vez desprovisto de cobertura.</t>
        </is>
      </c>
    </row>
    <row r="75">
      <c r="A75" s="55" t="inlineStr">
        <is>
          <t>F-DT-03</t>
        </is>
      </c>
      <c r="B75" s="55" t="inlineStr">
        <is>
          <t>OBSERVACIONES: Ficha NO diligenciada en campo. Registro florístico PRELIMINAR e INCOMPLETO: 10 taxones frente al mínimo de 15 que exige el formato; faltan 5. Binomios no confirmados por colecta ni determinación botánica formal. HALLAZGO SUSTANTIVO: 5 de los 10 taxones registrados son introducidos o cultivos (eucalipto, grevílea, agave, plátano y café), y el estatus del bambú queda sujeto a confirmación entre Guadua angustifolia (nativa) y Bambusa vulgaris (introducida); la fracción efectivamente natural del inventario es por tanto minoritaria. La cobertura vegetal total estimada (91 %) NO procede de medición de campo: se deriva de la clasificación del plano NDVI mediana 2025 (vegetación alta + mediana = 98.99 %) contrastada con el plano MSAVI 2024 (clases sobre 0.4976 = 91.12 %); se adopta el valor conservador. Coberturas por estrato, alturas, DAP, regeneración y epífitas NO fueron medidas: los valores "Por determinar" no deben interpretarse como cero. La adscripción "Agroecosistema / Mosaico" corrige de oficio la lectura del catálogo, que declara el 100 % del bloque como "Zona agrícola" (véase discrepancia D-02 del informe).</t>
        </is>
      </c>
    </row>
    <row r="76">
      <c r="A76" s="56" t="inlineStr">
        <is>
          <t>F-DT-04</t>
        </is>
      </c>
      <c r="B76" s="56" t="inlineStr">
        <is>
          <t>OBSERVACIONES: Matriz PARCIAL. Ficha no diligenciada en campo. La extensión (% del bloque) no se estimó para ninguna causa y siete de las dieciséis causas se rotulan "Por determinar": quema, incendio, invasoras, sequía y plagas NO fueron descartadas, simplemente no fueron observadas ni verificadas. Los indicadores 3 a 7 quedan pendientes de levantamiento instrumental. ADVERTENCIA DE LECTURA: el Bloque 4 presenta el MSAVI medio más alto de su microcuenca (0.6601) y un 87.89 % de superficie en clase "Vegetación alta" del NDVI 2025; esa cobertura NO acredita un ecosistema conservado, sino un mosaico agroforestal de dosel continuo —cafetales bajo sombra, platanares, bambusales y plantaciones exóticas— que sustituye al ecosistema natural. La lectura espectral y la lectura ecológica divergen, y esa divergencia es el hallazgo central del diagnóstico.</t>
        </is>
      </c>
    </row>
    <row r="77">
      <c r="A77" s="55" t="inlineStr">
        <is>
          <t>F-DT-05</t>
        </is>
      </c>
      <c r="B77" s="55" t="inlineStr">
        <is>
          <t>OBSERVACIONES: Ficha NO diligenciada en campo. El inventario consignado se reconstruye por interpretación del registro fotográfico georreferenciado; NO hubo levantamiento GPS de fuentes, aforo, medición de caudal ni evaluación de calidad. HALLAZGO HIDROLÓGICO: la lámina de agua observada en el cauce de la estación E-06 el 20 de agosto —plena estación seca— sugiere un régimen más persistente que el estacional en el fondo de valle, atribuible a la fuerte cobertura del mosaico agroforestal y a la posible existencia de afloramientos subsuperficiales aguas arriba. El bloque se sitúa en POSICIÓN DE CABECERA: su borde meridional coincide con la divisoria del macizo (2 318 msnm) y todo su drenaje propio alimenta la red de la microcuenca C1076-Q9588. Quedan pendientes: identificación de la JASS y de la captación poblacional de San Antonio de Succhirca y La Rinconada, tiempos de viaje desde las capitales distrital y provincial, señal celular y operador, alojamiento rural y requerimiento de autorización de Ronda Campesina.</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4</t>
        </is>
      </c>
    </row>
    <row r="7">
      <c r="A7" s="53" t="inlineStr">
        <is>
          <t>Hechos declarados por fuente</t>
        </is>
      </c>
    </row>
    <row r="8">
      <c r="A8" s="54" t="inlineStr">
        <is>
          <t>Fuente</t>
        </is>
      </c>
      <c r="B8" s="54" t="inlineStr">
        <is>
          <t>Hechos</t>
        </is>
      </c>
    </row>
    <row r="9">
      <c r="A9" s="55" t="inlineStr">
        <is>
          <t>Dato de campo</t>
        </is>
      </c>
      <c r="B9" s="55" t="n">
        <v>58</v>
      </c>
    </row>
    <row r="10">
      <c r="A10" s="56" t="inlineStr">
        <is>
          <t>Gabinete (GIS / teledetección)</t>
        </is>
      </c>
      <c r="B10" s="56" t="n">
        <v>20</v>
      </c>
    </row>
    <row r="11">
      <c r="A11" s="55" t="inlineStr">
        <is>
          <t>Fuente oficial</t>
        </is>
      </c>
      <c r="B11" s="55" t="n">
        <v>14</v>
      </c>
    </row>
    <row r="26">
      <c r="A26" s="53" t="inlineStr">
        <is>
          <t>Estado del cruce entre fuentes</t>
        </is>
      </c>
    </row>
    <row r="27">
      <c r="A27" s="54" t="inlineStr">
        <is>
          <t>Estado</t>
        </is>
      </c>
      <c r="B27" s="54" t="inlineStr">
        <is>
          <t>Hechos</t>
        </is>
      </c>
    </row>
    <row r="28">
      <c r="A28" s="55" t="inlineStr">
        <is>
          <t>CONFORME</t>
        </is>
      </c>
      <c r="B28" s="55" t="n">
        <v>91</v>
      </c>
    </row>
    <row r="29">
      <c r="A29" s="56" t="inlineStr">
        <is>
          <t>COMPLEMENTADO</t>
        </is>
      </c>
      <c r="B29" s="56" t="n">
        <v>0</v>
      </c>
    </row>
    <row r="30">
      <c r="A30" s="55" t="inlineStr">
        <is>
          <t>ACTUALIZADO</t>
        </is>
      </c>
      <c r="B30" s="55" t="n">
        <v>1</v>
      </c>
    </row>
    <row r="31">
      <c r="A31" s="56" t="inlineStr">
        <is>
          <t>DISCREPANTE</t>
        </is>
      </c>
      <c r="B31" s="56" t="n">
        <v>0</v>
      </c>
    </row>
    <row r="32">
      <c r="A32" s="55" t="inlineStr">
        <is>
          <t>PENDIENTE</t>
        </is>
      </c>
      <c r="B32" s="55" t="n">
        <v>22</v>
      </c>
    </row>
    <row r="45">
      <c r="A45" s="53" t="inlineStr">
        <is>
          <t>Causas activas de degradación (F-DT-04)</t>
        </is>
      </c>
    </row>
    <row r="46">
      <c r="A46" s="54" t="inlineStr">
        <is>
          <t>Causa</t>
        </is>
      </c>
      <c r="B46" s="54" t="inlineStr">
        <is>
          <t>Intensidad (1 ligera - 4 muy fuerte)</t>
        </is>
      </c>
    </row>
    <row r="47">
      <c r="A47" s="55" t="inlineStr">
        <is>
          <t>Cambio de uso a agricultura</t>
        </is>
      </c>
      <c r="B47" s="55" t="n">
        <v>3</v>
      </c>
    </row>
    <row r="48">
      <c r="A48" s="56" t="inlineStr">
        <is>
          <t>Erosión natural severa</t>
        </is>
      </c>
      <c r="B48" s="56" t="n">
        <v>2</v>
      </c>
    </row>
    <row r="49">
      <c r="A49" s="55" t="inlineStr">
        <is>
          <t>Expansión urbana / vial</t>
        </is>
      </c>
      <c r="B49" s="55" t="n">
        <v>2</v>
      </c>
    </row>
    <row r="50">
      <c r="A50" s="56" t="inlineStr">
        <is>
          <t>Tala para madera</t>
        </is>
      </c>
      <c r="B50" s="56" t="n">
        <v>2</v>
      </c>
    </row>
    <row r="51">
      <c r="A51" s="55" t="inlineStr">
        <is>
          <t>Cambio de uso a pastoreo</t>
        </is>
      </c>
      <c r="B51" s="55" t="n">
        <v>1</v>
      </c>
    </row>
    <row r="52">
      <c r="A52" s="56" t="inlineStr">
        <is>
          <t>Sobrepastoreo (caprino/vacuno)</t>
        </is>
      </c>
      <c r="B52" s="56" t="n">
        <v>1</v>
      </c>
    </row>
    <row r="53">
      <c r="A53" s="55" t="inlineStr">
        <is>
          <t>Tala para leña</t>
        </is>
      </c>
      <c r="B53" s="55" t="n">
        <v>1</v>
      </c>
    </row>
    <row r="64">
      <c r="A64" s="53" t="inlineStr">
        <is>
          <t>Control de consistencia por calificación</t>
        </is>
      </c>
    </row>
    <row r="65">
      <c r="A65" s="54" t="inlineStr">
        <is>
          <t>Calificación</t>
        </is>
      </c>
      <c r="B65" s="54" t="inlineStr">
        <is>
          <t>Verificaciones</t>
        </is>
      </c>
    </row>
    <row r="66">
      <c r="A66" s="55" t="inlineStr">
        <is>
          <t>SUSTANTIVA</t>
        </is>
      </c>
      <c r="B66" s="55" t="n">
        <v>3</v>
      </c>
    </row>
    <row r="67">
      <c r="A67" s="56" t="inlineStr">
        <is>
          <t>NO SUSTANTIVA</t>
        </is>
      </c>
      <c r="B67" s="56" t="n">
        <v>3</v>
      </c>
    </row>
    <row r="68">
      <c r="A68" s="55" t="inlineStr">
        <is>
          <t>CORREGIDO</t>
        </is>
      </c>
      <c r="B68" s="55" t="n">
        <v>1</v>
      </c>
    </row>
    <row r="69">
      <c r="A69" s="56" t="inlineStr">
        <is>
          <t>CONFORME</t>
        </is>
      </c>
      <c r="B69" s="56"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4 — IN Piura</dc:title>
  <dc:subject>Diagnóstico Territorial por bloque de intervención</dc:subject>
  <dcterms:created xsi:type="dcterms:W3CDTF">2026-09-08T03:39:55Z</dcterms:created>
  <dcterms:modified xsi:type="dcterms:W3CDTF">2026-09-11T21:26:27Z</dcterms:modified>
</cp:coreProperties>
</file>