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integración'!$A$75:$A$79</f>
            </numRef>
          </cat>
          <val>
            <numRef>
              <f>'Gráficos de integración'!$B$75:$B$79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integración'!B97</f>
            </strRef>
          </tx>
          <spPr>
            <a:ln>
              <a:prstDash val="solid"/>
            </a:ln>
          </spPr>
          <cat>
            <numRef>
              <f>'Gráficos de integración'!$A$98:$A$101</f>
            </numRef>
          </cat>
          <val>
            <numRef>
              <f>'Gráficos de integración'!$B$98:$B$101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96</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M22B1</t>
        </is>
      </c>
    </row>
    <row r="6" ht="24" customHeight="1">
      <c r="A6" s="4" t="inlineStr">
        <is>
          <t>Diagnóstico Territorial — Plantilla DT Campo Check Validada V5 | Sistema de referencia: UTM WGS 84 Zona 17S (EPSG:32717) · Integrado con la ficha de campo F-DT vigente (Plantilla_DT_Campo_M22B1_IN_Piura.xlsx) — V7 - resumen V6 + campo F-DT integrado</t>
        </is>
      </c>
    </row>
    <row r="7"/>
    <row r="8" ht="18" customHeight="1">
      <c r="A8" s="5" t="inlineStr">
        <is>
          <t>1. IDENTIFICACIÓN Y LOCALIZACIÓN</t>
        </is>
      </c>
    </row>
    <row r="9">
      <c r="A9" s="6" t="inlineStr">
        <is>
          <t>Código del bloque</t>
        </is>
      </c>
      <c r="B9" s="7" t="inlineStr">
        <is>
          <t>M22B1</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Santa Rosa</t>
        </is>
      </c>
      <c r="C13" s="6" t="inlineStr">
        <is>
          <t>Comunidad campesina</t>
        </is>
      </c>
      <c r="D13" s="50" t="inlineStr">
        <is>
          <t>No consignada</t>
        </is>
      </c>
      <c r="E13" s="8" t="n"/>
      <c r="F13" s="8" t="n"/>
    </row>
    <row r="14">
      <c r="A14" s="6" t="inlineStr">
        <is>
          <t>Superficie de catálogo (V5/V6), ha</t>
        </is>
      </c>
      <c r="B14" s="7" t="n">
        <v>55.17</v>
      </c>
      <c r="C14" s="6" t="inlineStr">
        <is>
          <t>Fuente de superficie</t>
        </is>
      </c>
      <c r="D14" s="7" t="inlineStr">
        <is>
          <t>Catálogo maestro Bloques V5/V6</t>
        </is>
      </c>
      <c r="E14" s="8" t="n"/>
      <c r="F14" s="8" t="n"/>
    </row>
    <row r="15">
      <c r="A15" s="6" t="inlineStr">
        <is>
          <t>Centroide UTM ESTE (m)</t>
        </is>
      </c>
      <c r="B15" s="7" t="n">
        <v>664082</v>
      </c>
      <c r="C15" s="6" t="inlineStr">
        <is>
          <t>Centroide UTM NORTE (m)</t>
        </is>
      </c>
      <c r="D15" s="7" t="n">
        <v>9404172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3216</v>
      </c>
      <c r="C19" s="6" t="inlineStr">
        <is>
          <t>Altitud máxima (msnm)</t>
        </is>
      </c>
      <c r="D19" s="7" t="n">
        <v>3436</v>
      </c>
      <c r="E19" s="8" t="n"/>
      <c r="F19" s="8" t="n"/>
    </row>
    <row r="20">
      <c r="A20" s="6" t="inlineStr">
        <is>
          <t>Amplitud altitudinal (m)</t>
        </is>
      </c>
      <c r="B20" s="7" t="n">
        <v>220</v>
      </c>
      <c r="C20" s="6" t="inlineStr">
        <is>
          <t>Piso altitudinal dominante</t>
        </is>
      </c>
      <c r="D20" s="7" t="inlineStr">
        <is>
          <t>3000-3500 m (Puna baja)</t>
        </is>
      </c>
      <c r="E20" s="8" t="n"/>
      <c r="F20" s="8" t="n"/>
    </row>
    <row r="21">
      <c r="A21" s="6" t="inlineStr">
        <is>
          <t>Pendiente promedio (%)</t>
        </is>
      </c>
      <c r="B21" s="7" t="n">
        <v>19.98</v>
      </c>
      <c r="C21" s="6" t="inlineStr">
        <is>
          <t>Pendiente promedio (grados)</t>
        </is>
      </c>
      <c r="D21" s="7" t="n">
        <v>11.3</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media 26.5%, máxima 44.3% según MDE</t>
        </is>
      </c>
      <c r="E22" s="8" t="n"/>
      <c r="F22" s="8" t="n"/>
    </row>
    <row r="23">
      <c r="A23" s="6" t="inlineStr">
        <is>
          <t>Forma predominante del terreno</t>
        </is>
      </c>
      <c r="B23" s="7" t="inlineStr">
        <is>
          <t>Montañoso</t>
        </is>
      </c>
      <c r="C23" s="6" t="inlineStr">
        <is>
          <t>Posición fisiográfica</t>
        </is>
      </c>
      <c r="D23" s="50" t="inlineStr">
        <is>
          <t>Ladera alta</t>
        </is>
      </c>
      <c r="E23" s="8" t="n"/>
      <c r="F23" s="8" t="n"/>
    </row>
    <row r="24">
      <c r="A24" s="6" t="inlineStr">
        <is>
          <t>Exposición / orientación</t>
        </is>
      </c>
      <c r="B24" s="7" t="inlineStr">
        <is>
          <t>Suroeste (derivada del perfil del MDE, no de lectura de brújula en campo)</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Por determinar</t>
        </is>
      </c>
      <c r="E25" s="8" t="n"/>
      <c r="F25" s="8" t="n"/>
    </row>
    <row r="26"/>
    <row r="27" ht="18" customHeight="1">
      <c r="A27" s="5" t="inlineStr">
        <is>
          <t>3. ÍNDICES DE VEGETACIÓN (SENTINEL-2)</t>
        </is>
      </c>
    </row>
    <row r="28">
      <c r="A28" s="6" t="inlineStr">
        <is>
          <t>MSAVI 2024 — media del bloque</t>
        </is>
      </c>
      <c r="B28" s="7" t="n">
        <v>0.594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(91.05 %)</t>
        </is>
      </c>
      <c r="E29" s="8" t="n"/>
      <c r="F29" s="8" t="n"/>
    </row>
    <row r="30">
      <c r="A30" s="6" t="inlineStr">
        <is>
          <t>Superficie clasificada NDVI 2025 (ha)</t>
        </is>
      </c>
      <c r="B30" s="7" t="n">
        <v>55.177</v>
      </c>
      <c r="C30" s="6" t="inlineStr">
        <is>
          <t>Desviación frente al catálogo (%)</t>
        </is>
      </c>
      <c r="D30" s="7" t="n">
        <v>0.01</v>
      </c>
      <c r="E30" s="8" t="n"/>
      <c r="F30" s="8" t="n"/>
    </row>
    <row r="31">
      <c r="A31" s="6" t="inlineStr">
        <is>
          <t>Superficie clasificada MSAVI 2024 (ha)</t>
        </is>
      </c>
      <c r="B31" s="38" t="n">
        <v>55.17</v>
      </c>
      <c r="C31" s="6" t="inlineStr">
        <is>
          <t>Desviación MSAVI frente al catálogo (%)</t>
        </is>
      </c>
      <c r="D31" s="39" t="n">
        <v>0</v>
      </c>
      <c r="E31" s="8" t="n"/>
      <c r="F31" s="8" t="n"/>
    </row>
    <row r="32">
      <c r="A32" s="6" t="inlineStr">
        <is>
          <t>Superficie bajo umbral MSAVI 0.4976 (ha)</t>
        </is>
      </c>
      <c r="B32" s="38" t="n">
        <v>2.264</v>
      </c>
      <c r="C32" s="6" t="inlineStr">
        <is>
          <t>% del bloque bajo umbral (brecha espectral)</t>
        </is>
      </c>
      <c r="D32" s="39" t="n">
        <v>4.1</v>
      </c>
      <c r="E32" s="8" t="n"/>
      <c r="F32" s="8" t="n"/>
    </row>
    <row r="33">
      <c r="A33" s="6" t="inlineStr">
        <is>
          <t>Clase DN dominante (MSAVI 2024)</t>
        </is>
      </c>
      <c r="B33" s="7" t="inlineStr">
        <is>
          <t>DN 4 · 0.4976 - 0.6139 (Vigor moderado)</t>
        </is>
      </c>
      <c r="C33" s="6" t="inlineStr">
        <is>
          <t>N.° de polígonos MSAVI del bloque</t>
        </is>
      </c>
      <c r="D33" s="40" t="n">
        <v>101</v>
      </c>
      <c r="E33" s="8" t="n"/>
      <c r="F33" s="8" t="n"/>
    </row>
    <row r="34"/>
    <row r="35" ht="18" customHeight="1">
      <c r="A35" s="5" t="inlineStr">
        <is>
          <t>4. ECOSISTEMA Y ESTADO DE CONSERVACIÓN</t>
        </is>
      </c>
    </row>
    <row r="36">
      <c r="A36" s="6" t="inlineStr">
        <is>
          <t>Tipo de ecosistema (UP)</t>
        </is>
      </c>
      <c r="B36" s="7" t="inlineStr">
        <is>
          <t>Páramo (44.89 ha, 81.4%) y Matorral andino (10.28 ha, 18.6%)</t>
        </is>
      </c>
      <c r="C36" s="6" t="inlineStr">
        <is>
          <t>Superficie de ecosistema (ha)</t>
        </is>
      </c>
      <c r="D36" s="7" t="inlineStr">
        <is>
          <t>55.17 ha (100% del bloque): 44.89 ha de Páramo + 10.28 ha de Matorral andino</t>
        </is>
      </c>
      <c r="E36" s="8" t="n"/>
      <c r="F36" s="8" t="n"/>
    </row>
    <row r="37">
      <c r="A37" s="6" t="inlineStr">
        <is>
          <t>Estado de conservación</t>
        </is>
      </c>
      <c r="B37" s="7" t="inlineStr">
        <is>
          <t>Medianamente alterado</t>
        </is>
      </c>
      <c r="C37" s="6" t="inlineStr">
        <is>
          <t>Uso actual dominante del suelo</t>
        </is>
      </c>
      <c r="D37" s="7" t="inlineStr">
        <is>
          <t>Pastoreo extensivo con quema de renovación</t>
        </is>
      </c>
      <c r="E37" s="8" t="n"/>
      <c r="F37" s="8" t="n"/>
    </row>
    <row r="38">
      <c r="A38" s="6" t="inlineStr">
        <is>
          <t>Tipo de cobertura dominante</t>
        </is>
      </c>
      <c r="B38" s="50" t="inlineStr">
        <is>
          <t>Matorral denso</t>
        </is>
      </c>
      <c r="C38" s="6" t="inlineStr">
        <is>
          <t>Cobertura vegetal total — campo (%)</t>
        </is>
      </c>
      <c r="D38" s="7" t="n">
        <v>85</v>
      </c>
      <c r="E38" s="8" t="n"/>
      <c r="F38" s="8" t="n"/>
    </row>
    <row r="39">
      <c r="A39" s="6" t="inlineStr">
        <is>
          <t>Suelo desnudo — campo (%)</t>
        </is>
      </c>
      <c r="B39" s="7" t="n">
        <v>8</v>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n">
        <v>1</v>
      </c>
      <c r="E40" s="8" t="n"/>
      <c r="F40" s="8" t="n"/>
    </row>
    <row r="41">
      <c r="A41" s="6" t="inlineStr">
        <is>
          <t>Elenco florístico (n.° de taxones)</t>
        </is>
      </c>
      <c r="B41" s="7" t="n">
        <v>15</v>
      </c>
      <c r="C41" s="6" t="inlineStr">
        <is>
          <t>Estado sanitario</t>
        </is>
      </c>
      <c r="D41" s="7" t="inlineStr">
        <is>
          <t>Rebrote vigoroso (rebrote observado entre fustes carbonizados)</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2026-07-22</t>
        </is>
      </c>
      <c r="E44" s="8" t="n"/>
      <c r="F44" s="8" t="n"/>
    </row>
    <row r="45">
      <c r="A45" s="6" t="inlineStr">
        <is>
          <t>Hora de registro</t>
        </is>
      </c>
      <c r="B45" s="7" t="inlineStr">
        <is>
          <t>10:27 - 12:01 h</t>
        </is>
      </c>
      <c r="C45" s="6" t="inlineStr">
        <is>
          <t>Correlativo de ficha</t>
        </is>
      </c>
      <c r="D45" s="7" t="inlineStr">
        <is>
          <t>F-DT-M22B1-01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n">
        <v>11</v>
      </c>
      <c r="C48" s="6" t="inlineStr">
        <is>
          <t>Modalidad de acceso</t>
        </is>
      </c>
      <c r="D48" s="7" t="inlineStr">
        <is>
          <t>Vehicular + caminata</t>
        </is>
      </c>
      <c r="E48" s="8" t="n"/>
      <c r="F48" s="8" t="n"/>
    </row>
    <row r="49"/>
    <row r="50" ht="18" customHeight="1">
      <c r="A50" s="5" t="inlineStr">
        <is>
          <t>6. SÍNTESIS PARA LA GESTIÓN DEL RIESGO EN CONTEXTO DE CAMBIO CLIMÁTICO</t>
        </is>
      </c>
    </row>
    <row r="51">
      <c r="A51" s="6" t="inlineStr">
        <is>
          <t>Causa subyacente principal</t>
        </is>
      </c>
      <c r="B51" s="50" t="inlineStr">
        <is>
          <t>Manejo agropecuario tradicional del páramo basado en la quema periódica del matorral, en ausencia de acuerdos comunitarios de conservación de la cabecera de cuenca y de alternativas de manejo de pastos.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M22B1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18.4097</v>
      </c>
      <c r="C10" s="19">
        <f>ROUND(B10/$B$15*100,2)</f>
        <v/>
      </c>
      <c r="D10" s="11" t="inlineStr">
        <is>
          <t>Vigor alto</t>
        </is>
      </c>
      <c r="E10" s="11" t="inlineStr">
        <is>
          <t>Sobre umbral</t>
        </is>
      </c>
    </row>
    <row r="11">
      <c r="A11" s="12" t="inlineStr">
        <is>
          <t>0.4976 - 0.6139 · DN 4</t>
        </is>
      </c>
      <c r="B11" s="31" t="n">
        <v>34.4959</v>
      </c>
      <c r="C11" s="30">
        <f>ROUND(B11/$B$15*100,2)</f>
        <v/>
      </c>
      <c r="D11" s="13" t="inlineStr">
        <is>
          <t>Vigor moderado</t>
        </is>
      </c>
      <c r="E11" s="13" t="inlineStr">
        <is>
          <t>Sobre umbral</t>
        </is>
      </c>
    </row>
    <row r="12">
      <c r="A12" s="7" t="inlineStr">
        <is>
          <t>0.3813 - 0.4976 · DN 3</t>
        </is>
      </c>
      <c r="B12" s="18" t="n">
        <v>2.2642</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101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55.17</v>
      </c>
      <c r="C18" s="49" t="inlineStr">
        <is>
          <t>—</t>
        </is>
      </c>
      <c r="D18" s="46" t="inlineStr">
        <is>
          <t>Desviación planimétrica frente al catálogo</t>
        </is>
      </c>
      <c r="E18" s="46" t="inlineStr">
        <is>
          <t>+0.00 %</t>
        </is>
      </c>
    </row>
    <row r="19">
      <c r="A19" s="16" t="inlineStr">
        <is>
          <t>MSAVI 2024 — MEDIA DEL BLOQUE</t>
        </is>
      </c>
      <c r="B19" s="17" t="n">
        <v>0.594025</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(0.5940)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50.2362</v>
      </c>
      <c r="C25" s="19" t="n">
        <v>91.05</v>
      </c>
      <c r="D25" s="11" t="inlineStr">
        <is>
          <t>Dosel continuo, matorral denso o mosaico agroforestal</t>
        </is>
      </c>
      <c r="E25" s="11" t="inlineStr"/>
    </row>
    <row r="26">
      <c r="A26" s="14" t="inlineStr">
        <is>
          <t>Vegetación mediana</t>
        </is>
      </c>
      <c r="B26" s="20" t="n">
        <v>4.941</v>
      </c>
      <c r="C26" s="21" t="n">
        <v>8.949999999999999</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55.17</v>
      </c>
      <c r="C28" s="25" t="inlineStr">
        <is>
          <t>—</t>
        </is>
      </c>
      <c r="D28" s="25" t="inlineStr">
        <is>
          <t>Desviación planimétrica frente al catálogo</t>
        </is>
      </c>
      <c r="E28" s="25" t="inlineStr">
        <is>
          <t>+0.01 %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91.05 % del polígono clasificado como «Vegetación alta» por el NDVI 2025; la observación de campo corresponde a una parcela o recorrido puntual y no es estadísticamente representativa de las 55.170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M22B1</t>
        </is>
      </c>
    </row>
    <row r="6" ht="24" customHeight="1">
      <c r="A6" s="4" t="inlineStr">
        <is>
          <t>Levantamiento del 2026-07-22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663663</v>
      </c>
      <c r="D10" s="26" t="n">
        <v>9404682</v>
      </c>
      <c r="E10" s="11" t="n">
        <v>660</v>
      </c>
      <c r="F10" s="11" t="inlineStr"/>
      <c r="G10" s="11" t="inlineStr">
        <is>
          <t>Coordenada consignada en F-DT-01</t>
        </is>
      </c>
    </row>
    <row r="11">
      <c r="A11" s="14" t="inlineStr">
        <is>
          <t>E-01</t>
        </is>
      </c>
      <c r="B11" s="15" t="inlineStr">
        <is>
          <t>Rasgo erosivo — 663617</t>
        </is>
      </c>
      <c r="C11" s="27" t="n">
        <v>9404700</v>
      </c>
      <c r="D11" s="27" t="inlineStr">
        <is>
          <t>Escarpe con material residual rojizo; vegetación arbustiva quemada aguas arriba de la cárcava</t>
        </is>
      </c>
      <c r="E11" s="15" t="inlineStr"/>
      <c r="F11" s="15" t="inlineStr"/>
      <c r="G11" s="15" t="inlineStr"/>
    </row>
    <row r="12">
      <c r="A12" s="7" t="inlineStr">
        <is>
          <t>H-01</t>
        </is>
      </c>
      <c r="B12" s="11" t="inlineStr">
        <is>
          <t>Fuente de agua — Fuente 1</t>
        </is>
      </c>
      <c r="C12" s="26" t="inlineStr">
        <is>
          <t>Manantial con captación de concreto</t>
        </is>
      </c>
      <c r="D12" s="26" t="n">
        <v>663845</v>
      </c>
      <c r="E12" s="11" t="inlineStr"/>
      <c r="F12" s="11" t="n">
        <v>9404560</v>
      </c>
      <c r="G12" s="11" t="inlineStr"/>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664082</v>
      </c>
      <c r="C15" s="6" t="inlineStr">
        <is>
          <t>Centroide del bloque — UTM NORTE (m)</t>
        </is>
      </c>
      <c r="D15" s="7" t="n">
        <v>9404172</v>
      </c>
      <c r="E15" s="8" t="n"/>
      <c r="F15" s="8" t="n"/>
      <c r="G15" s="8" t="n"/>
      <c r="H15" s="8" t="n"/>
    </row>
    <row r="16">
      <c r="A16" s="6" t="inlineStr">
        <is>
          <t>N.° de estaciones fotográficas declaradas</t>
        </is>
      </c>
      <c r="B16" s="7" t="n">
        <v>11</v>
      </c>
      <c r="C16" s="6" t="inlineStr">
        <is>
          <t>Estaciones dentro del polígono</t>
        </is>
      </c>
      <c r="D16" s="7" t="inlineStr">
        <is>
          <t>Por determinar</t>
        </is>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 altitud GPS no fue registrada en campo (celda en blanco). El rango altitudinal y la exposición se derivan del modelo digital de elevaciones, lo que se declara expresamente para no atribuir a la ficha datos que no contiene.</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M22B1</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1" t="inlineStr">
        <is>
          <t>1529 – 2264</t>
        </is>
      </c>
      <c r="E10" s="11" t="n">
        <v>735</v>
      </c>
      <c r="F10" s="11" t="n">
        <v>34.82</v>
      </c>
      <c r="G10" s="18" t="n">
        <v>0.5745</v>
      </c>
      <c r="H10" s="19" t="n">
        <v>90.23999999999999</v>
      </c>
      <c r="I10" s="19" t="n">
        <v>11.68</v>
      </c>
    </row>
    <row r="11">
      <c r="A11" s="12" t="inlineStr">
        <is>
          <t>► M22B1</t>
        </is>
      </c>
      <c r="B11" s="29" t="n">
        <v>55.17</v>
      </c>
      <c r="C11" s="30" t="n">
        <v>20.14</v>
      </c>
      <c r="D11" s="13" t="inlineStr">
        <is>
          <t>3216 – 3436</t>
        </is>
      </c>
      <c r="E11" s="13" t="n">
        <v>220</v>
      </c>
      <c r="F11" s="13" t="n">
        <v>19.98</v>
      </c>
      <c r="G11" s="31" t="n">
        <v>0.594</v>
      </c>
      <c r="H11" s="30" t="n">
        <v>91.05</v>
      </c>
      <c r="I11" s="30" t="n">
        <v>4.1</v>
      </c>
    </row>
    <row r="12">
      <c r="A12" s="7" t="inlineStr">
        <is>
          <t>35</t>
        </is>
      </c>
      <c r="B12" s="28" t="n">
        <v>30.8</v>
      </c>
      <c r="C12" s="19" t="n">
        <v>11.24</v>
      </c>
      <c r="D12" s="11" t="inlineStr">
        <is>
          <t>1376 – 1621</t>
        </is>
      </c>
      <c r="E12" s="11" t="n">
        <v>245</v>
      </c>
      <c r="F12" s="11" t="n">
        <v>33.66</v>
      </c>
      <c r="G12" s="18" t="n">
        <v>0.6245000000000001</v>
      </c>
      <c r="H12" s="19" t="n">
        <v>98.17</v>
      </c>
      <c r="I12" s="19" t="n">
        <v>1.19</v>
      </c>
    </row>
    <row r="13">
      <c r="A13" s="14" t="inlineStr">
        <is>
          <t>44</t>
        </is>
      </c>
      <c r="B13" s="32" t="n">
        <v>28.23</v>
      </c>
      <c r="C13" s="21" t="n">
        <v>10.3</v>
      </c>
      <c r="D13" s="15" t="inlineStr">
        <is>
          <t>3091 – 3277</t>
        </is>
      </c>
      <c r="E13" s="15" t="n">
        <v>186</v>
      </c>
      <c r="F13" s="15" t="n">
        <v>22.21</v>
      </c>
      <c r="G13" s="20" t="n">
        <v>0.5113</v>
      </c>
      <c r="H13" s="21" t="n">
        <v>83.84999999999999</v>
      </c>
      <c r="I13" s="21" t="n">
        <v>52.06</v>
      </c>
    </row>
    <row r="14">
      <c r="A14" s="7" t="inlineStr">
        <is>
          <t>43</t>
        </is>
      </c>
      <c r="B14" s="28" t="n">
        <v>23.17</v>
      </c>
      <c r="C14" s="19" t="n">
        <v>8.460000000000001</v>
      </c>
      <c r="D14" s="11" t="inlineStr">
        <is>
          <t>251 – 811</t>
        </is>
      </c>
      <c r="E14" s="11" t="n">
        <v>560</v>
      </c>
      <c r="F14" s="11" t="n">
        <v>31.39</v>
      </c>
      <c r="G14" s="18" t="n">
        <v>0.5515</v>
      </c>
      <c r="H14" s="19" t="n">
        <v>78.91</v>
      </c>
      <c r="I14" s="19" t="n">
        <v>21.28</v>
      </c>
    </row>
    <row r="15">
      <c r="A15" s="14" t="inlineStr">
        <is>
          <t>47</t>
        </is>
      </c>
      <c r="B15" s="32" t="n">
        <v>13.55</v>
      </c>
      <c r="C15" s="21" t="n">
        <v>4.95</v>
      </c>
      <c r="D15" s="15" t="inlineStr">
        <is>
          <t>2105 – 2333</t>
        </is>
      </c>
      <c r="E15" s="15" t="n">
        <v>228</v>
      </c>
      <c r="F15" s="15" t="n">
        <v>32.43</v>
      </c>
      <c r="G15" s="20" t="n">
        <v>0.5936</v>
      </c>
      <c r="H15" s="21" t="n">
        <v>91.26000000000001</v>
      </c>
      <c r="I15" s="21" t="n">
        <v>9.84</v>
      </c>
    </row>
    <row r="16">
      <c r="A16" s="7" t="inlineStr">
        <is>
          <t>67</t>
        </is>
      </c>
      <c r="B16" s="28" t="n">
        <v>13.18</v>
      </c>
      <c r="C16" s="19" t="n">
        <v>4.81</v>
      </c>
      <c r="D16" s="11" t="inlineStr">
        <is>
          <t>1575 – 1770</t>
        </is>
      </c>
      <c r="E16" s="11" t="n">
        <v>195</v>
      </c>
      <c r="F16" s="11" t="n">
        <v>30.33</v>
      </c>
      <c r="G16" s="18" t="n">
        <v>0.6052999999999999</v>
      </c>
      <c r="H16" s="19" t="n">
        <v>97.5</v>
      </c>
      <c r="I16" s="19" t="n">
        <v>2.12</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c r="I17" s="23">
        <f>ROUND(AVERAGE(I10:I16),2)</f>
        <v/>
      </c>
    </row>
    <row r="19" ht="84" customHeight="1">
      <c r="A19" s="9" t="inlineStr">
        <is>
          <t>LECTURA INTRAMICROCUENCA. El bloque M22B1 ocupa el puesto 2 de 7 por superficie dentro de la microcuenca C1076-Q9586 (20.14 % de las 273.96 ha preliminares de la microcuenca). Su pendiente promedio (19.98 %, clase «15-25% (Fuert. inclinado)») es la 1.ª más baja de 7 y se sitúa por debajo del promedio de la microcuenca (29.26 %). Su MSAVI 2024 (0.5940) es el 3.º de 7 y queda por encima del promedio local (0.5793). Amplitud altitudinal del bloque: 220 m (3216–3436 msnm). El cuadro conserva todos los bloques catalogados en la microcuenca, incluidos los descartados en el tamizaje, para referencia del conjunto. Los bloques sin ficha DT figuran con sus parámetros de gabinete. BRECHA ESPECTRAL. El 4.10 % de la superficie del bloque (2.264 ha de 55.170 ha) se sitúa bajo el umbral MSAVI 0.4976, por debajo del promedio local de la microcuenca (14.61 %) calculado sobre los bloques con dato MSAVI disponible.</t>
        </is>
      </c>
      <c r="B19" s="41" t="n"/>
      <c r="C19" s="41" t="n"/>
      <c r="D19" s="41" t="n"/>
      <c r="E19" s="41" t="n"/>
      <c r="F19" s="41" t="n"/>
      <c r="G19" s="41" t="n"/>
      <c r="H19" s="41" t="n"/>
      <c r="I19" s="42"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1" t="n"/>
      <c r="I21" s="42"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M22B1</t>
        </is>
      </c>
    </row>
    <row r="6">
      <c r="A6" s="52" t="inlineStr">
        <is>
          <t>Cruce de la ficha de campo F-DT vigente con la ficha de resumen de gabinete y el catálogo maestro. Integración 2026-09-11 20:22:36.</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«C1076-Q9586».</t>
        </is>
      </c>
      <c r="D9" s="56" t="inlineStr">
        <is>
          <t>CONFORME</t>
        </is>
      </c>
      <c r="E9" s="56" t="inlineStr">
        <is>
          <t>Sin acción.</t>
        </is>
      </c>
    </row>
    <row r="10">
      <c r="A10" s="57" t="inlineStr">
        <is>
          <t>G-02</t>
        </is>
      </c>
      <c r="B10" s="57" t="inlineStr">
        <is>
          <t>UTM del punto de muestreo</t>
        </is>
      </c>
      <c r="C10" s="57" t="inlineStr">
        <is>
          <t>El punto de muestreo declarado dista 660.0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(55.177 ha) se desvía 0.01 % de la superficie de catálogo (55.17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(55.170 ha) se desvía 0.00 % de la superficie de catálogo (55.17 ha).</t>
        </is>
      </c>
      <c r="D14" s="57" t="inlineStr">
        <is>
          <t>CONFORME</t>
        </is>
      </c>
      <c r="E14" s="57" t="inlineStr">
        <is>
          <t>Sin acción: la segmentación valida la geometría del bloque.</t>
        </is>
      </c>
    </row>
    <row r="15">
      <c r="A15" s="56" t="inlineStr">
        <is>
          <t>G-07</t>
        </is>
      </c>
      <c r="B15" s="56" t="inlineStr">
        <is>
          <t>Brecha espectral MSAVI</t>
        </is>
      </c>
      <c r="C15" s="56" t="inlineStr">
        <is>
          <t>El 4.10 % del bloque queda bajo el umbral 0.4976; superficie de brecha 2.2642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55.17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(0.5940)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Posición fisiográfica</t>
        </is>
      </c>
      <c r="C19" s="56" t="inlineStr">
        <is>
          <t>El libro de resumen V6 consignaba «Ladera media»; la ficha de campo vigente declara «Ladera alta».</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Tipo de cobertura dominante</t>
        </is>
      </c>
      <c r="C20" s="57" t="inlineStr">
        <is>
          <t>El libro de resumen V6 consignaba «Matorral / pajonal de páramo»; la ficha de campo vigente declara «Matorral denso».</t>
        </is>
      </c>
      <c r="D20" s="57" t="inlineStr">
        <is>
          <t>CORREGIDO</t>
        </is>
      </c>
      <c r="E20" s="57" t="inlineStr">
        <is>
          <t>Se adopta el valor de campo por ser la fuente que manda sobre el dato y la más reciente. El valor anterior queda declarado para trazabilidad.</t>
        </is>
      </c>
    </row>
    <row r="21">
      <c r="A21" s="56" t="inlineStr">
        <is>
          <t>I-03</t>
        </is>
      </c>
      <c r="B21" s="56" t="inlineStr">
        <is>
          <t>Causa subyacente principal</t>
        </is>
      </c>
      <c r="C21" s="56" t="inlineStr">
        <is>
          <t>El libro de resumen V6 consignaba «No consignada en el formato de campo»; la ficha de campo vigente declara «Manejo agropecuario tradicional del páramo basado en la quema periódica del matorral, en ausencia de acuerdos comunitarios de conservación …».</t>
        </is>
      </c>
      <c r="D21" s="56" t="inlineStr">
        <is>
          <t>CORREGIDO</t>
        </is>
      </c>
      <c r="E21" s="56" t="inlineStr">
        <is>
          <t>Se adopta el valor de campo por ser la fuente que manda sobre el dato y la más reciente. El valor anterior queda declarado para trazabilidad.</t>
        </is>
      </c>
    </row>
    <row r="22">
      <c r="A22" s="57" t="inlineStr">
        <is>
          <t>F-01</t>
        </is>
      </c>
      <c r="B22" s="57" t="inlineStr">
        <is>
          <t>Fichas F-DT levantadas</t>
        </is>
      </c>
      <c r="C22" s="57" t="inlineStr">
        <is>
          <t>La plantilla de campo trae las cinco fichas F-DT-01 a F-DT-05 (completitud 96.4 % de los campos esperados).</t>
        </is>
      </c>
      <c r="D22" s="57" t="inlineStr">
        <is>
          <t>CONFORME</t>
        </is>
      </c>
      <c r="E22" s="57" t="inlineStr">
        <is>
          <t>Sin acción.</t>
        </is>
      </c>
    </row>
    <row r="23">
      <c r="A23" s="56" t="inlineStr">
        <is>
          <t>F-02</t>
        </is>
      </c>
      <c r="B23" s="56" t="inlineStr">
        <is>
          <t>Cobertura de la integración</t>
        </is>
      </c>
      <c r="C23" s="56" t="inlineStr">
        <is>
          <t>Se declararon 94 de 114 hechos integrados (82.5 %); 20 quedan sin dato en ninguna fuente.</t>
        </is>
      </c>
      <c r="D23" s="56" t="inlineStr">
        <is>
          <t>CONFORME</t>
        </is>
      </c>
      <c r="E23" s="56" t="inlineStr">
        <is>
          <t>Sin acción.</t>
        </is>
      </c>
    </row>
    <row r="24">
      <c r="A24" s="57" t="inlineStr">
        <is>
          <t>H-01</t>
        </is>
      </c>
      <c r="B24" s="57" t="inlineStr">
        <is>
          <t>Rango de pendiente dominante</t>
        </is>
      </c>
      <c r="C24" s="57" t="inlineStr">
        <is>
          <t>La ficha DT declara «25-50% (Mod. escarpado) — pendiente media 26.5%, máxima 44.3% según MDE»; la estadística zonal sobre el MDE arroja una pendiente promedio de 19.98 %, que corresponde a la clase «15-25% (Fuert. inclinado)»</t>
        </is>
      </c>
      <c r="D24" s="57" t="inlineStr">
        <is>
          <t>NO SUSTANTIVA</t>
        </is>
      </c>
      <c r="E24"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5">
      <c r="A25" s="56" t="inlineStr">
        <is>
          <t>H-02</t>
        </is>
      </c>
      <c r="B25" s="56" t="inlineStr">
        <is>
          <t>Dimensiones del inventario de cárcavas</t>
        </is>
      </c>
      <c r="C25" s="56" t="inlineStr">
        <is>
          <t>Se registran 1 rasgos erosivos, pero longitud, profundidad y ancho no fueron medidos instrumentalmente</t>
        </is>
      </c>
      <c r="D25" s="56" t="inlineStr">
        <is>
          <t>NO SUSTANTIVA</t>
        </is>
      </c>
      <c r="E25" s="56" t="inlineStr">
        <is>
          <t>El conteo registrado no debe usarse para calcular densidad de cárcavas por hectárea. Pendiente de levantamiento con GPS submétrico. (Verificación heredada de la ficha de resumen V6.)</t>
        </is>
      </c>
    </row>
    <row r="26">
      <c r="A26" s="57" t="inlineStr">
        <is>
          <t>H-03</t>
        </is>
      </c>
      <c r="B26" s="57" t="inlineStr">
        <is>
          <t>Centro poblado asociado</t>
        </is>
      </c>
      <c r="C26" s="57" t="inlineStr">
        <is>
          <t>La ficha DT declara «Santa Rosa»; el cruce INEI-Bloques V5 identifica 1 centro(s) poblado(s) en el bloque: SANTA ROSA</t>
        </is>
      </c>
      <c r="D26" s="57" t="inlineStr">
        <is>
          <t>CONFORME</t>
        </is>
      </c>
      <c r="E26" s="57" t="inlineStr">
        <is>
          <t>Se conserva el registro de campo como referencia y se adopta el listado INEI para el diagnóstico social y el cálculo de población beneficiaria. (Verificación heredada de la ficha de resumen V6.)</t>
        </is>
      </c>
    </row>
    <row r="27">
      <c r="A27" s="56" t="inlineStr">
        <is>
          <t>H-04</t>
        </is>
      </c>
      <c r="B27" s="56" t="inlineStr">
        <is>
          <t>F-DT-01</t>
        </is>
      </c>
      <c r="C27" s="56" t="inlineStr">
        <is>
          <t>Altitud GPS no registrada en campo (celda en blanco)</t>
        </is>
      </c>
      <c r="D27" s="56" t="inlineStr">
        <is>
          <t>SUSTANTIVA</t>
        </is>
      </c>
      <c r="E27" s="56" t="inlineStr">
        <is>
          <t>No se consigna valor; el perfil altitudinal (3 207 - 3 378 msnm) se toma del MDE y se declara como tal (Verificación heredada de la ficha de resumen V6.)</t>
        </is>
      </c>
    </row>
    <row r="28">
      <c r="A28" s="57" t="inlineStr">
        <is>
          <t>H-05</t>
        </is>
      </c>
      <c r="B28" s="57" t="inlineStr">
        <is>
          <t>F-DT-03</t>
        </is>
      </c>
      <c r="C28" s="57" t="inlineStr">
        <is>
          <t>Los 15 taxones figuran como "por confirmar" o indeterminados; no hay determinación botánica formal</t>
        </is>
      </c>
      <c r="D28" s="57" t="inlineStr">
        <is>
          <t>SUSTANTIVA</t>
        </is>
      </c>
      <c r="E28" s="57" t="inlineStr">
        <is>
          <t>Se declara la ausencia de determinación taxonómica; requiere colecta e identificación (Verificación heredada de la ficha de resumen V6.)</t>
        </is>
      </c>
    </row>
    <row r="29">
      <c r="A29" s="56" t="inlineStr">
        <is>
          <t>H-06</t>
        </is>
      </c>
      <c r="B29" s="56" t="inlineStr">
        <is>
          <t>F-DT-04</t>
        </is>
      </c>
      <c r="C29" s="56" t="inlineStr">
        <is>
          <t>Pinus sp. registrada como especie invasora causante de degradación</t>
        </is>
      </c>
      <c r="D29" s="56" t="inlineStr">
        <is>
          <t>SUSTANTIVA</t>
        </is>
      </c>
      <c r="E29" s="56" t="inlineStr">
        <is>
          <t>Se eleva a la Subdirección: el vivero del GORE Piura (663 568 / 9 404 100) oferta Pinus radiata, en tensión con esta ficha (Verificación heredada de la ficha de resumen V6.)</t>
        </is>
      </c>
    </row>
    <row r="31">
      <c r="A31" s="58" t="inlineStr">
        <is>
          <t>RESUMEN</t>
        </is>
      </c>
      <c r="B31" s="59" t="inlineStr">
        <is>
          <t>21 verificaciones</t>
        </is>
      </c>
      <c r="C31" s="59" t="inlineStr">
        <is>
          <t>SUSTANTIVA: 4 · NO SUSTANTIVA: 3 · CORREGIDO: 3 · CONFORME: 11</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M22B1</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2. Parámetros físicos del terreno</t>
        </is>
      </c>
      <c r="B9" s="56" t="inlineStr">
        <is>
          <t>Posición fisiográfica</t>
        </is>
      </c>
      <c r="C9" s="56" t="inlineStr">
        <is>
          <t>Ladera media</t>
        </is>
      </c>
      <c r="D9" s="56" t="inlineStr">
        <is>
          <t>Ladera alta</t>
        </is>
      </c>
      <c r="E9" s="56" t="inlineStr">
        <is>
          <t>Dato de campo</t>
        </is>
      </c>
    </row>
    <row r="10">
      <c r="A10" s="57" t="inlineStr">
        <is>
          <t>5. Ecosistema, cobertura y flora (F-DT-03)</t>
        </is>
      </c>
      <c r="B10" s="57" t="inlineStr">
        <is>
          <t>Tipo de cobertura dominante</t>
        </is>
      </c>
      <c r="C10" s="57" t="inlineStr">
        <is>
          <t>Matorral / pajonal de páramo</t>
        </is>
      </c>
      <c r="D10" s="57" t="inlineStr">
        <is>
          <t>Matorral denso</t>
        </is>
      </c>
      <c r="E10" s="57" t="inlineStr">
        <is>
          <t>Dato de campo</t>
        </is>
      </c>
    </row>
    <row r="11">
      <c r="A11" s="56" t="inlineStr">
        <is>
          <t>6. Degradación, causas y urgencia (F-DT-04)</t>
        </is>
      </c>
      <c r="B11" s="56" t="inlineStr">
        <is>
          <t>Causa subyacente principal</t>
        </is>
      </c>
      <c r="C11" s="56" t="inlineStr">
        <is>
          <t>No consignada en el formato de campo</t>
        </is>
      </c>
      <c r="D11" s="56" t="inlineStr">
        <is>
          <t>Manejo agropecuario tradicional del páramo basado en la quema periódica del matorral, en ausencia de acuerdos comunitarios de conservación de la cabecera de cuenca y de alternativas de manejo de pastos.</t>
        </is>
      </c>
      <c r="E11" s="56" t="inlineStr">
        <is>
          <t>Dato de campo</t>
        </is>
      </c>
    </row>
    <row r="13">
      <c r="A13" s="54" t="inlineStr">
        <is>
          <t>B. HECHOS APORTADOS ÚNICAMENTE POR LA FICHA DE CAMPO</t>
        </is>
      </c>
    </row>
    <row r="14">
      <c r="A14" s="55" t="inlineStr">
        <is>
          <t>Sección</t>
        </is>
      </c>
      <c r="B14" s="55" t="inlineStr">
        <is>
          <t>Hecho</t>
        </is>
      </c>
      <c r="C14" s="55" t="inlineStr">
        <is>
          <t>Valor</t>
        </is>
      </c>
      <c r="D14" s="55" t="inlineStr">
        <is>
          <t>Unidad</t>
        </is>
      </c>
    </row>
    <row r="15">
      <c r="A15" s="56" t="inlineStr">
        <is>
          <t>1. Identificación y localización</t>
        </is>
      </c>
      <c r="B15" s="56" t="inlineStr">
        <is>
          <t>UTM ESTE del punto de muestreo (m)</t>
        </is>
      </c>
      <c r="C15" s="56" t="inlineStr">
        <is>
          <t>663663</t>
        </is>
      </c>
      <c r="D15" s="56" t="inlineStr">
        <is>
          <t>m</t>
        </is>
      </c>
    </row>
    <row r="16">
      <c r="A16" s="57" t="inlineStr">
        <is>
          <t>1. Identificación y localización</t>
        </is>
      </c>
      <c r="B16" s="57" t="inlineStr">
        <is>
          <t>UTM NORTE del punto de muestreo (m)</t>
        </is>
      </c>
      <c r="C16" s="57" t="inlineStr">
        <is>
          <t>9404682</t>
        </is>
      </c>
      <c r="D16" s="57" t="inlineStr">
        <is>
          <t>m</t>
        </is>
      </c>
    </row>
    <row r="17">
      <c r="A17" s="56" t="inlineStr">
        <is>
          <t>2. Parámetros físicos del terreno</t>
        </is>
      </c>
      <c r="B17" s="56" t="inlineStr">
        <is>
          <t>Piso altitudinal del punto de muestreo</t>
        </is>
      </c>
      <c r="C17" s="56" t="inlineStr">
        <is>
          <t>3000-3500 m (Puna baja)</t>
        </is>
      </c>
      <c r="D17" s="56" t="inlineStr"/>
    </row>
    <row r="18">
      <c r="A18" s="57" t="inlineStr">
        <is>
          <t>2. Parámetros físicos del terreno</t>
        </is>
      </c>
      <c r="B18" s="57" t="inlineStr">
        <is>
          <t>Paisaje dominante descrito en campo</t>
        </is>
      </c>
      <c r="C18" s="57" t="inlineStr">
        <is>
          <t>Cabecera de cuenca en la vertiente andina occidental. Laderas altas de páramo arbustivo denso que alternan con pajonal de macolla, bajo neblina persistente durante toda la jornada de verificación. Sectores con evidencia de quema reciente (fustes carbonizados en pie) y plantaciones de Pinus sp. en el borde superior y en el entorno inmediato del bloque.</t>
        </is>
      </c>
      <c r="D18" s="57" t="inlineStr"/>
    </row>
    <row r="19">
      <c r="A19" s="56" t="inlineStr">
        <is>
          <t>2. Parámetros físicos del terreno</t>
        </is>
      </c>
      <c r="B19" s="56" t="inlineStr">
        <is>
          <t>Reptación de suelo</t>
        </is>
      </c>
      <c r="C19" s="56" t="inlineStr">
        <is>
          <t>No</t>
        </is>
      </c>
      <c r="D19" s="56" t="inlineStr"/>
    </row>
    <row r="20">
      <c r="A20" s="57" t="inlineStr">
        <is>
          <t>2. Parámetros físicos del terreno</t>
        </is>
      </c>
      <c r="B20" s="57" t="inlineStr">
        <is>
          <t>Deslizamientos antiguos</t>
        </is>
      </c>
      <c r="C20" s="57" t="inlineStr">
        <is>
          <t>No</t>
        </is>
      </c>
      <c r="D20" s="57" t="inlineStr"/>
    </row>
    <row r="21">
      <c r="A21" s="56" t="inlineStr">
        <is>
          <t>4. Suelos y erosión (F-DT-02)</t>
        </is>
      </c>
      <c r="B21" s="56" t="inlineStr">
        <is>
          <t>Nivel de erosión - síntesis de campo</t>
        </is>
      </c>
      <c r="C21" s="56" t="inlineStr">
        <is>
          <t>Moderada (surcos)</t>
        </is>
      </c>
      <c r="D21" s="56" t="inlineStr"/>
    </row>
    <row r="22">
      <c r="A22" s="57" t="inlineStr">
        <is>
          <t>4. Suelos y erosión (F-DT-02)</t>
        </is>
      </c>
      <c r="B22" s="57" t="inlineStr">
        <is>
          <t>Patrón de cárcavas</t>
        </is>
      </c>
      <c r="C22" s="57" t="inlineStr">
        <is>
          <t>Aislado</t>
        </is>
      </c>
      <c r="D22" s="57" t="inlineStr"/>
    </row>
    <row r="23">
      <c r="A23" s="56" t="inlineStr">
        <is>
          <t>5. Ecosistema, cobertura y flora (F-DT-03)</t>
        </is>
      </c>
      <c r="B23" s="56" t="inlineStr">
        <is>
          <t>Cobertura del dosel (%)</t>
        </is>
      </c>
      <c r="C23" s="56" t="inlineStr">
        <is>
          <t>15</t>
        </is>
      </c>
      <c r="D23" s="56" t="inlineStr">
        <is>
          <t>%</t>
        </is>
      </c>
    </row>
    <row r="24">
      <c r="A24" s="57" t="inlineStr">
        <is>
          <t>5. Ecosistema, cobertura y flora (F-DT-03)</t>
        </is>
      </c>
      <c r="B24" s="57" t="inlineStr">
        <is>
          <t>Cobertura arbustiva (%)</t>
        </is>
      </c>
      <c r="C24" s="57" t="inlineStr">
        <is>
          <t>55</t>
        </is>
      </c>
      <c r="D24" s="57" t="inlineStr">
        <is>
          <t>%</t>
        </is>
      </c>
    </row>
    <row r="25">
      <c r="A25" s="56" t="inlineStr">
        <is>
          <t>5. Ecosistema, cobertura y flora (F-DT-03)</t>
        </is>
      </c>
      <c r="B25" s="56" t="inlineStr">
        <is>
          <t>Cobertura herbácea (%)</t>
        </is>
      </c>
      <c r="C25" s="56" t="inlineStr">
        <is>
          <t>25</t>
        </is>
      </c>
      <c r="D25" s="56" t="inlineStr">
        <is>
          <t>%</t>
        </is>
      </c>
    </row>
    <row r="26">
      <c r="A26" s="57" t="inlineStr">
        <is>
          <t>5. Ecosistema, cobertura y flora (F-DT-03)</t>
        </is>
      </c>
      <c r="B26" s="57" t="inlineStr">
        <is>
          <t>Presencia de epífitas</t>
        </is>
      </c>
      <c r="C26" s="57" t="inlineStr">
        <is>
          <t>Sí</t>
        </is>
      </c>
      <c r="D26" s="57" t="inlineStr"/>
    </row>
    <row r="27">
      <c r="A27" s="56" t="inlineStr">
        <is>
          <t>5. Ecosistema, cobertura y flora (F-DT-03)</t>
        </is>
      </c>
      <c r="B27" s="56" t="inlineStr">
        <is>
          <t>Fenología dominante</t>
        </is>
      </c>
      <c r="C27" s="56" t="inlineStr">
        <is>
          <t>Floración</t>
        </is>
      </c>
      <c r="D27" s="56" t="inlineStr"/>
    </row>
    <row r="28">
      <c r="A28" s="57" t="inlineStr">
        <is>
          <t>5. Ecosistema, cobertura y flora (F-DT-03)</t>
        </is>
      </c>
      <c r="B28" s="57" t="inlineStr">
        <is>
          <t>Dimensiones de la parcela (m)</t>
        </is>
      </c>
      <c r="C28" s="57" t="inlineStr">
        <is>
          <t>No aplica</t>
        </is>
      </c>
      <c r="D28" s="57" t="inlineStr"/>
    </row>
    <row r="29">
      <c r="A29" s="56" t="inlineStr">
        <is>
          <t>5. Ecosistema, cobertura y flora (F-DT-03)</t>
        </is>
      </c>
      <c r="B29" s="56" t="inlineStr">
        <is>
          <t>Especies clave georreferenciadas</t>
        </is>
      </c>
      <c r="C29" s="56" t="inlineStr">
        <is>
          <t>4</t>
        </is>
      </c>
      <c r="D29" s="56" t="inlineStr"/>
    </row>
    <row r="30">
      <c r="A30" s="57" t="inlineStr">
        <is>
          <t>6. Degradación, causas y urgencia (F-DT-04)</t>
        </is>
      </c>
      <c r="B30" s="57" t="inlineStr">
        <is>
          <t>Causas directas de la degradación</t>
        </is>
      </c>
      <c r="C30" s="57" t="inlineStr">
        <is>
          <t>Quema recurrente de la vegetación arbustiva de páramo para renovación de pastos; pastoreo extensivo asociado; plantaciones de Pinus sp. en el borde y entorno del bloque; erosión activa localizada en concavidad de escorrentía; presión vial por trocha carrozable colindante.</t>
        </is>
      </c>
      <c r="D30" s="57" t="inlineStr"/>
    </row>
    <row r="31">
      <c r="A31" s="56" t="inlineStr">
        <is>
          <t>6. Degradación, causas y urgencia (F-DT-04)</t>
        </is>
      </c>
      <c r="B31" s="56" t="inlineStr">
        <is>
          <t>N.° de causas activas en la matriz F-DT-04</t>
        </is>
      </c>
      <c r="C31" s="56" t="inlineStr">
        <is>
          <t>5</t>
        </is>
      </c>
      <c r="D31" s="56" t="inlineStr"/>
    </row>
    <row r="32">
      <c r="A32" s="57" t="inlineStr">
        <is>
          <t>7. Hidrología, acceso y logística (F-DT-05)</t>
        </is>
      </c>
      <c r="B32" s="57" t="inlineStr">
        <is>
          <t>Escorrentía concentrada</t>
        </is>
      </c>
      <c r="C32" s="57" t="inlineStr">
        <is>
          <t>Sí</t>
        </is>
      </c>
      <c r="D32" s="57" t="inlineStr"/>
    </row>
    <row r="33">
      <c r="A33" s="56" t="inlineStr">
        <is>
          <t>7. Hidrología, acceso y logística (F-DT-05)</t>
        </is>
      </c>
      <c r="B33" s="56" t="inlineStr">
        <is>
          <t>Fuentes de agua inventariadas</t>
        </is>
      </c>
      <c r="C33" s="56" t="inlineStr">
        <is>
          <t>1</t>
        </is>
      </c>
      <c r="D33" s="56" t="inlineStr"/>
    </row>
    <row r="34">
      <c r="A34" s="57" t="inlineStr">
        <is>
          <t>7. Hidrología, acceso y logística (F-DT-05)</t>
        </is>
      </c>
      <c r="B34" s="57" t="inlineStr">
        <is>
          <t>Vía principal de acceso</t>
        </is>
      </c>
      <c r="C34" s="57" t="inlineStr">
        <is>
          <t>Trocha carrozable afirmada sin denominación oficial ("Unnamed Road"), sector Santa Rosa - La Antena, desde San Miguel de El Faique; empalme con camino de herradura hasta el bloque.</t>
        </is>
      </c>
      <c r="D34" s="57" t="inlineStr"/>
    </row>
    <row r="35">
      <c r="A35" s="56" t="inlineStr">
        <is>
          <t>7. Hidrología, acceso y logística (F-DT-05)</t>
        </is>
      </c>
      <c r="B35" s="56" t="inlineStr">
        <is>
          <t>Tipo de vía del tramo final</t>
        </is>
      </c>
      <c r="C35" s="56" t="inlineStr">
        <is>
          <t>Trocha carrozable</t>
        </is>
      </c>
      <c r="D35" s="56" t="inlineStr"/>
    </row>
    <row r="36">
      <c r="A36" s="57" t="inlineStr">
        <is>
          <t>7. Hidrología, acceso y logística (F-DT-05)</t>
        </is>
      </c>
      <c r="B36" s="57" t="inlineStr">
        <is>
          <t>Transitabilidad en época seca</t>
        </is>
      </c>
      <c r="C36" s="57" t="inlineStr">
        <is>
          <t>Medio</t>
        </is>
      </c>
      <c r="D36" s="57" t="inlineStr"/>
    </row>
    <row r="37">
      <c r="A37" s="56" t="inlineStr">
        <is>
          <t>7. Hidrología, acceso y logística (F-DT-05)</t>
        </is>
      </c>
      <c r="B37" s="56" t="inlineStr">
        <is>
          <t>Transitabilidad en época lluviosa</t>
        </is>
      </c>
      <c r="C37" s="56" t="inlineStr">
        <is>
          <t>Bajo</t>
        </is>
      </c>
      <c r="D37" s="56" t="inlineStr"/>
    </row>
    <row r="38">
      <c r="A38" s="57" t="inlineStr">
        <is>
          <t>7. Hidrología, acceso y logística (F-DT-05)</t>
        </is>
      </c>
      <c r="B38" s="57" t="inlineStr">
        <is>
          <t>Tiempo a la capital distrital (min)</t>
        </is>
      </c>
      <c r="C38" s="57" t="inlineStr">
        <is>
          <t>120</t>
        </is>
      </c>
      <c r="D38" s="57" t="inlineStr">
        <is>
          <t>min</t>
        </is>
      </c>
    </row>
    <row r="39">
      <c r="A39" s="56" t="inlineStr">
        <is>
          <t>7. Hidrología, acceso y logística (F-DT-05)</t>
        </is>
      </c>
      <c r="B39" s="56" t="inlineStr">
        <is>
          <t>Señal celular</t>
        </is>
      </c>
      <c r="C39" s="56" t="inlineStr">
        <is>
          <t>Sin señal</t>
        </is>
      </c>
      <c r="D39" s="56" t="inlineStr"/>
    </row>
    <row r="40">
      <c r="A40" s="57" t="inlineStr">
        <is>
          <t>7. Hidrología, acceso y logística (F-DT-05)</t>
        </is>
      </c>
      <c r="B40" s="57" t="inlineStr">
        <is>
          <t>Alojamiento disponible en la zona</t>
        </is>
      </c>
      <c r="C40" s="57" t="inlineStr">
        <is>
          <t>No</t>
        </is>
      </c>
      <c r="D40" s="57" t="inlineStr"/>
    </row>
    <row r="41">
      <c r="A41" s="56" t="inlineStr">
        <is>
          <t>7. Hidrología, acceso y logística (F-DT-05)</t>
        </is>
      </c>
      <c r="B41" s="56" t="inlineStr">
        <is>
          <t>Requiere coordinación con ronda / comunidad</t>
        </is>
      </c>
      <c r="C41" s="56" t="inlineStr">
        <is>
          <t>Sí</t>
        </is>
      </c>
      <c r="D41" s="56" t="inlineStr"/>
    </row>
    <row r="43">
      <c r="A43" s="54" t="inlineStr">
        <is>
          <t>C. PROCEDENCIA DE LOS HECHOS DECLARADOS</t>
        </is>
      </c>
    </row>
    <row r="44">
      <c r="A44" s="55" t="inlineStr">
        <is>
          <t>Fuente</t>
        </is>
      </c>
      <c r="B44" s="55" t="inlineStr">
        <is>
          <t>Hechos</t>
        </is>
      </c>
      <c r="C44" s="55" t="inlineStr">
        <is>
          <t>Alcance de la fuente</t>
        </is>
      </c>
    </row>
    <row r="45">
      <c r="A45" s="56" t="inlineStr">
        <is>
          <t>Dato de campo</t>
        </is>
      </c>
      <c r="B45" s="56" t="n">
        <v>52</v>
      </c>
      <c r="C45" s="56" t="inlineStr">
        <is>
          <t>Verificación en campo. Fichas F-DT-01 a F-DT-05 de la Plantilla DT Campo Check Validada V5, suscritas por el evaluador.</t>
        </is>
      </c>
    </row>
    <row r="46">
      <c r="A46" s="57" t="inlineStr">
        <is>
          <t>Gabinete (GIS / teledetección)</t>
        </is>
      </c>
      <c r="B46" s="57" t="n">
        <v>28</v>
      </c>
      <c r="C46" s="57" t="inlineStr">
        <is>
          <t>Gabinete. Estadística zonal sobre el MDE y compuestos Sentinel-2 (NDVI mediana 2025, MSAVI 2024 por clase DN).</t>
        </is>
      </c>
    </row>
    <row r="47">
      <c r="A47" s="56" t="inlineStr">
        <is>
          <t>Fuente oficial</t>
        </is>
      </c>
      <c r="B47" s="56" t="n">
        <v>14</v>
      </c>
      <c r="C47" s="56" t="inlineStr">
        <is>
          <t>Fuente oficial. Catálogo maestro Bloques V5/V6, división política INEI y codificación de microcuencas de la ANA.</t>
        </is>
      </c>
    </row>
    <row r="49">
      <c r="A49" s="54" t="inlineStr">
        <is>
          <t>D. ESTADO DEL CRUCE ENTRE FUENTES</t>
        </is>
      </c>
    </row>
    <row r="50">
      <c r="A50" s="55" t="inlineStr">
        <is>
          <t>Estado</t>
        </is>
      </c>
      <c r="B50" s="55" t="inlineStr">
        <is>
          <t>Hechos</t>
        </is>
      </c>
      <c r="C50" s="55" t="inlineStr">
        <is>
          <t>Significado</t>
        </is>
      </c>
    </row>
    <row r="51">
      <c r="A51" s="56" t="inlineStr">
        <is>
          <t>CONFORME</t>
        </is>
      </c>
      <c r="B51" s="56" t="n">
        <v>90</v>
      </c>
      <c r="C51" s="56" t="inlineStr">
        <is>
          <t>Las dos fuentes declaran lo mismo, o solo la fuente que manda sobre el hecho lo declara.</t>
        </is>
      </c>
    </row>
    <row r="52">
      <c r="A52" s="57" t="inlineStr">
        <is>
          <t>COMPLEMENTADO</t>
        </is>
      </c>
      <c r="B52" s="57" t="n">
        <v>1</v>
      </c>
      <c r="C52" s="57" t="inlineStr">
        <is>
          <t>Solo una de las fuentes lo declara y se adopta ese valor.</t>
        </is>
      </c>
    </row>
    <row r="53">
      <c r="A53" s="56" t="inlineStr">
        <is>
          <t>ACTUALIZADO</t>
        </is>
      </c>
      <c r="B53" s="56" t="n">
        <v>3</v>
      </c>
      <c r="C53" s="56" t="inlineStr">
        <is>
          <t>La verificación de campo vigente corrige lo que traía el libro de resumen.</t>
        </is>
      </c>
    </row>
    <row r="54">
      <c r="A54" s="57" t="inlineStr">
        <is>
          <t>DISCREPANTE</t>
        </is>
      </c>
      <c r="B54" s="57" t="n">
        <v>0</v>
      </c>
      <c r="C54" s="57" t="inlineStr">
        <is>
          <t>Las fuentes se contradicen; prevalece la que manda sobre el hecho y la otra queda declarada.</t>
        </is>
      </c>
    </row>
    <row r="55">
      <c r="A55" s="56" t="inlineStr">
        <is>
          <t>PENDIENTE</t>
        </is>
      </c>
      <c r="B55" s="56" t="n">
        <v>20</v>
      </c>
      <c r="C5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M22B1</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E-01</t>
        </is>
      </c>
      <c r="B9" s="56" t="inlineStr">
        <is>
          <t>Cárcava profunda (2-5 m)</t>
        </is>
      </c>
      <c r="C9" s="61" t="n">
        <v>663617</v>
      </c>
      <c r="D9" s="61" t="n">
        <v>9404700</v>
      </c>
      <c r="E9" s="56" t="n"/>
      <c r="F9" s="56" t="n"/>
      <c r="G9" s="56" t="n"/>
      <c r="H9" s="56" t="inlineStr">
        <is>
          <t>Activa</t>
        </is>
      </c>
      <c r="I9" s="56" t="inlineStr">
        <is>
          <t>Concentración natural de escorrentía</t>
        </is>
      </c>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Arbusto de hoja coriácea nervada</t>
        </is>
      </c>
      <c r="C13" s="56" t="inlineStr">
        <is>
          <t>Miconia sp. (por confirmar)</t>
        </is>
      </c>
      <c r="D13" s="56" t="inlineStr">
        <is>
          <t>Melastomataceae</t>
        </is>
      </c>
      <c r="E13" s="56" t="inlineStr">
        <is>
          <t>Arbustivo alto (1.5-4 m)</t>
        </is>
      </c>
      <c r="F13" s="56" t="inlineStr">
        <is>
          <t>Nativa</t>
        </is>
      </c>
      <c r="G13" s="56" t="inlineStr">
        <is>
          <t>Frecuente (5-20%)</t>
        </is>
      </c>
      <c r="H13" s="56" t="n"/>
      <c r="I13" s="56" t="n"/>
    </row>
    <row r="14">
      <c r="A14" s="57" t="inlineStr">
        <is>
          <t>2</t>
        </is>
      </c>
      <c r="B14" s="57" t="inlineStr">
        <is>
          <t>Maqui-maqui / Pumamaqui</t>
        </is>
      </c>
      <c r="C14" s="57" t="inlineStr">
        <is>
          <t>Oreopanax sp. (por confirmar)</t>
        </is>
      </c>
      <c r="D14" s="57" t="inlineStr">
        <is>
          <t>Araliaceae</t>
        </is>
      </c>
      <c r="E14" s="57" t="inlineStr">
        <is>
          <t>Arbóreo bajo (4-8 m)</t>
        </is>
      </c>
      <c r="F14" s="57" t="inlineStr">
        <is>
          <t>Nativa</t>
        </is>
      </c>
      <c r="G14" s="57" t="inlineStr">
        <is>
          <t>Ocasional (1-5%)</t>
        </is>
      </c>
      <c r="H14" s="57" t="n"/>
      <c r="I14" s="57" t="n"/>
    </row>
    <row r="15">
      <c r="A15" s="56" t="inlineStr">
        <is>
          <t>3</t>
        </is>
      </c>
      <c r="B15" s="56" t="inlineStr">
        <is>
          <t>Arbolito de copa densa (indet.)</t>
        </is>
      </c>
      <c r="C15" s="56" t="inlineStr">
        <is>
          <t>Indeterminado</t>
        </is>
      </c>
      <c r="D15" s="56" t="inlineStr">
        <is>
          <t>Indeterminada</t>
        </is>
      </c>
      <c r="E15" s="56" t="inlineStr">
        <is>
          <t>Arbóreo bajo (4-8 m)</t>
        </is>
      </c>
      <c r="F15" s="56" t="inlineStr">
        <is>
          <t>Nativa</t>
        </is>
      </c>
      <c r="G15" s="56" t="inlineStr">
        <is>
          <t>Frecuente (5-20%)</t>
        </is>
      </c>
      <c r="H15" s="56" t="n"/>
      <c r="I15" s="56" t="n"/>
    </row>
    <row r="16">
      <c r="A16" s="57" t="inlineStr">
        <is>
          <t>4</t>
        </is>
      </c>
      <c r="B16" s="57" t="inlineStr">
        <is>
          <t>Chilca / Tayanga</t>
        </is>
      </c>
      <c r="C16" s="57" t="inlineStr">
        <is>
          <t>Baccharis sp. (por confirmar)</t>
        </is>
      </c>
      <c r="D16" s="57" t="inlineStr">
        <is>
          <t>Asteraceae</t>
        </is>
      </c>
      <c r="E16" s="57" t="inlineStr">
        <is>
          <t>Arbustivo bajo (0.5-1.5 m)</t>
        </is>
      </c>
      <c r="F16" s="57" t="inlineStr">
        <is>
          <t>Nativa</t>
        </is>
      </c>
      <c r="G16" s="57" t="inlineStr">
        <is>
          <t>Frecuente (5-20%)</t>
        </is>
      </c>
      <c r="H16" s="57" t="n"/>
      <c r="I16" s="57" t="n"/>
    </row>
    <row r="17">
      <c r="A17" s="56" t="inlineStr">
        <is>
          <t>5</t>
        </is>
      </c>
      <c r="B17" s="56" t="inlineStr">
        <is>
          <t>Arbusto de flor amarilla en corimbo</t>
        </is>
      </c>
      <c r="C17" s="56" t="inlineStr">
        <is>
          <t>Asteraceae (indet.)</t>
        </is>
      </c>
      <c r="D17" s="56" t="inlineStr">
        <is>
          <t>Asteraceae</t>
        </is>
      </c>
      <c r="E17" s="56" t="inlineStr">
        <is>
          <t>Arbustivo bajo (0.5-1.5 m)</t>
        </is>
      </c>
      <c r="F17" s="56" t="inlineStr">
        <is>
          <t>Nativa</t>
        </is>
      </c>
      <c r="G17" s="56" t="inlineStr">
        <is>
          <t>Frecuente (5-20%)</t>
        </is>
      </c>
      <c r="H17" s="56" t="n"/>
      <c r="I17" s="56" t="n"/>
    </row>
    <row r="18">
      <c r="A18" s="57" t="inlineStr">
        <is>
          <t>6</t>
        </is>
      </c>
      <c r="B18" s="57" t="inlineStr">
        <is>
          <t>Arbusto de hoja pequeña coriácea</t>
        </is>
      </c>
      <c r="C18" s="57" t="inlineStr">
        <is>
          <t>Ericaceae (indet.)</t>
        </is>
      </c>
      <c r="D18" s="57" t="inlineStr">
        <is>
          <t>Ericaceae</t>
        </is>
      </c>
      <c r="E18" s="57" t="inlineStr">
        <is>
          <t>Arbustivo bajo (0.5-1.5 m)</t>
        </is>
      </c>
      <c r="F18" s="57" t="inlineStr">
        <is>
          <t>Nativa</t>
        </is>
      </c>
      <c r="G18" s="57" t="inlineStr">
        <is>
          <t>Abundante (20-40%)</t>
        </is>
      </c>
      <c r="H18" s="57" t="n"/>
      <c r="I18" s="57" t="n"/>
    </row>
    <row r="19">
      <c r="A19" s="56" t="inlineStr">
        <is>
          <t>7</t>
        </is>
      </c>
      <c r="B19" s="56" t="inlineStr">
        <is>
          <t>Ichu / pajonal de macolla</t>
        </is>
      </c>
      <c r="C19" s="56" t="inlineStr">
        <is>
          <t>Calamagrostis sp. (por confirmar)</t>
        </is>
      </c>
      <c r="D19" s="56" t="inlineStr">
        <is>
          <t>Poaceae</t>
        </is>
      </c>
      <c r="E19" s="56" t="inlineStr">
        <is>
          <t>Herbáceo (&lt;0.5 m)</t>
        </is>
      </c>
      <c r="F19" s="56" t="inlineStr">
        <is>
          <t>Nativa</t>
        </is>
      </c>
      <c r="G19" s="56" t="inlineStr">
        <is>
          <t>Dominante (&gt;40%)</t>
        </is>
      </c>
      <c r="H19" s="56" t="n"/>
      <c r="I19" s="56" t="n"/>
    </row>
    <row r="20">
      <c r="A20" s="57" t="inlineStr">
        <is>
          <t>8</t>
        </is>
      </c>
      <c r="B20" s="57" t="inlineStr">
        <is>
          <t>Pasto natural de macolla</t>
        </is>
      </c>
      <c r="C20" s="57" t="inlineStr">
        <is>
          <t>Poaceae (indet.)</t>
        </is>
      </c>
      <c r="D20" s="57" t="inlineStr">
        <is>
          <t>Poaceae</t>
        </is>
      </c>
      <c r="E20" s="57" t="inlineStr">
        <is>
          <t>Herbáceo (&lt;0.5 m)</t>
        </is>
      </c>
      <c r="F20" s="57" t="inlineStr">
        <is>
          <t>Nativa</t>
        </is>
      </c>
      <c r="G20" s="57" t="inlineStr">
        <is>
          <t>Abundante (20-40%)</t>
        </is>
      </c>
      <c r="H20" s="57" t="n"/>
      <c r="I20" s="57" t="n"/>
    </row>
    <row r="21">
      <c r="A21" s="56" t="inlineStr">
        <is>
          <t>9</t>
        </is>
      </c>
      <c r="B21" s="56" t="inlineStr">
        <is>
          <t>Amancay / lirio silvestre</t>
        </is>
      </c>
      <c r="C21" s="56" t="inlineStr">
        <is>
          <t>Bomarea sp. (por confirmar)</t>
        </is>
      </c>
      <c r="D21" s="56" t="inlineStr">
        <is>
          <t>Alstroemeriaceae</t>
        </is>
      </c>
      <c r="E21" s="56" t="inlineStr">
        <is>
          <t>Herbáceo (&lt;0.5 m)</t>
        </is>
      </c>
      <c r="F21" s="56" t="inlineStr">
        <is>
          <t>Nativa</t>
        </is>
      </c>
      <c r="G21" s="56" t="inlineStr">
        <is>
          <t>Ocasional (1-5%)</t>
        </is>
      </c>
      <c r="H21" s="56" t="n"/>
      <c r="I21" s="56" t="n"/>
    </row>
    <row r="22">
      <c r="A22" s="57" t="inlineStr">
        <is>
          <t>10</t>
        </is>
      </c>
      <c r="B22" s="57" t="inlineStr">
        <is>
          <t>Herbácea de flor anaranjada (indet.)</t>
        </is>
      </c>
      <c r="C22" s="57" t="inlineStr">
        <is>
          <t>Indeterminado</t>
        </is>
      </c>
      <c r="D22" s="57" t="inlineStr">
        <is>
          <t>Indeterminada</t>
        </is>
      </c>
      <c r="E22" s="57" t="inlineStr">
        <is>
          <t>Herbáceo (&lt;0.5 m)</t>
        </is>
      </c>
      <c r="F22" s="57" t="inlineStr">
        <is>
          <t>Nativa</t>
        </is>
      </c>
      <c r="G22" s="57" t="inlineStr">
        <is>
          <t>Rara (&lt;1%)</t>
        </is>
      </c>
      <c r="H22" s="57" t="n"/>
      <c r="I22" s="57" t="n"/>
    </row>
    <row r="23">
      <c r="A23" s="56" t="inlineStr">
        <is>
          <t>11</t>
        </is>
      </c>
      <c r="B23" s="56" t="inlineStr">
        <is>
          <t>Helechos</t>
        </is>
      </c>
      <c r="C23" s="56" t="inlineStr">
        <is>
          <t>Pteridophyta (indet.)</t>
        </is>
      </c>
      <c r="D23" s="56" t="inlineStr">
        <is>
          <t>Indeterminada</t>
        </is>
      </c>
      <c r="E23" s="56" t="inlineStr">
        <is>
          <t>Herbáceo (&lt;0.5 m)</t>
        </is>
      </c>
      <c r="F23" s="56" t="inlineStr">
        <is>
          <t>Nativa</t>
        </is>
      </c>
      <c r="G23" s="56" t="inlineStr">
        <is>
          <t>Ocasional (1-5%)</t>
        </is>
      </c>
      <c r="H23" s="56" t="n"/>
      <c r="I23" s="56" t="n"/>
    </row>
    <row r="24">
      <c r="A24" s="57" t="inlineStr">
        <is>
          <t>12</t>
        </is>
      </c>
      <c r="B24" s="57" t="inlineStr">
        <is>
          <t>Musgos y hepáticas</t>
        </is>
      </c>
      <c r="C24" s="57" t="inlineStr">
        <is>
          <t>Bryophyta (indet.)</t>
        </is>
      </c>
      <c r="D24" s="57" t="inlineStr">
        <is>
          <t>Indeterminada</t>
        </is>
      </c>
      <c r="E24" s="57" t="inlineStr">
        <is>
          <t>Herbáceo (&lt;0.5 m)</t>
        </is>
      </c>
      <c r="F24" s="57" t="inlineStr">
        <is>
          <t>Nativa</t>
        </is>
      </c>
      <c r="G24" s="57" t="inlineStr">
        <is>
          <t>Frecuente (5-20%)</t>
        </is>
      </c>
      <c r="H24" s="57" t="n"/>
      <c r="I24" s="57" t="n"/>
    </row>
    <row r="25">
      <c r="A25" s="56" t="inlineStr">
        <is>
          <t>13</t>
        </is>
      </c>
      <c r="B25" s="56" t="inlineStr">
        <is>
          <t>Barbas de viejo / líquenes</t>
        </is>
      </c>
      <c r="C25" s="56" t="inlineStr">
        <is>
          <t>Usnea sp. (por confirmar)</t>
        </is>
      </c>
      <c r="D25" s="56" t="inlineStr">
        <is>
          <t>Parmeliaceae</t>
        </is>
      </c>
      <c r="E25" s="56" t="inlineStr">
        <is>
          <t>Epífito</t>
        </is>
      </c>
      <c r="F25" s="56" t="inlineStr">
        <is>
          <t>Nativa</t>
        </is>
      </c>
      <c r="G25" s="56" t="inlineStr">
        <is>
          <t>Frecuente (5-20%)</t>
        </is>
      </c>
      <c r="H25" s="56" t="n"/>
      <c r="I25" s="56" t="n"/>
    </row>
    <row r="26">
      <c r="A26" s="57" t="inlineStr">
        <is>
          <t>14</t>
        </is>
      </c>
      <c r="B26" s="57" t="inlineStr">
        <is>
          <t>Herbácea rastrera de flor amarilla (indet.)</t>
        </is>
      </c>
      <c r="C26" s="57" t="inlineStr">
        <is>
          <t>Indeterminado</t>
        </is>
      </c>
      <c r="D26" s="57" t="inlineStr">
        <is>
          <t>Indeterminada</t>
        </is>
      </c>
      <c r="E26" s="57" t="inlineStr">
        <is>
          <t>Herbáceo (&lt;0.5 m)</t>
        </is>
      </c>
      <c r="F26" s="57" t="inlineStr"/>
      <c r="G26" s="57" t="inlineStr">
        <is>
          <t>Ocasional (1-5%)</t>
        </is>
      </c>
      <c r="H26" s="57" t="n"/>
      <c r="I26" s="57" t="n"/>
    </row>
    <row r="27">
      <c r="A27" s="56" t="inlineStr">
        <is>
          <t>15</t>
        </is>
      </c>
      <c r="B27" s="56" t="inlineStr">
        <is>
          <t>Pino</t>
        </is>
      </c>
      <c r="C27" s="56" t="inlineStr">
        <is>
          <t>Pinus sp.</t>
        </is>
      </c>
      <c r="D27" s="56" t="inlineStr">
        <is>
          <t>Pinaceae</t>
        </is>
      </c>
      <c r="E27" s="56" t="inlineStr">
        <is>
          <t>Arbóreo medio (8-15 m)</t>
        </is>
      </c>
      <c r="F27" s="56" t="inlineStr">
        <is>
          <t>Introducida</t>
        </is>
      </c>
      <c r="G27" s="56" t="inlineStr">
        <is>
          <t>Ocasional (1-5%)</t>
        </is>
      </c>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Oreopanax sp. (Araliaceae)</t>
        </is>
      </c>
      <c r="C31" s="56" t="inlineStr">
        <is>
          <t>Indicadora de buen estado</t>
        </is>
      </c>
      <c r="D31" s="56" t="inlineStr">
        <is>
          <t>No aplica</t>
        </is>
      </c>
      <c r="E31" s="61" t="n">
        <v>663663</v>
      </c>
      <c r="F31" s="61" t="n">
        <v>9404682</v>
      </c>
      <c r="G31" s="56" t="n"/>
      <c r="H31" s="56" t="inlineStr">
        <is>
          <t>Elemento arbóreo característico de bosque montano alto y páramo arbustivo; determinación a nivel de género por confirmar. N° de individuos no cuantificado.</t>
        </is>
      </c>
    </row>
    <row r="32">
      <c r="A32" s="57" t="inlineStr">
        <is>
          <t>2</t>
        </is>
      </c>
      <c r="B32" s="57" t="inlineStr">
        <is>
          <t>Miconia sp. (Melastomataceae)</t>
        </is>
      </c>
      <c r="C32" s="57" t="inlineStr">
        <is>
          <t>Indicadora de buen estado</t>
        </is>
      </c>
      <c r="D32" s="57" t="inlineStr">
        <is>
          <t>No aplica</t>
        </is>
      </c>
      <c r="E32" s="62" t="n">
        <v>663625</v>
      </c>
      <c r="F32" s="62" t="n">
        <v>9404696</v>
      </c>
      <c r="G32" s="57" t="n"/>
      <c r="H32" s="57" t="inlineStr">
        <is>
          <t>Melastomatácea de páramo arbustivo, hojas con nervadura acródroma marcada; determinación por confirmar. N° de individuos no cuantificado.</t>
        </is>
      </c>
    </row>
    <row r="33">
      <c r="A33" s="56" t="inlineStr">
        <is>
          <t>3</t>
        </is>
      </c>
      <c r="B33" s="56" t="inlineStr">
        <is>
          <t>Usnea sp. (liquen fruticoso)</t>
        </is>
      </c>
      <c r="C33" s="56" t="inlineStr">
        <is>
          <t>Indicadora de buen estado</t>
        </is>
      </c>
      <c r="D33" s="56" t="inlineStr">
        <is>
          <t>No aplica</t>
        </is>
      </c>
      <c r="E33" s="61" t="n">
        <v>663617</v>
      </c>
      <c r="F33" s="61" t="n">
        <v>9404700</v>
      </c>
      <c r="G33" s="56" t="n"/>
      <c r="H33" s="56" t="inlineStr">
        <is>
          <t>Liquen fruticoso epífito sobre ramas; indicador de humedad atmosférica persistente. Determinación por confirmar.</t>
        </is>
      </c>
    </row>
    <row r="34">
      <c r="A34" s="57" t="inlineStr">
        <is>
          <t>4</t>
        </is>
      </c>
      <c r="B34" s="57" t="inlineStr">
        <is>
          <t>Pinus sp. (Pinaceae)</t>
        </is>
      </c>
      <c r="C34" s="57" t="inlineStr">
        <is>
          <t>Indicadora de perturbación</t>
        </is>
      </c>
      <c r="D34" s="57" t="inlineStr">
        <is>
          <t>No aplica</t>
        </is>
      </c>
      <c r="E34" s="62" t="n">
        <v>663654</v>
      </c>
      <c r="F34" s="62" t="n">
        <v>9404682</v>
      </c>
      <c r="G34" s="57" t="n"/>
      <c r="H34" s="57" t="inlineStr">
        <is>
          <t>Plantación forestal exótica en el borde superior y entorno del bloque; indicadora de perturbación y presión sobre el páramo.</t>
        </is>
      </c>
    </row>
    <row r="36">
      <c r="A36" s="54" t="inlineStr">
        <is>
          <t>F-DT-04 · MATRIZ DE CAUSAS DE DEGRADACIÓN</t>
        </is>
      </c>
    </row>
    <row r="37">
      <c r="A37" s="55" t="inlineStr">
        <is>
          <t>N.o</t>
        </is>
      </c>
      <c r="B37" s="55" t="inlineStr">
        <is>
          <t>Causa</t>
        </is>
      </c>
      <c r="C37" s="55" t="inlineStr">
        <is>
          <t>Presencia</t>
        </is>
      </c>
      <c r="D37" s="55" t="inlineStr">
        <is>
          <t>Intensidad</t>
        </is>
      </c>
      <c r="E37" s="55" t="inlineStr">
        <is>
          <t>Extensión</t>
        </is>
      </c>
      <c r="F37" s="55" t="inlineStr">
        <is>
          <t>Antigüedad</t>
        </is>
      </c>
      <c r="G37" s="55" t="inlineStr">
        <is>
          <t>Evidencia</t>
        </is>
      </c>
    </row>
    <row r="38">
      <c r="A38" s="56" t="inlineStr">
        <is>
          <t>1</t>
        </is>
      </c>
      <c r="B38" s="56" t="inlineStr">
        <is>
          <t>Sobrepastoreo (caprino/vacuno)</t>
        </is>
      </c>
      <c r="C38" s="56" t="inlineStr">
        <is>
          <t>Sí</t>
        </is>
      </c>
      <c r="D38" s="56" t="inlineStr">
        <is>
          <t>Ligera</t>
        </is>
      </c>
      <c r="E38" s="56" t="inlineStr"/>
      <c r="F38" s="56" t="inlineStr"/>
      <c r="G38" s="56" t="inlineStr">
        <is>
          <t>Cercos de potrero con alambre de púas (F-02); pajonal de macolla; quema para renovación de pastos. Ganado no observado directamente; carga ganadera por determinar.</t>
        </is>
      </c>
    </row>
    <row r="39">
      <c r="A39" s="57" t="inlineStr">
        <is>
          <t>2</t>
        </is>
      </c>
      <c r="B39" s="57" t="inlineStr">
        <is>
          <t>Tala para leña</t>
        </is>
      </c>
      <c r="C39" s="57" t="inlineStr"/>
      <c r="D39" s="57" t="inlineStr"/>
      <c r="E39" s="57" t="inlineStr"/>
      <c r="F39" s="57" t="inlineStr"/>
      <c r="G39" s="57" t="inlineStr"/>
    </row>
    <row r="40">
      <c r="A40" s="56" t="inlineStr">
        <is>
          <t>3</t>
        </is>
      </c>
      <c r="B40" s="56" t="inlineStr">
        <is>
          <t>Tala para carbón</t>
        </is>
      </c>
      <c r="C40" s="56" t="inlineStr"/>
      <c r="D40" s="56" t="inlineStr"/>
      <c r="E40" s="56" t="inlineStr"/>
      <c r="F40" s="56" t="inlineStr"/>
      <c r="G40" s="56" t="inlineStr"/>
    </row>
    <row r="41">
      <c r="A41" s="57" t="inlineStr">
        <is>
          <t>4</t>
        </is>
      </c>
      <c r="B41" s="57" t="inlineStr">
        <is>
          <t>Tala para madera</t>
        </is>
      </c>
      <c r="C41" s="57" t="inlineStr"/>
      <c r="D41" s="57" t="inlineStr"/>
      <c r="E41" s="57" t="inlineStr"/>
      <c r="F41" s="57" t="inlineStr"/>
      <c r="G41" s="57" t="inlineStr"/>
    </row>
    <row r="42">
      <c r="A42" s="56" t="inlineStr">
        <is>
          <t>5</t>
        </is>
      </c>
      <c r="B42" s="56" t="inlineStr">
        <is>
          <t>Quema (renovación de pastos)</t>
        </is>
      </c>
      <c r="C42" s="56" t="inlineStr">
        <is>
          <t>Sí</t>
        </is>
      </c>
      <c r="D42" s="56" t="inlineStr">
        <is>
          <t>Moderada</t>
        </is>
      </c>
      <c r="E42" s="56" t="inlineStr">
        <is>
          <t>25</t>
        </is>
      </c>
      <c r="F42" s="56" t="inlineStr"/>
      <c r="G42" s="56" t="inlineStr">
        <is>
          <t>Fustes arbustivos carbonizados en pie a lo largo del recorrido occidental (F-06, F-07, F-09). Extensión de 25 % estimada ocularmente.</t>
        </is>
      </c>
    </row>
    <row r="43">
      <c r="A43" s="57" t="inlineStr">
        <is>
          <t>6</t>
        </is>
      </c>
      <c r="B43" s="57" t="inlineStr">
        <is>
          <t>Quema accidental / Incendio</t>
        </is>
      </c>
      <c r="C43" s="57" t="inlineStr"/>
      <c r="D43" s="57" t="inlineStr"/>
      <c r="E43" s="57" t="inlineStr"/>
      <c r="F43" s="57" t="inlineStr"/>
      <c r="G43" s="57" t="inlineStr"/>
    </row>
    <row r="44">
      <c r="A44" s="56" t="inlineStr">
        <is>
          <t>7</t>
        </is>
      </c>
      <c r="B44" s="56" t="inlineStr">
        <is>
          <t>Cambio de uso a agricultura</t>
        </is>
      </c>
      <c r="C44" s="56" t="inlineStr">
        <is>
          <t>No</t>
        </is>
      </c>
      <c r="D44" s="56" t="inlineStr"/>
      <c r="E44" s="56" t="inlineStr"/>
      <c r="F44" s="56" t="inlineStr"/>
      <c r="G44" s="56" t="inlineStr">
        <is>
          <t>El Reporte de Ecosistemas por Bloques V5 no registra superficie de Zona agrícola dentro del bloque (solo Páramo y Matorral andino).</t>
        </is>
      </c>
    </row>
    <row r="45">
      <c r="A45" s="57" t="inlineStr">
        <is>
          <t>8</t>
        </is>
      </c>
      <c r="B45" s="57" t="inlineStr">
        <is>
          <t>Cambio de uso a pastoreo</t>
        </is>
      </c>
      <c r="C45" s="57" t="inlineStr"/>
      <c r="D45" s="57" t="inlineStr"/>
      <c r="E45" s="57" t="inlineStr"/>
      <c r="F45" s="57" t="inlineStr"/>
      <c r="G45" s="57" t="inlineStr"/>
    </row>
    <row r="46">
      <c r="A46" s="56" t="inlineStr">
        <is>
          <t>9</t>
        </is>
      </c>
      <c r="B46" s="56" t="inlineStr">
        <is>
          <t>Expansión urbana / vial</t>
        </is>
      </c>
      <c r="C46" s="56" t="inlineStr">
        <is>
          <t>Sí</t>
        </is>
      </c>
      <c r="D46" s="56" t="inlineStr">
        <is>
          <t>Ligera</t>
        </is>
      </c>
      <c r="E46" s="56" t="inlineStr"/>
      <c r="F46" s="56" t="inlineStr"/>
      <c r="G46" s="56" t="inlineStr">
        <is>
          <t>Trocha carrozable colindante al borde del bloque ("Unnamed Road" en el geoetiquetado de las fotografías); taludes de corte asociados.</t>
        </is>
      </c>
    </row>
    <row r="47">
      <c r="A47" s="57" t="inlineStr">
        <is>
          <t>10</t>
        </is>
      </c>
      <c r="B47" s="57" t="inlineStr">
        <is>
          <t>Minería informal</t>
        </is>
      </c>
      <c r="C47" s="57" t="inlineStr"/>
      <c r="D47" s="57" t="inlineStr"/>
      <c r="E47" s="57" t="inlineStr"/>
      <c r="F47" s="57" t="inlineStr"/>
      <c r="G47" s="57" t="inlineStr"/>
    </row>
    <row r="48">
      <c r="A48" s="56" t="inlineStr">
        <is>
          <t>11</t>
        </is>
      </c>
      <c r="B48" s="56" t="inlineStr">
        <is>
          <t>Extracción de áridos (cauces)</t>
        </is>
      </c>
      <c r="C48" s="56" t="inlineStr"/>
      <c r="D48" s="56" t="inlineStr"/>
      <c r="E48" s="56" t="inlineStr"/>
      <c r="F48" s="56" t="inlineStr"/>
      <c r="G48" s="56" t="inlineStr"/>
    </row>
    <row r="49">
      <c r="A49" s="57" t="inlineStr">
        <is>
          <t>12</t>
        </is>
      </c>
      <c r="B49" s="57" t="inlineStr">
        <is>
          <t>Especies invasoras</t>
        </is>
      </c>
      <c r="C49" s="57" t="inlineStr">
        <is>
          <t>Sí</t>
        </is>
      </c>
      <c r="D49" s="57" t="inlineStr">
        <is>
          <t>Ligera</t>
        </is>
      </c>
      <c r="E49" s="57" t="inlineStr"/>
      <c r="F49" s="57" t="inlineStr"/>
      <c r="G49" s="57" t="inlineStr">
        <is>
          <t>Plantaciones de Pinus sp. en el borde superior y entorno inmediato (F-06, F-07, F-09), con presión sobre el páramo. Superficie afectada por determinar. Adicionalmente, el vivero forestal del entorno (F-11), implementado con apoyo del Gobierno Regional de Piura, produce Pino radiata, lo que indica que la oferta de material exótico permanece activa en el ámbito.</t>
        </is>
      </c>
    </row>
    <row r="50">
      <c r="A50" s="56" t="inlineStr">
        <is>
          <t>13</t>
        </is>
      </c>
      <c r="B50" s="56" t="inlineStr">
        <is>
          <t>Erosión natural severa</t>
        </is>
      </c>
      <c r="C50" s="56" t="inlineStr">
        <is>
          <t>Sí</t>
        </is>
      </c>
      <c r="D50" s="56" t="inlineStr">
        <is>
          <t>Moderada</t>
        </is>
      </c>
      <c r="E50" s="56" t="inlineStr"/>
      <c r="F50" s="56" t="inlineStr"/>
      <c r="G50" s="56" t="inlineStr">
        <is>
          <t>Rasgo erosivo activo E-01: escarpe con material residual rojizo expuesto en concavidad de concentración de escorrentía (F-08).</t>
        </is>
      </c>
    </row>
    <row r="51">
      <c r="A51" s="57" t="inlineStr">
        <is>
          <t>14</t>
        </is>
      </c>
      <c r="B51" s="57" t="inlineStr">
        <is>
          <t>Sequía prolongada / CC</t>
        </is>
      </c>
      <c r="C51" s="57" t="inlineStr"/>
      <c r="D51" s="57" t="inlineStr"/>
      <c r="E51" s="57" t="inlineStr"/>
      <c r="F51" s="57" t="inlineStr"/>
      <c r="G51" s="57" t="inlineStr"/>
    </row>
    <row r="52">
      <c r="A52" s="56" t="inlineStr">
        <is>
          <t>15</t>
        </is>
      </c>
      <c r="B52" s="56" t="inlineStr">
        <is>
          <t>Plagas o enfermedades forestales</t>
        </is>
      </c>
      <c r="C52" s="56" t="inlineStr"/>
      <c r="D52" s="56" t="inlineStr"/>
      <c r="E52" s="56" t="inlineStr"/>
      <c r="F52" s="56" t="inlineStr"/>
      <c r="G52" s="56" t="inlineStr"/>
    </row>
    <row r="53">
      <c r="A53" s="57" t="inlineStr">
        <is>
          <t>16</t>
        </is>
      </c>
      <c r="B53" s="57" t="inlineStr">
        <is>
          <t>Otro</t>
        </is>
      </c>
      <c r="C53" s="57" t="inlineStr"/>
      <c r="D53" s="57" t="inlineStr"/>
      <c r="E53" s="57" t="inlineStr"/>
      <c r="F53" s="57" t="inlineStr"/>
      <c r="G53" s="57" t="inlineStr"/>
    </row>
    <row r="55">
      <c r="A55" s="54" t="inlineStr">
        <is>
          <t>F-DT-04 · INDICADORES CUANTITATIVOS</t>
        </is>
      </c>
    </row>
    <row r="56">
      <c r="A56" s="55" t="inlineStr">
        <is>
          <t>N.o</t>
        </is>
      </c>
      <c r="B56" s="55" t="inlineStr">
        <is>
          <t>Indicador</t>
        </is>
      </c>
      <c r="C56" s="55" t="inlineStr">
        <is>
          <t>Unidad</t>
        </is>
      </c>
      <c r="D56" s="55" t="inlineStr">
        <is>
          <t>Valor</t>
        </is>
      </c>
      <c r="E56" s="55" t="inlineStr">
        <is>
          <t>Fuente</t>
        </is>
      </c>
      <c r="F56" s="55" t="inlineStr">
        <is>
          <t>Umbral</t>
        </is>
      </c>
      <c r="G56" s="55" t="inlineStr">
        <is>
          <t>Nivel</t>
        </is>
      </c>
    </row>
    <row r="57">
      <c r="A57" s="56" t="inlineStr">
        <is>
          <t>1</t>
        </is>
      </c>
      <c r="B57" s="56" t="inlineStr">
        <is>
          <t>Cobertura vegetal total</t>
        </is>
      </c>
      <c r="C57" s="56" t="inlineStr">
        <is>
          <t>%</t>
        </is>
      </c>
      <c r="D57" s="56" t="inlineStr">
        <is>
          <t>85</t>
        </is>
      </c>
      <c r="E57" s="56" t="inlineStr">
        <is>
          <t>Estimación ocular sobre registro fotográfico + MSAVI 2024 (media 0,594)</t>
        </is>
      </c>
      <c r="F57" s="56" t="inlineStr">
        <is>
          <t>&gt;60% bueno; 30-60% medio; &lt;30% malo</t>
        </is>
      </c>
      <c r="G57" s="56" t="inlineStr">
        <is>
          <t>Alto</t>
        </is>
      </c>
    </row>
    <row r="58">
      <c r="A58" s="57" t="inlineStr">
        <is>
          <t>2</t>
        </is>
      </c>
      <c r="B58" s="57" t="inlineStr">
        <is>
          <t>Porcentaje de suelo desnudo</t>
        </is>
      </c>
      <c r="C58" s="57" t="inlineStr">
        <is>
          <t>%</t>
        </is>
      </c>
      <c r="D58" s="57" t="inlineStr">
        <is>
          <t>8</t>
        </is>
      </c>
      <c r="E58" s="57" t="inlineStr">
        <is>
          <t>Estimación ocular sobre registro fotográfico</t>
        </is>
      </c>
      <c r="F58" s="57" t="inlineStr">
        <is>
          <t>&lt;10% bueno; 10-30% medio; &gt;30% malo</t>
        </is>
      </c>
      <c r="G58" s="57" t="inlineStr">
        <is>
          <t>Bajo</t>
        </is>
      </c>
    </row>
    <row r="59">
      <c r="A59" s="56" t="inlineStr">
        <is>
          <t>3</t>
        </is>
      </c>
      <c r="B59" s="56" t="inlineStr">
        <is>
          <t>Densidad de cárcavas</t>
        </is>
      </c>
      <c r="C59" s="56" t="inlineStr">
        <is>
          <t>N°/ha</t>
        </is>
      </c>
      <c r="D59" s="56" t="inlineStr"/>
      <c r="E59" s="56" t="inlineStr"/>
      <c r="F59" s="56" t="inlineStr">
        <is>
          <t>0 nulo; 1-3 medio; &gt;3 alto</t>
        </is>
      </c>
      <c r="G59" s="56" t="inlineStr"/>
    </row>
    <row r="60">
      <c r="A60" s="57" t="inlineStr">
        <is>
          <t>4</t>
        </is>
      </c>
      <c r="B60" s="57" t="inlineStr">
        <is>
          <t>Presencia de especies invasoras</t>
        </is>
      </c>
      <c r="C60" s="57" t="inlineStr">
        <is>
          <t>% área</t>
        </is>
      </c>
      <c r="D60" s="57" t="inlineStr"/>
      <c r="E60" s="57" t="inlineStr"/>
      <c r="F60" s="57" t="inlineStr">
        <is>
          <t>&lt;5% bueno; 5-20% medio; &gt;20% alto</t>
        </is>
      </c>
      <c r="G60" s="57" t="inlineStr"/>
    </row>
    <row r="61">
      <c r="A61" s="56" t="inlineStr">
        <is>
          <t>5</t>
        </is>
      </c>
      <c r="B61" s="56" t="inlineStr">
        <is>
          <t>Carga ganadera estimada</t>
        </is>
      </c>
      <c r="C61" s="56" t="inlineStr">
        <is>
          <t>UA/ha</t>
        </is>
      </c>
      <c r="D61" s="56" t="inlineStr"/>
      <c r="E61" s="56" t="inlineStr"/>
      <c r="F61" s="56" t="inlineStr">
        <is>
          <t>Según tipo de ecosistema</t>
        </is>
      </c>
      <c r="G61" s="56" t="inlineStr"/>
    </row>
    <row r="62">
      <c r="A62" s="57" t="inlineStr">
        <is>
          <t>6</t>
        </is>
      </c>
      <c r="B62" s="57" t="inlineStr">
        <is>
          <t>Frecuencia de quemas últimos 5 años</t>
        </is>
      </c>
      <c r="C62" s="57" t="inlineStr">
        <is>
          <t>N°</t>
        </is>
      </c>
      <c r="D62" s="57" t="inlineStr"/>
      <c r="E62" s="57" t="inlineStr"/>
      <c r="F62" s="57" t="inlineStr">
        <is>
          <t>0 nulo; 1-2 medio; &gt;2 alto</t>
        </is>
      </c>
      <c r="G62" s="57" t="inlineStr"/>
    </row>
    <row r="63">
      <c r="A63" s="56" t="inlineStr">
        <is>
          <t>7</t>
        </is>
      </c>
      <c r="B63" s="56" t="inlineStr">
        <is>
          <t>% área con pendiente &gt;50%</t>
        </is>
      </c>
      <c r="C63" s="56" t="inlineStr">
        <is>
          <t>%</t>
        </is>
      </c>
      <c r="D63" s="56" t="inlineStr"/>
      <c r="E63" s="56" t="inlineStr"/>
      <c r="F63" s="56" t="inlineStr">
        <is>
          <t>Factor de susceptibilidad</t>
        </is>
      </c>
      <c r="G63" s="56" t="inlineStr"/>
    </row>
    <row r="64">
      <c r="A64" s="57" t="inlineStr">
        <is>
          <t>8</t>
        </is>
      </c>
      <c r="B64" s="57" t="inlineStr">
        <is>
          <t>Distancia a vía vecinal más cercana</t>
        </is>
      </c>
      <c r="C64" s="57" t="inlineStr">
        <is>
          <t>m</t>
        </is>
      </c>
      <c r="D64" s="57" t="inlineStr">
        <is>
          <t>0</t>
        </is>
      </c>
      <c r="E64" s="57" t="inlineStr">
        <is>
          <t>Vía colindante al bloque (Google Earth y geoetiquetado de fotografías)</t>
        </is>
      </c>
      <c r="F64" s="57" t="inlineStr">
        <is>
          <t>A menor distancia → mayor presión</t>
        </is>
      </c>
      <c r="G64" s="57" t="inlineStr">
        <is>
          <t>Alto</t>
        </is>
      </c>
    </row>
    <row r="66">
      <c r="A66" s="54" t="inlineStr">
        <is>
          <t>F-DT-05 · FUENTES DE AGUA INVENTARIADAS</t>
        </is>
      </c>
    </row>
    <row r="67">
      <c r="A67" s="55" t="inlineStr">
        <is>
          <t>N.o</t>
        </is>
      </c>
      <c r="B67" s="55" t="inlineStr">
        <is>
          <t>Tipo de fuente</t>
        </is>
      </c>
      <c r="C67" s="55" t="inlineStr">
        <is>
          <t>UTM ESTE</t>
        </is>
      </c>
      <c r="D67" s="55" t="inlineStr">
        <is>
          <t>UTM NORTE</t>
        </is>
      </c>
      <c r="E67" s="55" t="inlineStr">
        <is>
          <t>Régimen</t>
        </is>
      </c>
      <c r="F67" s="55" t="inlineStr">
        <is>
          <t>Calidad</t>
        </is>
      </c>
      <c r="G67" s="55" t="inlineStr">
        <is>
          <t>Distancia (m)</t>
        </is>
      </c>
      <c r="H67" s="55" t="inlineStr">
        <is>
          <t>Uso / observación</t>
        </is>
      </c>
    </row>
    <row r="68">
      <c r="A68" s="56" t="inlineStr">
        <is>
          <t>1</t>
        </is>
      </c>
      <c r="B68" s="56" t="inlineStr">
        <is>
          <t>Manantial / Puquio</t>
        </is>
      </c>
      <c r="C68" s="61" t="n">
        <v>663845</v>
      </c>
      <c r="D68" s="61" t="n">
        <v>9404560</v>
      </c>
      <c r="E68" s="56" t="inlineStr">
        <is>
          <t>Permanente</t>
        </is>
      </c>
      <c r="F68" s="56" t="inlineStr">
        <is>
          <t>No evaluable</t>
        </is>
      </c>
      <c r="G68" s="56" t="n"/>
      <c r="H68" s="56" t="inlineStr">
        <is>
          <t>Captación de concreto (caja y reservorio) pintada de azul, cercada; con agua en época seca. Abastecimiento poblacional presumido; JASS, caudal y calidad por determinar. Foto F-02.</t>
        </is>
      </c>
    </row>
    <row r="71">
      <c r="A71" s="54" t="inlineStr">
        <is>
          <t>OBSERVACIONES DEL EVALUADOR POR FICHA</t>
        </is>
      </c>
    </row>
    <row r="72">
      <c r="A72" s="55" t="inlineStr">
        <is>
          <t>Ficha</t>
        </is>
      </c>
      <c r="B72" s="55" t="inlineStr">
        <is>
          <t>Observación registrada en campo</t>
        </is>
      </c>
    </row>
    <row r="73">
      <c r="A73" s="56" t="inlineStr">
        <is>
          <t>F-DT-01</t>
        </is>
      </c>
      <c r="B73" s="56" t="inlineStr">
        <is>
          <t>Verificación de campo del 22/07/2026, entre las 10:27 y las 12:01 horas, mediante recorrido de reconocimiento con registro fotográfico georreferenciado (11 estaciones, UTM WGS84 17S). ALTITUD GPS: no fue registrada por el equipo de campo, por lo que la celda se deja en blanco conforme al principio de no fabricación. Como referencia de gabinete, el perfil de elevación de Google Earth sobre el recorrido (595,25 m de longitud; 640 m de desarrollo en el gráfico) registra cotas de 3 207 a 3 378 msnm, con altitud media de 3 303 msnm, pendiente media de 26,5 % y pendiente máxima de 44,3 %. Estos valores sustentan el rango altitudinal 3000-3500 m (Puna baja) y el rango de pendiente 25-50 % declarados. EXPOSICIÓN: "Suroeste" se deriva del sentido ascendente del perfil de elevación (el terreno asciende hacia el noreste), no de medición con brújula. Por verificar en campo. CENTROIDE DEL BLOQUE (catálogo Centroides_Bloques_V5): 664 082 E · 9 404 172 N. Las estaciones fotográficas se sitúan entre 663 568 E y 663 845 E, es decir en el sector occidental y de ingreso del bloque; la pertenencia exacta de cada estación al polígono debe confirmarse por superposición SIG. COMUNIDAD CAMPESINA: por determinar. AFLORAMIENTOS ROCOSOS: se observan bloques rocosos dispersos en ladera, no cartografiados. Reptación de suelo, deslizamientos antiguos y remociones en masa activas: no observados en la superficie natural durante el recorrido.</t>
        </is>
      </c>
    </row>
    <row r="74">
      <c r="A74" s="57" t="inlineStr">
        <is>
          <t>F-DT-03</t>
        </is>
      </c>
      <c r="B74" s="57" t="inlineStr">
        <is>
          <t>El bloque M22B1 (55,17 ha) integra dos ecosistemas MINAM según el Reporte de Ecosistemas por Bloques V5: Páramo (44,89 ha; 81,4 %) y Matorral andino (10,28 ha; 18,6 %). El tipo dominante declarado es Páramo. LISTA FLORÍSTICA PRELIMINAR: los nombres científicos son determinaciones de gabinete a partir de fotografía y se consignan a nivel de género o familia con la marca "por confirmar" o "indet.". Ninguna determinación botánica formal ha sido realizada; no se colectaron muestras ni se cuenta con herbario de referencia. Las categorías de conservación (D.S. 043-2006-AG, UICN) quedan por determinar y se consignan como "No aplica" en tanto no exista determinación a nivel de especie. SIN MEDICIÓN INSTRUMENTAL (celdas en blanco): DAP, altura promedio del estrato dominante, altura máxima y cobertura de hojarasca. No se instalaron parcelas permanentes; el campo "Parcela de muestreo" se declara como recorrido de reconocimiento. COBERTURAS: los porcentajes (cobertura total 85 %, dosel arbóreo 15 %, arbustiva 55 %, herbácea-graminoide 25 %, suelo desnudo 8 %) son estimaciones oculares apoyadas en el registro fotográfico y en el MSAVI 2024; requieren verificación con parcelas de intercepción. ESTADO SANITARIO "Rebrote vigoroso": se sustenta en la observación de rebrote verde entre fustes carbonizados en los sectores afectados por quema (fotos F-06, F-07, F-09). PRESENCIA DE EPÍFITAS: líquenes fruticosos (tipo Usnea) sobre ramas y musgos, indicadores de humedad atmosférica persistente en ambiente de neblina.</t>
        </is>
      </c>
    </row>
    <row r="75">
      <c r="A75" s="56" t="inlineStr">
        <is>
          <t>F-DT-05</t>
        </is>
      </c>
      <c r="B75" s="56" t="inlineStr">
        <is>
          <t>El bloque se localiza en cabecera de cuenca (3 207-3 378 msnm) de la microcuenca C1076-Q9586, en condición de zona de origen y recarga hídrica. La neblina persistente registrada durante toda la jornada, la abundancia de líquenes y musgos, y la cobertura herbácea verde en las depresiones evidencian humedad atmosférica y edáfica sostenida en plena época seca (22 de julio). FUENTE 1: estructura de captación de concreto pintada de azul (caja de captación y reservorio con tapas metálicas), cercada con alambre de púas y postes de madera, con agua en el canal a la fecha de visita (foto F-02). El régimen "Permanente" se infiere de la presencia de agua en época seca; el caudal, la calidad fisicoquímica y el nombre de la JASS u organización administradora quedan POR DETERMINAR. La calidad aparente se declara "No evaluable" por no haberse realizado observación normalizada. Se identifica además, en la imagen satelital, un curso de agua cartografiado que discurre por el sector noroeste, próximo al ingreso al bloque; su régimen y ubicación precisa quedan por verificar y no se registra en el inventario para no consignar atributos no observados. NO REGISTRADOS (celdas en blanco): distancia exacta a la captación poblacional, interferencia con obras de riego, tiempos de viaje desde capital distrital y provincial, señal celular y operador, alojamiento rural, y requerimiento de autorización de Ronda Campesina. TRANSITABILIDAD: "Medio" en época seca corresponde a la condición verificada el 22/07/2026 (acceso vehicular efectivo). "Bajo" en época lluviosa es una inferencia basada en el tipo de superficie (trocha afirmada) y en el régimen de neblina y precipitación del piso de páramo; por verificar. VIVERO FORESTAL EN EL ENTORNO (foto F-11; UTM 663 568 E · 9 404 100 N; a ≈ 520 m del centroide del bloque, fuera del polígono): vivero implementado con apoyo del Gobierno Regional de Piura, Gerencia de Recursos Naturales y Gestión del Medio Ambiente, con camas de almácigo y repique en producción activa. Especies en producción informadas por el equipo de campo: Aliso (Alnus sp.), Queñua (Polylepis sp.), Cedro de altura (Cedrela sp.) y Pino radiata (Pinus radiata). Las tres primeras son nativas andinas y directamente pertinentes para las medidas de revegetación; Pinus radiata es exótica y coincide con la especie registrada como causa de degradación en F-DT-04. Constituye un activo logístico relevante para la fase de ejecución. POR DETERMINAR: capacidad instalada, número de plantones por especie, calidad y procedencia del material genético, determinación específica de Polylepis y Cedrela (ambos géneros incluyen especies categorizadas en el D.S. 043-2006-AG) y organización responsable de la operación y mantenimiento.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M22B1</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28</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90</v>
      </c>
    </row>
    <row r="31">
      <c r="A31" s="57" t="inlineStr">
        <is>
          <t>COMPLEMENTADO</t>
        </is>
      </c>
      <c r="B31" s="57" t="n">
        <v>1</v>
      </c>
    </row>
    <row r="32">
      <c r="A32" s="56" t="inlineStr">
        <is>
          <t>ACTUALIZADO</t>
        </is>
      </c>
      <c r="B32" s="56" t="n">
        <v>3</v>
      </c>
    </row>
    <row r="33">
      <c r="A33" s="57" t="inlineStr">
        <is>
          <t>DISCREPANTE</t>
        </is>
      </c>
      <c r="B33" s="57" t="n">
        <v>0</v>
      </c>
    </row>
    <row r="34">
      <c r="A34" s="56" t="inlineStr">
        <is>
          <t>PENDIENTE</t>
        </is>
      </c>
      <c r="B34" s="56" t="n">
        <v>20</v>
      </c>
    </row>
    <row r="51">
      <c r="A51" s="54" t="inlineStr">
        <is>
          <t>Cobertura por estrato — campo (%)</t>
        </is>
      </c>
    </row>
    <row r="52">
      <c r="A52" s="55" t="inlineStr">
        <is>
          <t>Estrato</t>
        </is>
      </c>
      <c r="B52" s="55" t="inlineStr">
        <is>
          <t>% del área</t>
        </is>
      </c>
    </row>
    <row r="53">
      <c r="A53" s="56" t="inlineStr">
        <is>
          <t>Dosel</t>
        </is>
      </c>
      <c r="B53" s="61" t="n">
        <v>15</v>
      </c>
    </row>
    <row r="54">
      <c r="A54" s="57" t="inlineStr">
        <is>
          <t>Arbustiva</t>
        </is>
      </c>
      <c r="B54" s="62" t="n">
        <v>55</v>
      </c>
    </row>
    <row r="55">
      <c r="A55" s="56" t="inlineStr">
        <is>
          <t>Herbácea</t>
        </is>
      </c>
      <c r="B55" s="61" t="n">
        <v>25</v>
      </c>
    </row>
    <row r="56">
      <c r="A56" s="57" t="inlineStr">
        <is>
          <t>Suelo desnudo</t>
        </is>
      </c>
      <c r="B56" s="63" t="n">
        <v>8</v>
      </c>
    </row>
    <row r="73">
      <c r="A73" s="54" t="inlineStr">
        <is>
          <t>Causas activas de degradación (F-DT-04)</t>
        </is>
      </c>
    </row>
    <row r="74">
      <c r="A74" s="55" t="inlineStr">
        <is>
          <t>Causa</t>
        </is>
      </c>
      <c r="B74" s="55" t="inlineStr">
        <is>
          <t>Intensidad (1 ligera - 4 muy fuerte)</t>
        </is>
      </c>
    </row>
    <row r="75">
      <c r="A75" s="56" t="inlineStr">
        <is>
          <t>Erosión natural severa</t>
        </is>
      </c>
      <c r="B75" s="56" t="n">
        <v>2</v>
      </c>
    </row>
    <row r="76">
      <c r="A76" s="57" t="inlineStr">
        <is>
          <t>Quema (renovación de pastos)</t>
        </is>
      </c>
      <c r="B76" s="57" t="n">
        <v>2</v>
      </c>
    </row>
    <row r="77">
      <c r="A77" s="56" t="inlineStr">
        <is>
          <t>Especies invasoras</t>
        </is>
      </c>
      <c r="B77" s="56" t="n">
        <v>1</v>
      </c>
    </row>
    <row r="78">
      <c r="A78" s="57" t="inlineStr">
        <is>
          <t>Expansión urbana / vial</t>
        </is>
      </c>
      <c r="B78" s="57" t="n">
        <v>1</v>
      </c>
    </row>
    <row r="79">
      <c r="A79" s="56" t="inlineStr">
        <is>
          <t>Sobrepastoreo (caprino/vacuno)</t>
        </is>
      </c>
      <c r="B79" s="56" t="n">
        <v>1</v>
      </c>
    </row>
    <row r="96">
      <c r="A96" s="54" t="inlineStr">
        <is>
          <t>Control de consistencia por calificación</t>
        </is>
      </c>
    </row>
    <row r="97">
      <c r="A97" s="55" t="inlineStr">
        <is>
          <t>Calificación</t>
        </is>
      </c>
      <c r="B97" s="55" t="inlineStr">
        <is>
          <t>Verificaciones</t>
        </is>
      </c>
    </row>
    <row r="98">
      <c r="A98" s="56" t="inlineStr">
        <is>
          <t>SUSTANTIVA</t>
        </is>
      </c>
      <c r="B98" s="56" t="n">
        <v>4</v>
      </c>
    </row>
    <row r="99">
      <c r="A99" s="57" t="inlineStr">
        <is>
          <t>NO SUSTANTIVA</t>
        </is>
      </c>
      <c r="B99" s="57" t="n">
        <v>3</v>
      </c>
    </row>
    <row r="100">
      <c r="A100" s="56" t="inlineStr">
        <is>
          <t>CORREGIDO</t>
        </is>
      </c>
      <c r="B100" s="56" t="n">
        <v>3</v>
      </c>
    </row>
    <row r="101">
      <c r="A101" s="57" t="inlineStr">
        <is>
          <t>CONFORME</t>
        </is>
      </c>
      <c r="B101"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M22B1 — IN Piura</dc:title>
  <dc:subject>Diagnóstico Territorial por bloque de intervención</dc:subject>
  <dcterms:created xsi:type="dcterms:W3CDTF">2026-09-08T03:39:59Z</dcterms:created>
  <dcterms:modified xsi:type="dcterms:W3CDTF">2026-09-11T20:22:36Z</dcterms:modified>
</cp:coreProperties>
</file>