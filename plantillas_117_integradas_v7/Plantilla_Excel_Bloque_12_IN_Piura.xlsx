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integración'!$A$76:$A$79</f>
            </numRef>
          </cat>
          <val>
            <numRef>
              <f>'Gráficos de integración'!$B$76:$B$79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integración'!B97</f>
            </strRef>
          </tx>
          <spPr>
            <a:ln>
              <a:prstDash val="solid"/>
            </a:ln>
          </spPr>
          <cat>
            <numRef>
              <f>'Gráficos de integración'!$A$98:$A$101</f>
            </numRef>
          </cat>
          <val>
            <numRef>
              <f>'Gráficos de integración'!$B$98:$B$101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96</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12</t>
        </is>
      </c>
    </row>
    <row r="6" ht="24" customHeight="1">
      <c r="A6" s="4" t="inlineStr">
        <is>
          <t>Diagnóstico Territorial — Plantilla DT Campo Check Validada V5 | Sistema de referencia: UTM WGS 84 Zona 17S (EPSG:32717) · Integrado con la ficha de campo F-DT vigente (Plantilla_DT_Campo_Bloque12_Validada.xlsx) — V7 - resumen V6 + campo F-DT integrado</t>
        </is>
      </c>
    </row>
    <row r="7"/>
    <row r="8" ht="18" customHeight="1">
      <c r="A8" s="5" t="inlineStr">
        <is>
          <t>1. IDENTIFICACIÓN Y LOCALIZACIÓN</t>
        </is>
      </c>
    </row>
    <row r="9">
      <c r="A9" s="6" t="inlineStr">
        <is>
          <t>Código del bloque</t>
        </is>
      </c>
      <c r="B9" s="7" t="inlineStr">
        <is>
          <t>12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Chacayo (Santo Domingo)</t>
        </is>
      </c>
      <c r="C13" s="6" t="inlineStr">
        <is>
          <t>Comunidad campesina</t>
        </is>
      </c>
      <c r="D13" s="7" t="inlineStr">
        <is>
          <t>Por verificar</t>
        </is>
      </c>
      <c r="E13" s="8" t="n"/>
      <c r="F13" s="8" t="n"/>
    </row>
    <row r="14">
      <c r="A14" s="6" t="inlineStr">
        <is>
          <t>Superficie de catálogo (V5/V6), ha</t>
        </is>
      </c>
      <c r="B14" s="7" t="n">
        <v>119.54</v>
      </c>
      <c r="C14" s="6" t="inlineStr">
        <is>
          <t>Fuente de superficie</t>
        </is>
      </c>
      <c r="D14" s="7" t="inlineStr">
        <is>
          <t>Catálogo maestro Bloques V5/V6</t>
        </is>
      </c>
      <c r="E14" s="8" t="n"/>
      <c r="F14" s="8" t="n"/>
    </row>
    <row r="15">
      <c r="A15" s="6" t="inlineStr">
        <is>
          <t>Centroide UTM ESTE (m)</t>
        </is>
      </c>
      <c r="B15" s="7" t="n">
        <v>625419</v>
      </c>
      <c r="C15" s="6" t="inlineStr">
        <is>
          <t>Centroide UTM NORTE (m)</t>
        </is>
      </c>
      <c r="D15" s="7" t="n">
        <v>9444932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672</v>
      </c>
      <c r="C19" s="6" t="inlineStr">
        <is>
          <t>Altitud máxima (msnm)</t>
        </is>
      </c>
      <c r="D19" s="7" t="n">
        <v>2244</v>
      </c>
      <c r="E19" s="8" t="n"/>
      <c r="F19" s="8" t="n"/>
    </row>
    <row r="20">
      <c r="A20" s="6" t="inlineStr">
        <is>
          <t>Amplitud altitudinal (m)</t>
        </is>
      </c>
      <c r="B20" s="7" t="n">
        <v>1572</v>
      </c>
      <c r="C20" s="6" t="inlineStr">
        <is>
          <t>Piso altitudinal dominante</t>
        </is>
      </c>
      <c r="D20" s="7" t="inlineStr">
        <is>
          <t>1000-1500 m (Quechua baja)</t>
        </is>
      </c>
      <c r="E20" s="8" t="n"/>
      <c r="F20" s="8" t="n"/>
    </row>
    <row r="21">
      <c r="A21" s="6" t="inlineStr">
        <is>
          <t>Pendiente promedio (%)</t>
        </is>
      </c>
      <c r="B21" s="7" t="n">
        <v>27.41</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0.7067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(99.93 %)</t>
        </is>
      </c>
      <c r="E29" s="8" t="n"/>
      <c r="F29" s="8" t="n"/>
    </row>
    <row r="30">
      <c r="A30" s="6" t="inlineStr">
        <is>
          <t>Superficie clasificada NDVI 2025 (ha)</t>
        </is>
      </c>
      <c r="B30" s="7" t="n">
        <v>119.587</v>
      </c>
      <c r="C30" s="6" t="inlineStr">
        <is>
          <t>Desviación frente al catálogo (%)</t>
        </is>
      </c>
      <c r="D30" s="7" t="n">
        <v>0.04</v>
      </c>
      <c r="E30" s="8" t="n"/>
      <c r="F30" s="8" t="n"/>
    </row>
    <row r="31">
      <c r="A31" s="6" t="inlineStr">
        <is>
          <t>Superficie clasificada MSAVI 2024 (ha)</t>
        </is>
      </c>
      <c r="B31" s="38" t="n">
        <v>119.538</v>
      </c>
      <c r="C31" s="6" t="inlineStr">
        <is>
          <t>Desviación MSAVI frente al catálogo (%)</t>
        </is>
      </c>
      <c r="D31" s="39" t="n">
        <v>0</v>
      </c>
      <c r="E31" s="8" t="n"/>
      <c r="F31" s="8" t="n"/>
    </row>
    <row r="32">
      <c r="A32" s="6" t="inlineStr">
        <is>
          <t>Superficie bajo umbral MSAVI 0.4976 (ha)</t>
        </is>
      </c>
      <c r="B32" s="38" t="n">
        <v>0.079</v>
      </c>
      <c r="C32" s="6" t="inlineStr">
        <is>
          <t>% del bloque bajo umbral (brecha espectral)</t>
        </is>
      </c>
      <c r="D32" s="39" t="n">
        <v>0.07000000000000001</v>
      </c>
      <c r="E32" s="8" t="n"/>
      <c r="F32" s="8" t="n"/>
    </row>
    <row r="33">
      <c r="A33" s="6" t="inlineStr">
        <is>
          <t>Clase DN dominante (MSAVI 2024)</t>
        </is>
      </c>
      <c r="B33" s="7" t="inlineStr">
        <is>
          <t>DN 5 · &gt; 0.6139 (Vigor alto)</t>
        </is>
      </c>
      <c r="C33" s="6" t="inlineStr">
        <is>
          <t>N.° de polígonos MSAVI del bloque</t>
        </is>
      </c>
      <c r="D33" s="40" t="n">
        <v>120</v>
      </c>
      <c r="E33" s="8" t="n"/>
      <c r="F33" s="8" t="n"/>
    </row>
    <row r="34"/>
    <row r="35" ht="18" customHeight="1">
      <c r="A35" s="5" t="inlineStr">
        <is>
          <t>4. ECOSISTEMA Y ESTADO DE CONSERVACIÓN</t>
        </is>
      </c>
    </row>
    <row r="36">
      <c r="A36" s="6" t="inlineStr">
        <is>
          <t>Tipo de ecosistema (UP)</t>
        </is>
      </c>
      <c r="B36" s="7" t="inlineStr">
        <is>
          <t>Bosque Relicto Montano V. Occidental (BMVO)</t>
        </is>
      </c>
      <c r="C36" s="6" t="inlineStr">
        <is>
          <t>Superficie de ecosistema (ha)</t>
        </is>
      </c>
      <c r="D36" s="7" t="inlineStr">
        <is>
          <t>119.54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Ing. Pedro Talledo Hernández; Ing. Juan Carlos Domínguez Varas</t>
        </is>
      </c>
      <c r="C44" s="6" t="inlineStr">
        <is>
          <t>Fecha de evaluación</t>
        </is>
      </c>
      <c r="D44" s="7" t="inlineStr">
        <is>
          <t>2026-06-09</t>
        </is>
      </c>
      <c r="E44" s="8" t="n"/>
      <c r="F44" s="8" t="n"/>
    </row>
    <row r="45">
      <c r="A45" s="6" t="inlineStr">
        <is>
          <t>Hora de registro</t>
        </is>
      </c>
      <c r="B45" s="7" t="inlineStr">
        <is>
          <t>15:39 - 17:04 h</t>
        </is>
      </c>
      <c r="C45" s="6" t="inlineStr">
        <is>
          <t>Correlativo de ficha</t>
        </is>
      </c>
      <c r="D45" s="7" t="inlineStr">
        <is>
          <t>B12-2026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Sector sur (accedido)</t>
        </is>
      </c>
      <c r="E47" s="8" t="n"/>
      <c r="F47" s="8" t="n"/>
    </row>
    <row r="48">
      <c r="A48" s="6" t="inlineStr">
        <is>
          <t>Estaciones fotográficas georreferenciadas</t>
        </is>
      </c>
      <c r="B48" s="7" t="inlineStr">
        <is>
          <t>Sin registro en la ficha DT</t>
        </is>
      </c>
      <c r="C48" s="6" t="inlineStr">
        <is>
          <t>Modalidad de acceso</t>
        </is>
      </c>
      <c r="D48" s="7" t="inlineStr">
        <is>
          <t>Vehicular + caminata &gt;90 min</t>
        </is>
      </c>
      <c r="E48" s="8" t="n"/>
      <c r="F48" s="8" t="n"/>
    </row>
    <row r="49"/>
    <row r="50" ht="18" customHeight="1">
      <c r="A50" s="5" t="inlineStr">
        <is>
          <t>6. SÍNTESIS PARA LA GESTIÓN DEL RIESGO EN CONTEXTO DE CAMBIO CLIMÁTICO</t>
        </is>
      </c>
    </row>
    <row r="51">
      <c r="A51" s="6" t="inlineStr">
        <is>
          <t>Causa subyacente principal</t>
        </is>
      </c>
      <c r="B51" s="50" t="inlineStr">
        <is>
          <t>Expansión de la frontera agropecuaria de subsistencia en economía campesina, sin ordenamiento territorial ni manejo de los parches de bosque relicto.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106.9938</v>
      </c>
      <c r="C10" s="29">
        <f>ROUND(B10/$B$15*100,2)</f>
        <v/>
      </c>
      <c r="D10" s="12" t="inlineStr">
        <is>
          <t>Vigor alto</t>
        </is>
      </c>
      <c r="E10" s="12" t="inlineStr">
        <is>
          <t>Sobre umbral</t>
        </is>
      </c>
    </row>
    <row r="11">
      <c r="A11" s="13" t="inlineStr">
        <is>
          <t>0.4976 - 0.6139 · DN 4</t>
        </is>
      </c>
      <c r="B11" s="20" t="n">
        <v>12.4651</v>
      </c>
      <c r="C11" s="21">
        <f>ROUND(B11/$B$15*100,2)</f>
        <v/>
      </c>
      <c r="D11" s="14" t="inlineStr">
        <is>
          <t>Vigor moderado</t>
        </is>
      </c>
      <c r="E11" s="14" t="inlineStr">
        <is>
          <t>Sobre umbral</t>
        </is>
      </c>
    </row>
    <row r="12">
      <c r="A12" s="7" t="inlineStr">
        <is>
          <t>0.3813 - 0.4976 · DN 3</t>
        </is>
      </c>
      <c r="B12" s="18" t="n">
        <v>0.07920000000000001</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120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119.54</v>
      </c>
      <c r="C18" s="49" t="inlineStr">
        <is>
          <t>—</t>
        </is>
      </c>
      <c r="D18" s="46" t="inlineStr">
        <is>
          <t>Desviación planimétrica frente al catálogo</t>
        </is>
      </c>
      <c r="E18" s="46" t="inlineStr">
        <is>
          <t>+0.00 %</t>
        </is>
      </c>
    </row>
    <row r="19">
      <c r="A19" s="16" t="inlineStr">
        <is>
          <t>MSAVI 2024 — MEDIA DEL BLOQUE</t>
        </is>
      </c>
      <c r="B19" s="17" t="n">
        <v>0.706689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(0.7067)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119.508</v>
      </c>
      <c r="C25" s="19" t="n">
        <v>99.93000000000001</v>
      </c>
      <c r="D25" s="15" t="inlineStr">
        <is>
          <t>Dosel continuo, matorral denso o mosaico agroforestal</t>
        </is>
      </c>
      <c r="E25" s="15" t="inlineStr"/>
    </row>
    <row r="26">
      <c r="A26" s="13" t="inlineStr">
        <is>
          <t>Vegetación mediana</t>
        </is>
      </c>
      <c r="B26" s="20" t="n">
        <v>0.07920000000000001</v>
      </c>
      <c r="C26" s="21" t="n">
        <v>0.07000000000000001</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119.54</v>
      </c>
      <c r="C28" s="25" t="inlineStr">
        <is>
          <t>—</t>
        </is>
      </c>
      <c r="D28" s="25" t="inlineStr">
        <is>
          <t>Desviación planimétrica frente al catálogo</t>
        </is>
      </c>
      <c r="E28" s="25" t="inlineStr">
        <is>
          <t>+0.04 %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99.93 % del polígono clasificado como «Vegetación alta» por el NDVI 2025; la observación de campo corresponde a una parcela o recorrido puntual y no es estadísticamente representativa de las 119.540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12</t>
        </is>
      </c>
    </row>
    <row r="6" ht="24" customHeight="1">
      <c r="A6" s="4" t="inlineStr">
        <is>
          <t>Levantamiento del 2026-06-09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625623</v>
      </c>
      <c r="D10" s="26" t="n">
        <v>9444493</v>
      </c>
      <c r="E10" s="15" t="n">
        <v>484.1</v>
      </c>
      <c r="F10" s="15" t="inlineStr"/>
      <c r="G10" s="15" t="inlineStr">
        <is>
          <t>Coordenada consignada en F-DT-01</t>
        </is>
      </c>
    </row>
    <row r="11">
      <c r="A11" s="13" t="inlineStr">
        <is>
          <t>H-01</t>
        </is>
      </c>
      <c r="B11" s="14" t="inlineStr">
        <is>
          <t>Fuente de agua — Reservorio / Represa</t>
        </is>
      </c>
      <c r="C11" s="27" t="n">
        <v>625639</v>
      </c>
      <c r="D11" s="27" t="n">
        <v>9444233</v>
      </c>
      <c r="E11" s="14" t="n">
        <v>732.8</v>
      </c>
      <c r="F11" s="14" t="inlineStr">
        <is>
          <t>Permanente</t>
        </is>
      </c>
      <c r="G11" s="14" t="inlineStr">
        <is>
          <t>Tanque de agua potable</t>
        </is>
      </c>
    </row>
    <row r="12">
      <c r="A12" s="7" t="inlineStr">
        <is>
          <t>H-02</t>
        </is>
      </c>
      <c r="B12" s="15" t="inlineStr">
        <is>
          <t>Fuente de agua — Quebrada permanente</t>
        </is>
      </c>
      <c r="C12" s="26" t="n">
        <v>625255</v>
      </c>
      <c r="D12" s="26" t="n">
        <v>9443634</v>
      </c>
      <c r="E12" s="15" t="n">
        <v>1308.3</v>
      </c>
      <c r="F12" s="15" t="inlineStr">
        <is>
          <t>Permanente</t>
        </is>
      </c>
      <c r="G12" s="15" t="inlineStr">
        <is>
          <t>Quebrada Q9570 (drenaje)</t>
        </is>
      </c>
    </row>
    <row r="13">
      <c r="A13" s="13" t="inlineStr">
        <is>
          <t>B-01</t>
        </is>
      </c>
      <c r="B13" s="14" t="inlineStr">
        <is>
          <t>Especie clave — Nogal (Juglans cf. neotropica)</t>
        </is>
      </c>
      <c r="C13" s="27" t="n">
        <v>625637</v>
      </c>
      <c r="D13" s="27" t="n">
        <v>9444497</v>
      </c>
      <c r="E13" s="14" t="n">
        <v>486.6</v>
      </c>
      <c r="F13" s="14" t="inlineStr">
        <is>
          <t>Amenazada D.S. 043</t>
        </is>
      </c>
      <c r="G13" s="14" t="inlineStr">
        <is>
          <t>VU — Vulnerable</t>
        </is>
      </c>
    </row>
    <row r="14">
      <c r="A14" s="7" t="inlineStr">
        <is>
          <t>B-02</t>
        </is>
      </c>
      <c r="B14" s="15" t="inlineStr">
        <is>
          <t>Especie clave — Romerillo (Podocarpus sp.)</t>
        </is>
      </c>
      <c r="C14" s="26" t="n">
        <v>625255</v>
      </c>
      <c r="D14" s="26" t="n">
        <v>9443634</v>
      </c>
      <c r="E14" s="15" t="n">
        <v>1308.3</v>
      </c>
      <c r="F14" s="15" t="inlineStr">
        <is>
          <t>Indicadora de buen estado</t>
        </is>
      </c>
      <c r="G14" s="15" t="inlineStr">
        <is>
          <t>No aplica</t>
        </is>
      </c>
    </row>
    <row r="15">
      <c r="A15" s="13" t="inlineStr">
        <is>
          <t>B-03</t>
        </is>
      </c>
      <c r="B15" s="14" t="inlineStr">
        <is>
          <t>Especie clave — Higuerón (Ficus sp.)</t>
        </is>
      </c>
      <c r="C15" s="27" t="n">
        <v>624557</v>
      </c>
      <c r="D15" s="27" t="n">
        <v>9444014</v>
      </c>
      <c r="E15" s="14" t="n">
        <v>1259.3</v>
      </c>
      <c r="F15" s="14" t="inlineStr">
        <is>
          <t>Indicadora de buen estado</t>
        </is>
      </c>
      <c r="G15" s="14" t="inlineStr">
        <is>
          <t>LC</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625419</v>
      </c>
      <c r="C18" s="6" t="inlineStr">
        <is>
          <t>Centroide del bloque — UTM NORTE (m)</t>
        </is>
      </c>
      <c r="D18" s="7" t="n">
        <v>9444932</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 pie por camino de herradura accidentado tras lluvia intensa; solo se accedió al sector SUR del bloque, que presenta cobertura alta (MSAVI &gt;0.61) y estabilidad general. ALTITUD: el equipo de campo refirió ~1400 msnm; el MDE indica ~1650-1850 m para el sector accedido y 1671-2218 m para el bloque completo (cima Cerro Rucutuyu). Se recomienda verificar la lectura altimétrica del GPS.</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12</t>
        </is>
      </c>
      <c r="B10" s="28" t="n">
        <v>119.54</v>
      </c>
      <c r="C10" s="29" t="n">
        <v>14</v>
      </c>
      <c r="D10" s="12" t="inlineStr">
        <is>
          <t>672 – 2244</t>
        </is>
      </c>
      <c r="E10" s="12" t="n">
        <v>1572</v>
      </c>
      <c r="F10" s="12" t="n">
        <v>27.41</v>
      </c>
      <c r="G10" s="30" t="n">
        <v>0.7067</v>
      </c>
      <c r="H10" s="29" t="n">
        <v>99.93000000000001</v>
      </c>
      <c r="I10" s="29" t="n">
        <v>0.07000000000000001</v>
      </c>
    </row>
    <row r="11">
      <c r="A11" s="13" t="inlineStr">
        <is>
          <t>11</t>
        </is>
      </c>
      <c r="B11" s="31" t="n">
        <v>103.95</v>
      </c>
      <c r="C11" s="21" t="n">
        <v>12.17</v>
      </c>
      <c r="D11" s="14" t="inlineStr">
        <is>
          <t>1375 – 1928</t>
        </is>
      </c>
      <c r="E11" s="14" t="n">
        <v>553</v>
      </c>
      <c r="F11" s="14" t="n">
        <v>32.19</v>
      </c>
      <c r="G11" s="20" t="n">
        <v>0.6047</v>
      </c>
      <c r="H11" s="21" t="n">
        <v>75.28</v>
      </c>
      <c r="I11" s="21" t="n">
        <v>11.34</v>
      </c>
    </row>
    <row r="12">
      <c r="A12" s="7" t="inlineStr">
        <is>
          <t>17</t>
        </is>
      </c>
      <c r="B12" s="32" t="n">
        <v>96.08</v>
      </c>
      <c r="C12" s="19" t="n">
        <v>11.25</v>
      </c>
      <c r="D12" s="15" t="inlineStr">
        <is>
          <t>1253 – 1880</t>
        </is>
      </c>
      <c r="E12" s="15" t="n">
        <v>627</v>
      </c>
      <c r="F12" s="15" t="n">
        <v>35.56</v>
      </c>
      <c r="G12" s="18" t="n">
        <v>0.6479</v>
      </c>
      <c r="H12" s="19" t="n">
        <v>88.68000000000001</v>
      </c>
      <c r="I12" s="19" t="n">
        <v>2.09</v>
      </c>
    </row>
    <row r="13">
      <c r="A13" s="13" t="inlineStr">
        <is>
          <t>14</t>
        </is>
      </c>
      <c r="B13" s="31" t="n">
        <v>92.90000000000001</v>
      </c>
      <c r="C13" s="21" t="n">
        <v>10.88</v>
      </c>
      <c r="D13" s="14" t="inlineStr">
        <is>
          <t>87 – 1355</t>
        </is>
      </c>
      <c r="E13" s="14" t="n">
        <v>1268</v>
      </c>
      <c r="F13" s="14" t="n">
        <v>23.75</v>
      </c>
      <c r="G13" s="20" t="n">
        <v>0.5197000000000001</v>
      </c>
      <c r="H13" s="21" t="n">
        <v>58.89</v>
      </c>
      <c r="I13" s="21" t="n">
        <v>39.02</v>
      </c>
    </row>
    <row r="14">
      <c r="A14" s="7" t="inlineStr">
        <is>
          <t>15</t>
        </is>
      </c>
      <c r="B14" s="32" t="n">
        <v>86.15000000000001</v>
      </c>
      <c r="C14" s="19" t="n">
        <v>10.09</v>
      </c>
      <c r="D14" s="15" t="inlineStr">
        <is>
          <t>1199 – 1655</t>
        </is>
      </c>
      <c r="E14" s="15" t="n">
        <v>456</v>
      </c>
      <c r="F14" s="15" t="n">
        <v>26.19</v>
      </c>
      <c r="G14" s="18" t="n">
        <v>0.5605</v>
      </c>
      <c r="H14" s="19" t="n">
        <v>56.47</v>
      </c>
      <c r="I14" s="19" t="n">
        <v>22.48</v>
      </c>
    </row>
    <row r="15">
      <c r="A15" s="13" t="inlineStr">
        <is>
          <t>23</t>
        </is>
      </c>
      <c r="B15" s="31" t="n">
        <v>81.78</v>
      </c>
      <c r="C15" s="21" t="n">
        <v>9.58</v>
      </c>
      <c r="D15" s="14" t="inlineStr">
        <is>
          <t>521 – 973</t>
        </is>
      </c>
      <c r="E15" s="14" t="n">
        <v>452</v>
      </c>
      <c r="F15" s="14" t="n">
        <v>35.28</v>
      </c>
      <c r="G15" s="20" t="n">
        <v>0.5731000000000001</v>
      </c>
      <c r="H15" s="21" t="n">
        <v>47.99</v>
      </c>
      <c r="I15" s="21" t="n">
        <v>18.75</v>
      </c>
    </row>
    <row r="16">
      <c r="A16" s="7" t="inlineStr">
        <is>
          <t>42</t>
        </is>
      </c>
      <c r="B16" s="32" t="n">
        <v>80.62</v>
      </c>
      <c r="C16" s="19" t="n">
        <v>9.44</v>
      </c>
      <c r="D16" s="15" t="inlineStr">
        <is>
          <t>1131 – 1548</t>
        </is>
      </c>
      <c r="E16" s="15" t="n">
        <v>417</v>
      </c>
      <c r="F16" s="15" t="n">
        <v>27.86</v>
      </c>
      <c r="G16" s="18" t="n">
        <v>0.6348</v>
      </c>
      <c r="H16" s="19" t="n">
        <v>88.83</v>
      </c>
      <c r="I16" s="19" t="n">
        <v>5.64</v>
      </c>
    </row>
    <row r="17">
      <c r="A17" s="13" t="inlineStr">
        <is>
          <t>M19B2</t>
        </is>
      </c>
      <c r="B17" s="31" t="n">
        <v>74.37</v>
      </c>
      <c r="C17" s="21" t="n">
        <v>8.710000000000001</v>
      </c>
      <c r="D17" s="14" t="inlineStr">
        <is>
          <t>203 – 523</t>
        </is>
      </c>
      <c r="E17" s="14" t="n">
        <v>320</v>
      </c>
      <c r="F17" s="14" t="n">
        <v>21.71</v>
      </c>
      <c r="G17" s="20" t="n">
        <v>0.4012</v>
      </c>
      <c r="H17" s="21" t="n">
        <v>1.28</v>
      </c>
      <c r="I17" s="21" t="n">
        <v>96.23999999999999</v>
      </c>
    </row>
    <row r="18">
      <c r="A18" s="7" t="inlineStr">
        <is>
          <t>82</t>
        </is>
      </c>
      <c r="B18" s="32" t="n">
        <v>35.66</v>
      </c>
      <c r="C18" s="19" t="n">
        <v>4.18</v>
      </c>
      <c r="D18" s="15" t="inlineStr">
        <is>
          <t>1796 – 2098</t>
        </is>
      </c>
      <c r="E18" s="15" t="n">
        <v>302</v>
      </c>
      <c r="F18" s="15" t="n">
        <v>23.55</v>
      </c>
      <c r="G18" s="18" t="n">
        <v>0.6283</v>
      </c>
      <c r="H18" s="19" t="n">
        <v>90.06999999999999</v>
      </c>
      <c r="I18" s="19" t="n">
        <v>12.67</v>
      </c>
    </row>
    <row r="19">
      <c r="A19" s="13" t="inlineStr">
        <is>
          <t>78</t>
        </is>
      </c>
      <c r="B19" s="31" t="n">
        <v>35.1</v>
      </c>
      <c r="C19" s="21" t="n">
        <v>4.11</v>
      </c>
      <c r="D19" s="14" t="inlineStr">
        <is>
          <t>1908 – 2236</t>
        </is>
      </c>
      <c r="E19" s="14" t="n">
        <v>328</v>
      </c>
      <c r="F19" s="14" t="n">
        <v>30.64</v>
      </c>
      <c r="G19" s="20" t="n">
        <v>0.7074</v>
      </c>
      <c r="H19" s="21" t="n">
        <v>89.33</v>
      </c>
      <c r="I19" s="21" t="n">
        <v>1.77</v>
      </c>
    </row>
    <row r="20">
      <c r="A20" s="7" t="inlineStr">
        <is>
          <t>M19B7</t>
        </is>
      </c>
      <c r="B20" s="32" t="n">
        <v>34.17</v>
      </c>
      <c r="C20" s="19" t="n">
        <v>4</v>
      </c>
      <c r="D20" s="15" t="inlineStr">
        <is>
          <t>1213 – 1578</t>
        </is>
      </c>
      <c r="E20" s="15" t="n">
        <v>365</v>
      </c>
      <c r="F20" s="15" t="n">
        <v>28.15</v>
      </c>
      <c r="G20" s="18" t="n">
        <v>0.5919</v>
      </c>
      <c r="H20" s="19" t="n">
        <v>78.52</v>
      </c>
      <c r="I20" s="19" t="n">
        <v>5.85</v>
      </c>
    </row>
    <row r="21">
      <c r="A21" s="13" t="inlineStr">
        <is>
          <t>59</t>
        </is>
      </c>
      <c r="B21" s="31"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12 ocupa el puesto 1 de 12 por superficie dentro de la microcuenca C1086-Q9570 (14.00 % de las 853.87 ha preliminares de la microcuenca). Su pendiente promedio (27.41 %, clase «25-50% (Mod. escarpado)») es la 5.ª más baja de 12 y se sitúa por debajo del promedio de la microcuenca (28.51 %). Su MSAVI 2024 (0.7067) es el 2.º de 12 y queda por encima del promedio local (0.5993). Amplitud altitudinal del bloque: 1572 m (672–2244 msnm). El cuadro conserva todos los bloques catalogados en la microcuenca, incluidos los descartados en el tamizaje, para referencia del conjunto. Los bloques sin ficha DT figuran con sus parámetros de gabinete. BRECHA ESPECTRAL. El 0.07 % de la superficie del bloque (0.079 ha de 119.538 ha) se sitúa bajo el umbral MSAVI 0.4976, por debajo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12</t>
        </is>
      </c>
    </row>
    <row r="6">
      <c r="A6" s="52" t="inlineStr">
        <is>
          <t>Cruce de la ficha de campo F-DT vigente con la ficha de resumen de gabinete y el catálogo maestro. Integración 2026-09-11 20:22:24.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484.1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(1820 msnm) cae dentro del rango altitudinal del bloque (672 - 2244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(119.587 ha) se desvía 0.04 % de la superficie de catálogo (119.54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(119.538 ha) se desvía -0.00 % de la superficie de catálogo (119.54 ha).</t>
        </is>
      </c>
      <c r="D14" s="57" t="inlineStr">
        <is>
          <t>CONFORME</t>
        </is>
      </c>
      <c r="E14" s="57" t="inlineStr">
        <is>
          <t>Sin acción: la segmentación valida la geometría del bloque.</t>
        </is>
      </c>
    </row>
    <row r="15">
      <c r="A15" s="56" t="inlineStr">
        <is>
          <t>G-07</t>
        </is>
      </c>
      <c r="B15" s="56" t="inlineStr">
        <is>
          <t>Brecha espectral MSAVI</t>
        </is>
      </c>
      <c r="C15" s="56" t="inlineStr">
        <is>
          <t>El 0.07 % del bloque queda bajo el umbral 0.4976; superficie de brecha 0.0792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119.54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(0.7067)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Causa subyacente principal</t>
        </is>
      </c>
      <c r="C19" s="56" t="inlineStr">
        <is>
          <t>El libro de resumen V6 consignaba «Expansión de la frontera agropecuaria de subsistencia en economía campesina, sin ordenamiento territorial ni manejo del ecosistema»; la ficha de campo vigente declara «Expansión de la frontera agropecuaria de subsistencia en economía campesina, sin ordenamiento territorial ni manejo de los parches de bosqu…».</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96.4 % de los campos esperados).</t>
        </is>
      </c>
      <c r="D20" s="57" t="inlineStr">
        <is>
          <t>CONFORME</t>
        </is>
      </c>
      <c r="E20" s="57" t="inlineStr">
        <is>
          <t>Sin acción.</t>
        </is>
      </c>
    </row>
    <row r="21">
      <c r="A21" s="56" t="inlineStr">
        <is>
          <t>F-02</t>
        </is>
      </c>
      <c r="B21" s="56" t="inlineStr">
        <is>
          <t>Cobertura de la integración</t>
        </is>
      </c>
      <c r="C21" s="56" t="inlineStr">
        <is>
          <t>Se declararon 103 de 114 hechos integrados (90.4 %); 11 quedan sin dato en ninguna fuente.</t>
        </is>
      </c>
      <c r="D21" s="56" t="inlineStr">
        <is>
          <t>CONFORME</t>
        </is>
      </c>
      <c r="E21" s="56" t="inlineStr">
        <is>
          <t>Sin acción.</t>
        </is>
      </c>
    </row>
    <row r="22">
      <c r="A22" s="57" t="inlineStr">
        <is>
          <t>H-01</t>
        </is>
      </c>
      <c r="B22" s="57" t="inlineStr">
        <is>
          <t>Rango altitudinal / piso ecológico</t>
        </is>
      </c>
      <c r="C22" s="57" t="inlineStr">
        <is>
          <t>La ficha DT declara «1500-2000 m (Quechua media)»; el MDE sitúa el bloque entre 672 y 2244 msnm, cuyo punto medio corresponde a «1000-1500 m (Quechua baja)»</t>
        </is>
      </c>
      <c r="D22" s="57" t="inlineStr">
        <is>
          <t>NO SUSTANTIVA</t>
        </is>
      </c>
      <c r="E22" s="57" t="inlineStr">
        <is>
          <t>Se declara la divergencia. El bloque abarca más de un piso altitudinal cuando la amplitud supera el ancho de la clase; el registro de campo corresponde al sector recorrido. (Verificación heredada de la ficha de resumen V6.)</t>
        </is>
      </c>
    </row>
    <row r="23">
      <c r="A23" s="56" t="inlineStr">
        <is>
          <t>H-02</t>
        </is>
      </c>
      <c r="B23" s="56" t="inlineStr">
        <is>
          <t>Centro poblado asociado</t>
        </is>
      </c>
      <c r="C23" s="56" t="inlineStr">
        <is>
          <t>La ficha DT declara «Chacayo (Santo Domingo)»; el cruce INEI-Bloques V5 identifica 2 centro(s) poblado(s) en el bloque: CHACAYO, SANTO DOMINGO</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1 · NO SUSTANTIVA: 1 · CORREGIDO: 1 · CONFORME: 12</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12</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6. Degradación, causas y urgencia (F-DT-04)</t>
        </is>
      </c>
      <c r="B9" s="56" t="inlineStr">
        <is>
          <t>Causa subyacente principal</t>
        </is>
      </c>
      <c r="C9" s="56" t="inlineStr">
        <is>
          <t>Expansión de la frontera agropecuaria de subsistencia en economía campesina, sin ordenamiento territorial ni manejo del ecosistema</t>
        </is>
      </c>
      <c r="D9" s="56" t="inlineStr">
        <is>
          <t>Expansión de la frontera agropecuaria de subsistencia en economía campesina, sin ordenamiento territorial ni manejo de los parches de bosque relicto.</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625623</t>
        </is>
      </c>
      <c r="D13" s="56" t="inlineStr">
        <is>
          <t>m</t>
        </is>
      </c>
    </row>
    <row r="14">
      <c r="A14" s="57" t="inlineStr">
        <is>
          <t>1. Identificación y localización</t>
        </is>
      </c>
      <c r="B14" s="57" t="inlineStr">
        <is>
          <t>UTM NORTE del punto de muestreo (m)</t>
        </is>
      </c>
      <c r="C14" s="57" t="inlineStr">
        <is>
          <t>9444493</t>
        </is>
      </c>
      <c r="D14" s="57" t="inlineStr">
        <is>
          <t>m</t>
        </is>
      </c>
    </row>
    <row r="15">
      <c r="A15" s="56" t="inlineStr">
        <is>
          <t>2. Parámetros físicos del terreno</t>
        </is>
      </c>
      <c r="B15" s="56" t="inlineStr">
        <is>
          <t>Altitud GPS del punto de muestreo (msnm)</t>
        </is>
      </c>
      <c r="C15" s="56" t="inlineStr">
        <is>
          <t>1820</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Flanco sur del Cerro Rucutuyu (microcuenca C1086-Q9570). Mosaico de pastizales cultivados, parcelas agroforestales (café-plátano-guaba) y parches de bosque relicto montano húmedo; presencia frecuente de neblina (condensación) y afloramientos rocosos dispersos.</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Ligera (laminar)</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No</t>
        </is>
      </c>
      <c r="D23" s="56" t="inlineStr"/>
    </row>
    <row r="24">
      <c r="A24" s="57" t="inlineStr">
        <is>
          <t>4. Suelos y erosión (F-DT-02)</t>
        </is>
      </c>
      <c r="B24" s="57" t="inlineStr">
        <is>
          <t>Longitud total de cárcavas (m)</t>
        </is>
      </c>
      <c r="C24" s="57" t="inlineStr">
        <is>
          <t>0</t>
        </is>
      </c>
      <c r="D24" s="57" t="inlineStr">
        <is>
          <t>m</t>
        </is>
      </c>
    </row>
    <row r="25">
      <c r="A25" s="56" t="inlineStr">
        <is>
          <t>4. Suelos y erosión (F-DT-02)</t>
        </is>
      </c>
      <c r="B25" s="56" t="inlineStr">
        <is>
          <t>% del bloque afectado por cárcavas</t>
        </is>
      </c>
      <c r="C25" s="56" t="inlineStr">
        <is>
          <t>0</t>
        </is>
      </c>
      <c r="D25" s="56" t="inlineStr">
        <is>
          <t>%</t>
        </is>
      </c>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Cobertura del dosel (%)</t>
        </is>
      </c>
      <c r="C27" s="56" t="inlineStr">
        <is>
          <t>40</t>
        </is>
      </c>
      <c r="D27" s="56" t="inlineStr">
        <is>
          <t>%</t>
        </is>
      </c>
    </row>
    <row r="28">
      <c r="A28" s="57" t="inlineStr">
        <is>
          <t>5. Ecosistema, cobertura y flora (F-DT-03)</t>
        </is>
      </c>
      <c r="B28" s="57" t="inlineStr">
        <is>
          <t>Cobertura arbustiva (%)</t>
        </is>
      </c>
      <c r="C28" s="57" t="inlineStr">
        <is>
          <t>20</t>
        </is>
      </c>
      <c r="D28" s="57" t="inlineStr">
        <is>
          <t>%</t>
        </is>
      </c>
    </row>
    <row r="29">
      <c r="A29" s="56" t="inlineStr">
        <is>
          <t>5. Ecosistema, cobertura y flora (F-DT-03)</t>
        </is>
      </c>
      <c r="B29" s="56" t="inlineStr">
        <is>
          <t>Cobertura herbácea (%)</t>
        </is>
      </c>
      <c r="C29" s="56" t="inlineStr">
        <is>
          <t>35</t>
        </is>
      </c>
      <c r="D29" s="56" t="inlineStr">
        <is>
          <t>%</t>
        </is>
      </c>
    </row>
    <row r="30">
      <c r="A30" s="57" t="inlineStr">
        <is>
          <t>5. Ecosistema, cobertura y flora (F-DT-03)</t>
        </is>
      </c>
      <c r="B30" s="57" t="inlineStr">
        <is>
          <t>Cobertura de hojarasca (%)</t>
        </is>
      </c>
      <c r="C30" s="57" t="inlineStr">
        <is>
          <t>15</t>
        </is>
      </c>
      <c r="D30" s="57" t="inlineStr">
        <is>
          <t>%</t>
        </is>
      </c>
    </row>
    <row r="31">
      <c r="A31" s="56" t="inlineStr">
        <is>
          <t>5. Ecosistema, cobertura y flora (F-DT-03)</t>
        </is>
      </c>
      <c r="B31" s="56" t="inlineStr">
        <is>
          <t>Altura del estrato dominante (m)</t>
        </is>
      </c>
      <c r="C31" s="56" t="inlineStr">
        <is>
          <t>12</t>
        </is>
      </c>
      <c r="D31" s="56" t="inlineStr">
        <is>
          <t>m</t>
        </is>
      </c>
    </row>
    <row r="32">
      <c r="A32" s="57" t="inlineStr">
        <is>
          <t>5. Ecosistema, cobertura y flora (F-DT-03)</t>
        </is>
      </c>
      <c r="B32" s="57" t="inlineStr">
        <is>
          <t>Altura máxima registrada (m)</t>
        </is>
      </c>
      <c r="C32" s="57" t="inlineStr">
        <is>
          <t>20</t>
        </is>
      </c>
      <c r="D32" s="57" t="inlineStr">
        <is>
          <t>m</t>
        </is>
      </c>
    </row>
    <row r="33">
      <c r="A33" s="56" t="inlineStr">
        <is>
          <t>5. Ecosistema, cobertura y flora (F-DT-03)</t>
        </is>
      </c>
      <c r="B33" s="56" t="inlineStr">
        <is>
          <t>Presencia de epífitas</t>
        </is>
      </c>
      <c r="C33" s="56" t="inlineStr">
        <is>
          <t>Sí</t>
        </is>
      </c>
      <c r="D33" s="56" t="inlineStr"/>
    </row>
    <row r="34">
      <c r="A34" s="57" t="inlineStr">
        <is>
          <t>5. Ecosistema, cobertura y flora (F-DT-03)</t>
        </is>
      </c>
      <c r="B34" s="57" t="inlineStr">
        <is>
          <t>Fenología dominante</t>
        </is>
      </c>
      <c r="C34" s="57" t="inlineStr">
        <is>
          <t>Vegetativo</t>
        </is>
      </c>
      <c r="D34" s="57" t="inlineStr"/>
    </row>
    <row r="35">
      <c r="A35" s="56" t="inlineStr">
        <is>
          <t>5. Ecosistema, cobertura y flora (F-DT-03)</t>
        </is>
      </c>
      <c r="B35" s="56" t="inlineStr">
        <is>
          <t>Dimensiones de la parcela (m)</t>
        </is>
      </c>
      <c r="C35" s="56" t="inlineStr">
        <is>
          <t>Observación por recorrido (sin parcela fija)</t>
        </is>
      </c>
      <c r="D35" s="56" t="inlineStr"/>
    </row>
    <row r="36">
      <c r="A36" s="57" t="inlineStr">
        <is>
          <t>5. Ecosistema, cobertura y flora (F-DT-03)</t>
        </is>
      </c>
      <c r="B36" s="57" t="inlineStr">
        <is>
          <t>Pendiente de la parcela (%)</t>
        </is>
      </c>
      <c r="C36" s="57" t="inlineStr">
        <is>
          <t>40</t>
        </is>
      </c>
      <c r="D36" s="57" t="inlineStr">
        <is>
          <t>%</t>
        </is>
      </c>
    </row>
    <row r="37">
      <c r="A37" s="56" t="inlineStr">
        <is>
          <t>5. Ecosistema, cobertura y flora (F-DT-03)</t>
        </is>
      </c>
      <c r="B37" s="56" t="inlineStr">
        <is>
          <t>Especies clave georreferenciadas</t>
        </is>
      </c>
      <c r="C37" s="56" t="inlineStr">
        <is>
          <t>3</t>
        </is>
      </c>
      <c r="D37" s="56" t="inlineStr"/>
    </row>
    <row r="38">
      <c r="A38" s="57" t="inlineStr">
        <is>
          <t>6. Degradación, causas y urgencia (F-DT-04)</t>
        </is>
      </c>
      <c r="B38" s="57" t="inlineStr">
        <is>
          <t>Causas directas de la degradación</t>
        </is>
      </c>
      <c r="C38" s="57" t="inlineStr">
        <is>
          <t>Conversión de laderas a pastizales cultivados y sobrepastoreo vacuno; expansión de parcelas agroforestales (café-plátano-guaba) y cultivos anuales (maíz, trigo); presencia de plantaciones exóticas (pino, ciprés, eucalipto).</t>
        </is>
      </c>
      <c r="D38" s="57" t="inlineStr"/>
    </row>
    <row r="39">
      <c r="A39" s="56" t="inlineStr">
        <is>
          <t>6. Degradación, causas y urgencia (F-DT-04)</t>
        </is>
      </c>
      <c r="B39" s="56" t="inlineStr">
        <is>
          <t>N.° de causas activas en la matriz F-DT-04</t>
        </is>
      </c>
      <c r="C39" s="56" t="inlineStr">
        <is>
          <t>4</t>
        </is>
      </c>
      <c r="D39" s="56" t="inlineStr"/>
    </row>
    <row r="40">
      <c r="A40" s="57" t="inlineStr">
        <is>
          <t>7. Hidrología, acceso y logística (F-DT-05)</t>
        </is>
      </c>
      <c r="B40" s="57" t="inlineStr">
        <is>
          <t>Escorrentía concentrada</t>
        </is>
      </c>
      <c r="C40" s="57" t="inlineStr">
        <is>
          <t>Sí</t>
        </is>
      </c>
      <c r="D40" s="57" t="inlineStr"/>
    </row>
    <row r="41">
      <c r="A41" s="56" t="inlineStr">
        <is>
          <t>7. Hidrología, acceso y logística (F-DT-05)</t>
        </is>
      </c>
      <c r="B41" s="56" t="inlineStr">
        <is>
          <t>Fuentes de agua inventariadas</t>
        </is>
      </c>
      <c r="C41" s="56" t="inlineStr">
        <is>
          <t>2</t>
        </is>
      </c>
      <c r="D41" s="56" t="inlineStr"/>
    </row>
    <row r="42">
      <c r="A42" s="57" t="inlineStr">
        <is>
          <t>7. Hidrología, acceso y logística (F-DT-05)</t>
        </is>
      </c>
      <c r="B42" s="57" t="inlineStr">
        <is>
          <t>Distancia a captación (m)</t>
        </is>
      </c>
      <c r="C42" s="57" t="inlineStr">
        <is>
          <t>0</t>
        </is>
      </c>
      <c r="D42" s="57" t="inlineStr">
        <is>
          <t>m</t>
        </is>
      </c>
    </row>
    <row r="43">
      <c r="A43" s="56" t="inlineStr">
        <is>
          <t>7. Hidrología, acceso y logística (F-DT-05)</t>
        </is>
      </c>
      <c r="B43" s="56" t="inlineStr">
        <is>
          <t>Interferencia con riego</t>
        </is>
      </c>
      <c r="C43" s="56" t="inlineStr">
        <is>
          <t>No</t>
        </is>
      </c>
      <c r="D43" s="56" t="inlineStr"/>
    </row>
    <row r="44">
      <c r="A44" s="57" t="inlineStr">
        <is>
          <t>7. Hidrología, acceso y logística (F-DT-05)</t>
        </is>
      </c>
      <c r="B44" s="57" t="inlineStr">
        <is>
          <t>Vía principal de acceso</t>
        </is>
      </c>
      <c r="C44" s="57" t="inlineStr">
        <is>
          <t>Desde Santo Domingo (capital distrital) por trocha/vía vecinal hacia sector Chacayo; tramo final a pie por camino de herradura. Referencia: Circuito turístico 'Los Caracoles'.</t>
        </is>
      </c>
      <c r="D44" s="57" t="inlineStr"/>
    </row>
    <row r="45">
      <c r="A45" s="56" t="inlineStr">
        <is>
          <t>7. Hidrología, acceso y logística (F-DT-05)</t>
        </is>
      </c>
      <c r="B45" s="56" t="inlineStr">
        <is>
          <t>Tipo de vía del tramo final</t>
        </is>
      </c>
      <c r="C45" s="56" t="inlineStr">
        <is>
          <t>Camino de herradura</t>
        </is>
      </c>
      <c r="D45" s="56" t="inlineStr"/>
    </row>
    <row r="46">
      <c r="A46" s="57" t="inlineStr">
        <is>
          <t>7. Hidrología, acceso y logística (F-DT-05)</t>
        </is>
      </c>
      <c r="B46" s="57" t="inlineStr">
        <is>
          <t>Transitabilidad en época seca</t>
        </is>
      </c>
      <c r="C46" s="57" t="inlineStr">
        <is>
          <t>Medio</t>
        </is>
      </c>
      <c r="D46" s="57" t="inlineStr"/>
    </row>
    <row r="47">
      <c r="A47" s="56" t="inlineStr">
        <is>
          <t>7. Hidrología, acceso y logística (F-DT-05)</t>
        </is>
      </c>
      <c r="B47" s="56" t="inlineStr">
        <is>
          <t>Transitabilidad en época lluviosa</t>
        </is>
      </c>
      <c r="C47" s="56" t="inlineStr">
        <is>
          <t>Bajo</t>
        </is>
      </c>
      <c r="D47" s="56" t="inlineStr"/>
    </row>
    <row r="48">
      <c r="A48" s="57" t="inlineStr">
        <is>
          <t>7. Hidrología, acceso y logística (F-DT-05)</t>
        </is>
      </c>
      <c r="B48" s="57" t="inlineStr">
        <is>
          <t>Requiere coordinación con ronda / comunidad</t>
        </is>
      </c>
      <c r="C48" s="57" t="inlineStr">
        <is>
          <t>Sí</t>
        </is>
      </c>
      <c r="D48" s="57" t="inlineStr"/>
    </row>
    <row r="49">
      <c r="A49" s="56" t="inlineStr">
        <is>
          <t>7. Hidrología, acceso y logística (F-DT-05)</t>
        </is>
      </c>
      <c r="B49" s="56" t="inlineStr">
        <is>
          <t>Contacto local de coordinación</t>
        </is>
      </c>
      <c r="C49" s="56" t="inlineStr">
        <is>
          <t>Por coordinar con titulares de predios y autoridades locales de Chacayo / Santo Domingo.</t>
        </is>
      </c>
      <c r="D49" s="56" t="inlineStr"/>
    </row>
    <row r="51">
      <c r="A51" s="54" t="inlineStr">
        <is>
          <t>C. PROCEDENCIA DE LOS HECHOS DECLARADOS</t>
        </is>
      </c>
    </row>
    <row r="52">
      <c r="A52" s="55" t="inlineStr">
        <is>
          <t>Fuente</t>
        </is>
      </c>
      <c r="B52" s="55" t="inlineStr">
        <is>
          <t>Hechos</t>
        </is>
      </c>
      <c r="C52" s="55" t="inlineStr">
        <is>
          <t>Alcance de la fuente</t>
        </is>
      </c>
    </row>
    <row r="53">
      <c r="A53" s="56" t="inlineStr">
        <is>
          <t>Dato de campo</t>
        </is>
      </c>
      <c r="B53" s="56" t="n">
        <v>68</v>
      </c>
      <c r="C53" s="56" t="inlineStr">
        <is>
          <t>Verificación en campo. Fichas F-DT-01 a F-DT-05 de la Plantilla DT Campo Check Validada V5, suscritas por el evaluador.</t>
        </is>
      </c>
    </row>
    <row r="54">
      <c r="A54" s="57" t="inlineStr">
        <is>
          <t>Gabinete (GIS / teledetección)</t>
        </is>
      </c>
      <c r="B54" s="57" t="n">
        <v>21</v>
      </c>
      <c r="C54" s="57" t="inlineStr">
        <is>
          <t>Gabinete. Estadística zonal sobre el MDE y compuestos Sentinel-2 (NDVI mediana 2025, MSAVI 2024 por clase DN).</t>
        </is>
      </c>
    </row>
    <row r="55">
      <c r="A55" s="56" t="inlineStr">
        <is>
          <t>Fuente oficial</t>
        </is>
      </c>
      <c r="B55" s="56" t="n">
        <v>14</v>
      </c>
      <c r="C55" s="56" t="inlineStr">
        <is>
          <t>Fuente oficial. Catálogo maestro Bloques V5/V6, división política INEI y codificación de microcuencas de la ANA.</t>
        </is>
      </c>
    </row>
    <row r="57">
      <c r="A57" s="54" t="inlineStr">
        <is>
          <t>D. ESTADO DEL CRUCE ENTRE FUENTES</t>
        </is>
      </c>
    </row>
    <row r="58">
      <c r="A58" s="55" t="inlineStr">
        <is>
          <t>Estado</t>
        </is>
      </c>
      <c r="B58" s="55" t="inlineStr">
        <is>
          <t>Hechos</t>
        </is>
      </c>
      <c r="C58" s="55" t="inlineStr">
        <is>
          <t>Significado</t>
        </is>
      </c>
    </row>
    <row r="59">
      <c r="A59" s="56" t="inlineStr">
        <is>
          <t>CONFORME</t>
        </is>
      </c>
      <c r="B59" s="56" t="n">
        <v>102</v>
      </c>
      <c r="C59" s="56" t="inlineStr">
        <is>
          <t>Las dos fuentes declaran lo mismo, o solo la fuente que manda sobre el hecho lo declara.</t>
        </is>
      </c>
    </row>
    <row r="60">
      <c r="A60" s="57" t="inlineStr">
        <is>
          <t>COMPLEMENTADO</t>
        </is>
      </c>
      <c r="B60" s="57" t="n">
        <v>0</v>
      </c>
      <c r="C60" s="57" t="inlineStr">
        <is>
          <t>Solo una de las fuentes lo declara y se adopta ese valor.</t>
        </is>
      </c>
    </row>
    <row r="61">
      <c r="A61" s="56" t="inlineStr">
        <is>
          <t>ACTUALIZADO</t>
        </is>
      </c>
      <c r="B61" s="56" t="n">
        <v>1</v>
      </c>
      <c r="C61" s="56" t="inlineStr">
        <is>
          <t>La verificación de campo vigente corrige lo que traía el libro de resumen.</t>
        </is>
      </c>
    </row>
    <row r="62">
      <c r="A62" s="57" t="inlineStr">
        <is>
          <t>DISCREPANTE</t>
        </is>
      </c>
      <c r="B62" s="57" t="n">
        <v>0</v>
      </c>
      <c r="C62" s="57" t="inlineStr">
        <is>
          <t>Las fuentes se contradicen; prevalece la que manda sobre el hecho y la otra queda declarada.</t>
        </is>
      </c>
    </row>
    <row r="63">
      <c r="A63" s="56" t="inlineStr">
        <is>
          <t>PENDIENTE</t>
        </is>
      </c>
      <c r="B63" s="56" t="n">
        <v>11</v>
      </c>
      <c r="C63"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12</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Higuerón</t>
        </is>
      </c>
      <c r="C13" s="56" t="inlineStr">
        <is>
          <t>Ficus sp.</t>
        </is>
      </c>
      <c r="D13" s="56" t="inlineStr">
        <is>
          <t>Moraceae</t>
        </is>
      </c>
      <c r="E13" s="56" t="inlineStr">
        <is>
          <t>Arbóreo superior (&gt;15 m)</t>
        </is>
      </c>
      <c r="F13" s="56" t="inlineStr">
        <is>
          <t>Nativa</t>
        </is>
      </c>
      <c r="G13" s="56" t="inlineStr">
        <is>
          <t>Frecuente (5-20%)</t>
        </is>
      </c>
      <c r="H13" s="56" t="n"/>
      <c r="I13" s="56" t="n"/>
    </row>
    <row r="14">
      <c r="A14" s="57" t="inlineStr">
        <is>
          <t>2</t>
        </is>
      </c>
      <c r="B14" s="57" t="inlineStr">
        <is>
          <t>Nogal</t>
        </is>
      </c>
      <c r="C14" s="57" t="inlineStr">
        <is>
          <t>Juglans sp. (cf. neotropica)</t>
        </is>
      </c>
      <c r="D14" s="57" t="inlineStr">
        <is>
          <t>Juglandaceae</t>
        </is>
      </c>
      <c r="E14" s="57" t="inlineStr">
        <is>
          <t>Arbóreo superior (&gt;15 m)</t>
        </is>
      </c>
      <c r="F14" s="57" t="inlineStr">
        <is>
          <t>Nativa</t>
        </is>
      </c>
      <c r="G14" s="57" t="inlineStr">
        <is>
          <t>Ocasional (1-5%)</t>
        </is>
      </c>
      <c r="H14" s="57" t="n"/>
      <c r="I14" s="57" t="n"/>
    </row>
    <row r="15">
      <c r="A15" s="56" t="inlineStr">
        <is>
          <t>3</t>
        </is>
      </c>
      <c r="B15" s="56" t="inlineStr">
        <is>
          <t>Pacae / Guaba</t>
        </is>
      </c>
      <c r="C15" s="56" t="inlineStr">
        <is>
          <t>Inga sp.</t>
        </is>
      </c>
      <c r="D15" s="56" t="inlineStr">
        <is>
          <t>Fabaceae</t>
        </is>
      </c>
      <c r="E15" s="56" t="inlineStr">
        <is>
          <t>Arbóreo medio (8-15 m)</t>
        </is>
      </c>
      <c r="F15" s="56" t="inlineStr">
        <is>
          <t>Nativa</t>
        </is>
      </c>
      <c r="G15" s="56" t="inlineStr">
        <is>
          <t>Frecuente (5-20%)</t>
        </is>
      </c>
      <c r="H15" s="56" t="n"/>
      <c r="I15" s="56" t="n"/>
    </row>
    <row r="16">
      <c r="A16" s="57" t="inlineStr">
        <is>
          <t>4</t>
        </is>
      </c>
      <c r="B16" s="57" t="inlineStr">
        <is>
          <t>Romerillo / Podocarpus</t>
        </is>
      </c>
      <c r="C16" s="57" t="inlineStr">
        <is>
          <t>Podocarpus sp.</t>
        </is>
      </c>
      <c r="D16" s="57" t="inlineStr">
        <is>
          <t>Podocarpaceae</t>
        </is>
      </c>
      <c r="E16" s="57" t="inlineStr">
        <is>
          <t>Arbóreo medio (8-15 m)</t>
        </is>
      </c>
      <c r="F16" s="57" t="inlineStr">
        <is>
          <t>Nativa</t>
        </is>
      </c>
      <c r="G16" s="57" t="inlineStr">
        <is>
          <t>Ocasional (1-5%)</t>
        </is>
      </c>
      <c r="H16" s="57" t="n"/>
      <c r="I16" s="57" t="n"/>
    </row>
    <row r="17">
      <c r="A17" s="56" t="inlineStr">
        <is>
          <t>5</t>
        </is>
      </c>
      <c r="B17" s="56" t="inlineStr">
        <is>
          <t>Chirimoya silvestre</t>
        </is>
      </c>
      <c r="C17" s="56" t="inlineStr">
        <is>
          <t>Annona sp.</t>
        </is>
      </c>
      <c r="D17" s="56" t="inlineStr">
        <is>
          <t>Annonaceae</t>
        </is>
      </c>
      <c r="E17" s="56" t="inlineStr">
        <is>
          <t>Arbóreo bajo (4-8 m)</t>
        </is>
      </c>
      <c r="F17" s="56" t="inlineStr">
        <is>
          <t>Nativa</t>
        </is>
      </c>
      <c r="G17" s="56" t="inlineStr">
        <is>
          <t>Ocasional (1-5%)</t>
        </is>
      </c>
      <c r="H17" s="56" t="n"/>
      <c r="I17" s="56" t="n"/>
    </row>
    <row r="18">
      <c r="A18" s="57" t="inlineStr">
        <is>
          <t>6</t>
        </is>
      </c>
      <c r="B18" s="57" t="inlineStr">
        <is>
          <t>Grevílea</t>
        </is>
      </c>
      <c r="C18" s="57" t="inlineStr">
        <is>
          <t>Grevillea robusta</t>
        </is>
      </c>
      <c r="D18" s="57" t="inlineStr">
        <is>
          <t>Proteaceae</t>
        </is>
      </c>
      <c r="E18" s="57" t="inlineStr">
        <is>
          <t>Arbóreo medio (8-15 m)</t>
        </is>
      </c>
      <c r="F18" s="57" t="inlineStr">
        <is>
          <t>Introducida</t>
        </is>
      </c>
      <c r="G18" s="57" t="inlineStr">
        <is>
          <t>Ocasional (1-5%)</t>
        </is>
      </c>
      <c r="H18" s="57" t="n"/>
      <c r="I18" s="57" t="n"/>
    </row>
    <row r="19">
      <c r="A19" s="56" t="inlineStr">
        <is>
          <t>7</t>
        </is>
      </c>
      <c r="B19" s="56" t="inlineStr">
        <is>
          <t>Eucalipto</t>
        </is>
      </c>
      <c r="C19" s="56" t="inlineStr">
        <is>
          <t>Eucalyptus sp.</t>
        </is>
      </c>
      <c r="D19" s="56" t="inlineStr">
        <is>
          <t>Myrtaceae</t>
        </is>
      </c>
      <c r="E19" s="56" t="inlineStr">
        <is>
          <t>Arbóreo superior (&gt;15 m)</t>
        </is>
      </c>
      <c r="F19" s="56" t="inlineStr">
        <is>
          <t>Introducida</t>
        </is>
      </c>
      <c r="G19" s="56" t="inlineStr">
        <is>
          <t>Ocasional (1-5%)</t>
        </is>
      </c>
      <c r="H19" s="56" t="n"/>
      <c r="I19" s="56" t="n"/>
    </row>
    <row r="20">
      <c r="A20" s="57" t="inlineStr">
        <is>
          <t>8</t>
        </is>
      </c>
      <c r="B20" s="57" t="inlineStr">
        <is>
          <t>Pino</t>
        </is>
      </c>
      <c r="C20" s="57" t="inlineStr">
        <is>
          <t>Pinus sp.</t>
        </is>
      </c>
      <c r="D20" s="57" t="inlineStr">
        <is>
          <t>Pinaceae</t>
        </is>
      </c>
      <c r="E20" s="57" t="inlineStr">
        <is>
          <t>Arbóreo medio (8-15 m)</t>
        </is>
      </c>
      <c r="F20" s="57" t="inlineStr">
        <is>
          <t>Introducida</t>
        </is>
      </c>
      <c r="G20" s="57" t="inlineStr">
        <is>
          <t>Ocasional (1-5%)</t>
        </is>
      </c>
      <c r="H20" s="57" t="n"/>
      <c r="I20" s="57" t="n"/>
    </row>
    <row r="21">
      <c r="A21" s="56" t="inlineStr">
        <is>
          <t>9</t>
        </is>
      </c>
      <c r="B21" s="56" t="inlineStr">
        <is>
          <t>Caña guayaquil</t>
        </is>
      </c>
      <c r="C21" s="56" t="inlineStr">
        <is>
          <t>Guadua angustifolia</t>
        </is>
      </c>
      <c r="D21" s="56" t="inlineStr">
        <is>
          <t>Poaceae</t>
        </is>
      </c>
      <c r="E21" s="56" t="inlineStr">
        <is>
          <t>Arbóreo bajo (4-8 m)</t>
        </is>
      </c>
      <c r="F21" s="56" t="inlineStr">
        <is>
          <t>Nativa</t>
        </is>
      </c>
      <c r="G21" s="56" t="inlineStr">
        <is>
          <t>Frecuente (5-20%)</t>
        </is>
      </c>
      <c r="H21" s="56" t="n"/>
      <c r="I21" s="56" t="n"/>
    </row>
    <row r="22">
      <c r="A22" s="57" t="inlineStr">
        <is>
          <t>10</t>
        </is>
      </c>
      <c r="B22" s="57" t="inlineStr">
        <is>
          <t>Café</t>
        </is>
      </c>
      <c r="C22" s="57" t="inlineStr">
        <is>
          <t>Coffea arabica</t>
        </is>
      </c>
      <c r="D22" s="57" t="inlineStr">
        <is>
          <t>Rubiaceae</t>
        </is>
      </c>
      <c r="E22" s="57" t="inlineStr">
        <is>
          <t>Arbustivo alto (1.5-4 m)</t>
        </is>
      </c>
      <c r="F22" s="57" t="inlineStr">
        <is>
          <t>Introducida</t>
        </is>
      </c>
      <c r="G22" s="57" t="inlineStr">
        <is>
          <t>Abundante (20-40%)</t>
        </is>
      </c>
      <c r="H22" s="57" t="n"/>
      <c r="I22" s="57" t="n"/>
    </row>
    <row r="23">
      <c r="A23" s="56" t="inlineStr">
        <is>
          <t>11</t>
        </is>
      </c>
      <c r="B23" s="56" t="inlineStr">
        <is>
          <t>Plátano</t>
        </is>
      </c>
      <c r="C23" s="56" t="inlineStr">
        <is>
          <t>Musa × paradisiaca</t>
        </is>
      </c>
      <c r="D23" s="56" t="inlineStr">
        <is>
          <t>Musaceae</t>
        </is>
      </c>
      <c r="E23" s="56" t="inlineStr">
        <is>
          <t>Arbustivo alto (1.5-4 m)</t>
        </is>
      </c>
      <c r="F23" s="56" t="inlineStr">
        <is>
          <t>Introducida</t>
        </is>
      </c>
      <c r="G23" s="56" t="inlineStr">
        <is>
          <t>Abundante (20-40%)</t>
        </is>
      </c>
      <c r="H23" s="56" t="n"/>
      <c r="I23" s="56" t="n"/>
    </row>
    <row r="24">
      <c r="A24" s="57" t="inlineStr">
        <is>
          <t>12</t>
        </is>
      </c>
      <c r="B24" s="57" t="inlineStr">
        <is>
          <t>Agave</t>
        </is>
      </c>
      <c r="C24" s="57" t="inlineStr">
        <is>
          <t>Agave sp.</t>
        </is>
      </c>
      <c r="D24" s="57" t="inlineStr">
        <is>
          <t>Asparagaceae</t>
        </is>
      </c>
      <c r="E24" s="57" t="inlineStr">
        <is>
          <t>Arbustivo bajo (0.5-1.5 m)</t>
        </is>
      </c>
      <c r="F24" s="57" t="inlineStr">
        <is>
          <t>Introducida</t>
        </is>
      </c>
      <c r="G24" s="57" t="inlineStr">
        <is>
          <t>Ocasional (1-5%)</t>
        </is>
      </c>
      <c r="H24" s="57" t="n"/>
      <c r="I24" s="57" t="n"/>
    </row>
    <row r="25">
      <c r="A25" s="56" t="inlineStr">
        <is>
          <t>13</t>
        </is>
      </c>
      <c r="B25" s="56" t="inlineStr">
        <is>
          <t>Yuca de monte</t>
        </is>
      </c>
      <c r="C25" s="56" t="inlineStr">
        <is>
          <t>Apodanthera biflora</t>
        </is>
      </c>
      <c r="D25" s="56" t="inlineStr">
        <is>
          <t>Cucurbitaceae</t>
        </is>
      </c>
      <c r="E25" s="56" t="inlineStr">
        <is>
          <t>Trepador</t>
        </is>
      </c>
      <c r="F25" s="56" t="inlineStr">
        <is>
          <t>Nativa</t>
        </is>
      </c>
      <c r="G25" s="56" t="inlineStr">
        <is>
          <t>Rara (&lt;1%)</t>
        </is>
      </c>
      <c r="H25" s="56" t="n"/>
      <c r="I25" s="56" t="n"/>
    </row>
    <row r="26">
      <c r="A26" s="57" t="inlineStr">
        <is>
          <t>14</t>
        </is>
      </c>
      <c r="B26" s="57" t="inlineStr">
        <is>
          <t>Helechos</t>
        </is>
      </c>
      <c r="C26" s="57" t="inlineStr">
        <is>
          <t>Pteridophyta (varias)</t>
        </is>
      </c>
      <c r="D26" s="57" t="inlineStr">
        <is>
          <t>Polypodiaceae/varias</t>
        </is>
      </c>
      <c r="E26" s="57" t="inlineStr">
        <is>
          <t>Herbáceo (&lt;0.5 m)</t>
        </is>
      </c>
      <c r="F26" s="57" t="inlineStr">
        <is>
          <t>Nativa</t>
        </is>
      </c>
      <c r="G26" s="57" t="inlineStr">
        <is>
          <t>Frecuente (5-20%)</t>
        </is>
      </c>
      <c r="H26" s="57" t="n"/>
      <c r="I26" s="57" t="n"/>
    </row>
    <row r="27">
      <c r="A27" s="56" t="inlineStr">
        <is>
          <t>15</t>
        </is>
      </c>
      <c r="B27" s="56" t="inlineStr">
        <is>
          <t>Bromeliáceas (epífitas)</t>
        </is>
      </c>
      <c r="C27" s="56" t="inlineStr">
        <is>
          <t>Bromeliaceae sp.</t>
        </is>
      </c>
      <c r="D27" s="56" t="inlineStr">
        <is>
          <t>Bromeliaceae</t>
        </is>
      </c>
      <c r="E27" s="56" t="inlineStr">
        <is>
          <t>Epífito</t>
        </is>
      </c>
      <c r="F27" s="56" t="inlineStr">
        <is>
          <t>Nativa</t>
        </is>
      </c>
      <c r="G27" s="56" t="inlineStr">
        <is>
          <t>Frecuente (5-20%)</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Nogal (Juglans cf. neotropica)</t>
        </is>
      </c>
      <c r="C31" s="56" t="inlineStr">
        <is>
          <t>Amenazada (D.S. 043-2006-AG)</t>
        </is>
      </c>
      <c r="D31" s="56" t="inlineStr">
        <is>
          <t>VU — Vulnerable</t>
        </is>
      </c>
      <c r="E31" s="61" t="n">
        <v>625637</v>
      </c>
      <c r="F31" s="61" t="n">
        <v>9444497</v>
      </c>
      <c r="G31" s="56" t="n"/>
      <c r="H31" s="56" t="inlineStr">
        <is>
          <t>Especie maderable amenazada; preliminar, confirmar especie (J. neotropica figura como EN en UICN). Indicadora de bosque montano.</t>
        </is>
      </c>
    </row>
    <row r="32">
      <c r="A32" s="57" t="inlineStr">
        <is>
          <t>2</t>
        </is>
      </c>
      <c r="B32" s="57" t="inlineStr">
        <is>
          <t>Romerillo (Podocarpus sp.)</t>
        </is>
      </c>
      <c r="C32" s="57" t="inlineStr">
        <is>
          <t>Indicadora de buen estado</t>
        </is>
      </c>
      <c r="D32" s="57" t="inlineStr">
        <is>
          <t>No aplica</t>
        </is>
      </c>
      <c r="E32" s="62" t="n">
        <v>625255</v>
      </c>
      <c r="F32" s="62" t="n">
        <v>9443634</v>
      </c>
      <c r="G32" s="57" t="n"/>
      <c r="H32" s="57" t="inlineStr">
        <is>
          <t>Conífera nativa indicadora de bosque relicto conservado; género en Apéndice III CITES; confirmar especie.</t>
        </is>
      </c>
    </row>
    <row r="33">
      <c r="A33" s="56" t="inlineStr">
        <is>
          <t>3</t>
        </is>
      </c>
      <c r="B33" s="56" t="inlineStr">
        <is>
          <t>Higuerón (Ficus sp.)</t>
        </is>
      </c>
      <c r="C33" s="56" t="inlineStr">
        <is>
          <t>Indicadora de buen estado</t>
        </is>
      </c>
      <c r="D33" s="56" t="inlineStr">
        <is>
          <t>LC — Preocupación Menor</t>
        </is>
      </c>
      <c r="E33" s="61" t="n">
        <v>624557</v>
      </c>
      <c r="F33" s="61" t="n">
        <v>9444014</v>
      </c>
      <c r="G33" s="56" t="n"/>
      <c r="H33" s="56" t="inlineStr">
        <is>
          <t>Árbol clave (recurso para fauna); indicador de bosque húmedo.</t>
        </is>
      </c>
    </row>
    <row r="35">
      <c r="A35" s="54" t="inlineStr">
        <is>
          <t>F-DT-04 · MATRIZ DE CAUSAS DE DEGRADACIÓN</t>
        </is>
      </c>
    </row>
    <row r="36">
      <c r="A36" s="55" t="inlineStr">
        <is>
          <t>N.o</t>
        </is>
      </c>
      <c r="B36" s="55" t="inlineStr">
        <is>
          <t>Causa</t>
        </is>
      </c>
      <c r="C36" s="55" t="inlineStr">
        <is>
          <t>Presencia</t>
        </is>
      </c>
      <c r="D36" s="55" t="inlineStr">
        <is>
          <t>Intensidad</t>
        </is>
      </c>
      <c r="E36" s="55" t="inlineStr">
        <is>
          <t>Extensión</t>
        </is>
      </c>
      <c r="F36" s="55" t="inlineStr">
        <is>
          <t>Antigüedad</t>
        </is>
      </c>
      <c r="G36" s="55" t="inlineStr">
        <is>
          <t>Evidencia</t>
        </is>
      </c>
    </row>
    <row r="37">
      <c r="A37" s="56" t="inlineStr">
        <is>
          <t>1</t>
        </is>
      </c>
      <c r="B37" s="56" t="inlineStr">
        <is>
          <t>Sobrepastoreo (caprino/vacuno)</t>
        </is>
      </c>
      <c r="C37" s="56" t="inlineStr">
        <is>
          <t>Sí</t>
        </is>
      </c>
      <c r="D37" s="56" t="inlineStr">
        <is>
          <t>Moderada</t>
        </is>
      </c>
      <c r="E37" s="56" t="inlineStr">
        <is>
          <t>40</t>
        </is>
      </c>
      <c r="F37" s="56" t="inlineStr"/>
      <c r="G37" s="56" t="inlineStr">
        <is>
          <t>Ganado vacuno en pastizales cultivados; pisoteo en laderas húmedas.</t>
        </is>
      </c>
    </row>
    <row r="38">
      <c r="A38" s="57" t="inlineStr">
        <is>
          <t>2</t>
        </is>
      </c>
      <c r="B38" s="57" t="inlineStr">
        <is>
          <t>Tala para leña</t>
        </is>
      </c>
      <c r="C38" s="57" t="inlineStr"/>
      <c r="D38" s="57" t="inlineStr"/>
      <c r="E38" s="57" t="inlineStr"/>
      <c r="F38" s="57" t="inlineStr"/>
      <c r="G38" s="57" t="inlineStr"/>
    </row>
    <row r="39">
      <c r="A39" s="56" t="inlineStr">
        <is>
          <t>3</t>
        </is>
      </c>
      <c r="B39" s="56" t="inlineStr">
        <is>
          <t>Tala para carbón</t>
        </is>
      </c>
      <c r="C39" s="56" t="inlineStr">
        <is>
          <t>No</t>
        </is>
      </c>
      <c r="D39" s="56" t="inlineStr"/>
      <c r="E39" s="56" t="inlineStr"/>
      <c r="F39" s="56" t="inlineStr"/>
      <c r="G39" s="56" t="inlineStr"/>
    </row>
    <row r="40">
      <c r="A40" s="57" t="inlineStr">
        <is>
          <t>4</t>
        </is>
      </c>
      <c r="B40" s="57" t="inlineStr">
        <is>
          <t>Tala para madera</t>
        </is>
      </c>
      <c r="C40" s="57" t="inlineStr"/>
      <c r="D40" s="57" t="inlineStr"/>
      <c r="E40" s="57" t="inlineStr"/>
      <c r="F40" s="57" t="inlineStr"/>
      <c r="G40" s="57" t="inlineStr"/>
    </row>
    <row r="41">
      <c r="A41" s="56" t="inlineStr">
        <is>
          <t>5</t>
        </is>
      </c>
      <c r="B41" s="56" t="inlineStr">
        <is>
          <t>Quema (renovación de pastos)</t>
        </is>
      </c>
      <c r="C41" s="56" t="inlineStr"/>
      <c r="D41" s="56" t="inlineStr"/>
      <c r="E41" s="56" t="inlineStr"/>
      <c r="F41" s="56" t="inlineStr"/>
      <c r="G41" s="56" t="inlineStr"/>
    </row>
    <row r="42">
      <c r="A42" s="57" t="inlineStr">
        <is>
          <t>6</t>
        </is>
      </c>
      <c r="B42" s="57" t="inlineStr">
        <is>
          <t>Quema accidental / Incendio</t>
        </is>
      </c>
      <c r="C42" s="57" t="inlineStr">
        <is>
          <t>No</t>
        </is>
      </c>
      <c r="D42" s="57" t="inlineStr"/>
      <c r="E42" s="57" t="inlineStr"/>
      <c r="F42" s="57" t="inlineStr"/>
      <c r="G42" s="57" t="inlineStr"/>
    </row>
    <row r="43">
      <c r="A43" s="56" t="inlineStr">
        <is>
          <t>7</t>
        </is>
      </c>
      <c r="B43" s="56" t="inlineStr">
        <is>
          <t>Cambio de uso a agricultura</t>
        </is>
      </c>
      <c r="C43" s="56" t="inlineStr">
        <is>
          <t>Sí</t>
        </is>
      </c>
      <c r="D43" s="56" t="inlineStr">
        <is>
          <t>Moderada</t>
        </is>
      </c>
      <c r="E43" s="56" t="inlineStr">
        <is>
          <t>30</t>
        </is>
      </c>
      <c r="F43" s="56" t="inlineStr"/>
      <c r="G43" s="56" t="inlineStr">
        <is>
          <t>Parcelas agroforestales café-plátano-guaba; cultivos de maíz y trigo.</t>
        </is>
      </c>
    </row>
    <row r="44">
      <c r="A44" s="57" t="inlineStr">
        <is>
          <t>8</t>
        </is>
      </c>
      <c r="B44" s="57" t="inlineStr">
        <is>
          <t>Cambio de uso a pastoreo</t>
        </is>
      </c>
      <c r="C44" s="57" t="inlineStr">
        <is>
          <t>Sí</t>
        </is>
      </c>
      <c r="D44" s="57" t="inlineStr">
        <is>
          <t>Fuerte</t>
        </is>
      </c>
      <c r="E44" s="57" t="inlineStr">
        <is>
          <t>40</t>
        </is>
      </c>
      <c r="F44" s="57" t="inlineStr"/>
      <c r="G44" s="57" t="inlineStr">
        <is>
          <t>Conversión de laderas a pastos cultivados (pastoreo/ganadería).</t>
        </is>
      </c>
    </row>
    <row r="45">
      <c r="A45" s="56" t="inlineStr">
        <is>
          <t>9</t>
        </is>
      </c>
      <c r="B45" s="56" t="inlineStr">
        <is>
          <t>Expansión urbana / vial</t>
        </is>
      </c>
      <c r="C45" s="56" t="inlineStr">
        <is>
          <t>No</t>
        </is>
      </c>
      <c r="D45" s="56" t="inlineStr"/>
      <c r="E45" s="56" t="inlineStr"/>
      <c r="F45" s="56" t="inlineStr"/>
      <c r="G45" s="56" t="inlineStr"/>
    </row>
    <row r="46">
      <c r="A46" s="57" t="inlineStr">
        <is>
          <t>10</t>
        </is>
      </c>
      <c r="B46" s="57" t="inlineStr">
        <is>
          <t>Minería informal</t>
        </is>
      </c>
      <c r="C46" s="57" t="inlineStr">
        <is>
          <t>No</t>
        </is>
      </c>
      <c r="D46" s="57" t="inlineStr"/>
      <c r="E46" s="57" t="inlineStr"/>
      <c r="F46" s="57" t="inlineStr"/>
      <c r="G46" s="57" t="inlineStr"/>
    </row>
    <row r="47">
      <c r="A47" s="56" t="inlineStr">
        <is>
          <t>11</t>
        </is>
      </c>
      <c r="B47" s="56" t="inlineStr">
        <is>
          <t>Extracción de áridos (cauces)</t>
        </is>
      </c>
      <c r="C47" s="56" t="inlineStr">
        <is>
          <t>No</t>
        </is>
      </c>
      <c r="D47" s="56" t="inlineStr"/>
      <c r="E47" s="56" t="inlineStr"/>
      <c r="F47" s="56" t="inlineStr"/>
      <c r="G47" s="56" t="inlineStr"/>
    </row>
    <row r="48">
      <c r="A48" s="57" t="inlineStr">
        <is>
          <t>12</t>
        </is>
      </c>
      <c r="B48" s="57" t="inlineStr">
        <is>
          <t>Especies invasoras</t>
        </is>
      </c>
      <c r="C48" s="57" t="inlineStr">
        <is>
          <t>Sí</t>
        </is>
      </c>
      <c r="D48" s="57" t="inlineStr">
        <is>
          <t>Ligera</t>
        </is>
      </c>
      <c r="E48" s="57" t="inlineStr">
        <is>
          <t>10</t>
        </is>
      </c>
      <c r="F48" s="57" t="inlineStr"/>
      <c r="G48" s="57" t="inlineStr">
        <is>
          <t>Plantaciones de especies exóticas (pino, ciprés, eucalipto); vigilar potencial invasor.</t>
        </is>
      </c>
    </row>
    <row r="49">
      <c r="A49" s="56" t="inlineStr">
        <is>
          <t>13</t>
        </is>
      </c>
      <c r="B49" s="56" t="inlineStr">
        <is>
          <t>Erosión natural severa</t>
        </is>
      </c>
      <c r="C49" s="56" t="inlineStr">
        <is>
          <t>No</t>
        </is>
      </c>
      <c r="D49" s="56" t="inlineStr"/>
      <c r="E49" s="56" t="inlineStr"/>
      <c r="F49" s="56" t="inlineStr"/>
      <c r="G49" s="56" t="inlineStr"/>
    </row>
    <row r="50">
      <c r="A50" s="57" t="inlineStr">
        <is>
          <t>14</t>
        </is>
      </c>
      <c r="B50" s="57" t="inlineStr">
        <is>
          <t>Sequía prolongada / CC</t>
        </is>
      </c>
      <c r="C50" s="57" t="inlineStr"/>
      <c r="D50" s="57" t="inlineStr"/>
      <c r="E50" s="57" t="inlineStr"/>
      <c r="F50" s="57" t="inlineStr"/>
      <c r="G50" s="57" t="inlineStr"/>
    </row>
    <row r="51">
      <c r="A51" s="56" t="inlineStr">
        <is>
          <t>15</t>
        </is>
      </c>
      <c r="B51" s="56" t="inlineStr">
        <is>
          <t>Plagas o enfermedades forestales</t>
        </is>
      </c>
      <c r="C51" s="56" t="inlineStr">
        <is>
          <t>No</t>
        </is>
      </c>
      <c r="D51" s="56" t="inlineStr"/>
      <c r="E51" s="56" t="inlineStr"/>
      <c r="F51" s="56" t="inlineStr"/>
      <c r="G51" s="56" t="inlineStr"/>
    </row>
    <row r="52">
      <c r="A52" s="57" t="inlineStr">
        <is>
          <t>16</t>
        </is>
      </c>
      <c r="B52" s="57" t="inlineStr">
        <is>
          <t>Otro</t>
        </is>
      </c>
      <c r="C52" s="57" t="inlineStr"/>
      <c r="D52" s="57" t="inlineStr"/>
      <c r="E52" s="57" t="inlineStr"/>
      <c r="F52" s="57" t="inlineStr"/>
      <c r="G52" s="57" t="inlineStr"/>
    </row>
    <row r="54">
      <c r="A54" s="54" t="inlineStr">
        <is>
          <t>F-DT-04 · INDICADORES CUANTITATIVOS</t>
        </is>
      </c>
    </row>
    <row r="55">
      <c r="A55" s="55" t="inlineStr">
        <is>
          <t>N.o</t>
        </is>
      </c>
      <c r="B55" s="55" t="inlineStr">
        <is>
          <t>Indicador</t>
        </is>
      </c>
      <c r="C55" s="55" t="inlineStr">
        <is>
          <t>Unidad</t>
        </is>
      </c>
      <c r="D55" s="55" t="inlineStr">
        <is>
          <t>Valor</t>
        </is>
      </c>
      <c r="E55" s="55" t="inlineStr">
        <is>
          <t>Fuente</t>
        </is>
      </c>
      <c r="F55" s="55" t="inlineStr">
        <is>
          <t>Umbral</t>
        </is>
      </c>
      <c r="G55" s="55" t="inlineStr">
        <is>
          <t>Nivel</t>
        </is>
      </c>
    </row>
    <row r="56">
      <c r="A56" s="56" t="inlineStr">
        <is>
          <t>1</t>
        </is>
      </c>
      <c r="B56" s="56" t="inlineStr">
        <is>
          <t>Cobertura vegetal total</t>
        </is>
      </c>
      <c r="C56" s="56" t="inlineStr">
        <is>
          <t>%</t>
        </is>
      </c>
      <c r="D56" s="56" t="inlineStr">
        <is>
          <t>85</t>
        </is>
      </c>
      <c r="E56" s="56" t="inlineStr">
        <is>
          <t>MSAVI 2024 + verificación de campo</t>
        </is>
      </c>
      <c r="F56" s="56" t="inlineStr">
        <is>
          <t>&gt;60% bueno; 30-60% medio; &lt;30% malo</t>
        </is>
      </c>
      <c r="G56" s="56" t="inlineStr">
        <is>
          <t>Bajo</t>
        </is>
      </c>
    </row>
    <row r="57">
      <c r="A57" s="57" t="inlineStr">
        <is>
          <t>2</t>
        </is>
      </c>
      <c r="B57" s="57" t="inlineStr">
        <is>
          <t>Porcentaje de suelo desnudo</t>
        </is>
      </c>
      <c r="C57" s="57" t="inlineStr">
        <is>
          <t>%</t>
        </is>
      </c>
      <c r="D57" s="57" t="inlineStr">
        <is>
          <t>5</t>
        </is>
      </c>
      <c r="E57" s="57" t="inlineStr">
        <is>
          <t>Estimación de campo / MSAVI</t>
        </is>
      </c>
      <c r="F57" s="57" t="inlineStr">
        <is>
          <t>&lt;10% bueno; 10-30% medio; &gt;30% malo</t>
        </is>
      </c>
      <c r="G57" s="57" t="inlineStr">
        <is>
          <t>Bajo</t>
        </is>
      </c>
    </row>
    <row r="58">
      <c r="A58" s="56" t="inlineStr">
        <is>
          <t>3</t>
        </is>
      </c>
      <c r="B58" s="56" t="inlineStr">
        <is>
          <t>Densidad de cárcavas</t>
        </is>
      </c>
      <c r="C58" s="56" t="inlineStr">
        <is>
          <t>N°/ha</t>
        </is>
      </c>
      <c r="D58" s="56" t="inlineStr">
        <is>
          <t>0</t>
        </is>
      </c>
      <c r="E58" s="56" t="inlineStr">
        <is>
          <t>Verificación de campo</t>
        </is>
      </c>
      <c r="F58" s="56" t="inlineStr">
        <is>
          <t>0 nulo; 1-3 medio; &gt;3 alto</t>
        </is>
      </c>
      <c r="G58" s="56" t="inlineStr">
        <is>
          <t>Bajo</t>
        </is>
      </c>
    </row>
    <row r="59">
      <c r="A59" s="57" t="inlineStr">
        <is>
          <t>4</t>
        </is>
      </c>
      <c r="B59" s="57" t="inlineStr">
        <is>
          <t>Presencia de especies invasoras</t>
        </is>
      </c>
      <c r="C59" s="57" t="inlineStr">
        <is>
          <t>% área</t>
        </is>
      </c>
      <c r="D59" s="57" t="inlineStr">
        <is>
          <t>10</t>
        </is>
      </c>
      <c r="E59" s="57" t="inlineStr">
        <is>
          <t>Estimación de campo</t>
        </is>
      </c>
      <c r="F59" s="57" t="inlineStr">
        <is>
          <t>&lt;5% bueno; 5-20% medio; &gt;20% alto</t>
        </is>
      </c>
      <c r="G59" s="57" t="inlineStr">
        <is>
          <t>Medio</t>
        </is>
      </c>
    </row>
    <row r="60">
      <c r="A60" s="56" t="inlineStr">
        <is>
          <t>5</t>
        </is>
      </c>
      <c r="B60" s="56" t="inlineStr">
        <is>
          <t>Carga ganadera estimada</t>
        </is>
      </c>
      <c r="C60" s="56" t="inlineStr">
        <is>
          <t>UA/ha</t>
        </is>
      </c>
      <c r="D60" s="56" t="inlineStr"/>
      <c r="E60" s="56" t="inlineStr"/>
      <c r="F60" s="56" t="inlineStr">
        <is>
          <t>Según tipo de ecosistema</t>
        </is>
      </c>
      <c r="G60" s="56" t="inlineStr"/>
    </row>
    <row r="61">
      <c r="A61" s="57" t="inlineStr">
        <is>
          <t>6</t>
        </is>
      </c>
      <c r="B61" s="57" t="inlineStr">
        <is>
          <t>Frecuencia de quemas últimos 5 años</t>
        </is>
      </c>
      <c r="C61" s="57" t="inlineStr">
        <is>
          <t>N°</t>
        </is>
      </c>
      <c r="D61" s="57" t="inlineStr"/>
      <c r="E61" s="57" t="inlineStr"/>
      <c r="F61" s="57" t="inlineStr">
        <is>
          <t>0 nulo; 1-2 medio; &gt;2 alto</t>
        </is>
      </c>
      <c r="G61" s="57" t="inlineStr"/>
    </row>
    <row r="62">
      <c r="A62" s="56" t="inlineStr">
        <is>
          <t>7</t>
        </is>
      </c>
      <c r="B62" s="56" t="inlineStr">
        <is>
          <t>% área con pendiente &gt;50%</t>
        </is>
      </c>
      <c r="C62" s="56" t="inlineStr">
        <is>
          <t>%</t>
        </is>
      </c>
      <c r="D62" s="56" t="inlineStr">
        <is>
          <t>35</t>
        </is>
      </c>
      <c r="E62" s="56" t="inlineStr">
        <is>
          <t>MDE Google Earth (transecto: pend. media 45.9%, máx 64.3%)</t>
        </is>
      </c>
      <c r="F62" s="56" t="inlineStr">
        <is>
          <t>Factor de susceptibilidad</t>
        </is>
      </c>
      <c r="G62" s="56" t="inlineStr">
        <is>
          <t>Alto</t>
        </is>
      </c>
    </row>
    <row r="63">
      <c r="A63" s="57" t="inlineStr">
        <is>
          <t>8</t>
        </is>
      </c>
      <c r="B63" s="57" t="inlineStr">
        <is>
          <t>Distancia a vía vecinal más cercana</t>
        </is>
      </c>
      <c r="C63" s="57" t="inlineStr">
        <is>
          <t>m</t>
        </is>
      </c>
      <c r="D63" s="57" t="inlineStr"/>
      <c r="E63" s="57" t="inlineStr">
        <is>
          <t>Ref. Circuito 'Los Caracoles' (límite oeste)</t>
        </is>
      </c>
      <c r="F63" s="57" t="inlineStr">
        <is>
          <t>A menor distancia → mayor presión</t>
        </is>
      </c>
      <c r="G63" s="57" t="inlineStr"/>
    </row>
    <row r="65">
      <c r="A65" s="54" t="inlineStr">
        <is>
          <t>F-DT-05 · FUENTES DE AGUA INVENTARIADAS</t>
        </is>
      </c>
    </row>
    <row r="66">
      <c r="A66" s="55" t="inlineStr">
        <is>
          <t>N.o</t>
        </is>
      </c>
      <c r="B66" s="55" t="inlineStr">
        <is>
          <t>Tipo de fuente</t>
        </is>
      </c>
      <c r="C66" s="55" t="inlineStr">
        <is>
          <t>UTM ESTE</t>
        </is>
      </c>
      <c r="D66" s="55" t="inlineStr">
        <is>
          <t>UTM NORTE</t>
        </is>
      </c>
      <c r="E66" s="55" t="inlineStr">
        <is>
          <t>Régimen</t>
        </is>
      </c>
      <c r="F66" s="55" t="inlineStr">
        <is>
          <t>Calidad</t>
        </is>
      </c>
      <c r="G66" s="55" t="inlineStr">
        <is>
          <t>Distancia (m)</t>
        </is>
      </c>
      <c r="H66" s="55" t="inlineStr">
        <is>
          <t>Uso / observación</t>
        </is>
      </c>
    </row>
    <row r="67">
      <c r="A67" s="56" t="inlineStr">
        <is>
          <t>1</t>
        </is>
      </c>
      <c r="B67" s="56" t="inlineStr">
        <is>
          <t>Reservorio / Represa</t>
        </is>
      </c>
      <c r="C67" s="61" t="n">
        <v>625639</v>
      </c>
      <c r="D67" s="61" t="n">
        <v>9444233</v>
      </c>
      <c r="E67" s="56" t="inlineStr">
        <is>
          <t>Permanente</t>
        </is>
      </c>
      <c r="F67" s="56" t="inlineStr">
        <is>
          <t>No evaluable</t>
        </is>
      </c>
      <c r="G67" s="63" t="n">
        <v>0</v>
      </c>
      <c r="H67" s="56" t="inlineStr">
        <is>
          <t>Tanque de agua potable para consumo humano (captación poblacional CP Chacayo); dentro del bloque.</t>
        </is>
      </c>
    </row>
    <row r="68">
      <c r="A68" s="57" t="inlineStr">
        <is>
          <t>2</t>
        </is>
      </c>
      <c r="B68" s="57" t="inlineStr">
        <is>
          <t>Quebrada permanente</t>
        </is>
      </c>
      <c r="C68" s="62" t="n">
        <v>625255</v>
      </c>
      <c r="D68" s="62" t="n">
        <v>9443634</v>
      </c>
      <c r="E68" s="57" t="inlineStr">
        <is>
          <t>Permanente</t>
        </is>
      </c>
      <c r="F68" s="57" t="inlineStr">
        <is>
          <t>Regular (ligeramente turbia o con sedimentos)</t>
        </is>
      </c>
      <c r="G68" s="64" t="n">
        <v>0</v>
      </c>
      <c r="H68" s="57" t="inlineStr">
        <is>
          <t>Quebrada Q9570 (drenaje de la microcuenca C1086-Q9570), sector sur; bosque ribereño húmedo.</t>
        </is>
      </c>
    </row>
    <row r="71">
      <c r="A71" s="54" t="inlineStr">
        <is>
          <t>OBSERVACIONES DEL EVALUADOR POR FICHA</t>
        </is>
      </c>
    </row>
    <row r="72">
      <c r="A72" s="55" t="inlineStr">
        <is>
          <t>Ficha</t>
        </is>
      </c>
      <c r="B72" s="55" t="inlineStr">
        <is>
          <t>Observación registrada en campo</t>
        </is>
      </c>
    </row>
    <row r="73">
      <c r="A73" s="56" t="inlineStr">
        <is>
          <t>F-DT-01</t>
        </is>
      </c>
      <c r="B73" s="56" t="inlineStr">
        <is>
          <t>Acceso a pie por camino de herradura accidentado tras lluvia intensa; solo se accedió al sector SUR del bloque. El sector accedido presenta cobertura vegetal alta (MSAVI 2024 &gt; 0.61) y estabilidad general; se observó un parche localizado de suelo desnudo (WP 624557 E / 9444014 N) compatible con un pequeño movimiento/remoción incipiente o intervención antrópica, a verificar. ALTITUD: el equipo de campo refirió ~1400 msnm promedio; el Modelo de Elevación (Google Earth) indica para el sector accedido ~1650–1850 m y para el bloque completo 1671–2218 m (cima Cerro Rucutuyu). Se recomienda verificar la lectura altimétrica del GPS. Coordenadas: UTM WGS84 Zona 17S.</t>
        </is>
      </c>
    </row>
    <row r="74">
      <c r="A74" s="57" t="inlineStr">
        <is>
          <t>F-DT-02</t>
        </is>
      </c>
      <c r="B74" s="57" t="inlineStr">
        <is>
          <t>Dentro del sector sur accedido NO se identificaron cárcavas activas; la cobertura vegetal alta y densa controla la erosión hídrica a escala de bloque. La evidencia de erosión concentrada se restringe a los caminos de herradura: tramo de acceso encajonado y erosionado con suelo expuesto (WP 624627 E / 9439087 N, fuera del polígono) y sendero empedrado interno (WP 625602 E / 9444502 N) parcialmente estabilizado por su base rocosa. Erosión laminar leve asociada a pisoteo de ganado en pastizales de ladera. Sector norte/cima no verificado por lluvias. UTM WGS84 17S.</t>
        </is>
      </c>
    </row>
    <row r="75">
      <c r="A75" s="56" t="inlineStr">
        <is>
          <t>F-DT-03</t>
        </is>
      </c>
      <c r="B75" s="56" t="inlineStr">
        <is>
          <t>Cobertura vegetal total alta (≈85%, MSAVI 2024 &gt; 0.61 dominante). Estructura y coberturas por estrato son estimaciones visuales rápidas de campo (sin parcela fija ni medición de DAP); requieren verificación con parcela de muestreo. El bloque corresponde a un MOSAICO de Bosque Relicto Montano de Vertiente Occidental (BMVO / Br-mvoc) con Agroecosistema/Zona agrícola (café-plátano-guaba, maíz, trigo, pastos cultivados). Otras especies observadas no listadas: ciprés (Cupressus sp.), cactáceas, pastos cultivados. UTM WGS84 17S.</t>
        </is>
      </c>
    </row>
    <row r="76">
      <c r="A76" s="57" t="inlineStr">
        <is>
          <t>F-DT-04</t>
        </is>
      </c>
      <c r="B76" s="57" t="inlineStr">
        <is>
          <t>La degradación es de magnitud moderada y avance lento: el bloque conserva alta cobertura y bosque relicto, con presión antrópica concentrada en pastoreo y agricultura de subsistencia. Estresor climático regional (déficit hídrico futuro, MPI-ESM1-2HR SSP585) a considerar en el diagnóstico de gabinete. Datos de carga ganadera y frecuencia de quemas no levantados en campo. UTM WGS84 17S.</t>
        </is>
      </c>
    </row>
    <row r="77">
      <c r="A77" s="56" t="inlineStr">
        <is>
          <t>F-DT-05</t>
        </is>
      </c>
      <c r="B77" s="56" t="inlineStr">
        <is>
          <t>Acceso difícil: ingreso a pie por camino de herradura tras lluvia intensa; el sector norte/cima quedó inaccesible por lluvias y caminos en mal estado, por lo que solo se diagnosticó el sector SUR. El bloque es CABECERA/zona de recarga hídrica de la microcuenca C1086-Q9570, con humedad persistente (neblina, condensación) y bosque relicto que sustenta el servicio de regulación hídrica. Señal celular, operador, tiempos de acceso y autorizaciones por confirmar. UTM WGS84 17S.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12</t>
        </is>
      </c>
    </row>
    <row r="7">
      <c r="A7" s="54" t="inlineStr">
        <is>
          <t>Hechos declarados por fuente</t>
        </is>
      </c>
    </row>
    <row r="8">
      <c r="A8" s="55" t="inlineStr">
        <is>
          <t>Fuente</t>
        </is>
      </c>
      <c r="B8" s="55" t="inlineStr">
        <is>
          <t>Hechos</t>
        </is>
      </c>
    </row>
    <row r="9">
      <c r="A9" s="56" t="inlineStr">
        <is>
          <t>Dato de campo</t>
        </is>
      </c>
      <c r="B9" s="56" t="n">
        <v>68</v>
      </c>
    </row>
    <row r="10">
      <c r="A10" s="57" t="inlineStr">
        <is>
          <t>Gabinete (GIS / teledetección)</t>
        </is>
      </c>
      <c r="B10" s="57" t="n">
        <v>21</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102</v>
      </c>
    </row>
    <row r="31">
      <c r="A31" s="57" t="inlineStr">
        <is>
          <t>COMPLEMENTADO</t>
        </is>
      </c>
      <c r="B31" s="57" t="n">
        <v>0</v>
      </c>
    </row>
    <row r="32">
      <c r="A32" s="56" t="inlineStr">
        <is>
          <t>ACTUALIZADO</t>
        </is>
      </c>
      <c r="B32" s="56" t="n">
        <v>1</v>
      </c>
    </row>
    <row r="33">
      <c r="A33" s="57" t="inlineStr">
        <is>
          <t>DISCREPANTE</t>
        </is>
      </c>
      <c r="B33" s="57" t="n">
        <v>0</v>
      </c>
    </row>
    <row r="34">
      <c r="A34" s="56" t="inlineStr">
        <is>
          <t>PENDIENTE</t>
        </is>
      </c>
      <c r="B34" s="56" t="n">
        <v>11</v>
      </c>
    </row>
    <row r="51">
      <c r="A51" s="54" t="inlineStr">
        <is>
          <t>Cobertura por estrato — campo (%)</t>
        </is>
      </c>
    </row>
    <row r="52">
      <c r="A52" s="55" t="inlineStr">
        <is>
          <t>Estrato</t>
        </is>
      </c>
      <c r="B52" s="55" t="inlineStr">
        <is>
          <t>% del área</t>
        </is>
      </c>
    </row>
    <row r="53">
      <c r="A53" s="56" t="inlineStr">
        <is>
          <t>Dosel</t>
        </is>
      </c>
      <c r="B53" s="61" t="n">
        <v>40</v>
      </c>
    </row>
    <row r="54">
      <c r="A54" s="57" t="inlineStr">
        <is>
          <t>Arbustiva</t>
        </is>
      </c>
      <c r="B54" s="62" t="n">
        <v>20</v>
      </c>
    </row>
    <row r="55">
      <c r="A55" s="56" t="inlineStr">
        <is>
          <t>Herbácea</t>
        </is>
      </c>
      <c r="B55" s="61" t="n">
        <v>35</v>
      </c>
    </row>
    <row r="56">
      <c r="A56" s="57" t="inlineStr">
        <is>
          <t>Hojarasca</t>
        </is>
      </c>
      <c r="B56" s="62" t="n">
        <v>15</v>
      </c>
    </row>
    <row r="57">
      <c r="A57" s="56" t="inlineStr">
        <is>
          <t>Suelo desnudo</t>
        </is>
      </c>
      <c r="B57" s="63" t="n">
        <v>5</v>
      </c>
    </row>
    <row r="74">
      <c r="A74" s="54" t="inlineStr">
        <is>
          <t>Causas activas de degradación (F-DT-04)</t>
        </is>
      </c>
    </row>
    <row r="75">
      <c r="A75" s="55" t="inlineStr">
        <is>
          <t>Causa</t>
        </is>
      </c>
      <c r="B75" s="55" t="inlineStr">
        <is>
          <t>Intensidad (1 ligera - 4 muy fuerte)</t>
        </is>
      </c>
    </row>
    <row r="76">
      <c r="A76" s="56" t="inlineStr">
        <is>
          <t>Cambio de uso a pastoreo</t>
        </is>
      </c>
      <c r="B76" s="56" t="n">
        <v>3</v>
      </c>
    </row>
    <row r="77">
      <c r="A77" s="57" t="inlineStr">
        <is>
          <t>Cambio de uso a agricultura</t>
        </is>
      </c>
      <c r="B77" s="57" t="n">
        <v>2</v>
      </c>
    </row>
    <row r="78">
      <c r="A78" s="56" t="inlineStr">
        <is>
          <t>Sobrepastoreo (caprino/vacuno)</t>
        </is>
      </c>
      <c r="B78" s="56" t="n">
        <v>2</v>
      </c>
    </row>
    <row r="79">
      <c r="A79" s="57" t="inlineStr">
        <is>
          <t>Especies invasoras</t>
        </is>
      </c>
      <c r="B79" s="57" t="n">
        <v>1</v>
      </c>
    </row>
    <row r="96">
      <c r="A96" s="54" t="inlineStr">
        <is>
          <t>Control de consistencia por calificación</t>
        </is>
      </c>
    </row>
    <row r="97">
      <c r="A97" s="55" t="inlineStr">
        <is>
          <t>Calificación</t>
        </is>
      </c>
      <c r="B97" s="55" t="inlineStr">
        <is>
          <t>Verificaciones</t>
        </is>
      </c>
    </row>
    <row r="98">
      <c r="A98" s="56" t="inlineStr">
        <is>
          <t>SUSTANTIVA</t>
        </is>
      </c>
      <c r="B98" s="56" t="n">
        <v>1</v>
      </c>
    </row>
    <row r="99">
      <c r="A99" s="57" t="inlineStr">
        <is>
          <t>NO SUSTANTIVA</t>
        </is>
      </c>
      <c r="B99" s="57" t="n">
        <v>1</v>
      </c>
    </row>
    <row r="100">
      <c r="A100" s="56" t="inlineStr">
        <is>
          <t>CORREGIDO</t>
        </is>
      </c>
      <c r="B100" s="56" t="n">
        <v>1</v>
      </c>
    </row>
    <row r="101">
      <c r="A101" s="57" t="inlineStr">
        <is>
          <t>CONFORME</t>
        </is>
      </c>
      <c r="B101"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12 — IN Piura</dc:title>
  <dc:subject>Diagnóstico Territorial por bloque de intervención</dc:subject>
  <dcterms:created xsi:type="dcterms:W3CDTF">2026-09-08T03:39:55Z</dcterms:created>
  <dcterms:modified xsi:type="dcterms:W3CDTF">2026-09-11T20:22:24Z</dcterms:modified>
</cp:coreProperties>
</file>