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integración'!$A$66:$A$75</f>
            </numRef>
          </cat>
          <val>
            <numRef>
              <f>'Gráficos de integración'!$B$66:$B$75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55</t>
        </is>
      </c>
    </row>
    <row r="6" ht="24" customHeight="1">
      <c r="A6" s="4" t="inlineStr">
        <is>
          <t>Diagnóstico Territorial — Plantilla DT Campo Check Validada V5 | Sistema de referencia: UTM WGS 84 Zona 17S (EPSG:32717) · Integrado con la ficha de campo F-DT vigente (FDT_B55_Huacas_Yamango_Llenado.xlsx) — V7 - resumen V6 + campo F-DT integrado</t>
        </is>
      </c>
    </row>
    <row r="7"/>
    <row r="8" ht="18" customHeight="1">
      <c r="A8" s="5" t="inlineStr">
        <is>
          <t>1. IDENTIFICACIÓN Y LOCALIZACIÓN</t>
        </is>
      </c>
    </row>
    <row r="9">
      <c r="A9" s="6" t="inlineStr">
        <is>
          <t>Código del bloque</t>
        </is>
      </c>
      <c r="B9" s="7" t="inlineStr">
        <is>
          <t>55</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t>
        </is>
      </c>
      <c r="C13" s="6" t="inlineStr">
        <is>
          <t>Comunidad campesina</t>
        </is>
      </c>
      <c r="D13" s="7" t="inlineStr">
        <is>
          <t>No aplica (predios de propiedad privada)</t>
        </is>
      </c>
      <c r="E13" s="8" t="n"/>
      <c r="F13" s="8" t="n"/>
    </row>
    <row r="14">
      <c r="A14" s="6" t="inlineStr">
        <is>
          <t>Superficie de catálogo (V5/V6), ha</t>
        </is>
      </c>
      <c r="B14" s="7" t="n">
        <v>0.86</v>
      </c>
      <c r="C14" s="6" t="inlineStr">
        <is>
          <t>Fuente de superficie</t>
        </is>
      </c>
      <c r="D14" s="7" t="inlineStr">
        <is>
          <t>Catálogo maestro Bloques V5/V6</t>
        </is>
      </c>
      <c r="E14" s="8" t="n"/>
      <c r="F14" s="8" t="n"/>
    </row>
    <row r="15">
      <c r="A15" s="6" t="inlineStr">
        <is>
          <t>Centroide UTM ESTE (m)</t>
        </is>
      </c>
      <c r="B15" s="7" t="n">
        <v>642690</v>
      </c>
      <c r="C15" s="6" t="inlineStr">
        <is>
          <t>Centroide UTM NORTE (m)</t>
        </is>
      </c>
      <c r="D15" s="7" t="n">
        <v>9438409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3066</v>
      </c>
      <c r="C19" s="6" t="inlineStr">
        <is>
          <t>Altitud máxima (msnm)</t>
        </is>
      </c>
      <c r="D19" s="7" t="n">
        <v>3131</v>
      </c>
      <c r="E19" s="8" t="n"/>
      <c r="F19" s="8" t="n"/>
    </row>
    <row r="20">
      <c r="A20" s="6" t="inlineStr">
        <is>
          <t>Amplitud altitudinal (m)</t>
        </is>
      </c>
      <c r="B20" s="7" t="n">
        <v>65</v>
      </c>
      <c r="C20" s="6" t="inlineStr">
        <is>
          <t>Piso altitudinal dominante</t>
        </is>
      </c>
      <c r="D20" s="7" t="inlineStr">
        <is>
          <t>3000-3500 m (Puna baja)</t>
        </is>
      </c>
      <c r="E20" s="8" t="n"/>
      <c r="F20" s="8" t="n"/>
    </row>
    <row r="21">
      <c r="A21" s="6" t="inlineStr">
        <is>
          <t>Pendiente promedio (%)</t>
        </is>
      </c>
      <c r="B21" s="7" t="n">
        <v>30.04</v>
      </c>
      <c r="C21" s="6" t="inlineStr">
        <is>
          <t>Pendiente promedio (grados)</t>
        </is>
      </c>
      <c r="D21" s="7" t="n">
        <v>16.7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(100.00 %)</t>
        </is>
      </c>
      <c r="E29" s="8" t="n"/>
      <c r="F29" s="8" t="n"/>
    </row>
    <row r="30">
      <c r="A30" s="6" t="inlineStr">
        <is>
          <t>Superficie clasificada NDVI 2025 (ha)</t>
        </is>
      </c>
      <c r="B30" s="7" t="n">
        <v>0.86</v>
      </c>
      <c r="C30" s="6" t="inlineStr">
        <is>
          <t>Desviación frente al catálogo (%)</t>
        </is>
      </c>
      <c r="D30" s="7" t="n">
        <v>-0.06</v>
      </c>
      <c r="E30" s="8" t="n"/>
      <c r="F30" s="8" t="n"/>
    </row>
    <row r="31">
      <c r="A31" s="6" t="inlineStr">
        <is>
          <t>Superficie clasificada MSAVI 2024 (ha)</t>
        </is>
      </c>
      <c r="B31" s="38" t="n">
        <v>0.859</v>
      </c>
      <c r="C31" s="6" t="inlineStr">
        <is>
          <t>Desviación MSAVI frente al catálogo (%)</t>
        </is>
      </c>
      <c r="D31" s="39" t="n">
        <v>-0.09</v>
      </c>
      <c r="E31" s="8" t="n"/>
      <c r="F31" s="8" t="n"/>
    </row>
    <row r="32">
      <c r="A32" s="6" t="inlineStr">
        <is>
          <t>Superficie bajo umbral MSAVI 0.4976 (ha)</t>
        </is>
      </c>
      <c r="B32" s="38" t="n">
        <v>0.015</v>
      </c>
      <c r="C32" s="6" t="inlineStr">
        <is>
          <t>% del bloque bajo umbral (brecha espectral)</t>
        </is>
      </c>
      <c r="D32" s="39" t="n">
        <v>1.76</v>
      </c>
      <c r="E32" s="8" t="n"/>
      <c r="F32" s="8" t="n"/>
    </row>
    <row r="33">
      <c r="A33" s="6" t="inlineStr">
        <is>
          <t>Clase DN dominante (MSAVI 2024)</t>
        </is>
      </c>
      <c r="B33" s="7" t="inlineStr">
        <is>
          <t>DN 5 · &gt; 0.6139 (Vigor alto)</t>
        </is>
      </c>
      <c r="C33" s="6" t="inlineStr">
        <is>
          <t>N.° de polígonos MSAVI del bloque</t>
        </is>
      </c>
      <c r="D33" s="40" t="n">
        <v>11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0.86 ha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50" t="inlineStr">
        <is>
          <t>15</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con Ing. Juan Carlos Domínguez Varas y Biól. Abel Aucasime Orihuela</t>
        </is>
      </c>
      <c r="C44" s="6" t="inlineStr">
        <is>
          <t>Fecha de evaluación</t>
        </is>
      </c>
      <c r="D44" s="7" t="inlineStr">
        <is>
          <t>2026-05-26</t>
        </is>
      </c>
      <c r="E44" s="8" t="n"/>
      <c r="F44" s="8" t="n"/>
    </row>
    <row r="45">
      <c r="A45" s="6" t="inlineStr">
        <is>
          <t>Hora de registro</t>
        </is>
      </c>
      <c r="B45" s="7" t="inlineStr">
        <is>
          <t>11:14 a.m. - 12:30 p.m.</t>
        </is>
      </c>
      <c r="C45" s="6" t="inlineStr">
        <is>
          <t>Correlativo de ficha</t>
        </is>
      </c>
      <c r="D45" s="7" t="inlineStr">
        <is>
          <t>F-DT-B55-2026-01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t>
        </is>
      </c>
      <c r="E47" s="8" t="n"/>
      <c r="F47" s="8" t="n"/>
    </row>
    <row r="48">
      <c r="A48" s="6" t="inlineStr">
        <is>
          <t>Estaciones fotográficas georreferenciadas</t>
        </is>
      </c>
      <c r="B48" s="7" t="n">
        <v>14</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50" t="inlineStr">
        <is>
          <t>Economía ganadera de subsistencia en predios privados sin manejo silvopastoril, sumada a la debilidad de la gobernanza local sobre el uso del suelo.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0.4771</v>
      </c>
      <c r="C10" s="31">
        <f>ROUND(B10/$B$15*100,2)</f>
        <v/>
      </c>
      <c r="D10" s="12" t="inlineStr">
        <is>
          <t>Vigor alto</t>
        </is>
      </c>
      <c r="E10" s="12" t="inlineStr">
        <is>
          <t>Sobre umbral</t>
        </is>
      </c>
    </row>
    <row r="11">
      <c r="A11" s="13" t="inlineStr">
        <is>
          <t>0.4976 - 0.6139 · DN 4</t>
        </is>
      </c>
      <c r="B11" s="29" t="n">
        <v>0.367</v>
      </c>
      <c r="C11" s="28">
        <f>ROUND(B11/$B$15*100,2)</f>
        <v/>
      </c>
      <c r="D11" s="14" t="inlineStr">
        <is>
          <t>Vigor moderado</t>
        </is>
      </c>
      <c r="E11" s="14" t="inlineStr">
        <is>
          <t>Sobre umbral</t>
        </is>
      </c>
    </row>
    <row r="12">
      <c r="A12" s="7" t="inlineStr">
        <is>
          <t>0.3813 - 0.4976 · DN 3</t>
        </is>
      </c>
      <c r="B12" s="18" t="n">
        <v>0.0151</v>
      </c>
      <c r="C12" s="19">
        <f>ROUND(B12/$B$15*100,2)</f>
        <v/>
      </c>
      <c r="D12" s="15" t="inlineStr">
        <is>
          <t>Vigor bajo</t>
        </is>
      </c>
      <c r="E12" s="15" t="inlineStr">
        <is>
          <t>BAJO umbral 0.4976</t>
        </is>
      </c>
    </row>
    <row r="13">
      <c r="A13" s="13" t="inlineStr">
        <is>
          <t>0.2650 - 0.3813 · DN 2</t>
        </is>
      </c>
      <c r="B13" s="29" t="n">
        <v>0</v>
      </c>
      <c r="C13" s="28">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0.86</v>
      </c>
      <c r="C18" s="49" t="inlineStr">
        <is>
          <t>—</t>
        </is>
      </c>
      <c r="D18" s="46" t="inlineStr">
        <is>
          <t>Desviación planimétrica frente al catálogo</t>
        </is>
      </c>
      <c r="E18" s="46" t="inlineStr">
        <is>
          <t>-0.09 %</t>
        </is>
      </c>
    </row>
    <row r="19">
      <c r="A19" s="16" t="inlineStr">
        <is>
          <t>MSAVI 2024 — MEDIA DEL BLOQUE</t>
        </is>
      </c>
      <c r="B19" s="17" t="n">
        <v>0.630032</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(0.6300)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0.8595</v>
      </c>
      <c r="C25" s="19" t="n">
        <v>100</v>
      </c>
      <c r="D25" s="15" t="inlineStr">
        <is>
          <t>Dosel continuo, matorral denso o mosaico agroforestal</t>
        </is>
      </c>
      <c r="E25" s="15" t="inlineStr"/>
    </row>
    <row r="26">
      <c r="A26" s="16" t="inlineStr">
        <is>
          <t>TOTAL CLASIFICADO</t>
        </is>
      </c>
      <c r="B26" s="20">
        <f>SUM(B25:B25)</f>
        <v/>
      </c>
      <c r="C26" s="21">
        <f>SUM(C25:C25)</f>
        <v/>
      </c>
      <c r="D26" s="17" t="inlineStr"/>
      <c r="E26" s="17" t="inlineStr"/>
    </row>
    <row r="27">
      <c r="A27" s="22" t="inlineStr">
        <is>
          <t>Superficie de catálogo (V5/V6)</t>
        </is>
      </c>
      <c r="B27" s="23" t="n">
        <v>0.86</v>
      </c>
      <c r="C27" s="23" t="inlineStr">
        <is>
          <t>—</t>
        </is>
      </c>
      <c r="D27" s="23" t="inlineStr">
        <is>
          <t>Desviación planimétrica frente al catálogo</t>
        </is>
      </c>
      <c r="E27" s="23" t="inlineStr">
        <is>
          <t>-0.06 %</t>
        </is>
      </c>
    </row>
    <row r="29" ht="108" customHeight="1">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100.00 % del polígono clasificado como «Vegetación alta» por el NDVI 2025; la observación de campo corresponde a una parcela o recorrido puntual y no es estadísticamente representativa de las 0.860 ha del bloque.</t>
        </is>
      </c>
      <c r="B29" s="41" t="n"/>
      <c r="C29" s="41" t="n"/>
      <c r="D29" s="41" t="n"/>
      <c r="E29" s="42" t="n"/>
    </row>
  </sheetData>
  <mergeCells count="10">
    <mergeCell ref="A21:E21"/>
    <mergeCell ref="A29:E29"/>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55</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4" t="n">
        <v>642690</v>
      </c>
      <c r="D10" s="24" t="n">
        <v>9438400</v>
      </c>
      <c r="E10" s="15" t="n">
        <v>9</v>
      </c>
      <c r="F10" s="15" t="inlineStr"/>
      <c r="G10" s="15" t="inlineStr">
        <is>
          <t>Coordenada consignada en F-DT-01</t>
        </is>
      </c>
    </row>
    <row r="11">
      <c r="A11" s="13" t="inlineStr">
        <is>
          <t>C-01</t>
        </is>
      </c>
      <c r="B11" s="14" t="inlineStr">
        <is>
          <t>Rasgo erosivo — Surco (&lt;30 cm)</t>
        </is>
      </c>
      <c r="C11" s="25" t="n">
        <v>641610</v>
      </c>
      <c r="D11" s="25" t="n">
        <v>9437872</v>
      </c>
      <c r="E11" s="14" t="n">
        <v>1206.1</v>
      </c>
      <c r="F11" s="14" t="inlineStr">
        <is>
          <t>Activa</t>
        </is>
      </c>
      <c r="G11" s="14" t="inlineStr">
        <is>
          <t>Caminos / huellas de ganado</t>
        </is>
      </c>
    </row>
    <row r="12">
      <c r="A12" s="7" t="inlineStr">
        <is>
          <t>C-02</t>
        </is>
      </c>
      <c r="B12" s="15" t="inlineStr">
        <is>
          <t>Rasgo erosivo — Cárcava incipiente (30-50 cm)</t>
        </is>
      </c>
      <c r="C12" s="24" t="n">
        <v>641586</v>
      </c>
      <c r="D12" s="24" t="n">
        <v>9437832</v>
      </c>
      <c r="E12" s="15" t="n">
        <v>1245.7</v>
      </c>
      <c r="F12" s="15" t="inlineStr">
        <is>
          <t>Semi-activa</t>
        </is>
      </c>
      <c r="G12" s="15" t="inlineStr">
        <is>
          <t>Sobrepastoreo</t>
        </is>
      </c>
    </row>
    <row r="13">
      <c r="A13" s="13" t="inlineStr">
        <is>
          <t>C-03</t>
        </is>
      </c>
      <c r="B13" s="14" t="inlineStr">
        <is>
          <t>Rasgo erosivo — Cárcava somera (0.5-2 m)</t>
        </is>
      </c>
      <c r="C13" s="25" t="n">
        <v>641360</v>
      </c>
      <c r="D13" s="25" t="n">
        <v>9437903</v>
      </c>
      <c r="E13" s="14" t="n">
        <v>1423</v>
      </c>
      <c r="F13" s="14" t="inlineStr">
        <is>
          <t>Activa</t>
        </is>
      </c>
      <c r="G13" s="14" t="inlineStr">
        <is>
          <t>Concentración natural de escorrentía</t>
        </is>
      </c>
    </row>
    <row r="14">
      <c r="A14" s="7" t="inlineStr">
        <is>
          <t>H-01</t>
        </is>
      </c>
      <c r="B14" s="15" t="inlineStr">
        <is>
          <t>Fuente de agua — Quebrada estacional</t>
        </is>
      </c>
      <c r="C14" s="24" t="n">
        <v>641450</v>
      </c>
      <c r="D14" s="24" t="n">
        <v>9438050</v>
      </c>
      <c r="E14" s="15" t="n">
        <v>1290.9</v>
      </c>
      <c r="F14" s="15" t="inlineStr">
        <is>
          <t>Estacional (lluvias)</t>
        </is>
      </c>
      <c r="G14" s="15" t="inlineStr">
        <is>
          <t>Drenaje natural Q9575</t>
        </is>
      </c>
    </row>
    <row r="15">
      <c r="A15" s="13" t="inlineStr">
        <is>
          <t>H-02</t>
        </is>
      </c>
      <c r="B15" s="14" t="inlineStr">
        <is>
          <t>Fuente de agua — Manantial / Puquio</t>
        </is>
      </c>
      <c r="C15" s="25" t="n">
        <v>641680</v>
      </c>
      <c r="D15" s="25" t="n">
        <v>9437950</v>
      </c>
      <c r="E15" s="14" t="n">
        <v>1109.4</v>
      </c>
      <c r="F15" s="14" t="inlineStr">
        <is>
          <t>Permanente</t>
        </is>
      </c>
      <c r="G15" s="14" t="inlineStr">
        <is>
          <t>Manantial pequeño</t>
        </is>
      </c>
    </row>
    <row r="16">
      <c r="A16" s="7" t="inlineStr">
        <is>
          <t>B-01</t>
        </is>
      </c>
      <c r="B16" s="15" t="inlineStr">
        <is>
          <t>Especie clave — Polylepis racemosa (Queñual)</t>
        </is>
      </c>
      <c r="C16" s="24" t="n">
        <v>641675</v>
      </c>
      <c r="D16" s="24" t="n">
        <v>9437943</v>
      </c>
      <c r="E16" s="15" t="n">
        <v>1116.9</v>
      </c>
      <c r="F16" s="15" t="inlineStr">
        <is>
          <t>Amenazada D.S. 043</t>
        </is>
      </c>
      <c r="G16" s="15" t="inlineStr">
        <is>
          <t>VU — Vulnerable</t>
        </is>
      </c>
    </row>
    <row r="17">
      <c r="A17" s="13" t="inlineStr">
        <is>
          <t>B-02</t>
        </is>
      </c>
      <c r="B17" s="14" t="inlineStr">
        <is>
          <t>Especie clave — Juglans neotropica (Nogal)</t>
        </is>
      </c>
      <c r="C17" s="25" t="n">
        <v>641675</v>
      </c>
      <c r="D17" s="25" t="n">
        <v>9437943</v>
      </c>
      <c r="E17" s="14" t="n">
        <v>1116.9</v>
      </c>
      <c r="F17" s="14" t="inlineStr">
        <is>
          <t>Amenazada D.S. 043</t>
        </is>
      </c>
      <c r="G17" s="14" t="inlineStr">
        <is>
          <t>EN — En Peligro</t>
        </is>
      </c>
    </row>
    <row r="18">
      <c r="A18" s="7" t="inlineStr">
        <is>
          <t>B-03</t>
        </is>
      </c>
      <c r="B18" s="15" t="inlineStr">
        <is>
          <t>Especie clave — Cedrela montana (Cedro)</t>
        </is>
      </c>
      <c r="C18" s="24" t="n">
        <v>641675</v>
      </c>
      <c r="D18" s="24" t="n">
        <v>9437943</v>
      </c>
      <c r="E18" s="15" t="n">
        <v>1116.9</v>
      </c>
      <c r="F18" s="15" t="inlineStr">
        <is>
          <t>Amenazada D.S. 043</t>
        </is>
      </c>
      <c r="G18" s="15" t="inlineStr">
        <is>
          <t>VU — Vulnerable</t>
        </is>
      </c>
    </row>
    <row r="19">
      <c r="A19" s="13" t="inlineStr">
        <is>
          <t>B-04</t>
        </is>
      </c>
      <c r="B19" s="14" t="inlineStr">
        <is>
          <t>Especie clave — Podocarpus oleifolius (Romerillo)</t>
        </is>
      </c>
      <c r="C19" s="25" t="n">
        <v>641675</v>
      </c>
      <c r="D19" s="25" t="n">
        <v>9437943</v>
      </c>
      <c r="E19" s="14" t="n">
        <v>1116.9</v>
      </c>
      <c r="F19" s="14" t="inlineStr">
        <is>
          <t>Amenazada D.S. 043</t>
        </is>
      </c>
      <c r="G19" s="14" t="inlineStr">
        <is>
          <t>NT — Casi Amenazado</t>
        </is>
      </c>
    </row>
    <row r="20">
      <c r="A20" s="7" t="inlineStr">
        <is>
          <t>B-05</t>
        </is>
      </c>
      <c r="B20" s="15" t="inlineStr">
        <is>
          <t>Especie clave — Alnus acuminata (Aliso)</t>
        </is>
      </c>
      <c r="C20" s="24" t="n">
        <v>641618</v>
      </c>
      <c r="D20" s="24" t="n">
        <v>9437881</v>
      </c>
      <c r="E20" s="15" t="n">
        <v>1195</v>
      </c>
      <c r="F20" s="15" t="inlineStr">
        <is>
          <t>Indicadora de buen estado</t>
        </is>
      </c>
      <c r="G20" s="15" t="inlineStr">
        <is>
          <t>LC</t>
        </is>
      </c>
    </row>
    <row r="21">
      <c r="A21" s="16" t="inlineStr">
        <is>
          <t>TOTAL: 11 puntos</t>
        </is>
      </c>
      <c r="B21" s="17" t="inlineStr"/>
      <c r="C21" s="17" t="inlineStr"/>
      <c r="D21" s="17" t="inlineStr"/>
      <c r="E21" s="17" t="inlineStr"/>
      <c r="F21" s="17" t="inlineStr"/>
      <c r="G21" s="17" t="inlineStr"/>
    </row>
    <row r="23">
      <c r="A23" s="6" t="inlineStr">
        <is>
          <t>Centroide del bloque — UTM ESTE (m)</t>
        </is>
      </c>
      <c r="B23" s="7" t="n">
        <v>642690</v>
      </c>
      <c r="C23" s="6" t="inlineStr">
        <is>
          <t>Centroide del bloque — UTM NORTE (m)</t>
        </is>
      </c>
      <c r="D23" s="7" t="n">
        <v>9438409</v>
      </c>
      <c r="E23" s="8" t="n"/>
      <c r="F23" s="8" t="n"/>
      <c r="G23" s="8" t="n"/>
      <c r="H23" s="8" t="n"/>
    </row>
    <row r="24">
      <c r="A24" s="6" t="inlineStr">
        <is>
          <t>N.° de estaciones fotográficas declaradas</t>
        </is>
      </c>
      <c r="B24" s="7" t="n">
        <v>14</v>
      </c>
      <c r="C24" s="6" t="inlineStr">
        <is>
          <t>Estaciones dentro del polígono</t>
        </is>
      </c>
      <c r="D24" s="7" t="inlineStr">
        <is>
          <t>Por determinar</t>
        </is>
      </c>
      <c r="E24" s="8" t="n"/>
      <c r="F24" s="8" t="n"/>
      <c r="G24" s="8" t="n"/>
      <c r="H24" s="8" t="n"/>
    </row>
    <row r="26" ht="120" customHeight="1">
      <c r="A2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carretera PI-124 desde Yamango, empalmando con trocha carrozable; ingreso final a pie (~40 min) desde 643951 E / 9438198 N. La MORFOLOGÍA EN HONDONADA/ANFITEATRO CÓNCAVO sugiere un proceso de remoción en masa RELICTO (antiguo), hoy estabilizado por cobertura vegetal. En el corte de talud de la trocha se observan suelos residuales (saprolíticos) y raíces expuestas, susceptibles a desprendimientos en época lluviosa.</t>
        </is>
      </c>
      <c r="B26" s="41" t="n"/>
      <c r="C26" s="41" t="n"/>
      <c r="D26" s="41" t="n"/>
      <c r="E26" s="41" t="n"/>
      <c r="F26" s="41" t="n"/>
      <c r="G26" s="42" t="n"/>
    </row>
  </sheetData>
  <mergeCells count="8">
    <mergeCell ref="A1:G1"/>
    <mergeCell ref="A8:G8"/>
    <mergeCell ref="A3:G3"/>
    <mergeCell ref="A6:G6"/>
    <mergeCell ref="A4:G4"/>
    <mergeCell ref="A26:G26"/>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55</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6" t="n">
        <v>283.43</v>
      </c>
      <c r="C10" s="19" t="n">
        <v>58.52</v>
      </c>
      <c r="D10" s="15" t="inlineStr">
        <is>
          <t>297 – 634</t>
        </is>
      </c>
      <c r="E10" s="15" t="n">
        <v>337</v>
      </c>
      <c r="F10" s="15" t="n">
        <v>13.75</v>
      </c>
      <c r="G10" s="18" t="n">
        <v>0.4275</v>
      </c>
      <c r="H10" s="19" t="n">
        <v>18.09</v>
      </c>
      <c r="I10" s="19" t="n">
        <v>74.81</v>
      </c>
    </row>
    <row r="11">
      <c r="A11" s="13" t="inlineStr">
        <is>
          <t>M28B2</t>
        </is>
      </c>
      <c r="B11" s="27" t="n">
        <v>90.2</v>
      </c>
      <c r="C11" s="28" t="n">
        <v>18.62</v>
      </c>
      <c r="D11" s="14" t="inlineStr">
        <is>
          <t>754 – 1111</t>
        </is>
      </c>
      <c r="E11" s="14" t="n">
        <v>357</v>
      </c>
      <c r="F11" s="14" t="n">
        <v>20.65</v>
      </c>
      <c r="G11" s="29" t="n">
        <v>0.4753</v>
      </c>
      <c r="H11" s="28" t="n">
        <v>37.12</v>
      </c>
      <c r="I11" s="28" t="n">
        <v>62.19</v>
      </c>
    </row>
    <row r="12">
      <c r="A12" s="7" t="inlineStr">
        <is>
          <t>M28B3</t>
        </is>
      </c>
      <c r="B12" s="26" t="n">
        <v>58.29</v>
      </c>
      <c r="C12" s="19" t="n">
        <v>12.04</v>
      </c>
      <c r="D12" s="15" t="inlineStr">
        <is>
          <t>73 – 777</t>
        </is>
      </c>
      <c r="E12" s="15" t="n">
        <v>704</v>
      </c>
      <c r="F12" s="15" t="n">
        <v>22.13</v>
      </c>
      <c r="G12" s="18" t="n">
        <v>0.5075</v>
      </c>
      <c r="H12" s="19" t="n">
        <v>45.27</v>
      </c>
      <c r="I12" s="19" t="n">
        <v>49.67</v>
      </c>
    </row>
    <row r="13">
      <c r="A13" s="13" t="inlineStr">
        <is>
          <t>46</t>
        </is>
      </c>
      <c r="B13" s="27" t="n">
        <v>18.87</v>
      </c>
      <c r="C13" s="28" t="n">
        <v>3.9</v>
      </c>
      <c r="D13" s="14" t="inlineStr">
        <is>
          <t>1371 – 1655</t>
        </is>
      </c>
      <c r="E13" s="14" t="n">
        <v>284</v>
      </c>
      <c r="F13" s="14" t="n">
        <v>31.77</v>
      </c>
      <c r="G13" s="29" t="n">
        <v>0.7244</v>
      </c>
      <c r="H13" s="28" t="inlineStr">
        <is>
          <t>Por determinar</t>
        </is>
      </c>
      <c r="I13" s="14" t="inlineStr">
        <is>
          <t>s/d</t>
        </is>
      </c>
    </row>
    <row r="14">
      <c r="A14" s="7" t="inlineStr">
        <is>
          <t>49</t>
        </is>
      </c>
      <c r="B14" s="26" t="n">
        <v>15.84</v>
      </c>
      <c r="C14" s="19" t="n">
        <v>3.27</v>
      </c>
      <c r="D14" s="15" t="inlineStr">
        <is>
          <t>3065 – 3246</t>
        </is>
      </c>
      <c r="E14" s="15" t="n">
        <v>181</v>
      </c>
      <c r="F14" s="15" t="n">
        <v>25.96</v>
      </c>
      <c r="G14" s="18" t="n">
        <v>0.6860000000000001</v>
      </c>
      <c r="H14" s="19" t="n">
        <v>98.8</v>
      </c>
      <c r="I14" s="19" t="n">
        <v>3.64</v>
      </c>
    </row>
    <row r="15">
      <c r="A15" s="13" t="inlineStr">
        <is>
          <t>52</t>
        </is>
      </c>
      <c r="B15" s="27" t="n">
        <v>11.06</v>
      </c>
      <c r="C15" s="28" t="n">
        <v>2.28</v>
      </c>
      <c r="D15" s="14" t="inlineStr">
        <is>
          <t>3011 – 3164</t>
        </is>
      </c>
      <c r="E15" s="14" t="n">
        <v>153</v>
      </c>
      <c r="F15" s="14" t="n">
        <v>26.16</v>
      </c>
      <c r="G15" s="29" t="n">
        <v>0.6685</v>
      </c>
      <c r="H15" s="28" t="n">
        <v>97.31999999999999</v>
      </c>
      <c r="I15" s="28" t="n">
        <v>3.8</v>
      </c>
    </row>
    <row r="16">
      <c r="A16" s="7" t="inlineStr">
        <is>
          <t>48</t>
        </is>
      </c>
      <c r="B16" s="26" t="n">
        <v>5.75</v>
      </c>
      <c r="C16" s="19" t="n">
        <v>1.19</v>
      </c>
      <c r="D16" s="15" t="inlineStr">
        <is>
          <t>1458 – 1595</t>
        </is>
      </c>
      <c r="E16" s="15" t="n">
        <v>137</v>
      </c>
      <c r="F16" s="15" t="n">
        <v>33.6</v>
      </c>
      <c r="G16" s="18" t="n">
        <v>0.6978</v>
      </c>
      <c r="H16" s="19" t="inlineStr">
        <is>
          <t>Por determinar</t>
        </is>
      </c>
      <c r="I16" s="15" t="inlineStr">
        <is>
          <t>s/d</t>
        </is>
      </c>
    </row>
    <row r="17">
      <c r="A17" s="11" t="inlineStr">
        <is>
          <t>► 55</t>
        </is>
      </c>
      <c r="B17" s="30" t="n">
        <v>0.86</v>
      </c>
      <c r="C17" s="31" t="n">
        <v>0.18</v>
      </c>
      <c r="D17" s="12" t="inlineStr">
        <is>
          <t>3066 – 3131</t>
        </is>
      </c>
      <c r="E17" s="12" t="n">
        <v>65</v>
      </c>
      <c r="F17" s="12" t="n">
        <v>30.04</v>
      </c>
      <c r="G17" s="32" t="n">
        <v>0.63</v>
      </c>
      <c r="H17" s="31" t="n">
        <v>100</v>
      </c>
      <c r="I17" s="31" t="n">
        <v>1.76</v>
      </c>
    </row>
    <row r="18">
      <c r="A18" s="16" t="inlineStr">
        <is>
          <t>TOTAL / PROMEDIO</t>
        </is>
      </c>
      <c r="B18" s="33">
        <f>SUM(B10:B17)</f>
        <v/>
      </c>
      <c r="C18" s="21">
        <f>SUM(C10:C17)</f>
        <v/>
      </c>
      <c r="D18" s="17" t="inlineStr">
        <is>
          <t>73 – 3246</t>
        </is>
      </c>
      <c r="E18" s="17" t="inlineStr"/>
      <c r="F18" s="17">
        <f>ROUND(AVERAGE(F10:F17),2)</f>
        <v/>
      </c>
      <c r="G18" s="20">
        <f>ROUND(AVERAGE(G10:G17),4)</f>
        <v/>
      </c>
      <c r="H18" s="21">
        <f>ROUND(AVERAGE(H10:H17),2)</f>
        <v/>
      </c>
      <c r="I18" s="21">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1" t="n"/>
      <c r="I19" s="42" t="n"/>
    </row>
    <row r="21" ht="84" customHeight="1">
      <c r="A21" s="9" t="inlineStr">
        <is>
          <t>LECTURA INTRAMICROCUENCA. El bloque 55 ocupa el puesto 8 de 8 por superficie dentro de la microcuenca C1086-Q9575 (0.18 % de las 484.30 ha preliminares de la microcuenca). Su pendiente promedio (30.04 %, clase «25-50% (Mod. escarpado)») es la 6.ª más baja de 8 y se sitúa por encima del promedio de la microcuenca (25.51 %). Su MSAVI 2024 (0.6300) es el 5.º de 8 y queda por encima del promedio local (0.6021). Amplitud altitudinal del bloque: 65 m (3066–3131 msnm). El cuadro conserva todos los bloques catalogados en la microcuenca, incluidos los descartados en el tamizaje, para referencia del conjunto. Los bloques sin ficha DT figuran con sus parámetros de gabinete. BRECHA ESPECTRAL. El 1.76 % de la superficie del bloque (0.015 ha de 0.859 ha) se sitúa bajo el umbral MSAVI 0.4976, por debajo del promedio local de la microcuenca (32.64 %) calculado sobre los bloques con dato MSAVI disponible.</t>
        </is>
      </c>
      <c r="B21" s="41" t="n"/>
      <c r="C21" s="41" t="n"/>
      <c r="D21" s="41" t="n"/>
      <c r="E21" s="41" t="n"/>
      <c r="F21" s="41" t="n"/>
      <c r="G21" s="41" t="n"/>
      <c r="H21" s="41" t="n"/>
      <c r="I21" s="42"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1" t="n"/>
      <c r="I23" s="42"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55</t>
        </is>
      </c>
    </row>
    <row r="6">
      <c r="A6" s="52" t="inlineStr">
        <is>
          <t>Cruce de la ficha de campo F-DT vigente con la ficha de resumen de gabinete y el catálogo maestro. Integración 2026-09-11 21:26:27.</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«C1086-Q9575».</t>
        </is>
      </c>
      <c r="D9" s="56" t="inlineStr">
        <is>
          <t>CONFORME</t>
        </is>
      </c>
      <c r="E9" s="56" t="inlineStr">
        <is>
          <t>Sin acción.</t>
        </is>
      </c>
    </row>
    <row r="10">
      <c r="A10" s="57" t="inlineStr">
        <is>
          <t>G-02</t>
        </is>
      </c>
      <c r="B10" s="57" t="inlineStr">
        <is>
          <t>UTM del punto de muestreo</t>
        </is>
      </c>
      <c r="C10" s="57" t="inlineStr">
        <is>
          <t>El punto de muestreo declarado dista 52.3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(3080 msnm) cae dentro del rango altitudinal del bloque (3066 - 3131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(0.860 ha) se desvía 0.00 % de la superficie de catálogo (0.86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(0.859 ha) se desvía -0.12 % de la superficie de catálogo (0.86 ha).</t>
        </is>
      </c>
      <c r="D14" s="57" t="inlineStr">
        <is>
          <t>CONFORME</t>
        </is>
      </c>
      <c r="E14" s="57" t="inlineStr">
        <is>
          <t>Sin acción: la segmentación valida la geometría del bloque.</t>
        </is>
      </c>
    </row>
    <row r="15">
      <c r="A15" s="56" t="inlineStr">
        <is>
          <t>G-07</t>
        </is>
      </c>
      <c r="B15" s="56" t="inlineStr">
        <is>
          <t>Brecha espectral MSAVI</t>
        </is>
      </c>
      <c r="C15" s="56" t="inlineStr">
        <is>
          <t>El 1.76 % del bloque queda bajo el umbral 0.4976; superficie de brecha 0.0151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0.8592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(0.6300)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Elenco florístico (n.o de taxones)</t>
        </is>
      </c>
      <c r="C19" s="56" t="inlineStr">
        <is>
          <t>El libro de resumen V6 consignaba «14»; la ficha de campo vigente declara «15».</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Causa subyacente principal</t>
        </is>
      </c>
      <c r="C20" s="57" t="inlineStr">
        <is>
          <t>El libro de resumen V6 consignaba «Economía ganadera de subsistencia en predios privados sin manejo silvopastoril, sumada a la debilidad de la gobernanza del territorio»; la ficha de campo vigente declara «Economía ganadera de subsistencia en predios privados sin manejo silvopastoril, sumada a la debilidad de la gobernanza local sobre el uso d…».</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100.0 % de los campos esperados).</t>
        </is>
      </c>
      <c r="D21" s="56" t="inlineStr">
        <is>
          <t>CONFORME</t>
        </is>
      </c>
      <c r="E21" s="56" t="inlineStr">
        <is>
          <t>Sin acción.</t>
        </is>
      </c>
    </row>
    <row r="22">
      <c r="A22" s="57" t="inlineStr">
        <is>
          <t>F-02</t>
        </is>
      </c>
      <c r="B22" s="57" t="inlineStr">
        <is>
          <t>Cobertura de la integración</t>
        </is>
      </c>
      <c r="C22" s="57" t="inlineStr">
        <is>
          <t>Se declararon 110 de 114 hechos integrados (96.5 %); 4 quedan sin dato en ninguna fuente.</t>
        </is>
      </c>
      <c r="D22" s="57" t="inlineStr">
        <is>
          <t>CONFORME</t>
        </is>
      </c>
      <c r="E22" s="57" t="inlineStr">
        <is>
          <t>Sin acción.</t>
        </is>
      </c>
    </row>
    <row r="23">
      <c r="A23" s="56" t="inlineStr">
        <is>
          <t>H-01</t>
        </is>
      </c>
      <c r="B23" s="56" t="inlineStr">
        <is>
          <t>Cobertura vegetal total</t>
        </is>
      </c>
      <c r="C23" s="56" t="inlineStr">
        <is>
          <t>La ficha DT estima 80 % de cobertura vegetal en campo; el NDVI mediana 2025 clasifica 100.00 %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H-02</t>
        </is>
      </c>
      <c r="B24" s="57" t="inlineStr">
        <is>
          <t>Centro poblado asociado</t>
        </is>
      </c>
      <c r="C24" s="57" t="inlineStr">
        <is>
          <t>La ficha DT declara «Huacas»; el cruce INEI-Bloques V5 identifica 1 centro(s) poblado(s) en el bloque: LAS HUACAS</t>
        </is>
      </c>
      <c r="D24" s="57" t="inlineStr">
        <is>
          <t>NO SUSTANTIVA</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1 · NO SUSTANTIVA: 2 · CORREGIDO: 2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55</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Elenco florístico (n.o de taxones)</t>
        </is>
      </c>
      <c r="C9" s="56" t="inlineStr">
        <is>
          <t>14</t>
        </is>
      </c>
      <c r="D9" s="56" t="inlineStr">
        <is>
          <t>15</t>
        </is>
      </c>
      <c r="E9" s="56" t="inlineStr">
        <is>
          <t>Dato de campo</t>
        </is>
      </c>
    </row>
    <row r="10">
      <c r="A10" s="57" t="inlineStr">
        <is>
          <t>6. Degradación, causas y urgencia (F-DT-04)</t>
        </is>
      </c>
      <c r="B10" s="57" t="inlineStr">
        <is>
          <t>Causa subyacente principal</t>
        </is>
      </c>
      <c r="C10" s="57" t="inlineStr">
        <is>
          <t>Economía ganadera de subsistencia en predios privados sin manejo silvopastoril, sumada a la debilidad de la gobernanza del territorio</t>
        </is>
      </c>
      <c r="D10" s="57" t="inlineStr">
        <is>
          <t>Economía ganadera de subsistencia en predios privados sin manejo silvopastoril, sumada a la debilidad de la gobernanza local sobre el uso del suelo.</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642742</t>
        </is>
      </c>
      <c r="D14" s="56" t="inlineStr">
        <is>
          <t>m</t>
        </is>
      </c>
    </row>
    <row r="15">
      <c r="A15" s="57" t="inlineStr">
        <is>
          <t>1. Identificación y localización</t>
        </is>
      </c>
      <c r="B15" s="57" t="inlineStr">
        <is>
          <t>UTM NORTE del punto de muestreo (m)</t>
        </is>
      </c>
      <c r="C15" s="57" t="inlineStr">
        <is>
          <t>9438415</t>
        </is>
      </c>
      <c r="D15" s="57" t="inlineStr">
        <is>
          <t>m</t>
        </is>
      </c>
    </row>
    <row r="16">
      <c r="A16" s="56" t="inlineStr">
        <is>
          <t>2. Parámetros físicos del terreno</t>
        </is>
      </c>
      <c r="B16" s="56" t="inlineStr">
        <is>
          <t>Altitud GPS del punto de muestreo (msnm)</t>
        </is>
      </c>
      <c r="C16" s="56" t="inlineStr">
        <is>
          <t>3080</t>
        </is>
      </c>
      <c r="D16" s="56" t="inlineStr">
        <is>
          <t>msnm</t>
        </is>
      </c>
    </row>
    <row r="17">
      <c r="A17" s="57" t="inlineStr">
        <is>
          <t>2. Parámetros físicos del terreno</t>
        </is>
      </c>
      <c r="B17" s="57" t="inlineStr">
        <is>
          <t>Piso altitudinal del punto de muestreo</t>
        </is>
      </c>
      <c r="C17" s="57" t="inlineStr">
        <is>
          <t>3000-3500 m (Puna baja)</t>
        </is>
      </c>
      <c r="D17" s="57" t="inlineStr"/>
    </row>
    <row r="18">
      <c r="A18" s="56" t="inlineStr">
        <is>
          <t>2. Parámetros físicos del terreno</t>
        </is>
      </c>
      <c r="B18" s="56" t="inlineStr">
        <is>
          <t>Paisaje dominante descrito en campo</t>
        </is>
      </c>
      <c r="C18" s="56" t="inlineStr">
        <is>
          <t>Hondonada o anfiteatro cóncavo en ladera media de montaña (≈3050–3110 msnm), con matriz herbáceo-graminoide de pastoreo y relictos de bosque montano nativo en los bordes superiores inaccesibles, intercalados con plantaciones de Pinus radiata. El terreno drena hacia el NE, hacia la quebrada Huacas.</t>
        </is>
      </c>
      <c r="D18" s="56" t="inlineStr"/>
    </row>
    <row r="19">
      <c r="A19" s="57" t="inlineStr">
        <is>
          <t>2. Parámetros físicos del terreno</t>
        </is>
      </c>
      <c r="B19" s="57" t="inlineStr">
        <is>
          <t>Reptación de suelo</t>
        </is>
      </c>
      <c r="C19" s="57" t="inlineStr">
        <is>
          <t>Sí</t>
        </is>
      </c>
      <c r="D19" s="57" t="inlineStr"/>
    </row>
    <row r="20">
      <c r="A20" s="56" t="inlineStr">
        <is>
          <t>2. Parámetros físicos del terreno</t>
        </is>
      </c>
      <c r="B20" s="56" t="inlineStr">
        <is>
          <t>Deslizamientos antiguos</t>
        </is>
      </c>
      <c r="C20" s="56" t="inlineStr">
        <is>
          <t>Sí</t>
        </is>
      </c>
      <c r="D20" s="56" t="inlineStr"/>
    </row>
    <row r="21">
      <c r="A21" s="57" t="inlineStr">
        <is>
          <t>4. Suelos y erosión (F-DT-02)</t>
        </is>
      </c>
      <c r="B21" s="57" t="inlineStr">
        <is>
          <t>Nivel de erosión - síntesis de campo</t>
        </is>
      </c>
      <c r="C21" s="57" t="inlineStr">
        <is>
          <t>Ligera (laminar)</t>
        </is>
      </c>
      <c r="D21" s="57" t="inlineStr"/>
    </row>
    <row r="22">
      <c r="A22" s="56" t="inlineStr">
        <is>
          <t>4. Suelos y erosión (F-DT-02)</t>
        </is>
      </c>
      <c r="B22" s="56" t="inlineStr">
        <is>
          <t>Sellamiento / costra superficial</t>
        </is>
      </c>
      <c r="C22" s="56" t="inlineStr">
        <is>
          <t>Sí</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Sí</t>
        </is>
      </c>
      <c r="D24" s="56" t="inlineStr"/>
    </row>
    <row r="25">
      <c r="A25" s="57" t="inlineStr">
        <is>
          <t>4. Suelos y erosión (F-DT-02)</t>
        </is>
      </c>
      <c r="B25" s="57" t="inlineStr">
        <is>
          <t>Longitud total de cárcavas (m)</t>
        </is>
      </c>
      <c r="C25" s="57" t="inlineStr">
        <is>
          <t>15</t>
        </is>
      </c>
      <c r="D25" s="57" t="inlineStr">
        <is>
          <t>m</t>
        </is>
      </c>
    </row>
    <row r="26">
      <c r="A26" s="56" t="inlineStr">
        <is>
          <t>4. Suelos y erosión (F-DT-02)</t>
        </is>
      </c>
      <c r="B26" s="56" t="inlineStr">
        <is>
          <t>% del bloque afectado por cárcavas</t>
        </is>
      </c>
      <c r="C26" s="56" t="inlineStr">
        <is>
          <t>2</t>
        </is>
      </c>
      <c r="D26" s="56" t="inlineStr">
        <is>
          <t>%</t>
        </is>
      </c>
    </row>
    <row r="27">
      <c r="A27" s="57" t="inlineStr">
        <is>
          <t>4. Suelos y erosión (F-DT-02)</t>
        </is>
      </c>
      <c r="B27" s="57" t="inlineStr">
        <is>
          <t>Erosión laminar (% del bloque)</t>
        </is>
      </c>
      <c r="C27" s="57" t="inlineStr">
        <is>
          <t>10</t>
        </is>
      </c>
      <c r="D27" s="57" t="inlineStr">
        <is>
          <t>%</t>
        </is>
      </c>
    </row>
    <row r="28">
      <c r="A28" s="56" t="inlineStr">
        <is>
          <t>4. Suelos y erosión (F-DT-02)</t>
        </is>
      </c>
      <c r="B28" s="56" t="inlineStr">
        <is>
          <t>Patrón de cárcavas</t>
        </is>
      </c>
      <c r="C28" s="56" t="inlineStr">
        <is>
          <t>Aislado</t>
        </is>
      </c>
      <c r="D28" s="56" t="inlineStr"/>
    </row>
    <row r="29">
      <c r="A29" s="57" t="inlineStr">
        <is>
          <t>4. Suelos y erosión (F-DT-02)</t>
        </is>
      </c>
      <c r="B29" s="57" t="inlineStr">
        <is>
          <t>Socavamiento de cauce</t>
        </is>
      </c>
      <c r="C29" s="57" t="inlineStr">
        <is>
          <t>No</t>
        </is>
      </c>
      <c r="D29" s="57" t="inlineStr"/>
    </row>
    <row r="30">
      <c r="A30" s="56" t="inlineStr">
        <is>
          <t>5. Ecosistema, cobertura y flora (F-DT-03)</t>
        </is>
      </c>
      <c r="B30" s="56" t="inlineStr">
        <is>
          <t>Cobertura del dosel (%)</t>
        </is>
      </c>
      <c r="C30" s="56" t="inlineStr">
        <is>
          <t>15</t>
        </is>
      </c>
      <c r="D30" s="56" t="inlineStr">
        <is>
          <t>%</t>
        </is>
      </c>
    </row>
    <row r="31">
      <c r="A31" s="57" t="inlineStr">
        <is>
          <t>5. Ecosistema, cobertura y flora (F-DT-03)</t>
        </is>
      </c>
      <c r="B31" s="57" t="inlineStr">
        <is>
          <t>Cobertura arbustiva (%)</t>
        </is>
      </c>
      <c r="C31" s="57" t="inlineStr">
        <is>
          <t>10</t>
        </is>
      </c>
      <c r="D31" s="57" t="inlineStr">
        <is>
          <t>%</t>
        </is>
      </c>
    </row>
    <row r="32">
      <c r="A32" s="56" t="inlineStr">
        <is>
          <t>5. Ecosistema, cobertura y flora (F-DT-03)</t>
        </is>
      </c>
      <c r="B32" s="56" t="inlineStr">
        <is>
          <t>Cobertura herbácea (%)</t>
        </is>
      </c>
      <c r="C32" s="56" t="inlineStr">
        <is>
          <t>60</t>
        </is>
      </c>
      <c r="D32" s="56" t="inlineStr">
        <is>
          <t>%</t>
        </is>
      </c>
    </row>
    <row r="33">
      <c r="A33" s="57" t="inlineStr">
        <is>
          <t>5. Ecosistema, cobertura y flora (F-DT-03)</t>
        </is>
      </c>
      <c r="B33" s="57" t="inlineStr">
        <is>
          <t>Cobertura de hojarasca (%)</t>
        </is>
      </c>
      <c r="C33" s="57" t="inlineStr">
        <is>
          <t>5</t>
        </is>
      </c>
      <c r="D33" s="57" t="inlineStr">
        <is>
          <t>%</t>
        </is>
      </c>
    </row>
    <row r="34">
      <c r="A34" s="56" t="inlineStr">
        <is>
          <t>5. Ecosistema, cobertura y flora (F-DT-03)</t>
        </is>
      </c>
      <c r="B34" s="56" t="inlineStr">
        <is>
          <t>Altura del estrato dominante (m)</t>
        </is>
      </c>
      <c r="C34" s="56" t="inlineStr">
        <is>
          <t>0.4</t>
        </is>
      </c>
      <c r="D34" s="56" t="inlineStr">
        <is>
          <t>m</t>
        </is>
      </c>
    </row>
    <row r="35">
      <c r="A35" s="57" t="inlineStr">
        <is>
          <t>5. Ecosistema, cobertura y flora (F-DT-03)</t>
        </is>
      </c>
      <c r="B35" s="57" t="inlineStr">
        <is>
          <t>Altura máxima registrada (m)</t>
        </is>
      </c>
      <c r="C35" s="57" t="inlineStr">
        <is>
          <t>15</t>
        </is>
      </c>
      <c r="D35" s="57" t="inlineStr">
        <is>
          <t>m</t>
        </is>
      </c>
    </row>
    <row r="36">
      <c r="A36" s="56" t="inlineStr">
        <is>
          <t>5. Ecosistema, cobertura y flora (F-DT-03)</t>
        </is>
      </c>
      <c r="B36" s="56" t="inlineStr">
        <is>
          <t>DAP promedio (cm)</t>
        </is>
      </c>
      <c r="C36" s="56" t="inlineStr">
        <is>
          <t>30</t>
        </is>
      </c>
      <c r="D36" s="56" t="inlineStr">
        <is>
          <t>cm</t>
        </is>
      </c>
    </row>
    <row r="37">
      <c r="A37" s="57" t="inlineStr">
        <is>
          <t>5. Ecosistema, cobertura y flora (F-DT-03)</t>
        </is>
      </c>
      <c r="B37" s="57" t="inlineStr">
        <is>
          <t>Presencia de epífitas</t>
        </is>
      </c>
      <c r="C37" s="57" t="inlineStr">
        <is>
          <t>Sí</t>
        </is>
      </c>
      <c r="D37" s="57" t="inlineStr"/>
    </row>
    <row r="38">
      <c r="A38" s="56" t="inlineStr">
        <is>
          <t>5. Ecosistema, cobertura y flora (F-DT-03)</t>
        </is>
      </c>
      <c r="B38" s="56" t="inlineStr">
        <is>
          <t>Fenología dominante</t>
        </is>
      </c>
      <c r="C38" s="56" t="inlineStr">
        <is>
          <t>Vegetativo</t>
        </is>
      </c>
      <c r="D38" s="56" t="inlineStr"/>
    </row>
    <row r="39">
      <c r="A39" s="57" t="inlineStr">
        <is>
          <t>5. Ecosistema, cobertura y flora (F-DT-03)</t>
        </is>
      </c>
      <c r="B39" s="57" t="inlineStr">
        <is>
          <t>Pendiente de la parcela (%)</t>
        </is>
      </c>
      <c r="C39" s="57" t="inlineStr">
        <is>
          <t>25</t>
        </is>
      </c>
      <c r="D39" s="57" t="inlineStr">
        <is>
          <t>%</t>
        </is>
      </c>
    </row>
    <row r="40">
      <c r="A40" s="56" t="inlineStr">
        <is>
          <t>5. Ecosistema, cobertura y flora (F-DT-03)</t>
        </is>
      </c>
      <c r="B40" s="56" t="inlineStr">
        <is>
          <t>Especies clave georreferenciadas</t>
        </is>
      </c>
      <c r="C40" s="56" t="inlineStr">
        <is>
          <t>4</t>
        </is>
      </c>
      <c r="D40" s="56" t="inlineStr"/>
    </row>
    <row r="41">
      <c r="A41" s="57" t="inlineStr">
        <is>
          <t>6. Degradación, causas y urgencia (F-DT-04)</t>
        </is>
      </c>
      <c r="B41" s="57" t="inlineStr">
        <is>
          <t>Causas directas de la degradación</t>
        </is>
      </c>
      <c r="C41" s="57" t="inlineStr">
        <is>
          <t>Sobrepastoreo vacuno extensivo, quemas periódicas para renovación de pastos, conversión histórica del bosque montano a pastizal y presencia de especies introducidas/invasoras (kikuyo, pino).</t>
        </is>
      </c>
      <c r="D41" s="57" t="inlineStr"/>
    </row>
    <row r="42">
      <c r="A42" s="56" t="inlineStr">
        <is>
          <t>6. Degradación, causas y urgencia (F-DT-04)</t>
        </is>
      </c>
      <c r="B42" s="56" t="inlineStr">
        <is>
          <t>N.° de causas activas en la matriz F-DT-04</t>
        </is>
      </c>
      <c r="C42" s="56" t="inlineStr">
        <is>
          <t>10</t>
        </is>
      </c>
      <c r="D42" s="56" t="inlineStr"/>
    </row>
    <row r="43">
      <c r="A43" s="57" t="inlineStr">
        <is>
          <t>7. Hidrología, acceso y logística (F-DT-05)</t>
        </is>
      </c>
      <c r="B43" s="57" t="inlineStr">
        <is>
          <t>Escorrentía concentrada</t>
        </is>
      </c>
      <c r="C43" s="57" t="inlineStr">
        <is>
          <t>Sí</t>
        </is>
      </c>
      <c r="D43" s="57" t="inlineStr"/>
    </row>
    <row r="44">
      <c r="A44" s="56" t="inlineStr">
        <is>
          <t>7. Hidrología, acceso y logística (F-DT-05)</t>
        </is>
      </c>
      <c r="B44" s="56" t="inlineStr">
        <is>
          <t>Fuentes de agua inventariadas</t>
        </is>
      </c>
      <c r="C44" s="56" t="inlineStr">
        <is>
          <t>2</t>
        </is>
      </c>
      <c r="D44" s="56" t="inlineStr"/>
    </row>
    <row r="45">
      <c r="A45" s="57" t="inlineStr">
        <is>
          <t>7. Hidrología, acceso y logística (F-DT-05)</t>
        </is>
      </c>
      <c r="B45" s="57" t="inlineStr">
        <is>
          <t>Distancia a captación (m)</t>
        </is>
      </c>
      <c r="C45" s="57" t="inlineStr">
        <is>
          <t>600</t>
        </is>
      </c>
      <c r="D45" s="57" t="inlineStr">
        <is>
          <t>m</t>
        </is>
      </c>
    </row>
    <row r="46">
      <c r="A46" s="56" t="inlineStr">
        <is>
          <t>7. Hidrología, acceso y logística (F-DT-05)</t>
        </is>
      </c>
      <c r="B46" s="56" t="inlineStr">
        <is>
          <t>Interferencia con riego</t>
        </is>
      </c>
      <c r="C46" s="56" t="inlineStr">
        <is>
          <t>No</t>
        </is>
      </c>
      <c r="D46" s="56" t="inlineStr"/>
    </row>
    <row r="47">
      <c r="A47" s="57" t="inlineStr">
        <is>
          <t>7. Hidrología, acceso y logística (F-DT-05)</t>
        </is>
      </c>
      <c r="B47" s="57" t="inlineStr">
        <is>
          <t>Vía principal de acceso</t>
        </is>
      </c>
      <c r="C47" s="57" t="inlineStr">
        <is>
          <t>Carretera PI-124 (Yamango) + trocha carrozable a C.P. Huacas</t>
        </is>
      </c>
      <c r="D47" s="57" t="inlineStr"/>
    </row>
    <row r="48">
      <c r="A48" s="56" t="inlineStr">
        <is>
          <t>7. Hidrología, acceso y logística (F-DT-05)</t>
        </is>
      </c>
      <c r="B48" s="56" t="inlineStr">
        <is>
          <t>Tipo de vía del tramo final</t>
        </is>
      </c>
      <c r="C48" s="56" t="inlineStr">
        <is>
          <t>Trocha carrozable</t>
        </is>
      </c>
      <c r="D48" s="56" t="inlineStr"/>
    </row>
    <row r="49">
      <c r="A49" s="57" t="inlineStr">
        <is>
          <t>7. Hidrología, acceso y logística (F-DT-05)</t>
        </is>
      </c>
      <c r="B49" s="57" t="inlineStr">
        <is>
          <t>Transitabilidad en época seca</t>
        </is>
      </c>
      <c r="C49" s="57" t="inlineStr">
        <is>
          <t>Medio</t>
        </is>
      </c>
      <c r="D49" s="57" t="inlineStr"/>
    </row>
    <row r="50">
      <c r="A50" s="56" t="inlineStr">
        <is>
          <t>7. Hidrología, acceso y logística (F-DT-05)</t>
        </is>
      </c>
      <c r="B50" s="56" t="inlineStr">
        <is>
          <t>Transitabilidad en época lluviosa</t>
        </is>
      </c>
      <c r="C50" s="56" t="inlineStr">
        <is>
          <t>Bajo</t>
        </is>
      </c>
      <c r="D50" s="56" t="inlineStr"/>
    </row>
    <row r="51">
      <c r="A51" s="57" t="inlineStr">
        <is>
          <t>7. Hidrología, acceso y logística (F-DT-05)</t>
        </is>
      </c>
      <c r="B51" s="57" t="inlineStr">
        <is>
          <t>Tiempo a la capital distrital (min)</t>
        </is>
      </c>
      <c r="C51" s="57" t="inlineStr">
        <is>
          <t>120</t>
        </is>
      </c>
      <c r="D51" s="57" t="inlineStr">
        <is>
          <t>min</t>
        </is>
      </c>
    </row>
    <row r="52">
      <c r="A52" s="56" t="inlineStr">
        <is>
          <t>7. Hidrología, acceso y logística (F-DT-05)</t>
        </is>
      </c>
      <c r="B52" s="56" t="inlineStr">
        <is>
          <t>Señal celular</t>
        </is>
      </c>
      <c r="C52" s="56" t="inlineStr">
        <is>
          <t>Intermitente</t>
        </is>
      </c>
      <c r="D52" s="56" t="inlineStr"/>
    </row>
    <row r="53">
      <c r="A53" s="57" t="inlineStr">
        <is>
          <t>7. Hidrología, acceso y logística (F-DT-05)</t>
        </is>
      </c>
      <c r="B53" s="57" t="inlineStr">
        <is>
          <t>Operador con cobertura</t>
        </is>
      </c>
      <c r="C53" s="57" t="inlineStr">
        <is>
          <t>Movistar</t>
        </is>
      </c>
      <c r="D53" s="57" t="inlineStr"/>
    </row>
    <row r="54">
      <c r="A54" s="56" t="inlineStr">
        <is>
          <t>7. Hidrología, acceso y logística (F-DT-05)</t>
        </is>
      </c>
      <c r="B54" s="56" t="inlineStr">
        <is>
          <t>Alojamiento disponible en la zona</t>
        </is>
      </c>
      <c r="C54" s="56" t="inlineStr">
        <is>
          <t>No</t>
        </is>
      </c>
      <c r="D54" s="56" t="inlineStr"/>
    </row>
    <row r="55">
      <c r="A55" s="57" t="inlineStr">
        <is>
          <t>7. Hidrología, acceso y logística (F-DT-05)</t>
        </is>
      </c>
      <c r="B55" s="57" t="inlineStr">
        <is>
          <t>Requiere coordinación con ronda / comunidad</t>
        </is>
      </c>
      <c r="C55" s="57" t="inlineStr">
        <is>
          <t>Sí</t>
        </is>
      </c>
      <c r="D55" s="57" t="inlineStr"/>
    </row>
    <row r="56">
      <c r="A56" s="56" t="inlineStr">
        <is>
          <t>7. Hidrología, acceso y logística (F-DT-05)</t>
        </is>
      </c>
      <c r="B56" s="56" t="inlineStr">
        <is>
          <t>Contacto local de coordinación</t>
        </is>
      </c>
      <c r="C56" s="56" t="inlineStr">
        <is>
          <t>Ronda Campesina del C.P. Huacas (coordinación previa con dirigente local)</t>
        </is>
      </c>
      <c r="D56" s="56" t="inlineStr"/>
    </row>
    <row r="58">
      <c r="A58" s="54" t="inlineStr">
        <is>
          <t>C. PROCEDENCIA DE LOS HECHOS DECLARADOS</t>
        </is>
      </c>
    </row>
    <row r="59">
      <c r="A59" s="55" t="inlineStr">
        <is>
          <t>Fuente</t>
        </is>
      </c>
      <c r="B59" s="55" t="inlineStr">
        <is>
          <t>Hechos</t>
        </is>
      </c>
      <c r="C59" s="55" t="inlineStr">
        <is>
          <t>Alcance de la fuente</t>
        </is>
      </c>
    </row>
    <row r="60">
      <c r="A60" s="56" t="inlineStr">
        <is>
          <t>Dato de campo</t>
        </is>
      </c>
      <c r="B60" s="56" t="n">
        <v>73</v>
      </c>
      <c r="C60" s="56" t="inlineStr">
        <is>
          <t>Verificación en campo. Fichas F-DT-01 a F-DT-05 de la Plantilla DT Campo Check Validada V5, suscritas por el evaluador.</t>
        </is>
      </c>
    </row>
    <row r="61">
      <c r="A61" s="57" t="inlineStr">
        <is>
          <t>Gabinete (GIS / teledetección)</t>
        </is>
      </c>
      <c r="B61" s="57" t="n">
        <v>23</v>
      </c>
      <c r="C61" s="57" t="inlineStr">
        <is>
          <t>Gabinete. Estadística zonal sobre el MDE y compuestos Sentinel-2 (NDVI mediana 2025, MSAVI 2024 por clase DN).</t>
        </is>
      </c>
    </row>
    <row r="62">
      <c r="A62" s="56" t="inlineStr">
        <is>
          <t>Fuente oficial</t>
        </is>
      </c>
      <c r="B62" s="56" t="n">
        <v>14</v>
      </c>
      <c r="C62" s="56" t="inlineStr">
        <is>
          <t>Fuente oficial. Catálogo maestro Bloques V5/V6, división política INEI y codificación de microcuencas de la ANA.</t>
        </is>
      </c>
    </row>
    <row r="64">
      <c r="A64" s="54" t="inlineStr">
        <is>
          <t>D. ESTADO DEL CRUCE ENTRE FUENTES</t>
        </is>
      </c>
    </row>
    <row r="65">
      <c r="A65" s="55" t="inlineStr">
        <is>
          <t>Estado</t>
        </is>
      </c>
      <c r="B65" s="55" t="inlineStr">
        <is>
          <t>Hechos</t>
        </is>
      </c>
      <c r="C65" s="55" t="inlineStr">
        <is>
          <t>Significado</t>
        </is>
      </c>
    </row>
    <row r="66">
      <c r="A66" s="56" t="inlineStr">
        <is>
          <t>CONFORME</t>
        </is>
      </c>
      <c r="B66" s="56" t="n">
        <v>107</v>
      </c>
      <c r="C66" s="56" t="inlineStr">
        <is>
          <t>Las dos fuentes declaran lo mismo, o solo la fuente que manda sobre el hecho lo declara.</t>
        </is>
      </c>
    </row>
    <row r="67">
      <c r="A67" s="57" t="inlineStr">
        <is>
          <t>COMPLEMENTADO</t>
        </is>
      </c>
      <c r="B67" s="57" t="n">
        <v>1</v>
      </c>
      <c r="C67" s="57" t="inlineStr">
        <is>
          <t>Solo una de las fuentes lo declara y se adopta ese valor.</t>
        </is>
      </c>
    </row>
    <row r="68">
      <c r="A68" s="56" t="inlineStr">
        <is>
          <t>ACTUALIZADO</t>
        </is>
      </c>
      <c r="B68" s="56" t="n">
        <v>2</v>
      </c>
      <c r="C68" s="56" t="inlineStr">
        <is>
          <t>La verificación de campo vigente corrige lo que traía el libro de resumen.</t>
        </is>
      </c>
    </row>
    <row r="69">
      <c r="A69" s="57" t="inlineStr">
        <is>
          <t>DISCREPANTE</t>
        </is>
      </c>
      <c r="B69" s="57" t="n">
        <v>0</v>
      </c>
      <c r="C69" s="57" t="inlineStr">
        <is>
          <t>Las fuentes se contradicen; prevalece la que manda sobre el hecho y la otra queda declarada.</t>
        </is>
      </c>
    </row>
    <row r="70">
      <c r="A70" s="56" t="inlineStr">
        <is>
          <t>PENDIENTE</t>
        </is>
      </c>
      <c r="B70" s="56" t="n">
        <v>4</v>
      </c>
      <c r="C7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55</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S-01</t>
        </is>
      </c>
      <c r="B9" s="56" t="inlineStr">
        <is>
          <t>Surco (&lt;30 cm)</t>
        </is>
      </c>
      <c r="C9" s="61" t="n">
        <v>642626</v>
      </c>
      <c r="D9" s="61" t="n">
        <v>9438218</v>
      </c>
      <c r="E9" s="61" t="n">
        <v>15</v>
      </c>
      <c r="F9" s="62" t="n">
        <v>0.2</v>
      </c>
      <c r="G9" s="62" t="n">
        <v>0.3</v>
      </c>
      <c r="H9" s="56" t="inlineStr">
        <is>
          <t>Activa</t>
        </is>
      </c>
      <c r="I9" s="56" t="inlineStr">
        <is>
          <t>Caminos / huellas de ganado</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Aliso</t>
        </is>
      </c>
      <c r="C13" s="56" t="inlineStr">
        <is>
          <t>Alnus acuminata</t>
        </is>
      </c>
      <c r="D13" s="56" t="inlineStr">
        <is>
          <t>Betulaceae</t>
        </is>
      </c>
      <c r="E13" s="56" t="inlineStr">
        <is>
          <t>Arbóreo medio (8-15 m)</t>
        </is>
      </c>
      <c r="F13" s="56" t="inlineStr">
        <is>
          <t>Nativa</t>
        </is>
      </c>
      <c r="G13" s="56" t="inlineStr">
        <is>
          <t>Frecuente (5-20%)</t>
        </is>
      </c>
      <c r="H13" s="61" t="n">
        <v>30</v>
      </c>
      <c r="I13" s="61" t="n">
        <v>12</v>
      </c>
    </row>
    <row r="14">
      <c r="A14" s="57" t="inlineStr">
        <is>
          <t>2</t>
        </is>
      </c>
      <c r="B14" s="57" t="inlineStr">
        <is>
          <t>Nogal</t>
        </is>
      </c>
      <c r="C14" s="57" t="inlineStr">
        <is>
          <t>Juglans neotropica</t>
        </is>
      </c>
      <c r="D14" s="57" t="inlineStr">
        <is>
          <t>Juglandaceae</t>
        </is>
      </c>
      <c r="E14" s="57" t="inlineStr">
        <is>
          <t>Arbóreo medio (8-15 m)</t>
        </is>
      </c>
      <c r="F14" s="57" t="inlineStr">
        <is>
          <t>Nativa</t>
        </is>
      </c>
      <c r="G14" s="57" t="inlineStr">
        <is>
          <t>Rara (&lt;1%)</t>
        </is>
      </c>
      <c r="H14" s="63" t="n">
        <v>35</v>
      </c>
      <c r="I14" s="63" t="n">
        <v>14</v>
      </c>
    </row>
    <row r="15">
      <c r="A15" s="56" t="inlineStr">
        <is>
          <t>3</t>
        </is>
      </c>
      <c r="B15" s="56" t="inlineStr">
        <is>
          <t>Queñua / Quinual</t>
        </is>
      </c>
      <c r="C15" s="56" t="inlineStr">
        <is>
          <t>Polylepis sp.</t>
        </is>
      </c>
      <c r="D15" s="56" t="inlineStr">
        <is>
          <t>Rosaceae</t>
        </is>
      </c>
      <c r="E15" s="56" t="inlineStr">
        <is>
          <t>Arbóreo bajo (4-8 m)</t>
        </is>
      </c>
      <c r="F15" s="56" t="inlineStr">
        <is>
          <t>Nativa</t>
        </is>
      </c>
      <c r="G15" s="56" t="inlineStr">
        <is>
          <t>Ocasional (1-5%)</t>
        </is>
      </c>
      <c r="H15" s="61" t="n">
        <v>18</v>
      </c>
      <c r="I15" s="62" t="n">
        <v>6</v>
      </c>
    </row>
    <row r="16">
      <c r="A16" s="57" t="inlineStr">
        <is>
          <t>4</t>
        </is>
      </c>
      <c r="B16" s="57" t="inlineStr">
        <is>
          <t>Lanche / Arrayán</t>
        </is>
      </c>
      <c r="C16" s="57" t="inlineStr">
        <is>
          <t>Myrcianthes sp.</t>
        </is>
      </c>
      <c r="D16" s="57" t="inlineStr">
        <is>
          <t>Myrtaceae</t>
        </is>
      </c>
      <c r="E16" s="57" t="inlineStr">
        <is>
          <t>Arbóreo bajo (4-8 m)</t>
        </is>
      </c>
      <c r="F16" s="57" t="inlineStr">
        <is>
          <t>Nativa</t>
        </is>
      </c>
      <c r="G16" s="57" t="inlineStr">
        <is>
          <t>Ocasional (1-5%)</t>
        </is>
      </c>
      <c r="H16" s="63" t="n">
        <v>15</v>
      </c>
      <c r="I16" s="64" t="n">
        <v>5</v>
      </c>
    </row>
    <row r="17">
      <c r="A17" s="56" t="inlineStr">
        <is>
          <t>5</t>
        </is>
      </c>
      <c r="B17" s="56" t="inlineStr">
        <is>
          <t>Maqui-maqui</t>
        </is>
      </c>
      <c r="C17" s="56" t="inlineStr">
        <is>
          <t>Oreopanax sp.</t>
        </is>
      </c>
      <c r="D17" s="56" t="inlineStr">
        <is>
          <t>Araliaceae</t>
        </is>
      </c>
      <c r="E17" s="56" t="inlineStr">
        <is>
          <t>Arbóreo bajo (4-8 m)</t>
        </is>
      </c>
      <c r="F17" s="56" t="inlineStr">
        <is>
          <t>Nativa</t>
        </is>
      </c>
      <c r="G17" s="56" t="inlineStr">
        <is>
          <t>Rara (&lt;1%)</t>
        </is>
      </c>
      <c r="H17" s="56" t="n"/>
      <c r="I17" s="62" t="n">
        <v>6</v>
      </c>
    </row>
    <row r="18">
      <c r="A18" s="57" t="inlineStr">
        <is>
          <t>6</t>
        </is>
      </c>
      <c r="B18" s="57" t="inlineStr">
        <is>
          <t>Sarar / Cashco</t>
        </is>
      </c>
      <c r="C18" s="57" t="inlineStr">
        <is>
          <t>Weinmannia sp.</t>
        </is>
      </c>
      <c r="D18" s="57" t="inlineStr">
        <is>
          <t>Cunoniaceae</t>
        </is>
      </c>
      <c r="E18" s="57" t="inlineStr">
        <is>
          <t>Arbóreo bajo (4-8 m)</t>
        </is>
      </c>
      <c r="F18" s="57" t="inlineStr">
        <is>
          <t>Nativa</t>
        </is>
      </c>
      <c r="G18" s="57" t="inlineStr">
        <is>
          <t>Rara (&lt;1%)</t>
        </is>
      </c>
      <c r="H18" s="57" t="n"/>
      <c r="I18" s="64" t="n">
        <v>7</v>
      </c>
    </row>
    <row r="19">
      <c r="A19" s="56" t="inlineStr">
        <is>
          <t>7</t>
        </is>
      </c>
      <c r="B19" s="56" t="inlineStr">
        <is>
          <t>Cucharillo</t>
        </is>
      </c>
      <c r="C19" s="56" t="inlineStr">
        <is>
          <t>Oreocallis grandiflora</t>
        </is>
      </c>
      <c r="D19" s="56" t="inlineStr">
        <is>
          <t>Proteaceae</t>
        </is>
      </c>
      <c r="E19" s="56" t="inlineStr">
        <is>
          <t>Arbustivo alto (1.5-4 m)</t>
        </is>
      </c>
      <c r="F19" s="56" t="inlineStr">
        <is>
          <t>Nativa</t>
        </is>
      </c>
      <c r="G19" s="56" t="inlineStr">
        <is>
          <t>Ocasional (1-5%)</t>
        </is>
      </c>
      <c r="H19" s="56" t="n"/>
      <c r="I19" s="62" t="n">
        <v>3</v>
      </c>
    </row>
    <row r="20">
      <c r="A20" s="57" t="inlineStr">
        <is>
          <t>8</t>
        </is>
      </c>
      <c r="B20" s="57" t="inlineStr">
        <is>
          <t>Pino de Monterrey</t>
        </is>
      </c>
      <c r="C20" s="57" t="inlineStr">
        <is>
          <t>Pinus radiata</t>
        </is>
      </c>
      <c r="D20" s="57" t="inlineStr">
        <is>
          <t>Pinaceae</t>
        </is>
      </c>
      <c r="E20" s="57" t="inlineStr">
        <is>
          <t>Arbóreo medio (8-15 m)</t>
        </is>
      </c>
      <c r="F20" s="57" t="inlineStr">
        <is>
          <t>Introducida</t>
        </is>
      </c>
      <c r="G20" s="57" t="inlineStr">
        <is>
          <t>Frecuente (5-20%)</t>
        </is>
      </c>
      <c r="H20" s="63" t="n">
        <v>25</v>
      </c>
      <c r="I20" s="63" t="n">
        <v>13</v>
      </c>
    </row>
    <row r="21">
      <c r="A21" s="56" t="inlineStr">
        <is>
          <t>9</t>
        </is>
      </c>
      <c r="B21" s="56" t="inlineStr">
        <is>
          <t>Chilca</t>
        </is>
      </c>
      <c r="C21" s="56" t="inlineStr">
        <is>
          <t>Baccharis latifolia</t>
        </is>
      </c>
      <c r="D21" s="56" t="inlineStr">
        <is>
          <t>Asteraceae</t>
        </is>
      </c>
      <c r="E21" s="56" t="inlineStr">
        <is>
          <t>Arbustivo alto (1.5-4 m)</t>
        </is>
      </c>
      <c r="F21" s="56" t="inlineStr">
        <is>
          <t>Nativa</t>
        </is>
      </c>
      <c r="G21" s="56" t="inlineStr">
        <is>
          <t>Frecuente (5-20%)</t>
        </is>
      </c>
      <c r="H21" s="56" t="n"/>
      <c r="I21" s="62" t="n">
        <v>2</v>
      </c>
    </row>
    <row r="22">
      <c r="A22" s="57" t="inlineStr">
        <is>
          <t>10</t>
        </is>
      </c>
      <c r="B22" s="57" t="inlineStr">
        <is>
          <t>Sauco / Hierba santa</t>
        </is>
      </c>
      <c r="C22" s="57" t="inlineStr">
        <is>
          <t>Cestrum auriculatum</t>
        </is>
      </c>
      <c r="D22" s="57" t="inlineStr">
        <is>
          <t>Solanaceae</t>
        </is>
      </c>
      <c r="E22" s="57" t="inlineStr">
        <is>
          <t>Arbustivo bajo (0.5-1.5 m)</t>
        </is>
      </c>
      <c r="F22" s="57" t="inlineStr">
        <is>
          <t>Nativa</t>
        </is>
      </c>
      <c r="G22" s="57" t="inlineStr">
        <is>
          <t>Ocasional (1-5%)</t>
        </is>
      </c>
      <c r="H22" s="57" t="n"/>
      <c r="I22" s="64" t="n">
        <v>1.2</v>
      </c>
    </row>
    <row r="23">
      <c r="A23" s="56" t="inlineStr">
        <is>
          <t>11</t>
        </is>
      </c>
      <c r="B23" s="56" t="inlineStr">
        <is>
          <t>Chocho / Tarwi silvestre</t>
        </is>
      </c>
      <c r="C23" s="56" t="inlineStr">
        <is>
          <t>Lupinus sp.</t>
        </is>
      </c>
      <c r="D23" s="56" t="inlineStr">
        <is>
          <t>Fabaceae</t>
        </is>
      </c>
      <c r="E23" s="56" t="inlineStr">
        <is>
          <t>Arbustivo bajo (0.5-1.5 m)</t>
        </is>
      </c>
      <c r="F23" s="56" t="inlineStr">
        <is>
          <t>Nativa</t>
        </is>
      </c>
      <c r="G23" s="56" t="inlineStr">
        <is>
          <t>Ocasional (1-5%)</t>
        </is>
      </c>
      <c r="H23" s="56" t="n"/>
      <c r="I23" s="62" t="n">
        <v>0.8</v>
      </c>
    </row>
    <row r="24">
      <c r="A24" s="57" t="inlineStr">
        <is>
          <t>12</t>
        </is>
      </c>
      <c r="B24" s="57" t="inlineStr">
        <is>
          <t>Kikuyo</t>
        </is>
      </c>
      <c r="C24" s="57" t="inlineStr">
        <is>
          <t>Cenchrus clandestinus</t>
        </is>
      </c>
      <c r="D24" s="57" t="inlineStr">
        <is>
          <t>Poaceae</t>
        </is>
      </c>
      <c r="E24" s="57" t="inlineStr">
        <is>
          <t>Herbáceo (&lt;0.5 m)</t>
        </is>
      </c>
      <c r="F24" s="57" t="inlineStr">
        <is>
          <t>Invasora</t>
        </is>
      </c>
      <c r="G24" s="57" t="inlineStr">
        <is>
          <t>Dominante (&gt;40%)</t>
        </is>
      </c>
      <c r="H24" s="57" t="n"/>
      <c r="I24" s="64" t="n">
        <v>0.3</v>
      </c>
    </row>
    <row r="25">
      <c r="A25" s="56" t="inlineStr">
        <is>
          <t>13</t>
        </is>
      </c>
      <c r="B25" s="56" t="inlineStr">
        <is>
          <t>Helecho macho / Llashipa</t>
        </is>
      </c>
      <c r="C25" s="56" t="inlineStr">
        <is>
          <t>Pteridium aquilinum</t>
        </is>
      </c>
      <c r="D25" s="56" t="inlineStr">
        <is>
          <t>Dennstaedtiaceae</t>
        </is>
      </c>
      <c r="E25" s="56" t="inlineStr">
        <is>
          <t>Herbáceo (&lt;0.5 m)</t>
        </is>
      </c>
      <c r="F25" s="56" t="inlineStr">
        <is>
          <t>Nativa</t>
        </is>
      </c>
      <c r="G25" s="56" t="inlineStr">
        <is>
          <t>Abundante (20-40%)</t>
        </is>
      </c>
      <c r="H25" s="56" t="n"/>
      <c r="I25" s="62" t="n">
        <v>0.5</v>
      </c>
    </row>
    <row r="26">
      <c r="A26" s="57" t="inlineStr">
        <is>
          <t>14</t>
        </is>
      </c>
      <c r="B26" s="57" t="inlineStr">
        <is>
          <t>Grama / Pasto nativo</t>
        </is>
      </c>
      <c r="C26" s="57" t="inlineStr">
        <is>
          <t>Paspalum sp.</t>
        </is>
      </c>
      <c r="D26" s="57" t="inlineStr">
        <is>
          <t>Poaceae</t>
        </is>
      </c>
      <c r="E26" s="57" t="inlineStr">
        <is>
          <t>Herbáceo (&lt;0.5 m)</t>
        </is>
      </c>
      <c r="F26" s="57" t="inlineStr">
        <is>
          <t>Nativa</t>
        </is>
      </c>
      <c r="G26" s="57" t="inlineStr">
        <is>
          <t>Abundante (20-40%)</t>
        </is>
      </c>
      <c r="H26" s="57" t="n"/>
      <c r="I26" s="64" t="n">
        <v>0.2</v>
      </c>
    </row>
    <row r="27">
      <c r="A27" s="56" t="inlineStr">
        <is>
          <t>15</t>
        </is>
      </c>
      <c r="B27" s="56" t="inlineStr">
        <is>
          <t>Pasto lanudo / Holco</t>
        </is>
      </c>
      <c r="C27" s="56" t="inlineStr">
        <is>
          <t>Holcus lanatus</t>
        </is>
      </c>
      <c r="D27" s="56" t="inlineStr">
        <is>
          <t>Poaceae</t>
        </is>
      </c>
      <c r="E27" s="56" t="inlineStr">
        <is>
          <t>Herbáceo (&lt;0.5 m)</t>
        </is>
      </c>
      <c r="F27" s="56" t="inlineStr">
        <is>
          <t>Introducida</t>
        </is>
      </c>
      <c r="G27" s="56" t="inlineStr">
        <is>
          <t>Frecuente (5-20%)</t>
        </is>
      </c>
      <c r="H27" s="56" t="n"/>
      <c r="I27" s="62" t="n">
        <v>0.4</v>
      </c>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Polylepis sp. (queñua)</t>
        </is>
      </c>
      <c r="C31" s="56" t="inlineStr">
        <is>
          <t>Indicadora de buen estado</t>
        </is>
      </c>
      <c r="D31" s="56" t="inlineStr">
        <is>
          <t>NT — Casi Amenazado</t>
        </is>
      </c>
      <c r="E31" s="61" t="n">
        <v>642720</v>
      </c>
      <c r="F31" s="61" t="n">
        <v>9438475</v>
      </c>
      <c r="G31" s="62" t="n">
        <v>5</v>
      </c>
      <c r="H31" s="56" t="inlineStr">
        <is>
          <t>Relictos en borde superior inaccesible; indicador de bosque altoandino bien conservado.</t>
        </is>
      </c>
    </row>
    <row r="32">
      <c r="A32" s="57" t="inlineStr">
        <is>
          <t>2</t>
        </is>
      </c>
      <c r="B32" s="57" t="inlineStr">
        <is>
          <t>Juglans neotropica (nogal)</t>
        </is>
      </c>
      <c r="C32" s="57" t="inlineStr">
        <is>
          <t>Amenazada (D.S. 043-2006-AG)</t>
        </is>
      </c>
      <c r="D32" s="57" t="inlineStr">
        <is>
          <t>EN — En Peligro</t>
        </is>
      </c>
      <c r="E32" s="63" t="n">
        <v>642705</v>
      </c>
      <c r="F32" s="63" t="n">
        <v>9438480</v>
      </c>
      <c r="G32" s="64" t="n">
        <v>2</v>
      </c>
      <c r="H32" s="57" t="inlineStr">
        <is>
          <t>Individuos aislados; especie con tala selectiva histórica; prioritaria para revegetación.</t>
        </is>
      </c>
    </row>
    <row r="33">
      <c r="A33" s="56" t="inlineStr">
        <is>
          <t>3</t>
        </is>
      </c>
      <c r="B33" s="56" t="inlineStr">
        <is>
          <t>Alnus acuminata (aliso)</t>
        </is>
      </c>
      <c r="C33" s="56" t="inlineStr">
        <is>
          <t>Indicadora de buen estado</t>
        </is>
      </c>
      <c r="D33" s="56" t="inlineStr">
        <is>
          <t>LC — Preocupación Menor</t>
        </is>
      </c>
      <c r="E33" s="61" t="n">
        <v>642742</v>
      </c>
      <c r="F33" s="61" t="n">
        <v>9438415</v>
      </c>
      <c r="G33" s="62" t="n">
        <v>8</v>
      </c>
      <c r="H33" s="56" t="inlineStr">
        <is>
          <t>Asociado a zonas de humedad y bordes de quebrada; fijador de nitrógeno; clave para infraestructura natural.</t>
        </is>
      </c>
    </row>
    <row r="34">
      <c r="A34" s="57" t="inlineStr">
        <is>
          <t>4</t>
        </is>
      </c>
      <c r="B34" s="57" t="inlineStr">
        <is>
          <t>Pteridium aquilinum (helecho macho)</t>
        </is>
      </c>
      <c r="C34" s="57" t="inlineStr">
        <is>
          <t>Indicadora de perturbación</t>
        </is>
      </c>
      <c r="D34" s="57" t="inlineStr">
        <is>
          <t>No aplica</t>
        </is>
      </c>
      <c r="E34" s="63" t="n">
        <v>642760</v>
      </c>
      <c r="F34" s="63" t="n">
        <v>9438440</v>
      </c>
      <c r="G34" s="64" t="n">
        <v>0</v>
      </c>
      <c r="H34" s="57" t="inlineStr">
        <is>
          <t>Helechal extenso; indicador de quemas recurrentes y sobrepastoreo (suelos degradados).</t>
        </is>
      </c>
    </row>
    <row r="36">
      <c r="A36" s="54" t="inlineStr">
        <is>
          <t>F-DT-04 · MATRIZ DE CAUSAS DE DEGRADACIÓN</t>
        </is>
      </c>
    </row>
    <row r="37">
      <c r="A37" s="55" t="inlineStr">
        <is>
          <t>N.o</t>
        </is>
      </c>
      <c r="B37" s="55" t="inlineStr">
        <is>
          <t>Causa</t>
        </is>
      </c>
      <c r="C37" s="55" t="inlineStr">
        <is>
          <t>Presencia</t>
        </is>
      </c>
      <c r="D37" s="55" t="inlineStr">
        <is>
          <t>Intensidad</t>
        </is>
      </c>
      <c r="E37" s="55" t="inlineStr">
        <is>
          <t>Extensión</t>
        </is>
      </c>
      <c r="F37" s="55" t="inlineStr">
        <is>
          <t>Antigüedad</t>
        </is>
      </c>
      <c r="G37" s="55" t="inlineStr">
        <is>
          <t>Evidencia</t>
        </is>
      </c>
    </row>
    <row r="38">
      <c r="A38" s="56" t="inlineStr">
        <is>
          <t>1</t>
        </is>
      </c>
      <c r="B38" s="56" t="inlineStr">
        <is>
          <t>Sobrepastoreo (caprino/vacuno)</t>
        </is>
      </c>
      <c r="C38" s="56" t="inlineStr">
        <is>
          <t>Sí</t>
        </is>
      </c>
      <c r="D38" s="56" t="inlineStr">
        <is>
          <t>Muy fuerte</t>
        </is>
      </c>
      <c r="E38" s="56" t="inlineStr">
        <is>
          <t>80</t>
        </is>
      </c>
      <c r="F38" s="56" t="inlineStr">
        <is>
          <t>30</t>
        </is>
      </c>
      <c r="G38" s="56" t="inlineStr">
        <is>
          <t>Pastoreo vacuno extensivo; terracetas de pisoteo y compactación; regeneración natural suprimida.</t>
        </is>
      </c>
    </row>
    <row r="39">
      <c r="A39" s="57" t="inlineStr">
        <is>
          <t>2</t>
        </is>
      </c>
      <c r="B39" s="57" t="inlineStr">
        <is>
          <t>Tala para leña</t>
        </is>
      </c>
      <c r="C39" s="57" t="inlineStr">
        <is>
          <t>Sí</t>
        </is>
      </c>
      <c r="D39" s="57" t="inlineStr">
        <is>
          <t>Moderada</t>
        </is>
      </c>
      <c r="E39" s="57" t="inlineStr">
        <is>
          <t>30</t>
        </is>
      </c>
      <c r="F39" s="57" t="inlineStr">
        <is>
          <t>30</t>
        </is>
      </c>
      <c r="G39" s="57" t="inlineStr">
        <is>
          <t>Extracción selectiva de leña en relictos de borde.</t>
        </is>
      </c>
    </row>
    <row r="40">
      <c r="A40" s="56" t="inlineStr">
        <is>
          <t>3</t>
        </is>
      </c>
      <c r="B40" s="56" t="inlineStr">
        <is>
          <t>Tala para carbón</t>
        </is>
      </c>
      <c r="C40" s="56" t="inlineStr">
        <is>
          <t>No</t>
        </is>
      </c>
      <c r="D40" s="56" t="inlineStr">
        <is>
          <t>Nula</t>
        </is>
      </c>
      <c r="E40" s="56" t="inlineStr"/>
      <c r="F40" s="56" t="inlineStr"/>
      <c r="G40" s="56" t="inlineStr"/>
    </row>
    <row r="41">
      <c r="A41" s="57" t="inlineStr">
        <is>
          <t>4</t>
        </is>
      </c>
      <c r="B41" s="57" t="inlineStr">
        <is>
          <t>Tala para madera</t>
        </is>
      </c>
      <c r="C41" s="57" t="inlineStr">
        <is>
          <t>Sí</t>
        </is>
      </c>
      <c r="D41" s="57" t="inlineStr">
        <is>
          <t>Ligera</t>
        </is>
      </c>
      <c r="E41" s="57" t="inlineStr">
        <is>
          <t>10</t>
        </is>
      </c>
      <c r="F41" s="57" t="inlineStr">
        <is>
          <t>40</t>
        </is>
      </c>
      <c r="G41" s="57" t="inlineStr">
        <is>
          <t>Tala selectiva histórica de nogal y aliso (maderas valiosas).</t>
        </is>
      </c>
    </row>
    <row r="42">
      <c r="A42" s="56" t="inlineStr">
        <is>
          <t>5</t>
        </is>
      </c>
      <c r="B42" s="56" t="inlineStr">
        <is>
          <t>Quema (renovación de pastos)</t>
        </is>
      </c>
      <c r="C42" s="56" t="inlineStr">
        <is>
          <t>Sí</t>
        </is>
      </c>
      <c r="D42" s="56" t="inlineStr">
        <is>
          <t>Moderada</t>
        </is>
      </c>
      <c r="E42" s="56" t="inlineStr">
        <is>
          <t>40</t>
        </is>
      </c>
      <c r="F42" s="56" t="inlineStr"/>
      <c r="G42" s="56" t="inlineStr">
        <is>
          <t>Quemas periódicas para renovación de pastos; helechal (Pteridium) como indicador.</t>
        </is>
      </c>
    </row>
    <row r="43">
      <c r="A43" s="57" t="inlineStr">
        <is>
          <t>6</t>
        </is>
      </c>
      <c r="B43" s="57" t="inlineStr">
        <is>
          <t>Quema accidental / Incendio</t>
        </is>
      </c>
      <c r="C43" s="57" t="inlineStr">
        <is>
          <t>No</t>
        </is>
      </c>
      <c r="D43" s="57" t="inlineStr">
        <is>
          <t>Nula</t>
        </is>
      </c>
      <c r="E43" s="57" t="inlineStr"/>
      <c r="F43" s="57" t="inlineStr"/>
      <c r="G43" s="57" t="inlineStr"/>
    </row>
    <row r="44">
      <c r="A44" s="56" t="inlineStr">
        <is>
          <t>7</t>
        </is>
      </c>
      <c r="B44" s="56" t="inlineStr">
        <is>
          <t>Cambio de uso a agricultura</t>
        </is>
      </c>
      <c r="C44" s="56" t="inlineStr">
        <is>
          <t>Sí</t>
        </is>
      </c>
      <c r="D44" s="56" t="inlineStr">
        <is>
          <t>Ligera</t>
        </is>
      </c>
      <c r="E44" s="56" t="inlineStr">
        <is>
          <t>15</t>
        </is>
      </c>
      <c r="F44" s="56" t="inlineStr">
        <is>
          <t>40</t>
        </is>
      </c>
      <c r="G44" s="56" t="inlineStr">
        <is>
          <t>Parcelas de cultivo de secano dispersas (clasificación MINAM: zona agrícola).</t>
        </is>
      </c>
    </row>
    <row r="45">
      <c r="A45" s="57" t="inlineStr">
        <is>
          <t>8</t>
        </is>
      </c>
      <c r="B45" s="57" t="inlineStr">
        <is>
          <t>Cambio de uso a pastoreo</t>
        </is>
      </c>
      <c r="C45" s="57" t="inlineStr">
        <is>
          <t>Sí</t>
        </is>
      </c>
      <c r="D45" s="57" t="inlineStr">
        <is>
          <t>Fuerte</t>
        </is>
      </c>
      <c r="E45" s="57" t="inlineStr">
        <is>
          <t>70</t>
        </is>
      </c>
      <c r="F45" s="57" t="inlineStr">
        <is>
          <t>40</t>
        </is>
      </c>
      <c r="G45" s="57" t="inlineStr">
        <is>
          <t>Matriz del bloque convertida a pastizal para pastoreo.</t>
        </is>
      </c>
    </row>
    <row r="46">
      <c r="A46" s="56" t="inlineStr">
        <is>
          <t>9</t>
        </is>
      </c>
      <c r="B46" s="56" t="inlineStr">
        <is>
          <t>Expansión urbana / vial</t>
        </is>
      </c>
      <c r="C46" s="56" t="inlineStr">
        <is>
          <t>Sí</t>
        </is>
      </c>
      <c r="D46" s="56" t="inlineStr">
        <is>
          <t>Ligera</t>
        </is>
      </c>
      <c r="E46" s="56" t="inlineStr">
        <is>
          <t>5</t>
        </is>
      </c>
      <c r="F46" s="56" t="inlineStr">
        <is>
          <t>10</t>
        </is>
      </c>
      <c r="G46" s="56" t="inlineStr">
        <is>
          <t>Apertura de trocha carrozable; cortes de talud (Foto F-05).</t>
        </is>
      </c>
    </row>
    <row r="47">
      <c r="A47" s="57" t="inlineStr">
        <is>
          <t>10</t>
        </is>
      </c>
      <c r="B47" s="57" t="inlineStr">
        <is>
          <t>Minería informal</t>
        </is>
      </c>
      <c r="C47" s="57" t="inlineStr">
        <is>
          <t>No</t>
        </is>
      </c>
      <c r="D47" s="57" t="inlineStr">
        <is>
          <t>Nula</t>
        </is>
      </c>
      <c r="E47" s="57" t="inlineStr"/>
      <c r="F47" s="57" t="inlineStr"/>
      <c r="G47" s="57" t="inlineStr"/>
    </row>
    <row r="48">
      <c r="A48" s="56" t="inlineStr">
        <is>
          <t>11</t>
        </is>
      </c>
      <c r="B48" s="56" t="inlineStr">
        <is>
          <t>Extracción de áridos (cauces)</t>
        </is>
      </c>
      <c r="C48" s="56" t="inlineStr">
        <is>
          <t>No</t>
        </is>
      </c>
      <c r="D48" s="56" t="inlineStr">
        <is>
          <t>Nula</t>
        </is>
      </c>
      <c r="E48" s="56" t="inlineStr"/>
      <c r="F48" s="56" t="inlineStr"/>
      <c r="G48" s="56" t="inlineStr"/>
    </row>
    <row r="49">
      <c r="A49" s="57" t="inlineStr">
        <is>
          <t>12</t>
        </is>
      </c>
      <c r="B49" s="57" t="inlineStr">
        <is>
          <t>Especies invasoras</t>
        </is>
      </c>
      <c r="C49" s="57" t="inlineStr">
        <is>
          <t>Sí</t>
        </is>
      </c>
      <c r="D49" s="57" t="inlineStr">
        <is>
          <t>Moderada</t>
        </is>
      </c>
      <c r="E49" s="57" t="inlineStr">
        <is>
          <t>30</t>
        </is>
      </c>
      <c r="F49" s="57" t="inlineStr">
        <is>
          <t>20</t>
        </is>
      </c>
      <c r="G49" s="57" t="inlineStr">
        <is>
          <t>Kikuyo (Cenchrus clandestinus) dominante en la matriz; Pinus radiata con potencial invasor.</t>
        </is>
      </c>
    </row>
    <row r="50">
      <c r="A50" s="56" t="inlineStr">
        <is>
          <t>13</t>
        </is>
      </c>
      <c r="B50" s="56" t="inlineStr">
        <is>
          <t>Erosión natural severa</t>
        </is>
      </c>
      <c r="C50" s="56" t="inlineStr">
        <is>
          <t>Sí</t>
        </is>
      </c>
      <c r="D50" s="56" t="inlineStr">
        <is>
          <t>Ligera</t>
        </is>
      </c>
      <c r="E50" s="56" t="inlineStr">
        <is>
          <t>10</t>
        </is>
      </c>
      <c r="F50" s="56" t="inlineStr"/>
      <c r="G50" s="56" t="inlineStr">
        <is>
          <t>Erosión en cortes de talud y bordes de quebrada (suelos saprolíticos).</t>
        </is>
      </c>
    </row>
    <row r="51">
      <c r="A51" s="57" t="inlineStr">
        <is>
          <t>14</t>
        </is>
      </c>
      <c r="B51" s="57" t="inlineStr">
        <is>
          <t>Sequía prolongada / CC</t>
        </is>
      </c>
      <c r="C51" s="57" t="inlineStr">
        <is>
          <t>Sí</t>
        </is>
      </c>
      <c r="D51" s="57" t="inlineStr">
        <is>
          <t>Moderada</t>
        </is>
      </c>
      <c r="E51" s="57" t="inlineStr"/>
      <c r="F51" s="57" t="inlineStr"/>
      <c r="G51" s="57" t="inlineStr">
        <is>
          <t>Estrés hídrico estacional; tendencia a la aridización según escenarios de cambio climático.</t>
        </is>
      </c>
    </row>
    <row r="52">
      <c r="A52" s="56" t="inlineStr">
        <is>
          <t>15</t>
        </is>
      </c>
      <c r="B52" s="56" t="inlineStr">
        <is>
          <t>Plagas o enfermedades forestales</t>
        </is>
      </c>
      <c r="C52" s="56" t="inlineStr">
        <is>
          <t>No</t>
        </is>
      </c>
      <c r="D52" s="56" t="inlineStr">
        <is>
          <t>Nula</t>
        </is>
      </c>
      <c r="E52" s="56" t="inlineStr"/>
      <c r="F52" s="56" t="inlineStr"/>
      <c r="G52" s="56" t="inlineStr"/>
    </row>
    <row r="53">
      <c r="A53" s="57" t="inlineStr">
        <is>
          <t>16</t>
        </is>
      </c>
      <c r="B53" s="57" t="inlineStr">
        <is>
          <t>Otro</t>
        </is>
      </c>
      <c r="C53" s="57" t="inlineStr">
        <is>
          <t>No</t>
        </is>
      </c>
      <c r="D53" s="57" t="inlineStr">
        <is>
          <t>Nula</t>
        </is>
      </c>
      <c r="E53" s="57" t="inlineStr"/>
      <c r="F53" s="57" t="inlineStr"/>
      <c r="G53" s="57" t="inlineStr"/>
    </row>
    <row r="55">
      <c r="A55" s="54" t="inlineStr">
        <is>
          <t>F-DT-04 · INDICADORES CUANTITATIVOS</t>
        </is>
      </c>
    </row>
    <row r="56">
      <c r="A56" s="55" t="inlineStr">
        <is>
          <t>N.o</t>
        </is>
      </c>
      <c r="B56" s="55" t="inlineStr">
        <is>
          <t>Indicador</t>
        </is>
      </c>
      <c r="C56" s="55" t="inlineStr">
        <is>
          <t>Unidad</t>
        </is>
      </c>
      <c r="D56" s="55" t="inlineStr">
        <is>
          <t>Valor</t>
        </is>
      </c>
      <c r="E56" s="55" t="inlineStr">
        <is>
          <t>Fuente</t>
        </is>
      </c>
      <c r="F56" s="55" t="inlineStr">
        <is>
          <t>Umbral</t>
        </is>
      </c>
      <c r="G56" s="55" t="inlineStr">
        <is>
          <t>Nivel</t>
        </is>
      </c>
    </row>
    <row r="57">
      <c r="A57" s="56" t="inlineStr">
        <is>
          <t>1</t>
        </is>
      </c>
      <c r="B57" s="56" t="inlineStr">
        <is>
          <t>Cobertura vegetal total</t>
        </is>
      </c>
      <c r="C57" s="56" t="inlineStr">
        <is>
          <t>%</t>
        </is>
      </c>
      <c r="D57" s="56" t="inlineStr">
        <is>
          <t>80</t>
        </is>
      </c>
      <c r="E57" s="56" t="inlineStr">
        <is>
          <t>Estimación de campo / MSAVI Piura 2024</t>
        </is>
      </c>
      <c r="F57" s="56" t="inlineStr">
        <is>
          <t>&gt;60% bueno; 30-60% medio; &lt;30% malo</t>
        </is>
      </c>
      <c r="G57" s="56" t="inlineStr">
        <is>
          <t>Bajo</t>
        </is>
      </c>
    </row>
    <row r="58">
      <c r="A58" s="57" t="inlineStr">
        <is>
          <t>2</t>
        </is>
      </c>
      <c r="B58" s="57" t="inlineStr">
        <is>
          <t>Porcentaje de suelo desnudo</t>
        </is>
      </c>
      <c r="C58" s="57" t="inlineStr">
        <is>
          <t>%</t>
        </is>
      </c>
      <c r="D58" s="57" t="inlineStr">
        <is>
          <t>20</t>
        </is>
      </c>
      <c r="E58" s="57" t="inlineStr">
        <is>
          <t>Estimación de campo</t>
        </is>
      </c>
      <c r="F58" s="57" t="inlineStr">
        <is>
          <t>&lt;10% bueno; 10-30% medio; &gt;30% malo</t>
        </is>
      </c>
      <c r="G58" s="57" t="inlineStr">
        <is>
          <t>Medio</t>
        </is>
      </c>
    </row>
    <row r="59">
      <c r="A59" s="56" t="inlineStr">
        <is>
          <t>3</t>
        </is>
      </c>
      <c r="B59" s="56" t="inlineStr">
        <is>
          <t>Densidad de cárcavas</t>
        </is>
      </c>
      <c r="C59" s="56" t="inlineStr">
        <is>
          <t>N°/ha</t>
        </is>
      </c>
      <c r="D59" s="56" t="inlineStr">
        <is>
          <t>1</t>
        </is>
      </c>
      <c r="E59" s="56" t="inlineStr">
        <is>
          <t>Inventario de campo (F-DT-02)</t>
        </is>
      </c>
      <c r="F59" s="56" t="inlineStr">
        <is>
          <t>0 nulo; 1-3 medio; &gt;3 alto</t>
        </is>
      </c>
      <c r="G59" s="56" t="inlineStr">
        <is>
          <t>Medio</t>
        </is>
      </c>
    </row>
    <row r="60">
      <c r="A60" s="57" t="inlineStr">
        <is>
          <t>4</t>
        </is>
      </c>
      <c r="B60" s="57" t="inlineStr">
        <is>
          <t>Presencia de especies invasoras</t>
        </is>
      </c>
      <c r="C60" s="57" t="inlineStr">
        <is>
          <t>% área</t>
        </is>
      </c>
      <c r="D60" s="57" t="inlineStr">
        <is>
          <t>30</t>
        </is>
      </c>
      <c r="E60" s="57" t="inlineStr">
        <is>
          <t>Estimación de campo</t>
        </is>
      </c>
      <c r="F60" s="57" t="inlineStr">
        <is>
          <t>&lt;5% bueno; 5-20% medio; &gt;20% alto</t>
        </is>
      </c>
      <c r="G60" s="57" t="inlineStr">
        <is>
          <t>Alto</t>
        </is>
      </c>
    </row>
    <row r="61">
      <c r="A61" s="56" t="inlineStr">
        <is>
          <t>5</t>
        </is>
      </c>
      <c r="B61" s="56" t="inlineStr">
        <is>
          <t>Carga ganadera estimada</t>
        </is>
      </c>
      <c r="C61" s="56" t="inlineStr">
        <is>
          <t>UA/ha</t>
        </is>
      </c>
      <c r="D61" s="56" t="inlineStr">
        <is>
          <t>0.8</t>
        </is>
      </c>
      <c r="E61" s="56" t="inlineStr">
        <is>
          <t>Estimación de campo (pastoreo vacuno)</t>
        </is>
      </c>
      <c r="F61" s="56" t="inlineStr">
        <is>
          <t>Según tipo de ecosistema</t>
        </is>
      </c>
      <c r="G61" s="56" t="inlineStr">
        <is>
          <t>Medio</t>
        </is>
      </c>
    </row>
    <row r="62">
      <c r="A62" s="57" t="inlineStr">
        <is>
          <t>6</t>
        </is>
      </c>
      <c r="B62" s="57" t="inlineStr">
        <is>
          <t>Frecuencia de quemas últimos 5 años</t>
        </is>
      </c>
      <c r="C62" s="57" t="inlineStr">
        <is>
          <t>N°</t>
        </is>
      </c>
      <c r="D62" s="57" t="inlineStr">
        <is>
          <t>2</t>
        </is>
      </c>
      <c r="E62" s="57" t="inlineStr">
        <is>
          <t>Indicios de campo / entrevista</t>
        </is>
      </c>
      <c r="F62" s="57" t="inlineStr">
        <is>
          <t>0 nulo; 1-2 medio; &gt;2 alto</t>
        </is>
      </c>
      <c r="G62" s="57" t="inlineStr">
        <is>
          <t>Medio</t>
        </is>
      </c>
    </row>
    <row r="63">
      <c r="A63" s="56" t="inlineStr">
        <is>
          <t>7</t>
        </is>
      </c>
      <c r="B63" s="56" t="inlineStr">
        <is>
          <t>% área con pendiente &gt;50%</t>
        </is>
      </c>
      <c r="C63" s="56" t="inlineStr">
        <is>
          <t>%</t>
        </is>
      </c>
      <c r="D63" s="56" t="inlineStr">
        <is>
          <t>25</t>
        </is>
      </c>
      <c r="E63" s="56" t="inlineStr">
        <is>
          <t>DEM / perfil Google Earth (pend. máx. 78.6%)</t>
        </is>
      </c>
      <c r="F63" s="56" t="inlineStr">
        <is>
          <t>Factor de susceptibilidad</t>
        </is>
      </c>
      <c r="G63" s="56" t="inlineStr">
        <is>
          <t>Medio</t>
        </is>
      </c>
    </row>
    <row r="64">
      <c r="A64" s="57" t="inlineStr">
        <is>
          <t>8</t>
        </is>
      </c>
      <c r="B64" s="57" t="inlineStr">
        <is>
          <t>Distancia a vía vecinal más cercana</t>
        </is>
      </c>
      <c r="C64" s="57" t="inlineStr">
        <is>
          <t>m</t>
        </is>
      </c>
      <c r="D64" s="57" t="inlineStr">
        <is>
          <t>50</t>
        </is>
      </c>
      <c r="E64" s="57" t="inlineStr">
        <is>
          <t>GPS / Google Earth</t>
        </is>
      </c>
      <c r="F64" s="57" t="inlineStr">
        <is>
          <t>A menor distancia → mayor presión</t>
        </is>
      </c>
      <c r="G64" s="57" t="inlineStr">
        <is>
          <t>Alto</t>
        </is>
      </c>
    </row>
    <row r="66">
      <c r="A66" s="54" t="inlineStr">
        <is>
          <t>F-DT-05 · FUENTES DE AGUA INVENTARIADAS</t>
        </is>
      </c>
    </row>
    <row r="67">
      <c r="A67" s="55" t="inlineStr">
        <is>
          <t>N.o</t>
        </is>
      </c>
      <c r="B67" s="55" t="inlineStr">
        <is>
          <t>Tipo de fuente</t>
        </is>
      </c>
      <c r="C67" s="55" t="inlineStr">
        <is>
          <t>UTM ESTE</t>
        </is>
      </c>
      <c r="D67" s="55" t="inlineStr">
        <is>
          <t>UTM NORTE</t>
        </is>
      </c>
      <c r="E67" s="55" t="inlineStr">
        <is>
          <t>Régimen</t>
        </is>
      </c>
      <c r="F67" s="55" t="inlineStr">
        <is>
          <t>Calidad</t>
        </is>
      </c>
      <c r="G67" s="55" t="inlineStr">
        <is>
          <t>Distancia (m)</t>
        </is>
      </c>
      <c r="H67" s="55" t="inlineStr">
        <is>
          <t>Uso / observación</t>
        </is>
      </c>
    </row>
    <row r="68">
      <c r="A68" s="56" t="inlineStr">
        <is>
          <t>1</t>
        </is>
      </c>
      <c r="B68" s="56" t="inlineStr">
        <is>
          <t>Quebrada permanente</t>
        </is>
      </c>
      <c r="C68" s="61" t="n">
        <v>642820</v>
      </c>
      <c r="D68" s="61" t="n">
        <v>9438490</v>
      </c>
      <c r="E68" s="56" t="inlineStr">
        <is>
          <t>Permanente</t>
        </is>
      </c>
      <c r="F68" s="56" t="inlineStr">
        <is>
          <t>Buena (clara, sin olor, sin sedimentos)</t>
        </is>
      </c>
      <c r="G68" s="61" t="n">
        <v>30</v>
      </c>
      <c r="H68" s="56" t="inlineStr">
        <is>
          <t>Quebrada Huacas: Cauce colindante al NE del bloque; abrevadero de ganado; tributa a la microcuenca C1086-Q9575.</t>
        </is>
      </c>
    </row>
    <row r="69">
      <c r="A69" s="57" t="inlineStr">
        <is>
          <t>2</t>
        </is>
      </c>
      <c r="B69" s="57" t="inlineStr">
        <is>
          <t>Manantial / Puquio</t>
        </is>
      </c>
      <c r="C69" s="63" t="n">
        <v>642710</v>
      </c>
      <c r="D69" s="63" t="n">
        <v>9438430</v>
      </c>
      <c r="E69" s="57" t="inlineStr">
        <is>
          <t>Estacional (lluvias)</t>
        </is>
      </c>
      <c r="F69" s="57" t="inlineStr">
        <is>
          <t>Buena (clara, sin olor, sin sedimentos)</t>
        </is>
      </c>
      <c r="G69" s="64" t="n">
        <v>0</v>
      </c>
      <c r="H69" s="57" t="inlineStr">
        <is>
          <t>Afloramiento difuso (hondonada): Zona de humedad persistente en el fondo del anfiteatro cóncavo; recarga local.</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Verificación de campo realizada el 26-05-2026 por el Ing. Héctor S. Cahuas Miller, con el Ing. Juan Carlos Domínguez Varas y el Biól. Abel Aucasime Orihuela. Acceso por carretera PI-124 desde la capital distrital de Yamango, empalmando con trocha carrozable; el ingreso final al bloque se realizó a pie desde el punto georreferenciado 17M 643951 E / 9438198 N (estacionamiento de la camioneta). La morfología en hondonada/anfiteatro cóncavo sugiere un proceso de remoción en masa relicto (antiguo), hoy estabilizado por cobertura vegetal. En el corte de talud de la trocha (17M 642626 E / 9438218 N) se observan suelos residuales (saprolíticos) y raíces expuestas, susceptibles a desprendimientos en época lluviosa. Área del bloque ≈0.86 ha (consistente con el polígono medido en Google Earth: tramos de 117–159 m).</t>
        </is>
      </c>
    </row>
    <row r="75">
      <c r="A75" s="57" t="inlineStr">
        <is>
          <t>F-DT-02</t>
        </is>
      </c>
      <c r="B75" s="57" t="inlineStr">
        <is>
          <t>La buena cobertura herbáceo-graminoide de la matriz limita la erosión laminar a niveles ligeros. Los procesos erosivos más visibles se concentran en el corte de talud de la trocha carrozable (suelos residuales saprolíticos, raíces expuestas, desprendimientos menores) y en los bordes de la quebrada Huacas. Se recomienda control de escorrentía y revegetación de taludes en el acceso. No se observaron cárcavas profundas ni socavamiento activo de cauce dentro del bloque.</t>
        </is>
      </c>
    </row>
    <row r="76">
      <c r="A76" s="56" t="inlineStr">
        <is>
          <t>F-DT-03</t>
        </is>
      </c>
      <c r="B76" s="56" t="inlineStr">
        <is>
          <t>Ecosistema MINAM: Zona agrícola (agroecosistema/mosaico). Pese a su clasificación agrícola, conserva relictos de bosque montano nativo en las cabeceras inaccesibles (zona de vida bosque húmedo–Montano Tropical en transición a páramo/jalca, ≈3080 msnm). Coexisten especies nativas valiosas (aliso, nogal, queñua, lanche) con exóticas plantadas (Pinus radiata) y pastos introducidos/invasores (kikuyo). Lista florística preliminar fundamentada en estudios de la zona: cuenca La Gallega y bosque relicto Mijal–Ñoma (Morropón) y bosque de Cuyas (Ayabaca). Requiere inventario detallado en campaña botánica específica.</t>
        </is>
      </c>
    </row>
    <row r="77">
      <c r="A77" s="57" t="inlineStr">
        <is>
          <t>F-DT-04</t>
        </is>
      </c>
      <c r="B77" s="57" t="inlineStr">
        <is>
          <t>El mapa de índice de vegetación MSAVI (Piura 2024) muestra valores predominantemente medios-altos (&gt;0.49) dentro del polígono, con parches inferiores (0.38–0.49) en el sector noroeste, lo que confirma que la degradación responde principalmente al uso (pastoreo/quema) más que a una pérdida total de cobertura. La intervención debe priorizar manejo silvopastoril, clausura temporal de relictos y revegetación con nativas.</t>
        </is>
      </c>
    </row>
    <row r="78">
      <c r="A78" s="56" t="inlineStr">
        <is>
          <t>F-DT-05</t>
        </is>
      </c>
      <c r="B78" s="56" t="inlineStr">
        <is>
          <t>El acceso final al bloque es a pie (≈40 min) desde el punto de estacionamiento georreferenciado (17M 643951 E / 9438198 N). Predios de propiedad privada dedicados a pastoreo y ganadería. La hondonada cóncava constituye una zona de infiltración/recarga local que alimenta la quebrada Huacas. Brigada: Ing. Héctor S. Cahuas Miller, Ing. Juan Carlos Domínguez Varas y Biól. Abel Aucasime Orihuela. Se recomienda coordinación con la Ronda Campesina local para futuras campañas.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55</t>
        </is>
      </c>
    </row>
    <row r="7">
      <c r="A7" s="54" t="inlineStr">
        <is>
          <t>Hechos declarados por fuente</t>
        </is>
      </c>
    </row>
    <row r="8">
      <c r="A8" s="55" t="inlineStr">
        <is>
          <t>Fuente</t>
        </is>
      </c>
      <c r="B8" s="55" t="inlineStr">
        <is>
          <t>Hechos</t>
        </is>
      </c>
    </row>
    <row r="9">
      <c r="A9" s="56" t="inlineStr">
        <is>
          <t>Dato de campo</t>
        </is>
      </c>
      <c r="B9" s="56" t="n">
        <v>73</v>
      </c>
    </row>
    <row r="10">
      <c r="A10" s="57" t="inlineStr">
        <is>
          <t>Gabinete (GIS / teledetección)</t>
        </is>
      </c>
      <c r="B10" s="57" t="n">
        <v>23</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107</v>
      </c>
    </row>
    <row r="29">
      <c r="A29" s="57" t="inlineStr">
        <is>
          <t>COMPLEMENTADO</t>
        </is>
      </c>
      <c r="B29" s="57" t="n">
        <v>1</v>
      </c>
    </row>
    <row r="30">
      <c r="A30" s="56" t="inlineStr">
        <is>
          <t>ACTUALIZADO</t>
        </is>
      </c>
      <c r="B30" s="56" t="n">
        <v>2</v>
      </c>
    </row>
    <row r="31">
      <c r="A31" s="57" t="inlineStr">
        <is>
          <t>DISCREPANTE</t>
        </is>
      </c>
      <c r="B31" s="57" t="n">
        <v>0</v>
      </c>
    </row>
    <row r="32">
      <c r="A32" s="56" t="inlineStr">
        <is>
          <t>PENDIENTE</t>
        </is>
      </c>
      <c r="B32" s="56" t="n">
        <v>4</v>
      </c>
    </row>
    <row r="45">
      <c r="A45" s="54" t="inlineStr">
        <is>
          <t>Cobertura por estrato — campo (%)</t>
        </is>
      </c>
    </row>
    <row r="46">
      <c r="A46" s="55" t="inlineStr">
        <is>
          <t>Estrato</t>
        </is>
      </c>
      <c r="B46" s="55" t="inlineStr">
        <is>
          <t>% del área</t>
        </is>
      </c>
    </row>
    <row r="47">
      <c r="A47" s="56" t="inlineStr">
        <is>
          <t>Dosel</t>
        </is>
      </c>
      <c r="B47" s="61" t="n">
        <v>15</v>
      </c>
    </row>
    <row r="48">
      <c r="A48" s="57" t="inlineStr">
        <is>
          <t>Arbustiva</t>
        </is>
      </c>
      <c r="B48" s="63" t="n">
        <v>10</v>
      </c>
    </row>
    <row r="49">
      <c r="A49" s="56" t="inlineStr">
        <is>
          <t>Herbácea</t>
        </is>
      </c>
      <c r="B49" s="61" t="n">
        <v>60</v>
      </c>
    </row>
    <row r="50">
      <c r="A50" s="57" t="inlineStr">
        <is>
          <t>Hojarasca</t>
        </is>
      </c>
      <c r="B50" s="64" t="n">
        <v>5</v>
      </c>
    </row>
    <row r="51">
      <c r="A51" s="56" t="inlineStr">
        <is>
          <t>Suelo desnudo</t>
        </is>
      </c>
      <c r="B51" s="61" t="n">
        <v>20</v>
      </c>
    </row>
    <row r="64">
      <c r="A64" s="54" t="inlineStr">
        <is>
          <t>Causas activas de degradación (F-DT-04)</t>
        </is>
      </c>
    </row>
    <row r="65">
      <c r="A65" s="55" t="inlineStr">
        <is>
          <t>Causa</t>
        </is>
      </c>
      <c r="B65" s="55" t="inlineStr">
        <is>
          <t>Intensidad (1 ligera - 4 muy fuerte)</t>
        </is>
      </c>
    </row>
    <row r="66">
      <c r="A66" s="56" t="inlineStr">
        <is>
          <t>Sobrepastoreo (caprino/vacuno)</t>
        </is>
      </c>
      <c r="B66" s="56" t="n">
        <v>4</v>
      </c>
    </row>
    <row r="67">
      <c r="A67" s="57" t="inlineStr">
        <is>
          <t>Cambio de uso a pastoreo</t>
        </is>
      </c>
      <c r="B67" s="57" t="n">
        <v>3</v>
      </c>
    </row>
    <row r="68">
      <c r="A68" s="56" t="inlineStr">
        <is>
          <t>Especies invasoras</t>
        </is>
      </c>
      <c r="B68" s="56" t="n">
        <v>2</v>
      </c>
    </row>
    <row r="69">
      <c r="A69" s="57" t="inlineStr">
        <is>
          <t>Quema (renovación de pastos)</t>
        </is>
      </c>
      <c r="B69" s="57" t="n">
        <v>2</v>
      </c>
    </row>
    <row r="70">
      <c r="A70" s="56" t="inlineStr">
        <is>
          <t>Sequía prolongada / CC</t>
        </is>
      </c>
      <c r="B70" s="56" t="n">
        <v>2</v>
      </c>
    </row>
    <row r="71">
      <c r="A71" s="57" t="inlineStr">
        <is>
          <t>Tala para leña</t>
        </is>
      </c>
      <c r="B71" s="57" t="n">
        <v>2</v>
      </c>
    </row>
    <row r="72">
      <c r="A72" s="56" t="inlineStr">
        <is>
          <t>Cambio de uso a agricultura</t>
        </is>
      </c>
      <c r="B72" s="56" t="n">
        <v>1</v>
      </c>
    </row>
    <row r="73">
      <c r="A73" s="57" t="inlineStr">
        <is>
          <t>Erosión natural severa</t>
        </is>
      </c>
      <c r="B73" s="57" t="n">
        <v>1</v>
      </c>
    </row>
    <row r="74">
      <c r="A74" s="56" t="inlineStr">
        <is>
          <t>Expansión urbana / vial</t>
        </is>
      </c>
      <c r="B74" s="56" t="n">
        <v>1</v>
      </c>
    </row>
    <row r="75">
      <c r="A75" s="57" t="inlineStr">
        <is>
          <t>Tala para madera</t>
        </is>
      </c>
      <c r="B75" s="57" t="n">
        <v>1</v>
      </c>
    </row>
    <row r="83">
      <c r="A83" s="54" t="inlineStr">
        <is>
          <t>Control de consistencia por calificación</t>
        </is>
      </c>
    </row>
    <row r="84">
      <c r="A84" s="55" t="inlineStr">
        <is>
          <t>Calificación</t>
        </is>
      </c>
      <c r="B84" s="55" t="inlineStr">
        <is>
          <t>Verificaciones</t>
        </is>
      </c>
    </row>
    <row r="85">
      <c r="A85" s="56" t="inlineStr">
        <is>
          <t>SUSTANTIVA</t>
        </is>
      </c>
      <c r="B85" s="56" t="n">
        <v>1</v>
      </c>
    </row>
    <row r="86">
      <c r="A86" s="57" t="inlineStr">
        <is>
          <t>NO SUSTANTIVA</t>
        </is>
      </c>
      <c r="B86" s="57" t="n">
        <v>2</v>
      </c>
    </row>
    <row r="87">
      <c r="A87" s="56" t="inlineStr">
        <is>
          <t>CORREGIDO</t>
        </is>
      </c>
      <c r="B87" s="56" t="n">
        <v>2</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55 — IN Piura</dc:title>
  <dc:subject>Diagnóstico Territorial por bloque de intervención</dc:subject>
  <dcterms:created xsi:type="dcterms:W3CDTF">2026-09-08T03:39:54Z</dcterms:created>
  <dcterms:modified xsi:type="dcterms:W3CDTF">2026-09-11T21:26:27Z</dcterms:modified>
</cp:coreProperties>
</file>