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integración'!$A$66:$A$73</f>
            </numRef>
          </cat>
          <val>
            <numRef>
              <f>'Gráficos de integración'!$B$66:$B$73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49</t>
        </is>
      </c>
    </row>
    <row r="6" ht="24" customHeight="1">
      <c r="A6" s="4" t="inlineStr">
        <is>
          <t>Diagnóstico Territorial — Plantilla DT Campo Check Validada V5 | Sistema de referencia: UTM WGS 84 Zona 17S (EPSG:32717) · Integrado con la ficha de campo F-DT vigente (FDT_B49_Diagnostico_Territorial.xlsx) — V7 - resumen V6 + campo F-DT integrado</t>
        </is>
      </c>
    </row>
    <row r="7"/>
    <row r="8" ht="18" customHeight="1">
      <c r="A8" s="5" t="inlineStr">
        <is>
          <t>1. IDENTIFICACIÓN Y LOCALIZACIÓN</t>
        </is>
      </c>
    </row>
    <row r="9">
      <c r="A9" s="6" t="inlineStr">
        <is>
          <t>Código del bloque</t>
        </is>
      </c>
      <c r="B9" s="7" t="inlineStr">
        <is>
          <t>49</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 (caserío Pajal, sector central del bloque)</t>
        </is>
      </c>
      <c r="C13" s="6" t="inlineStr">
        <is>
          <t>Comunidad campesina</t>
        </is>
      </c>
      <c r="D13" s="7" t="inlineStr">
        <is>
          <t>No aplica — predios rurales de propiedad privada dedicados a pastoreo y ganadería</t>
        </is>
      </c>
      <c r="E13" s="8" t="n"/>
      <c r="F13" s="8" t="n"/>
    </row>
    <row r="14">
      <c r="A14" s="6" t="inlineStr">
        <is>
          <t>Superficie de catálogo (V5/V6), ha</t>
        </is>
      </c>
      <c r="B14" s="7" t="n">
        <v>15.84</v>
      </c>
      <c r="C14" s="6" t="inlineStr">
        <is>
          <t>Fuente de superficie</t>
        </is>
      </c>
      <c r="D14" s="7" t="inlineStr">
        <is>
          <t>Catálogo maestro Bloques V5/V6</t>
        </is>
      </c>
      <c r="E14" s="8" t="n"/>
      <c r="F14" s="8" t="n"/>
    </row>
    <row r="15">
      <c r="A15" s="6" t="inlineStr">
        <is>
          <t>Centroide UTM ESTE (m)</t>
        </is>
      </c>
      <c r="B15" s="7" t="n">
        <v>642334</v>
      </c>
      <c r="C15" s="6" t="inlineStr">
        <is>
          <t>Centroide UTM NORTE (m)</t>
        </is>
      </c>
      <c r="D15" s="7" t="n">
        <v>9438263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3065</v>
      </c>
      <c r="C19" s="6" t="inlineStr">
        <is>
          <t>Altitud máxima (msnm)</t>
        </is>
      </c>
      <c r="D19" s="7" t="n">
        <v>3246</v>
      </c>
      <c r="E19" s="8" t="n"/>
      <c r="F19" s="8" t="n"/>
    </row>
    <row r="20">
      <c r="A20" s="6" t="inlineStr">
        <is>
          <t>Amplitud altitudinal (m)</t>
        </is>
      </c>
      <c r="B20" s="7" t="n">
        <v>181</v>
      </c>
      <c r="C20" s="6" t="inlineStr">
        <is>
          <t>Piso altitudinal dominante</t>
        </is>
      </c>
      <c r="D20" s="7" t="inlineStr">
        <is>
          <t>3000-3500 m (Puna baja)</t>
        </is>
      </c>
      <c r="E20" s="8" t="n"/>
      <c r="F20" s="8" t="n"/>
    </row>
    <row r="21">
      <c r="A21" s="6" t="inlineStr">
        <is>
          <t>Pendiente promedio (%)</t>
        </is>
      </c>
      <c r="B21" s="7" t="n">
        <v>25.96</v>
      </c>
      <c r="C21" s="6" t="inlineStr">
        <is>
          <t>Pendiente promedio (grados)</t>
        </is>
      </c>
      <c r="D21" s="7" t="n">
        <v>14.6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0.6860000000000001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(98.80 %)</t>
        </is>
      </c>
      <c r="E29" s="8" t="n"/>
      <c r="F29" s="8" t="n"/>
    </row>
    <row r="30">
      <c r="A30" s="6" t="inlineStr">
        <is>
          <t>Superficie clasificada NDVI 2025 (ha)</t>
        </is>
      </c>
      <c r="B30" s="7" t="n">
        <v>15.844</v>
      </c>
      <c r="C30" s="6" t="inlineStr">
        <is>
          <t>Desviación frente al catálogo (%)</t>
        </is>
      </c>
      <c r="D30" s="7" t="n">
        <v>0.02</v>
      </c>
      <c r="E30" s="8" t="n"/>
      <c r="F30" s="8" t="n"/>
    </row>
    <row r="31">
      <c r="A31" s="6" t="inlineStr">
        <is>
          <t>Superficie clasificada MSAVI 2024 (ha)</t>
        </is>
      </c>
      <c r="B31" s="38" t="n">
        <v>15.839</v>
      </c>
      <c r="C31" s="6" t="inlineStr">
        <is>
          <t>Desviación MSAVI frente al catálogo (%)</t>
        </is>
      </c>
      <c r="D31" s="39" t="n">
        <v>-0.01</v>
      </c>
      <c r="E31" s="8" t="n"/>
      <c r="F31" s="8" t="n"/>
    </row>
    <row r="32">
      <c r="A32" s="6" t="inlineStr">
        <is>
          <t>Superficie bajo umbral MSAVI 0.4976 (ha)</t>
        </is>
      </c>
      <c r="B32" s="38" t="n">
        <v>0.577</v>
      </c>
      <c r="C32" s="6" t="inlineStr">
        <is>
          <t>% del bloque bajo umbral (brecha espectral)</t>
        </is>
      </c>
      <c r="D32" s="39" t="n">
        <v>3.64</v>
      </c>
      <c r="E32" s="8" t="n"/>
      <c r="F32" s="8" t="n"/>
    </row>
    <row r="33">
      <c r="A33" s="6" t="inlineStr">
        <is>
          <t>Clase DN dominante (MSAVI 2024)</t>
        </is>
      </c>
      <c r="B33" s="7" t="inlineStr">
        <is>
          <t>DN 5 · &gt; 0.6139 (Vigor alto)</t>
        </is>
      </c>
      <c r="C33" s="6" t="inlineStr">
        <is>
          <t>N.° de polígonos MSAVI del bloque</t>
        </is>
      </c>
      <c r="D33" s="40" t="n">
        <v>47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50" t="inlineStr">
        <is>
          <t>15.84 ha (área total del bloque según polígono digital; mosaico agropecuario con relictos de bosque montano)</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Pastizal natural</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2026-05-26</t>
        </is>
      </c>
      <c r="E44" s="8" t="n"/>
      <c r="F44" s="8" t="n"/>
    </row>
    <row r="45">
      <c r="A45" s="6" t="inlineStr">
        <is>
          <t>Hora de registro</t>
        </is>
      </c>
      <c r="B45" s="7" t="inlineStr">
        <is>
          <t>12:05 h</t>
        </is>
      </c>
      <c r="C45" s="6" t="inlineStr">
        <is>
          <t>Correlativo de ficha</t>
        </is>
      </c>
      <c r="D45" s="7" t="inlineStr">
        <is>
          <t>DT-B49-001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Transecto de reconocimiento T-01 (sector central)</t>
        </is>
      </c>
      <c r="E47" s="8" t="n"/>
      <c r="F47" s="8" t="n"/>
    </row>
    <row r="48">
      <c r="A48" s="6" t="inlineStr">
        <is>
          <t>Estaciones fotográficas georreferenciadas</t>
        </is>
      </c>
      <c r="B48" s="7" t="n">
        <v>8</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50" t="inlineStr">
        <is>
          <t>Dependencia económica de la ganadería extensiva de subsistencia, sin ordenamiento del uso del suelo ni manejo forestal, en predios privados — sin incentivos para la conservación de los relictos.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12.4611</v>
      </c>
      <c r="C10" s="31">
        <f>ROUND(B10/$B$15*100,2)</f>
        <v/>
      </c>
      <c r="D10" s="12" t="inlineStr">
        <is>
          <t>Vigor alto</t>
        </is>
      </c>
      <c r="E10" s="12" t="inlineStr">
        <is>
          <t>Sobre umbral</t>
        </is>
      </c>
    </row>
    <row r="11">
      <c r="A11" s="13" t="inlineStr">
        <is>
          <t>0.4976 - 0.6139 · DN 4</t>
        </is>
      </c>
      <c r="B11" s="20" t="n">
        <v>2.8014</v>
      </c>
      <c r="C11" s="21">
        <f>ROUND(B11/$B$15*100,2)</f>
        <v/>
      </c>
      <c r="D11" s="14" t="inlineStr">
        <is>
          <t>Vigor moderado</t>
        </is>
      </c>
      <c r="E11" s="14" t="inlineStr">
        <is>
          <t>Sobre umbral</t>
        </is>
      </c>
    </row>
    <row r="12">
      <c r="A12" s="7" t="inlineStr">
        <is>
          <t>0.3813 - 0.4976 · DN 3</t>
        </is>
      </c>
      <c r="B12" s="18" t="n">
        <v>0.5766</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47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15.84</v>
      </c>
      <c r="C18" s="49" t="inlineStr">
        <is>
          <t>—</t>
        </is>
      </c>
      <c r="D18" s="46" t="inlineStr">
        <is>
          <t>Desviación planimétrica frente al catálogo</t>
        </is>
      </c>
      <c r="E18" s="46" t="inlineStr">
        <is>
          <t>-0.01 %</t>
        </is>
      </c>
    </row>
    <row r="19">
      <c r="A19" s="16" t="inlineStr">
        <is>
          <t>MSAVI 2024 — MEDIA DEL BLOQUE</t>
        </is>
      </c>
      <c r="B19" s="17" t="n">
        <v>0.686036</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(0.6860)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15.6532</v>
      </c>
      <c r="C25" s="19" t="n">
        <v>98.8</v>
      </c>
      <c r="D25" s="15" t="inlineStr">
        <is>
          <t>Dosel continuo, matorral denso o mosaico agroforestal</t>
        </is>
      </c>
      <c r="E25" s="15" t="inlineStr"/>
    </row>
    <row r="26">
      <c r="A26" s="13" t="inlineStr">
        <is>
          <t>Vegetación mediana</t>
        </is>
      </c>
      <c r="B26" s="20" t="n">
        <v>0.1907</v>
      </c>
      <c r="C26" s="21" t="n">
        <v>1.2</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15.84</v>
      </c>
      <c r="C28" s="25" t="inlineStr">
        <is>
          <t>—</t>
        </is>
      </c>
      <c r="D28" s="25" t="inlineStr">
        <is>
          <t>Desviación planimétrica frente al catálogo</t>
        </is>
      </c>
      <c r="E28" s="25" t="inlineStr">
        <is>
          <t>+0.02 %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98.80 % del polígono clasificado como «Vegetación alta» por el NDVI 2025; la observación de campo corresponde a una parcela o recorrido puntual y no es estadísticamente representativa de las 15.840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49</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642408</v>
      </c>
      <c r="D10" s="26" t="n">
        <v>9438034</v>
      </c>
      <c r="E10" s="15" t="n">
        <v>240.7</v>
      </c>
      <c r="F10" s="15" t="inlineStr"/>
      <c r="G10" s="15" t="inlineStr">
        <is>
          <t>Coordenada consignada en F-DT-01</t>
        </is>
      </c>
    </row>
    <row r="11">
      <c r="A11" s="13" t="inlineStr">
        <is>
          <t>C-01</t>
        </is>
      </c>
      <c r="B11" s="14" t="inlineStr">
        <is>
          <t>Rasgo erosivo — Cárcava incipiente</t>
        </is>
      </c>
      <c r="C11" s="27" t="n">
        <v>642497</v>
      </c>
      <c r="D11" s="27" t="n">
        <v>9438160</v>
      </c>
      <c r="E11" s="14" t="n">
        <v>192.8</v>
      </c>
      <c r="F11" s="14" t="inlineStr">
        <is>
          <t>Semi-activa</t>
        </is>
      </c>
      <c r="G11" s="14" t="inlineStr">
        <is>
          <t>Caminos / huellas de ganado</t>
        </is>
      </c>
    </row>
    <row r="12">
      <c r="A12" s="7" t="inlineStr">
        <is>
          <t>C-02</t>
        </is>
      </c>
      <c r="B12" s="15" t="inlineStr">
        <is>
          <t>Rasgo erosivo — Cárcava somera</t>
        </is>
      </c>
      <c r="C12" s="26" t="n">
        <v>642387</v>
      </c>
      <c r="D12" s="26" t="n">
        <v>9437997</v>
      </c>
      <c r="E12" s="15" t="n">
        <v>271.2</v>
      </c>
      <c r="F12" s="15" t="inlineStr">
        <is>
          <t>Activa</t>
        </is>
      </c>
      <c r="G12" s="15" t="inlineStr">
        <is>
          <t>Caminos / huellas de ganado</t>
        </is>
      </c>
    </row>
    <row r="13">
      <c r="A13" s="13" t="inlineStr">
        <is>
          <t>H-01</t>
        </is>
      </c>
      <c r="B13" s="14" t="inlineStr">
        <is>
          <t>Fuente de agua — Quebrada permanente</t>
        </is>
      </c>
      <c r="C13" s="27" t="n">
        <v>642690</v>
      </c>
      <c r="D13" s="27" t="n">
        <v>9438400</v>
      </c>
      <c r="E13" s="14" t="n">
        <v>381.5</v>
      </c>
      <c r="F13" s="14" t="inlineStr">
        <is>
          <t>Permanente</t>
        </is>
      </c>
      <c r="G13" s="14" t="inlineStr">
        <is>
          <t>Quebrada Huacas — drenaje</t>
        </is>
      </c>
    </row>
    <row r="14">
      <c r="A14" s="7" t="inlineStr">
        <is>
          <t>H-02</t>
        </is>
      </c>
      <c r="B14" s="15" t="inlineStr">
        <is>
          <t>Fuente de agua — Quebrada estacional</t>
        </is>
      </c>
      <c r="C14" s="26" t="n">
        <v>642425</v>
      </c>
      <c r="D14" s="26" t="n">
        <v>9438096</v>
      </c>
      <c r="E14" s="15" t="n">
        <v>190.2</v>
      </c>
      <c r="F14" s="15" t="inlineStr">
        <is>
          <t>Estacional (lluvias)</t>
        </is>
      </c>
      <c r="G14" s="15" t="inlineStr">
        <is>
          <t>Cauce menor interno</t>
        </is>
      </c>
    </row>
    <row r="15">
      <c r="A15" s="13" t="inlineStr">
        <is>
          <t>B-01</t>
        </is>
      </c>
      <c r="B15" s="14" t="inlineStr">
        <is>
          <t>Especie clave — Nogal andino (Juglans neotropica)</t>
        </is>
      </c>
      <c r="C15" s="27" t="n">
        <v>642430</v>
      </c>
      <c r="D15" s="27" t="n">
        <v>9438050</v>
      </c>
      <c r="E15" s="14" t="n">
        <v>233.6</v>
      </c>
      <c r="F15" s="14" t="inlineStr">
        <is>
          <t>Amenazada D.S. 043</t>
        </is>
      </c>
      <c r="G15" s="14" t="inlineStr">
        <is>
          <t>EN — En Peligro</t>
        </is>
      </c>
    </row>
    <row r="16">
      <c r="A16" s="7" t="inlineStr">
        <is>
          <t>B-02</t>
        </is>
      </c>
      <c r="B16" s="15" t="inlineStr">
        <is>
          <t>Especie clave — Queñua (Polylepis sp.)</t>
        </is>
      </c>
      <c r="C16" s="26" t="n">
        <v>642400</v>
      </c>
      <c r="D16" s="26" t="n">
        <v>9438300</v>
      </c>
      <c r="E16" s="15" t="n">
        <v>75.7</v>
      </c>
      <c r="F16" s="15" t="inlineStr">
        <is>
          <t>Amenazada D.S. 043</t>
        </is>
      </c>
      <c r="G16" s="15" t="inlineStr">
        <is>
          <t>VU — Vulnerable</t>
        </is>
      </c>
    </row>
    <row r="17">
      <c r="A17" s="13" t="inlineStr">
        <is>
          <t>B-03</t>
        </is>
      </c>
      <c r="B17" s="14" t="inlineStr">
        <is>
          <t>Especie clave — Aliso (Alnus acuminata)</t>
        </is>
      </c>
      <c r="C17" s="27" t="n">
        <v>642450</v>
      </c>
      <c r="D17" s="27" t="n">
        <v>9438120</v>
      </c>
      <c r="E17" s="14" t="n">
        <v>184.1</v>
      </c>
      <c r="F17" s="14" t="inlineStr">
        <is>
          <t>Indicadora de buen estado</t>
        </is>
      </c>
      <c r="G17" s="14" t="inlineStr">
        <is>
          <t>LC</t>
        </is>
      </c>
    </row>
    <row r="18">
      <c r="A18" s="7" t="inlineStr">
        <is>
          <t>B-04</t>
        </is>
      </c>
      <c r="B18" s="15" t="inlineStr">
        <is>
          <t>Especie clave — Cascarilla / Quina (Cinchona sp.)</t>
        </is>
      </c>
      <c r="C18" s="26" t="n">
        <v>642400</v>
      </c>
      <c r="D18" s="26" t="n">
        <v>9438320</v>
      </c>
      <c r="E18" s="15" t="n">
        <v>87.2</v>
      </c>
      <c r="F18" s="15" t="inlineStr">
        <is>
          <t>Clave cultural</t>
        </is>
      </c>
      <c r="G18" s="15" t="inlineStr">
        <is>
          <t>VU — Vulnerable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642334</v>
      </c>
      <c r="C21" s="6" t="inlineStr">
        <is>
          <t>Centroide del bloque — UTM NORTE (m)</t>
        </is>
      </c>
      <c r="D21" s="7" t="n">
        <v>9438263</v>
      </c>
      <c r="E21" s="8" t="n"/>
      <c r="F21" s="8" t="n"/>
      <c r="G21" s="8" t="n"/>
      <c r="H21" s="8" t="n"/>
    </row>
    <row r="22">
      <c r="A22" s="6" t="inlineStr">
        <is>
          <t>N.° de estaciones fotográficas declaradas</t>
        </is>
      </c>
      <c r="B22" s="7" t="n">
        <v>8</v>
      </c>
      <c r="C22" s="6" t="inlineStr">
        <is>
          <t>Estaciones dentro del polígono</t>
        </is>
      </c>
      <c r="D22" s="7" t="inlineStr">
        <is>
          <t>Por determinar</t>
        </is>
      </c>
      <c r="E22" s="8" t="n"/>
      <c r="F22" s="8" t="n"/>
      <c r="G22" s="8" t="n"/>
      <c r="H22" s="8" t="n"/>
    </row>
    <row r="24" ht="132"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PI-124 (desde Yamango) y empalme con trocha carrozable; tramo final a pie. El bloque integra el cluster B55-B49-B52 (microcuenca C1086-Q9575, zona Z09). Predominan suelos residuales profundos (saprolito) con escasos afloramientos rocosos. Evidencias de REPTACIÓN LENTA (terracetas de pisoteo) en laderas pastoreadas y microescarpes/erosión activa LOCALIZADA en los cortes de talud de la trocha. La alta pendiente, los suelos profundos y la pérdida de cobertura boscosa configuran SUSCEPTIBILIDAD a movimientos en masa y erosión.</t>
        </is>
      </c>
      <c r="B24" s="41" t="n"/>
      <c r="C24" s="41" t="n"/>
      <c r="D24" s="41" t="n"/>
      <c r="E24" s="41" t="n"/>
      <c r="F24" s="41" t="n"/>
      <c r="G24" s="42"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49</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8" t="n">
        <v>283.43</v>
      </c>
      <c r="C10" s="19" t="n">
        <v>58.52</v>
      </c>
      <c r="D10" s="15" t="inlineStr">
        <is>
          <t>297 – 634</t>
        </is>
      </c>
      <c r="E10" s="15" t="n">
        <v>337</v>
      </c>
      <c r="F10" s="15" t="n">
        <v>13.75</v>
      </c>
      <c r="G10" s="18" t="n">
        <v>0.4275</v>
      </c>
      <c r="H10" s="19" t="n">
        <v>18.09</v>
      </c>
      <c r="I10" s="19" t="n">
        <v>74.81</v>
      </c>
    </row>
    <row r="11">
      <c r="A11" s="13" t="inlineStr">
        <is>
          <t>M28B2</t>
        </is>
      </c>
      <c r="B11" s="29" t="n">
        <v>90.2</v>
      </c>
      <c r="C11" s="21" t="n">
        <v>18.62</v>
      </c>
      <c r="D11" s="14" t="inlineStr">
        <is>
          <t>754 – 1111</t>
        </is>
      </c>
      <c r="E11" s="14" t="n">
        <v>357</v>
      </c>
      <c r="F11" s="14" t="n">
        <v>20.65</v>
      </c>
      <c r="G11" s="20" t="n">
        <v>0.4753</v>
      </c>
      <c r="H11" s="21" t="n">
        <v>37.12</v>
      </c>
      <c r="I11" s="21" t="n">
        <v>62.19</v>
      </c>
    </row>
    <row r="12">
      <c r="A12" s="7" t="inlineStr">
        <is>
          <t>M28B3</t>
        </is>
      </c>
      <c r="B12" s="28" t="n">
        <v>58.29</v>
      </c>
      <c r="C12" s="19" t="n">
        <v>12.04</v>
      </c>
      <c r="D12" s="15" t="inlineStr">
        <is>
          <t>73 – 777</t>
        </is>
      </c>
      <c r="E12" s="15" t="n">
        <v>704</v>
      </c>
      <c r="F12" s="15" t="n">
        <v>22.13</v>
      </c>
      <c r="G12" s="18" t="n">
        <v>0.5075</v>
      </c>
      <c r="H12" s="19" t="n">
        <v>45.27</v>
      </c>
      <c r="I12" s="19" t="n">
        <v>49.67</v>
      </c>
    </row>
    <row r="13">
      <c r="A13" s="13" t="inlineStr">
        <is>
          <t>46</t>
        </is>
      </c>
      <c r="B13" s="29" t="n">
        <v>18.87</v>
      </c>
      <c r="C13" s="21" t="n">
        <v>3.9</v>
      </c>
      <c r="D13" s="14" t="inlineStr">
        <is>
          <t>1371 – 1655</t>
        </is>
      </c>
      <c r="E13" s="14" t="n">
        <v>284</v>
      </c>
      <c r="F13" s="14" t="n">
        <v>31.77</v>
      </c>
      <c r="G13" s="20" t="n">
        <v>0.7244</v>
      </c>
      <c r="H13" s="21" t="inlineStr">
        <is>
          <t>Por determinar</t>
        </is>
      </c>
      <c r="I13" s="14" t="inlineStr">
        <is>
          <t>s/d</t>
        </is>
      </c>
    </row>
    <row r="14">
      <c r="A14" s="11" t="inlineStr">
        <is>
          <t>► 49</t>
        </is>
      </c>
      <c r="B14" s="30" t="n">
        <v>15.84</v>
      </c>
      <c r="C14" s="31" t="n">
        <v>3.27</v>
      </c>
      <c r="D14" s="12" t="inlineStr">
        <is>
          <t>3065 – 3246</t>
        </is>
      </c>
      <c r="E14" s="12" t="n">
        <v>181</v>
      </c>
      <c r="F14" s="12" t="n">
        <v>25.96</v>
      </c>
      <c r="G14" s="32" t="n">
        <v>0.6860000000000001</v>
      </c>
      <c r="H14" s="31" t="n">
        <v>98.8</v>
      </c>
      <c r="I14" s="31" t="n">
        <v>3.64</v>
      </c>
    </row>
    <row r="15">
      <c r="A15" s="13" t="inlineStr">
        <is>
          <t>52</t>
        </is>
      </c>
      <c r="B15" s="29" t="n">
        <v>11.06</v>
      </c>
      <c r="C15" s="21" t="n">
        <v>2.28</v>
      </c>
      <c r="D15" s="14" t="inlineStr">
        <is>
          <t>3011 – 3164</t>
        </is>
      </c>
      <c r="E15" s="14" t="n">
        <v>153</v>
      </c>
      <c r="F15" s="14" t="n">
        <v>26.16</v>
      </c>
      <c r="G15" s="20" t="n">
        <v>0.6685</v>
      </c>
      <c r="H15" s="21" t="n">
        <v>97.31999999999999</v>
      </c>
      <c r="I15" s="21" t="n">
        <v>3.8</v>
      </c>
    </row>
    <row r="16">
      <c r="A16" s="7" t="inlineStr">
        <is>
          <t>48</t>
        </is>
      </c>
      <c r="B16" s="28" t="n">
        <v>5.75</v>
      </c>
      <c r="C16" s="19" t="n">
        <v>1.19</v>
      </c>
      <c r="D16" s="15" t="inlineStr">
        <is>
          <t>1458 – 1595</t>
        </is>
      </c>
      <c r="E16" s="15" t="n">
        <v>137</v>
      </c>
      <c r="F16" s="15" t="n">
        <v>33.6</v>
      </c>
      <c r="G16" s="18" t="n">
        <v>0.6978</v>
      </c>
      <c r="H16" s="19" t="inlineStr">
        <is>
          <t>Por determinar</t>
        </is>
      </c>
      <c r="I16" s="15" t="inlineStr">
        <is>
          <t>s/d</t>
        </is>
      </c>
    </row>
    <row r="17">
      <c r="A17" s="13" t="inlineStr">
        <is>
          <t>55</t>
        </is>
      </c>
      <c r="B17" s="29" t="n">
        <v>0.86</v>
      </c>
      <c r="C17" s="21" t="n">
        <v>0.18</v>
      </c>
      <c r="D17" s="14" t="inlineStr">
        <is>
          <t>3066 – 3131</t>
        </is>
      </c>
      <c r="E17" s="14" t="n">
        <v>65</v>
      </c>
      <c r="F17" s="14" t="n">
        <v>30.04</v>
      </c>
      <c r="G17" s="20" t="n">
        <v>0.63</v>
      </c>
      <c r="H17" s="21" t="n">
        <v>100</v>
      </c>
      <c r="I17" s="21" t="n">
        <v>1.76</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1" t="n"/>
      <c r="C19" s="41" t="n"/>
      <c r="D19" s="41" t="n"/>
      <c r="E19" s="41" t="n"/>
      <c r="F19" s="41" t="n"/>
      <c r="G19" s="41" t="n"/>
      <c r="H19" s="41" t="n"/>
      <c r="I19" s="42" t="n"/>
    </row>
    <row r="21" ht="84" customHeight="1">
      <c r="A21" s="9" t="inlineStr">
        <is>
          <t>LECTURA INTRAMICROCUENCA. El bloque 49 ocupa el puesto 5 de 8 por superficie dentro de la microcuenca C1086-Q9575 (3.27 % de las 484.30 ha preliminares de la microcuenca). Su pendiente promedio (25.96 %, clase «25-50% (Mod. escarpado)») es la 4.ª más baja de 8 y se sitúa por encima del promedio de la microcuenca (25.51 %). Su MSAVI 2024 (0.6860) es el 3.º de 8 y queda por encima del promedio local (0.6021). Amplitud altitudinal del bloque: 181 m (3065–3246 msnm). El cuadro conserva todos los bloques catalogados en la microcuenca, incluidos los descartados en el tamizaje, para referencia del conjunto. Los bloques sin ficha DT figuran con sus parámetros de gabinete. BRECHA ESPECTRAL. El 3.64 % de la superficie del bloque (0.577 ha de 15.839 ha) se sitúa bajo el umbral MSAVI 0.4976, por debajo del promedio local de la microcuenca (32.64 %) calculado sobre los bloques con dato MSAVI disponible.</t>
        </is>
      </c>
      <c r="B21" s="41" t="n"/>
      <c r="C21" s="41" t="n"/>
      <c r="D21" s="41" t="n"/>
      <c r="E21" s="41" t="n"/>
      <c r="F21" s="41" t="n"/>
      <c r="G21" s="41" t="n"/>
      <c r="H21" s="41" t="n"/>
      <c r="I21" s="42"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1" t="n"/>
      <c r="C23" s="41" t="n"/>
      <c r="D23" s="41" t="n"/>
      <c r="E23" s="41" t="n"/>
      <c r="F23" s="41" t="n"/>
      <c r="G23" s="41" t="n"/>
      <c r="H23" s="41" t="n"/>
      <c r="I23" s="42" t="n"/>
    </row>
  </sheetData>
  <mergeCells count="10">
    <mergeCell ref="A19:I19"/>
    <mergeCell ref="A2:I2"/>
    <mergeCell ref="A5:I5"/>
    <mergeCell ref="A1:I1"/>
    <mergeCell ref="A23:I23"/>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49</t>
        </is>
      </c>
    </row>
    <row r="6">
      <c r="A6" s="52" t="inlineStr">
        <is>
          <t>Cruce de la ficha de campo F-DT vigente con la ficha de resumen de gabinete y el catálogo maestro. Integración 2026-09-11 21:26:26.</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«C1086-Q9575».</t>
        </is>
      </c>
      <c r="D9" s="56" t="inlineStr">
        <is>
          <t>CONFORME</t>
        </is>
      </c>
      <c r="E9" s="56" t="inlineStr">
        <is>
          <t>Sin acción.</t>
        </is>
      </c>
    </row>
    <row r="10">
      <c r="A10" s="57" t="inlineStr">
        <is>
          <t>G-02</t>
        </is>
      </c>
      <c r="B10" s="57" t="inlineStr">
        <is>
          <t>UTM del punto de muestreo</t>
        </is>
      </c>
      <c r="C10" s="57" t="inlineStr">
        <is>
          <t>El punto de muestreo declarado dista 190.2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(3122 msnm) cae dentro del rango altitudinal del bloque (3065 - 3246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(15.844 ha) se desvía 0.03 % de la superficie de catálogo (15.84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(15.839 ha) se desvía -0.01 % de la superficie de catálogo (15.84 ha).</t>
        </is>
      </c>
      <c r="D14" s="57" t="inlineStr">
        <is>
          <t>CONFORME</t>
        </is>
      </c>
      <c r="E14" s="57" t="inlineStr">
        <is>
          <t>Sin acción: la segmentación valida la geometría del bloque.</t>
        </is>
      </c>
    </row>
    <row r="15">
      <c r="A15" s="56" t="inlineStr">
        <is>
          <t>G-07</t>
        </is>
      </c>
      <c r="B15" s="56" t="inlineStr">
        <is>
          <t>Brecha espectral MSAVI</t>
        </is>
      </c>
      <c r="C15" s="56" t="inlineStr">
        <is>
          <t>El 3.64 % del bloque queda bajo el umbral 0.4976; superficie de brecha 0.5766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15.84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(0.6860)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Superficie de ecosistema (ha)</t>
        </is>
      </c>
      <c r="C19" s="56" t="inlineStr">
        <is>
          <t>El libro de resumen V6 consignaba «15.84 ha (mosaico agropecuario con relictos de bosque montano)»; la ficha de campo vigente declara «15.84 ha (área total del bloque según polígono digital; mosaico agropecuario con relictos de bosque montano)».</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Causa subyacente principal</t>
        </is>
      </c>
      <c r="C20" s="57" t="inlineStr">
        <is>
          <t>El libro de resumen V6 consignaba «Dependencia económica de la ganadería extensiva de subsistencia, sin ordenamiento del uso del suelo ni manejo del pastizal»; la ficha de campo vigente declara «Dependencia económica de la ganadería extensiva de subsistencia, sin ordenamiento del uso del suelo ni manejo forestal, en predios privados…».</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100.0 % de los campos esperados).</t>
        </is>
      </c>
      <c r="D21" s="56" t="inlineStr">
        <is>
          <t>CONFORME</t>
        </is>
      </c>
      <c r="E21" s="56" t="inlineStr">
        <is>
          <t>Sin acción.</t>
        </is>
      </c>
    </row>
    <row r="22">
      <c r="A22" s="57" t="inlineStr">
        <is>
          <t>F-02</t>
        </is>
      </c>
      <c r="B22" s="57" t="inlineStr">
        <is>
          <t>Cobertura de la integración</t>
        </is>
      </c>
      <c r="C22" s="57" t="inlineStr">
        <is>
          <t>Se declararon 110 de 114 hechos integrados (96.5 %); 4 quedan sin dato en ninguna fuente.</t>
        </is>
      </c>
      <c r="D22" s="57" t="inlineStr">
        <is>
          <t>CONFORME</t>
        </is>
      </c>
      <c r="E22" s="57" t="inlineStr">
        <is>
          <t>Sin acción.</t>
        </is>
      </c>
    </row>
    <row r="23">
      <c r="A23" s="56" t="inlineStr">
        <is>
          <t>H-01</t>
        </is>
      </c>
      <c r="B23" s="56" t="inlineStr">
        <is>
          <t>Elenco florístico</t>
        </is>
      </c>
      <c r="C23" s="56" t="inlineStr">
        <is>
          <t>La ficha registra 13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H-02</t>
        </is>
      </c>
      <c r="B24" s="57" t="inlineStr">
        <is>
          <t>Centro poblado asociado</t>
        </is>
      </c>
      <c r="C24" s="57" t="inlineStr">
        <is>
          <t>La ficha DT declara «Huacas (caserío Pajal, sector central del bloque)»; el cruce INEI-Bloques V5 identifica 1 centro(s) poblado(s) en el bloque: LAS HUACAS</t>
        </is>
      </c>
      <c r="D24" s="57" t="inlineStr">
        <is>
          <t>NO SUSTANTIVA</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2 · NO SUSTANTIVA: 1 · CORREGIDO: 2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49</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Superficie de ecosistema (ha)</t>
        </is>
      </c>
      <c r="C9" s="56" t="inlineStr">
        <is>
          <t>15.84 ha (mosaico agropecuario con relictos de bosque montano)</t>
        </is>
      </c>
      <c r="D9" s="56" t="inlineStr">
        <is>
          <t>15.84 ha (área total del bloque según polígono digital; mosaico agropecuario con relictos de bosque montano)</t>
        </is>
      </c>
      <c r="E9" s="56" t="inlineStr">
        <is>
          <t>Dato de campo</t>
        </is>
      </c>
    </row>
    <row r="10">
      <c r="A10" s="57" t="inlineStr">
        <is>
          <t>6. Degradación, causas y urgencia (F-DT-04)</t>
        </is>
      </c>
      <c r="B10" s="57" t="inlineStr">
        <is>
          <t>Causa subyacente principal</t>
        </is>
      </c>
      <c r="C10" s="57" t="inlineStr">
        <is>
          <t>Dependencia económica de la ganadería extensiva de subsistencia, sin ordenamiento del uso del suelo ni manejo del pastizal</t>
        </is>
      </c>
      <c r="D10" s="57" t="inlineStr">
        <is>
          <t>Dependencia económica de la ganadería extensiva de subsistencia, sin ordenamiento del uso del suelo ni manejo forestal, en predios privados — sin incentivos para la conservación de los relictos.</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642425</t>
        </is>
      </c>
      <c r="D14" s="56" t="inlineStr">
        <is>
          <t>m</t>
        </is>
      </c>
    </row>
    <row r="15">
      <c r="A15" s="57" t="inlineStr">
        <is>
          <t>1. Identificación y localización</t>
        </is>
      </c>
      <c r="B15" s="57" t="inlineStr">
        <is>
          <t>UTM NORTE del punto de muestreo (m)</t>
        </is>
      </c>
      <c r="C15" s="57" t="inlineStr">
        <is>
          <t>9438096</t>
        </is>
      </c>
      <c r="D15" s="57" t="inlineStr">
        <is>
          <t>m</t>
        </is>
      </c>
    </row>
    <row r="16">
      <c r="A16" s="56" t="inlineStr">
        <is>
          <t>2. Parámetros físicos del terreno</t>
        </is>
      </c>
      <c r="B16" s="56" t="inlineStr">
        <is>
          <t>Altitud GPS del punto de muestreo (msnm)</t>
        </is>
      </c>
      <c r="C16" s="56" t="inlineStr">
        <is>
          <t>3122</t>
        </is>
      </c>
      <c r="D16" s="56" t="inlineStr">
        <is>
          <t>msnm</t>
        </is>
      </c>
    </row>
    <row r="17">
      <c r="A17" s="57" t="inlineStr">
        <is>
          <t>2. Parámetros físicos del terreno</t>
        </is>
      </c>
      <c r="B17" s="57" t="inlineStr">
        <is>
          <t>Piso altitudinal del punto de muestreo</t>
        </is>
      </c>
      <c r="C17" s="57" t="inlineStr">
        <is>
          <t>3000-3500 m (Puna baja)</t>
        </is>
      </c>
      <c r="D17" s="57" t="inlineStr"/>
    </row>
    <row r="18">
      <c r="A18" s="56" t="inlineStr">
        <is>
          <t>2. Parámetros físicos del terreno</t>
        </is>
      </c>
      <c r="B18" s="56" t="inlineStr">
        <is>
          <t>Paisaje dominante descrito en campo</t>
        </is>
      </c>
      <c r="C18" s="56" t="inlineStr">
        <is>
          <t>Paisaje de montaña húmeda altoandina con laderas de pendiente moderada a fuerte (media 36.6%, máxima 61.3%) cubiertas por pastizales naturalizados de uso ganadero, dispuestas en mosaico con relictos y parches de bosque montano en las posiciones más altas e inaccesibles. Domina la cobertura herbácea-graminoide; árboles relictuales dispersos (aliso, nogal, cucharillo) y plantaciones puntuales de pino. El bloque drena hacia la quebrada Huacas, que lo limita por el sector sureste.</t>
        </is>
      </c>
      <c r="D18" s="56" t="inlineStr"/>
    </row>
    <row r="19">
      <c r="A19" s="57" t="inlineStr">
        <is>
          <t>2. Parámetros físicos del terreno</t>
        </is>
      </c>
      <c r="B19" s="57" t="inlineStr">
        <is>
          <t>Reptación de suelo</t>
        </is>
      </c>
      <c r="C19" s="57" t="inlineStr">
        <is>
          <t>Sí</t>
        </is>
      </c>
      <c r="D19" s="57" t="inlineStr"/>
    </row>
    <row r="20">
      <c r="A20" s="56" t="inlineStr">
        <is>
          <t>2. Parámetros físicos del terreno</t>
        </is>
      </c>
      <c r="B20" s="56" t="inlineStr">
        <is>
          <t>Deslizamientos antiguos</t>
        </is>
      </c>
      <c r="C20" s="56" t="inlineStr">
        <is>
          <t>No</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Sellamiento / costra superficial</t>
        </is>
      </c>
      <c r="C22" s="56" t="inlineStr">
        <is>
          <t>No</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Sí</t>
        </is>
      </c>
      <c r="D24" s="56" t="inlineStr"/>
    </row>
    <row r="25">
      <c r="A25" s="57" t="inlineStr">
        <is>
          <t>4. Suelos y erosión (F-DT-02)</t>
        </is>
      </c>
      <c r="B25" s="57" t="inlineStr">
        <is>
          <t>Longitud total de cárcavas (m)</t>
        </is>
      </c>
      <c r="C25" s="57" t="inlineStr">
        <is>
          <t>30</t>
        </is>
      </c>
      <c r="D25" s="57" t="inlineStr">
        <is>
          <t>m</t>
        </is>
      </c>
    </row>
    <row r="26">
      <c r="A26" s="56" t="inlineStr">
        <is>
          <t>4. Suelos y erosión (F-DT-02)</t>
        </is>
      </c>
      <c r="B26" s="56" t="inlineStr">
        <is>
          <t>% del bloque afectado por cárcavas</t>
        </is>
      </c>
      <c r="C26" s="56" t="inlineStr">
        <is>
          <t>3</t>
        </is>
      </c>
      <c r="D26" s="56" t="inlineStr">
        <is>
          <t>%</t>
        </is>
      </c>
    </row>
    <row r="27">
      <c r="A27" s="57" t="inlineStr">
        <is>
          <t>4. Suelos y erosión (F-DT-02)</t>
        </is>
      </c>
      <c r="B27" s="57" t="inlineStr">
        <is>
          <t>Erosión laminar (% del bloque)</t>
        </is>
      </c>
      <c r="C27" s="57" t="inlineStr">
        <is>
          <t>15</t>
        </is>
      </c>
      <c r="D27" s="57" t="inlineStr">
        <is>
          <t>%</t>
        </is>
      </c>
    </row>
    <row r="28">
      <c r="A28" s="56" t="inlineStr">
        <is>
          <t>4. Suelos y erosión (F-DT-02)</t>
        </is>
      </c>
      <c r="B28" s="56" t="inlineStr">
        <is>
          <t>Patrón de cárcavas</t>
        </is>
      </c>
      <c r="C28" s="56" t="inlineStr">
        <is>
          <t>Lineal</t>
        </is>
      </c>
      <c r="D28" s="56" t="inlineStr"/>
    </row>
    <row r="29">
      <c r="A29" s="57" t="inlineStr">
        <is>
          <t>4. Suelos y erosión (F-DT-02)</t>
        </is>
      </c>
      <c r="B29" s="57" t="inlineStr">
        <is>
          <t>Socavamiento de cauce</t>
        </is>
      </c>
      <c r="C29" s="57" t="inlineStr">
        <is>
          <t>Sí</t>
        </is>
      </c>
      <c r="D29" s="57" t="inlineStr"/>
    </row>
    <row r="30">
      <c r="A30" s="56" t="inlineStr">
        <is>
          <t>5. Ecosistema, cobertura y flora (F-DT-03)</t>
        </is>
      </c>
      <c r="B30" s="56" t="inlineStr">
        <is>
          <t>Cobertura del dosel (%)</t>
        </is>
      </c>
      <c r="C30" s="56" t="inlineStr">
        <is>
          <t>15</t>
        </is>
      </c>
      <c r="D30" s="56" t="inlineStr">
        <is>
          <t>%</t>
        </is>
      </c>
    </row>
    <row r="31">
      <c r="A31" s="57" t="inlineStr">
        <is>
          <t>5. Ecosistema, cobertura y flora (F-DT-03)</t>
        </is>
      </c>
      <c r="B31" s="57" t="inlineStr">
        <is>
          <t>Cobertura arbustiva (%)</t>
        </is>
      </c>
      <c r="C31" s="57" t="inlineStr">
        <is>
          <t>10</t>
        </is>
      </c>
      <c r="D31" s="57" t="inlineStr">
        <is>
          <t>%</t>
        </is>
      </c>
    </row>
    <row r="32">
      <c r="A32" s="56" t="inlineStr">
        <is>
          <t>5. Ecosistema, cobertura y flora (F-DT-03)</t>
        </is>
      </c>
      <c r="B32" s="56" t="inlineStr">
        <is>
          <t>Cobertura herbácea (%)</t>
        </is>
      </c>
      <c r="C32" s="56" t="inlineStr">
        <is>
          <t>60</t>
        </is>
      </c>
      <c r="D32" s="56" t="inlineStr">
        <is>
          <t>%</t>
        </is>
      </c>
    </row>
    <row r="33">
      <c r="A33" s="57" t="inlineStr">
        <is>
          <t>5. Ecosistema, cobertura y flora (F-DT-03)</t>
        </is>
      </c>
      <c r="B33" s="57" t="inlineStr">
        <is>
          <t>Cobertura de hojarasca (%)</t>
        </is>
      </c>
      <c r="C33" s="57" t="inlineStr">
        <is>
          <t>5</t>
        </is>
      </c>
      <c r="D33" s="57" t="inlineStr">
        <is>
          <t>%</t>
        </is>
      </c>
    </row>
    <row r="34">
      <c r="A34" s="56" t="inlineStr">
        <is>
          <t>5. Ecosistema, cobertura y flora (F-DT-03)</t>
        </is>
      </c>
      <c r="B34" s="56" t="inlineStr">
        <is>
          <t>Altura del estrato dominante (m)</t>
        </is>
      </c>
      <c r="C34" s="56" t="inlineStr">
        <is>
          <t>6</t>
        </is>
      </c>
      <c r="D34" s="56" t="inlineStr">
        <is>
          <t>m</t>
        </is>
      </c>
    </row>
    <row r="35">
      <c r="A35" s="57" t="inlineStr">
        <is>
          <t>5. Ecosistema, cobertura y flora (F-DT-03)</t>
        </is>
      </c>
      <c r="B35" s="57" t="inlineStr">
        <is>
          <t>Altura máxima registrada (m)</t>
        </is>
      </c>
      <c r="C35" s="57" t="inlineStr">
        <is>
          <t>18</t>
        </is>
      </c>
      <c r="D35" s="57" t="inlineStr">
        <is>
          <t>m</t>
        </is>
      </c>
    </row>
    <row r="36">
      <c r="A36" s="56" t="inlineStr">
        <is>
          <t>5. Ecosistema, cobertura y flora (F-DT-03)</t>
        </is>
      </c>
      <c r="B36" s="56" t="inlineStr">
        <is>
          <t>DAP promedio (cm)</t>
        </is>
      </c>
      <c r="C36" s="56" t="inlineStr">
        <is>
          <t>25</t>
        </is>
      </c>
      <c r="D36" s="56" t="inlineStr">
        <is>
          <t>cm</t>
        </is>
      </c>
    </row>
    <row r="37">
      <c r="A37" s="57" t="inlineStr">
        <is>
          <t>5. Ecosistema, cobertura y flora (F-DT-03)</t>
        </is>
      </c>
      <c r="B37" s="57" t="inlineStr">
        <is>
          <t>Presencia de epífitas</t>
        </is>
      </c>
      <c r="C37" s="57" t="inlineStr">
        <is>
          <t>Sí</t>
        </is>
      </c>
      <c r="D37" s="57" t="inlineStr"/>
    </row>
    <row r="38">
      <c r="A38" s="56" t="inlineStr">
        <is>
          <t>5. Ecosistema, cobertura y flora (F-DT-03)</t>
        </is>
      </c>
      <c r="B38" s="56" t="inlineStr">
        <is>
          <t>Fenología dominante</t>
        </is>
      </c>
      <c r="C38" s="56" t="inlineStr">
        <is>
          <t>Vegetativo</t>
        </is>
      </c>
      <c r="D38" s="56" t="inlineStr"/>
    </row>
    <row r="39">
      <c r="A39" s="57" t="inlineStr">
        <is>
          <t>5. Ecosistema, cobertura y flora (F-DT-03)</t>
        </is>
      </c>
      <c r="B39" s="57" t="inlineStr">
        <is>
          <t>Dimensiones de la parcela (m)</t>
        </is>
      </c>
      <c r="C39" s="57" t="inlineStr">
        <is>
          <t>Parcela referencial 20 × 50 m (1000 m²) sobre transecto</t>
        </is>
      </c>
      <c r="D39" s="57" t="inlineStr"/>
    </row>
    <row r="40">
      <c r="A40" s="56" t="inlineStr">
        <is>
          <t>5. Ecosistema, cobertura y flora (F-DT-03)</t>
        </is>
      </c>
      <c r="B40" s="56" t="inlineStr">
        <is>
          <t>Pendiente de la parcela (%)</t>
        </is>
      </c>
      <c r="C40" s="56" t="inlineStr">
        <is>
          <t>30-45% (media ~36.6%; máx. 61.3% según perfil de elevación)</t>
        </is>
      </c>
      <c r="D40" s="56" t="inlineStr">
        <is>
          <t>%</t>
        </is>
      </c>
    </row>
    <row r="41">
      <c r="A41" s="57" t="inlineStr">
        <is>
          <t>5. Ecosistema, cobertura y flora (F-DT-03)</t>
        </is>
      </c>
      <c r="B41" s="57" t="inlineStr">
        <is>
          <t>Especies clave georreferenciadas</t>
        </is>
      </c>
      <c r="C41" s="57" t="inlineStr">
        <is>
          <t>4</t>
        </is>
      </c>
      <c r="D41" s="57" t="inlineStr"/>
    </row>
    <row r="42">
      <c r="A42" s="56" t="inlineStr">
        <is>
          <t>6. Degradación, causas y urgencia (F-DT-04)</t>
        </is>
      </c>
      <c r="B42" s="56" t="inlineStr">
        <is>
          <t>Causas directas de la degradación</t>
        </is>
      </c>
      <c r="C42" s="56" t="inlineStr">
        <is>
          <t>Conversión histórica de bosque montano a pastizal y pastoreo vacuno extensivo (motor directo dominante); extracción histórica de leña y madera selectiva (nogal/aliso); quemas periódicas de renovación de pastos; apertura de trocha con erosión de taludes; presencia de especies introducidas (Pinus radiata, kikuyo).</t>
        </is>
      </c>
      <c r="D42" s="56" t="inlineStr"/>
    </row>
    <row r="43">
      <c r="A43" s="57" t="inlineStr">
        <is>
          <t>6. Degradación, causas y urgencia (F-DT-04)</t>
        </is>
      </c>
      <c r="B43" s="57" t="inlineStr">
        <is>
          <t>N.° de causas activas en la matriz F-DT-04</t>
        </is>
      </c>
      <c r="C43" s="57" t="inlineStr">
        <is>
          <t>8</t>
        </is>
      </c>
      <c r="D43" s="57" t="inlineStr"/>
    </row>
    <row r="44">
      <c r="A44" s="56" t="inlineStr">
        <is>
          <t>7. Hidrología, acceso y logística (F-DT-05)</t>
        </is>
      </c>
      <c r="B44" s="56" t="inlineStr">
        <is>
          <t>Escorrentía concentrada</t>
        </is>
      </c>
      <c r="C44" s="56" t="inlineStr">
        <is>
          <t>Sí</t>
        </is>
      </c>
      <c r="D44" s="56" t="inlineStr"/>
    </row>
    <row r="45">
      <c r="A45" s="57" t="inlineStr">
        <is>
          <t>7. Hidrología, acceso y logística (F-DT-05)</t>
        </is>
      </c>
      <c r="B45" s="57" t="inlineStr">
        <is>
          <t>Fuentes de agua inventariadas</t>
        </is>
      </c>
      <c r="C45" s="57" t="inlineStr">
        <is>
          <t>2</t>
        </is>
      </c>
      <c r="D45" s="57" t="inlineStr"/>
    </row>
    <row r="46">
      <c r="A46" s="56" t="inlineStr">
        <is>
          <t>7. Hidrología, acceso y logística (F-DT-05)</t>
        </is>
      </c>
      <c r="B46" s="56" t="inlineStr">
        <is>
          <t>Interferencia con riego</t>
        </is>
      </c>
      <c r="C46" s="56" t="inlineStr">
        <is>
          <t>No</t>
        </is>
      </c>
      <c r="D46" s="56" t="inlineStr"/>
    </row>
    <row r="47">
      <c r="A47" s="57" t="inlineStr">
        <is>
          <t>7. Hidrología, acceso y logística (F-DT-05)</t>
        </is>
      </c>
      <c r="B47" s="57" t="inlineStr">
        <is>
          <t>Vía principal de acceso</t>
        </is>
      </c>
      <c r="C47" s="57" t="inlineStr">
        <is>
          <t>Ruta PI-124 (desde Yamango) con empalme a trocha carrozable; tramo final a pie desde el punto de estacionamiento</t>
        </is>
      </c>
      <c r="D47" s="57" t="inlineStr"/>
    </row>
    <row r="48">
      <c r="A48" s="56" t="inlineStr">
        <is>
          <t>7. Hidrología, acceso y logística (F-DT-05)</t>
        </is>
      </c>
      <c r="B48" s="56" t="inlineStr">
        <is>
          <t>Tipo de vía del tramo final</t>
        </is>
      </c>
      <c r="C48" s="56" t="inlineStr">
        <is>
          <t>Trocha carrozable</t>
        </is>
      </c>
      <c r="D48" s="56" t="inlineStr"/>
    </row>
    <row r="49">
      <c r="A49" s="57" t="inlineStr">
        <is>
          <t>7. Hidrología, acceso y logística (F-DT-05)</t>
        </is>
      </c>
      <c r="B49" s="57" t="inlineStr">
        <is>
          <t>Transitabilidad en época seca</t>
        </is>
      </c>
      <c r="C49" s="57" t="inlineStr">
        <is>
          <t>Medio</t>
        </is>
      </c>
      <c r="D49" s="57" t="inlineStr"/>
    </row>
    <row r="50">
      <c r="A50" s="56" t="inlineStr">
        <is>
          <t>7. Hidrología, acceso y logística (F-DT-05)</t>
        </is>
      </c>
      <c r="B50" s="56" t="inlineStr">
        <is>
          <t>Transitabilidad en época lluviosa</t>
        </is>
      </c>
      <c r="C50" s="56" t="inlineStr">
        <is>
          <t>Bajo</t>
        </is>
      </c>
      <c r="D50" s="56" t="inlineStr"/>
    </row>
    <row r="51">
      <c r="A51" s="57" t="inlineStr">
        <is>
          <t>7. Hidrología, acceso y logística (F-DT-05)</t>
        </is>
      </c>
      <c r="B51" s="57" t="inlineStr">
        <is>
          <t>Tiempo a la capital distrital (min)</t>
        </is>
      </c>
      <c r="C51" s="57" t="inlineStr">
        <is>
          <t>≈ 120 min</t>
        </is>
      </c>
      <c r="D51" s="57" t="inlineStr">
        <is>
          <t>min</t>
        </is>
      </c>
    </row>
    <row r="52">
      <c r="A52" s="56" t="inlineStr">
        <is>
          <t>7. Hidrología, acceso y logística (F-DT-05)</t>
        </is>
      </c>
      <c r="B52" s="56" t="inlineStr">
        <is>
          <t>Señal celular</t>
        </is>
      </c>
      <c r="C52" s="56" t="inlineStr">
        <is>
          <t>Intermitente</t>
        </is>
      </c>
      <c r="D52" s="56" t="inlineStr"/>
    </row>
    <row r="53">
      <c r="A53" s="57" t="inlineStr">
        <is>
          <t>7. Hidrología, acceso y logística (F-DT-05)</t>
        </is>
      </c>
      <c r="B53" s="57" t="inlineStr">
        <is>
          <t>Operador con cobertura</t>
        </is>
      </c>
      <c r="C53" s="57" t="inlineStr">
        <is>
          <t>Movistar</t>
        </is>
      </c>
      <c r="D53" s="57" t="inlineStr"/>
    </row>
    <row r="54">
      <c r="A54" s="56" t="inlineStr">
        <is>
          <t>7. Hidrología, acceso y logística (F-DT-05)</t>
        </is>
      </c>
      <c r="B54" s="56" t="inlineStr">
        <is>
          <t>Alojamiento disponible en la zona</t>
        </is>
      </c>
      <c r="C54" s="56" t="inlineStr">
        <is>
          <t>No</t>
        </is>
      </c>
      <c r="D54" s="56" t="inlineStr"/>
    </row>
    <row r="55">
      <c r="A55" s="57" t="inlineStr">
        <is>
          <t>7. Hidrología, acceso y logística (F-DT-05)</t>
        </is>
      </c>
      <c r="B55" s="57" t="inlineStr">
        <is>
          <t>Requiere coordinación con ronda / comunidad</t>
        </is>
      </c>
      <c r="C55" s="57" t="inlineStr">
        <is>
          <t>Sí</t>
        </is>
      </c>
      <c r="D55" s="57" t="inlineStr"/>
    </row>
    <row r="56">
      <c r="A56" s="56" t="inlineStr">
        <is>
          <t>7. Hidrología, acceso y logística (F-DT-05)</t>
        </is>
      </c>
      <c r="B56" s="56" t="inlineStr">
        <is>
          <t>Contacto local de coordinación</t>
        </is>
      </c>
      <c r="C56" s="56" t="inlineStr">
        <is>
          <t>Por coordinar con la Ronda Campesina del sector Huacas / Pajal</t>
        </is>
      </c>
      <c r="D56" s="56" t="inlineStr"/>
    </row>
    <row r="58">
      <c r="A58" s="54" t="inlineStr">
        <is>
          <t>C. PROCEDENCIA DE LOS HECHOS DECLARADOS</t>
        </is>
      </c>
    </row>
    <row r="59">
      <c r="A59" s="55" t="inlineStr">
        <is>
          <t>Fuente</t>
        </is>
      </c>
      <c r="B59" s="55" t="inlineStr">
        <is>
          <t>Hechos</t>
        </is>
      </c>
      <c r="C59" s="55" t="inlineStr">
        <is>
          <t>Alcance de la fuente</t>
        </is>
      </c>
    </row>
    <row r="60">
      <c r="A60" s="56" t="inlineStr">
        <is>
          <t>Dato de campo</t>
        </is>
      </c>
      <c r="B60" s="56" t="n">
        <v>76</v>
      </c>
      <c r="C60" s="56" t="inlineStr">
        <is>
          <t>Verificación en campo. Fichas F-DT-01 a F-DT-05 de la Plantilla DT Campo Check Validada V5, suscritas por el evaluador.</t>
        </is>
      </c>
    </row>
    <row r="61">
      <c r="A61" s="57" t="inlineStr">
        <is>
          <t>Gabinete (GIS / teledetección)</t>
        </is>
      </c>
      <c r="B61" s="57" t="n">
        <v>20</v>
      </c>
      <c r="C61" s="57" t="inlineStr">
        <is>
          <t>Gabinete. Estadística zonal sobre el MDE y compuestos Sentinel-2 (NDVI mediana 2025, MSAVI 2024 por clase DN).</t>
        </is>
      </c>
    </row>
    <row r="62">
      <c r="A62" s="56" t="inlineStr">
        <is>
          <t>Fuente oficial</t>
        </is>
      </c>
      <c r="B62" s="56" t="n">
        <v>14</v>
      </c>
      <c r="C62" s="56" t="inlineStr">
        <is>
          <t>Fuente oficial. Catálogo maestro Bloques V5/V6, división política INEI y codificación de microcuencas de la ANA.</t>
        </is>
      </c>
    </row>
    <row r="64">
      <c r="A64" s="54" t="inlineStr">
        <is>
          <t>D. ESTADO DEL CRUCE ENTRE FUENTES</t>
        </is>
      </c>
    </row>
    <row r="65">
      <c r="A65" s="55" t="inlineStr">
        <is>
          <t>Estado</t>
        </is>
      </c>
      <c r="B65" s="55" t="inlineStr">
        <is>
          <t>Hechos</t>
        </is>
      </c>
      <c r="C65" s="55" t="inlineStr">
        <is>
          <t>Significado</t>
        </is>
      </c>
    </row>
    <row r="66">
      <c r="A66" s="56" t="inlineStr">
        <is>
          <t>CONFORME</t>
        </is>
      </c>
      <c r="B66" s="56" t="n">
        <v>108</v>
      </c>
      <c r="C66" s="56" t="inlineStr">
        <is>
          <t>Las dos fuentes declaran lo mismo, o solo la fuente que manda sobre el hecho lo declara.</t>
        </is>
      </c>
    </row>
    <row r="67">
      <c r="A67" s="57" t="inlineStr">
        <is>
          <t>COMPLEMENTADO</t>
        </is>
      </c>
      <c r="B67" s="57" t="n">
        <v>0</v>
      </c>
      <c r="C67" s="57" t="inlineStr">
        <is>
          <t>Solo una de las fuentes lo declara y se adopta ese valor.</t>
        </is>
      </c>
    </row>
    <row r="68">
      <c r="A68" s="56" t="inlineStr">
        <is>
          <t>ACTUALIZADO</t>
        </is>
      </c>
      <c r="B68" s="56" t="n">
        <v>2</v>
      </c>
      <c r="C68" s="56" t="inlineStr">
        <is>
          <t>La verificación de campo vigente corrige lo que traía el libro de resumen.</t>
        </is>
      </c>
    </row>
    <row r="69">
      <c r="A69" s="57" t="inlineStr">
        <is>
          <t>DISCREPANTE</t>
        </is>
      </c>
      <c r="B69" s="57" t="n">
        <v>0</v>
      </c>
      <c r="C69" s="57" t="inlineStr">
        <is>
          <t>Las fuentes se contradicen; prevalece la que manda sobre el hecho y la otra queda declarada.</t>
        </is>
      </c>
    </row>
    <row r="70">
      <c r="A70" s="56" t="inlineStr">
        <is>
          <t>PENDIENTE</t>
        </is>
      </c>
      <c r="B70" s="56" t="n">
        <v>4</v>
      </c>
      <c r="C7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49</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incipiente (30-50 cm)</t>
        </is>
      </c>
      <c r="C9" s="61" t="n">
        <v>642497</v>
      </c>
      <c r="D9" s="61" t="n">
        <v>9438160</v>
      </c>
      <c r="E9" s="61" t="n">
        <v>12</v>
      </c>
      <c r="F9" s="62" t="n">
        <v>0.4</v>
      </c>
      <c r="G9" s="62" t="n">
        <v>0.6</v>
      </c>
      <c r="H9" s="56" t="inlineStr">
        <is>
          <t>Semi-activa</t>
        </is>
      </c>
      <c r="I9" s="56" t="inlineStr">
        <is>
          <t>Caminos / huellas de ganado</t>
        </is>
      </c>
    </row>
    <row r="10">
      <c r="A10" s="57" t="inlineStr">
        <is>
          <t>C-02</t>
        </is>
      </c>
      <c r="B10" s="57" t="inlineStr">
        <is>
          <t>Cárcava somera (0.5-2 m)</t>
        </is>
      </c>
      <c r="C10" s="63" t="n">
        <v>642387</v>
      </c>
      <c r="D10" s="63" t="n">
        <v>9437997</v>
      </c>
      <c r="E10" s="63" t="n">
        <v>18</v>
      </c>
      <c r="F10" s="64" t="n">
        <v>1.5</v>
      </c>
      <c r="G10" s="64" t="n">
        <v>2</v>
      </c>
      <c r="H10" s="57" t="inlineStr">
        <is>
          <t>Activa</t>
        </is>
      </c>
      <c r="I10" s="57" t="inlineStr">
        <is>
          <t>Caminos / huellas de ganado</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Aliso</t>
        </is>
      </c>
      <c r="C14" s="56" t="inlineStr">
        <is>
          <t>Alnus acuminata</t>
        </is>
      </c>
      <c r="D14" s="56" t="inlineStr">
        <is>
          <t>Betulaceae</t>
        </is>
      </c>
      <c r="E14" s="56" t="inlineStr">
        <is>
          <t>Arbóreo medio (8-15 m)</t>
        </is>
      </c>
      <c r="F14" s="56" t="inlineStr">
        <is>
          <t>Nativa</t>
        </is>
      </c>
      <c r="G14" s="56" t="inlineStr">
        <is>
          <t>Frecuente (5-20%)</t>
        </is>
      </c>
      <c r="H14" s="61" t="n">
        <v>28</v>
      </c>
      <c r="I14" s="61" t="n">
        <v>12</v>
      </c>
    </row>
    <row r="15">
      <c r="A15" s="57" t="inlineStr">
        <is>
          <t>2</t>
        </is>
      </c>
      <c r="B15" s="57" t="inlineStr">
        <is>
          <t>Queñua / Quinual</t>
        </is>
      </c>
      <c r="C15" s="57" t="inlineStr">
        <is>
          <t>Polylepis sp.</t>
        </is>
      </c>
      <c r="D15" s="57" t="inlineStr">
        <is>
          <t>Rosaceae</t>
        </is>
      </c>
      <c r="E15" s="57" t="inlineStr">
        <is>
          <t>Arbóreo bajo (4-8 m)</t>
        </is>
      </c>
      <c r="F15" s="57" t="inlineStr">
        <is>
          <t>Nativa</t>
        </is>
      </c>
      <c r="G15" s="57" t="inlineStr">
        <is>
          <t>Ocasional (1-5%)</t>
        </is>
      </c>
      <c r="H15" s="63" t="n">
        <v>20</v>
      </c>
      <c r="I15" s="64" t="n">
        <v>6</v>
      </c>
    </row>
    <row r="16">
      <c r="A16" s="56" t="inlineStr">
        <is>
          <t>3</t>
        </is>
      </c>
      <c r="B16" s="56" t="inlineStr">
        <is>
          <t>Nogal andino / Tocte</t>
        </is>
      </c>
      <c r="C16" s="56" t="inlineStr">
        <is>
          <t>Juglans neotropica</t>
        </is>
      </c>
      <c r="D16" s="56" t="inlineStr">
        <is>
          <t>Juglandaceae</t>
        </is>
      </c>
      <c r="E16" s="56" t="inlineStr">
        <is>
          <t>Arbóreo medio (8-15 m)</t>
        </is>
      </c>
      <c r="F16" s="56" t="inlineStr">
        <is>
          <t>Nativa</t>
        </is>
      </c>
      <c r="G16" s="56" t="inlineStr">
        <is>
          <t>Rara (&lt;1%)</t>
        </is>
      </c>
      <c r="H16" s="61" t="n">
        <v>35</v>
      </c>
      <c r="I16" s="61" t="n">
        <v>14</v>
      </c>
    </row>
    <row r="17">
      <c r="A17" s="57" t="inlineStr">
        <is>
          <t>4</t>
        </is>
      </c>
      <c r="B17" s="57" t="inlineStr">
        <is>
          <t>Cucharillo/Unku</t>
        </is>
      </c>
      <c r="C17" s="57" t="inlineStr">
        <is>
          <t>Oreocallis grandiflora</t>
        </is>
      </c>
      <c r="D17" s="57" t="inlineStr">
        <is>
          <t>Proteaceae</t>
        </is>
      </c>
      <c r="E17" s="57" t="inlineStr">
        <is>
          <t>Arbóreo bajo (4-8 m)</t>
        </is>
      </c>
      <c r="F17" s="57" t="inlineStr">
        <is>
          <t>Nativa</t>
        </is>
      </c>
      <c r="G17" s="57" t="inlineStr">
        <is>
          <t>Frecuente (5-20%)</t>
        </is>
      </c>
      <c r="H17" s="63" t="n">
        <v>15</v>
      </c>
      <c r="I17" s="64" t="n">
        <v>5</v>
      </c>
    </row>
    <row r="18">
      <c r="A18" s="56" t="inlineStr">
        <is>
          <t>5</t>
        </is>
      </c>
      <c r="B18" s="56" t="inlineStr">
        <is>
          <t>Lanche / Arrayán</t>
        </is>
      </c>
      <c r="C18" s="56" t="inlineStr">
        <is>
          <t>Myrcianthes sp.</t>
        </is>
      </c>
      <c r="D18" s="56" t="inlineStr">
        <is>
          <t>Myrtaceae</t>
        </is>
      </c>
      <c r="E18" s="56" t="inlineStr">
        <is>
          <t>Arbóreo bajo (4-8 m)</t>
        </is>
      </c>
      <c r="F18" s="56" t="inlineStr">
        <is>
          <t>Nativa</t>
        </is>
      </c>
      <c r="G18" s="56" t="inlineStr">
        <is>
          <t>Ocasional (1-5%)</t>
        </is>
      </c>
      <c r="H18" s="61" t="n">
        <v>18</v>
      </c>
      <c r="I18" s="62" t="n">
        <v>5</v>
      </c>
    </row>
    <row r="19">
      <c r="A19" s="57" t="inlineStr">
        <is>
          <t>6</t>
        </is>
      </c>
      <c r="B19" s="57" t="inlineStr">
        <is>
          <t>Cascarilla / Quina</t>
        </is>
      </c>
      <c r="C19" s="57" t="inlineStr">
        <is>
          <t>Cinchona sp.</t>
        </is>
      </c>
      <c r="D19" s="57" t="inlineStr">
        <is>
          <t>Rubiaceae</t>
        </is>
      </c>
      <c r="E19" s="57" t="inlineStr">
        <is>
          <t>Arbóreo bajo (4-8 m)</t>
        </is>
      </c>
      <c r="F19" s="57" t="inlineStr">
        <is>
          <t>Nativa</t>
        </is>
      </c>
      <c r="G19" s="57" t="inlineStr">
        <is>
          <t>Rara (&lt;1%)</t>
        </is>
      </c>
      <c r="H19" s="63" t="n">
        <v>14</v>
      </c>
      <c r="I19" s="64" t="n">
        <v>6</v>
      </c>
    </row>
    <row r="20">
      <c r="A20" s="56" t="inlineStr">
        <is>
          <t>7</t>
        </is>
      </c>
      <c r="B20" s="56" t="inlineStr">
        <is>
          <t>Chilca</t>
        </is>
      </c>
      <c r="C20" s="56" t="inlineStr">
        <is>
          <t>Baccharis latifolia</t>
        </is>
      </c>
      <c r="D20" s="56" t="inlineStr">
        <is>
          <t>Asteraceae</t>
        </is>
      </c>
      <c r="E20" s="56" t="inlineStr">
        <is>
          <t>Arbustivo alto (1.5-4 m)</t>
        </is>
      </c>
      <c r="F20" s="56" t="inlineStr">
        <is>
          <t>Nativa</t>
        </is>
      </c>
      <c r="G20" s="56" t="inlineStr">
        <is>
          <t>Frecuente (5-20%)</t>
        </is>
      </c>
      <c r="H20" s="56" t="n"/>
      <c r="I20" s="62" t="n">
        <v>2.5</v>
      </c>
    </row>
    <row r="21">
      <c r="A21" s="57" t="inlineStr">
        <is>
          <t>8</t>
        </is>
      </c>
      <c r="B21" s="57" t="inlineStr">
        <is>
          <t>Quishuar</t>
        </is>
      </c>
      <c r="C21" s="57" t="inlineStr">
        <is>
          <t>Buddleja sp.</t>
        </is>
      </c>
      <c r="D21" s="57" t="inlineStr">
        <is>
          <t>Scrophulariaceae</t>
        </is>
      </c>
      <c r="E21" s="57" t="inlineStr">
        <is>
          <t>Arbustivo alto (1.5-4 m)</t>
        </is>
      </c>
      <c r="F21" s="57" t="inlineStr">
        <is>
          <t>Nativa</t>
        </is>
      </c>
      <c r="G21" s="57" t="inlineStr">
        <is>
          <t>Ocasional (1-5%)</t>
        </is>
      </c>
      <c r="H21" s="57" t="n"/>
      <c r="I21" s="64" t="n">
        <v>3</v>
      </c>
    </row>
    <row r="22">
      <c r="A22" s="56" t="inlineStr">
        <is>
          <t>9</t>
        </is>
      </c>
      <c r="B22" s="56" t="inlineStr">
        <is>
          <t>Helecho / Llashipa</t>
        </is>
      </c>
      <c r="C22" s="56" t="inlineStr">
        <is>
          <t>Pteridium arachnoideum</t>
        </is>
      </c>
      <c r="D22" s="56" t="inlineStr">
        <is>
          <t>Dennstaedtiaceae</t>
        </is>
      </c>
      <c r="E22" s="56" t="inlineStr">
        <is>
          <t>Herbáceo (&lt;0.5 m)</t>
        </is>
      </c>
      <c r="F22" s="56" t="inlineStr">
        <is>
          <t>Nativa</t>
        </is>
      </c>
      <c r="G22" s="56" t="inlineStr">
        <is>
          <t>Abundante (20-40%)</t>
        </is>
      </c>
      <c r="H22" s="56" t="n"/>
      <c r="I22" s="62" t="n">
        <v>0.5</v>
      </c>
    </row>
    <row r="23">
      <c r="A23" s="57" t="inlineStr">
        <is>
          <t>10</t>
        </is>
      </c>
      <c r="B23" s="57" t="inlineStr">
        <is>
          <t>Kikuyo</t>
        </is>
      </c>
      <c r="C23" s="57" t="inlineStr">
        <is>
          <t>Cenchrus clandestinus</t>
        </is>
      </c>
      <c r="D23" s="57" t="inlineStr">
        <is>
          <t>Poaceae</t>
        </is>
      </c>
      <c r="E23" s="57" t="inlineStr">
        <is>
          <t>Herbáceo (&lt;0.5 m)</t>
        </is>
      </c>
      <c r="F23" s="57" t="inlineStr">
        <is>
          <t>Introducida</t>
        </is>
      </c>
      <c r="G23" s="57" t="inlineStr">
        <is>
          <t>Dominante (&gt;40%)</t>
        </is>
      </c>
      <c r="H23" s="57" t="n"/>
      <c r="I23" s="64" t="n">
        <v>0.3</v>
      </c>
    </row>
    <row r="24">
      <c r="A24" s="56" t="inlineStr">
        <is>
          <t>11</t>
        </is>
      </c>
      <c r="B24" s="56" t="inlineStr">
        <is>
          <t>Ñachag</t>
        </is>
      </c>
      <c r="C24" s="56" t="inlineStr">
        <is>
          <t>Bidens andicola</t>
        </is>
      </c>
      <c r="D24" s="56" t="inlineStr">
        <is>
          <t>Asteraceae</t>
        </is>
      </c>
      <c r="E24" s="56" t="inlineStr">
        <is>
          <t>Herbáceo (&lt;0.5 m)</t>
        </is>
      </c>
      <c r="F24" s="56" t="inlineStr">
        <is>
          <t>Nativa</t>
        </is>
      </c>
      <c r="G24" s="56" t="inlineStr">
        <is>
          <t>Frecuente (5-20%)</t>
        </is>
      </c>
      <c r="H24" s="56" t="n"/>
      <c r="I24" s="62" t="n">
        <v>0.4</v>
      </c>
    </row>
    <row r="25">
      <c r="A25" s="57" t="inlineStr">
        <is>
          <t>12</t>
        </is>
      </c>
      <c r="B25" s="57" t="inlineStr">
        <is>
          <t>Pino</t>
        </is>
      </c>
      <c r="C25" s="57" t="inlineStr">
        <is>
          <t>Pinus radiata</t>
        </is>
      </c>
      <c r="D25" s="57" t="inlineStr">
        <is>
          <t>Pinaceae</t>
        </is>
      </c>
      <c r="E25" s="57" t="inlineStr">
        <is>
          <t>Arbóreo medio (8-15 m)</t>
        </is>
      </c>
      <c r="F25" s="57" t="inlineStr">
        <is>
          <t>Introducida</t>
        </is>
      </c>
      <c r="G25" s="57" t="inlineStr">
        <is>
          <t>Ocasional (1-5%)</t>
        </is>
      </c>
      <c r="H25" s="63" t="n">
        <v>22</v>
      </c>
      <c r="I25" s="63" t="n">
        <v>12</v>
      </c>
    </row>
    <row r="26">
      <c r="A26" s="56" t="inlineStr">
        <is>
          <t>13</t>
        </is>
      </c>
      <c r="B26" s="56" t="inlineStr">
        <is>
          <t>Eucalipto</t>
        </is>
      </c>
      <c r="C26" s="56" t="inlineStr">
        <is>
          <t>Eucalyptus globulus</t>
        </is>
      </c>
      <c r="D26" s="56" t="inlineStr">
        <is>
          <t>Myrtaceae</t>
        </is>
      </c>
      <c r="E26" s="56" t="inlineStr">
        <is>
          <t>Arbóreo superior (&gt;15 m)</t>
        </is>
      </c>
      <c r="F26" s="56" t="inlineStr">
        <is>
          <t>Introducida</t>
        </is>
      </c>
      <c r="G26" s="56" t="inlineStr">
        <is>
          <t>Ocasional (1-5%)</t>
        </is>
      </c>
      <c r="H26" s="61" t="n">
        <v>25</v>
      </c>
      <c r="I26" s="61" t="n">
        <v>14</v>
      </c>
    </row>
    <row r="28">
      <c r="A28" s="54" t="inlineStr">
        <is>
          <t>F-DT-03 · ESPECIES CLAVE GEORREFERENCIADAS</t>
        </is>
      </c>
    </row>
    <row r="29">
      <c r="A29" s="55" t="inlineStr">
        <is>
          <t>N.o</t>
        </is>
      </c>
      <c r="B29" s="55" t="inlineStr">
        <is>
          <t>Especie</t>
        </is>
      </c>
      <c r="C29" s="55" t="inlineStr">
        <is>
          <t>Categoría</t>
        </is>
      </c>
      <c r="D29" s="55" t="inlineStr">
        <is>
          <t>Estado UICN</t>
        </is>
      </c>
      <c r="E29" s="55" t="inlineStr">
        <is>
          <t>UTM ESTE</t>
        </is>
      </c>
      <c r="F29" s="55" t="inlineStr">
        <is>
          <t>UTM NORTE</t>
        </is>
      </c>
      <c r="G29" s="55" t="inlineStr">
        <is>
          <t>N.° individuos</t>
        </is>
      </c>
      <c r="H29" s="55" t="inlineStr">
        <is>
          <t>Observación</t>
        </is>
      </c>
    </row>
    <row r="30">
      <c r="A30" s="56" t="inlineStr">
        <is>
          <t>1</t>
        </is>
      </c>
      <c r="B30" s="56" t="inlineStr">
        <is>
          <t>Nogal andino (Juglans neotropica)</t>
        </is>
      </c>
      <c r="C30" s="56" t="inlineStr">
        <is>
          <t>Amenazada (D.S. 043-2006-AG)</t>
        </is>
      </c>
      <c r="D30" s="56" t="inlineStr">
        <is>
          <t>EN — En Peligro</t>
        </is>
      </c>
      <c r="E30" s="61" t="n">
        <v>642430</v>
      </c>
      <c r="F30" s="61" t="n">
        <v>9438050</v>
      </c>
      <c r="G30" s="62" t="n">
        <v>2</v>
      </c>
      <c r="H30" s="56" t="inlineStr">
        <is>
          <t>Individuos relictuales en bordes de campo; determinación a confirmar con colecta</t>
        </is>
      </c>
    </row>
    <row r="31">
      <c r="A31" s="57" t="inlineStr">
        <is>
          <t>2</t>
        </is>
      </c>
      <c r="B31" s="57" t="inlineStr">
        <is>
          <t>Queñua (Polylepis sp.)</t>
        </is>
      </c>
      <c r="C31" s="57" t="inlineStr">
        <is>
          <t>Amenazada (D.S. 043-2006-AG)</t>
        </is>
      </c>
      <c r="D31" s="57" t="inlineStr">
        <is>
          <t>VU — Vulnerable</t>
        </is>
      </c>
      <c r="E31" s="63" t="n">
        <v>642400</v>
      </c>
      <c r="F31" s="63" t="n">
        <v>9438300</v>
      </c>
      <c r="G31" s="57" t="n"/>
      <c r="H31" s="57" t="inlineStr">
        <is>
          <t>Parche en parte alta inaccesible; especie a determinar; género protegido</t>
        </is>
      </c>
    </row>
    <row r="32">
      <c r="A32" s="56" t="inlineStr">
        <is>
          <t>3</t>
        </is>
      </c>
      <c r="B32" s="56" t="inlineStr">
        <is>
          <t>Aliso (Alnus acuminata)</t>
        </is>
      </c>
      <c r="C32" s="56" t="inlineStr">
        <is>
          <t>Indicadora de buen estado</t>
        </is>
      </c>
      <c r="D32" s="56" t="inlineStr">
        <is>
          <t>LC — Preocupación Menor</t>
        </is>
      </c>
      <c r="E32" s="61" t="n">
        <v>642450</v>
      </c>
      <c r="F32" s="61" t="n">
        <v>9438120</v>
      </c>
      <c r="G32" s="56" t="n"/>
      <c r="H32" s="56" t="inlineStr">
        <is>
          <t>Indicador de humedad/recuperación; clave para revegetación riparia</t>
        </is>
      </c>
    </row>
    <row r="33">
      <c r="A33" s="57" t="inlineStr">
        <is>
          <t>4</t>
        </is>
      </c>
      <c r="B33" s="57" t="inlineStr">
        <is>
          <t>Cascarilla / Quina (Cinchona sp.)</t>
        </is>
      </c>
      <c r="C33" s="57" t="inlineStr">
        <is>
          <t>Clave cultural</t>
        </is>
      </c>
      <c r="D33" s="57" t="inlineStr">
        <is>
          <t>VU — Vulnerable</t>
        </is>
      </c>
      <c r="E33" s="63" t="n">
        <v>642400</v>
      </c>
      <c r="F33" s="63" t="n">
        <v>9438320</v>
      </c>
      <c r="G33" s="57" t="n"/>
      <c r="H33" s="57" t="inlineStr">
        <is>
          <t>Árbol nacional del Perú; presencia probable en relictos; requiere confirmación</t>
        </is>
      </c>
    </row>
    <row r="35">
      <c r="A35" s="54" t="inlineStr">
        <is>
          <t>F-DT-04 · MATRIZ DE CAUSAS DE DEGRADACIÓN</t>
        </is>
      </c>
    </row>
    <row r="36">
      <c r="A36" s="55" t="inlineStr">
        <is>
          <t>N.o</t>
        </is>
      </c>
      <c r="B36" s="55" t="inlineStr">
        <is>
          <t>Causa</t>
        </is>
      </c>
      <c r="C36" s="55" t="inlineStr">
        <is>
          <t>Presencia</t>
        </is>
      </c>
      <c r="D36" s="55" t="inlineStr">
        <is>
          <t>Intensidad</t>
        </is>
      </c>
      <c r="E36" s="55" t="inlineStr">
        <is>
          <t>Extensión</t>
        </is>
      </c>
      <c r="F36" s="55" t="inlineStr">
        <is>
          <t>Antigüedad</t>
        </is>
      </c>
      <c r="G36" s="55" t="inlineStr">
        <is>
          <t>Evidencia</t>
        </is>
      </c>
    </row>
    <row r="37">
      <c r="A37" s="56" t="inlineStr">
        <is>
          <t>1</t>
        </is>
      </c>
      <c r="B37" s="56" t="inlineStr">
        <is>
          <t>Sobrepastoreo (caprino/vacuno)</t>
        </is>
      </c>
      <c r="C37" s="56" t="inlineStr">
        <is>
          <t>Sí</t>
        </is>
      </c>
      <c r="D37" s="56" t="inlineStr">
        <is>
          <t>Fuerte</t>
        </is>
      </c>
      <c r="E37" s="56" t="inlineStr">
        <is>
          <t>70</t>
        </is>
      </c>
      <c r="F37" s="56" t="inlineStr">
        <is>
          <t>30</t>
        </is>
      </c>
      <c r="G37" s="56" t="inlineStr">
        <is>
          <t>Pastoreo vacuno extensivo en todo el bloque; terracetas de pisoteo y compactación (F-02, F-04)</t>
        </is>
      </c>
    </row>
    <row r="38">
      <c r="A38" s="57" t="inlineStr">
        <is>
          <t>2</t>
        </is>
      </c>
      <c r="B38" s="57" t="inlineStr">
        <is>
          <t>Tala para leña</t>
        </is>
      </c>
      <c r="C38" s="57" t="inlineStr">
        <is>
          <t>Sí</t>
        </is>
      </c>
      <c r="D38" s="57" t="inlineStr">
        <is>
          <t>Moderada</t>
        </is>
      </c>
      <c r="E38" s="57" t="inlineStr">
        <is>
          <t>40</t>
        </is>
      </c>
      <c r="F38" s="57" t="inlineStr">
        <is>
          <t>40</t>
        </is>
      </c>
      <c r="G38" s="57" t="inlineStr">
        <is>
          <t>Extracción histórica de leña; reducción del bosque montano a relictos</t>
        </is>
      </c>
    </row>
    <row r="39">
      <c r="A39" s="56" t="inlineStr">
        <is>
          <t>3</t>
        </is>
      </c>
      <c r="B39" s="56" t="inlineStr">
        <is>
          <t>Tala para carbón</t>
        </is>
      </c>
      <c r="C39" s="56" t="inlineStr">
        <is>
          <t>No</t>
        </is>
      </c>
      <c r="D39" s="56" t="inlineStr">
        <is>
          <t>Nula</t>
        </is>
      </c>
      <c r="E39" s="56" t="inlineStr"/>
      <c r="F39" s="56" t="inlineStr"/>
      <c r="G39" s="56" t="inlineStr">
        <is>
          <t>No evidenciado en el sector</t>
        </is>
      </c>
    </row>
    <row r="40">
      <c r="A40" s="57" t="inlineStr">
        <is>
          <t>4</t>
        </is>
      </c>
      <c r="B40" s="57" t="inlineStr">
        <is>
          <t>Tala para madera</t>
        </is>
      </c>
      <c r="C40" s="57" t="inlineStr">
        <is>
          <t>Sí</t>
        </is>
      </c>
      <c r="D40" s="57" t="inlineStr">
        <is>
          <t>Ligera</t>
        </is>
      </c>
      <c r="E40" s="57" t="inlineStr">
        <is>
          <t>20</t>
        </is>
      </c>
      <c r="F40" s="57" t="inlineStr">
        <is>
          <t>40</t>
        </is>
      </c>
      <c r="G40" s="57" t="inlineStr">
        <is>
          <t>Extracción selectiva de nogal/aliso para madera (uso local)</t>
        </is>
      </c>
    </row>
    <row r="41">
      <c r="A41" s="56" t="inlineStr">
        <is>
          <t>5</t>
        </is>
      </c>
      <c r="B41" s="56" t="inlineStr">
        <is>
          <t>Quema (renovación de pastos)</t>
        </is>
      </c>
      <c r="C41" s="56" t="inlineStr">
        <is>
          <t>No</t>
        </is>
      </c>
      <c r="D41" s="56" t="inlineStr">
        <is>
          <t>Nula</t>
        </is>
      </c>
      <c r="E41" s="56" t="inlineStr"/>
      <c r="F41" s="56" t="inlineStr"/>
      <c r="G41" s="56" t="inlineStr"/>
    </row>
    <row r="42">
      <c r="A42" s="57" t="inlineStr">
        <is>
          <t>6</t>
        </is>
      </c>
      <c r="B42" s="57" t="inlineStr">
        <is>
          <t>Quema accidental / Incendio</t>
        </is>
      </c>
      <c r="C42" s="57" t="inlineStr">
        <is>
          <t>No</t>
        </is>
      </c>
      <c r="D42" s="57" t="inlineStr">
        <is>
          <t>Nula</t>
        </is>
      </c>
      <c r="E42" s="57" t="inlineStr"/>
      <c r="F42" s="57" t="inlineStr"/>
      <c r="G42" s="57" t="inlineStr">
        <is>
          <t>No evidenciado</t>
        </is>
      </c>
    </row>
    <row r="43">
      <c r="A43" s="56" t="inlineStr">
        <is>
          <t>7</t>
        </is>
      </c>
      <c r="B43" s="56" t="inlineStr">
        <is>
          <t>Cambio de uso a agricultura</t>
        </is>
      </c>
      <c r="C43" s="56" t="inlineStr">
        <is>
          <t>No</t>
        </is>
      </c>
      <c r="D43" s="56" t="inlineStr">
        <is>
          <t>Nula</t>
        </is>
      </c>
      <c r="E43" s="56" t="inlineStr"/>
      <c r="F43" s="56" t="inlineStr"/>
      <c r="G43" s="56" t="inlineStr">
        <is>
          <t>No predomina cultivo; el uso es pecuario</t>
        </is>
      </c>
    </row>
    <row r="44">
      <c r="A44" s="57" t="inlineStr">
        <is>
          <t>8</t>
        </is>
      </c>
      <c r="B44" s="57" t="inlineStr">
        <is>
          <t>Cambio de uso a pastoreo</t>
        </is>
      </c>
      <c r="C44" s="57" t="inlineStr">
        <is>
          <t>Sí</t>
        </is>
      </c>
      <c r="D44" s="57" t="inlineStr">
        <is>
          <t>Muy fuerte</t>
        </is>
      </c>
      <c r="E44" s="57" t="inlineStr">
        <is>
          <t>75</t>
        </is>
      </c>
      <c r="F44" s="57" t="inlineStr">
        <is>
          <t>40</t>
        </is>
      </c>
      <c r="G44" s="57" t="inlineStr">
        <is>
          <t>Conversión histórica de bosque montano a pastizal — MOTOR principal de degradación</t>
        </is>
      </c>
    </row>
    <row r="45">
      <c r="A45" s="56" t="inlineStr">
        <is>
          <t>9</t>
        </is>
      </c>
      <c r="B45" s="56" t="inlineStr">
        <is>
          <t>Expansión urbana / vial</t>
        </is>
      </c>
      <c r="C45" s="56" t="inlineStr">
        <is>
          <t>Sí</t>
        </is>
      </c>
      <c r="D45" s="56" t="inlineStr">
        <is>
          <t>Ligera</t>
        </is>
      </c>
      <c r="E45" s="56" t="inlineStr">
        <is>
          <t>5</t>
        </is>
      </c>
      <c r="F45" s="56" t="inlineStr">
        <is>
          <t>15</t>
        </is>
      </c>
      <c r="G45" s="56" t="inlineStr">
        <is>
          <t>Apertura de trocha carrozable; cortes de talud con erosión (F-03, F-07)</t>
        </is>
      </c>
    </row>
    <row r="46">
      <c r="A46" s="57" t="inlineStr">
        <is>
          <t>10</t>
        </is>
      </c>
      <c r="B46" s="57" t="inlineStr">
        <is>
          <t>Minería informal</t>
        </is>
      </c>
      <c r="C46" s="57" t="inlineStr">
        <is>
          <t>No</t>
        </is>
      </c>
      <c r="D46" s="57" t="inlineStr">
        <is>
          <t>Nula</t>
        </is>
      </c>
      <c r="E46" s="57" t="inlineStr"/>
      <c r="F46" s="57" t="inlineStr"/>
      <c r="G46" s="57" t="inlineStr">
        <is>
          <t>No observada</t>
        </is>
      </c>
    </row>
    <row r="47">
      <c r="A47" s="56" t="inlineStr">
        <is>
          <t>11</t>
        </is>
      </c>
      <c r="B47" s="56" t="inlineStr">
        <is>
          <t>Extracción de áridos (cauces)</t>
        </is>
      </c>
      <c r="C47" s="56" t="inlineStr">
        <is>
          <t>No</t>
        </is>
      </c>
      <c r="D47" s="56" t="inlineStr">
        <is>
          <t>Nula</t>
        </is>
      </c>
      <c r="E47" s="56" t="inlineStr"/>
      <c r="F47" s="56" t="inlineStr"/>
      <c r="G47" s="56" t="inlineStr">
        <is>
          <t>No observada</t>
        </is>
      </c>
    </row>
    <row r="48">
      <c r="A48" s="57" t="inlineStr">
        <is>
          <t>12</t>
        </is>
      </c>
      <c r="B48" s="57" t="inlineStr">
        <is>
          <t>Especies invasoras</t>
        </is>
      </c>
      <c r="C48" s="57" t="inlineStr">
        <is>
          <t>Sí</t>
        </is>
      </c>
      <c r="D48" s="57" t="inlineStr">
        <is>
          <t>Ligera</t>
        </is>
      </c>
      <c r="E48" s="57" t="inlineStr">
        <is>
          <t>12</t>
        </is>
      </c>
      <c r="F48" s="57" t="inlineStr">
        <is>
          <t>20</t>
        </is>
      </c>
      <c r="G48" s="57" t="inlineStr">
        <is>
          <t>Plantaciones de Pinus radiata y kikuyo (Cenchrus clandestinus) naturalizado</t>
        </is>
      </c>
    </row>
    <row r="49">
      <c r="A49" s="56" t="inlineStr">
        <is>
          <t>13</t>
        </is>
      </c>
      <c r="B49" s="56" t="inlineStr">
        <is>
          <t>Erosión natural severa</t>
        </is>
      </c>
      <c r="C49" s="56" t="inlineStr">
        <is>
          <t>Sí</t>
        </is>
      </c>
      <c r="D49" s="56" t="inlineStr">
        <is>
          <t>Ligera</t>
        </is>
      </c>
      <c r="E49" s="56" t="inlineStr">
        <is>
          <t>5</t>
        </is>
      </c>
      <c r="F49" s="56" t="inlineStr"/>
      <c r="G49" s="56" t="inlineStr">
        <is>
          <t>Erosión concentrada de origen mayormente antrópico (cortes de trocha)</t>
        </is>
      </c>
    </row>
    <row r="50">
      <c r="A50" s="57" t="inlineStr">
        <is>
          <t>14</t>
        </is>
      </c>
      <c r="B50" s="57" t="inlineStr">
        <is>
          <t>Sequía prolongada / CC</t>
        </is>
      </c>
      <c r="C50" s="57" t="inlineStr">
        <is>
          <t>Sí</t>
        </is>
      </c>
      <c r="D50" s="57" t="inlineStr">
        <is>
          <t>Ligera</t>
        </is>
      </c>
      <c r="E50" s="57" t="inlineStr"/>
      <c r="F50" s="57" t="inlineStr"/>
      <c r="G50" s="57" t="inlineStr">
        <is>
          <t>Estrés hídrico estacional; déficit hídrico proyectado por CC (escenario SSP-585)</t>
        </is>
      </c>
    </row>
    <row r="51">
      <c r="A51" s="56" t="inlineStr">
        <is>
          <t>15</t>
        </is>
      </c>
      <c r="B51" s="56" t="inlineStr">
        <is>
          <t>Plagas o enfermedades forestales</t>
        </is>
      </c>
      <c r="C51" s="56" t="inlineStr">
        <is>
          <t>No</t>
        </is>
      </c>
      <c r="D51" s="56" t="inlineStr">
        <is>
          <t>Nula</t>
        </is>
      </c>
      <c r="E51" s="56" t="inlineStr"/>
      <c r="F51" s="56" t="inlineStr"/>
      <c r="G51" s="56" t="inlineStr">
        <is>
          <t>Dosel relictual sano (ver F-DT-03)</t>
        </is>
      </c>
    </row>
    <row r="52">
      <c r="A52" s="57" t="inlineStr">
        <is>
          <t>16</t>
        </is>
      </c>
      <c r="B52" s="57" t="inlineStr">
        <is>
          <t>Otro</t>
        </is>
      </c>
      <c r="C52" s="57" t="inlineStr">
        <is>
          <t>No</t>
        </is>
      </c>
      <c r="D52" s="57" t="inlineStr">
        <is>
          <t>Nula</t>
        </is>
      </c>
      <c r="E52" s="57" t="inlineStr"/>
      <c r="F52" s="57" t="inlineStr"/>
      <c r="G52" s="57" t="inlineStr"/>
    </row>
    <row r="54">
      <c r="A54" s="54" t="inlineStr">
        <is>
          <t>F-DT-04 · INDICADORES CUANTITATIVOS</t>
        </is>
      </c>
    </row>
    <row r="55">
      <c r="A55" s="55" t="inlineStr">
        <is>
          <t>N.o</t>
        </is>
      </c>
      <c r="B55" s="55" t="inlineStr">
        <is>
          <t>Indicador</t>
        </is>
      </c>
      <c r="C55" s="55" t="inlineStr">
        <is>
          <t>Unidad</t>
        </is>
      </c>
      <c r="D55" s="55" t="inlineStr">
        <is>
          <t>Valor</t>
        </is>
      </c>
      <c r="E55" s="55" t="inlineStr">
        <is>
          <t>Fuente</t>
        </is>
      </c>
      <c r="F55" s="55" t="inlineStr">
        <is>
          <t>Umbral</t>
        </is>
      </c>
      <c r="G55" s="55" t="inlineStr">
        <is>
          <t>Nivel</t>
        </is>
      </c>
    </row>
    <row r="56">
      <c r="A56" s="56" t="inlineStr">
        <is>
          <t>1</t>
        </is>
      </c>
      <c r="B56" s="56" t="inlineStr">
        <is>
          <t>Cobertura vegetal total</t>
        </is>
      </c>
      <c r="C56" s="56" t="inlineStr">
        <is>
          <t>%</t>
        </is>
      </c>
      <c r="D56" s="56" t="inlineStr">
        <is>
          <t>85</t>
        </is>
      </c>
      <c r="E56" s="56" t="inlineStr">
        <is>
          <t>Campo + MSAVI Piura 2024</t>
        </is>
      </c>
      <c r="F56" s="56" t="inlineStr">
        <is>
          <t>&gt;60% bueno; 30-60% medio; &lt;30% malo</t>
        </is>
      </c>
      <c r="G56" s="56" t="inlineStr">
        <is>
          <t>Bajo</t>
        </is>
      </c>
    </row>
    <row r="57">
      <c r="A57" s="57" t="inlineStr">
        <is>
          <t>2</t>
        </is>
      </c>
      <c r="B57" s="57" t="inlineStr">
        <is>
          <t>Porcentaje de suelo desnudo</t>
        </is>
      </c>
      <c r="C57" s="57" t="inlineStr">
        <is>
          <t>%</t>
        </is>
      </c>
      <c r="D57" s="57" t="inlineStr">
        <is>
          <t>10</t>
        </is>
      </c>
      <c r="E57" s="57" t="inlineStr">
        <is>
          <t>Campo + MSAVI Piura 2024</t>
        </is>
      </c>
      <c r="F57" s="57" t="inlineStr">
        <is>
          <t>&lt;10% bueno; 10-30% medio; &gt;30% malo</t>
        </is>
      </c>
      <c r="G57" s="57" t="inlineStr">
        <is>
          <t>Bajo</t>
        </is>
      </c>
    </row>
    <row r="58">
      <c r="A58" s="56" t="inlineStr">
        <is>
          <t>3</t>
        </is>
      </c>
      <c r="B58" s="56" t="inlineStr">
        <is>
          <t>Densidad de cárcavas</t>
        </is>
      </c>
      <c r="C58" s="56" t="inlineStr">
        <is>
          <t>N°/ha</t>
        </is>
      </c>
      <c r="D58" s="56" t="inlineStr">
        <is>
          <t>0.13</t>
        </is>
      </c>
      <c r="E58" s="56" t="inlineStr">
        <is>
          <t>Inventario F-DT-02 (2 cárcavas / 15.84 ha)</t>
        </is>
      </c>
      <c r="F58" s="56" t="inlineStr">
        <is>
          <t>0 nulo; 1-3 medio; &gt;3 alto</t>
        </is>
      </c>
      <c r="G58" s="56" t="inlineStr">
        <is>
          <t>Bajo</t>
        </is>
      </c>
    </row>
    <row r="59">
      <c r="A59" s="57" t="inlineStr">
        <is>
          <t>4</t>
        </is>
      </c>
      <c r="B59" s="57" t="inlineStr">
        <is>
          <t>Presencia de especies invasoras</t>
        </is>
      </c>
      <c r="C59" s="57" t="inlineStr">
        <is>
          <t>% área</t>
        </is>
      </c>
      <c r="D59" s="57" t="inlineStr">
        <is>
          <t>12</t>
        </is>
      </c>
      <c r="E59" s="57" t="inlineStr">
        <is>
          <t>Estimación de campo</t>
        </is>
      </c>
      <c r="F59" s="57" t="inlineStr">
        <is>
          <t>&lt;5% bueno; 5-20% medio; &gt;20% alto</t>
        </is>
      </c>
      <c r="G59" s="57" t="inlineStr">
        <is>
          <t>Medio</t>
        </is>
      </c>
    </row>
    <row r="60">
      <c r="A60" s="56" t="inlineStr">
        <is>
          <t>5</t>
        </is>
      </c>
      <c r="B60" s="56" t="inlineStr">
        <is>
          <t>Carga ganadera estimada</t>
        </is>
      </c>
      <c r="C60" s="56" t="inlineStr">
        <is>
          <t>UA/ha</t>
        </is>
      </c>
      <c r="D60" s="56" t="inlineStr">
        <is>
          <t>1</t>
        </is>
      </c>
      <c r="E60" s="56" t="inlineStr">
        <is>
          <t>Estimación de campo</t>
        </is>
      </c>
      <c r="F60" s="56" t="inlineStr">
        <is>
          <t>Según tipo de ecosistema</t>
        </is>
      </c>
      <c r="G60" s="56" t="inlineStr">
        <is>
          <t>Medio</t>
        </is>
      </c>
    </row>
    <row r="61">
      <c r="A61" s="57" t="inlineStr">
        <is>
          <t>6</t>
        </is>
      </c>
      <c r="B61" s="57" t="inlineStr">
        <is>
          <t>Frecuencia de quemas últimos 5 años</t>
        </is>
      </c>
      <c r="C61" s="57" t="inlineStr">
        <is>
          <t>N°</t>
        </is>
      </c>
      <c r="D61" s="57" t="inlineStr">
        <is>
          <t>0</t>
        </is>
      </c>
      <c r="E61" s="57" t="inlineStr">
        <is>
          <t>Indagación local</t>
        </is>
      </c>
      <c r="F61" s="57" t="inlineStr">
        <is>
          <t>0 nulo; 1-2 medio; &gt;2 alto</t>
        </is>
      </c>
      <c r="G61" s="57" t="inlineStr">
        <is>
          <t>Medio</t>
        </is>
      </c>
    </row>
    <row r="62">
      <c r="A62" s="56" t="inlineStr">
        <is>
          <t>7</t>
        </is>
      </c>
      <c r="B62" s="56" t="inlineStr">
        <is>
          <t>% área con pendiente &gt;50%</t>
        </is>
      </c>
      <c r="C62" s="56" t="inlineStr">
        <is>
          <t>%</t>
        </is>
      </c>
      <c r="D62" s="56" t="inlineStr">
        <is>
          <t>25</t>
        </is>
      </c>
      <c r="E62" s="56" t="inlineStr">
        <is>
          <t>Perfil de elevación / DEM</t>
        </is>
      </c>
      <c r="F62" s="56" t="inlineStr">
        <is>
          <t>Factor de susceptibilidad</t>
        </is>
      </c>
      <c r="G62" s="56" t="inlineStr">
        <is>
          <t>Medio</t>
        </is>
      </c>
    </row>
    <row r="63">
      <c r="A63" s="57" t="inlineStr">
        <is>
          <t>8</t>
        </is>
      </c>
      <c r="B63" s="57" t="inlineStr">
        <is>
          <t>Distancia a vía vecinal más cercana</t>
        </is>
      </c>
      <c r="C63" s="57" t="inlineStr">
        <is>
          <t>m</t>
        </is>
      </c>
      <c r="D63" s="57" t="inlineStr">
        <is>
          <t>0</t>
        </is>
      </c>
      <c r="E63" s="57" t="inlineStr">
        <is>
          <t>Trocha carrozable atraviesa el bloque</t>
        </is>
      </c>
      <c r="F63" s="57" t="inlineStr">
        <is>
          <t>A menor distancia → mayor presión</t>
        </is>
      </c>
      <c r="G63" s="57" t="inlineStr">
        <is>
          <t>Alto</t>
        </is>
      </c>
    </row>
    <row r="65">
      <c r="A65" s="54" t="inlineStr">
        <is>
          <t>F-DT-05 · FUENTES DE AGUA INVENTARIADAS</t>
        </is>
      </c>
    </row>
    <row r="66">
      <c r="A66" s="55" t="inlineStr">
        <is>
          <t>N.o</t>
        </is>
      </c>
      <c r="B66" s="55" t="inlineStr">
        <is>
          <t>Tipo de fuente</t>
        </is>
      </c>
      <c r="C66" s="55" t="inlineStr">
        <is>
          <t>UTM ESTE</t>
        </is>
      </c>
      <c r="D66" s="55" t="inlineStr">
        <is>
          <t>UTM NORTE</t>
        </is>
      </c>
      <c r="E66" s="55" t="inlineStr">
        <is>
          <t>Régimen</t>
        </is>
      </c>
      <c r="F66" s="55" t="inlineStr">
        <is>
          <t>Calidad</t>
        </is>
      </c>
      <c r="G66" s="55" t="inlineStr">
        <is>
          <t>Distancia (m)</t>
        </is>
      </c>
      <c r="H66" s="55" t="inlineStr">
        <is>
          <t>Uso / observación</t>
        </is>
      </c>
    </row>
    <row r="67">
      <c r="A67" s="56" t="inlineStr">
        <is>
          <t>1</t>
        </is>
      </c>
      <c r="B67" s="56" t="inlineStr">
        <is>
          <t>Quebrada permanente</t>
        </is>
      </c>
      <c r="C67" s="61" t="n">
        <v>642690</v>
      </c>
      <c r="D67" s="61" t="n">
        <v>9438400</v>
      </c>
      <c r="E67" s="56" t="inlineStr">
        <is>
          <t>Permanente</t>
        </is>
      </c>
      <c r="F67" s="56" t="inlineStr">
        <is>
          <t>Buena (clara, sin olor, sin sedimentos)</t>
        </is>
      </c>
      <c r="G67" s="61" t="n">
        <v>150</v>
      </c>
      <c r="H67" s="56" t="inlineStr">
        <is>
          <t>Quebrada Huacas — drena el cluster B49–B55; abrevadero de ganado; sin captación formal observada</t>
        </is>
      </c>
    </row>
    <row r="68">
      <c r="A68" s="57" t="inlineStr">
        <is>
          <t>2</t>
        </is>
      </c>
      <c r="B68" s="57" t="inlineStr">
        <is>
          <t>Quebrada estacional</t>
        </is>
      </c>
      <c r="C68" s="63" t="n">
        <v>642425</v>
      </c>
      <c r="D68" s="63" t="n">
        <v>9438096</v>
      </c>
      <c r="E68" s="57" t="inlineStr">
        <is>
          <t>Estacional (lluvias)</t>
        </is>
      </c>
      <c r="F68" s="57" t="inlineStr">
        <is>
          <t>Regular (ligeramente turbia o con sedimentos)</t>
        </is>
      </c>
      <c r="G68" s="64" t="n">
        <v>0</v>
      </c>
      <c r="H68" s="57" t="inlineStr">
        <is>
          <t>Cauce menor interno de concentración de escorrentía (F-04)</t>
        </is>
      </c>
    </row>
    <row r="71">
      <c r="A71" s="54" t="inlineStr">
        <is>
          <t>OBSERVACIONES DEL EVALUADOR POR FICHA</t>
        </is>
      </c>
    </row>
    <row r="72">
      <c r="A72" s="55" t="inlineStr">
        <is>
          <t>Ficha</t>
        </is>
      </c>
      <c r="B72" s="55" t="inlineStr">
        <is>
          <t>Observación registrada en campo</t>
        </is>
      </c>
    </row>
    <row r="73">
      <c r="A73" s="56" t="inlineStr">
        <is>
          <t>F-DT-01</t>
        </is>
      </c>
      <c r="B73" s="56" t="inlineStr">
        <is>
          <t>OBSERVACIONES: Verificación del 26-05-2026 con la brigada de campo. Ingreso por la vía PI-124 (desde Yamango) y empalme con trocha carrozable; el tramo final al bloque se realizó a pie desde el punto de estacionamiento del vehículo. El bloque (15.84 ha) integra el cluster B55–B49–B52 (microcuenca C1086-Q9575, zona Z09). Predominan suelos residuales profundos (saprolito) con escasos afloramientos rocosos. No se observaron remociones en masa activas ni deslizamientos antiguos confirmados en el sector recorrido; sí evidencias de reptación lenta (terracetas de pisoteo) en laderas pastoreadas y microescarpes/erosión activa LOCALIZADA en los cortes de talud de la trocha (ver F-01 a F-07). La alta pendiente, los suelos profundos y la pérdida de cobertura boscosa configuran SUSCEPTIBILIDAD a movimientos en masa y erosión, justificando la intervención de regulación de riesgos. Coordenadas de gully y determinación botánica a precisar en verificación complementaria.</t>
        </is>
      </c>
    </row>
    <row r="74">
      <c r="A74" s="57" t="inlineStr">
        <is>
          <t>F-DT-02</t>
        </is>
      </c>
      <c r="B74" s="57" t="inlineStr">
        <is>
          <t>OBSERVACIONES: La erosión del bloque es predominantemente LAMINAR de baja intensidad sobre los pastizales (buena cobertura herbácea, MSAVI 2024 mayormente &gt; 0.61), mientras que la erosión concentrada (surcos y cárcavas incipientes/someras) se localiza en los cortes de la trocha carrozable y en bordes de campo socavados (~1.0–1.5 m, con raíces expuestas). El patrón es lineal, controlado por la vía. El sobrepastoreo y la compactación por pisoteo favorecen el sellamiento incipiente y la pérdida de infiltración. Se recomiendan obras de control en cárcavas (diques/empalizadas), revegetación de taludes de la trocha y manejo de la carga ganadera. Coordenadas de inicio/fin de cárcavas a precisar con GPS submétrico en campo.</t>
        </is>
      </c>
    </row>
    <row r="75">
      <c r="A75" s="56" t="inlineStr">
        <is>
          <t>F-DT-03</t>
        </is>
      </c>
      <c r="B75" s="56" t="inlineStr">
        <is>
          <t>OBSERVACIONES: El bloque corresponde al catálogo MINAM como zona/mosaico agropecuario; no obstante, conserva un componente florístico nativo valioso en relictos de bosque montano húmedo (zona de vida bh-MT a bmh-MT) ubicados en las posiciones altas e inaccesibles, coexistiendo con especies introducidas (Pinus radiata, kikuyo). La lista florística es PRELIMINAR y se basa en juicio de experto y en referencias de bosques montanos cercanos de la misma vertiente (Mijal–Morropón, Lalaquiz, Cuyas–Ayabaca, Canchaque/Lanchurán–Huancabamba); las determinaciones a nivel de especie (Polylepis, Myrcianthes, Weinmannia, Buddleja, Cinchona) requieren colecta y confirmación botánica. La regeneración natural está limitada por el pastoreo. La presencia de relictos representa fuente semillera estratégica para la restauración del bloque.</t>
        </is>
      </c>
    </row>
    <row r="76">
      <c r="A76" s="57" t="inlineStr">
        <is>
          <t>F-DT-04</t>
        </is>
      </c>
      <c r="B76" s="57" t="inlineStr">
        <is>
          <t>OBSERVACIONES: El estado actual del bloque es resultado de una degradación ANTIGUA (conversión a pastizal de larga data) hoy relativamente estable en cobertura (MSAVI alto), pero con presión continua por pastoreo y quemas que impiden la regeneración del bosque. La reversibilidad es PARCIAL y favorable por la presencia de relictos (fuente semillera), suelos profundos y régimen húmedo. Se priorizan medidas de gobernanza (acuerdos de conservación / MERESE, manejo de carga ganadera y quemas) junto a revegetación con nativas (aliso, cucharillo, nogal, queñua) e infraestructura natural (zanjas de infiltración, clausura de relictos).</t>
        </is>
      </c>
    </row>
    <row r="77">
      <c r="A77" s="56" t="inlineStr">
        <is>
          <t>F-DT-05</t>
        </is>
      </c>
      <c r="B77" s="56" t="inlineStr">
        <is>
          <t>OBSERVACIONES: El bloque se ubica en cabecera de microcuenca (C1086-Q9575), en zona de RECARGA HÍDRICA con régimen húmedo y suelos profundos: la recuperación de la cobertura potenciaría la regulación hídrica (infiltración y recarga) y la regulación de riesgos aguas abajo. La quebrada Huacas (permanente) limita el bloque por el sureste. Acceso condicionado en época de lluvias (trocha). Distancia a captación poblacional, JASS/sistema de riego y contacto de Ronda Campesina quedan PENDIENTES de confirmación en verificación complementaria.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49</t>
        </is>
      </c>
    </row>
    <row r="7">
      <c r="A7" s="54" t="inlineStr">
        <is>
          <t>Hechos declarados por fuente</t>
        </is>
      </c>
    </row>
    <row r="8">
      <c r="A8" s="55" t="inlineStr">
        <is>
          <t>Fuente</t>
        </is>
      </c>
      <c r="B8" s="55" t="inlineStr">
        <is>
          <t>Hechos</t>
        </is>
      </c>
    </row>
    <row r="9">
      <c r="A9" s="56" t="inlineStr">
        <is>
          <t>Dato de campo</t>
        </is>
      </c>
      <c r="B9" s="56" t="n">
        <v>76</v>
      </c>
    </row>
    <row r="10">
      <c r="A10" s="57" t="inlineStr">
        <is>
          <t>Gabinete (GIS / teledetección)</t>
        </is>
      </c>
      <c r="B10" s="57" t="n">
        <v>20</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108</v>
      </c>
    </row>
    <row r="29">
      <c r="A29" s="57" t="inlineStr">
        <is>
          <t>COMPLEMENTADO</t>
        </is>
      </c>
      <c r="B29" s="57" t="n">
        <v>0</v>
      </c>
    </row>
    <row r="30">
      <c r="A30" s="56" t="inlineStr">
        <is>
          <t>ACTUALIZADO</t>
        </is>
      </c>
      <c r="B30" s="56" t="n">
        <v>2</v>
      </c>
    </row>
    <row r="31">
      <c r="A31" s="57" t="inlineStr">
        <is>
          <t>DISCREPANTE</t>
        </is>
      </c>
      <c r="B31" s="57" t="n">
        <v>0</v>
      </c>
    </row>
    <row r="32">
      <c r="A32" s="56" t="inlineStr">
        <is>
          <t>PENDIENTE</t>
        </is>
      </c>
      <c r="B32" s="56" t="n">
        <v>4</v>
      </c>
    </row>
    <row r="45">
      <c r="A45" s="54" t="inlineStr">
        <is>
          <t>Cobertura por estrato — campo (%)</t>
        </is>
      </c>
    </row>
    <row r="46">
      <c r="A46" s="55" t="inlineStr">
        <is>
          <t>Estrato</t>
        </is>
      </c>
      <c r="B46" s="55" t="inlineStr">
        <is>
          <t>% del área</t>
        </is>
      </c>
    </row>
    <row r="47">
      <c r="A47" s="56" t="inlineStr">
        <is>
          <t>Dosel</t>
        </is>
      </c>
      <c r="B47" s="61" t="n">
        <v>15</v>
      </c>
    </row>
    <row r="48">
      <c r="A48" s="57" t="inlineStr">
        <is>
          <t>Arbustiva</t>
        </is>
      </c>
      <c r="B48" s="63" t="n">
        <v>10</v>
      </c>
    </row>
    <row r="49">
      <c r="A49" s="56" t="inlineStr">
        <is>
          <t>Herbácea</t>
        </is>
      </c>
      <c r="B49" s="61" t="n">
        <v>60</v>
      </c>
    </row>
    <row r="50">
      <c r="A50" s="57" t="inlineStr">
        <is>
          <t>Hojarasca</t>
        </is>
      </c>
      <c r="B50" s="64" t="n">
        <v>5</v>
      </c>
    </row>
    <row r="51">
      <c r="A51" s="56" t="inlineStr">
        <is>
          <t>Suelo desnudo</t>
        </is>
      </c>
      <c r="B51" s="61" t="n">
        <v>10</v>
      </c>
    </row>
    <row r="64">
      <c r="A64" s="54" t="inlineStr">
        <is>
          <t>Causas activas de degradación (F-DT-04)</t>
        </is>
      </c>
    </row>
    <row r="65">
      <c r="A65" s="55" t="inlineStr">
        <is>
          <t>Causa</t>
        </is>
      </c>
      <c r="B65" s="55" t="inlineStr">
        <is>
          <t>Intensidad (1 ligera - 4 muy fuerte)</t>
        </is>
      </c>
    </row>
    <row r="66">
      <c r="A66" s="56" t="inlineStr">
        <is>
          <t>Cambio de uso a pastoreo</t>
        </is>
      </c>
      <c r="B66" s="56" t="n">
        <v>4</v>
      </c>
    </row>
    <row r="67">
      <c r="A67" s="57" t="inlineStr">
        <is>
          <t>Sobrepastoreo (caprino/vacuno)</t>
        </is>
      </c>
      <c r="B67" s="57" t="n">
        <v>3</v>
      </c>
    </row>
    <row r="68">
      <c r="A68" s="56" t="inlineStr">
        <is>
          <t>Tala para leña</t>
        </is>
      </c>
      <c r="B68" s="56" t="n">
        <v>2</v>
      </c>
    </row>
    <row r="69">
      <c r="A69" s="57" t="inlineStr">
        <is>
          <t>Erosión natural severa</t>
        </is>
      </c>
      <c r="B69" s="57" t="n">
        <v>1</v>
      </c>
    </row>
    <row r="70">
      <c r="A70" s="56" t="inlineStr">
        <is>
          <t>Especies invasoras</t>
        </is>
      </c>
      <c r="B70" s="56" t="n">
        <v>1</v>
      </c>
    </row>
    <row r="71">
      <c r="A71" s="57" t="inlineStr">
        <is>
          <t>Expansión urbana / vial</t>
        </is>
      </c>
      <c r="B71" s="57" t="n">
        <v>1</v>
      </c>
    </row>
    <row r="72">
      <c r="A72" s="56" t="inlineStr">
        <is>
          <t>Sequía prolongada / CC</t>
        </is>
      </c>
      <c r="B72" s="56" t="n">
        <v>1</v>
      </c>
    </row>
    <row r="73">
      <c r="A73" s="57" t="inlineStr">
        <is>
          <t>Tala para madera</t>
        </is>
      </c>
      <c r="B73" s="57"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1</v>
      </c>
    </row>
    <row r="87">
      <c r="A87" s="56" t="inlineStr">
        <is>
          <t>CORREGIDO</t>
        </is>
      </c>
      <c r="B87" s="56" t="n">
        <v>2</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49 — IN Piura</dc:title>
  <dc:subject>Diagnóstico Territorial por bloque de intervención</dc:subject>
  <dcterms:created xsi:type="dcterms:W3CDTF">2026-09-08T03:39:56Z</dcterms:created>
  <dcterms:modified xsi:type="dcterms:W3CDTF">2026-09-11T21:26:27Z</dcterms:modified>
</cp:coreProperties>
</file>