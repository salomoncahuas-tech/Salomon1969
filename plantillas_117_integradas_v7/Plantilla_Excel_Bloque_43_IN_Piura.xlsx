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43</t>
        </is>
      </c>
    </row>
    <row r="6" ht="24" customHeight="1">
      <c r="A6" s="4" t="inlineStr">
        <is>
          <t>Diagnóstico Territorial — Plantilla DT Campo Check Validada V5 | Sistema de referencia: UTM WGS 84 Zona 17S (EPSG:32717) · Integrado con la ficha de campo F-DT vigente (Plantilla_DT_Campo_B43_IN_Piura.xlsx) — V7 - resumen V6 + campo F-DT integrado</t>
        </is>
      </c>
    </row>
    <row r="7"/>
    <row r="8" ht="18" customHeight="1">
      <c r="A8" s="5" t="inlineStr">
        <is>
          <t>1. IDENTIFICACIÓN Y LOCALIZACIÓN</t>
        </is>
      </c>
    </row>
    <row r="9">
      <c r="A9" s="6" t="inlineStr">
        <is>
          <t>Código del bloque</t>
        </is>
      </c>
      <c r="B9" s="7" t="inlineStr">
        <is>
          <t>43</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C1076-Q9586</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50" t="inlineStr">
        <is>
          <t>Pizarrume (≈0.48 km del centroide)</t>
        </is>
      </c>
      <c r="C13" s="6" t="inlineStr">
        <is>
          <t>Comunidad campesina</t>
        </is>
      </c>
      <c r="D13" s="7" t="inlineStr">
        <is>
          <t>Por verificar</t>
        </is>
      </c>
      <c r="E13" s="8" t="n"/>
      <c r="F13" s="8" t="n"/>
    </row>
    <row r="14">
      <c r="A14" s="6" t="inlineStr">
        <is>
          <t>Superficie de catálogo (V5/V6), ha</t>
        </is>
      </c>
      <c r="B14" s="7" t="n">
        <v>23.17</v>
      </c>
      <c r="C14" s="6" t="inlineStr">
        <is>
          <t>Fuente de superficie</t>
        </is>
      </c>
      <c r="D14" s="7" t="inlineStr">
        <is>
          <t>Catálogo maestro Bloques V5/V6</t>
        </is>
      </c>
      <c r="E14" s="8" t="n"/>
      <c r="F14" s="8" t="n"/>
    </row>
    <row r="15">
      <c r="A15" s="6" t="inlineStr">
        <is>
          <t>Centroide UTM ESTE (m)</t>
        </is>
      </c>
      <c r="B15" s="7" t="n">
        <v>656489</v>
      </c>
      <c r="C15" s="6" t="inlineStr">
        <is>
          <t>Centroide UTM NORTE (m)</t>
        </is>
      </c>
      <c r="D15" s="7" t="n">
        <v>9395403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251</v>
      </c>
      <c r="C19" s="6" t="inlineStr">
        <is>
          <t>Altitud máxima (msnm)</t>
        </is>
      </c>
      <c r="D19" s="7" t="n">
        <v>811</v>
      </c>
      <c r="E19" s="8" t="n"/>
      <c r="F19" s="8" t="n"/>
    </row>
    <row r="20">
      <c r="A20" s="6" t="inlineStr">
        <is>
          <t>Amplitud altitudinal (m)</t>
        </is>
      </c>
      <c r="B20" s="7" t="n">
        <v>560</v>
      </c>
      <c r="C20" s="6" t="inlineStr">
        <is>
          <t>Piso altitudinal dominante</t>
        </is>
      </c>
      <c r="D20" s="7" t="inlineStr">
        <is>
          <t>&lt;1000 m (Yunga)</t>
        </is>
      </c>
      <c r="E20" s="8" t="n"/>
      <c r="F20" s="8" t="n"/>
    </row>
    <row r="21">
      <c r="A21" s="6" t="inlineStr">
        <is>
          <t>Pendiente promedio (%)</t>
        </is>
      </c>
      <c r="B21" s="7" t="n">
        <v>31.39</v>
      </c>
      <c r="C21" s="6" t="inlineStr">
        <is>
          <t>Pendiente promedio (grados)</t>
        </is>
      </c>
      <c r="D21" s="7" t="n">
        <v>17.4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0.5515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(78.91 %)</t>
        </is>
      </c>
      <c r="E29" s="8" t="n"/>
      <c r="F29" s="8" t="n"/>
    </row>
    <row r="30">
      <c r="A30" s="6" t="inlineStr">
        <is>
          <t>Superficie clasificada NDVI 2025 (ha)</t>
        </is>
      </c>
      <c r="B30" s="7" t="n">
        <v>23.176</v>
      </c>
      <c r="C30" s="6" t="inlineStr">
        <is>
          <t>Desviación frente al catálogo (%)</t>
        </is>
      </c>
      <c r="D30" s="7" t="n">
        <v>0.03</v>
      </c>
      <c r="E30" s="8" t="n"/>
      <c r="F30" s="8" t="n"/>
    </row>
    <row r="31">
      <c r="A31" s="6" t="inlineStr">
        <is>
          <t>Superficie clasificada MSAVI 2024 (ha)</t>
        </is>
      </c>
      <c r="B31" s="38" t="n">
        <v>23.171</v>
      </c>
      <c r="C31" s="6" t="inlineStr">
        <is>
          <t>Desviación MSAVI frente al catálogo (%)</t>
        </is>
      </c>
      <c r="D31" s="39" t="n">
        <v>0.01</v>
      </c>
      <c r="E31" s="8" t="n"/>
      <c r="F31" s="8" t="n"/>
    </row>
    <row r="32">
      <c r="A32" s="6" t="inlineStr">
        <is>
          <t>Superficie bajo umbral MSAVI 0.4976 (ha)</t>
        </is>
      </c>
      <c r="B32" s="38" t="n">
        <v>4.931</v>
      </c>
      <c r="C32" s="6" t="inlineStr">
        <is>
          <t>% del bloque bajo umbral (brecha espectral)</t>
        </is>
      </c>
      <c r="D32" s="39" t="n">
        <v>21.28</v>
      </c>
      <c r="E32" s="8" t="n"/>
      <c r="F32" s="8" t="n"/>
    </row>
    <row r="33">
      <c r="A33" s="6" t="inlineStr">
        <is>
          <t>Clase DN dominante (MSAVI 2024)</t>
        </is>
      </c>
      <c r="B33" s="7" t="inlineStr">
        <is>
          <t>DN 4 · 0.4976 - 0.6139 (Vigor moderado)</t>
        </is>
      </c>
      <c r="C33" s="6" t="inlineStr">
        <is>
          <t>N.° de polígonos MSAVI del bloque</t>
        </is>
      </c>
      <c r="D33" s="40" t="n">
        <v>191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23.17 ha (MINAM: Zona agrícola 100%)</t>
        </is>
      </c>
      <c r="E36" s="8" t="n"/>
      <c r="F36" s="8" t="n"/>
    </row>
    <row r="37">
      <c r="A37" s="6" t="inlineStr">
        <is>
          <t>Estado de conservación</t>
        </is>
      </c>
      <c r="B37" s="7" t="inlineStr">
        <is>
          <t>Muy alterado / Degradado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9</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50" t="inlineStr">
        <is>
          <t>15:00</t>
        </is>
      </c>
      <c r="C45" s="6" t="inlineStr">
        <is>
          <t>Correlativo de ficha</t>
        </is>
      </c>
      <c r="D45" s="7" t="inlineStr">
        <is>
          <t>F-DT-01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campo</t>
        </is>
      </c>
      <c r="E47" s="8" t="n"/>
      <c r="F47" s="8" t="n"/>
    </row>
    <row r="48">
      <c r="A48" s="6" t="inlineStr">
        <is>
          <t>Estaciones fotográficas georreferenciadas</t>
        </is>
      </c>
      <c r="B48" s="7" t="inlineStr">
        <is>
          <t>Sin registro en la ficha DT</t>
        </is>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y de conectividad vial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4.8128</v>
      </c>
      <c r="C10" s="19">
        <f>ROUND(B10/$B$15*100,2)</f>
        <v/>
      </c>
      <c r="D10" s="11" t="inlineStr">
        <is>
          <t>Vigor alto</t>
        </is>
      </c>
      <c r="E10" s="11" t="inlineStr">
        <is>
          <t>Sobre umbral</t>
        </is>
      </c>
    </row>
    <row r="11">
      <c r="A11" s="12" t="inlineStr">
        <is>
          <t>0.4976 - 0.6139 · DN 4</t>
        </is>
      </c>
      <c r="B11" s="32" t="n">
        <v>13.4277</v>
      </c>
      <c r="C11" s="31">
        <f>ROUND(B11/$B$15*100,2)</f>
        <v/>
      </c>
      <c r="D11" s="13" t="inlineStr">
        <is>
          <t>Vigor moderado</t>
        </is>
      </c>
      <c r="E11" s="13" t="inlineStr">
        <is>
          <t>Sobre umbral</t>
        </is>
      </c>
    </row>
    <row r="12">
      <c r="A12" s="7" t="inlineStr">
        <is>
          <t>0.3813 - 0.4976 · DN 3</t>
        </is>
      </c>
      <c r="B12" s="18" t="n">
        <v>4.0401</v>
      </c>
      <c r="C12" s="19">
        <f>ROUND(B12/$B$15*100,2)</f>
        <v/>
      </c>
      <c r="D12" s="11" t="inlineStr">
        <is>
          <t>Vigor bajo</t>
        </is>
      </c>
      <c r="E12" s="11" t="inlineStr">
        <is>
          <t>BAJO umbral 0.4976</t>
        </is>
      </c>
    </row>
    <row r="13">
      <c r="A13" s="14" t="inlineStr">
        <is>
          <t>0.2650 - 0.3813 · DN 2</t>
        </is>
      </c>
      <c r="B13" s="20" t="n">
        <v>0.7522</v>
      </c>
      <c r="C13" s="21">
        <f>ROUND(B13/$B$15*100,2)</f>
        <v/>
      </c>
      <c r="D13" s="15" t="inlineStr">
        <is>
          <t>Vigor muy bajo</t>
        </is>
      </c>
      <c r="E13" s="15" t="inlineStr">
        <is>
          <t>BAJO umbral 0.4976</t>
        </is>
      </c>
    </row>
    <row r="14">
      <c r="A14" s="7" t="inlineStr">
        <is>
          <t>&lt;= 0.2650 · DN 1</t>
        </is>
      </c>
      <c r="B14" s="18" t="n">
        <v>0.1386</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191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23.17</v>
      </c>
      <c r="C18" s="49" t="inlineStr">
        <is>
          <t>—</t>
        </is>
      </c>
      <c r="D18" s="46" t="inlineStr">
        <is>
          <t>Desviación planimétrica frente al catálogo</t>
        </is>
      </c>
      <c r="E18" s="46" t="inlineStr">
        <is>
          <t>+0.01 %</t>
        </is>
      </c>
    </row>
    <row r="19">
      <c r="A19" s="16" t="inlineStr">
        <is>
          <t>MSAVI 2024 — MEDIA DEL BLOQUE</t>
        </is>
      </c>
      <c r="B19" s="17" t="n">
        <v>0.551525</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191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(0.5515)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18.2891</v>
      </c>
      <c r="C25" s="19" t="n">
        <v>78.91</v>
      </c>
      <c r="D25" s="11" t="inlineStr">
        <is>
          <t>Dosel continuo, matorral denso o mosaico agroforestal</t>
        </is>
      </c>
      <c r="E25" s="11" t="inlineStr"/>
    </row>
    <row r="26">
      <c r="A26" s="14" t="inlineStr">
        <is>
          <t>Vegetación mediana</t>
        </is>
      </c>
      <c r="B26" s="20" t="n">
        <v>4.3713</v>
      </c>
      <c r="C26" s="21" t="n">
        <v>18.86</v>
      </c>
      <c r="D26" s="15" t="inlineStr">
        <is>
          <t>Pastizal cultivado, matorral ralo, parcelas agrícolas</t>
        </is>
      </c>
      <c r="E26" s="15" t="inlineStr"/>
    </row>
    <row r="27">
      <c r="A27" s="7" t="inlineStr">
        <is>
          <t>Vegetación ligera</t>
        </is>
      </c>
      <c r="B27" s="18" t="n">
        <v>0.5054999999999999</v>
      </c>
      <c r="C27" s="19" t="n">
        <v>2.18</v>
      </c>
      <c r="D27" s="11" t="inlineStr">
        <is>
          <t>Cobertura discontinua, suelo parcialmente expuesto</t>
        </is>
      </c>
      <c r="E27" s="11" t="inlineStr"/>
    </row>
    <row r="28">
      <c r="A28" s="14" t="inlineStr">
        <is>
          <t>Tierra desnuda</t>
        </is>
      </c>
      <c r="B28" s="20" t="n">
        <v>0.009900000000000001</v>
      </c>
      <c r="C28" s="21" t="n">
        <v>0.04</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23.17</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78.91 % del polígono clasificado como «Vegetación alta» por el NDVI 2025; la observación de campo corresponde a una parcela o recorrido puntual y no es estadísticamente representativa de las 23.170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43</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656489</v>
      </c>
      <c r="D10" s="26" t="n">
        <v>9395403</v>
      </c>
      <c r="E10" s="11" t="n">
        <v>0</v>
      </c>
      <c r="F10" s="11" t="inlineStr"/>
      <c r="G10" s="11" t="inlineStr">
        <is>
          <t>Coordenada consignada en F-DT-01</t>
        </is>
      </c>
    </row>
    <row r="11">
      <c r="A11" s="14" t="inlineStr">
        <is>
          <t>C-01</t>
        </is>
      </c>
      <c r="B11" s="15" t="inlineStr">
        <is>
          <t>Rasgo erosivo — Por determinar</t>
        </is>
      </c>
      <c r="C11" s="27" t="n">
        <v>656535</v>
      </c>
      <c r="D11" s="27" t="n">
        <v>9395544</v>
      </c>
      <c r="E11" s="15" t="n">
        <v>148.3</v>
      </c>
      <c r="F11" s="15" t="inlineStr">
        <is>
          <t>Activa</t>
        </is>
      </c>
      <c r="G11" s="15" t="inlineStr">
        <is>
          <t>Otro (talud de corte de la trocha)</t>
        </is>
      </c>
    </row>
    <row r="12">
      <c r="A12" s="7" t="inlineStr">
        <is>
          <t>C-02</t>
        </is>
      </c>
      <c r="B12" s="11" t="inlineStr">
        <is>
          <t>Rasgo erosivo — Por determinar</t>
        </is>
      </c>
      <c r="C12" s="26" t="n">
        <v>656523</v>
      </c>
      <c r="D12" s="26" t="n">
        <v>9395528</v>
      </c>
      <c r="E12" s="11" t="n">
        <v>129.5</v>
      </c>
      <c r="F12" s="11" t="inlineStr">
        <is>
          <t>Activa</t>
        </is>
      </c>
      <c r="G12" s="11" t="inlineStr">
        <is>
          <t>Otro (talud de corte de la trocha)</t>
        </is>
      </c>
    </row>
    <row r="13">
      <c r="A13" s="14" t="inlineStr">
        <is>
          <t>C-03</t>
        </is>
      </c>
      <c r="B13" s="15" t="inlineStr">
        <is>
          <t>Rasgo erosivo — Por determinar</t>
        </is>
      </c>
      <c r="C13" s="27" t="n">
        <v>656510</v>
      </c>
      <c r="D13" s="27" t="n">
        <v>9395523</v>
      </c>
      <c r="E13" s="15" t="n">
        <v>121.8</v>
      </c>
      <c r="F13" s="15" t="inlineStr">
        <is>
          <t>Activa</t>
        </is>
      </c>
      <c r="G13" s="15" t="inlineStr">
        <is>
          <t>Otro (talud de corte de la trocha)</t>
        </is>
      </c>
    </row>
    <row r="14">
      <c r="A14" s="7" t="inlineStr">
        <is>
          <t>H-01</t>
        </is>
      </c>
      <c r="B14" s="11" t="inlineStr">
        <is>
          <t>Fuente de agua — Manantial / Puquio</t>
        </is>
      </c>
      <c r="C14" s="26" t="n">
        <v>656280</v>
      </c>
      <c r="D14" s="26" t="n">
        <v>9395464</v>
      </c>
      <c r="E14" s="11" t="n">
        <v>217.7</v>
      </c>
      <c r="F14" s="11" t="inlineStr">
        <is>
          <t>Permanente</t>
        </is>
      </c>
      <c r="G14" s="11" t="inlineStr">
        <is>
          <t>Captación de agua poblacional (estructura de concreto con tapa metálica)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656489</v>
      </c>
      <c r="C17" s="6" t="inlineStr">
        <is>
          <t>Centroide del bloque — UTM NORTE (m)</t>
        </is>
      </c>
      <c r="D17" s="7" t="n">
        <v>9395403</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Altitud GPS no registrada instrumentalmente; el perfil Google Earth indica un rango aproximado de 1578-1769 msnm (media ≈1689), piso Quechua media. Las evidencias de inestabilidad (escarpes y desprendimientos de material residual rojizo) se concentran en los TALUDES DE CORTE de la trocha carrozable que ATRAVIESA el bloque; no se observaron remociones en masa activas en la superficie natural.</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43</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1" t="inlineStr">
        <is>
          <t>1529 – 2264</t>
        </is>
      </c>
      <c r="E10" s="11" t="n">
        <v>735</v>
      </c>
      <c r="F10" s="11" t="n">
        <v>34.82</v>
      </c>
      <c r="G10" s="18" t="n">
        <v>0.5745</v>
      </c>
      <c r="H10" s="19" t="n">
        <v>90.23999999999999</v>
      </c>
      <c r="I10" s="19" t="n">
        <v>11.68</v>
      </c>
    </row>
    <row r="11">
      <c r="A11" s="14" t="inlineStr">
        <is>
          <t>M22B1</t>
        </is>
      </c>
      <c r="B11" s="29" t="n">
        <v>55.17</v>
      </c>
      <c r="C11" s="21" t="n">
        <v>20.14</v>
      </c>
      <c r="D11" s="15" t="inlineStr">
        <is>
          <t>3216 – 3436</t>
        </is>
      </c>
      <c r="E11" s="15" t="n">
        <v>220</v>
      </c>
      <c r="F11" s="15" t="n">
        <v>19.98</v>
      </c>
      <c r="G11" s="20" t="n">
        <v>0.594</v>
      </c>
      <c r="H11" s="21" t="n">
        <v>91.05</v>
      </c>
      <c r="I11" s="21" t="n">
        <v>4.1</v>
      </c>
    </row>
    <row r="12">
      <c r="A12" s="7" t="inlineStr">
        <is>
          <t>35</t>
        </is>
      </c>
      <c r="B12" s="28" t="n">
        <v>30.8</v>
      </c>
      <c r="C12" s="19" t="n">
        <v>11.24</v>
      </c>
      <c r="D12" s="11" t="inlineStr">
        <is>
          <t>1376 – 1621</t>
        </is>
      </c>
      <c r="E12" s="11" t="n">
        <v>245</v>
      </c>
      <c r="F12" s="11" t="n">
        <v>33.66</v>
      </c>
      <c r="G12" s="18" t="n">
        <v>0.6245000000000001</v>
      </c>
      <c r="H12" s="19" t="n">
        <v>98.17</v>
      </c>
      <c r="I12" s="19" t="n">
        <v>1.19</v>
      </c>
    </row>
    <row r="13">
      <c r="A13" s="14" t="inlineStr">
        <is>
          <t>44</t>
        </is>
      </c>
      <c r="B13" s="29" t="n">
        <v>28.23</v>
      </c>
      <c r="C13" s="21" t="n">
        <v>10.3</v>
      </c>
      <c r="D13" s="15" t="inlineStr">
        <is>
          <t>3091 – 3277</t>
        </is>
      </c>
      <c r="E13" s="15" t="n">
        <v>186</v>
      </c>
      <c r="F13" s="15" t="n">
        <v>22.21</v>
      </c>
      <c r="G13" s="20" t="n">
        <v>0.5113</v>
      </c>
      <c r="H13" s="21" t="n">
        <v>83.84999999999999</v>
      </c>
      <c r="I13" s="21" t="n">
        <v>52.06</v>
      </c>
    </row>
    <row r="14">
      <c r="A14" s="12" t="inlineStr">
        <is>
          <t>► 43</t>
        </is>
      </c>
      <c r="B14" s="30" t="n">
        <v>23.17</v>
      </c>
      <c r="C14" s="31" t="n">
        <v>8.460000000000001</v>
      </c>
      <c r="D14" s="13" t="inlineStr">
        <is>
          <t>251 – 811</t>
        </is>
      </c>
      <c r="E14" s="13" t="n">
        <v>560</v>
      </c>
      <c r="F14" s="13" t="n">
        <v>31.39</v>
      </c>
      <c r="G14" s="32" t="n">
        <v>0.5515</v>
      </c>
      <c r="H14" s="31" t="n">
        <v>78.91</v>
      </c>
      <c r="I14" s="31" t="n">
        <v>21.28</v>
      </c>
    </row>
    <row r="15">
      <c r="A15" s="14" t="inlineStr">
        <is>
          <t>47</t>
        </is>
      </c>
      <c r="B15" s="29" t="n">
        <v>13.55</v>
      </c>
      <c r="C15" s="21" t="n">
        <v>4.95</v>
      </c>
      <c r="D15" s="15" t="inlineStr">
        <is>
          <t>2105 – 2333</t>
        </is>
      </c>
      <c r="E15" s="15" t="n">
        <v>228</v>
      </c>
      <c r="F15" s="15" t="n">
        <v>32.43</v>
      </c>
      <c r="G15" s="20" t="n">
        <v>0.5936</v>
      </c>
      <c r="H15" s="21" t="n">
        <v>91.26000000000001</v>
      </c>
      <c r="I15" s="21" t="n">
        <v>9.84</v>
      </c>
    </row>
    <row r="16">
      <c r="A16" s="7" t="inlineStr">
        <is>
          <t>67</t>
        </is>
      </c>
      <c r="B16" s="28" t="n">
        <v>13.18</v>
      </c>
      <c r="C16" s="19" t="n">
        <v>4.81</v>
      </c>
      <c r="D16" s="11" t="inlineStr">
        <is>
          <t>1575 – 1770</t>
        </is>
      </c>
      <c r="E16" s="11" t="n">
        <v>195</v>
      </c>
      <c r="F16" s="11" t="n">
        <v>30.33</v>
      </c>
      <c r="G16" s="18" t="n">
        <v>0.6052999999999999</v>
      </c>
      <c r="H16" s="19" t="n">
        <v>97.5</v>
      </c>
      <c r="I16" s="19" t="n">
        <v>2.12</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43 ocupa el puesto 5 de 7 por superficie dentro de la microcuenca C1076-Q9586 (8.46 % de las 273.96 ha preliminares de la microcuenca). Su pendiente promedio (31.39 %, clase «25-50% (Mod. escarpado)») es la 4.ª más baja de 7 y se sitúa por encima del promedio de la microcuenca (29.26 %). Su MSAVI 2024 (0.5515) es el 6.º de 7 y queda por debajo del promedio local (0.5793). Amplitud altitudinal del bloque: 560 m (251–811 msnm). El cuadro conserva todos los bloques catalogados en la microcuenca, incluidos los descartados en el tamizaje, para referencia del conjunto. Los bloques sin ficha DT figuran con sus parámetros de gabinete. BRECHA ESPECTRAL. El 21.28 % de la superficie del bloque (4.931 ha de 23.171 ha) se sitúa bajo el umbral MSAVI 0.4976, por encima del promedio local de la microcuenca (14.61 %) calculado sobre los bloques con dato MSAVI disponible.</t>
        </is>
      </c>
      <c r="B19" s="41" t="n"/>
      <c r="C19" s="41" t="n"/>
      <c r="D19" s="41" t="n"/>
      <c r="E19" s="41" t="n"/>
      <c r="F19" s="41" t="n"/>
      <c r="G19" s="41" t="n"/>
      <c r="H19" s="41" t="n"/>
      <c r="I19" s="42"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1" t="n"/>
      <c r="I21" s="42"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43</t>
        </is>
      </c>
    </row>
    <row r="6">
      <c r="A6" s="52" t="inlineStr">
        <is>
          <t>Cruce de la ficha de campo F-DT vigente con la ficha de resumen de gabinete y el catálogo maestro. Integración 2026-09-11 21:26:26.</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«C1076-Q9586».</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(23.176 ha) se desvía 0.03 % de la superficie de catálogo (23.17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(23.171 ha) se desvía 0.00 % de la superficie de catálogo (23.17 ha).</t>
        </is>
      </c>
      <c r="D14" s="57" t="inlineStr">
        <is>
          <t>CONFORME</t>
        </is>
      </c>
      <c r="E14" s="57" t="inlineStr">
        <is>
          <t>Sin acción: la segmentación valida la geometría del bloque.</t>
        </is>
      </c>
    </row>
    <row r="15">
      <c r="A15" s="56" t="inlineStr">
        <is>
          <t>G-07</t>
        </is>
      </c>
      <c r="B15" s="56" t="inlineStr">
        <is>
          <t>Brecha espectral MSAVI</t>
        </is>
      </c>
      <c r="C15" s="56" t="inlineStr">
        <is>
          <t>El 21.28 % del bloque queda bajo el umbral 0.4976; superficie de brecha 4.9309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23.17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(0.5515)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Centro poblado asociado</t>
        </is>
      </c>
      <c r="C19" s="56" t="inlineStr">
        <is>
          <t>El libro de resumen V6 consignaba «Pizarrume (222 hab., ≈0.48 km del centroide); Coyona (74 hab., ≈0.62 km)»; la ficha de campo vigente declara «Pizarrume (≈0.48 km del centroide)».</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Hora de registro</t>
        </is>
      </c>
      <c r="C20" s="57" t="inlineStr">
        <is>
          <t>El libro de resumen V6 consignaba «14:53 - 15:12 h»; la ficha de campo vigente declara «15:00».</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92.9 % de los campos esperados).</t>
        </is>
      </c>
      <c r="D21" s="56" t="inlineStr">
        <is>
          <t>CONFORME</t>
        </is>
      </c>
      <c r="E21" s="56" t="inlineStr">
        <is>
          <t>Sin acción.</t>
        </is>
      </c>
    </row>
    <row r="22">
      <c r="A22" s="57" t="inlineStr">
        <is>
          <t>F-02</t>
        </is>
      </c>
      <c r="B22" s="57" t="inlineStr">
        <is>
          <t>Cobertura de la integración</t>
        </is>
      </c>
      <c r="C22" s="57" t="inlineStr">
        <is>
          <t>Se declararon 97 de 114 hechos integrados (85.1 %); 17 quedan sin dato en ninguna fuente.</t>
        </is>
      </c>
      <c r="D22" s="57" t="inlineStr">
        <is>
          <t>CONFORME</t>
        </is>
      </c>
      <c r="E22" s="57" t="inlineStr">
        <is>
          <t>Sin acción.</t>
        </is>
      </c>
    </row>
    <row r="23">
      <c r="A23" s="56" t="inlineStr">
        <is>
          <t>H-01</t>
        </is>
      </c>
      <c r="B23" s="56" t="inlineStr">
        <is>
          <t>Rango altitudinal / piso ecológico</t>
        </is>
      </c>
      <c r="C23" s="56" t="inlineStr">
        <is>
          <t>La ficha DT declara «1500-2000 m (Quechua media)»; el MDE sitúa el bloque entre 251 y 811 msnm, cuyo punto medio corresponde a «&lt;1000 m (Yunga)»</t>
        </is>
      </c>
      <c r="D23" s="56" t="inlineStr">
        <is>
          <t>NO SUSTANTIVA</t>
        </is>
      </c>
      <c r="E23" s="56" t="inlineStr">
        <is>
          <t>Se declara la divergencia. El bloque abarca más de un piso altitudinal cuando la amplitud supera el ancho de la clase; el registro de campo corresponde al sector recorrido. (Verificación heredada de la ficha de resumen V6.)</t>
        </is>
      </c>
    </row>
    <row r="24">
      <c r="A24" s="57" t="inlineStr">
        <is>
          <t>H-02</t>
        </is>
      </c>
      <c r="B24" s="57" t="inlineStr">
        <is>
          <t>Dimensiones del inventario de cárcavas</t>
        </is>
      </c>
      <c r="C24" s="57" t="inlineStr">
        <is>
          <t>Se registran 3 rasgos erosivos, pero longitud, profundidad y ancho no fueron medidos instrumentalmente</t>
        </is>
      </c>
      <c r="D24" s="57" t="inlineStr">
        <is>
          <t>NO SUSTANTIVA</t>
        </is>
      </c>
      <c r="E24" s="57" t="inlineStr">
        <is>
          <t>El conteo registrado no debe usarse para calcular densidad de cárcavas por hectárea. Pendiente de levantamiento con GPS submétrico. (Verificación heredada de la ficha de resumen V6.)</t>
        </is>
      </c>
    </row>
    <row r="25">
      <c r="A25" s="56" t="inlineStr">
        <is>
          <t>H-03</t>
        </is>
      </c>
      <c r="B25" s="56" t="inlineStr">
        <is>
          <t>Elenco florístico</t>
        </is>
      </c>
      <c r="C25" s="56" t="inlineStr">
        <is>
          <t>La ficha registra 9 taxones, por debajo del mínimo de 15 que exige el formato V5</t>
        </is>
      </c>
      <c r="D25" s="56" t="inlineStr">
        <is>
          <t>SUSTANTIVA</t>
        </is>
      </c>
      <c r="E25" s="56" t="inlineStr">
        <is>
          <t>Registro florístico preliminar, sin colecta ni determinación botánica formal. Debe cerrarse con colecta botánica en la siguiente campaña. (Verificación heredada de la ficha de resumen V6.)</t>
        </is>
      </c>
    </row>
    <row r="27">
      <c r="A27" s="58" t="inlineStr">
        <is>
          <t>RESUMEN</t>
        </is>
      </c>
      <c r="B27" s="59" t="inlineStr">
        <is>
          <t>17 verificaciones</t>
        </is>
      </c>
      <c r="C27" s="59" t="inlineStr">
        <is>
          <t>SUSTANTIVA: 2 · NO SUSTANTIVA: 3 · CORREGIDO: 2 · CONFORME: 10</t>
        </is>
      </c>
    </row>
    <row r="29">
      <c r="A29"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29:E29"/>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43</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1. Identificación y localización</t>
        </is>
      </c>
      <c r="B9" s="56" t="inlineStr">
        <is>
          <t>Centro poblado asociado</t>
        </is>
      </c>
      <c r="C9" s="56" t="inlineStr">
        <is>
          <t>Pizarrume (222 hab., ≈0.48 km del centroide); Coyona (74 hab., ≈0.62 km)</t>
        </is>
      </c>
      <c r="D9" s="56" t="inlineStr">
        <is>
          <t>Pizarrume (≈0.48 km del centroide)</t>
        </is>
      </c>
      <c r="E9" s="56" t="inlineStr">
        <is>
          <t>Dato de campo</t>
        </is>
      </c>
    </row>
    <row r="10">
      <c r="A10" s="57" t="inlineStr">
        <is>
          <t>8. Responsable y modalidad de la evaluación</t>
        </is>
      </c>
      <c r="B10" s="57" t="inlineStr">
        <is>
          <t>Hora de registro</t>
        </is>
      </c>
      <c r="C10" s="57" t="inlineStr">
        <is>
          <t>14:53 - 15:12 h</t>
        </is>
      </c>
      <c r="D10" s="57" t="inlineStr">
        <is>
          <t>15:00</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656489</t>
        </is>
      </c>
      <c r="D14" s="56" t="inlineStr">
        <is>
          <t>m</t>
        </is>
      </c>
    </row>
    <row r="15">
      <c r="A15" s="57" t="inlineStr">
        <is>
          <t>1. Identificación y localización</t>
        </is>
      </c>
      <c r="B15" s="57" t="inlineStr">
        <is>
          <t>UTM NORTE del punto de muestreo (m)</t>
        </is>
      </c>
      <c r="C15" s="57" t="inlineStr">
        <is>
          <t>9395403</t>
        </is>
      </c>
      <c r="D15" s="57" t="inlineStr">
        <is>
          <t>m</t>
        </is>
      </c>
    </row>
    <row r="16">
      <c r="A16" s="56" t="inlineStr">
        <is>
          <t>2. Parámetros físicos del terreno</t>
        </is>
      </c>
      <c r="B16" s="56" t="inlineStr">
        <is>
          <t>Piso altitudinal del punto de muestreo</t>
        </is>
      </c>
      <c r="C16" s="56" t="inlineStr">
        <is>
          <t>1500-2000 m (Quechua media)</t>
        </is>
      </c>
      <c r="D16" s="56" t="inlineStr"/>
    </row>
    <row r="17">
      <c r="A17" s="57" t="inlineStr">
        <is>
          <t>2. Parámetros físicos del terreno</t>
        </is>
      </c>
      <c r="B17" s="57" t="inlineStr">
        <is>
          <t>Paisaje dominante descrito en campo</t>
        </is>
      </c>
      <c r="C17" s="57" t="inlineStr">
        <is>
          <t>Ladera de colina-montaña de fuerte pendiente, fuertemente intervenida por uso agropecuario. Mosaico de pastos cultivados, cultivos de platano y cafe, y plantaciones dispersas de eucalipto y grevilea. Una trocha carrozable atraviesa el bloque de extremo a extremo.</t>
        </is>
      </c>
      <c r="D17" s="57" t="inlineStr"/>
    </row>
    <row r="18">
      <c r="A18" s="56" t="inlineStr">
        <is>
          <t>2. Parámetros físicos del terreno</t>
        </is>
      </c>
      <c r="B18" s="56" t="inlineStr">
        <is>
          <t>Reptación de suelo</t>
        </is>
      </c>
      <c r="C18" s="56" t="inlineStr">
        <is>
          <t>No</t>
        </is>
      </c>
      <c r="D18" s="56" t="inlineStr"/>
    </row>
    <row r="19">
      <c r="A19" s="57" t="inlineStr">
        <is>
          <t>2. Parámetros físicos del terreno</t>
        </is>
      </c>
      <c r="B19" s="57" t="inlineStr">
        <is>
          <t>Deslizamientos antiguos</t>
        </is>
      </c>
      <c r="C19" s="57" t="inlineStr">
        <is>
          <t>No</t>
        </is>
      </c>
      <c r="D19" s="57" t="inlineStr"/>
    </row>
    <row r="20">
      <c r="A20" s="56" t="inlineStr">
        <is>
          <t>4. Suelos y erosión (F-DT-02)</t>
        </is>
      </c>
      <c r="B20" s="56" t="inlineStr">
        <is>
          <t>Nivel de erosión - síntesis de campo</t>
        </is>
      </c>
      <c r="C20" s="56" t="inlineStr">
        <is>
          <t>Moderada (surcos)</t>
        </is>
      </c>
      <c r="D20" s="56" t="inlineStr"/>
    </row>
    <row r="21">
      <c r="A21" s="57" t="inlineStr">
        <is>
          <t>4. Suelos y erosión (F-DT-02)</t>
        </is>
      </c>
      <c r="B21" s="57" t="inlineStr">
        <is>
          <t>Sellamiento / costra superficial</t>
        </is>
      </c>
      <c r="C21" s="57" t="inlineStr">
        <is>
          <t>No</t>
        </is>
      </c>
      <c r="D21" s="57" t="inlineStr"/>
    </row>
    <row r="22">
      <c r="A22" s="56" t="inlineStr">
        <is>
          <t>4. Suelos y erosión (F-DT-02)</t>
        </is>
      </c>
      <c r="B22" s="56" t="inlineStr">
        <is>
          <t>Compactación por pisoteo</t>
        </is>
      </c>
      <c r="C22" s="56" t="inlineStr">
        <is>
          <t>Sí</t>
        </is>
      </c>
      <c r="D22" s="56" t="inlineStr"/>
    </row>
    <row r="23">
      <c r="A23" s="57" t="inlineStr">
        <is>
          <t>4. Suelos y erosión (F-DT-02)</t>
        </is>
      </c>
      <c r="B23" s="57" t="inlineStr">
        <is>
          <t>Raíces expuestas</t>
        </is>
      </c>
      <c r="C23" s="57" t="inlineStr">
        <is>
          <t>No</t>
        </is>
      </c>
      <c r="D23" s="57" t="inlineStr"/>
    </row>
    <row r="24">
      <c r="A24" s="56" t="inlineStr">
        <is>
          <t>4. Suelos y erosión (F-DT-02)</t>
        </is>
      </c>
      <c r="B24" s="56" t="inlineStr">
        <is>
          <t>Patrón de cárcavas</t>
        </is>
      </c>
      <c r="C24" s="56" t="inlineStr">
        <is>
          <t>Lineal</t>
        </is>
      </c>
      <c r="D24" s="56" t="inlineStr"/>
    </row>
    <row r="25">
      <c r="A25" s="57" t="inlineStr">
        <is>
          <t>4. Suelos y erosión (F-DT-02)</t>
        </is>
      </c>
      <c r="B25" s="57" t="inlineStr">
        <is>
          <t>Socavamiento de cauce</t>
        </is>
      </c>
      <c r="C25" s="57" t="inlineStr">
        <is>
          <t>No</t>
        </is>
      </c>
      <c r="D25" s="57" t="inlineStr"/>
    </row>
    <row r="26">
      <c r="A26" s="56" t="inlineStr">
        <is>
          <t>5. Ecosistema, cobertura y flora (F-DT-03)</t>
        </is>
      </c>
      <c r="B26" s="56" t="inlineStr">
        <is>
          <t>Cobertura del dosel (%)</t>
        </is>
      </c>
      <c r="C26" s="56" t="inlineStr">
        <is>
          <t>10</t>
        </is>
      </c>
      <c r="D26" s="56" t="inlineStr">
        <is>
          <t>%</t>
        </is>
      </c>
    </row>
    <row r="27">
      <c r="A27" s="57" t="inlineStr">
        <is>
          <t>5. Ecosistema, cobertura y flora (F-DT-03)</t>
        </is>
      </c>
      <c r="B27" s="57" t="inlineStr">
        <is>
          <t>Cobertura arbustiva (%)</t>
        </is>
      </c>
      <c r="C27" s="57" t="inlineStr">
        <is>
          <t>15</t>
        </is>
      </c>
      <c r="D27" s="57" t="inlineStr">
        <is>
          <t>%</t>
        </is>
      </c>
    </row>
    <row r="28">
      <c r="A28" s="56" t="inlineStr">
        <is>
          <t>5. Ecosistema, cobertura y flora (F-DT-03)</t>
        </is>
      </c>
      <c r="B28" s="56" t="inlineStr">
        <is>
          <t>Cobertura herbácea (%)</t>
        </is>
      </c>
      <c r="C28" s="56" t="inlineStr">
        <is>
          <t>60</t>
        </is>
      </c>
      <c r="D28" s="56" t="inlineStr">
        <is>
          <t>%</t>
        </is>
      </c>
    </row>
    <row r="29">
      <c r="A29" s="57" t="inlineStr">
        <is>
          <t>5. Ecosistema, cobertura y flora (F-DT-03)</t>
        </is>
      </c>
      <c r="B29" s="57" t="inlineStr">
        <is>
          <t>Cobertura de hojarasca (%)</t>
        </is>
      </c>
      <c r="C29" s="57" t="inlineStr">
        <is>
          <t>5</t>
        </is>
      </c>
      <c r="D29" s="57" t="inlineStr">
        <is>
          <t>%</t>
        </is>
      </c>
    </row>
    <row r="30">
      <c r="A30" s="56" t="inlineStr">
        <is>
          <t>5. Ecosistema, cobertura y flora (F-DT-03)</t>
        </is>
      </c>
      <c r="B30" s="56" t="inlineStr">
        <is>
          <t>Altura del estrato dominante (m)</t>
        </is>
      </c>
      <c r="C30" s="56" t="inlineStr">
        <is>
          <t>0.5</t>
        </is>
      </c>
      <c r="D30" s="56" t="inlineStr">
        <is>
          <t>m</t>
        </is>
      </c>
    </row>
    <row r="31">
      <c r="A31" s="57" t="inlineStr">
        <is>
          <t>5. Ecosistema, cobertura y flora (F-DT-03)</t>
        </is>
      </c>
      <c r="B31" s="57" t="inlineStr">
        <is>
          <t>Presencia de epífitas</t>
        </is>
      </c>
      <c r="C31" s="57" t="inlineStr">
        <is>
          <t>No</t>
        </is>
      </c>
      <c r="D31" s="57" t="inlineStr"/>
    </row>
    <row r="32">
      <c r="A32" s="56" t="inlineStr">
        <is>
          <t>5. Ecosistema, cobertura y flora (F-DT-03)</t>
        </is>
      </c>
      <c r="B32" s="56" t="inlineStr">
        <is>
          <t>Fenología dominante</t>
        </is>
      </c>
      <c r="C32" s="56" t="inlineStr">
        <is>
          <t>Vegetativo</t>
        </is>
      </c>
      <c r="D32" s="56" t="inlineStr"/>
    </row>
    <row r="33">
      <c r="A33" s="57" t="inlineStr">
        <is>
          <t>5. Ecosistema, cobertura y flora (F-DT-03)</t>
        </is>
      </c>
      <c r="B33" s="57" t="inlineStr">
        <is>
          <t>Especies clave georreferenciadas</t>
        </is>
      </c>
      <c r="C33" s="57" t="inlineStr">
        <is>
          <t>1</t>
        </is>
      </c>
      <c r="D33" s="57" t="inlineStr"/>
    </row>
    <row r="34">
      <c r="A34" s="56" t="inlineStr">
        <is>
          <t>6. Degradación, causas y urgencia (F-DT-04)</t>
        </is>
      </c>
      <c r="B34" s="56" t="inlineStr">
        <is>
          <t>Causas directas de la degradación</t>
        </is>
      </c>
      <c r="C34" s="56" t="inlineStr">
        <is>
          <t>Conversion a agricultura (platano, cafe) y a pastos cultivados; presion vial por la trocha carrozable que atraviesa el bloque con taludes de corte inestables; plantaciones exoticas (eucalipto, grevilea) y agave.</t>
        </is>
      </c>
      <c r="D34" s="56" t="inlineStr"/>
    </row>
    <row r="35">
      <c r="A35" s="57" t="inlineStr">
        <is>
          <t>6. Degradación, causas y urgencia (F-DT-04)</t>
        </is>
      </c>
      <c r="B35" s="57" t="inlineStr">
        <is>
          <t>N.° de causas activas en la matriz F-DT-04</t>
        </is>
      </c>
      <c r="C35" s="57" t="inlineStr">
        <is>
          <t>6</t>
        </is>
      </c>
      <c r="D35" s="57" t="inlineStr"/>
    </row>
    <row r="36">
      <c r="A36" s="56" t="inlineStr">
        <is>
          <t>7. Hidrología, acceso y logística (F-DT-05)</t>
        </is>
      </c>
      <c r="B36" s="56" t="inlineStr">
        <is>
          <t>Escorrentía concentrada</t>
        </is>
      </c>
      <c r="C36" s="56" t="inlineStr">
        <is>
          <t>Sí</t>
        </is>
      </c>
      <c r="D36" s="56" t="inlineStr"/>
    </row>
    <row r="37">
      <c r="A37" s="57" t="inlineStr">
        <is>
          <t>7. Hidrología, acceso y logística (F-DT-05)</t>
        </is>
      </c>
      <c r="B37" s="57" t="inlineStr">
        <is>
          <t>Fuentes de agua inventariadas</t>
        </is>
      </c>
      <c r="C37" s="57" t="inlineStr">
        <is>
          <t>1</t>
        </is>
      </c>
      <c r="D37" s="57" t="inlineStr"/>
    </row>
    <row r="38">
      <c r="A38" s="56" t="inlineStr">
        <is>
          <t>7. Hidrología, acceso y logística (F-DT-05)</t>
        </is>
      </c>
      <c r="B38" s="56" t="inlineStr">
        <is>
          <t>Distancia a captación (m)</t>
        </is>
      </c>
      <c r="C38" s="56" t="inlineStr">
        <is>
          <t>0</t>
        </is>
      </c>
      <c r="D38" s="56" t="inlineStr">
        <is>
          <t>m</t>
        </is>
      </c>
    </row>
    <row r="39">
      <c r="A39" s="57" t="inlineStr">
        <is>
          <t>7. Hidrología, acceso y logística (F-DT-05)</t>
        </is>
      </c>
      <c r="B39" s="57" t="inlineStr">
        <is>
          <t>Interferencia con riego</t>
        </is>
      </c>
      <c r="C39" s="57" t="inlineStr">
        <is>
          <t>No</t>
        </is>
      </c>
      <c r="D39" s="57" t="inlineStr"/>
    </row>
    <row r="40">
      <c r="A40" s="56" t="inlineStr">
        <is>
          <t>7. Hidrología, acceso y logística (F-DT-05)</t>
        </is>
      </c>
      <c r="B40" s="56" t="inlineStr">
        <is>
          <t>Vía principal de acceso</t>
        </is>
      </c>
      <c r="C40" s="56" t="inlineStr">
        <is>
          <t>Trocha carrozable desde San Miguel de El Faique via C.P. Pizarrume</t>
        </is>
      </c>
      <c r="D40" s="56" t="inlineStr"/>
    </row>
    <row r="41">
      <c r="A41" s="57" t="inlineStr">
        <is>
          <t>7. Hidrología, acceso y logística (F-DT-05)</t>
        </is>
      </c>
      <c r="B41" s="57" t="inlineStr">
        <is>
          <t>Tipo de vía del tramo final</t>
        </is>
      </c>
      <c r="C41" s="57" t="inlineStr">
        <is>
          <t>Trocha carrozable</t>
        </is>
      </c>
      <c r="D41" s="57" t="inlineStr"/>
    </row>
    <row r="42">
      <c r="A42" s="56" t="inlineStr">
        <is>
          <t>7. Hidrología, acceso y logística (F-DT-05)</t>
        </is>
      </c>
      <c r="B42" s="56" t="inlineStr">
        <is>
          <t>Transitabilidad en época seca</t>
        </is>
      </c>
      <c r="C42" s="56" t="inlineStr">
        <is>
          <t>Medio</t>
        </is>
      </c>
      <c r="D42" s="56" t="inlineStr"/>
    </row>
    <row r="43">
      <c r="A43" s="57" t="inlineStr">
        <is>
          <t>7. Hidrología, acceso y logística (F-DT-05)</t>
        </is>
      </c>
      <c r="B43" s="57" t="inlineStr">
        <is>
          <t>Transitabilidad en época lluviosa</t>
        </is>
      </c>
      <c r="C43" s="57" t="inlineStr">
        <is>
          <t>Bajo</t>
        </is>
      </c>
      <c r="D43" s="57" t="inlineStr"/>
    </row>
    <row r="44">
      <c r="A44" s="56" t="inlineStr">
        <is>
          <t>7. Hidrología, acceso y logística (F-DT-05)</t>
        </is>
      </c>
      <c r="B44" s="56" t="inlineStr">
        <is>
          <t>Alojamiento disponible en la zona</t>
        </is>
      </c>
      <c r="C44" s="56" t="inlineStr">
        <is>
          <t>No</t>
        </is>
      </c>
      <c r="D44" s="56" t="inlineStr"/>
    </row>
    <row r="46">
      <c r="A46" s="54" t="inlineStr">
        <is>
          <t>C. PROCEDENCIA DE LOS HECHOS DECLARADOS</t>
        </is>
      </c>
    </row>
    <row r="47">
      <c r="A47" s="55" t="inlineStr">
        <is>
          <t>Fuente</t>
        </is>
      </c>
      <c r="B47" s="55" t="inlineStr">
        <is>
          <t>Hechos</t>
        </is>
      </c>
      <c r="C47" s="55" t="inlineStr">
        <is>
          <t>Alcance de la fuente</t>
        </is>
      </c>
    </row>
    <row r="48">
      <c r="A48" s="56" t="inlineStr">
        <is>
          <t>Dato de campo</t>
        </is>
      </c>
      <c r="B48" s="56" t="n">
        <v>62</v>
      </c>
      <c r="C48" s="56" t="inlineStr">
        <is>
          <t>Verificación en campo. Fichas F-DT-01 a F-DT-05 de la Plantilla DT Campo Check Validada V5, suscritas por el evaluador.</t>
        </is>
      </c>
    </row>
    <row r="49">
      <c r="A49" s="57" t="inlineStr">
        <is>
          <t>Gabinete (GIS / teledetección)</t>
        </is>
      </c>
      <c r="B49" s="57" t="n">
        <v>21</v>
      </c>
      <c r="C49" s="57" t="inlineStr">
        <is>
          <t>Gabinete. Estadística zonal sobre el MDE y compuestos Sentinel-2 (NDVI mediana 2025, MSAVI 2024 por clase DN).</t>
        </is>
      </c>
    </row>
    <row r="50">
      <c r="A50" s="56" t="inlineStr">
        <is>
          <t>Fuente oficial</t>
        </is>
      </c>
      <c r="B50" s="56" t="n">
        <v>14</v>
      </c>
      <c r="C50" s="56" t="inlineStr">
        <is>
          <t>Fuente oficial. Catálogo maestro Bloques V5/V6, división política INEI y codificación de microcuencas de la ANA.</t>
        </is>
      </c>
    </row>
    <row r="52">
      <c r="A52" s="54" t="inlineStr">
        <is>
          <t>D. ESTADO DEL CRUCE ENTRE FUENTES</t>
        </is>
      </c>
    </row>
    <row r="53">
      <c r="A53" s="55" t="inlineStr">
        <is>
          <t>Estado</t>
        </is>
      </c>
      <c r="B53" s="55" t="inlineStr">
        <is>
          <t>Hechos</t>
        </is>
      </c>
      <c r="C53" s="55" t="inlineStr">
        <is>
          <t>Significado</t>
        </is>
      </c>
    </row>
    <row r="54">
      <c r="A54" s="56" t="inlineStr">
        <is>
          <t>CONFORME</t>
        </is>
      </c>
      <c r="B54" s="56" t="n">
        <v>95</v>
      </c>
      <c r="C54" s="56" t="inlineStr">
        <is>
          <t>Las dos fuentes declaran lo mismo, o solo la fuente que manda sobre el hecho lo declara.</t>
        </is>
      </c>
    </row>
    <row r="55">
      <c r="A55" s="57" t="inlineStr">
        <is>
          <t>COMPLEMENTADO</t>
        </is>
      </c>
      <c r="B55" s="57" t="n">
        <v>0</v>
      </c>
      <c r="C55" s="57" t="inlineStr">
        <is>
          <t>Solo una de las fuentes lo declara y se adopta ese valor.</t>
        </is>
      </c>
    </row>
    <row r="56">
      <c r="A56" s="56" t="inlineStr">
        <is>
          <t>ACTUALIZADO</t>
        </is>
      </c>
      <c r="B56" s="56" t="n">
        <v>2</v>
      </c>
      <c r="C56" s="56" t="inlineStr">
        <is>
          <t>La verificación de campo vigente corrige lo que traía el libro de resumen.</t>
        </is>
      </c>
    </row>
    <row r="57">
      <c r="A57" s="57" t="inlineStr">
        <is>
          <t>DISCREPANTE</t>
        </is>
      </c>
      <c r="B57" s="57" t="n">
        <v>0</v>
      </c>
      <c r="C57" s="57" t="inlineStr">
        <is>
          <t>Las fuentes se contradicen; prevalece la que manda sobre el hecho y la otra queda declarada.</t>
        </is>
      </c>
    </row>
    <row r="58">
      <c r="A58" s="56" t="inlineStr">
        <is>
          <t>PENDIENTE</t>
        </is>
      </c>
      <c r="B58" s="56" t="n">
        <v>17</v>
      </c>
      <c r="C58"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43</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incipiente (30-50 cm)</t>
        </is>
      </c>
      <c r="C9" s="61" t="n">
        <v>656535</v>
      </c>
      <c r="D9" s="61" t="n">
        <v>9395544</v>
      </c>
      <c r="E9" s="56" t="n"/>
      <c r="F9" s="56" t="n"/>
      <c r="G9" s="56" t="n"/>
      <c r="H9" s="56" t="inlineStr">
        <is>
          <t>Activa</t>
        </is>
      </c>
      <c r="I9" s="56" t="inlineStr">
        <is>
          <t>Otro</t>
        </is>
      </c>
    </row>
    <row r="10">
      <c r="A10" s="57" t="inlineStr">
        <is>
          <t>C-02</t>
        </is>
      </c>
      <c r="B10" s="57" t="inlineStr">
        <is>
          <t>Surco (&lt;30 cm)</t>
        </is>
      </c>
      <c r="C10" s="62" t="n">
        <v>656523</v>
      </c>
      <c r="D10" s="62" t="n">
        <v>9395528</v>
      </c>
      <c r="E10" s="57" t="n"/>
      <c r="F10" s="57" t="n"/>
      <c r="G10" s="57" t="n"/>
      <c r="H10" s="57" t="inlineStr">
        <is>
          <t>Activa</t>
        </is>
      </c>
      <c r="I10" s="57" t="inlineStr">
        <is>
          <t>Otro</t>
        </is>
      </c>
    </row>
    <row r="11">
      <c r="A11" s="56" t="inlineStr">
        <is>
          <t>C-03</t>
        </is>
      </c>
      <c r="B11" s="56" t="inlineStr">
        <is>
          <t>Cárcava somera (0.5-2 m)</t>
        </is>
      </c>
      <c r="C11" s="61" t="n">
        <v>656510</v>
      </c>
      <c r="D11" s="61" t="n">
        <v>9395523</v>
      </c>
      <c r="E11" s="56" t="n"/>
      <c r="F11" s="56" t="n"/>
      <c r="G11" s="56" t="n"/>
      <c r="H11" s="56" t="inlineStr">
        <is>
          <t>Activa</t>
        </is>
      </c>
      <c r="I11" s="56" t="inlineStr">
        <is>
          <t>Otro</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Eucalipto</t>
        </is>
      </c>
      <c r="C15" s="56" t="inlineStr">
        <is>
          <t>Eucalyptus sp.</t>
        </is>
      </c>
      <c r="D15" s="56" t="inlineStr">
        <is>
          <t>Myrtaceae</t>
        </is>
      </c>
      <c r="E15" s="56" t="inlineStr">
        <is>
          <t>Arbóreo superior (&gt;15 m)</t>
        </is>
      </c>
      <c r="F15" s="56" t="inlineStr">
        <is>
          <t>Introducida</t>
        </is>
      </c>
      <c r="G15" s="56" t="inlineStr">
        <is>
          <t>Frecuente (5-20%)</t>
        </is>
      </c>
      <c r="H15" s="56" t="n"/>
      <c r="I15" s="56" t="n"/>
    </row>
    <row r="16">
      <c r="A16" s="57" t="inlineStr">
        <is>
          <t>2</t>
        </is>
      </c>
      <c r="B16" s="57" t="inlineStr">
        <is>
          <t>Grevilea</t>
        </is>
      </c>
      <c r="C16" s="57" t="inlineStr">
        <is>
          <t>Grevillea robusta</t>
        </is>
      </c>
      <c r="D16" s="57" t="inlineStr">
        <is>
          <t>Proteaceae</t>
        </is>
      </c>
      <c r="E16" s="57" t="inlineStr">
        <is>
          <t>Arbóreo superior (&gt;15 m)</t>
        </is>
      </c>
      <c r="F16" s="57" t="inlineStr">
        <is>
          <t>Introducida</t>
        </is>
      </c>
      <c r="G16" s="57" t="inlineStr">
        <is>
          <t>Ocasional (1-5%)</t>
        </is>
      </c>
      <c r="H16" s="57" t="n"/>
      <c r="I16" s="57" t="n"/>
    </row>
    <row r="17">
      <c r="A17" s="56" t="inlineStr">
        <is>
          <t>3</t>
        </is>
      </c>
      <c r="B17" s="56" t="inlineStr">
        <is>
          <t>Pacae / Guaba</t>
        </is>
      </c>
      <c r="C17" s="56" t="inlineStr">
        <is>
          <t>Inga sp.</t>
        </is>
      </c>
      <c r="D17" s="56" t="inlineStr">
        <is>
          <t>Fabaceae</t>
        </is>
      </c>
      <c r="E17" s="56" t="inlineStr">
        <is>
          <t>Arbóreo medio (8-15 m)</t>
        </is>
      </c>
      <c r="F17" s="56" t="inlineStr">
        <is>
          <t>Nativa</t>
        </is>
      </c>
      <c r="G17" s="56" t="inlineStr">
        <is>
          <t>Ocasional (1-5%)</t>
        </is>
      </c>
      <c r="H17" s="56" t="n"/>
      <c r="I17" s="56" t="n"/>
    </row>
    <row r="18">
      <c r="A18" s="57" t="inlineStr">
        <is>
          <t>4</t>
        </is>
      </c>
      <c r="B18" s="57" t="inlineStr">
        <is>
          <t>Platano</t>
        </is>
      </c>
      <c r="C18" s="57" t="inlineStr">
        <is>
          <t>Musa × paradisiaca</t>
        </is>
      </c>
      <c r="D18" s="57" t="inlineStr">
        <is>
          <t>Musaceae</t>
        </is>
      </c>
      <c r="E18" s="57" t="inlineStr">
        <is>
          <t>Arbustivo alto (1.5-4 m)</t>
        </is>
      </c>
      <c r="F18" s="57" t="inlineStr">
        <is>
          <t>Introducida</t>
        </is>
      </c>
      <c r="G18" s="57" t="inlineStr">
        <is>
          <t>Frecuente (5-20%)</t>
        </is>
      </c>
      <c r="H18" s="57" t="n"/>
      <c r="I18" s="57" t="n"/>
    </row>
    <row r="19">
      <c r="A19" s="56" t="inlineStr">
        <is>
          <t>5</t>
        </is>
      </c>
      <c r="B19" s="56" t="inlineStr">
        <is>
          <t>Cafe</t>
        </is>
      </c>
      <c r="C19" s="56" t="inlineStr">
        <is>
          <t>Coffea arabica</t>
        </is>
      </c>
      <c r="D19" s="56" t="inlineStr">
        <is>
          <t>Rubiaceae</t>
        </is>
      </c>
      <c r="E19" s="56" t="inlineStr">
        <is>
          <t>Arbustivo alto (1.5-4 m)</t>
        </is>
      </c>
      <c r="F19" s="56" t="inlineStr">
        <is>
          <t>Introducida</t>
        </is>
      </c>
      <c r="G19" s="56" t="inlineStr">
        <is>
          <t>Frecuente (5-20%)</t>
        </is>
      </c>
      <c r="H19" s="56" t="n"/>
      <c r="I19" s="56" t="n"/>
    </row>
    <row r="20">
      <c r="A20" s="57" t="inlineStr">
        <is>
          <t>6</t>
        </is>
      </c>
      <c r="B20" s="57" t="inlineStr">
        <is>
          <t>Agave</t>
        </is>
      </c>
      <c r="C20" s="57" t="inlineStr">
        <is>
          <t>Agave americana</t>
        </is>
      </c>
      <c r="D20" s="57" t="inlineStr">
        <is>
          <t>Asparagaceae</t>
        </is>
      </c>
      <c r="E20" s="57" t="inlineStr">
        <is>
          <t>Arbustivo alto (1.5-4 m)</t>
        </is>
      </c>
      <c r="F20" s="57" t="inlineStr">
        <is>
          <t>Introducida</t>
        </is>
      </c>
      <c r="G20" s="57" t="inlineStr">
        <is>
          <t>Ocasional (1-5%)</t>
        </is>
      </c>
      <c r="H20" s="57" t="n"/>
      <c r="I20" s="57" t="n"/>
    </row>
    <row r="21">
      <c r="A21" s="56" t="inlineStr">
        <is>
          <t>7</t>
        </is>
      </c>
      <c r="B21" s="56" t="inlineStr">
        <is>
          <t>Pastos cultivados</t>
        </is>
      </c>
      <c r="C21" s="56" t="inlineStr">
        <is>
          <t>Poaceae (indet.)</t>
        </is>
      </c>
      <c r="D21" s="56" t="inlineStr">
        <is>
          <t>Poaceae</t>
        </is>
      </c>
      <c r="E21" s="56" t="inlineStr">
        <is>
          <t>Herbáceo (&lt;0.5 m)</t>
        </is>
      </c>
      <c r="F21" s="56" t="inlineStr">
        <is>
          <t>Introducida</t>
        </is>
      </c>
      <c r="G21" s="56" t="inlineStr">
        <is>
          <t>Dominante (&gt;40%)</t>
        </is>
      </c>
      <c r="H21" s="56" t="n"/>
      <c r="I21" s="56" t="n"/>
    </row>
    <row r="22">
      <c r="A22" s="57" t="inlineStr">
        <is>
          <t>8</t>
        </is>
      </c>
      <c r="B22" s="57" t="inlineStr">
        <is>
          <t>Chirimoyo silvestre</t>
        </is>
      </c>
      <c r="C22" s="57" t="inlineStr">
        <is>
          <t>Annona so.</t>
        </is>
      </c>
      <c r="D22" s="57" t="inlineStr">
        <is>
          <t>Annonaceae</t>
        </is>
      </c>
      <c r="E22" s="57" t="inlineStr">
        <is>
          <t>Arbóreo medio (8-15 m)</t>
        </is>
      </c>
      <c r="F22" s="57" t="inlineStr">
        <is>
          <t>Nativa</t>
        </is>
      </c>
      <c r="G22" s="57" t="inlineStr">
        <is>
          <t>Frecuente (5-20%)</t>
        </is>
      </c>
      <c r="H22" s="57" t="n"/>
      <c r="I22" s="57" t="n"/>
    </row>
    <row r="23">
      <c r="A23" s="56" t="inlineStr">
        <is>
          <t>9</t>
        </is>
      </c>
      <c r="B23" s="56" t="inlineStr">
        <is>
          <t>Caña Guayaquil/Bambú</t>
        </is>
      </c>
      <c r="C23" s="56" t="inlineStr">
        <is>
          <t>Guadua sp</t>
        </is>
      </c>
      <c r="D23" s="56" t="inlineStr">
        <is>
          <t>Poaceae</t>
        </is>
      </c>
      <c r="E23" s="56" t="inlineStr"/>
      <c r="F23" s="56" t="inlineStr">
        <is>
          <t>Nativa</t>
        </is>
      </c>
      <c r="G23" s="56" t="inlineStr">
        <is>
          <t>Ocasional (1-5%)</t>
        </is>
      </c>
      <c r="H23" s="56" t="n"/>
      <c r="I23" s="56" t="n"/>
    </row>
    <row r="25">
      <c r="A25" s="54" t="inlineStr">
        <is>
          <t>F-DT-03 · ESPECIES CLAVE GEORREFERENCIADAS</t>
        </is>
      </c>
    </row>
    <row r="26">
      <c r="A26" s="55" t="inlineStr">
        <is>
          <t>N.o</t>
        </is>
      </c>
      <c r="B26" s="55" t="inlineStr">
        <is>
          <t>Especie</t>
        </is>
      </c>
      <c r="C26" s="55" t="inlineStr">
        <is>
          <t>Categoría</t>
        </is>
      </c>
      <c r="D26" s="55" t="inlineStr">
        <is>
          <t>Estado UICN</t>
        </is>
      </c>
      <c r="E26" s="55" t="inlineStr">
        <is>
          <t>UTM ESTE</t>
        </is>
      </c>
      <c r="F26" s="55" t="inlineStr">
        <is>
          <t>UTM NORTE</t>
        </is>
      </c>
      <c r="G26" s="55" t="inlineStr">
        <is>
          <t>N.° individuos</t>
        </is>
      </c>
      <c r="H26" s="55" t="inlineStr">
        <is>
          <t>Observación</t>
        </is>
      </c>
    </row>
    <row r="27">
      <c r="A27" s="56" t="inlineStr">
        <is>
          <t>1</t>
        </is>
      </c>
      <c r="B27" s="56" t="inlineStr">
        <is>
          <t>Pacae / Guaba (Inga sp.)</t>
        </is>
      </c>
      <c r="C27" s="56" t="inlineStr">
        <is>
          <t>Indicadora de buen estado</t>
        </is>
      </c>
      <c r="D27" s="56" t="inlineStr">
        <is>
          <t>NE — No Evaluado</t>
        </is>
      </c>
      <c r="E27" s="56" t="n"/>
      <c r="F27" s="56" t="n"/>
      <c r="G27" s="56" t="n"/>
      <c r="H27" s="56" t="inlineStr">
        <is>
          <t>Nativa fijadora de N; individuos relictos dispersos en el mosaico agricola. Determinacion por confirmar.</t>
        </is>
      </c>
    </row>
    <row r="29">
      <c r="A29" s="54" t="inlineStr">
        <is>
          <t>F-DT-04 · MATRIZ DE CAUSAS DE DEGRADACIÓN</t>
        </is>
      </c>
    </row>
    <row r="30">
      <c r="A30" s="55" t="inlineStr">
        <is>
          <t>N.o</t>
        </is>
      </c>
      <c r="B30" s="55" t="inlineStr">
        <is>
          <t>Causa</t>
        </is>
      </c>
      <c r="C30" s="55" t="inlineStr">
        <is>
          <t>Presencia</t>
        </is>
      </c>
      <c r="D30" s="55" t="inlineStr">
        <is>
          <t>Intensidad</t>
        </is>
      </c>
      <c r="E30" s="55" t="inlineStr">
        <is>
          <t>Extensión</t>
        </is>
      </c>
      <c r="F30" s="55" t="inlineStr">
        <is>
          <t>Antigüedad</t>
        </is>
      </c>
      <c r="G30" s="55" t="inlineStr">
        <is>
          <t>Evidencia</t>
        </is>
      </c>
    </row>
    <row r="31">
      <c r="A31" s="56" t="inlineStr">
        <is>
          <t>1</t>
        </is>
      </c>
      <c r="B31" s="56" t="inlineStr">
        <is>
          <t>Sobrepastoreo (caprino/vacuno)</t>
        </is>
      </c>
      <c r="C31" s="56" t="inlineStr">
        <is>
          <t>Sí</t>
        </is>
      </c>
      <c r="D31" s="56" t="inlineStr">
        <is>
          <t>Moderada</t>
        </is>
      </c>
      <c r="E31" s="56" t="inlineStr">
        <is>
          <t>≈30%</t>
        </is>
      </c>
      <c r="F31" s="56" t="inlineStr"/>
      <c r="G31" s="56" t="inlineStr">
        <is>
          <t>Pastos cultivados y sendas de ganado en ladera</t>
        </is>
      </c>
    </row>
    <row r="32">
      <c r="A32" s="57" t="inlineStr">
        <is>
          <t>2</t>
        </is>
      </c>
      <c r="B32" s="57" t="inlineStr">
        <is>
          <t>Tala para leña</t>
        </is>
      </c>
      <c r="C32" s="57" t="inlineStr">
        <is>
          <t>No</t>
        </is>
      </c>
      <c r="D32" s="57" t="inlineStr">
        <is>
          <t>Nula</t>
        </is>
      </c>
      <c r="E32" s="57" t="inlineStr"/>
      <c r="F32" s="57" t="inlineStr"/>
      <c r="G32" s="57" t="inlineStr"/>
    </row>
    <row r="33">
      <c r="A33" s="56" t="inlineStr">
        <is>
          <t>3</t>
        </is>
      </c>
      <c r="B33" s="56" t="inlineStr">
        <is>
          <t>Tala para carbón</t>
        </is>
      </c>
      <c r="C33" s="56" t="inlineStr">
        <is>
          <t>No</t>
        </is>
      </c>
      <c r="D33" s="56" t="inlineStr">
        <is>
          <t>Nula</t>
        </is>
      </c>
      <c r="E33" s="56" t="inlineStr"/>
      <c r="F33" s="56" t="inlineStr"/>
      <c r="G33" s="56" t="inlineStr"/>
    </row>
    <row r="34">
      <c r="A34" s="57" t="inlineStr">
        <is>
          <t>4</t>
        </is>
      </c>
      <c r="B34" s="57" t="inlineStr">
        <is>
          <t>Tala para madera</t>
        </is>
      </c>
      <c r="C34" s="57" t="inlineStr">
        <is>
          <t>No</t>
        </is>
      </c>
      <c r="D34" s="57" t="inlineStr">
        <is>
          <t>Nula</t>
        </is>
      </c>
      <c r="E34" s="57" t="inlineStr"/>
      <c r="F34" s="57" t="inlineStr"/>
      <c r="G34" s="57" t="inlineStr"/>
    </row>
    <row r="35">
      <c r="A35" s="56" t="inlineStr">
        <is>
          <t>5</t>
        </is>
      </c>
      <c r="B35" s="56" t="inlineStr">
        <is>
          <t>Quema (renovación de pastos)</t>
        </is>
      </c>
      <c r="C35" s="56" t="inlineStr">
        <is>
          <t>No</t>
        </is>
      </c>
      <c r="D35" s="56" t="inlineStr">
        <is>
          <t>Nula</t>
        </is>
      </c>
      <c r="E35" s="56" t="inlineStr"/>
      <c r="F35" s="56" t="inlineStr"/>
      <c r="G35" s="56" t="inlineStr"/>
    </row>
    <row r="36">
      <c r="A36" s="57" t="inlineStr">
        <is>
          <t>6</t>
        </is>
      </c>
      <c r="B36" s="57" t="inlineStr">
        <is>
          <t>Quema accidental / Incendio</t>
        </is>
      </c>
      <c r="C36" s="57" t="inlineStr">
        <is>
          <t>No</t>
        </is>
      </c>
      <c r="D36" s="57" t="inlineStr">
        <is>
          <t>Nula</t>
        </is>
      </c>
      <c r="E36" s="57" t="inlineStr"/>
      <c r="F36" s="57" t="inlineStr"/>
      <c r="G36" s="57" t="inlineStr"/>
    </row>
    <row r="37">
      <c r="A37" s="56" t="inlineStr">
        <is>
          <t>7</t>
        </is>
      </c>
      <c r="B37" s="56" t="inlineStr">
        <is>
          <t>Cambio de uso a agricultura</t>
        </is>
      </c>
      <c r="C37" s="56" t="inlineStr">
        <is>
          <t>Sí</t>
        </is>
      </c>
      <c r="D37" s="56" t="inlineStr">
        <is>
          <t>Fuerte</t>
        </is>
      </c>
      <c r="E37" s="56" t="inlineStr">
        <is>
          <t>≈50%</t>
        </is>
      </c>
      <c r="F37" s="56" t="inlineStr"/>
      <c r="G37" s="56" t="inlineStr">
        <is>
          <t>Cultivos de platano y cafe; MINAM clasifica el bloque 100% Zona agricola</t>
        </is>
      </c>
    </row>
    <row r="38">
      <c r="A38" s="57" t="inlineStr">
        <is>
          <t>8</t>
        </is>
      </c>
      <c r="B38" s="57" t="inlineStr">
        <is>
          <t>Cambio de uso a pastoreo</t>
        </is>
      </c>
      <c r="C38" s="57" t="inlineStr">
        <is>
          <t>Sí</t>
        </is>
      </c>
      <c r="D38" s="57" t="inlineStr">
        <is>
          <t>Moderada</t>
        </is>
      </c>
      <c r="E38" s="57" t="inlineStr">
        <is>
          <t>≈35%</t>
        </is>
      </c>
      <c r="F38" s="57" t="inlineStr"/>
      <c r="G38" s="57" t="inlineStr">
        <is>
          <t>Pastos cultivados dominantes en laderas</t>
        </is>
      </c>
    </row>
    <row r="39">
      <c r="A39" s="56" t="inlineStr">
        <is>
          <t>9</t>
        </is>
      </c>
      <c r="B39" s="56" t="inlineStr">
        <is>
          <t>Expansión urbana / vial</t>
        </is>
      </c>
      <c r="C39" s="56" t="inlineStr">
        <is>
          <t>Sí</t>
        </is>
      </c>
      <c r="D39" s="56" t="inlineStr">
        <is>
          <t>Fuerte</t>
        </is>
      </c>
      <c r="E39" s="56" t="inlineStr">
        <is>
          <t>≈15%</t>
        </is>
      </c>
      <c r="F39" s="56" t="inlineStr"/>
      <c r="G39" s="56" t="inlineStr">
        <is>
          <t>Trocha carrozable atraviesa el bloque de extremo a extremo; taludes de corte inestables (F-12 a F-15)</t>
        </is>
      </c>
    </row>
    <row r="40">
      <c r="A40" s="57" t="inlineStr">
        <is>
          <t>10</t>
        </is>
      </c>
      <c r="B40" s="57" t="inlineStr">
        <is>
          <t>Minería informal</t>
        </is>
      </c>
      <c r="C40" s="57" t="inlineStr">
        <is>
          <t>No</t>
        </is>
      </c>
      <c r="D40" s="57" t="inlineStr">
        <is>
          <t>Nula</t>
        </is>
      </c>
      <c r="E40" s="57" t="inlineStr"/>
      <c r="F40" s="57" t="inlineStr"/>
      <c r="G40" s="57" t="inlineStr"/>
    </row>
    <row r="41">
      <c r="A41" s="56" t="inlineStr">
        <is>
          <t>11</t>
        </is>
      </c>
      <c r="B41" s="56" t="inlineStr">
        <is>
          <t>Extracción de áridos (cauces)</t>
        </is>
      </c>
      <c r="C41" s="56" t="inlineStr">
        <is>
          <t>No</t>
        </is>
      </c>
      <c r="D41" s="56" t="inlineStr">
        <is>
          <t>Nula</t>
        </is>
      </c>
      <c r="E41" s="56" t="inlineStr"/>
      <c r="F41" s="56" t="inlineStr"/>
      <c r="G41" s="56" t="inlineStr"/>
    </row>
    <row r="42">
      <c r="A42" s="57" t="inlineStr">
        <is>
          <t>12</t>
        </is>
      </c>
      <c r="B42" s="57" t="inlineStr">
        <is>
          <t>Especies invasoras</t>
        </is>
      </c>
      <c r="C42" s="57" t="inlineStr">
        <is>
          <t>Sí</t>
        </is>
      </c>
      <c r="D42" s="57" t="inlineStr">
        <is>
          <t>Moderada</t>
        </is>
      </c>
      <c r="E42" s="57" t="inlineStr">
        <is>
          <t>≈15%</t>
        </is>
      </c>
      <c r="F42" s="57" t="inlineStr"/>
      <c r="G42" s="57" t="inlineStr">
        <is>
          <t>Plantaciones de eucalipto y grevilea; agave en taludes (F-04)</t>
        </is>
      </c>
    </row>
    <row r="43">
      <c r="A43" s="56" t="inlineStr">
        <is>
          <t>13</t>
        </is>
      </c>
      <c r="B43" s="56" t="inlineStr">
        <is>
          <t>Erosión natural severa</t>
        </is>
      </c>
      <c r="C43" s="56" t="inlineStr">
        <is>
          <t>Sí</t>
        </is>
      </c>
      <c r="D43" s="56" t="inlineStr">
        <is>
          <t>Ligera</t>
        </is>
      </c>
      <c r="E43" s="56" t="inlineStr">
        <is>
          <t>≈10%</t>
        </is>
      </c>
      <c r="F43" s="56" t="inlineStr"/>
      <c r="G43" s="56" t="inlineStr">
        <is>
          <t>Surcos y escarpes en taludes de corte de la via (F-14, F-15)</t>
        </is>
      </c>
    </row>
    <row r="44">
      <c r="A44" s="57" t="inlineStr">
        <is>
          <t>14</t>
        </is>
      </c>
      <c r="B44" s="57" t="inlineStr">
        <is>
          <t>Sequía prolongada / CC</t>
        </is>
      </c>
      <c r="C44" s="57" t="inlineStr">
        <is>
          <t>No</t>
        </is>
      </c>
      <c r="D44" s="57" t="inlineStr">
        <is>
          <t>Nula</t>
        </is>
      </c>
      <c r="E44" s="57" t="inlineStr"/>
      <c r="F44" s="57" t="inlineStr"/>
      <c r="G44" s="57" t="inlineStr"/>
    </row>
    <row r="45">
      <c r="A45" s="56" t="inlineStr">
        <is>
          <t>15</t>
        </is>
      </c>
      <c r="B45" s="56" t="inlineStr">
        <is>
          <t>Plagas o enfermedades forestales</t>
        </is>
      </c>
      <c r="C45" s="56" t="inlineStr">
        <is>
          <t>No</t>
        </is>
      </c>
      <c r="D45" s="56" t="inlineStr">
        <is>
          <t>Nula</t>
        </is>
      </c>
      <c r="E45" s="56" t="inlineStr"/>
      <c r="F45" s="56" t="inlineStr"/>
      <c r="G45" s="56" t="inlineStr"/>
    </row>
    <row r="46">
      <c r="A46" s="57" t="inlineStr">
        <is>
          <t>16</t>
        </is>
      </c>
      <c r="B46" s="57" t="inlineStr">
        <is>
          <t>Otro</t>
        </is>
      </c>
      <c r="C46" s="57" t="inlineStr"/>
      <c r="D46" s="57" t="inlineStr"/>
      <c r="E46" s="57" t="inlineStr"/>
      <c r="F46" s="57" t="inlineStr"/>
      <c r="G46" s="57" t="inlineStr"/>
    </row>
    <row r="48">
      <c r="A48" s="54" t="inlineStr">
        <is>
          <t>F-DT-04 · INDICADORES CUANTITATIVOS</t>
        </is>
      </c>
    </row>
    <row r="49">
      <c r="A49" s="55" t="inlineStr">
        <is>
          <t>N.o</t>
        </is>
      </c>
      <c r="B49" s="55" t="inlineStr">
        <is>
          <t>Indicador</t>
        </is>
      </c>
      <c r="C49" s="55" t="inlineStr">
        <is>
          <t>Unidad</t>
        </is>
      </c>
      <c r="D49" s="55" t="inlineStr">
        <is>
          <t>Valor</t>
        </is>
      </c>
      <c r="E49" s="55" t="inlineStr">
        <is>
          <t>Fuente</t>
        </is>
      </c>
      <c r="F49" s="55" t="inlineStr">
        <is>
          <t>Umbral</t>
        </is>
      </c>
      <c r="G49" s="55" t="inlineStr">
        <is>
          <t>Nivel</t>
        </is>
      </c>
    </row>
    <row r="50">
      <c r="A50" s="56" t="inlineStr">
        <is>
          <t>1</t>
        </is>
      </c>
      <c r="B50" s="56" t="inlineStr">
        <is>
          <t>Cobertura vegetal total</t>
        </is>
      </c>
      <c r="C50" s="56" t="inlineStr">
        <is>
          <t>%</t>
        </is>
      </c>
      <c r="D50" s="56" t="inlineStr">
        <is>
          <t>85</t>
        </is>
      </c>
      <c r="E50" s="56" t="inlineStr">
        <is>
          <t>MSAVI 2024 + estimación ocular</t>
        </is>
      </c>
      <c r="F50" s="56" t="inlineStr">
        <is>
          <t>&gt;60% bueno; 30-60% medio; &lt;30% malo</t>
        </is>
      </c>
      <c r="G50" s="56" t="inlineStr">
        <is>
          <t>Alto</t>
        </is>
      </c>
    </row>
    <row r="51">
      <c r="A51" s="57" t="inlineStr">
        <is>
          <t>2</t>
        </is>
      </c>
      <c r="B51" s="57" t="inlineStr">
        <is>
          <t>Porcentaje de suelo desnudo</t>
        </is>
      </c>
      <c r="C51" s="57" t="inlineStr">
        <is>
          <t>%</t>
        </is>
      </c>
      <c r="D51" s="57" t="inlineStr">
        <is>
          <t>10</t>
        </is>
      </c>
      <c r="E51" s="57" t="inlineStr">
        <is>
          <t>Estimación ocular de campo</t>
        </is>
      </c>
      <c r="F51" s="57" t="inlineStr">
        <is>
          <t>&lt;10% bueno; 10-30% medio; &gt;30% malo</t>
        </is>
      </c>
      <c r="G51" s="57" t="inlineStr">
        <is>
          <t>Bajo</t>
        </is>
      </c>
    </row>
    <row r="52">
      <c r="A52" s="56" t="inlineStr">
        <is>
          <t>3</t>
        </is>
      </c>
      <c r="B52" s="56" t="inlineStr">
        <is>
          <t>Densidad de cárcavas</t>
        </is>
      </c>
      <c r="C52" s="56" t="inlineStr">
        <is>
          <t>N°/ha</t>
        </is>
      </c>
      <c r="D52" s="56" t="inlineStr">
        <is>
          <t>Por verificar</t>
        </is>
      </c>
      <c r="E52" s="56" t="inlineStr">
        <is>
          <t>Sin medición instrumental</t>
        </is>
      </c>
      <c r="F52" s="56" t="inlineStr">
        <is>
          <t>0 nulo; 1-3 medio; &gt;3 alto</t>
        </is>
      </c>
      <c r="G52" s="56" t="inlineStr"/>
    </row>
    <row r="53">
      <c r="A53" s="57" t="inlineStr">
        <is>
          <t>4</t>
        </is>
      </c>
      <c r="B53" s="57" t="inlineStr">
        <is>
          <t>Presencia de especies invasoras</t>
        </is>
      </c>
      <c r="C53" s="57" t="inlineStr">
        <is>
          <t>% área</t>
        </is>
      </c>
      <c r="D53" s="57" t="inlineStr">
        <is>
          <t>15</t>
        </is>
      </c>
      <c r="E53" s="57" t="inlineStr">
        <is>
          <t>Estimación ocular</t>
        </is>
      </c>
      <c r="F53" s="57" t="inlineStr">
        <is>
          <t>&lt;5% bueno; 5-20% medio; &gt;20% alto</t>
        </is>
      </c>
      <c r="G53" s="57" t="inlineStr">
        <is>
          <t>Medio</t>
        </is>
      </c>
    </row>
    <row r="54">
      <c r="A54" s="56" t="inlineStr">
        <is>
          <t>5</t>
        </is>
      </c>
      <c r="B54" s="56" t="inlineStr">
        <is>
          <t>Carga ganadera estimada</t>
        </is>
      </c>
      <c r="C54" s="56" t="inlineStr">
        <is>
          <t>UA/ha</t>
        </is>
      </c>
      <c r="D54" s="56" t="inlineStr">
        <is>
          <t>Por verificar</t>
        </is>
      </c>
      <c r="E54" s="56" t="inlineStr">
        <is>
          <t>No estimada en campo</t>
        </is>
      </c>
      <c r="F54" s="56" t="inlineStr">
        <is>
          <t>Según tipo de ecosistema</t>
        </is>
      </c>
      <c r="G54" s="56" t="inlineStr"/>
    </row>
    <row r="55">
      <c r="A55" s="57" t="inlineStr">
        <is>
          <t>6</t>
        </is>
      </c>
      <c r="B55" s="57" t="inlineStr">
        <is>
          <t>Frecuencia de quemas últimos 5 años</t>
        </is>
      </c>
      <c r="C55" s="57" t="inlineStr">
        <is>
          <t>N°</t>
        </is>
      </c>
      <c r="D55" s="57" t="inlineStr">
        <is>
          <t>Por verificar</t>
        </is>
      </c>
      <c r="E55" s="57" t="inlineStr">
        <is>
          <t>No registrada en campo</t>
        </is>
      </c>
      <c r="F55" s="57" t="inlineStr">
        <is>
          <t>0 nulo; 1-2 medio; &gt;2 alto</t>
        </is>
      </c>
      <c r="G55" s="57" t="inlineStr"/>
    </row>
    <row r="56">
      <c r="A56" s="56" t="inlineStr">
        <is>
          <t>7</t>
        </is>
      </c>
      <c r="B56" s="56" t="inlineStr">
        <is>
          <t>% área con pendiente &gt;50%</t>
        </is>
      </c>
      <c r="C56" s="56" t="inlineStr">
        <is>
          <t>%</t>
        </is>
      </c>
      <c r="D56" s="56" t="inlineStr">
        <is>
          <t>25</t>
        </is>
      </c>
      <c r="E56" s="56" t="inlineStr">
        <is>
          <t>Perfil de elevación Google Earth</t>
        </is>
      </c>
      <c r="F56" s="56" t="inlineStr">
        <is>
          <t>Factor de susceptibilidad</t>
        </is>
      </c>
      <c r="G56" s="56" t="inlineStr">
        <is>
          <t>Medio</t>
        </is>
      </c>
    </row>
    <row r="57">
      <c r="A57" s="57" t="inlineStr">
        <is>
          <t>8</t>
        </is>
      </c>
      <c r="B57" s="57" t="inlineStr">
        <is>
          <t>Distancia a vía vecinal más cercana</t>
        </is>
      </c>
      <c r="C57" s="57" t="inlineStr">
        <is>
          <t>m</t>
        </is>
      </c>
      <c r="D57" s="57" t="inlineStr">
        <is>
          <t>0</t>
        </is>
      </c>
      <c r="E57" s="57" t="inlineStr">
        <is>
          <t>La trocha atraviesa el bloque</t>
        </is>
      </c>
      <c r="F57" s="57" t="inlineStr">
        <is>
          <t>A menor distancia → mayor presión</t>
        </is>
      </c>
      <c r="G57" s="57" t="inlineStr">
        <is>
          <t>Alto</t>
        </is>
      </c>
    </row>
    <row r="59">
      <c r="A59" s="54" t="inlineStr">
        <is>
          <t>F-DT-05 · FUENTES DE AGUA INVENTARIADAS</t>
        </is>
      </c>
    </row>
    <row r="60">
      <c r="A60" s="55" t="inlineStr">
        <is>
          <t>N.o</t>
        </is>
      </c>
      <c r="B60" s="55" t="inlineStr">
        <is>
          <t>Tipo de fuente</t>
        </is>
      </c>
      <c r="C60" s="55" t="inlineStr">
        <is>
          <t>UTM ESTE</t>
        </is>
      </c>
      <c r="D60" s="55" t="inlineStr">
        <is>
          <t>UTM NORTE</t>
        </is>
      </c>
      <c r="E60" s="55" t="inlineStr">
        <is>
          <t>Régimen</t>
        </is>
      </c>
      <c r="F60" s="55" t="inlineStr">
        <is>
          <t>Calidad</t>
        </is>
      </c>
      <c r="G60" s="55" t="inlineStr">
        <is>
          <t>Distancia (m)</t>
        </is>
      </c>
      <c r="H60" s="55" t="inlineStr">
        <is>
          <t>Uso / observación</t>
        </is>
      </c>
    </row>
    <row r="61">
      <c r="A61" s="56" t="inlineStr">
        <is>
          <t>1</t>
        </is>
      </c>
      <c r="B61" s="56" t="inlineStr">
        <is>
          <t>Manantial / Puquio</t>
        </is>
      </c>
      <c r="C61" s="61" t="n">
        <v>656280</v>
      </c>
      <c r="D61" s="61" t="n">
        <v>9395464</v>
      </c>
      <c r="E61" s="56" t="inlineStr">
        <is>
          <t>Permanente</t>
        </is>
      </c>
      <c r="F61" s="56" t="inlineStr">
        <is>
          <t>No evaluable</t>
        </is>
      </c>
      <c r="G61" s="63" t="n">
        <v>0</v>
      </c>
      <c r="H61" s="56" t="inlineStr">
        <is>
          <t>Captacion de agua poblacional (estructura de concreto con tapa metalica). Regimen y JASS por verificar (F-09).</t>
        </is>
      </c>
    </row>
    <row r="64">
      <c r="A64" s="54" t="inlineStr">
        <is>
          <t>OBSERVACIONES DEL EVALUADOR POR FICHA</t>
        </is>
      </c>
    </row>
    <row r="65">
      <c r="A65" s="55" t="inlineStr">
        <is>
          <t>Ficha</t>
        </is>
      </c>
      <c r="B65" s="55" t="inlineStr">
        <is>
          <t>Observación registrada en campo</t>
        </is>
      </c>
    </row>
    <row r="66">
      <c r="A66" s="56" t="inlineStr">
        <is>
          <t>F-DT-01</t>
        </is>
      </c>
      <c r="B66" s="56" t="inlineStr">
        <is>
          <t>Verificacion de campo del 21/07/2026 (recorrido 14:53-15:12 h). Centroide del bloque (fuente Centroides_V5): 656 489 E, 9 395 403 N (UTM WGS84 17S). Altitud GPS no registrada instrumentalmente (por verificar); el perfil de elevacion de Google Earth sobre el recorrido indica un rango aproximado de 1 578-1 769 msnm (media ≈1 689 msnm), piso Quechua media. Las evidencias de inestabilidad (escarpes y desprendimientos de material residual rojizo) se concentran en los taludes de corte de la trocha carrozable que atraviesa el bloque; no se observaron remociones en masa activas en la superficie natural.</t>
        </is>
      </c>
    </row>
    <row r="67">
      <c r="A67" s="57" t="inlineStr">
        <is>
          <t>F-DT-02</t>
        </is>
      </c>
      <c r="B67" s="57" t="inlineStr">
        <is>
          <t>Nivel de erosion en el interior del bloque moderado (surcos), con compactacion por pisoteo de ganado en laderas de pastizal. Las evidencias erosivas mas marcadas (surcos, escarpes y un desprendimiento de material rojizo) se concentran en los taludes de corte de la trocha carrozable. Se registraron tres rasgos representativos asociados a la via. Dimensiones (longitud, profundidad, ancho), longitud total acumulada, % exacto de bloque afectado y densidad de carcavas por hectarea quedan pendientes de levantamiento instrumental.</t>
        </is>
      </c>
    </row>
    <row r="68">
      <c r="A68" s="56" t="inlineStr">
        <is>
          <t>F-DT-03</t>
        </is>
      </c>
      <c r="B68" s="56" t="inlineStr">
        <is>
          <t>El Reporte de Ecosistemas por Bloques (MINAM) clasifica el bloque 43 como 100% Zona agricola (23.17 ha; perimetro 2 051 m). En campo se confirma un agroecosistema/mosaico muy alterado: pastos cultivados dominantes, cultivos de platano y cafe, y plantaciones dispersas de eucalipto y grevilea; agave en taludes. MSAVI 2024 del bloque = 0.5515 (vigor moderado). Lista floristica PRELIMINAR sujeta a coleccion y determinacion botanica formal; no se instalaron parcelas ni se midieron DAP ni alturas.</t>
        </is>
      </c>
    </row>
    <row r="69">
      <c r="A69" s="57" t="inlineStr">
        <is>
          <t>F-DT-04</t>
        </is>
      </c>
      <c r="B69" s="57" t="inlineStr">
        <is>
          <t>Degradacion de origen agropecuario (conversion a agricultura y pastos cultivados, sobrepastoreo) y vial: la trocha carrozable atraviesa el bloque de extremo a extremo, generando taludes de corte inestables y concentrando escorrentia. Presion adicional por especies exoticas (eucalipto, grevilea, agave). Carga ganadera, frecuencia de quemas y densidad de carcavas quedan por cuantificar. NOTA DE GESTION: al ser 100% Zona agricola (MINAM) y estar fuertemente intervenido, se recomienda evaluar su recategorizacion o exclusion en el tamizaje, conforme al criterio de exclusion de areas agricolas del proceso de seleccion de bloques.</t>
        </is>
      </c>
    </row>
    <row r="70">
      <c r="A70" s="56" t="inlineStr">
        <is>
          <t>F-DT-05</t>
        </is>
      </c>
      <c r="B70" s="56" t="inlineStr">
        <is>
          <t>El bloque se ubica en zona de origen y recarga de la microcuenca C1076-Q9586. Se registro una captacion de agua poblacional (estructura de concreto con tapa metalica) dentro del ambito; nombre de la JASS, regimen de la fuente y distancia formal a la captacion quedan por verificar. La trocha permite acceso vehicular 4x4 hasta el bloque. Tiempos de viaje, senal/operador celular y autorizacion de la Ronda Campesina no se registraron y quedan por verificar/confirmar con autoridades del C.P. Pizarrume. Centro poblado mas cercano: Pizarrume (222 hab.), a ≈0.48 km del centroide; Coyona (74 hab.) a ≈0.62 km.</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43</t>
        </is>
      </c>
    </row>
    <row r="7">
      <c r="A7" s="54" t="inlineStr">
        <is>
          <t>Hechos declarados por fuente</t>
        </is>
      </c>
    </row>
    <row r="8">
      <c r="A8" s="55" t="inlineStr">
        <is>
          <t>Fuente</t>
        </is>
      </c>
      <c r="B8" s="55" t="inlineStr">
        <is>
          <t>Hechos</t>
        </is>
      </c>
    </row>
    <row r="9">
      <c r="A9" s="56" t="inlineStr">
        <is>
          <t>Dato de campo</t>
        </is>
      </c>
      <c r="B9" s="56" t="n">
        <v>62</v>
      </c>
    </row>
    <row r="10">
      <c r="A10" s="57" t="inlineStr">
        <is>
          <t>Gabinete (GIS / teledetección)</t>
        </is>
      </c>
      <c r="B10" s="57" t="n">
        <v>21</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95</v>
      </c>
    </row>
    <row r="29">
      <c r="A29" s="57" t="inlineStr">
        <is>
          <t>COMPLEMENTADO</t>
        </is>
      </c>
      <c r="B29" s="57" t="n">
        <v>0</v>
      </c>
    </row>
    <row r="30">
      <c r="A30" s="56" t="inlineStr">
        <is>
          <t>ACTUALIZADO</t>
        </is>
      </c>
      <c r="B30" s="56" t="n">
        <v>2</v>
      </c>
    </row>
    <row r="31">
      <c r="A31" s="57" t="inlineStr">
        <is>
          <t>DISCREPANTE</t>
        </is>
      </c>
      <c r="B31" s="57" t="n">
        <v>0</v>
      </c>
    </row>
    <row r="32">
      <c r="A32" s="56" t="inlineStr">
        <is>
          <t>PENDIENTE</t>
        </is>
      </c>
      <c r="B32" s="56" t="n">
        <v>17</v>
      </c>
    </row>
    <row r="45">
      <c r="A45" s="54" t="inlineStr">
        <is>
          <t>Cobertura por estrato — campo (%)</t>
        </is>
      </c>
    </row>
    <row r="46">
      <c r="A46" s="55" t="inlineStr">
        <is>
          <t>Estrato</t>
        </is>
      </c>
      <c r="B46" s="55" t="inlineStr">
        <is>
          <t>% del área</t>
        </is>
      </c>
    </row>
    <row r="47">
      <c r="A47" s="56" t="inlineStr">
        <is>
          <t>Dosel</t>
        </is>
      </c>
      <c r="B47" s="61" t="n">
        <v>10</v>
      </c>
    </row>
    <row r="48">
      <c r="A48" s="57" t="inlineStr">
        <is>
          <t>Arbustiva</t>
        </is>
      </c>
      <c r="B48" s="62" t="n">
        <v>15</v>
      </c>
    </row>
    <row r="49">
      <c r="A49" s="56" t="inlineStr">
        <is>
          <t>Herbácea</t>
        </is>
      </c>
      <c r="B49" s="61" t="n">
        <v>60</v>
      </c>
    </row>
    <row r="50">
      <c r="A50" s="57" t="inlineStr">
        <is>
          <t>Hojarasca</t>
        </is>
      </c>
      <c r="B50" s="64" t="n">
        <v>5</v>
      </c>
    </row>
    <row r="51">
      <c r="A51" s="56" t="inlineStr">
        <is>
          <t>Suelo desnudo</t>
        </is>
      </c>
      <c r="B51" s="61" t="n">
        <v>10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3</v>
      </c>
    </row>
    <row r="67">
      <c r="A67" s="57" t="inlineStr">
        <is>
          <t>Expansión urbana / vial</t>
        </is>
      </c>
      <c r="B67" s="57" t="n">
        <v>3</v>
      </c>
    </row>
    <row r="68">
      <c r="A68" s="56" t="inlineStr">
        <is>
          <t>Cambio de uso a pastoreo</t>
        </is>
      </c>
      <c r="B68" s="56" t="n">
        <v>2</v>
      </c>
    </row>
    <row r="69">
      <c r="A69" s="57" t="inlineStr">
        <is>
          <t>Especies invasoras</t>
        </is>
      </c>
      <c r="B69" s="57" t="n">
        <v>2</v>
      </c>
    </row>
    <row r="70">
      <c r="A70" s="56" t="inlineStr">
        <is>
          <t>Sobrepastoreo (caprino/vacuno)</t>
        </is>
      </c>
      <c r="B70" s="56" t="n">
        <v>2</v>
      </c>
    </row>
    <row r="71">
      <c r="A71" s="57" t="inlineStr">
        <is>
          <t>Erosión natural severa</t>
        </is>
      </c>
      <c r="B71" s="57"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3</v>
      </c>
    </row>
    <row r="87">
      <c r="A87" s="56" t="inlineStr">
        <is>
          <t>CORREGIDO</t>
        </is>
      </c>
      <c r="B87" s="56" t="n">
        <v>2</v>
      </c>
    </row>
    <row r="88">
      <c r="A88" s="57" t="inlineStr">
        <is>
          <t>CONFORME</t>
        </is>
      </c>
      <c r="B88"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43 — IN Piura</dc:title>
  <dc:subject>Diagnóstico Territorial por bloque de intervención</dc:subject>
  <dcterms:created xsi:type="dcterms:W3CDTF">2026-09-08T03:39:56Z</dcterms:created>
  <dcterms:modified xsi:type="dcterms:W3CDTF">2026-09-11T21:26:26Z</dcterms:modified>
</cp:coreProperties>
</file>