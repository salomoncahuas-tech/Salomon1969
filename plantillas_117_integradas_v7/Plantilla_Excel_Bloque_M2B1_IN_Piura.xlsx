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integración'!B75</f>
            </strRef>
          </tx>
          <spPr>
            <a:ln>
              <a:prstDash val="solid"/>
            </a:ln>
          </spPr>
          <cat>
            <numRef>
              <f>'Gráficos de integración'!$A$76:$A$85</f>
            </numRef>
          </cat>
          <val>
            <numRef>
              <f>'Gráficos de integración'!$B$76:$B$85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integración'!B103</f>
            </strRef>
          </tx>
          <spPr>
            <a:ln>
              <a:prstDash val="solid"/>
            </a:ln>
          </spPr>
          <cat>
            <numRef>
              <f>'Gráficos de integración'!$A$104:$A$107</f>
            </numRef>
          </cat>
          <val>
            <numRef>
              <f>'Gráficos de integración'!$B$104:$B$107</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102</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M2B1</t>
        </is>
      </c>
    </row>
    <row r="6" ht="24" customHeight="1">
      <c r="A6" s="4" t="inlineStr">
        <is>
          <t>Diagnóstico Territorial — Plantilla DT Campo Check Validada V5 | Sistema de referencia: UTM WGS 84 Zona 17S (EPSG:32717) · Integrado con la ficha de campo F-DT vigente (Plantilla_DT_M2B1_Llenada.xlsx) — V7 - resumen V6 + campo F-DT integrado</t>
        </is>
      </c>
    </row>
    <row r="7"/>
    <row r="8" ht="18" customHeight="1">
      <c r="A8" s="5" t="inlineStr">
        <is>
          <t>1. IDENTIFICACIÓN Y LOCALIZACIÓN</t>
        </is>
      </c>
    </row>
    <row r="9">
      <c r="A9" s="6" t="inlineStr">
        <is>
          <t>Código del bloque</t>
        </is>
      </c>
      <c r="B9" s="7" t="inlineStr">
        <is>
          <t>M2B1</t>
        </is>
      </c>
      <c r="C9" s="6" t="inlineStr">
        <is>
          <t>Microcuenca (catálogo)</t>
        </is>
      </c>
      <c r="D9" s="7" t="inlineStr">
        <is>
          <t>C1076-Q9584</t>
        </is>
      </c>
      <c r="E9" s="8" t="n"/>
      <c r="F9" s="8" t="n"/>
    </row>
    <row r="10">
      <c r="A10" s="6" t="inlineStr">
        <is>
          <t>Zona de planificación</t>
        </is>
      </c>
      <c r="B10" s="7" t="inlineStr">
        <is>
          <t>Z07</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Salitral</t>
        </is>
      </c>
      <c r="C12" s="6" t="inlineStr">
        <is>
          <t>Capital distrital</t>
        </is>
      </c>
      <c r="D12" s="7" t="inlineStr">
        <is>
          <t>Salitral</t>
        </is>
      </c>
      <c r="E12" s="8" t="n"/>
      <c r="F12" s="8" t="n"/>
    </row>
    <row r="13">
      <c r="A13" s="6" t="inlineStr">
        <is>
          <t>Centro poblado asociado</t>
        </is>
      </c>
      <c r="B13" s="7" t="inlineStr">
        <is>
          <t>Santa Rosa de Serrán</t>
        </is>
      </c>
      <c r="C13" s="6" t="inlineStr">
        <is>
          <t>Comunidad campesina</t>
        </is>
      </c>
      <c r="D13" s="7" t="inlineStr">
        <is>
          <t>No aplica (predominio predial privado)</t>
        </is>
      </c>
      <c r="E13" s="8" t="n"/>
      <c r="F13" s="8" t="n"/>
    </row>
    <row r="14">
      <c r="A14" s="6" t="inlineStr">
        <is>
          <t>Superficie de catálogo (V5/V6), ha</t>
        </is>
      </c>
      <c r="B14" s="7" t="n">
        <v>81.79000000000001</v>
      </c>
      <c r="C14" s="6" t="inlineStr">
        <is>
          <t>Fuente de superficie</t>
        </is>
      </c>
      <c r="D14" s="7" t="inlineStr">
        <is>
          <t>Catálogo maestro Bloques V5/V6</t>
        </is>
      </c>
      <c r="E14" s="8" t="n"/>
      <c r="F14" s="8" t="n"/>
    </row>
    <row r="15">
      <c r="A15" s="6" t="inlineStr">
        <is>
          <t>Centroide UTM ESTE (m)</t>
        </is>
      </c>
      <c r="B15" s="7" t="n">
        <v>635876</v>
      </c>
      <c r="C15" s="6" t="inlineStr">
        <is>
          <t>Centroide UTM NORTE (m)</t>
        </is>
      </c>
      <c r="D15" s="7" t="n">
        <v>9397941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235</v>
      </c>
      <c r="C19" s="6" t="inlineStr">
        <is>
          <t>Altitud máxima (msnm)</t>
        </is>
      </c>
      <c r="D19" s="7" t="n">
        <v>446</v>
      </c>
      <c r="E19" s="8" t="n"/>
      <c r="F19" s="8" t="n"/>
    </row>
    <row r="20">
      <c r="A20" s="6" t="inlineStr">
        <is>
          <t>Amplitud altitudinal (m)</t>
        </is>
      </c>
      <c r="B20" s="7" t="n">
        <v>211</v>
      </c>
      <c r="C20" s="6" t="inlineStr">
        <is>
          <t>Piso altitudinal dominante</t>
        </is>
      </c>
      <c r="D20" s="7" t="inlineStr">
        <is>
          <t>&lt;1000 m (Yunga)</t>
        </is>
      </c>
      <c r="E20" s="8" t="n"/>
      <c r="F20" s="8" t="n"/>
    </row>
    <row r="21">
      <c r="A21" s="6" t="inlineStr">
        <is>
          <t>Pendiente promedio (%)</t>
        </is>
      </c>
      <c r="B21" s="7" t="n">
        <v>17.48</v>
      </c>
      <c r="C21" s="6" t="inlineStr">
        <is>
          <t>Pendiente promedio (grados)</t>
        </is>
      </c>
      <c r="D21" s="7" t="n">
        <v>9.9</v>
      </c>
      <c r="E21" s="8" t="n"/>
      <c r="F21" s="8" t="n"/>
    </row>
    <row r="22">
      <c r="A22" s="6" t="inlineStr">
        <is>
          <t>Clase de pendiente equivalente</t>
        </is>
      </c>
      <c r="B22" s="7" t="inlineStr">
        <is>
          <t>15-25% (Fuert. inclinado)</t>
        </is>
      </c>
      <c r="C22" s="6" t="inlineStr">
        <is>
          <t>Rango de pendiente declarado en campo</t>
        </is>
      </c>
      <c r="D22" s="51" t="inlineStr">
        <is>
          <t>15 - 35 % (moderada a fuerte)</t>
        </is>
      </c>
      <c r="E22" s="8" t="n"/>
      <c r="F22" s="8" t="n"/>
    </row>
    <row r="23">
      <c r="A23" s="6" t="inlineStr">
        <is>
          <t>Forma predominante del terreno</t>
        </is>
      </c>
      <c r="B23" s="51" t="inlineStr">
        <is>
          <t>Ladera de colina con pendiente cóncavo-convexa</t>
        </is>
      </c>
      <c r="C23" s="6" t="inlineStr">
        <is>
          <t>Posición fisiográfica</t>
        </is>
      </c>
      <c r="D23" s="7" t="inlineStr">
        <is>
          <t>Ladera media</t>
        </is>
      </c>
      <c r="E23" s="8" t="n"/>
      <c r="F23" s="8" t="n"/>
    </row>
    <row r="24">
      <c r="A24" s="6" t="inlineStr">
        <is>
          <t>Exposición / orientación</t>
        </is>
      </c>
      <c r="B24" s="51" t="inlineStr">
        <is>
          <t>E - NE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0.2984</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(54.58 %)</t>
        </is>
      </c>
      <c r="E29" s="8" t="n"/>
      <c r="F29" s="8" t="n"/>
    </row>
    <row r="30">
      <c r="A30" s="6" t="inlineStr">
        <is>
          <t>Superficie clasificada NDVI 2025 (ha)</t>
        </is>
      </c>
      <c r="B30" s="7" t="n">
        <v>81.82299999999999</v>
      </c>
      <c r="C30" s="6" t="inlineStr">
        <is>
          <t>Desviación frente al catálogo (%)</t>
        </is>
      </c>
      <c r="D30" s="7" t="n">
        <v>0.04</v>
      </c>
      <c r="E30" s="8" t="n"/>
      <c r="F30" s="8" t="n"/>
    </row>
    <row r="31">
      <c r="A31" s="6" t="inlineStr">
        <is>
          <t>Superficie clasificada MSAVI 2024 (ha)</t>
        </is>
      </c>
      <c r="B31" s="39" t="n">
        <v>81.795</v>
      </c>
      <c r="C31" s="6" t="inlineStr">
        <is>
          <t>Desviación MSAVI frente al catálogo (%)</t>
        </is>
      </c>
      <c r="D31" s="40" t="n">
        <v>0.01</v>
      </c>
      <c r="E31" s="8" t="n"/>
      <c r="F31" s="8" t="n"/>
    </row>
    <row r="32">
      <c r="A32" s="6" t="inlineStr">
        <is>
          <t>Superficie bajo umbral MSAVI 0.4976 (ha)</t>
        </is>
      </c>
      <c r="B32" s="39" t="n">
        <v>81.795</v>
      </c>
      <c r="C32" s="6" t="inlineStr">
        <is>
          <t>% del bloque bajo umbral (brecha espectral)</t>
        </is>
      </c>
      <c r="D32" s="40" t="n">
        <v>100</v>
      </c>
      <c r="E32" s="8" t="n"/>
      <c r="F32" s="8" t="n"/>
    </row>
    <row r="33">
      <c r="A33" s="6" t="inlineStr">
        <is>
          <t>Clase DN dominante (MSAVI 2024)</t>
        </is>
      </c>
      <c r="B33" s="7" t="inlineStr">
        <is>
          <t>DN 2 · 0.2650 - 0.3813 (Vigor muy bajo)</t>
        </is>
      </c>
      <c r="C33" s="6" t="inlineStr">
        <is>
          <t>N.° de polígonos MSAVI del bloque</t>
        </is>
      </c>
      <c r="D33" s="41" t="n">
        <v>255</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81.79 ha (100% del bloque)</t>
        </is>
      </c>
      <c r="E36" s="8" t="n"/>
      <c r="F36" s="8" t="n"/>
    </row>
    <row r="37">
      <c r="A37" s="6" t="inlineStr">
        <is>
          <t>Estado de conservación</t>
        </is>
      </c>
      <c r="B37" s="51" t="inlineStr">
        <is>
          <t>Degradado, en regeneración temprana en mosaico</t>
        </is>
      </c>
      <c r="C37" s="6" t="inlineStr">
        <is>
          <t>Uso actual dominante del suelo</t>
        </is>
      </c>
      <c r="D37" s="7" t="inlineStr">
        <is>
          <t>Pastoreo extensivo</t>
        </is>
      </c>
      <c r="E37" s="8" t="n"/>
      <c r="F37" s="8" t="n"/>
    </row>
    <row r="38">
      <c r="A38" s="6" t="inlineStr">
        <is>
          <t>Tipo de cobertura dominante</t>
        </is>
      </c>
      <c r="B38" s="51" t="inlineStr">
        <is>
          <t>Matorral seco subarbustivo-arbustivo con relictos arbóreos dispersos</t>
        </is>
      </c>
      <c r="C38" s="6" t="inlineStr">
        <is>
          <t>Cobertura vegetal total — campo (%)</t>
        </is>
      </c>
      <c r="D38" s="7" t="n">
        <v>55</v>
      </c>
      <c r="E38" s="8" t="n"/>
      <c r="F38" s="8" t="n"/>
    </row>
    <row r="39">
      <c r="A39" s="6" t="inlineStr">
        <is>
          <t>Suelo desnudo — campo (%)</t>
        </is>
      </c>
      <c r="B39" s="7" t="n">
        <v>40</v>
      </c>
      <c r="C39" s="6" t="inlineStr">
        <is>
          <t>Regeneración natural</t>
        </is>
      </c>
      <c r="D39" s="51" t="inlineStr">
        <is>
          <t>Escasa, restringida a relictos y rebrotes basales de Hualtaco y Charán</t>
        </is>
      </c>
      <c r="E39" s="8" t="n"/>
      <c r="F39" s="8" t="n"/>
    </row>
    <row r="40">
      <c r="A40" s="6" t="inlineStr">
        <is>
          <t>Nivel general de erosión</t>
        </is>
      </c>
      <c r="B40" s="51" t="inlineStr">
        <is>
          <t>Moderado a fuerte (con focos puntuales de erosión severa)</t>
        </is>
      </c>
      <c r="C40" s="6" t="inlineStr">
        <is>
          <t>N.° de cárcavas registradas</t>
        </is>
      </c>
      <c r="D40" s="7" t="n">
        <v>4</v>
      </c>
      <c r="E40" s="8" t="n"/>
      <c r="F40" s="8" t="n"/>
    </row>
    <row r="41">
      <c r="A41" s="6" t="inlineStr">
        <is>
          <t>Elenco florístico (n.° de taxones)</t>
        </is>
      </c>
      <c r="B41" s="7" t="n">
        <v>11</v>
      </c>
      <c r="C41" s="6" t="inlineStr">
        <is>
          <t>Estado sanitario</t>
        </is>
      </c>
      <c r="D41" s="51" t="inlineStr">
        <is>
          <t>Regular (signos de estrés hídrico, ramoneo y tala selectiva en arbóreas)</t>
        </is>
      </c>
      <c r="E41" s="8" t="n"/>
      <c r="F41" s="8" t="n"/>
    </row>
    <row r="42"/>
    <row r="43" ht="18" customHeight="1">
      <c r="A43" s="5" t="inlineStr">
        <is>
          <t>5. RESPONSABLE Y MODALIDAD DE LA EVALUACIÓN</t>
        </is>
      </c>
    </row>
    <row r="44">
      <c r="A44" s="6" t="inlineStr">
        <is>
          <t>Responsable de la evaluación</t>
        </is>
      </c>
      <c r="B44" s="7" t="inlineStr">
        <is>
          <t>Ing. Héctor S. Cahuas Miller</t>
        </is>
      </c>
      <c r="C44" s="6" t="inlineStr">
        <is>
          <t>Fecha de evaluación</t>
        </is>
      </c>
      <c r="D44" s="7" t="inlineStr">
        <is>
          <t>2026-05-19</t>
        </is>
      </c>
      <c r="E44" s="8" t="n"/>
      <c r="F44" s="8" t="n"/>
    </row>
    <row r="45">
      <c r="A45" s="6" t="inlineStr">
        <is>
          <t>Hora de registro</t>
        </is>
      </c>
      <c r="B45" s="7" t="inlineStr">
        <is>
          <t>08:45 h</t>
        </is>
      </c>
      <c r="C45" s="6" t="inlineStr">
        <is>
          <t>Correlativo de ficha</t>
        </is>
      </c>
      <c r="D45" s="7" t="inlineStr">
        <is>
          <t>F-DT-M2B1-01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1" t="inlineStr">
        <is>
          <t>P-01 (parcela representativa franja media)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Pobreza rural + ausencia de planes de manejo del ecosistema + débil control territorial municipal frente a la habilitación urbana</t>
        </is>
      </c>
      <c r="C51" s="6" t="inlineStr">
        <is>
          <t>Velocidad de degradación</t>
        </is>
      </c>
      <c r="D51" s="51" t="inlineStr">
        <is>
          <t>Lenta a moderada (proceso crónico, agravado por eventos ENSO)</t>
        </is>
      </c>
      <c r="E51" s="8" t="n"/>
      <c r="F51" s="8" t="n"/>
    </row>
    <row r="52">
      <c r="A52" s="6" t="inlineStr">
        <is>
          <t>Reversibilidad técnica</t>
        </is>
      </c>
      <c r="B52" s="51" t="inlineStr">
        <is>
          <t>Alta (con intervención adecuada, en plazo 5-10 años, sin pérdida irreversible de elementos clave en los relictos altos)</t>
        </is>
      </c>
      <c r="C52" s="6" t="inlineStr">
        <is>
          <t>Urgencia de intervención</t>
        </is>
      </c>
      <c r="D52" s="7" t="inlineStr">
        <is>
          <t>Media</t>
        </is>
      </c>
      <c r="E52" s="8" t="n"/>
      <c r="F52" s="8" t="n"/>
    </row>
    <row r="53">
      <c r="A53" s="6" t="inlineStr">
        <is>
          <t>Urgencia de control de erosión</t>
        </is>
      </c>
      <c r="B53" s="7" t="inlineStr">
        <is>
          <t>Alta</t>
        </is>
      </c>
      <c r="C53" s="6" t="inlineStr">
        <is>
          <t>Zona de recarga hídrica</t>
        </is>
      </c>
      <c r="D53" s="51" t="inlineStr">
        <is>
          <t>Parcialmente (zonas altas &gt; 500 msnm con relictos arbóreos actúan como áreas de recarga)</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M2B1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v>
      </c>
      <c r="C11" s="21">
        <f>ROUND(B11/$B$15*100,2)</f>
        <v/>
      </c>
      <c r="D11" s="13" t="inlineStr">
        <is>
          <t>Vigor moderado</t>
        </is>
      </c>
      <c r="E11" s="13" t="inlineStr">
        <is>
          <t>Sobre umbral</t>
        </is>
      </c>
    </row>
    <row r="12">
      <c r="A12" s="7" t="inlineStr">
        <is>
          <t>0.3813 - 0.4976 · DN 3</t>
        </is>
      </c>
      <c r="B12" s="18" t="n">
        <v>3.4644</v>
      </c>
      <c r="C12" s="19">
        <f>ROUND(B12/$B$15*100,2)</f>
        <v/>
      </c>
      <c r="D12" s="11" t="inlineStr">
        <is>
          <t>Vigor bajo</t>
        </is>
      </c>
      <c r="E12" s="11" t="inlineStr">
        <is>
          <t>BAJO umbral 0.4976</t>
        </is>
      </c>
    </row>
    <row r="13">
      <c r="A13" s="14" t="inlineStr">
        <is>
          <t>0.2650 - 0.3813 · DN 2</t>
        </is>
      </c>
      <c r="B13" s="32" t="n">
        <v>56.1201</v>
      </c>
      <c r="C13" s="31">
        <f>ROUND(B13/$B$15*100,2)</f>
        <v/>
      </c>
      <c r="D13" s="15" t="inlineStr">
        <is>
          <t>Vigor muy bajo</t>
        </is>
      </c>
      <c r="E13" s="15" t="inlineStr">
        <is>
          <t>BAJO umbral 0.4976</t>
        </is>
      </c>
    </row>
    <row r="14">
      <c r="A14" s="7" t="inlineStr">
        <is>
          <t>&lt;= 0.2650 · DN 1</t>
        </is>
      </c>
      <c r="B14" s="18" t="n">
        <v>22.2104</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255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81.79000000000001</v>
      </c>
      <c r="C18" s="50" t="inlineStr">
        <is>
          <t>—</t>
        </is>
      </c>
      <c r="D18" s="47" t="inlineStr">
        <is>
          <t>Desviación planimétrica frente al catálogo</t>
        </is>
      </c>
      <c r="E18" s="47" t="inlineStr">
        <is>
          <t>+0.01 %</t>
        </is>
      </c>
    </row>
    <row r="19">
      <c r="A19" s="16" t="inlineStr">
        <is>
          <t>MSAVI 2024 — MEDIA DEL BLOQUE</t>
        </is>
      </c>
      <c r="B19" s="17" t="n">
        <v>0.29836</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255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(0.2984) se conserva del catálogo maestro y es dato oficial; la fila resaltada indica la clase en la que cae dicha media. Los totales y porcentajes se calculan con fórmulas sobre las filas del cuadro.</t>
        </is>
      </c>
      <c r="B21" s="42" t="n"/>
      <c r="C21" s="42" t="n"/>
      <c r="D21" s="42" t="n"/>
      <c r="E21" s="43"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0.0297</v>
      </c>
      <c r="C25" s="19" t="n">
        <v>0.04</v>
      </c>
      <c r="D25" s="11" t="inlineStr">
        <is>
          <t>Dosel continuo, matorral denso o mosaico agroforestal</t>
        </is>
      </c>
      <c r="E25" s="11" t="inlineStr"/>
    </row>
    <row r="26">
      <c r="A26" s="12" t="inlineStr">
        <is>
          <t>Vegetación mediana</t>
        </is>
      </c>
      <c r="B26" s="20" t="n">
        <v>36.9266</v>
      </c>
      <c r="C26" s="21" t="n">
        <v>45.13</v>
      </c>
      <c r="D26" s="13" t="inlineStr">
        <is>
          <t>Pastizal cultivado, matorral ralo, parcelas agrícolas</t>
        </is>
      </c>
      <c r="E26" s="13" t="inlineStr"/>
    </row>
    <row r="27">
      <c r="A27" s="7" t="inlineStr">
        <is>
          <t>Vegetación ligera</t>
        </is>
      </c>
      <c r="B27" s="18" t="n">
        <v>44.6572</v>
      </c>
      <c r="C27" s="19" t="n">
        <v>54.58</v>
      </c>
      <c r="D27" s="11" t="inlineStr">
        <is>
          <t>Cobertura discontinua, suelo parcialmente expuesto</t>
        </is>
      </c>
      <c r="E27" s="11" t="inlineStr"/>
    </row>
    <row r="28">
      <c r="A28" s="12" t="inlineStr">
        <is>
          <t>Tierra desnuda</t>
        </is>
      </c>
      <c r="B28" s="20" t="n">
        <v>0.2094</v>
      </c>
      <c r="C28" s="21" t="n">
        <v>0.26</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81.79000000000001</v>
      </c>
      <c r="C30" s="25" t="inlineStr">
        <is>
          <t>—</t>
        </is>
      </c>
      <c r="D30" s="25" t="inlineStr">
        <is>
          <t>Desviación planimétrica frente al catálogo</t>
        </is>
      </c>
      <c r="E30" s="25" t="inlineStr">
        <is>
          <t>+0.04 %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55 % frente a un 0.04 % del polígono clasificado como «Vegetación alta» por el NDVI 2025; la observación de campo corresponde a una parcela o recorrido puntual y no es estadísticamente representativa de las 81.790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M2B1</t>
        </is>
      </c>
    </row>
    <row r="6" ht="24" customHeight="1">
      <c r="A6" s="4" t="inlineStr">
        <is>
          <t>Levantamiento del 2026-05-19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636128</v>
      </c>
      <c r="D10" s="26" t="n">
        <v>9398519</v>
      </c>
      <c r="E10" s="11" t="n">
        <v>630.5</v>
      </c>
      <c r="F10" s="11" t="inlineStr"/>
      <c r="G10" s="11" t="inlineStr">
        <is>
          <t>Coordenada consignada en F-DT-01</t>
        </is>
      </c>
    </row>
    <row r="11">
      <c r="A11" s="12" t="inlineStr">
        <is>
          <t>C-01</t>
        </is>
      </c>
      <c r="B11" s="13" t="inlineStr">
        <is>
          <t>Rasgo erosivo — Surco (&lt;30 cm) — 55 m, 0.25 m prof., 0.45 m ancho</t>
        </is>
      </c>
      <c r="C11" s="27" t="n">
        <v>636120</v>
      </c>
      <c r="D11" s="27" t="n">
        <v>9398525</v>
      </c>
      <c r="E11" s="13" t="n">
        <v>632.9</v>
      </c>
      <c r="F11" s="13" t="inlineStr">
        <is>
          <t>Activa</t>
        </is>
      </c>
      <c r="G11" s="13" t="inlineStr">
        <is>
          <t>Sobrepastoreo</t>
        </is>
      </c>
    </row>
    <row r="12">
      <c r="A12" s="7" t="inlineStr">
        <is>
          <t>C-02</t>
        </is>
      </c>
      <c r="B12" s="11" t="inlineStr">
        <is>
          <t>Rasgo erosivo — Cárcava incipiente — 75 m, 0.6 m prof., 1.2 m ancho</t>
        </is>
      </c>
      <c r="C12" s="26" t="n">
        <v>636160</v>
      </c>
      <c r="D12" s="26" t="n">
        <v>9398550</v>
      </c>
      <c r="E12" s="11" t="n">
        <v>672</v>
      </c>
      <c r="F12" s="11" t="inlineStr">
        <is>
          <t>Activa</t>
        </is>
      </c>
      <c r="G12" s="11" t="inlineStr">
        <is>
          <t>Sobrepastoreo</t>
        </is>
      </c>
    </row>
    <row r="13">
      <c r="A13" s="12" t="inlineStr">
        <is>
          <t>C-03</t>
        </is>
      </c>
      <c r="B13" s="13" t="inlineStr">
        <is>
          <t>Rasgo erosivo — Surco (&lt;30 cm) — 65 m, 0.9 m prof., 2.1 m ancho</t>
        </is>
      </c>
      <c r="C13" s="27" t="n">
        <v>636079</v>
      </c>
      <c r="D13" s="27" t="n">
        <v>9399152</v>
      </c>
      <c r="E13" s="13" t="n">
        <v>1227.9</v>
      </c>
      <c r="F13" s="13" t="inlineStr">
        <is>
          <t>Activa</t>
        </is>
      </c>
      <c r="G13" s="13" t="inlineStr">
        <is>
          <t>Concentración natural de escorrentía</t>
        </is>
      </c>
    </row>
    <row r="14">
      <c r="A14" s="7" t="inlineStr">
        <is>
          <t>C-04</t>
        </is>
      </c>
      <c r="B14" s="11" t="inlineStr">
        <is>
          <t>Rasgo erosivo — Cárcava incipiente — 40 m, 0.2 m prof., 0.35 m ancho</t>
        </is>
      </c>
      <c r="C14" s="26" t="n">
        <v>636316</v>
      </c>
      <c r="D14" s="26" t="n">
        <v>9398321</v>
      </c>
      <c r="E14" s="11" t="n">
        <v>581.4</v>
      </c>
      <c r="F14" s="11" t="inlineStr">
        <is>
          <t>Activa</t>
        </is>
      </c>
      <c r="G14" s="11" t="inlineStr">
        <is>
          <t>Otro</t>
        </is>
      </c>
    </row>
    <row r="15">
      <c r="A15" s="12" t="inlineStr">
        <is>
          <t>H-01</t>
        </is>
      </c>
      <c r="B15" s="13" t="inlineStr">
        <is>
          <t>Fuente de agua — Río</t>
        </is>
      </c>
      <c r="C15" s="27" t="n">
        <v>636500</v>
      </c>
      <c r="D15" s="27" t="n">
        <v>9398100</v>
      </c>
      <c r="E15" s="13" t="n">
        <v>643.9</v>
      </c>
      <c r="F15" s="13" t="inlineStr">
        <is>
          <t>Permanente</t>
        </is>
      </c>
      <c r="G15" s="13" t="inlineStr">
        <is>
          <t>Río Huarmaca — colindante</t>
        </is>
      </c>
    </row>
    <row r="16">
      <c r="A16" s="7" t="inlineStr">
        <is>
          <t>H-02</t>
        </is>
      </c>
      <c r="B16" s="11" t="inlineStr">
        <is>
          <t>Fuente de agua — Quebrada estacional</t>
        </is>
      </c>
      <c r="C16" s="26" t="n">
        <v>636120</v>
      </c>
      <c r="D16" s="26" t="n">
        <v>9398525</v>
      </c>
      <c r="E16" s="11" t="n">
        <v>632.9</v>
      </c>
      <c r="F16" s="11" t="inlineStr">
        <is>
          <t>Estacional</t>
        </is>
      </c>
      <c r="G16" s="11" t="inlineStr">
        <is>
          <t>Quebrada interna sin nombre</t>
        </is>
      </c>
    </row>
    <row r="17">
      <c r="A17" s="12" t="inlineStr">
        <is>
          <t>H-03</t>
        </is>
      </c>
      <c r="B17" s="13" t="inlineStr">
        <is>
          <t>Fuente de agua — Quebrada estacional</t>
        </is>
      </c>
      <c r="C17" s="27" t="n">
        <v>636045</v>
      </c>
      <c r="D17" s="27" t="n">
        <v>9399100</v>
      </c>
      <c r="E17" s="13" t="n">
        <v>1171.3</v>
      </c>
      <c r="F17" s="13" t="inlineStr">
        <is>
          <t>Estacional</t>
        </is>
      </c>
      <c r="G17" s="13" t="inlineStr">
        <is>
          <t>Quebrada N — desemboca en el CP Serrán</t>
        </is>
      </c>
    </row>
    <row r="18">
      <c r="A18" s="7" t="inlineStr">
        <is>
          <t>H-04</t>
        </is>
      </c>
      <c r="B18" s="11" t="inlineStr">
        <is>
          <t>Fuente de agua — Reservorio / Represa</t>
        </is>
      </c>
      <c r="C18" s="26" t="n">
        <v>636151</v>
      </c>
      <c r="D18" s="26" t="n">
        <v>9398547</v>
      </c>
      <c r="E18" s="11" t="n">
        <v>665.5</v>
      </c>
      <c r="F18" s="11" t="inlineStr">
        <is>
          <t>Permanente</t>
        </is>
      </c>
      <c r="G18" s="11" t="inlineStr">
        <is>
          <t>Reservorio JASS Serrán (cota 285 msnm)</t>
        </is>
      </c>
    </row>
    <row r="19">
      <c r="A19" s="12" t="inlineStr">
        <is>
          <t>H-05</t>
        </is>
      </c>
      <c r="B19" s="13" t="inlineStr">
        <is>
          <t>Fuente de agua — Quebrada Garabo</t>
        </is>
      </c>
      <c r="C19" s="27" t="n">
        <v>636150</v>
      </c>
      <c r="D19" s="27" t="n">
        <v>9396800</v>
      </c>
      <c r="E19" s="13" t="n">
        <v>1173.4</v>
      </c>
      <c r="F19" s="13" t="inlineStr">
        <is>
          <t>Permanente</t>
        </is>
      </c>
      <c r="G19" s="13" t="inlineStr">
        <is>
          <t>Quebrada Garabo al sur; riesgo de huaicos</t>
        </is>
      </c>
    </row>
    <row r="20">
      <c r="A20" s="16" t="inlineStr">
        <is>
          <t>TOTAL: 10 puntos</t>
        </is>
      </c>
      <c r="B20" s="17" t="inlineStr"/>
      <c r="C20" s="17" t="inlineStr"/>
      <c r="D20" s="17" t="inlineStr"/>
      <c r="E20" s="17" t="inlineStr"/>
      <c r="F20" s="17" t="inlineStr"/>
      <c r="G20" s="17" t="inlineStr"/>
    </row>
    <row r="22">
      <c r="A22" s="6" t="inlineStr">
        <is>
          <t>Centroide del bloque — UTM ESTE (m)</t>
        </is>
      </c>
      <c r="B22" s="7" t="n">
        <v>635876</v>
      </c>
      <c r="C22" s="6" t="inlineStr">
        <is>
          <t>Centroide del bloque — UTM NORTE (m)</t>
        </is>
      </c>
      <c r="D22" s="7" t="n">
        <v>9397941</v>
      </c>
      <c r="E22" s="8" t="n"/>
      <c r="F22" s="8" t="n"/>
      <c r="G22" s="8" t="n"/>
      <c r="H22" s="8" t="n"/>
    </row>
    <row r="23">
      <c r="A23" s="6" t="inlineStr">
        <is>
          <t>N.° de estaciones fotográficas declaradas</t>
        </is>
      </c>
      <c r="B23" s="7" t="n">
        <v>0</v>
      </c>
      <c r="C23" s="6" t="inlineStr">
        <is>
          <t>Estaciones dentro del polígono</t>
        </is>
      </c>
      <c r="D23" s="7" t="n">
        <v>0</v>
      </c>
      <c r="E23" s="8" t="n"/>
      <c r="F23" s="8" t="n"/>
      <c r="G23" s="8" t="n"/>
      <c r="H23" s="8" t="n"/>
    </row>
    <row r="25" ht="132" customHeight="1">
      <c r="A25"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Fisiografía característica de borde de cuenca seca interandina: colinas bajas de pendiente moderada a fuerte (15-35%), expuestas al sector E-NE hacia el valle del río Huarmaca. LITOLOGÍA: pizarras y lutitas grises a rojizas FUERTEMENTE METEORIZADAS (Grupo Salas / Complejo del Marañón) con fragmentos angulosos sueltos. No se observaron deslizamientos activos durante la visita; sin embargo, LA SUSCEPTIBILIDAD A MOVIMIENTOS SOMEROS Y FLUJOS DE DETRITOS DURANTE EVENTOS EXTREMOS ASOCIADOS AL FEN COSTERO ES ALTA, evidenciada por terracillas de pisoteo, escarpes incipientes y por el depósito grueso del cauce activo del río Huarmaca colindante.</t>
        </is>
      </c>
      <c r="B25" s="42" t="n"/>
      <c r="C25" s="42" t="n"/>
      <c r="D25" s="42" t="n"/>
      <c r="E25" s="42" t="n"/>
      <c r="F25" s="42" t="n"/>
      <c r="G25" s="43" t="n"/>
    </row>
  </sheetData>
  <mergeCells count="8">
    <mergeCell ref="A1:G1"/>
    <mergeCell ref="A8:G8"/>
    <mergeCell ref="A3:G3"/>
    <mergeCell ref="A6:G6"/>
    <mergeCell ref="A4:G4"/>
    <mergeCell ref="A2:G2"/>
    <mergeCell ref="A25:G25"/>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C1076-Q9584 — BLOQUE M2B1</t>
        </is>
      </c>
    </row>
    <row r="6" ht="24" customHeight="1">
      <c r="A6" s="4" t="inlineStr">
        <is>
          <t>Distrito de Salitral · Provincia de Morropon · Comparación de los bloques preliminares de intervención de la misma microcuenca</t>
        </is>
      </c>
    </row>
    <row r="8" ht="18" customHeight="1">
      <c r="A8" s="5" t="inlineStr">
        <is>
          <t>BLOQUES DE LA MICROCUENCA C1076-Q9584</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t>
        </is>
      </c>
      <c r="B10" s="28" t="n">
        <v>1370.96</v>
      </c>
      <c r="C10" s="19" t="n">
        <v>77.31999999999999</v>
      </c>
      <c r="D10" s="11" t="inlineStr">
        <is>
          <t>291 – 1204</t>
        </is>
      </c>
      <c r="E10" s="11" t="n">
        <v>913</v>
      </c>
      <c r="F10" s="11" t="n">
        <v>21.39</v>
      </c>
      <c r="G10" s="18" t="n">
        <v>0.4545</v>
      </c>
      <c r="H10" s="19" t="inlineStr">
        <is>
          <t>Por determinar</t>
        </is>
      </c>
      <c r="I10" s="11" t="inlineStr">
        <is>
          <t>s/d</t>
        </is>
      </c>
    </row>
    <row r="11">
      <c r="A11" s="12" t="inlineStr">
        <is>
          <t>7</t>
        </is>
      </c>
      <c r="B11" s="29" t="n">
        <v>173.43</v>
      </c>
      <c r="C11" s="21" t="n">
        <v>9.779999999999999</v>
      </c>
      <c r="D11" s="13" t="inlineStr">
        <is>
          <t>257 – 577</t>
        </is>
      </c>
      <c r="E11" s="13" t="n">
        <v>320</v>
      </c>
      <c r="F11" s="13" t="n">
        <v>18.59</v>
      </c>
      <c r="G11" s="20" t="n">
        <v>0.3753</v>
      </c>
      <c r="H11" s="21" t="inlineStr">
        <is>
          <t>Por determinar</t>
        </is>
      </c>
      <c r="I11" s="13" t="inlineStr">
        <is>
          <t>s/d</t>
        </is>
      </c>
    </row>
    <row r="12">
      <c r="A12" s="7" t="inlineStr">
        <is>
          <t>M2B8</t>
        </is>
      </c>
      <c r="B12" s="28" t="n">
        <v>116.1</v>
      </c>
      <c r="C12" s="19" t="n">
        <v>6.55</v>
      </c>
      <c r="D12" s="11" t="inlineStr">
        <is>
          <t>244 – 673</t>
        </is>
      </c>
      <c r="E12" s="11" t="n">
        <v>429</v>
      </c>
      <c r="F12" s="11" t="n">
        <v>19.24</v>
      </c>
      <c r="G12" s="18" t="n">
        <v>0.3752</v>
      </c>
      <c r="H12" s="19" t="n">
        <v>16.64</v>
      </c>
      <c r="I12" s="19" t="n">
        <v>92.31</v>
      </c>
    </row>
    <row r="13">
      <c r="A13" s="14" t="inlineStr">
        <is>
          <t>► M2B1</t>
        </is>
      </c>
      <c r="B13" s="30" t="n">
        <v>81.79000000000001</v>
      </c>
      <c r="C13" s="31" t="n">
        <v>4.61</v>
      </c>
      <c r="D13" s="15" t="inlineStr">
        <is>
          <t>235 – 446</t>
        </is>
      </c>
      <c r="E13" s="15" t="n">
        <v>211</v>
      </c>
      <c r="F13" s="15" t="n">
        <v>17.48</v>
      </c>
      <c r="G13" s="32" t="n">
        <v>0.2984</v>
      </c>
      <c r="H13" s="31" t="n">
        <v>0.04</v>
      </c>
      <c r="I13" s="31" t="n">
        <v>100</v>
      </c>
    </row>
    <row r="14">
      <c r="A14" s="7" t="inlineStr">
        <is>
          <t>M2B5</t>
        </is>
      </c>
      <c r="B14" s="28" t="n">
        <v>30.91</v>
      </c>
      <c r="C14" s="19" t="n">
        <v>1.74</v>
      </c>
      <c r="D14" s="11" t="inlineStr">
        <is>
          <t>68 – 322</t>
        </is>
      </c>
      <c r="E14" s="11" t="n">
        <v>254</v>
      </c>
      <c r="F14" s="11" t="n">
        <v>8.32</v>
      </c>
      <c r="G14" s="18" t="n">
        <v>0.3047</v>
      </c>
      <c r="H14" s="19" t="n">
        <v>5.14</v>
      </c>
      <c r="I14" s="19" t="n">
        <v>99.03</v>
      </c>
    </row>
    <row r="15">
      <c r="A15" s="16" t="inlineStr">
        <is>
          <t>TOTAL / PROMEDIO</t>
        </is>
      </c>
      <c r="B15" s="33">
        <f>SUM(B10:B14)</f>
        <v/>
      </c>
      <c r="C15" s="23">
        <f>SUM(C10:C14)</f>
        <v/>
      </c>
      <c r="D15" s="17" t="inlineStr">
        <is>
          <t>68 – 1204</t>
        </is>
      </c>
      <c r="E15" s="17" t="inlineStr"/>
      <c r="F15" s="17">
        <f>ROUND(AVERAGE(F10:F14),2)</f>
        <v/>
      </c>
      <c r="G15" s="22">
        <f>ROUND(AVERAGE(G10:G14),4)</f>
        <v/>
      </c>
      <c r="H15" s="23">
        <f>ROUND(AVERAGE(H10:H14),2)</f>
        <v/>
      </c>
      <c r="I15" s="23">
        <f>ROUND(AVERAGE(I10:I14),2)</f>
        <v/>
      </c>
    </row>
    <row r="16" ht="48" customHeight="1">
      <c r="A16" s="9" t="inlineStr">
        <is>
          <t>ALCANCE DE LOS PROMEDIOS. La fila TOTAL / PROMEDIO omite las celdas «Por determinar»: el promedio de VEGETACIÓN ALTA (NDVI 2025) se calcula sobre 3 de los 5 bloques; los 2 bloques restantes carecen de estadística zonal de NDVI. Los totales de ÁREA y % de microcuenca sí comprenden la totalidad de los 5 bloques. No se estima ningún valor ausente.</t>
        </is>
      </c>
      <c r="B16" s="42" t="n"/>
      <c r="C16" s="42" t="n"/>
      <c r="D16" s="42" t="n"/>
      <c r="E16" s="42" t="n"/>
      <c r="F16" s="42" t="n"/>
      <c r="G16" s="42" t="n"/>
      <c r="H16" s="42" t="n"/>
      <c r="I16" s="43" t="n"/>
    </row>
    <row r="18" ht="84" customHeight="1">
      <c r="A18" s="9" t="inlineStr">
        <is>
          <t>LECTURA INTRAMICROCUENCA. El bloque M2B1 ocupa el puesto 4 de 5 por superficie dentro de la microcuenca C1076-Q9584 (4.61 % de las 1773.19 ha preliminares de la microcuenca). Su pendiente promedio (17.48 %, clase «15-25% (Fuert. inclinado)») es la 2.ª más baja de 5 y se sitúa por encima del promedio de la microcuenca (17.00 %). Su MSAVI 2024 (0.2984) es el 5.º de 5 y queda por debajo del promedio local (0.3616). Amplitud altitudinal del bloque: 211 m (235–446 msnm). El cuadro conserva todos los bloques catalogados en la microcuenca, incluidos los descartados en el tamizaje, para referencia del conjunto. Los bloques sin ficha DT figuran con sus parámetros de gabinete. BRECHA ESPECTRAL. El 100.00 % de la superficie del bloque (81.795 ha de 81.795 ha) se sitúa bajo el umbral MSAVI 0.4976, por encima del promedio local de la microcuenca (97.12 %) calculado sobre los bloques con dato MSAVI disponible.</t>
        </is>
      </c>
      <c r="B18" s="42" t="n"/>
      <c r="C18" s="42" t="n"/>
      <c r="D18" s="42" t="n"/>
      <c r="E18" s="42" t="n"/>
      <c r="F18" s="42" t="n"/>
      <c r="G18" s="42" t="n"/>
      <c r="H18" s="42" t="n"/>
      <c r="I18" s="43" t="n"/>
    </row>
    <row r="20" ht="60" customHeight="1">
      <c r="A20"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0" s="42" t="n"/>
      <c r="C20" s="42" t="n"/>
      <c r="D20" s="42" t="n"/>
      <c r="E20" s="42" t="n"/>
      <c r="F20" s="42" t="n"/>
      <c r="G20" s="42" t="n"/>
      <c r="H20" s="42" t="n"/>
      <c r="I20" s="43" t="n"/>
    </row>
  </sheetData>
  <mergeCells count="10">
    <mergeCell ref="A2:I2"/>
    <mergeCell ref="A5:I5"/>
    <mergeCell ref="A1:I1"/>
    <mergeCell ref="A18:I18"/>
    <mergeCell ref="A8:I8"/>
    <mergeCell ref="A3:I3"/>
    <mergeCell ref="A6:I6"/>
    <mergeCell ref="A4:I4"/>
    <mergeCell ref="A20:I20"/>
    <mergeCell ref="A16:I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7"/>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CONTROL DE CONSISTENCIA — BLOQUE M2B1</t>
        </is>
      </c>
    </row>
    <row r="6">
      <c r="A6" s="53" t="inlineStr">
        <is>
          <t>Cruce de la ficha de campo F-DT vigente con la ficha de resumen de gabinete y el catálogo maestro. Integración 2026-09-11 20:22:37.</t>
        </is>
      </c>
    </row>
    <row r="7">
      <c r="A7" s="55" t="inlineStr">
        <is>
          <t>DISCREPANCIAS Y VERIFICACIONES</t>
        </is>
      </c>
    </row>
    <row r="8">
      <c r="A8" s="56" t="inlineStr">
        <is>
          <t>Cod.</t>
        </is>
      </c>
      <c r="B8" s="56" t="inlineStr">
        <is>
          <t>Campo afectado</t>
        </is>
      </c>
      <c r="C8" s="56" t="inlineStr">
        <is>
          <t>Discrepancia observada</t>
        </is>
      </c>
      <c r="D8" s="56" t="inlineStr">
        <is>
          <t>Calificación</t>
        </is>
      </c>
      <c r="E8" s="56" t="inlineStr">
        <is>
          <t>Tratamiento adoptado</t>
        </is>
      </c>
    </row>
    <row r="9">
      <c r="A9" s="57" t="inlineStr">
        <is>
          <t>G-01</t>
        </is>
      </c>
      <c r="B9" s="57" t="inlineStr">
        <is>
          <t>Código de microcuenca</t>
        </is>
      </c>
      <c r="C9" s="57" t="inlineStr">
        <is>
          <t>Ficha DT y catálogo maestro coinciden en «C1076-Q9584».</t>
        </is>
      </c>
      <c r="D9" s="57" t="inlineStr">
        <is>
          <t>CONFORME</t>
        </is>
      </c>
      <c r="E9" s="57" t="inlineStr">
        <is>
          <t>Sin acción.</t>
        </is>
      </c>
    </row>
    <row r="10">
      <c r="A10" s="58" t="inlineStr">
        <is>
          <t>G-02</t>
        </is>
      </c>
      <c r="B10" s="58" t="inlineStr">
        <is>
          <t>UTM del punto de muestreo</t>
        </is>
      </c>
      <c r="C10" s="58" t="inlineStr">
        <is>
          <t>El punto de muestreo declarado dista 630.5 m del centroide, dentro del radio de control.</t>
        </is>
      </c>
      <c r="D10" s="58" t="inlineStr">
        <is>
          <t>CONFORME</t>
        </is>
      </c>
      <c r="E10" s="58" t="inlineStr">
        <is>
          <t>Sin acción.</t>
        </is>
      </c>
    </row>
    <row r="11">
      <c r="A11" s="57" t="inlineStr">
        <is>
          <t>G-03</t>
        </is>
      </c>
      <c r="B11" s="57" t="inlineStr">
        <is>
          <t>Sistema de referencia UTM 17S</t>
        </is>
      </c>
      <c r="C11" s="57" t="inlineStr">
        <is>
          <t>Verificación de rango para EPSG:32717: Conforme.</t>
        </is>
      </c>
      <c r="D11" s="57" t="inlineStr">
        <is>
          <t>CONFORME</t>
        </is>
      </c>
      <c r="E11" s="57" t="inlineStr">
        <is>
          <t>Sin acción.</t>
        </is>
      </c>
    </row>
    <row r="12">
      <c r="A12" s="58" t="inlineStr">
        <is>
          <t>G-04</t>
        </is>
      </c>
      <c r="B12" s="58" t="inlineStr">
        <is>
          <t>Altitud del punto de muestreo</t>
        </is>
      </c>
      <c r="C12" s="58" t="inlineStr">
        <is>
          <t>La altitud GPS (285 msnm) cae dentro del rango altitudinal del bloque (235 - 446 msnm).</t>
        </is>
      </c>
      <c r="D12" s="58" t="inlineStr">
        <is>
          <t>CONFORME</t>
        </is>
      </c>
      <c r="E12" s="58" t="inlineStr">
        <is>
          <t>Sin acción.</t>
        </is>
      </c>
    </row>
    <row r="13">
      <c r="A13" s="57" t="inlineStr">
        <is>
          <t>G-05</t>
        </is>
      </c>
      <c r="B13" s="57" t="inlineStr">
        <is>
          <t>Superficie NDVI vs. catálogo</t>
        </is>
      </c>
      <c r="C13" s="57" t="inlineStr">
        <is>
          <t>La superficie clasificada por el NDVI mediana 2025 (81.823 ha) se desvía 0.04 % de la superficie de catálogo (81.79 ha).</t>
        </is>
      </c>
      <c r="D13" s="57" t="inlineStr">
        <is>
          <t>CONFORME</t>
        </is>
      </c>
      <c r="E13" s="57" t="inlineStr">
        <is>
          <t>Sin acción: la segmentación valida la geometría del bloque.</t>
        </is>
      </c>
    </row>
    <row r="14">
      <c r="A14" s="58" t="inlineStr">
        <is>
          <t>G-06</t>
        </is>
      </c>
      <c r="B14" s="58" t="inlineStr">
        <is>
          <t>Superficie MSAVI vs. catálogo</t>
        </is>
      </c>
      <c r="C14" s="58" t="inlineStr">
        <is>
          <t>La superficie clasificada por el MSAVI 2024 (81.795 ha) se desvía 0.01 % de la superficie de catálogo (81.79 ha).</t>
        </is>
      </c>
      <c r="D14" s="58" t="inlineStr">
        <is>
          <t>CONFORME</t>
        </is>
      </c>
      <c r="E14" s="58" t="inlineStr">
        <is>
          <t>Sin acción: la segmentación valida la geometría del bloque.</t>
        </is>
      </c>
    </row>
    <row r="15">
      <c r="A15" s="57" t="inlineStr">
        <is>
          <t>G-07</t>
        </is>
      </c>
      <c r="B15" s="57" t="inlineStr">
        <is>
          <t>Brecha espectral MSAVI</t>
        </is>
      </c>
      <c r="C15" s="57" t="inlineStr">
        <is>
          <t>El 100.00 % del bloque queda bajo el umbral 0.4976; superficie de brecha 81.79 ha.</t>
        </is>
      </c>
      <c r="D15" s="57" t="inlineStr">
        <is>
          <t>CONFORME</t>
        </is>
      </c>
      <c r="E15" s="57" t="inlineStr">
        <is>
          <t>Sin acción: alimenta el indicador de brecha del proyecto.</t>
        </is>
      </c>
    </row>
    <row r="16">
      <c r="A16" s="58" t="inlineStr">
        <is>
          <t>G-08</t>
        </is>
      </c>
      <c r="B16" s="58" t="inlineStr">
        <is>
          <t>Distribución areal MSAVI 2024</t>
        </is>
      </c>
      <c r="C16" s="58" t="inlineStr">
        <is>
          <t>La hoja de cobertura declara 5 clases DN con superficie, 81.79 ha clasificadas en total.</t>
        </is>
      </c>
      <c r="D16" s="58" t="inlineStr">
        <is>
          <t>CONFORME</t>
        </is>
      </c>
      <c r="E16" s="58" t="inlineStr">
        <is>
          <t>Sin acción: procede de la estadística zonal del raster MSAVI 2024 clasificado.</t>
        </is>
      </c>
    </row>
    <row r="17">
      <c r="A17" s="57" t="inlineStr">
        <is>
          <t>G-09</t>
        </is>
      </c>
      <c r="B17" s="57" t="inlineStr">
        <is>
          <t>Media MSAVI vs. clase DN dominante</t>
        </is>
      </c>
      <c r="C17" s="57" t="inlineStr">
        <is>
          <t>La media del bloque (0.2984) cae en la clase «0.2650 - 0.3813 (Vigor muy bajo)» y la clase DN dominante por superficie es «DN 2 · 0.2650 - 0.3813 (Vigor muy bajo)».</t>
        </is>
      </c>
      <c r="D17" s="57" t="inlineStr">
        <is>
          <t>CONFORME</t>
        </is>
      </c>
      <c r="E17" s="57" t="inlineStr">
        <is>
          <t>Sin acción: media y clase dominante son coherentes.</t>
        </is>
      </c>
    </row>
    <row r="18">
      <c r="A18" s="58" t="inlineStr">
        <is>
          <t>G-10</t>
        </is>
      </c>
      <c r="B18" s="58" t="inlineStr">
        <is>
          <t>Peligro integrado (MCA-AHP)</t>
        </is>
      </c>
      <c r="C18" s="58" t="inlineStr">
        <is>
          <t>El nivel de peligro integrado no está disponible en los insumos de este entregable.</t>
        </is>
      </c>
      <c r="D18" s="58" t="inlineStr">
        <is>
          <t>SUSTANTIVA</t>
        </is>
      </c>
      <c r="E18" s="58" t="inlineStr">
        <is>
          <t>Debe tomarse del modelamiento de mesolocalización (MCA-AHP de PMM, EPH y PGI) antes de cerrar el perfil.</t>
        </is>
      </c>
    </row>
    <row r="19">
      <c r="A19" s="57" t="inlineStr">
        <is>
          <t>I-01</t>
        </is>
      </c>
      <c r="B19" s="57" t="inlineStr">
        <is>
          <t>Rango de pendiente declarado en campo</t>
        </is>
      </c>
      <c r="C19" s="57" t="inlineStr">
        <is>
          <t>El libro de resumen V6 consignaba «15-35% (según narrativa de la ficha)»; la ficha de campo vigente declara «15 - 35 % (moderada a fuerte)».</t>
        </is>
      </c>
      <c r="D19" s="57" t="inlineStr">
        <is>
          <t>CORREGIDO</t>
        </is>
      </c>
      <c r="E19" s="57" t="inlineStr">
        <is>
          <t>Se adopta el valor de campo por ser la fuente que manda sobre el dato y la más reciente. El valor anterior queda declarado para trazabilidad.</t>
        </is>
      </c>
    </row>
    <row r="20">
      <c r="A20" s="58" t="inlineStr">
        <is>
          <t>I-02</t>
        </is>
      </c>
      <c r="B20" s="58" t="inlineStr">
        <is>
          <t>Forma predominante del terreno</t>
        </is>
      </c>
      <c r="C20" s="58" t="inlineStr">
        <is>
          <t>El libro de resumen V6 consignaba «Colinoso»; la ficha de campo vigente declara «Ladera de colina con pendiente cóncavo-convexa».</t>
        </is>
      </c>
      <c r="D20" s="58" t="inlineStr">
        <is>
          <t>CORREGIDO</t>
        </is>
      </c>
      <c r="E20" s="58" t="inlineStr">
        <is>
          <t>Se adopta el valor de campo por ser la fuente que manda sobre el dato y la más reciente. El valor anterior queda declarado para trazabilidad.</t>
        </is>
      </c>
    </row>
    <row r="21">
      <c r="A21" s="57" t="inlineStr">
        <is>
          <t>I-03</t>
        </is>
      </c>
      <c r="B21" s="57" t="inlineStr">
        <is>
          <t>Exposición / orientación</t>
        </is>
      </c>
      <c r="C21" s="57" t="inlineStr">
        <is>
          <t>El libro de resumen V6 consignaba «Este-Noreste (hacia el valle del río Huarmaca)»; la ficha de campo vigente declara «E - NE».</t>
        </is>
      </c>
      <c r="D21" s="57" t="inlineStr">
        <is>
          <t>CORREGIDO</t>
        </is>
      </c>
      <c r="E21" s="57" t="inlineStr">
        <is>
          <t>Se adopta el valor de campo por ser la fuente que manda sobre el dato y la más reciente. El valor anterior queda declarado para trazabilidad.</t>
        </is>
      </c>
    </row>
    <row r="22">
      <c r="A22" s="58" t="inlineStr">
        <is>
          <t>I-04</t>
        </is>
      </c>
      <c r="B22" s="58" t="inlineStr">
        <is>
          <t>Nivel general de erosión</t>
        </is>
      </c>
      <c r="C22" s="58" t="inlineStr">
        <is>
          <t>El libro de resumen V6 consignaba «Moderada (surcos)»; la ficha de campo vigente declara «Moderado a fuerte (con focos puntuales de erosión severa)».</t>
        </is>
      </c>
      <c r="D22" s="58" t="inlineStr">
        <is>
          <t>CORREGIDO</t>
        </is>
      </c>
      <c r="E22" s="58" t="inlineStr">
        <is>
          <t>Se adopta el valor de campo por ser la fuente que manda sobre el dato y la más reciente. El valor anterior queda declarado para trazabilidad.</t>
        </is>
      </c>
    </row>
    <row r="23">
      <c r="A23" s="57" t="inlineStr">
        <is>
          <t>I-05</t>
        </is>
      </c>
      <c r="B23" s="57" t="inlineStr">
        <is>
          <t>Estado de conservación</t>
        </is>
      </c>
      <c r="C23" s="57" t="inlineStr">
        <is>
          <t>El libro de resumen V6 consignaba «Alterado (intervención marcada)»; la ficha de campo vigente declara «Degradado, en regeneración temprana en mosaico».</t>
        </is>
      </c>
      <c r="D23" s="57" t="inlineStr">
        <is>
          <t>CORREGIDO</t>
        </is>
      </c>
      <c r="E23" s="57" t="inlineStr">
        <is>
          <t>Se adopta el valor de campo por ser la fuente que manda sobre el dato y la más reciente. El valor anterior queda declarado para trazabilidad.</t>
        </is>
      </c>
    </row>
    <row r="24">
      <c r="A24" s="58" t="inlineStr">
        <is>
          <t>I-06</t>
        </is>
      </c>
      <c r="B24" s="58" t="inlineStr">
        <is>
          <t>Tipo de cobertura dominante</t>
        </is>
      </c>
      <c r="C24" s="58" t="inlineStr">
        <is>
          <t>El libro de resumen V6 consignaba «Matorral ralo»; la ficha de campo vigente declara «Matorral seco subarbustivo-arbustivo con relictos arbóreos dispersos».</t>
        </is>
      </c>
      <c r="D24" s="58" t="inlineStr">
        <is>
          <t>CORREGIDO</t>
        </is>
      </c>
      <c r="E24" s="58" t="inlineStr">
        <is>
          <t>Se adopta el valor de campo por ser la fuente que manda sobre el dato y la más reciente. El valor anterior queda declarado para trazabilidad.</t>
        </is>
      </c>
    </row>
    <row r="25">
      <c r="A25" s="57" t="inlineStr">
        <is>
          <t>I-07</t>
        </is>
      </c>
      <c r="B25" s="57" t="inlineStr">
        <is>
          <t>Regeneración natural</t>
        </is>
      </c>
      <c r="C25" s="57" t="inlineStr">
        <is>
          <t>El libro de resumen V6 consignaba «Escasa (&lt;10 pl./100m²)»; la ficha de campo vigente declara «Escasa, restringida a relictos y rebrotes basales de Hualtaco y Charán».</t>
        </is>
      </c>
      <c r="D25" s="57" t="inlineStr">
        <is>
          <t>CORREGIDO</t>
        </is>
      </c>
      <c r="E25" s="57" t="inlineStr">
        <is>
          <t>Se adopta el valor de campo por ser la fuente que manda sobre el dato y la más reciente. El valor anterior queda declarado para trazabilidad.</t>
        </is>
      </c>
    </row>
    <row r="26">
      <c r="A26" s="58" t="inlineStr">
        <is>
          <t>I-08</t>
        </is>
      </c>
      <c r="B26" s="58" t="inlineStr">
        <is>
          <t>Estado sanitario</t>
        </is>
      </c>
      <c r="C26" s="58" t="inlineStr">
        <is>
          <t>El libro de resumen V6 consignaba «Sin registro en ficha»; la ficha de campo vigente declara «Regular (signos de estrés hídrico, ramoneo y tala selectiva en arbóreas)».</t>
        </is>
      </c>
      <c r="D26" s="58" t="inlineStr">
        <is>
          <t>CORREGIDO</t>
        </is>
      </c>
      <c r="E26" s="58" t="inlineStr">
        <is>
          <t>Se adopta el valor de campo por ser la fuente que manda sobre el dato y la más reciente. El valor anterior queda declarado para trazabilidad.</t>
        </is>
      </c>
    </row>
    <row r="27">
      <c r="A27" s="57" t="inlineStr">
        <is>
          <t>I-09</t>
        </is>
      </c>
      <c r="B27" s="57" t="inlineStr">
        <is>
          <t>Parcela de muestreo</t>
        </is>
      </c>
      <c r="C27" s="57" t="inlineStr">
        <is>
          <t>El libro de resumen V6 consignaba «Sin registro en ficha»; la ficha de campo vigente declara «P-01 (parcela representativa franja media)».</t>
        </is>
      </c>
      <c r="D27" s="57" t="inlineStr">
        <is>
          <t>CORREGIDO</t>
        </is>
      </c>
      <c r="E27" s="57" t="inlineStr">
        <is>
          <t>Se adopta el valor de campo por ser la fuente que manda sobre el dato y la más reciente. El valor anterior queda declarado para trazabilidad.</t>
        </is>
      </c>
    </row>
    <row r="28">
      <c r="A28" s="58" t="inlineStr">
        <is>
          <t>I-10</t>
        </is>
      </c>
      <c r="B28" s="58" t="inlineStr">
        <is>
          <t>Velocidad de degradación</t>
        </is>
      </c>
      <c r="C28" s="58" t="inlineStr">
        <is>
          <t>El libro de resumen V6 consignaba «Moderada (implícita)»; la ficha de campo vigente declara «Lenta a moderada (proceso crónico, agravado por eventos ENSO)».</t>
        </is>
      </c>
      <c r="D28" s="58" t="inlineStr">
        <is>
          <t>CORREGIDO</t>
        </is>
      </c>
      <c r="E28" s="58" t="inlineStr">
        <is>
          <t>Se adopta el valor de campo por ser la fuente que manda sobre el dato y la más reciente. El valor anterior queda declarado para trazabilidad.</t>
        </is>
      </c>
    </row>
    <row r="29">
      <c r="A29" s="57" t="inlineStr">
        <is>
          <t>I-11</t>
        </is>
      </c>
      <c r="B29" s="57" t="inlineStr">
        <is>
          <t>Reversibilidad técnica</t>
        </is>
      </c>
      <c r="C29" s="57" t="inlineStr">
        <is>
          <t>El libro de resumen V6 consignaba «Parcialmente reversible»; la ficha de campo vigente declara «Alta (con intervención adecuada, en plazo 5-10 años, sin pérdida irreversible de elementos clave en los relictos altos)».</t>
        </is>
      </c>
      <c r="D29" s="57" t="inlineStr">
        <is>
          <t>CORREGIDO</t>
        </is>
      </c>
      <c r="E29" s="57" t="inlineStr">
        <is>
          <t>Se adopta el valor de campo por ser la fuente que manda sobre el dato y la más reciente. El valor anterior queda declarado para trazabilidad.</t>
        </is>
      </c>
    </row>
    <row r="30">
      <c r="A30" s="58" t="inlineStr">
        <is>
          <t>I-12</t>
        </is>
      </c>
      <c r="B30" s="58" t="inlineStr">
        <is>
          <t>Zona de recarga hídrica</t>
        </is>
      </c>
      <c r="C30" s="58" t="inlineStr">
        <is>
          <t>El libro de resumen V6 consignaba «Sí»; la ficha de campo vigente declara «Parcialmente (zonas altas &gt; 500 msnm con relictos arbóreos actúan como áreas de recarga)».</t>
        </is>
      </c>
      <c r="D30" s="58" t="inlineStr">
        <is>
          <t>CORREGIDO</t>
        </is>
      </c>
      <c r="E30" s="58" t="inlineStr">
        <is>
          <t>Se adopta el valor de campo por ser la fuente que manda sobre el dato y la más reciente. El valor anterior queda declarado para trazabilidad.</t>
        </is>
      </c>
    </row>
    <row r="31">
      <c r="A31" s="57" t="inlineStr">
        <is>
          <t>F-01</t>
        </is>
      </c>
      <c r="B31" s="57" t="inlineStr">
        <is>
          <t>Fichas F-DT levantadas</t>
        </is>
      </c>
      <c r="C31" s="57" t="inlineStr">
        <is>
          <t>La plantilla de campo trae las cinco fichas F-DT-01 a F-DT-05 (completitud 100.0 % de los campos esperados).</t>
        </is>
      </c>
      <c r="D31" s="57" t="inlineStr">
        <is>
          <t>CONFORME</t>
        </is>
      </c>
      <c r="E31" s="57" t="inlineStr">
        <is>
          <t>Sin acción.</t>
        </is>
      </c>
    </row>
    <row r="32">
      <c r="A32" s="58" t="inlineStr">
        <is>
          <t>F-02</t>
        </is>
      </c>
      <c r="B32" s="58" t="inlineStr">
        <is>
          <t>Cobertura de la integración</t>
        </is>
      </c>
      <c r="C32" s="58" t="inlineStr">
        <is>
          <t>Se declararon 107 de 114 hechos integrados (93.9 %); 7 quedan sin dato en ninguna fuente.</t>
        </is>
      </c>
      <c r="D32" s="58" t="inlineStr">
        <is>
          <t>CONFORME</t>
        </is>
      </c>
      <c r="E32" s="58" t="inlineStr">
        <is>
          <t>Sin acción.</t>
        </is>
      </c>
    </row>
    <row r="33">
      <c r="A33" s="57" t="inlineStr">
        <is>
          <t>H-01</t>
        </is>
      </c>
      <c r="B33" s="57" t="inlineStr">
        <is>
          <t>Rango de pendiente dominante</t>
        </is>
      </c>
      <c r="C33" s="57" t="inlineStr">
        <is>
          <t>La ficha DT declara «15-35% (según narrativa de la ficha)»; la estadística zonal sobre el MDE arroja una pendiente promedio de 17.48 %, que corresponde a la clase «15-25% (Fuert. inclinado)»</t>
        </is>
      </c>
      <c r="D33" s="57" t="inlineStr">
        <is>
          <t>NO SUSTANTIVA</t>
        </is>
      </c>
      <c r="E33" s="5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34">
      <c r="A34" s="58" t="inlineStr">
        <is>
          <t>H-02</t>
        </is>
      </c>
      <c r="B34" s="58" t="inlineStr">
        <is>
          <t>Cobertura vegetal total</t>
        </is>
      </c>
      <c r="C34" s="58" t="inlineStr">
        <is>
          <t>La ficha DT estima 55 % de cobertura vegetal en campo; el NDVI mediana 2025 clasifica 99.75 % del polígono en clases de vegetación</t>
        </is>
      </c>
      <c r="D34" s="58" t="inlineStr">
        <is>
          <t>NO SUSTANTIVA</t>
        </is>
      </c>
      <c r="E34" s="58"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35">
      <c r="A35" s="57" t="inlineStr">
        <is>
          <t>H-03</t>
        </is>
      </c>
      <c r="B35" s="57" t="inlineStr">
        <is>
          <t>Elenco florístico</t>
        </is>
      </c>
      <c r="C35" s="57" t="inlineStr">
        <is>
          <t>La ficha registra 11 taxones, por debajo del mínimo de 15 que exige el formato V5</t>
        </is>
      </c>
      <c r="D35" s="57" t="inlineStr">
        <is>
          <t>SUSTANTIVA</t>
        </is>
      </c>
      <c r="E35" s="57" t="inlineStr">
        <is>
          <t>Registro florístico preliminar, sin colecta ni determinación botánica formal. Debe cerrarse con colecta botánica en la siguiente campaña. (Verificación heredada de la ficha de resumen V6.)</t>
        </is>
      </c>
    </row>
    <row r="36">
      <c r="A36" s="58" t="inlineStr">
        <is>
          <t>H-04</t>
        </is>
      </c>
      <c r="B36" s="58" t="inlineStr">
        <is>
          <t>Representatividad del levantamiento</t>
        </is>
      </c>
      <c r="C36" s="58" t="inlineStr">
        <is>
          <t>Ninguna de las estaciones fotográficas georreferenciadas se localiza dentro del polígono del bloque</t>
        </is>
      </c>
      <c r="D36" s="58" t="inlineStr">
        <is>
          <t>SUSTANTIVA</t>
        </is>
      </c>
      <c r="E36" s="58" t="inlineStr">
        <is>
          <t>La verificación documenta el perímetro y la vista panorámica del bloque, no su interior. Los parámetros que exigen recorrido interno se consignan «Por determinar». (Verificación heredada de la ficha de resumen V6.)</t>
        </is>
      </c>
    </row>
    <row r="37">
      <c r="A37" s="57" t="inlineStr">
        <is>
          <t>H-05</t>
        </is>
      </c>
      <c r="B37" s="57" t="inlineStr">
        <is>
          <t>Centro poblado asociado</t>
        </is>
      </c>
      <c r="C37" s="57" t="inlineStr">
        <is>
          <t>La ficha DT declara «Santa Rosa de Serrán»; el cruce INEI-Bloques V5 identifica 1 centro(s) poblado(s) en el bloque: SANTA ROSA</t>
        </is>
      </c>
      <c r="D37" s="57" t="inlineStr">
        <is>
          <t>CONFORME</t>
        </is>
      </c>
      <c r="E37" s="57" t="inlineStr">
        <is>
          <t>Se conserva el registro de campo como referencia y se adopta el listado INEI para el diagnóstico social y el cálculo de población beneficiaria. (Verificación heredada de la ficha de resumen V6.)</t>
        </is>
      </c>
    </row>
    <row r="38">
      <c r="A38" s="58" t="inlineStr">
        <is>
          <t>H-06</t>
        </is>
      </c>
      <c r="B38" s="58" t="inlineStr">
        <is>
          <t>Plan de Ingreso</t>
        </is>
      </c>
      <c r="C38" s="58" t="inlineStr">
        <is>
          <t>Altitud = 0 msnm (captura por defecto del aplicativo)</t>
        </is>
      </c>
      <c r="D38" s="58" t="inlineStr">
        <is>
          <t>CORREGIDO</t>
        </is>
      </c>
      <c r="E38" s="58" t="inlineStr">
        <is>
          <t>Se reemplaza por la altitud GPS de campo (290 msnm) (Verificación heredada de la ficha de resumen V6.)</t>
        </is>
      </c>
    </row>
    <row r="39">
      <c r="A39" s="57" t="inlineStr">
        <is>
          <t>H-07</t>
        </is>
      </c>
      <c r="B39" s="57" t="inlineStr">
        <is>
          <t>F-DT-01</t>
        </is>
      </c>
      <c r="C39" s="57" t="inlineStr">
        <is>
          <t>Rango de pendiente no consignado en el campo de lista; la narrativa declara 15-35%</t>
        </is>
      </c>
      <c r="D39" s="57" t="inlineStr">
        <is>
          <t>NO SUSTANTIVA</t>
        </is>
      </c>
      <c r="E39" s="57" t="inlineStr">
        <is>
          <t>Completar el campo con la clase correspondiente (Verificación heredada de la ficha de resumen V6.)</t>
        </is>
      </c>
    </row>
    <row r="40">
      <c r="A40" s="58" t="inlineStr">
        <is>
          <t>H-08</t>
        </is>
      </c>
      <c r="B40" s="58" t="inlineStr">
        <is>
          <t>F-DT-02</t>
        </is>
      </c>
      <c r="C40" s="58" t="inlineStr">
        <is>
          <t>C-03 se rotula «Surco (&lt;30 cm)» pero declara 0.9 m de profundidad y 2.1 m de ancho</t>
        </is>
      </c>
      <c r="D40" s="58" t="inlineStr">
        <is>
          <t>SUSTANTIVA</t>
        </is>
      </c>
      <c r="E40" s="58" t="inlineStr">
        <is>
          <t>Tipología incompatible con las dimensiones: reclasificar (Verificación heredada de la ficha de resumen V6.)</t>
        </is>
      </c>
    </row>
    <row r="41">
      <c r="A41" s="57" t="inlineStr">
        <is>
          <t>H-09</t>
        </is>
      </c>
      <c r="B41" s="57" t="inlineStr">
        <is>
          <t>F-DT-03</t>
        </is>
      </c>
      <c r="C41" s="57" t="inlineStr">
        <is>
          <t>Cobertura de hojarasca: la ficha registra una fecha (2026-08-10) en lugar de un porcentaje</t>
        </is>
      </c>
      <c r="D41" s="57" t="inlineStr">
        <is>
          <t>SUSTANTIVA</t>
        </is>
      </c>
      <c r="E41" s="57" t="inlineStr">
        <is>
          <t>Dato corrupto: relevar (Verificación heredada de la ficha de resumen V6.)</t>
        </is>
      </c>
    </row>
    <row r="42">
      <c r="A42" s="58" t="inlineStr">
        <is>
          <t>H-10</t>
        </is>
      </c>
      <c r="B42" s="58" t="inlineStr">
        <is>
          <t>F-DT-04</t>
        </is>
      </c>
      <c r="C42" s="58" t="inlineStr">
        <is>
          <t>Urgencia de intervención declarada «Media» frente a urgencia de control de erosión «Alta» y presión urbana calificada de crítica</t>
        </is>
      </c>
      <c r="D42" s="58" t="inlineStr">
        <is>
          <t>SUSTANTIVA</t>
        </is>
      </c>
      <c r="E42" s="58" t="inlineStr">
        <is>
          <t>Revisar calificación (Verificación heredada de la ficha de resumen V6.)</t>
        </is>
      </c>
    </row>
    <row r="43">
      <c r="A43" s="57" t="inlineStr">
        <is>
          <t>H-11</t>
        </is>
      </c>
      <c r="B43" s="57" t="inlineStr">
        <is>
          <t>F-DT-05</t>
        </is>
      </c>
      <c r="C43" s="57" t="inlineStr">
        <is>
          <t>Vínculo hidrológico directo con la captación de la JASS Santa Rosa de Serrán</t>
        </is>
      </c>
      <c r="D43" s="57" t="inlineStr">
        <is>
          <t>SUSTANTIVA</t>
        </is>
      </c>
      <c r="E43" s="57" t="inlineStr">
        <is>
          <t>Oportunidad para MERESE: incorporar a la línea de gobernanza (Verificación heredada de la ficha de resumen V6.)</t>
        </is>
      </c>
    </row>
    <row r="45">
      <c r="A45" s="59" t="inlineStr">
        <is>
          <t>RESUMEN</t>
        </is>
      </c>
      <c r="B45" s="60" t="inlineStr">
        <is>
          <t>35 verificaciones</t>
        </is>
      </c>
      <c r="C45" s="60" t="inlineStr">
        <is>
          <t>SUSTANTIVA: 7 · NO SUSTANTIVA: 3 · CORREGIDO: 13 · CONFORME: 12</t>
        </is>
      </c>
    </row>
    <row r="47">
      <c r="A47" s="61"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47:E47"/>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7"/>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INTEGRACIÓN DE LA FICHA DE CAMPO — BLOQUE M2B1</t>
        </is>
      </c>
    </row>
    <row r="7">
      <c r="A7" s="55" t="inlineStr">
        <is>
          <t>A. HECHOS ACTUALIZADOS POR LA VERIFICACIÓN DE CAMPO</t>
        </is>
      </c>
    </row>
    <row r="8">
      <c r="A8" s="56" t="inlineStr">
        <is>
          <t>Sección</t>
        </is>
      </c>
      <c r="B8" s="56" t="inlineStr">
        <is>
          <t>Hecho</t>
        </is>
      </c>
      <c r="C8" s="56" t="inlineStr">
        <is>
          <t>Valor en la ficha V6</t>
        </is>
      </c>
      <c r="D8" s="56" t="inlineStr">
        <is>
          <t>Valor de campo vigente</t>
        </is>
      </c>
      <c r="E8" s="56" t="inlineStr">
        <is>
          <t>Fuente que manda</t>
        </is>
      </c>
    </row>
    <row r="9">
      <c r="A9" s="57" t="inlineStr">
        <is>
          <t>2. Parámetros físicos del terreno</t>
        </is>
      </c>
      <c r="B9" s="57" t="inlineStr">
        <is>
          <t>Rango de pendiente declarado en campo</t>
        </is>
      </c>
      <c r="C9" s="57" t="inlineStr">
        <is>
          <t>15-35% (según narrativa de la ficha)</t>
        </is>
      </c>
      <c r="D9" s="57" t="inlineStr">
        <is>
          <t>15 - 35 % (moderada a fuerte)</t>
        </is>
      </c>
      <c r="E9" s="57" t="inlineStr">
        <is>
          <t>Dato de campo</t>
        </is>
      </c>
    </row>
    <row r="10">
      <c r="A10" s="58" t="inlineStr">
        <is>
          <t>2. Parámetros físicos del terreno</t>
        </is>
      </c>
      <c r="B10" s="58" t="inlineStr">
        <is>
          <t>Forma predominante del terreno</t>
        </is>
      </c>
      <c r="C10" s="58" t="inlineStr">
        <is>
          <t>Colinoso</t>
        </is>
      </c>
      <c r="D10" s="58" t="inlineStr">
        <is>
          <t>Ladera de colina con pendiente cóncavo-convexa</t>
        </is>
      </c>
      <c r="E10" s="58" t="inlineStr">
        <is>
          <t>Dato de campo</t>
        </is>
      </c>
    </row>
    <row r="11">
      <c r="A11" s="57" t="inlineStr">
        <is>
          <t>2. Parámetros físicos del terreno</t>
        </is>
      </c>
      <c r="B11" s="57" t="inlineStr">
        <is>
          <t>Exposición / orientación</t>
        </is>
      </c>
      <c r="C11" s="57" t="inlineStr">
        <is>
          <t>Este-Noreste (hacia el valle del río Huarmaca)</t>
        </is>
      </c>
      <c r="D11" s="57" t="inlineStr">
        <is>
          <t>E - NE</t>
        </is>
      </c>
      <c r="E11" s="57" t="inlineStr">
        <is>
          <t>Dato de campo</t>
        </is>
      </c>
    </row>
    <row r="12">
      <c r="A12" s="58" t="inlineStr">
        <is>
          <t>4. Suelos y erosión (F-DT-02)</t>
        </is>
      </c>
      <c r="B12" s="58" t="inlineStr">
        <is>
          <t>Nivel general de erosión</t>
        </is>
      </c>
      <c r="C12" s="58" t="inlineStr">
        <is>
          <t>Moderada (surcos)</t>
        </is>
      </c>
      <c r="D12" s="58" t="inlineStr">
        <is>
          <t>Moderado a fuerte (con focos puntuales de erosión severa)</t>
        </is>
      </c>
      <c r="E12" s="58" t="inlineStr">
        <is>
          <t>Dato de campo</t>
        </is>
      </c>
    </row>
    <row r="13">
      <c r="A13" s="57" t="inlineStr">
        <is>
          <t>5. Ecosistema, cobertura y flora (F-DT-03)</t>
        </is>
      </c>
      <c r="B13" s="57" t="inlineStr">
        <is>
          <t>Estado de conservación</t>
        </is>
      </c>
      <c r="C13" s="57" t="inlineStr">
        <is>
          <t>Alterado (intervención marcada)</t>
        </is>
      </c>
      <c r="D13" s="57" t="inlineStr">
        <is>
          <t>Degradado, en regeneración temprana en mosaico</t>
        </is>
      </c>
      <c r="E13" s="57" t="inlineStr">
        <is>
          <t>Dato de campo</t>
        </is>
      </c>
    </row>
    <row r="14">
      <c r="A14" s="58" t="inlineStr">
        <is>
          <t>5. Ecosistema, cobertura y flora (F-DT-03)</t>
        </is>
      </c>
      <c r="B14" s="58" t="inlineStr">
        <is>
          <t>Tipo de cobertura dominante</t>
        </is>
      </c>
      <c r="C14" s="58" t="inlineStr">
        <is>
          <t>Matorral ralo</t>
        </is>
      </c>
      <c r="D14" s="58" t="inlineStr">
        <is>
          <t>Matorral seco subarbustivo-arbustivo con relictos arbóreos dispersos</t>
        </is>
      </c>
      <c r="E14" s="58" t="inlineStr">
        <is>
          <t>Dato de campo</t>
        </is>
      </c>
    </row>
    <row r="15">
      <c r="A15" s="57" t="inlineStr">
        <is>
          <t>5. Ecosistema, cobertura y flora (F-DT-03)</t>
        </is>
      </c>
      <c r="B15" s="57" t="inlineStr">
        <is>
          <t>Regeneración natural</t>
        </is>
      </c>
      <c r="C15" s="57" t="inlineStr">
        <is>
          <t>Escasa (&lt;10 pl./100m²)</t>
        </is>
      </c>
      <c r="D15" s="57" t="inlineStr">
        <is>
          <t>Escasa, restringida a relictos y rebrotes basales de Hualtaco y Charán</t>
        </is>
      </c>
      <c r="E15" s="57" t="inlineStr">
        <is>
          <t>Dato de campo</t>
        </is>
      </c>
    </row>
    <row r="16">
      <c r="A16" s="58" t="inlineStr">
        <is>
          <t>5. Ecosistema, cobertura y flora (F-DT-03)</t>
        </is>
      </c>
      <c r="B16" s="58" t="inlineStr">
        <is>
          <t>Estado sanitario</t>
        </is>
      </c>
      <c r="C16" s="58" t="inlineStr">
        <is>
          <t>Sin registro en ficha</t>
        </is>
      </c>
      <c r="D16" s="58" t="inlineStr">
        <is>
          <t>Regular (signos de estrés hídrico, ramoneo y tala selectiva en arbóreas)</t>
        </is>
      </c>
      <c r="E16" s="58" t="inlineStr">
        <is>
          <t>Dato de campo</t>
        </is>
      </c>
    </row>
    <row r="17">
      <c r="A17" s="57" t="inlineStr">
        <is>
          <t>5. Ecosistema, cobertura y flora (F-DT-03)</t>
        </is>
      </c>
      <c r="B17" s="57" t="inlineStr">
        <is>
          <t>Parcela de muestreo</t>
        </is>
      </c>
      <c r="C17" s="57" t="inlineStr">
        <is>
          <t>Sin registro en ficha</t>
        </is>
      </c>
      <c r="D17" s="57" t="inlineStr">
        <is>
          <t>P-01 (parcela representativa franja media)</t>
        </is>
      </c>
      <c r="E17" s="57" t="inlineStr">
        <is>
          <t>Dato de campo</t>
        </is>
      </c>
    </row>
    <row r="18">
      <c r="A18" s="58" t="inlineStr">
        <is>
          <t>6. Degradación, causas y urgencia (F-DT-04)</t>
        </is>
      </c>
      <c r="B18" s="58" t="inlineStr">
        <is>
          <t>Velocidad de degradación</t>
        </is>
      </c>
      <c r="C18" s="58" t="inlineStr">
        <is>
          <t>Moderada (implícita)</t>
        </is>
      </c>
      <c r="D18" s="58" t="inlineStr">
        <is>
          <t>Lenta a moderada (proceso crónico, agravado por eventos ENSO)</t>
        </is>
      </c>
      <c r="E18" s="58" t="inlineStr">
        <is>
          <t>Dato de campo</t>
        </is>
      </c>
    </row>
    <row r="19">
      <c r="A19" s="57" t="inlineStr">
        <is>
          <t>6. Degradación, causas y urgencia (F-DT-04)</t>
        </is>
      </c>
      <c r="B19" s="57" t="inlineStr">
        <is>
          <t>Reversibilidad técnica</t>
        </is>
      </c>
      <c r="C19" s="57" t="inlineStr">
        <is>
          <t>Parcialmente reversible</t>
        </is>
      </c>
      <c r="D19" s="57" t="inlineStr">
        <is>
          <t>Alta (con intervención adecuada, en plazo 5-10 años, sin pérdida irreversible de elementos clave en los relictos altos)</t>
        </is>
      </c>
      <c r="E19" s="57" t="inlineStr">
        <is>
          <t>Dato de campo</t>
        </is>
      </c>
    </row>
    <row r="20">
      <c r="A20" s="58" t="inlineStr">
        <is>
          <t>7. Hidrología, acceso y logística (F-DT-05)</t>
        </is>
      </c>
      <c r="B20" s="58" t="inlineStr">
        <is>
          <t>Zona de recarga hídrica</t>
        </is>
      </c>
      <c r="C20" s="58" t="inlineStr">
        <is>
          <t>Sí</t>
        </is>
      </c>
      <c r="D20" s="58" t="inlineStr">
        <is>
          <t>Parcialmente (zonas altas &gt; 500 msnm con relictos arbóreos actúan como áreas de recarga)</t>
        </is>
      </c>
      <c r="E20" s="58" t="inlineStr">
        <is>
          <t>Dato de campo</t>
        </is>
      </c>
    </row>
    <row r="22">
      <c r="A22" s="55" t="inlineStr">
        <is>
          <t>B. HECHOS APORTADOS ÚNICAMENTE POR LA FICHA DE CAMPO</t>
        </is>
      </c>
    </row>
    <row r="23">
      <c r="A23" s="56" t="inlineStr">
        <is>
          <t>Sección</t>
        </is>
      </c>
      <c r="B23" s="56" t="inlineStr">
        <is>
          <t>Hecho</t>
        </is>
      </c>
      <c r="C23" s="56" t="inlineStr">
        <is>
          <t>Valor</t>
        </is>
      </c>
      <c r="D23" s="56" t="inlineStr">
        <is>
          <t>Unidad</t>
        </is>
      </c>
    </row>
    <row r="24">
      <c r="A24" s="57" t="inlineStr">
        <is>
          <t>1. Identificación y localización</t>
        </is>
      </c>
      <c r="B24" s="57" t="inlineStr">
        <is>
          <t>UTM ESTE del punto de muestreo (m)</t>
        </is>
      </c>
      <c r="C24" s="57" t="inlineStr">
        <is>
          <t>636128</t>
        </is>
      </c>
      <c r="D24" s="57" t="inlineStr">
        <is>
          <t>m</t>
        </is>
      </c>
    </row>
    <row r="25">
      <c r="A25" s="58" t="inlineStr">
        <is>
          <t>1. Identificación y localización</t>
        </is>
      </c>
      <c r="B25" s="58" t="inlineStr">
        <is>
          <t>UTM NORTE del punto de muestreo (m)</t>
        </is>
      </c>
      <c r="C25" s="58" t="inlineStr">
        <is>
          <t>9398519</t>
        </is>
      </c>
      <c r="D25" s="58" t="inlineStr">
        <is>
          <t>m</t>
        </is>
      </c>
    </row>
    <row r="26">
      <c r="A26" s="57" t="inlineStr">
        <is>
          <t>2. Parámetros físicos del terreno</t>
        </is>
      </c>
      <c r="B26" s="57" t="inlineStr">
        <is>
          <t>Altitud GPS del punto de muestreo (msnm)</t>
        </is>
      </c>
      <c r="C26" s="57" t="inlineStr">
        <is>
          <t>285</t>
        </is>
      </c>
      <c r="D26" s="57" t="inlineStr">
        <is>
          <t>msnm</t>
        </is>
      </c>
    </row>
    <row r="27">
      <c r="A27" s="58" t="inlineStr">
        <is>
          <t>2. Parámetros físicos del terreno</t>
        </is>
      </c>
      <c r="B27" s="58" t="inlineStr">
        <is>
          <t>Piso altitudinal del punto de muestreo</t>
        </is>
      </c>
      <c r="C27" s="58" t="inlineStr">
        <is>
          <t>230 - 650 msnm (desnivel ~420 m)</t>
        </is>
      </c>
      <c r="D27" s="58" t="inlineStr"/>
    </row>
    <row r="28">
      <c r="A28" s="57" t="inlineStr">
        <is>
          <t>2. Parámetros físicos del terreno</t>
        </is>
      </c>
      <c r="B28" s="57" t="inlineStr">
        <is>
          <t>Paisaje dominante descrito en campo</t>
        </is>
      </c>
      <c r="C28" s="57" t="inlineStr">
        <is>
          <t>Paisaje colinoso de borde de valle aluvial del río Huarmaca; mosaico matorral seco subarbustivo-arbustivo con relictos arbóreos de bosque estacionalmente seco en la divisoria y cabeceras; suelos pardo-rojizos pedregosos sobre lutitas y pizarras meteorizadas; vegetación verde por precipitación reciente del periodo lluvioso 2026.</t>
        </is>
      </c>
      <c r="D28" s="57" t="inlineStr"/>
    </row>
    <row r="29">
      <c r="A29" s="58" t="inlineStr">
        <is>
          <t>2. Parámetros físicos del terreno</t>
        </is>
      </c>
      <c r="B29" s="58" t="inlineStr">
        <is>
          <t>Reptación de suelo</t>
        </is>
      </c>
      <c r="C29" s="58" t="inlineStr">
        <is>
          <t>Sí (terracillas de pisoteo en franja media de ladera)</t>
        </is>
      </c>
      <c r="D29" s="58" t="inlineStr"/>
    </row>
    <row r="30">
      <c r="A30" s="57" t="inlineStr">
        <is>
          <t>2. Parámetros físicos del terreno</t>
        </is>
      </c>
      <c r="B30" s="57" t="inlineStr">
        <is>
          <t>Deslizamientos antiguos</t>
        </is>
      </c>
      <c r="C30" s="57" t="inlineStr">
        <is>
          <t>No observados durante el recorrido</t>
        </is>
      </c>
      <c r="D30" s="57" t="inlineStr"/>
    </row>
    <row r="31">
      <c r="A31" s="58" t="inlineStr">
        <is>
          <t>4. Suelos y erosión (F-DT-02)</t>
        </is>
      </c>
      <c r="B31" s="58" t="inlineStr">
        <is>
          <t>Nivel de erosión - síntesis de campo</t>
        </is>
      </c>
      <c r="C31" s="58" t="inlineStr">
        <is>
          <t>Moderado a fuerte</t>
        </is>
      </c>
      <c r="D31" s="58" t="inlineStr"/>
    </row>
    <row r="32">
      <c r="A32" s="57" t="inlineStr">
        <is>
          <t>4. Suelos y erosión (F-DT-02)</t>
        </is>
      </c>
      <c r="B32" s="57" t="inlineStr">
        <is>
          <t>Compactación por pisoteo</t>
        </is>
      </c>
      <c r="C32" s="57" t="inlineStr">
        <is>
          <t>Sí (sendas de pisoteo continuas, terracillas y suelo compactado en franja media de ladera)</t>
        </is>
      </c>
      <c r="D32" s="57" t="inlineStr"/>
    </row>
    <row r="33">
      <c r="A33" s="58" t="inlineStr">
        <is>
          <t>4. Suelos y erosión (F-DT-02)</t>
        </is>
      </c>
      <c r="B33" s="58" t="inlineStr">
        <is>
          <t>Raíces expuestas</t>
        </is>
      </c>
      <c r="C33" s="58" t="inlineStr">
        <is>
          <t>Sí (raíces de arbustos y cactáceas columnares expuestas por pérdida de horizonte A en sectores localizados)</t>
        </is>
      </c>
      <c r="D33" s="58" t="inlineStr"/>
    </row>
    <row r="34">
      <c r="A34" s="57" t="inlineStr">
        <is>
          <t>4. Suelos y erosión (F-DT-02)</t>
        </is>
      </c>
      <c r="B34" s="57" t="inlineStr">
        <is>
          <t>Longitud total de cárcavas (m)</t>
        </is>
      </c>
      <c r="C34" s="57" t="inlineStr">
        <is>
          <t>235</t>
        </is>
      </c>
      <c r="D34" s="57" t="inlineStr">
        <is>
          <t>m</t>
        </is>
      </c>
    </row>
    <row r="35">
      <c r="A35" s="58" t="inlineStr">
        <is>
          <t>4. Suelos y erosión (F-DT-02)</t>
        </is>
      </c>
      <c r="B35" s="58" t="inlineStr">
        <is>
          <t>% del bloque afectado por cárcavas</t>
        </is>
      </c>
      <c r="C35" s="58" t="inlineStr">
        <is>
          <t>8</t>
        </is>
      </c>
      <c r="D35" s="58" t="inlineStr">
        <is>
          <t>%</t>
        </is>
      </c>
    </row>
    <row r="36">
      <c r="A36" s="57" t="inlineStr">
        <is>
          <t>4. Suelos y erosión (F-DT-02)</t>
        </is>
      </c>
      <c r="B36" s="57" t="inlineStr">
        <is>
          <t>Erosión laminar (% del bloque)</t>
        </is>
      </c>
      <c r="C36" s="57" t="inlineStr">
        <is>
          <t>35</t>
        </is>
      </c>
      <c r="D36" s="57" t="inlineStr">
        <is>
          <t>%</t>
        </is>
      </c>
    </row>
    <row r="37">
      <c r="A37" s="58" t="inlineStr">
        <is>
          <t>4. Suelos y erosión (F-DT-02)</t>
        </is>
      </c>
      <c r="B37" s="58" t="inlineStr">
        <is>
          <t>Patrón de cárcavas</t>
        </is>
      </c>
      <c r="C37" s="58" t="inlineStr">
        <is>
          <t>Patrón paralelo en líneas de máxima pendiente con concentración en quiebres de ladera y taludes de trocha</t>
        </is>
      </c>
      <c r="D37" s="58" t="inlineStr"/>
    </row>
    <row r="38">
      <c r="A38" s="57" t="inlineStr">
        <is>
          <t>4. Suelos y erosión (F-DT-02)</t>
        </is>
      </c>
      <c r="B38" s="57" t="inlineStr">
        <is>
          <t>Socavamiento de cauce</t>
        </is>
      </c>
      <c r="C38" s="57" t="inlineStr">
        <is>
          <t>Sí (socavamiento marcado en quebrada Garabo y en quebradas internas adyacentes al CP Serrán)</t>
        </is>
      </c>
      <c r="D38" s="57" t="inlineStr"/>
    </row>
    <row r="39">
      <c r="A39" s="58" t="inlineStr">
        <is>
          <t>5. Ecosistema, cobertura y flora (F-DT-03)</t>
        </is>
      </c>
      <c r="B39" s="58" t="inlineStr">
        <is>
          <t>Cobertura del dosel (%)</t>
        </is>
      </c>
      <c r="C39" s="58" t="inlineStr">
        <is>
          <t>20</t>
        </is>
      </c>
      <c r="D39" s="58" t="inlineStr">
        <is>
          <t>%</t>
        </is>
      </c>
    </row>
    <row r="40">
      <c r="A40" s="57" t="inlineStr">
        <is>
          <t>5. Ecosistema, cobertura y flora (F-DT-03)</t>
        </is>
      </c>
      <c r="B40" s="57" t="inlineStr">
        <is>
          <t>Cobertura arbustiva (%)</t>
        </is>
      </c>
      <c r="C40" s="57" t="inlineStr">
        <is>
          <t>35</t>
        </is>
      </c>
      <c r="D40" s="57" t="inlineStr">
        <is>
          <t>%</t>
        </is>
      </c>
    </row>
    <row r="41">
      <c r="A41" s="58" t="inlineStr">
        <is>
          <t>5. Ecosistema, cobertura y flora (F-DT-03)</t>
        </is>
      </c>
      <c r="B41" s="58" t="inlineStr">
        <is>
          <t>Cobertura herbácea (%)</t>
        </is>
      </c>
      <c r="C41" s="58" t="inlineStr">
        <is>
          <t>15</t>
        </is>
      </c>
      <c r="D41" s="58" t="inlineStr">
        <is>
          <t>%</t>
        </is>
      </c>
    </row>
    <row r="42">
      <c r="A42" s="57" t="inlineStr">
        <is>
          <t>5. Ecosistema, cobertura y flora (F-DT-03)</t>
        </is>
      </c>
      <c r="B42" s="57" t="inlineStr">
        <is>
          <t>Cobertura de hojarasca (%)</t>
        </is>
      </c>
      <c r="C42" s="57" t="inlineStr">
        <is>
          <t>2026-08-10 00:00:00</t>
        </is>
      </c>
      <c r="D42" s="57" t="inlineStr">
        <is>
          <t>%</t>
        </is>
      </c>
    </row>
    <row r="43">
      <c r="A43" s="58" t="inlineStr">
        <is>
          <t>5. Ecosistema, cobertura y flora (F-DT-03)</t>
        </is>
      </c>
      <c r="B43" s="58" t="inlineStr">
        <is>
          <t>Altura del estrato dominante (m)</t>
        </is>
      </c>
      <c r="C43" s="58" t="inlineStr">
        <is>
          <t>7</t>
        </is>
      </c>
      <c r="D43" s="58" t="inlineStr">
        <is>
          <t>m</t>
        </is>
      </c>
    </row>
    <row r="44">
      <c r="A44" s="57" t="inlineStr">
        <is>
          <t>5. Ecosistema, cobertura y flora (F-DT-03)</t>
        </is>
      </c>
      <c r="B44" s="57" t="inlineStr">
        <is>
          <t>Altura máxima registrada (m)</t>
        </is>
      </c>
      <c r="C44" s="57" t="inlineStr">
        <is>
          <t>7.5</t>
        </is>
      </c>
      <c r="D44" s="57" t="inlineStr">
        <is>
          <t>m</t>
        </is>
      </c>
    </row>
    <row r="45">
      <c r="A45" s="58" t="inlineStr">
        <is>
          <t>5. Ecosistema, cobertura y flora (F-DT-03)</t>
        </is>
      </c>
      <c r="B45" s="58" t="inlineStr">
        <is>
          <t>DAP promedio (cm)</t>
        </is>
      </c>
      <c r="C45" s="58" t="inlineStr">
        <is>
          <t>18</t>
        </is>
      </c>
      <c r="D45" s="58" t="inlineStr">
        <is>
          <t>cm</t>
        </is>
      </c>
    </row>
    <row r="46">
      <c r="A46" s="57" t="inlineStr">
        <is>
          <t>5. Ecosistema, cobertura y flora (F-DT-03)</t>
        </is>
      </c>
      <c r="B46" s="57" t="inlineStr">
        <is>
          <t>Presencia de epífitas</t>
        </is>
      </c>
      <c r="C46" s="57" t="inlineStr">
        <is>
          <t>Escasa (líquenes foliáceos en troncos de Hualtaco relictos)</t>
        </is>
      </c>
      <c r="D46" s="57" t="inlineStr"/>
    </row>
    <row r="47">
      <c r="A47" s="58" t="inlineStr">
        <is>
          <t>5. Ecosistema, cobertura y flora (F-DT-03)</t>
        </is>
      </c>
      <c r="B47" s="58" t="inlineStr">
        <is>
          <t>Fenología dominante</t>
        </is>
      </c>
      <c r="C47" s="58" t="inlineStr">
        <is>
          <t>Floración inicial post-precipitación: Ipomoea spp., Cordia lutea, Tecoma sp.; rebrote foliar en Pasallo y Charán</t>
        </is>
      </c>
      <c r="D47" s="58" t="inlineStr"/>
    </row>
    <row r="48">
      <c r="A48" s="57" t="inlineStr">
        <is>
          <t>5. Ecosistema, cobertura y flora (F-DT-03)</t>
        </is>
      </c>
      <c r="B48" s="57" t="inlineStr">
        <is>
          <t>Dimensiones de la parcela (m)</t>
        </is>
      </c>
      <c r="C48" s="57" t="inlineStr">
        <is>
          <t>20 × 50</t>
        </is>
      </c>
      <c r="D48" s="57" t="inlineStr"/>
    </row>
    <row r="49">
      <c r="A49" s="58" t="inlineStr">
        <is>
          <t>5. Ecosistema, cobertura y flora (F-DT-03)</t>
        </is>
      </c>
      <c r="B49" s="58" t="inlineStr">
        <is>
          <t>Pendiente de la parcela (%)</t>
        </is>
      </c>
      <c r="C49" s="58" t="inlineStr">
        <is>
          <t>24</t>
        </is>
      </c>
      <c r="D49" s="58" t="inlineStr">
        <is>
          <t>%</t>
        </is>
      </c>
    </row>
    <row r="50">
      <c r="A50" s="57" t="inlineStr">
        <is>
          <t>5. Ecosistema, cobertura y flora (F-DT-03)</t>
        </is>
      </c>
      <c r="B50" s="57" t="inlineStr">
        <is>
          <t>Especies clave georreferenciadas</t>
        </is>
      </c>
      <c r="C50" s="57" t="inlineStr">
        <is>
          <t>5</t>
        </is>
      </c>
      <c r="D50" s="57" t="inlineStr"/>
    </row>
    <row r="51">
      <c r="A51" s="58" t="inlineStr">
        <is>
          <t>6. Degradación, causas y urgencia (F-DT-04)</t>
        </is>
      </c>
      <c r="B51" s="58" t="inlineStr">
        <is>
          <t>Causas directas de la degradación</t>
        </is>
      </c>
      <c r="C51" s="58" t="inlineStr">
        <is>
          <t>Sobrepastoreo extensivo caprino-vacuno no rotacional sobre suelos pedregosos de pendiente moderada-fuerte; tala selectiva histórica de Hualtaco, Algarrobo y Pasallo; erosión hídrica laminar/en surcos. Presión emergente por expansión urbana autorizada en el flanco NE del bloque colindante con el CP Serrán.</t>
        </is>
      </c>
      <c r="D51" s="58" t="inlineStr"/>
    </row>
    <row r="52">
      <c r="A52" s="57" t="inlineStr">
        <is>
          <t>6. Degradación, causas y urgencia (F-DT-04)</t>
        </is>
      </c>
      <c r="B52" s="57" t="inlineStr">
        <is>
          <t>N.° de causas activas en la matriz F-DT-04</t>
        </is>
      </c>
      <c r="C52" s="57" t="inlineStr">
        <is>
          <t>10</t>
        </is>
      </c>
      <c r="D52" s="57" t="inlineStr"/>
    </row>
    <row r="53">
      <c r="A53" s="58" t="inlineStr">
        <is>
          <t>7. Hidrología, acceso y logística (F-DT-05)</t>
        </is>
      </c>
      <c r="B53" s="58" t="inlineStr">
        <is>
          <t>Escorrentía concentrada</t>
        </is>
      </c>
      <c r="C53" s="58" t="inlineStr">
        <is>
          <t>No</t>
        </is>
      </c>
      <c r="D53" s="58" t="inlineStr"/>
    </row>
    <row r="54">
      <c r="A54" s="57" t="inlineStr">
        <is>
          <t>7. Hidrología, acceso y logística (F-DT-05)</t>
        </is>
      </c>
      <c r="B54" s="57" t="inlineStr">
        <is>
          <t>Fuentes de agua inventariadas</t>
        </is>
      </c>
      <c r="C54" s="57" t="inlineStr">
        <is>
          <t>5</t>
        </is>
      </c>
      <c r="D54" s="57" t="inlineStr"/>
    </row>
    <row r="55">
      <c r="A55" s="58" t="inlineStr">
        <is>
          <t>7. Hidrología, acceso y logística (F-DT-05)</t>
        </is>
      </c>
      <c r="B55" s="58" t="inlineStr">
        <is>
          <t>Distancia a captación (m)</t>
        </is>
      </c>
      <c r="C55" s="58" t="inlineStr">
        <is>
          <t>0</t>
        </is>
      </c>
      <c r="D55" s="58" t="inlineStr">
        <is>
          <t>m</t>
        </is>
      </c>
    </row>
    <row r="56">
      <c r="A56" s="57" t="inlineStr">
        <is>
          <t>7. Hidrología, acceso y logística (F-DT-05)</t>
        </is>
      </c>
      <c r="B56" s="57" t="inlineStr">
        <is>
          <t>Vía principal de acceso</t>
        </is>
      </c>
      <c r="C56" s="57" t="inlineStr">
        <is>
          <t>PE-1NL (Panamericana) → desvío en Buenos Aires → carretera afirmada a Serrán → trocha vecinal</t>
        </is>
      </c>
      <c r="D56" s="57" t="inlineStr"/>
    </row>
    <row r="57">
      <c r="A57" s="58" t="inlineStr">
        <is>
          <t>7. Hidrología, acceso y logística (F-DT-05)</t>
        </is>
      </c>
      <c r="B57" s="58" t="inlineStr">
        <is>
          <t>Tipo de vía del tramo final</t>
        </is>
      </c>
      <c r="C57" s="58" t="inlineStr">
        <is>
          <t>Trocha carrozable / camino de herradura</t>
        </is>
      </c>
      <c r="D57" s="58" t="inlineStr"/>
    </row>
    <row r="58">
      <c r="A58" s="57" t="inlineStr">
        <is>
          <t>7. Hidrología, acceso y logística (F-DT-05)</t>
        </is>
      </c>
      <c r="B58" s="57" t="inlineStr">
        <is>
          <t>Transitabilidad en época seca</t>
        </is>
      </c>
      <c r="C58" s="57" t="inlineStr">
        <is>
          <t>Bueno (transitable en vehículo 4x4)</t>
        </is>
      </c>
      <c r="D58" s="57" t="inlineStr"/>
    </row>
    <row r="59">
      <c r="A59" s="58" t="inlineStr">
        <is>
          <t>7. Hidrología, acceso y logística (F-DT-05)</t>
        </is>
      </c>
      <c r="B59" s="58" t="inlineStr">
        <is>
          <t>Transitabilidad en época lluviosa</t>
        </is>
      </c>
      <c r="C59" s="58" t="inlineStr">
        <is>
          <t>Regular a malo (riesgo de cortes por huaicos y deslizamientos en qda. Garabo)</t>
        </is>
      </c>
      <c r="D59" s="58" t="inlineStr"/>
    </row>
    <row r="60">
      <c r="A60" s="57" t="inlineStr">
        <is>
          <t>7. Hidrología, acceso y logística (F-DT-05)</t>
        </is>
      </c>
      <c r="B60" s="57" t="inlineStr">
        <is>
          <t>Tiempo a la capital distrital (min)</t>
        </is>
      </c>
      <c r="C60" s="57" t="inlineStr">
        <is>
          <t>35</t>
        </is>
      </c>
      <c r="D60" s="57" t="inlineStr">
        <is>
          <t>min</t>
        </is>
      </c>
    </row>
    <row r="61">
      <c r="A61" s="58" t="inlineStr">
        <is>
          <t>7. Hidrología, acceso y logística (F-DT-05)</t>
        </is>
      </c>
      <c r="B61" s="58" t="inlineStr">
        <is>
          <t>Señal celular</t>
        </is>
      </c>
      <c r="C61" s="58" t="inlineStr">
        <is>
          <t>Limitada (intermitente en zona alta, regular en CP Serrán)</t>
        </is>
      </c>
      <c r="D61" s="58" t="inlineStr"/>
    </row>
    <row r="62">
      <c r="A62" s="57" t="inlineStr">
        <is>
          <t>7. Hidrología, acceso y logística (F-DT-05)</t>
        </is>
      </c>
      <c r="B62" s="57" t="inlineStr">
        <is>
          <t>Operador con cobertura</t>
        </is>
      </c>
      <c r="C62" s="57" t="inlineStr">
        <is>
          <t>Movistar / Claro (regular en CP)</t>
        </is>
      </c>
      <c r="D62" s="57" t="inlineStr"/>
    </row>
    <row r="63">
      <c r="A63" s="58" t="inlineStr">
        <is>
          <t>7. Hidrología, acceso y logística (F-DT-05)</t>
        </is>
      </c>
      <c r="B63" s="58" t="inlineStr">
        <is>
          <t>Alojamiento disponible en la zona</t>
        </is>
      </c>
      <c r="C63" s="58" t="inlineStr">
        <is>
          <t>Sí (hospedaje básico en Serrán y en Salitral)</t>
        </is>
      </c>
      <c r="D63" s="58" t="inlineStr"/>
    </row>
    <row r="65">
      <c r="A65" s="55" t="inlineStr">
        <is>
          <t>C. PROCEDENCIA DE LOS HECHOS DECLARADOS</t>
        </is>
      </c>
    </row>
    <row r="66">
      <c r="A66" s="56" t="inlineStr">
        <is>
          <t>Fuente</t>
        </is>
      </c>
      <c r="B66" s="56" t="inlineStr">
        <is>
          <t>Hechos</t>
        </is>
      </c>
      <c r="C66" s="56" t="inlineStr">
        <is>
          <t>Alcance de la fuente</t>
        </is>
      </c>
    </row>
    <row r="67">
      <c r="A67" s="57" t="inlineStr">
        <is>
          <t>Dato de campo</t>
        </is>
      </c>
      <c r="B67" s="57" t="n">
        <v>71</v>
      </c>
      <c r="C67" s="57" t="inlineStr">
        <is>
          <t>Verificación en campo. Fichas F-DT-01 a F-DT-05 de la Plantilla DT Campo Check Validada V5, suscritas por el evaluador.</t>
        </is>
      </c>
    </row>
    <row r="68">
      <c r="A68" s="58" t="inlineStr">
        <is>
          <t>Gabinete (GIS / teledetección)</t>
        </is>
      </c>
      <c r="B68" s="58" t="n">
        <v>22</v>
      </c>
      <c r="C68" s="58" t="inlineStr">
        <is>
          <t>Gabinete. Estadística zonal sobre el MDE y compuestos Sentinel-2 (NDVI mediana 2025, MSAVI 2024 por clase DN).</t>
        </is>
      </c>
    </row>
    <row r="69">
      <c r="A69" s="57" t="inlineStr">
        <is>
          <t>Fuente oficial</t>
        </is>
      </c>
      <c r="B69" s="57" t="n">
        <v>14</v>
      </c>
      <c r="C69" s="57" t="inlineStr">
        <is>
          <t>Fuente oficial. Catálogo maestro Bloques V5/V6, división política INEI y codificación de microcuencas de la ANA.</t>
        </is>
      </c>
    </row>
    <row r="71">
      <c r="A71" s="55" t="inlineStr">
        <is>
          <t>D. ESTADO DEL CRUCE ENTRE FUENTES</t>
        </is>
      </c>
    </row>
    <row r="72">
      <c r="A72" s="56" t="inlineStr">
        <is>
          <t>Estado</t>
        </is>
      </c>
      <c r="B72" s="56" t="inlineStr">
        <is>
          <t>Hechos</t>
        </is>
      </c>
      <c r="C72" s="56" t="inlineStr">
        <is>
          <t>Significado</t>
        </is>
      </c>
    </row>
    <row r="73">
      <c r="A73" s="57" t="inlineStr">
        <is>
          <t>CONFORME</t>
        </is>
      </c>
      <c r="B73" s="57" t="n">
        <v>95</v>
      </c>
      <c r="C73" s="57" t="inlineStr">
        <is>
          <t>Las dos fuentes declaran lo mismo, o solo la fuente que manda sobre el hecho lo declara.</t>
        </is>
      </c>
    </row>
    <row r="74">
      <c r="A74" s="58" t="inlineStr">
        <is>
          <t>COMPLEMENTADO</t>
        </is>
      </c>
      <c r="B74" s="58" t="n">
        <v>0</v>
      </c>
      <c r="C74" s="58" t="inlineStr">
        <is>
          <t>Solo una de las fuentes lo declara y se adopta ese valor.</t>
        </is>
      </c>
    </row>
    <row r="75">
      <c r="A75" s="57" t="inlineStr">
        <is>
          <t>ACTUALIZADO</t>
        </is>
      </c>
      <c r="B75" s="57" t="n">
        <v>12</v>
      </c>
      <c r="C75" s="57" t="inlineStr">
        <is>
          <t>La verificación de campo vigente corrige lo que traía el libro de resumen.</t>
        </is>
      </c>
    </row>
    <row r="76">
      <c r="A76" s="58" t="inlineStr">
        <is>
          <t>DISCREPANTE</t>
        </is>
      </c>
      <c r="B76" s="58" t="n">
        <v>0</v>
      </c>
      <c r="C76" s="58" t="inlineStr">
        <is>
          <t>Las fuentes se contradicen; prevalece la que manda sobre el hecho y la otra queda declarada.</t>
        </is>
      </c>
    </row>
    <row r="77">
      <c r="A77" s="57" t="inlineStr">
        <is>
          <t>PENDIENTE</t>
        </is>
      </c>
      <c r="B77" s="57" t="n">
        <v>7</v>
      </c>
      <c r="C77" s="57"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REGISTRO DE CAMPO F-DT-01 A F-DT-05 — BLOQUE M2B1</t>
        </is>
      </c>
    </row>
    <row r="7">
      <c r="A7" s="55" t="inlineStr">
        <is>
          <t>F-DT-02 · INVENTARIO DE CÁRCAVAS</t>
        </is>
      </c>
    </row>
    <row r="8">
      <c r="A8" s="56" t="inlineStr">
        <is>
          <t>Código</t>
        </is>
      </c>
      <c r="B8" s="56" t="inlineStr">
        <is>
          <t>Tipo</t>
        </is>
      </c>
      <c r="C8" s="56" t="inlineStr">
        <is>
          <t>UTM E ini.</t>
        </is>
      </c>
      <c r="D8" s="56" t="inlineStr">
        <is>
          <t>UTM N ini.</t>
        </is>
      </c>
      <c r="E8" s="56" t="inlineStr">
        <is>
          <t>Longitud (m)</t>
        </is>
      </c>
      <c r="F8" s="56" t="inlineStr">
        <is>
          <t>Prof. (m)</t>
        </is>
      </c>
      <c r="G8" s="56" t="inlineStr">
        <is>
          <t>Ancho (m)</t>
        </is>
      </c>
      <c r="H8" s="56" t="inlineStr">
        <is>
          <t>Estado</t>
        </is>
      </c>
      <c r="I8" s="56" t="inlineStr">
        <is>
          <t>Causa</t>
        </is>
      </c>
    </row>
    <row r="9">
      <c r="A9" s="57" t="inlineStr">
        <is>
          <t>C-01</t>
        </is>
      </c>
      <c r="B9" s="57" t="inlineStr">
        <is>
          <t>Surcos densos</t>
        </is>
      </c>
      <c r="C9" s="62" t="n">
        <v>636120</v>
      </c>
      <c r="D9" s="62" t="n">
        <v>9398525</v>
      </c>
      <c r="E9" s="62" t="n">
        <v>55</v>
      </c>
      <c r="F9" s="63" t="n">
        <v>0.25</v>
      </c>
      <c r="G9" s="63" t="n">
        <v>0.45</v>
      </c>
      <c r="H9" s="57" t="inlineStr">
        <is>
          <t>Activa</t>
        </is>
      </c>
      <c r="I9" s="57" t="inlineStr">
        <is>
          <t>Sobrepastoreo + escorrentía</t>
        </is>
      </c>
    </row>
    <row r="10">
      <c r="A10" s="58" t="inlineStr">
        <is>
          <t>C-02</t>
        </is>
      </c>
      <c r="B10" s="58" t="inlineStr">
        <is>
          <t>Cárcava incipiente</t>
        </is>
      </c>
      <c r="C10" s="64" t="n">
        <v>636160</v>
      </c>
      <c r="D10" s="64" t="n">
        <v>9398550</v>
      </c>
      <c r="E10" s="64" t="n">
        <v>75</v>
      </c>
      <c r="F10" s="65" t="n">
        <v>0.6</v>
      </c>
      <c r="G10" s="65" t="n">
        <v>1.2</v>
      </c>
      <c r="H10" s="58" t="inlineStr">
        <is>
          <t>Activa</t>
        </is>
      </c>
      <c r="I10" s="58" t="inlineStr">
        <is>
          <t>Sobrepastoreo + pisoteo</t>
        </is>
      </c>
    </row>
    <row r="11">
      <c r="A11" s="57" t="inlineStr">
        <is>
          <t>C-03</t>
        </is>
      </c>
      <c r="B11" s="57" t="inlineStr">
        <is>
          <t>Cárcava con socav. cauce</t>
        </is>
      </c>
      <c r="C11" s="62" t="n">
        <v>636079</v>
      </c>
      <c r="D11" s="62" t="n">
        <v>9399152</v>
      </c>
      <c r="E11" s="62" t="n">
        <v>65</v>
      </c>
      <c r="F11" s="63" t="n">
        <v>0.9</v>
      </c>
      <c r="G11" s="63" t="n">
        <v>2.1</v>
      </c>
      <c r="H11" s="57" t="inlineStr">
        <is>
          <t>Activa</t>
        </is>
      </c>
      <c r="I11" s="57" t="inlineStr">
        <is>
          <t>Escorrentía concentrada en qda.</t>
        </is>
      </c>
    </row>
    <row r="12">
      <c r="A12" s="58" t="inlineStr">
        <is>
          <t>C-04</t>
        </is>
      </c>
      <c r="B12" s="58" t="inlineStr">
        <is>
          <t>Surcos en talud de trocha</t>
        </is>
      </c>
      <c r="C12" s="64" t="n">
        <v>636316</v>
      </c>
      <c r="D12" s="64" t="n">
        <v>9398321</v>
      </c>
      <c r="E12" s="64" t="n">
        <v>40</v>
      </c>
      <c r="F12" s="65" t="n">
        <v>0.2</v>
      </c>
      <c r="G12" s="65" t="n">
        <v>0.35</v>
      </c>
      <c r="H12" s="58" t="inlineStr">
        <is>
          <t>Activa</t>
        </is>
      </c>
      <c r="I12" s="58" t="inlineStr">
        <is>
          <t>Cortes de talud sin protección</t>
        </is>
      </c>
    </row>
    <row r="14">
      <c r="A14" s="55" t="inlineStr">
        <is>
          <t>F-DT-03 · ELENCO FLORÍSTICO</t>
        </is>
      </c>
    </row>
    <row r="15">
      <c r="A15" s="56" t="inlineStr">
        <is>
          <t>N.o</t>
        </is>
      </c>
      <c r="B15" s="56" t="inlineStr">
        <is>
          <t>Nombre común</t>
        </is>
      </c>
      <c r="C15" s="56" t="inlineStr">
        <is>
          <t>Nombre científico</t>
        </is>
      </c>
      <c r="D15" s="56" t="inlineStr">
        <is>
          <t>Familia</t>
        </is>
      </c>
      <c r="E15" s="56" t="inlineStr">
        <is>
          <t>Estrato</t>
        </is>
      </c>
      <c r="F15" s="56" t="inlineStr">
        <is>
          <t>Origen</t>
        </is>
      </c>
      <c r="G15" s="56" t="inlineStr">
        <is>
          <t>Abundancia</t>
        </is>
      </c>
      <c r="H15" s="56" t="inlineStr">
        <is>
          <t>DAP (cm)</t>
        </is>
      </c>
      <c r="I15" s="56" t="inlineStr">
        <is>
          <t>Altura (m)</t>
        </is>
      </c>
    </row>
    <row r="16">
      <c r="A16" s="57" t="inlineStr">
        <is>
          <t>1</t>
        </is>
      </c>
      <c r="B16" s="57" t="inlineStr">
        <is>
          <t>Ceibo</t>
        </is>
      </c>
      <c r="C16" s="57" t="inlineStr">
        <is>
          <t>Ceiba trischistandra</t>
        </is>
      </c>
      <c r="D16" s="57" t="inlineStr">
        <is>
          <t>Malvaceae</t>
        </is>
      </c>
      <c r="E16" s="57" t="inlineStr">
        <is>
          <t>Arbóreo medio (8-15 m)</t>
        </is>
      </c>
      <c r="F16" s="57" t="inlineStr">
        <is>
          <t>Nativa</t>
        </is>
      </c>
      <c r="G16" s="57" t="inlineStr">
        <is>
          <t>Escasa</t>
        </is>
      </c>
      <c r="H16" s="62" t="n">
        <v>35</v>
      </c>
      <c r="I16" s="63" t="n">
        <v>9</v>
      </c>
    </row>
    <row r="17">
      <c r="A17" s="58" t="inlineStr">
        <is>
          <t>2</t>
        </is>
      </c>
      <c r="B17" s="58" t="inlineStr">
        <is>
          <t>Charán</t>
        </is>
      </c>
      <c r="C17" s="58" t="inlineStr">
        <is>
          <t>Caesalpinia paipai</t>
        </is>
      </c>
      <c r="D17" s="58" t="inlineStr">
        <is>
          <t>Fabaceae</t>
        </is>
      </c>
      <c r="E17" s="58" t="inlineStr">
        <is>
          <t>Arbóreo bajo (4-8 m)</t>
        </is>
      </c>
      <c r="F17" s="58" t="inlineStr">
        <is>
          <t>Nativa</t>
        </is>
      </c>
      <c r="G17" s="58" t="inlineStr">
        <is>
          <t>Frecuente</t>
        </is>
      </c>
      <c r="H17" s="64" t="n">
        <v>12</v>
      </c>
      <c r="I17" s="65" t="n">
        <v>5.5</v>
      </c>
    </row>
    <row r="18">
      <c r="A18" s="57" t="inlineStr">
        <is>
          <t>3</t>
        </is>
      </c>
      <c r="B18" s="57" t="inlineStr">
        <is>
          <t>Pasallo</t>
        </is>
      </c>
      <c r="C18" s="57" t="inlineStr">
        <is>
          <t>Eriotheca ruizii</t>
        </is>
      </c>
      <c r="D18" s="57" t="inlineStr">
        <is>
          <t>Malvaceae</t>
        </is>
      </c>
      <c r="E18" s="57" t="inlineStr">
        <is>
          <t>Arbóreo bajo (4-8 m)</t>
        </is>
      </c>
      <c r="F18" s="57" t="inlineStr">
        <is>
          <t>Nativa</t>
        </is>
      </c>
      <c r="G18" s="57" t="inlineStr">
        <is>
          <t>Ocasional</t>
        </is>
      </c>
      <c r="H18" s="62" t="n">
        <v>22</v>
      </c>
      <c r="I18" s="63" t="n">
        <v>6</v>
      </c>
    </row>
    <row r="19">
      <c r="A19" s="58" t="inlineStr">
        <is>
          <t>4</t>
        </is>
      </c>
      <c r="B19" s="58" t="inlineStr">
        <is>
          <t>Overo</t>
        </is>
      </c>
      <c r="C19" s="58" t="inlineStr">
        <is>
          <t>Cordia lutea</t>
        </is>
      </c>
      <c r="D19" s="58" t="inlineStr">
        <is>
          <t>Boraginaceae</t>
        </is>
      </c>
      <c r="E19" s="58" t="inlineStr">
        <is>
          <t>Arbustivo alto (1.5-4 m)</t>
        </is>
      </c>
      <c r="F19" s="58" t="inlineStr">
        <is>
          <t>Nativa</t>
        </is>
      </c>
      <c r="G19" s="58" t="inlineStr">
        <is>
          <t>Frecuente</t>
        </is>
      </c>
      <c r="H19" s="58" t="n"/>
      <c r="I19" s="65" t="n">
        <v>2.5</v>
      </c>
    </row>
    <row r="20">
      <c r="A20" s="57" t="inlineStr">
        <is>
          <t>5</t>
        </is>
      </c>
      <c r="B20" s="57" t="inlineStr">
        <is>
          <t>Palo santo</t>
        </is>
      </c>
      <c r="C20" s="57" t="inlineStr">
        <is>
          <t>Bursera graveolens</t>
        </is>
      </c>
      <c r="D20" s="57" t="inlineStr">
        <is>
          <t>Burseraceae</t>
        </is>
      </c>
      <c r="E20" s="57" t="inlineStr">
        <is>
          <t>Arbóreo bajo (4-8 m)</t>
        </is>
      </c>
      <c r="F20" s="57" t="inlineStr">
        <is>
          <t>Nativa</t>
        </is>
      </c>
      <c r="G20" s="57" t="inlineStr">
        <is>
          <t>Rara</t>
        </is>
      </c>
      <c r="H20" s="62" t="n">
        <v>18</v>
      </c>
      <c r="I20" s="63" t="n">
        <v>5</v>
      </c>
    </row>
    <row r="21">
      <c r="A21" s="58" t="inlineStr">
        <is>
          <t>6</t>
        </is>
      </c>
      <c r="B21" s="58" t="inlineStr">
        <is>
          <t>Hualtaco</t>
        </is>
      </c>
      <c r="C21" s="58" t="inlineStr">
        <is>
          <t>Loxopterygium huasango</t>
        </is>
      </c>
      <c r="D21" s="58" t="inlineStr">
        <is>
          <t>Anacardiaceae</t>
        </is>
      </c>
      <c r="E21" s="58" t="inlineStr">
        <is>
          <t>Arbóreo medio (8-15 m)</t>
        </is>
      </c>
      <c r="F21" s="58" t="inlineStr">
        <is>
          <t>Nativa</t>
        </is>
      </c>
      <c r="G21" s="58" t="inlineStr">
        <is>
          <t>Rara (relictos)</t>
        </is>
      </c>
      <c r="H21" s="64" t="n">
        <v>28</v>
      </c>
      <c r="I21" s="65" t="n">
        <v>7.5</v>
      </c>
    </row>
    <row r="22">
      <c r="A22" s="57" t="inlineStr">
        <is>
          <t>7</t>
        </is>
      </c>
      <c r="B22" s="57" t="inlineStr">
        <is>
          <t>Algarrobo</t>
        </is>
      </c>
      <c r="C22" s="57" t="inlineStr">
        <is>
          <t>Prosopis pallida</t>
        </is>
      </c>
      <c r="D22" s="57" t="inlineStr">
        <is>
          <t>Fabaceae</t>
        </is>
      </c>
      <c r="E22" s="57" t="inlineStr">
        <is>
          <t>Arbóreo medio (8-15 m)</t>
        </is>
      </c>
      <c r="F22" s="57" t="inlineStr">
        <is>
          <t>Nativa</t>
        </is>
      </c>
      <c r="G22" s="57" t="inlineStr">
        <is>
          <t>Ocasional</t>
        </is>
      </c>
      <c r="H22" s="62" t="n">
        <v>20</v>
      </c>
      <c r="I22" s="63" t="n">
        <v>5</v>
      </c>
    </row>
    <row r="23">
      <c r="A23" s="58" t="inlineStr">
        <is>
          <t>8</t>
        </is>
      </c>
      <c r="B23" s="58" t="inlineStr">
        <is>
          <t>Cactus candelabro</t>
        </is>
      </c>
      <c r="C23" s="58" t="inlineStr">
        <is>
          <t>Armatocereus cartwrightianus</t>
        </is>
      </c>
      <c r="D23" s="58" t="inlineStr">
        <is>
          <t>Cactaceae</t>
        </is>
      </c>
      <c r="E23" s="58" t="inlineStr">
        <is>
          <t>Arbustivo alto (1.5-4 m)</t>
        </is>
      </c>
      <c r="F23" s="58" t="inlineStr">
        <is>
          <t>Nativa</t>
        </is>
      </c>
      <c r="G23" s="58" t="inlineStr">
        <is>
          <t>Abundante</t>
        </is>
      </c>
      <c r="H23" s="58" t="n"/>
      <c r="I23" s="65" t="n">
        <v>3.5</v>
      </c>
    </row>
    <row r="24">
      <c r="A24" s="57" t="inlineStr">
        <is>
          <t>9</t>
        </is>
      </c>
      <c r="B24" s="57" t="inlineStr">
        <is>
          <t>Gigantón</t>
        </is>
      </c>
      <c r="C24" s="57" t="inlineStr">
        <is>
          <t>Neoraimondia arequipensis</t>
        </is>
      </c>
      <c r="D24" s="57" t="inlineStr">
        <is>
          <t>Cactaceae</t>
        </is>
      </c>
      <c r="E24" s="57" t="inlineStr">
        <is>
          <t>Arbustivo alto (1.5-4 m)</t>
        </is>
      </c>
      <c r="F24" s="57" t="inlineStr">
        <is>
          <t>Nativa</t>
        </is>
      </c>
      <c r="G24" s="57" t="inlineStr">
        <is>
          <t>Frecuente</t>
        </is>
      </c>
      <c r="H24" s="57" t="n"/>
      <c r="I24" s="63" t="n">
        <v>3</v>
      </c>
    </row>
    <row r="25">
      <c r="A25" s="58" t="inlineStr">
        <is>
          <t>10</t>
        </is>
      </c>
      <c r="B25" s="58" t="inlineStr">
        <is>
          <t>Borrachera</t>
        </is>
      </c>
      <c r="C25" s="58" t="inlineStr">
        <is>
          <t>Ipomoea carnea</t>
        </is>
      </c>
      <c r="D25" s="58" t="inlineStr">
        <is>
          <t>Convolvulaceae</t>
        </is>
      </c>
      <c r="E25" s="58" t="inlineStr">
        <is>
          <t>Arbustivo bajo (0.5-1.5 m)</t>
        </is>
      </c>
      <c r="F25" s="58" t="inlineStr">
        <is>
          <t>Nativa</t>
        </is>
      </c>
      <c r="G25" s="58" t="inlineStr">
        <is>
          <t>Abundante</t>
        </is>
      </c>
      <c r="H25" s="58" t="n"/>
      <c r="I25" s="65" t="n">
        <v>1.2</v>
      </c>
    </row>
    <row r="26">
      <c r="A26" s="57" t="inlineStr">
        <is>
          <t>11</t>
        </is>
      </c>
      <c r="B26" s="57" t="inlineStr">
        <is>
          <t>Aromo / Faique</t>
        </is>
      </c>
      <c r="C26" s="57" t="inlineStr">
        <is>
          <t>Vachellia macracantha</t>
        </is>
      </c>
      <c r="D26" s="57" t="inlineStr">
        <is>
          <t>Fabaceae</t>
        </is>
      </c>
      <c r="E26" s="57" t="inlineStr">
        <is>
          <t>Arbustivo alto (1.5-4 m)</t>
        </is>
      </c>
      <c r="F26" s="57" t="inlineStr">
        <is>
          <t>Nativa</t>
        </is>
      </c>
      <c r="G26" s="57" t="inlineStr">
        <is>
          <t>Frecuente</t>
        </is>
      </c>
      <c r="H26" s="57" t="n"/>
      <c r="I26" s="63" t="n">
        <v>2.8</v>
      </c>
    </row>
    <row r="28">
      <c r="A28" s="55" t="inlineStr">
        <is>
          <t>F-DT-03 · ESPECIES CLAVE GEORREFERENCIADAS</t>
        </is>
      </c>
    </row>
    <row r="29">
      <c r="A29" s="56" t="inlineStr">
        <is>
          <t>N.o</t>
        </is>
      </c>
      <c r="B29" s="56" t="inlineStr">
        <is>
          <t>Especie</t>
        </is>
      </c>
      <c r="C29" s="56" t="inlineStr">
        <is>
          <t>Categoría</t>
        </is>
      </c>
      <c r="D29" s="56" t="inlineStr">
        <is>
          <t>Estado UICN</t>
        </is>
      </c>
      <c r="E29" s="56" t="inlineStr">
        <is>
          <t>UTM ESTE</t>
        </is>
      </c>
      <c r="F29" s="56" t="inlineStr">
        <is>
          <t>UTM NORTE</t>
        </is>
      </c>
      <c r="G29" s="56" t="inlineStr">
        <is>
          <t>N.° individuos</t>
        </is>
      </c>
      <c r="H29" s="56" t="inlineStr">
        <is>
          <t>Observación</t>
        </is>
      </c>
    </row>
    <row r="30">
      <c r="A30" s="57" t="inlineStr">
        <is>
          <t>1</t>
        </is>
      </c>
      <c r="B30" s="57" t="inlineStr">
        <is>
          <t>Loxopterygium huasang+C45+B53:E57+B5+B53:G57</t>
        </is>
      </c>
      <c r="C30" s="57" t="inlineStr">
        <is>
          <t>Indicadora de BES_CM bien conservado</t>
        </is>
      </c>
      <c r="D30" s="57" t="inlineStr">
        <is>
          <t>VU (DS 043-2006-AG)</t>
        </is>
      </c>
      <c r="E30" s="62" t="n">
        <v>636085</v>
      </c>
      <c r="F30" s="62" t="n">
        <v>9399200</v>
      </c>
      <c r="G30" s="63" t="n">
        <v>3</v>
      </c>
      <c r="H30" s="57" t="inlineStr">
        <is>
          <t>Relictos en cabeceras &gt; 500 msnm</t>
        </is>
      </c>
    </row>
    <row r="31">
      <c r="A31" s="58" t="inlineStr">
        <is>
          <t>2</t>
        </is>
      </c>
      <c r="B31" s="58" t="inlineStr">
        <is>
          <t>Neltuma pallida (Algarrobo)</t>
        </is>
      </c>
      <c r="C31" s="58" t="inlineStr">
        <is>
          <t>Especie emblemática del bosque seco</t>
        </is>
      </c>
      <c r="D31" s="58" t="inlineStr">
        <is>
          <t>CR (DS 043-2006-AG)</t>
        </is>
      </c>
      <c r="E31" s="64" t="n">
        <v>636150</v>
      </c>
      <c r="F31" s="64" t="n">
        <v>9398580</v>
      </c>
      <c r="G31" s="65" t="n">
        <v>5</v>
      </c>
      <c r="H31" s="58" t="inlineStr">
        <is>
          <t>Individuos jóvenes y adultos en franja media</t>
        </is>
      </c>
    </row>
    <row r="32">
      <c r="A32" s="57" t="inlineStr">
        <is>
          <t>3</t>
        </is>
      </c>
      <c r="B32" s="57" t="inlineStr">
        <is>
          <t>Eriotheca ruizii (Pasallo)</t>
        </is>
      </c>
      <c r="C32" s="57" t="inlineStr">
        <is>
          <t>Emblemática BES, indicadora de regeneración</t>
        </is>
      </c>
      <c r="D32" s="57" t="inlineStr">
        <is>
          <t>NT (DS 043-2006-AG)</t>
        </is>
      </c>
      <c r="E32" s="62" t="n">
        <v>636128</v>
      </c>
      <c r="F32" s="62" t="n">
        <v>9398519</v>
      </c>
      <c r="G32" s="63" t="n">
        <v>4</v>
      </c>
      <c r="H32" s="57" t="inlineStr">
        <is>
          <t>Rebrote foliar post-lluvia</t>
        </is>
      </c>
    </row>
    <row r="33">
      <c r="A33" s="58" t="inlineStr">
        <is>
          <t>4</t>
        </is>
      </c>
      <c r="B33" s="58" t="inlineStr">
        <is>
          <t>Bursera graveolens (Palo Santo)</t>
        </is>
      </c>
      <c r="C33" s="58" t="inlineStr">
        <is>
          <t>Indicadora de presión extractiva</t>
        </is>
      </c>
      <c r="D33" s="58" t="inlineStr">
        <is>
          <t>CR (DS 043-2006-AG)</t>
        </is>
      </c>
      <c r="E33" s="64" t="n">
        <v>636080</v>
      </c>
      <c r="F33" s="64" t="n">
        <v>9399180</v>
      </c>
      <c r="G33" s="65" t="n">
        <v>2</v>
      </c>
      <c r="H33" s="58" t="inlineStr">
        <is>
          <t>Individuos aislados; fuerte presión histórica</t>
        </is>
      </c>
    </row>
    <row r="34">
      <c r="A34" s="57" t="inlineStr">
        <is>
          <t>5</t>
        </is>
      </c>
      <c r="B34" s="57" t="inlineStr">
        <is>
          <t>Ceiba trischistandra (Ceibo)</t>
        </is>
      </c>
      <c r="C34" s="57" t="inlineStr">
        <is>
          <t>Indicadora de ecosistema maduro</t>
        </is>
      </c>
      <c r="D34" s="57" t="inlineStr">
        <is>
          <t>No evaluada (LC supuesto)</t>
        </is>
      </c>
      <c r="E34" s="62" t="n">
        <v>636090</v>
      </c>
      <c r="F34" s="62" t="n">
        <v>9399210</v>
      </c>
      <c r="G34" s="63" t="n">
        <v>2</v>
      </c>
      <c r="H34" s="57" t="inlineStr">
        <is>
          <t>Relictos emergentes en divisoria</t>
        </is>
      </c>
    </row>
    <row r="36">
      <c r="A36" s="55" t="inlineStr">
        <is>
          <t>F-DT-04 · MATRIZ DE CAUSAS DE DEGRADACIÓN</t>
        </is>
      </c>
    </row>
    <row r="37">
      <c r="A37" s="56" t="inlineStr">
        <is>
          <t>N.o</t>
        </is>
      </c>
      <c r="B37" s="56" t="inlineStr">
        <is>
          <t>Causa</t>
        </is>
      </c>
      <c r="C37" s="56" t="inlineStr">
        <is>
          <t>Presencia</t>
        </is>
      </c>
      <c r="D37" s="56" t="inlineStr">
        <is>
          <t>Intensidad</t>
        </is>
      </c>
      <c r="E37" s="56" t="inlineStr">
        <is>
          <t>Extensión</t>
        </is>
      </c>
      <c r="F37" s="56" t="inlineStr">
        <is>
          <t>Antigüedad</t>
        </is>
      </c>
      <c r="G37" s="56" t="inlineStr">
        <is>
          <t>Evidencia</t>
        </is>
      </c>
    </row>
    <row r="38">
      <c r="A38" s="57" t="inlineStr">
        <is>
          <t>1</t>
        </is>
      </c>
      <c r="B38" s="57" t="inlineStr">
        <is>
          <t>Sobrepastoreo (caprino/vacuno)</t>
        </is>
      </c>
      <c r="C38" s="57" t="inlineStr">
        <is>
          <t>Sí</t>
        </is>
      </c>
      <c r="D38" s="57" t="inlineStr">
        <is>
          <t>Fuerte</t>
        </is>
      </c>
      <c r="E38" s="57" t="inlineStr">
        <is>
          <t>75</t>
        </is>
      </c>
      <c r="F38" s="57" t="inlineStr">
        <is>
          <t>40</t>
        </is>
      </c>
      <c r="G38" s="57" t="inlineStr">
        <is>
          <t>Sobrepastoreo caprino-vacuno extensivo no rotacional; terracillas de pisoteo, suelo compactado, ramoneo intenso de regeneración</t>
        </is>
      </c>
    </row>
    <row r="39">
      <c r="A39" s="58" t="inlineStr">
        <is>
          <t>2</t>
        </is>
      </c>
      <c r="B39" s="58" t="inlineStr">
        <is>
          <t>Tala para leña</t>
        </is>
      </c>
      <c r="C39" s="58" t="inlineStr">
        <is>
          <t>Sí</t>
        </is>
      </c>
      <c r="D39" s="58" t="inlineStr">
        <is>
          <t>Moderada</t>
        </is>
      </c>
      <c r="E39" s="58" t="inlineStr">
        <is>
          <t>40</t>
        </is>
      </c>
      <c r="F39" s="58" t="inlineStr">
        <is>
          <t>30</t>
        </is>
      </c>
      <c r="G39" s="58" t="inlineStr">
        <is>
          <t>Extracción para autoconsumo doméstico de hogares de Serrán; ramas y rebrotes cortados</t>
        </is>
      </c>
    </row>
    <row r="40">
      <c r="A40" s="57" t="inlineStr">
        <is>
          <t>3</t>
        </is>
      </c>
      <c r="B40" s="57" t="inlineStr">
        <is>
          <t>Tala para carbón</t>
        </is>
      </c>
      <c r="C40" s="57" t="inlineStr">
        <is>
          <t>Sí</t>
        </is>
      </c>
      <c r="D40" s="57" t="inlineStr">
        <is>
          <t>Ligera</t>
        </is>
      </c>
      <c r="E40" s="57" t="inlineStr">
        <is>
          <t>10</t>
        </is>
      </c>
      <c r="F40" s="57" t="inlineStr">
        <is>
          <t>25</t>
        </is>
      </c>
      <c r="G40" s="57" t="inlineStr">
        <is>
          <t>Restos puntuales de hornos rudimentarios en quebradas</t>
        </is>
      </c>
    </row>
    <row r="41">
      <c r="A41" s="58" t="inlineStr">
        <is>
          <t>4</t>
        </is>
      </c>
      <c r="B41" s="58" t="inlineStr">
        <is>
          <t>Tala para madera</t>
        </is>
      </c>
      <c r="C41" s="58" t="inlineStr">
        <is>
          <t>Sí</t>
        </is>
      </c>
      <c r="D41" s="58" t="inlineStr">
        <is>
          <t>Moderada</t>
        </is>
      </c>
      <c r="E41" s="58" t="inlineStr">
        <is>
          <t>35</t>
        </is>
      </c>
      <c r="F41" s="58" t="inlineStr">
        <is>
          <t>50</t>
        </is>
      </c>
      <c r="G41" s="58" t="inlineStr">
        <is>
          <t>Tala selectiva histórica de Hualtaco, Algarrobo y Pasallo para uso local (vigas, herramientas)</t>
        </is>
      </c>
    </row>
    <row r="42">
      <c r="A42" s="57" t="inlineStr">
        <is>
          <t>5</t>
        </is>
      </c>
      <c r="B42" s="57" t="inlineStr">
        <is>
          <t>Quema (renovación de pastos)</t>
        </is>
      </c>
      <c r="C42" s="57" t="inlineStr">
        <is>
          <t>No</t>
        </is>
      </c>
      <c r="D42" s="57" t="inlineStr">
        <is>
          <t>Nula</t>
        </is>
      </c>
      <c r="E42" s="57" t="inlineStr">
        <is>
          <t>0</t>
        </is>
      </c>
      <c r="F42" s="57" t="inlineStr">
        <is>
          <t>0</t>
        </is>
      </c>
      <c r="G42" s="57" t="inlineStr"/>
    </row>
    <row r="43">
      <c r="A43" s="58" t="inlineStr">
        <is>
          <t>6</t>
        </is>
      </c>
      <c r="B43" s="58" t="inlineStr">
        <is>
          <t>Quema accidental / Incendio</t>
        </is>
      </c>
      <c r="C43" s="58" t="inlineStr">
        <is>
          <t>No</t>
        </is>
      </c>
      <c r="D43" s="58" t="inlineStr">
        <is>
          <t>Ligera</t>
        </is>
      </c>
      <c r="E43" s="58" t="inlineStr">
        <is>
          <t>5</t>
        </is>
      </c>
      <c r="F43" s="58" t="inlineStr">
        <is>
          <t>15</t>
        </is>
      </c>
      <c r="G43" s="58" t="inlineStr">
        <is>
          <t>Quemas accidentales reportadas por pobladores</t>
        </is>
      </c>
    </row>
    <row r="44">
      <c r="A44" s="57" t="inlineStr">
        <is>
          <t>7</t>
        </is>
      </c>
      <c r="B44" s="57" t="inlineStr">
        <is>
          <t>Cambio de uso a agricultura</t>
        </is>
      </c>
      <c r="C44" s="57" t="inlineStr">
        <is>
          <t>No</t>
        </is>
      </c>
      <c r="D44" s="57" t="inlineStr">
        <is>
          <t>Nula</t>
        </is>
      </c>
      <c r="E44" s="57" t="inlineStr">
        <is>
          <t>0</t>
        </is>
      </c>
      <c r="F44" s="57" t="inlineStr">
        <is>
          <t>0</t>
        </is>
      </c>
      <c r="G44" s="57" t="inlineStr">
        <is>
          <t>No se observa avance agrícola sobre el bloque</t>
        </is>
      </c>
    </row>
    <row r="45">
      <c r="A45" s="58" t="inlineStr">
        <is>
          <t>8</t>
        </is>
      </c>
      <c r="B45" s="58" t="inlineStr">
        <is>
          <t>Cambio de uso a pastoreo</t>
        </is>
      </c>
      <c r="C45" s="58" t="inlineStr">
        <is>
          <t>Sí</t>
        </is>
      </c>
      <c r="D45" s="58" t="inlineStr">
        <is>
          <t>Fuerte</t>
        </is>
      </c>
      <c r="E45" s="58" t="inlineStr">
        <is>
          <t>60</t>
        </is>
      </c>
      <c r="F45" s="58" t="inlineStr">
        <is>
          <t>40</t>
        </is>
      </c>
      <c r="G45" s="58" t="inlineStr">
        <is>
          <t>Pastoreo extensivo cubre la mayor parte del bloque</t>
        </is>
      </c>
    </row>
    <row r="46">
      <c r="A46" s="57" t="inlineStr">
        <is>
          <t>9</t>
        </is>
      </c>
      <c r="B46" s="57" t="inlineStr">
        <is>
          <t>Expansión urbana / vial</t>
        </is>
      </c>
      <c r="C46" s="57" t="inlineStr">
        <is>
          <t>Sí</t>
        </is>
      </c>
      <c r="D46" s="57" t="inlineStr">
        <is>
          <t>Moderada</t>
        </is>
      </c>
      <c r="E46" s="57" t="inlineStr">
        <is>
          <t>8</t>
        </is>
      </c>
      <c r="F46" s="57" t="inlineStr">
        <is>
          <t>5</t>
        </is>
      </c>
      <c r="G46" s="57" t="inlineStr">
        <is>
          <t>Borde NE del bloque colinda con expansión urbana autorizada de Serrán (lotes Mz.H1-Lt.1 y Mz.A1-Lt.2)</t>
        </is>
      </c>
    </row>
    <row r="47">
      <c r="A47" s="58" t="inlineStr">
        <is>
          <t>10</t>
        </is>
      </c>
      <c r="B47" s="58" t="inlineStr">
        <is>
          <t>Minería informal</t>
        </is>
      </c>
      <c r="C47" s="58" t="inlineStr">
        <is>
          <t>No</t>
        </is>
      </c>
      <c r="D47" s="58" t="inlineStr">
        <is>
          <t>Nula</t>
        </is>
      </c>
      <c r="E47" s="58" t="inlineStr">
        <is>
          <t>0</t>
        </is>
      </c>
      <c r="F47" s="58" t="inlineStr">
        <is>
          <t>0</t>
        </is>
      </c>
      <c r="G47" s="58" t="inlineStr">
        <is>
          <t>No se observa actividad minera dentro del bloque</t>
        </is>
      </c>
    </row>
    <row r="48">
      <c r="A48" s="57" t="inlineStr">
        <is>
          <t>11</t>
        </is>
      </c>
      <c r="B48" s="57" t="inlineStr">
        <is>
          <t>Extracción de áridos (cauces)</t>
        </is>
      </c>
      <c r="C48" s="57" t="inlineStr">
        <is>
          <t>No</t>
        </is>
      </c>
      <c r="D48" s="57" t="inlineStr">
        <is>
          <t>Moderada</t>
        </is>
      </c>
      <c r="E48" s="57" t="inlineStr">
        <is>
          <t>0</t>
        </is>
      </c>
      <c r="F48" s="57" t="inlineStr">
        <is>
          <t>20</t>
        </is>
      </c>
      <c r="G48" s="57" t="inlineStr">
        <is>
          <t>Cantera Río Serrán en el cauce del río Huarmaca colindante (fuera del bloque)</t>
        </is>
      </c>
    </row>
    <row r="49">
      <c r="A49" s="58" t="inlineStr">
        <is>
          <t>12</t>
        </is>
      </c>
      <c r="B49" s="58" t="inlineStr">
        <is>
          <t>Especies invasoras</t>
        </is>
      </c>
      <c r="C49" s="58" t="inlineStr">
        <is>
          <t>Sí</t>
        </is>
      </c>
      <c r="D49" s="58" t="inlineStr">
        <is>
          <t>Moderada</t>
        </is>
      </c>
      <c r="E49" s="58" t="inlineStr">
        <is>
          <t>20</t>
        </is>
      </c>
      <c r="F49" s="58" t="inlineStr">
        <is>
          <t>30</t>
        </is>
      </c>
      <c r="G49" s="58" t="inlineStr">
        <is>
          <t>Ipomoea carnea (borrachera) dominante en franjas degradadas</t>
        </is>
      </c>
    </row>
    <row r="50">
      <c r="A50" s="57" t="inlineStr">
        <is>
          <t>13</t>
        </is>
      </c>
      <c r="B50" s="57" t="inlineStr">
        <is>
          <t>Erosión natural severa</t>
        </is>
      </c>
      <c r="C50" s="57" t="inlineStr">
        <is>
          <t>Sí</t>
        </is>
      </c>
      <c r="D50" s="57" t="inlineStr">
        <is>
          <t>Moderada</t>
        </is>
      </c>
      <c r="E50" s="57" t="inlineStr">
        <is>
          <t>35</t>
        </is>
      </c>
      <c r="F50" s="57" t="inlineStr"/>
      <c r="G50" s="57" t="inlineStr">
        <is>
          <t>Erosión hídrica laminar y en surcos asociada a pendientes 15-35 %</t>
        </is>
      </c>
    </row>
    <row r="51">
      <c r="A51" s="58" t="inlineStr">
        <is>
          <t>14</t>
        </is>
      </c>
      <c r="B51" s="58" t="inlineStr">
        <is>
          <t>Sequía prolongada / CC</t>
        </is>
      </c>
      <c r="C51" s="58" t="inlineStr">
        <is>
          <t>Sí</t>
        </is>
      </c>
      <c r="D51" s="58" t="inlineStr">
        <is>
          <t>Fuerte</t>
        </is>
      </c>
      <c r="E51" s="58" t="inlineStr">
        <is>
          <t>100</t>
        </is>
      </c>
      <c r="F51" s="58" t="inlineStr">
        <is>
          <t>30</t>
        </is>
      </c>
      <c r="G51" s="58" t="inlineStr">
        <is>
          <t>Tendencia decadal a déficit hídrico, eventos ENSO extremos crecientes</t>
        </is>
      </c>
    </row>
    <row r="52">
      <c r="A52" s="57" t="inlineStr">
        <is>
          <t>15</t>
        </is>
      </c>
      <c r="B52" s="57" t="inlineStr">
        <is>
          <t>Plagas o enfermedades forestales</t>
        </is>
      </c>
      <c r="C52" s="57" t="inlineStr">
        <is>
          <t>No</t>
        </is>
      </c>
      <c r="D52" s="57" t="inlineStr">
        <is>
          <t>Nula</t>
        </is>
      </c>
      <c r="E52" s="57" t="inlineStr">
        <is>
          <t>0</t>
        </is>
      </c>
      <c r="F52" s="57" t="inlineStr">
        <is>
          <t>0</t>
        </is>
      </c>
      <c r="G52" s="57" t="inlineStr">
        <is>
          <t>No se observan plagas o enfermedades en escala apreciable</t>
        </is>
      </c>
    </row>
    <row r="53">
      <c r="A53" s="58" t="inlineStr">
        <is>
          <t>16</t>
        </is>
      </c>
      <c r="B53" s="58" t="inlineStr">
        <is>
          <t>Otro</t>
        </is>
      </c>
      <c r="C53" s="58" t="inlineStr">
        <is>
          <t>Sí</t>
        </is>
      </c>
      <c r="D53" s="58" t="inlineStr"/>
      <c r="E53" s="58" t="inlineStr"/>
      <c r="F53" s="58" t="inlineStr"/>
      <c r="G53" s="58" t="inlineStr"/>
    </row>
    <row r="55">
      <c r="A55" s="55" t="inlineStr">
        <is>
          <t>F-DT-04 · INDICADORES CUANTITATIVOS</t>
        </is>
      </c>
    </row>
    <row r="56">
      <c r="A56" s="56" t="inlineStr">
        <is>
          <t>N.o</t>
        </is>
      </c>
      <c r="B56" s="56" t="inlineStr">
        <is>
          <t>Indicador</t>
        </is>
      </c>
      <c r="C56" s="56" t="inlineStr">
        <is>
          <t>Unidad</t>
        </is>
      </c>
      <c r="D56" s="56" t="inlineStr">
        <is>
          <t>Valor</t>
        </is>
      </c>
      <c r="E56" s="56" t="inlineStr">
        <is>
          <t>Fuente</t>
        </is>
      </c>
      <c r="F56" s="56" t="inlineStr">
        <is>
          <t>Umbral</t>
        </is>
      </c>
      <c r="G56" s="56" t="inlineStr">
        <is>
          <t>Nivel</t>
        </is>
      </c>
    </row>
    <row r="57">
      <c r="A57" s="57" t="inlineStr">
        <is>
          <t>1</t>
        </is>
      </c>
      <c r="B57" s="57" t="inlineStr">
        <is>
          <t>Cobertura vegetal total</t>
        </is>
      </c>
      <c r="C57" s="57" t="inlineStr">
        <is>
          <t>%</t>
        </is>
      </c>
      <c r="D57" s="57" t="inlineStr">
        <is>
          <t>55</t>
        </is>
      </c>
      <c r="E57" s="57" t="inlineStr">
        <is>
          <t>Estimación de campo (parcela P-01) + MSAVI 2024</t>
        </is>
      </c>
      <c r="F57" s="57" t="inlineStr">
        <is>
          <t>&gt;60% bueno; 30-60% medio; &lt;30% malo</t>
        </is>
      </c>
      <c r="G57" s="57" t="inlineStr">
        <is>
          <t>Medio</t>
        </is>
      </c>
    </row>
    <row r="58">
      <c r="A58" s="58" t="inlineStr">
        <is>
          <t>2</t>
        </is>
      </c>
      <c r="B58" s="58" t="inlineStr">
        <is>
          <t>Porcentaje de suelo desnudo</t>
        </is>
      </c>
      <c r="C58" s="58" t="inlineStr">
        <is>
          <t>%</t>
        </is>
      </c>
      <c r="D58" s="58" t="inlineStr">
        <is>
          <t>40</t>
        </is>
      </c>
      <c r="E58" s="58" t="inlineStr">
        <is>
          <t>Estimación de campo + MSAVI &lt;0.265</t>
        </is>
      </c>
      <c r="F58" s="58" t="inlineStr">
        <is>
          <t>&lt;10% bueno; 10-30% medio; &gt;30% malo</t>
        </is>
      </c>
      <c r="G58" s="58" t="inlineStr">
        <is>
          <t>Alto</t>
        </is>
      </c>
    </row>
    <row r="59">
      <c r="A59" s="57" t="inlineStr">
        <is>
          <t>3</t>
        </is>
      </c>
      <c r="B59" s="57" t="inlineStr">
        <is>
          <t>Densidad de cárcavas</t>
        </is>
      </c>
      <c r="C59" s="57" t="inlineStr">
        <is>
          <t>N°/ha</t>
        </is>
      </c>
      <c r="D59" s="57" t="inlineStr">
        <is>
          <t>3</t>
        </is>
      </c>
      <c r="E59" s="57" t="inlineStr">
        <is>
          <t>Inventario F-DT-02 + observación de campo</t>
        </is>
      </c>
      <c r="F59" s="57" t="inlineStr">
        <is>
          <t>0 nulo; 1-3 medio; &gt;3 alto</t>
        </is>
      </c>
      <c r="G59" s="57" t="inlineStr">
        <is>
          <t>Medio</t>
        </is>
      </c>
    </row>
    <row r="60">
      <c r="A60" s="58" t="inlineStr">
        <is>
          <t>4</t>
        </is>
      </c>
      <c r="B60" s="58" t="inlineStr">
        <is>
          <t>Presencia de especies invasoras</t>
        </is>
      </c>
      <c r="C60" s="58" t="inlineStr">
        <is>
          <t>% área</t>
        </is>
      </c>
      <c r="D60" s="58" t="inlineStr">
        <is>
          <t>20</t>
        </is>
      </c>
      <c r="E60" s="58" t="inlineStr">
        <is>
          <t>Cobertura estimada de Ipomoea carnea en franja media</t>
        </is>
      </c>
      <c r="F60" s="58" t="inlineStr">
        <is>
          <t>&lt;5% bueno; 5-20% medio; &gt;20% alto</t>
        </is>
      </c>
      <c r="G60" s="58" t="inlineStr">
        <is>
          <t>Alto</t>
        </is>
      </c>
    </row>
    <row r="61">
      <c r="A61" s="57" t="inlineStr">
        <is>
          <t>5</t>
        </is>
      </c>
      <c r="B61" s="57" t="inlineStr">
        <is>
          <t>Carga ganadera estimada</t>
        </is>
      </c>
      <c r="C61" s="57" t="inlineStr">
        <is>
          <t>UA/ha</t>
        </is>
      </c>
      <c r="D61" s="57" t="inlineStr">
        <is>
          <t>1.5</t>
        </is>
      </c>
      <c r="E61" s="57" t="inlineStr">
        <is>
          <t>Estimación a partir de testimonios (caprino-vacuno mixto)</t>
        </is>
      </c>
      <c r="F61" s="57" t="inlineStr">
        <is>
          <t>Según tipo de ecosistema</t>
        </is>
      </c>
      <c r="G61" s="57" t="inlineStr">
        <is>
          <t>Alto</t>
        </is>
      </c>
    </row>
    <row r="62">
      <c r="A62" s="58" t="inlineStr">
        <is>
          <t>6</t>
        </is>
      </c>
      <c r="B62" s="58" t="inlineStr">
        <is>
          <t>Frecuencia de quemas últimos 5 años</t>
        </is>
      </c>
      <c r="C62" s="58" t="inlineStr">
        <is>
          <t>N°</t>
        </is>
      </c>
      <c r="D62" s="58" t="inlineStr">
        <is>
          <t>0</t>
        </is>
      </c>
      <c r="E62" s="58" t="inlineStr">
        <is>
          <t>Testimonios de pobladores (quemas localizadas pre-lluvia)</t>
        </is>
      </c>
      <c r="F62" s="58" t="inlineStr">
        <is>
          <t>0 nulo; 1-2 medio; &gt;2 alto</t>
        </is>
      </c>
      <c r="G62" s="58" t="inlineStr">
        <is>
          <t>Medio</t>
        </is>
      </c>
    </row>
    <row r="63">
      <c r="A63" s="57" t="inlineStr">
        <is>
          <t>7</t>
        </is>
      </c>
      <c r="B63" s="57" t="inlineStr">
        <is>
          <t>% área con pendiente &gt;50%</t>
        </is>
      </c>
      <c r="C63" s="57" t="inlineStr">
        <is>
          <t>%</t>
        </is>
      </c>
      <c r="D63" s="57" t="inlineStr">
        <is>
          <t>45</t>
        </is>
      </c>
      <c r="E63" s="57" t="inlineStr">
        <is>
          <t>DEM ALOS PALSAR 12.5 m</t>
        </is>
      </c>
      <c r="F63" s="57" t="inlineStr">
        <is>
          <t>Factor de susceptibilidad</t>
        </is>
      </c>
      <c r="G63" s="57" t="inlineStr">
        <is>
          <t>Alto</t>
        </is>
      </c>
    </row>
    <row r="64">
      <c r="A64" s="58" t="inlineStr">
        <is>
          <t>8</t>
        </is>
      </c>
      <c r="B64" s="58" t="inlineStr">
        <is>
          <t>Distancia a vía vecinal más cercana</t>
        </is>
      </c>
      <c r="C64" s="58" t="inlineStr">
        <is>
          <t>m</t>
        </is>
      </c>
      <c r="D64" s="58" t="inlineStr">
        <is>
          <t>200</t>
        </is>
      </c>
      <c r="E64" s="58" t="inlineStr">
        <is>
          <t>Bloque limítrofe con trocha vecinal y vías urbanas de Serrán</t>
        </is>
      </c>
      <c r="F64" s="58" t="inlineStr">
        <is>
          <t>A menor distancia → mayor presión</t>
        </is>
      </c>
      <c r="G64" s="58" t="inlineStr">
        <is>
          <t>Alto</t>
        </is>
      </c>
    </row>
    <row r="66">
      <c r="A66" s="55" t="inlineStr">
        <is>
          <t>F-DT-05 · FUENTES DE AGUA INVENTARIADAS</t>
        </is>
      </c>
    </row>
    <row r="67">
      <c r="A67" s="56" t="inlineStr">
        <is>
          <t>N.o</t>
        </is>
      </c>
      <c r="B67" s="56" t="inlineStr">
        <is>
          <t>Tipo de fuente</t>
        </is>
      </c>
      <c r="C67" s="56" t="inlineStr">
        <is>
          <t>UTM ESTE</t>
        </is>
      </c>
      <c r="D67" s="56" t="inlineStr">
        <is>
          <t>UTM NORTE</t>
        </is>
      </c>
      <c r="E67" s="56" t="inlineStr">
        <is>
          <t>Régimen</t>
        </is>
      </c>
      <c r="F67" s="56" t="inlineStr">
        <is>
          <t>Calidad</t>
        </is>
      </c>
      <c r="G67" s="56" t="inlineStr">
        <is>
          <t>Distancia (m)</t>
        </is>
      </c>
      <c r="H67" s="56" t="inlineStr">
        <is>
          <t>Uso / observación</t>
        </is>
      </c>
    </row>
    <row r="68">
      <c r="A68" s="57" t="inlineStr">
        <is>
          <t>1</t>
        </is>
      </c>
      <c r="B68" s="57" t="inlineStr">
        <is>
          <t>Río principal</t>
        </is>
      </c>
      <c r="C68" s="62" t="n">
        <v>636500</v>
      </c>
      <c r="D68" s="62" t="n">
        <v>9398100</v>
      </c>
      <c r="E68" s="57" t="inlineStr">
        <is>
          <t>Permanente (régimen estacional)</t>
        </is>
      </c>
      <c r="F68" s="57" t="inlineStr">
        <is>
          <t>Regular (turbia en avenidas)</t>
        </is>
      </c>
      <c r="G68" s="62" t="n">
        <v>200</v>
      </c>
      <c r="H68" s="57" t="inlineStr">
        <is>
          <t>Río Huarmaca - colindante al E del bloque</t>
        </is>
      </c>
    </row>
    <row r="69">
      <c r="A69" s="58" t="inlineStr">
        <is>
          <t>2</t>
        </is>
      </c>
      <c r="B69" s="58" t="inlineStr">
        <is>
          <t>Quebrada estacional</t>
        </is>
      </c>
      <c r="C69" s="64" t="n">
        <v>636120</v>
      </c>
      <c r="D69" s="64" t="n">
        <v>9398525</v>
      </c>
      <c r="E69" s="58" t="inlineStr">
        <is>
          <t>Estacional (avenidas)</t>
        </is>
      </c>
      <c r="F69" s="58" t="inlineStr">
        <is>
          <t>No apreciable</t>
        </is>
      </c>
      <c r="G69" s="65" t="n">
        <v>0</v>
      </c>
      <c r="H69" s="58" t="inlineStr">
        <is>
          <t>Qda. interna sin nombre; evidencia de flujos detríticos históricos</t>
        </is>
      </c>
    </row>
    <row r="70">
      <c r="A70" s="57" t="inlineStr">
        <is>
          <t>3</t>
        </is>
      </c>
      <c r="B70" s="57" t="inlineStr">
        <is>
          <t>Quebrada estacional</t>
        </is>
      </c>
      <c r="C70" s="62" t="n">
        <v>636045</v>
      </c>
      <c r="D70" s="62" t="n">
        <v>9399100</v>
      </c>
      <c r="E70" s="57" t="inlineStr">
        <is>
          <t>Estacional</t>
        </is>
      </c>
      <c r="F70" s="57" t="inlineStr">
        <is>
          <t>No apreciable</t>
        </is>
      </c>
      <c r="G70" s="63" t="n">
        <v>0</v>
      </c>
      <c r="H70" s="57" t="inlineStr">
        <is>
          <t>Qda. N - desemboca en CP Serrán</t>
        </is>
      </c>
    </row>
    <row r="71">
      <c r="A71" s="58" t="inlineStr">
        <is>
          <t>4</t>
        </is>
      </c>
      <c r="B71" s="58" t="inlineStr">
        <is>
          <t>Captación / reservorio</t>
        </is>
      </c>
      <c r="C71" s="64" t="n">
        <v>636151</v>
      </c>
      <c r="D71" s="64" t="n">
        <v>9398547</v>
      </c>
      <c r="E71" s="58" t="inlineStr">
        <is>
          <t>Permanente (operación)</t>
        </is>
      </c>
      <c r="F71" s="58" t="inlineStr">
        <is>
          <t>Apta (cloración aparente)</t>
        </is>
      </c>
      <c r="G71" s="65" t="n">
        <v>0</v>
      </c>
      <c r="H71" s="58" t="inlineStr">
        <is>
          <t>Reservorio JASS Serrán; concreto, ~10 m³, captación de manantial superior</t>
        </is>
      </c>
    </row>
    <row r="72">
      <c r="A72" s="57" t="inlineStr">
        <is>
          <t>5</t>
        </is>
      </c>
      <c r="B72" s="57" t="inlineStr">
        <is>
          <t>Quebrada Garabo</t>
        </is>
      </c>
      <c r="C72" s="62" t="n">
        <v>636150</v>
      </c>
      <c r="D72" s="62" t="n">
        <v>9396800</v>
      </c>
      <c r="E72" s="57" t="inlineStr">
        <is>
          <t>Estacional (lluvias)</t>
        </is>
      </c>
      <c r="F72" s="57" t="inlineStr">
        <is>
          <t>No evaluable</t>
        </is>
      </c>
      <c r="G72" s="62" t="n">
        <v>600</v>
      </c>
      <c r="H72" s="57" t="inlineStr">
        <is>
          <t>Qda. Garabo al sur; importante línea de drenaje</t>
        </is>
      </c>
    </row>
    <row r="75">
      <c r="A75" s="55" t="inlineStr">
        <is>
          <t>OBSERVACIONES DEL EVALUADOR POR FICHA</t>
        </is>
      </c>
    </row>
    <row r="76">
      <c r="A76" s="56" t="inlineStr">
        <is>
          <t>Ficha</t>
        </is>
      </c>
      <c r="B76" s="56" t="inlineStr">
        <is>
          <t>Observación registrada en campo</t>
        </is>
      </c>
    </row>
    <row r="77">
      <c r="A77" s="57" t="inlineStr">
        <is>
          <t>F-DT-01</t>
        </is>
      </c>
      <c r="B77" s="57" t="inlineStr">
        <is>
          <t>La fisiografía del bloque es característica de borde de cuenca seca interandina: colinas bajas de pendiente moderada a fuerte (15-35 %), expuestas al sector E-NE hacia el valle del río Huarmaca. La litología expuesta corresponde a pizarras y lutitas grises a rojizas fuertemente meteorizadas (Grupo Salas / Complejo del Marañón) con fragmentos angulosos sueltos. No se observaron deslizamientos activos durante la visita; sin embargo, la susceptibilidad a movimientos someros y flujos de detritos durante eventos extremos asociados al FEN costero es ALTA, evidenciada por terracillas de pisoteo, escarpes incipientes y por el depósito grueso del cauce activo del río Huarmaca colindante.</t>
        </is>
      </c>
    </row>
    <row r="78">
      <c r="A78" s="58" t="inlineStr">
        <is>
          <t>F-DT-02</t>
        </is>
      </c>
      <c r="B78" s="58" t="inlineStr">
        <is>
          <t>La erosión hídrica laminar y en surcos es el proceso geodinámico dominante del bloque, con afectación al ~35 % de la superficie concentrada en la franja altitudinal media (250-400 msnm), donde se combina pendiente moderada-fuerte, pisoteo intenso y exposición de suelo. Las cárcavas inventariadas son mayoritariamente incipientes a juveniles (anchos &lt;1.5 m, profundidades &lt;1.0 m) y se localizan en líneas preferenciales de escorrentía y en taludes de la trocha. La presencia de bloques métricos angulosos en el lecho del río Huarmaca colindante constituye evidencia geomorfológica de aportes de flujos detríticos históricos desde estas microcuencas hacia el valle. Se recomienda priorización de medidas de control mecánico-vegetal en la franja media y obras de estabilización puntual en quebradas internas.</t>
        </is>
      </c>
    </row>
    <row r="79">
      <c r="A79" s="57" t="inlineStr">
        <is>
          <t>F-DT-03</t>
        </is>
      </c>
      <c r="B79" s="57" t="inlineStr">
        <is>
          <t>El bloque sostiene un mosaico de matorral seco subarbustivo-arbustivo con relictos arbóreos dispersos del Bosque Estacionalmente Seco de Colina y Montaña. La cobertura vegetal total observada en el recorrido (período post-lluvias 2026) se estima en 55 % con dominio de los estratos arbustivo y herbáceo; el estrato arbóreo está muy empobrecido (cobertura &lt;10 %) y restringido a relictos en la divisoria y cabeceras de quebrada por encima de 450 msnm, donde la accesibilidad mecanizada y la presión de pastoreo son menores. Se confirmó la presencia de las cinco especies emblemáticas del BES_CM (Ceibo, Charán, Pasallo, Hualtaco, Palo Santo) más Algarrobo y abundancia de cactáceas columnares (Armatocereus, Neoraimondia) que toleran bien el déficit hídrico y son indicadoras de la comunidad climácica del piso altitudinal. La regeneración natural es escasa por ramoneo continuo. Tres especies registradas se encuentran categorizadas como amenazadas según DS 043-2006-AG (Algarrobo CR, Palo Santo CR, Hualtaco VU), lo que confiere al bloque un valor de conservación significativo a pesar del estado degradado de la matriz.</t>
        </is>
      </c>
    </row>
    <row r="80">
      <c r="A80" s="58" t="inlineStr">
        <is>
          <t>F-DT-04</t>
        </is>
      </c>
      <c r="B80" s="58" t="inlineStr">
        <is>
          <t>La degradación del bloque M2B1 es de origen marcadamente antrópico (motor principal: pastoreo extensivo + tala selectiva histórica) sobre un sustrato naturalmente susceptible (pendientes 15-35 %, suelos pedregosos delgados sobre lutitas meteorizadas, déficit hídrico estructural agravado por proyecciones climáticas SSP 5-8.5). Una presión emergente y crítica corresponde a la expansión urbana autorizada por la Municipalidad de Salitral en el flanco NE colindante con el CP Serrán (se observaron lotes Mz.H1-Lt.1 Calle Rosada y Mz.A1-Lt.2 Calle Estadio en franja antes ecosistémica). Esta presión sustituye irreversiblemente el ecosistema y demanda gestión urgente con la municipalidad distrital y el GORE Piura para asegurar el tamizaje predial definitivo y evitar superposición con futuras habilitaciones.</t>
        </is>
      </c>
    </row>
    <row r="81">
      <c r="A81" s="57" t="inlineStr">
        <is>
          <t>F-DT-05</t>
        </is>
      </c>
      <c r="B81" s="57" t="inlineStr">
        <is>
          <t>El bloque colinda al E con el río Huarmaca y es atravesado por dos quebradas estacionales sin nombre que descargan directamente en el CP Serrán; al sur lo bordea la quebrada Garabo. No hay fuentes superficiales permanentes dentro del bloque, pero el sector alto (&gt;500 msnm) constituye zona de recarga del manantial captado por la JASS Santa Rosa de Serrán (reservorio observado en cota 285 msnm). Esto establece un vínculo hidrológico directo entre la conservación del bloque y la seguridad hídrica del CP Serrán, configurando una oportunidad clara para acuerdos de retribución por servicios ecosistémicos (MERESE) entre la JASS y los usuarios prediales del bloque. La accesibilidad es buena en estiaje (≤90 min desde Chulucanas) y comprometida en lluvias por riesgo de huaicos en la quebrada Garabo.</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7"/>
  <sheetViews>
    <sheetView workbookViewId="0">
      <selection activeCell="A1" sqref="A1"/>
    </sheetView>
  </sheetViews>
  <sheetFormatPr baseColWidth="8" defaultRowHeight="15"/>
  <cols>
    <col width="44" customWidth="1" min="1" max="1"/>
    <col width="18" customWidth="1" min="2" max="2"/>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GRÁFICOS DE LA INTEGRACIÓN — BLOQUE M2B1</t>
        </is>
      </c>
    </row>
    <row r="7">
      <c r="A7" s="55" t="inlineStr">
        <is>
          <t>Hechos declarados por fuente</t>
        </is>
      </c>
    </row>
    <row r="8">
      <c r="A8" s="56" t="inlineStr">
        <is>
          <t>Fuente</t>
        </is>
      </c>
      <c r="B8" s="56" t="inlineStr">
        <is>
          <t>Hechos</t>
        </is>
      </c>
    </row>
    <row r="9">
      <c r="A9" s="57" t="inlineStr">
        <is>
          <t>Dato de campo</t>
        </is>
      </c>
      <c r="B9" s="57" t="n">
        <v>71</v>
      </c>
    </row>
    <row r="10">
      <c r="A10" s="58" t="inlineStr">
        <is>
          <t>Gabinete (GIS / teledetección)</t>
        </is>
      </c>
      <c r="B10" s="58" t="n">
        <v>22</v>
      </c>
    </row>
    <row r="11">
      <c r="A11" s="57" t="inlineStr">
        <is>
          <t>Fuente oficial</t>
        </is>
      </c>
      <c r="B11" s="57" t="n">
        <v>14</v>
      </c>
    </row>
    <row r="28">
      <c r="A28" s="55" t="inlineStr">
        <is>
          <t>Estado del cruce entre fuentes</t>
        </is>
      </c>
    </row>
    <row r="29">
      <c r="A29" s="56" t="inlineStr">
        <is>
          <t>Estado</t>
        </is>
      </c>
      <c r="B29" s="56" t="inlineStr">
        <is>
          <t>Hechos</t>
        </is>
      </c>
    </row>
    <row r="30">
      <c r="A30" s="57" t="inlineStr">
        <is>
          <t>CONFORME</t>
        </is>
      </c>
      <c r="B30" s="57" t="n">
        <v>95</v>
      </c>
    </row>
    <row r="31">
      <c r="A31" s="58" t="inlineStr">
        <is>
          <t>COMPLEMENTADO</t>
        </is>
      </c>
      <c r="B31" s="58" t="n">
        <v>0</v>
      </c>
    </row>
    <row r="32">
      <c r="A32" s="57" t="inlineStr">
        <is>
          <t>ACTUALIZADO</t>
        </is>
      </c>
      <c r="B32" s="57" t="n">
        <v>12</v>
      </c>
    </row>
    <row r="33">
      <c r="A33" s="58" t="inlineStr">
        <is>
          <t>DISCREPANTE</t>
        </is>
      </c>
      <c r="B33" s="58" t="n">
        <v>0</v>
      </c>
    </row>
    <row r="34">
      <c r="A34" s="57" t="inlineStr">
        <is>
          <t>PENDIENTE</t>
        </is>
      </c>
      <c r="B34" s="57" t="n">
        <v>7</v>
      </c>
    </row>
    <row r="51">
      <c r="A51" s="55" t="inlineStr">
        <is>
          <t>Cobertura por estrato — campo (%)</t>
        </is>
      </c>
    </row>
    <row r="52">
      <c r="A52" s="56" t="inlineStr">
        <is>
          <t>Estrato</t>
        </is>
      </c>
      <c r="B52" s="56" t="inlineStr">
        <is>
          <t>% del área</t>
        </is>
      </c>
    </row>
    <row r="53">
      <c r="A53" s="57" t="inlineStr">
        <is>
          <t>Dosel</t>
        </is>
      </c>
      <c r="B53" s="62" t="n">
        <v>20</v>
      </c>
    </row>
    <row r="54">
      <c r="A54" s="58" t="inlineStr">
        <is>
          <t>Arbustiva</t>
        </is>
      </c>
      <c r="B54" s="64" t="n">
        <v>35</v>
      </c>
    </row>
    <row r="55">
      <c r="A55" s="57" t="inlineStr">
        <is>
          <t>Herbácea</t>
        </is>
      </c>
      <c r="B55" s="62" t="n">
        <v>15</v>
      </c>
    </row>
    <row r="56">
      <c r="A56" s="58" t="inlineStr">
        <is>
          <t>Hojarasca</t>
        </is>
      </c>
      <c r="B56" s="64" t="n">
        <v>2026</v>
      </c>
    </row>
    <row r="57">
      <c r="A57" s="57" t="inlineStr">
        <is>
          <t>Suelo desnudo</t>
        </is>
      </c>
      <c r="B57" s="62" t="n">
        <v>40</v>
      </c>
    </row>
    <row r="74">
      <c r="A74" s="55" t="inlineStr">
        <is>
          <t>Causas activas de degradación (F-DT-04)</t>
        </is>
      </c>
    </row>
    <row r="75">
      <c r="A75" s="56" t="inlineStr">
        <is>
          <t>Causa</t>
        </is>
      </c>
      <c r="B75" s="56" t="inlineStr">
        <is>
          <t>Intensidad (1 ligera - 4 muy fuerte)</t>
        </is>
      </c>
    </row>
    <row r="76">
      <c r="A76" s="57" t="inlineStr">
        <is>
          <t>Cambio de uso a pastoreo</t>
        </is>
      </c>
      <c r="B76" s="57" t="n">
        <v>3</v>
      </c>
    </row>
    <row r="77">
      <c r="A77" s="58" t="inlineStr">
        <is>
          <t>Sequía prolongada / CC</t>
        </is>
      </c>
      <c r="B77" s="58" t="n">
        <v>3</v>
      </c>
    </row>
    <row r="78">
      <c r="A78" s="57" t="inlineStr">
        <is>
          <t>Sobrepastoreo (caprino/vacuno)</t>
        </is>
      </c>
      <c r="B78" s="57" t="n">
        <v>3</v>
      </c>
    </row>
    <row r="79">
      <c r="A79" s="58" t="inlineStr">
        <is>
          <t>Erosión natural severa</t>
        </is>
      </c>
      <c r="B79" s="58" t="n">
        <v>2</v>
      </c>
    </row>
    <row r="80">
      <c r="A80" s="57" t="inlineStr">
        <is>
          <t>Especies invasoras</t>
        </is>
      </c>
      <c r="B80" s="57" t="n">
        <v>2</v>
      </c>
    </row>
    <row r="81">
      <c r="A81" s="58" t="inlineStr">
        <is>
          <t>Expansión urbana / vial</t>
        </is>
      </c>
      <c r="B81" s="58" t="n">
        <v>2</v>
      </c>
    </row>
    <row r="82">
      <c r="A82" s="57" t="inlineStr">
        <is>
          <t>Tala para leña</t>
        </is>
      </c>
      <c r="B82" s="57" t="n">
        <v>2</v>
      </c>
    </row>
    <row r="83">
      <c r="A83" s="58" t="inlineStr">
        <is>
          <t>Tala para madera</t>
        </is>
      </c>
      <c r="B83" s="58" t="n">
        <v>2</v>
      </c>
    </row>
    <row r="84">
      <c r="A84" s="57" t="inlineStr">
        <is>
          <t>Otro</t>
        </is>
      </c>
      <c r="B84" s="57" t="n">
        <v>1</v>
      </c>
    </row>
    <row r="85">
      <c r="A85" s="58" t="inlineStr">
        <is>
          <t>Tala para carbón</t>
        </is>
      </c>
      <c r="B85" s="58" t="n">
        <v>1</v>
      </c>
    </row>
    <row r="102">
      <c r="A102" s="55" t="inlineStr">
        <is>
          <t>Control de consistencia por calificación</t>
        </is>
      </c>
    </row>
    <row r="103">
      <c r="A103" s="56" t="inlineStr">
        <is>
          <t>Calificación</t>
        </is>
      </c>
      <c r="B103" s="56" t="inlineStr">
        <is>
          <t>Verificaciones</t>
        </is>
      </c>
    </row>
    <row r="104">
      <c r="A104" s="57" t="inlineStr">
        <is>
          <t>SUSTANTIVA</t>
        </is>
      </c>
      <c r="B104" s="57" t="n">
        <v>7</v>
      </c>
    </row>
    <row r="105">
      <c r="A105" s="58" t="inlineStr">
        <is>
          <t>NO SUSTANTIVA</t>
        </is>
      </c>
      <c r="B105" s="58" t="n">
        <v>3</v>
      </c>
    </row>
    <row r="106">
      <c r="A106" s="57" t="inlineStr">
        <is>
          <t>CORREGIDO</t>
        </is>
      </c>
      <c r="B106" s="57" t="n">
        <v>13</v>
      </c>
    </row>
    <row r="107">
      <c r="A107" s="58" t="inlineStr">
        <is>
          <t>CONFORME</t>
        </is>
      </c>
      <c r="B107" s="58"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M2B1 — IN Piura</dc:title>
  <dc:subject>Diagnóstico Territorial por bloque de intervención</dc:subject>
  <dcterms:created xsi:type="dcterms:W3CDTF">2026-09-08T03:39:58Z</dcterms:created>
  <dcterms:modified xsi:type="dcterms:W3CDTF">2026-09-11T20:22:37Z</dcterms:modified>
</cp:coreProperties>
</file>