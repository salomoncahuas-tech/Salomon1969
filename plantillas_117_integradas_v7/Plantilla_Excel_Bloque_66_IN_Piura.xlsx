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166" fontId="6" fillId="0" borderId="7" pivotButton="0" quotePrefix="0" xfId="0"/>
    <xf numFmtId="166" fontId="6" fillId="5" borderId="7" pivotButton="0" quotePrefix="0" xfId="0"/>
    <xf numFmtId="4" fontId="6" fillId="0" borderId="7" pivotButton="0" quotePrefix="0" xfId="0"/>
    <xf numFmtId="4"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integración'!$A$53:$A$55</f>
            </numRef>
          </cat>
          <val>
            <numRef>
              <f>'Gráficos de integración'!$B$53:$B$55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integración'!B73</f>
            </strRef>
          </tx>
          <spPr>
            <a:ln>
              <a:prstDash val="solid"/>
            </a:ln>
          </spPr>
          <cat>
            <numRef>
              <f>'Gráficos de integración'!$A$74:$A$79</f>
            </numRef>
          </cat>
          <val>
            <numRef>
              <f>'Gráficos de integración'!$B$74:$B$79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integración'!B97</f>
            </strRef>
          </tx>
          <spPr>
            <a:ln>
              <a:prstDash val="solid"/>
            </a:ln>
          </spPr>
          <cat>
            <numRef>
              <f>'Gráficos de integración'!$A$98:$A$101</f>
            </numRef>
          </cat>
          <val>
            <numRef>
              <f>'Gráficos de integración'!$B$98:$B$101</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72</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96</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66</t>
        </is>
      </c>
    </row>
    <row r="6" ht="24" customHeight="1">
      <c r="A6" s="4" t="inlineStr">
        <is>
          <t>Diagnóstico Territorial — Plantilla DT Campo Check Validada V5 | Sistema de referencia: UTM WGS 84 Zona 17S (EPSG:32717) · Integrado con la ficha de campo F-DT vigente (Plantilla_DT_Campo_Bloque66_IN_Piura.xlsx) — V7 - resumen V6 + campo F-DT integrado</t>
        </is>
      </c>
    </row>
    <row r="7"/>
    <row r="8" ht="18" customHeight="1">
      <c r="A8" s="5" t="inlineStr">
        <is>
          <t>1. IDENTIFICACIÓN Y LOCALIZACIÓN</t>
        </is>
      </c>
    </row>
    <row r="9">
      <c r="A9" s="6" t="inlineStr">
        <is>
          <t>Código del bloque</t>
        </is>
      </c>
      <c r="B9" s="7" t="inlineStr">
        <is>
          <t>66</t>
        </is>
      </c>
      <c r="C9" s="6" t="inlineStr">
        <is>
          <t>Microcuenca (catálogo)</t>
        </is>
      </c>
      <c r="D9" s="7" t="inlineStr">
        <is>
          <t>C1081-Q9591</t>
        </is>
      </c>
      <c r="E9" s="8" t="n"/>
      <c r="F9" s="8" t="n"/>
    </row>
    <row r="10">
      <c r="A10" s="6" t="inlineStr">
        <is>
          <t>Zona de planificación</t>
        </is>
      </c>
      <c r="B10" s="7" t="inlineStr">
        <is>
          <t>Z11</t>
        </is>
      </c>
      <c r="C10" s="6" t="inlineStr">
        <is>
          <t>Microcuenca declarada en ficha DT</t>
        </is>
      </c>
      <c r="D10" s="7" t="inlineStr">
        <is>
          <t>C1076-Q9584 (según ficha — valor por defecto de plantilla; catálogo: C1081-Q9591)</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Canchaque</t>
        </is>
      </c>
      <c r="C12" s="6" t="inlineStr">
        <is>
          <t>Capital distrital</t>
        </is>
      </c>
      <c r="D12" s="7" t="inlineStr">
        <is>
          <t>Canchaque</t>
        </is>
      </c>
      <c r="E12" s="8" t="n"/>
      <c r="F12" s="8" t="n"/>
    </row>
    <row r="13">
      <c r="A13" s="6" t="inlineStr">
        <is>
          <t>Centro poblado asociado</t>
        </is>
      </c>
      <c r="B13" s="7" t="inlineStr">
        <is>
          <t>Huamala</t>
        </is>
      </c>
      <c r="C13" s="6" t="inlineStr">
        <is>
          <t>Comunidad campesina</t>
        </is>
      </c>
      <c r="D13" s="7" t="inlineStr">
        <is>
          <t>Por verificar</t>
        </is>
      </c>
      <c r="E13" s="8" t="n"/>
      <c r="F13" s="8" t="n"/>
    </row>
    <row r="14">
      <c r="A14" s="6" t="inlineStr">
        <is>
          <t>Superficie de catálogo (V5/V6), ha</t>
        </is>
      </c>
      <c r="B14" s="7" t="n">
        <v>102.34</v>
      </c>
      <c r="C14" s="6" t="inlineStr">
        <is>
          <t>Fuente de superficie</t>
        </is>
      </c>
      <c r="D14" s="7" t="inlineStr">
        <is>
          <t>Catálogo maestro Bloques V5/V6</t>
        </is>
      </c>
      <c r="E14" s="8" t="n"/>
      <c r="F14" s="8" t="n"/>
    </row>
    <row r="15">
      <c r="A15" s="6" t="inlineStr">
        <is>
          <t>Centroide UTM ESTE (m)</t>
        </is>
      </c>
      <c r="B15" s="7" t="n">
        <v>652566</v>
      </c>
      <c r="C15" s="6" t="inlineStr">
        <is>
          <t>Centroide UTM NORTE (m)</t>
        </is>
      </c>
      <c r="D15" s="7" t="n">
        <v>9417311</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1171</v>
      </c>
      <c r="C19" s="6" t="inlineStr">
        <is>
          <t>Altitud máxima (msnm)</t>
        </is>
      </c>
      <c r="D19" s="7" t="n">
        <v>1769</v>
      </c>
      <c r="E19" s="8" t="n"/>
      <c r="F19" s="8" t="n"/>
    </row>
    <row r="20">
      <c r="A20" s="6" t="inlineStr">
        <is>
          <t>Amplitud altitudinal (m)</t>
        </is>
      </c>
      <c r="B20" s="7" t="n">
        <v>598</v>
      </c>
      <c r="C20" s="6" t="inlineStr">
        <is>
          <t>Piso altitudinal dominante</t>
        </is>
      </c>
      <c r="D20" s="7" t="inlineStr">
        <is>
          <t>1000-1500 m (Quechua baja)</t>
        </is>
      </c>
      <c r="E20" s="8" t="n"/>
      <c r="F20" s="8" t="n"/>
    </row>
    <row r="21">
      <c r="A21" s="6" t="inlineStr">
        <is>
          <t>Pendiente promedio (%)</t>
        </is>
      </c>
      <c r="B21" s="7" t="n">
        <v>31.55</v>
      </c>
      <c r="C21" s="6" t="inlineStr">
        <is>
          <t>Pendiente promedio (grados)</t>
        </is>
      </c>
      <c r="D21" s="7" t="n">
        <v>17.5</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0.6403</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(94.08 %)</t>
        </is>
      </c>
      <c r="E29" s="8" t="n"/>
      <c r="F29" s="8" t="n"/>
    </row>
    <row r="30">
      <c r="A30" s="6" t="inlineStr">
        <is>
          <t>Superficie clasificada NDVI 2025 (ha)</t>
        </is>
      </c>
      <c r="B30" s="7" t="n">
        <v>102.358</v>
      </c>
      <c r="C30" s="6" t="inlineStr">
        <is>
          <t>Desviación frente al catálogo (%)</t>
        </is>
      </c>
      <c r="D30" s="7" t="n">
        <v>0.02</v>
      </c>
      <c r="E30" s="8" t="n"/>
      <c r="F30" s="8" t="n"/>
    </row>
    <row r="31">
      <c r="A31" s="6" t="inlineStr">
        <is>
          <t>Superficie clasificada MSAVI 2024 (ha)</t>
        </is>
      </c>
      <c r="B31" s="38" t="n">
        <v>102.335</v>
      </c>
      <c r="C31" s="6" t="inlineStr">
        <is>
          <t>Desviación MSAVI frente al catálogo (%)</t>
        </is>
      </c>
      <c r="D31" s="39" t="n">
        <v>0</v>
      </c>
      <c r="E31" s="8" t="n"/>
      <c r="F31" s="8" t="n"/>
    </row>
    <row r="32">
      <c r="A32" s="6" t="inlineStr">
        <is>
          <t>Superficie bajo umbral MSAVI 0.4976 (ha)</t>
        </is>
      </c>
      <c r="B32" s="38" t="n">
        <v>9.047000000000001</v>
      </c>
      <c r="C32" s="6" t="inlineStr">
        <is>
          <t>% del bloque bajo umbral (brecha espectral)</t>
        </is>
      </c>
      <c r="D32" s="39" t="n">
        <v>8.84</v>
      </c>
      <c r="E32" s="8" t="n"/>
      <c r="F32" s="8" t="n"/>
    </row>
    <row r="33">
      <c r="A33" s="6" t="inlineStr">
        <is>
          <t>Clase DN dominante (MSAVI 2024)</t>
        </is>
      </c>
      <c r="B33" s="7" t="inlineStr">
        <is>
          <t>DN 5 · &gt; 0.6139 (Vigor alto)</t>
        </is>
      </c>
      <c r="C33" s="6" t="inlineStr">
        <is>
          <t>N.° de polígonos MSAVI del bloque</t>
        </is>
      </c>
      <c r="D33" s="40" t="n">
        <v>255</v>
      </c>
      <c r="E33" s="8" t="n"/>
      <c r="F33" s="8" t="n"/>
    </row>
    <row r="34"/>
    <row r="35" ht="18" customHeight="1">
      <c r="A35" s="5" t="inlineStr">
        <is>
          <t>4. ECOSISTEMA Y ESTADO DE CONSERVACIÓN</t>
        </is>
      </c>
    </row>
    <row r="36">
      <c r="A36" s="6" t="inlineStr">
        <is>
          <t>Tipo de ecosistema (UP)</t>
        </is>
      </c>
      <c r="B36" s="7" t="inlineStr">
        <is>
          <t>Matorral Andino subhúmedo</t>
        </is>
      </c>
      <c r="C36" s="6" t="inlineStr">
        <is>
          <t>Superficie de ecosistema (ha)</t>
        </is>
      </c>
      <c r="D36" s="7" t="inlineStr">
        <is>
          <t>Por verificar (Reporte de Ecosistemas por Bloques V5)</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Matorral denso</t>
        </is>
      </c>
      <c r="C38" s="6" t="inlineStr">
        <is>
          <t>Cobertura vegetal total — campo (%)</t>
        </is>
      </c>
      <c r="D38" s="7" t="n">
        <v>92</v>
      </c>
      <c r="E38" s="8" t="n"/>
      <c r="F38" s="8" t="n"/>
    </row>
    <row r="39">
      <c r="A39" s="6" t="inlineStr">
        <is>
          <t>Suelo desnudo — campo (%)</t>
        </is>
      </c>
      <c r="B39" s="7" t="n">
        <v>5</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inlineStr">
        <is>
          <t>0 registradas — inventario NO ejecutado</t>
        </is>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50" t="inlineStr">
        <is>
          <t>Héctor Cahuas — brigada: Albert Flores Mendoza (operador de dron)</t>
        </is>
      </c>
      <c r="C44" s="6" t="inlineStr">
        <is>
          <t>Fecha de evaluación</t>
        </is>
      </c>
      <c r="D44" s="7" t="inlineStr">
        <is>
          <t>2026-08-10</t>
        </is>
      </c>
      <c r="E44" s="8" t="n"/>
      <c r="F44" s="8" t="n"/>
    </row>
    <row r="45">
      <c r="A45" s="6" t="inlineStr">
        <is>
          <t>Hora de registro</t>
        </is>
      </c>
      <c r="B45" s="7" t="inlineStr">
        <is>
          <t>Vuelo RPAS — hora por confirmar con EXIF</t>
        </is>
      </c>
      <c r="C45" s="6" t="inlineStr">
        <is>
          <t>Correlativo de ficha</t>
        </is>
      </c>
      <c r="D45" s="7" t="inlineStr">
        <is>
          <t>DT-66-01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aplica — lectura aérea (sin parcela instalada)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Ocupación productiva de laderas de fuerte pendiente sin prácticas de conservación de suelos, favorecida por la accesibilidad</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66</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0" t="n">
        <v>61.0341</v>
      </c>
      <c r="C10" s="29">
        <f>ROUND(B10/$B$15*100,2)</f>
        <v/>
      </c>
      <c r="D10" s="12" t="inlineStr">
        <is>
          <t>Vigor alto</t>
        </is>
      </c>
      <c r="E10" s="12" t="inlineStr">
        <is>
          <t>Sobre umbral</t>
        </is>
      </c>
    </row>
    <row r="11">
      <c r="A11" s="13" t="inlineStr">
        <is>
          <t>0.4976 - 0.6139 · DN 4</t>
        </is>
      </c>
      <c r="B11" s="20" t="n">
        <v>32.2536</v>
      </c>
      <c r="C11" s="21">
        <f>ROUND(B11/$B$15*100,2)</f>
        <v/>
      </c>
      <c r="D11" s="14" t="inlineStr">
        <is>
          <t>Vigor moderado</t>
        </is>
      </c>
      <c r="E11" s="14" t="inlineStr">
        <is>
          <t>Sobre umbral</t>
        </is>
      </c>
    </row>
    <row r="12">
      <c r="A12" s="7" t="inlineStr">
        <is>
          <t>0.3813 - 0.4976 · DN 3</t>
        </is>
      </c>
      <c r="B12" s="18" t="n">
        <v>8.497400000000001</v>
      </c>
      <c r="C12" s="19">
        <f>ROUND(B12/$B$15*100,2)</f>
        <v/>
      </c>
      <c r="D12" s="15" t="inlineStr">
        <is>
          <t>Vigor bajo</t>
        </is>
      </c>
      <c r="E12" s="15" t="inlineStr">
        <is>
          <t>BAJO umbral 0.4976</t>
        </is>
      </c>
    </row>
    <row r="13">
      <c r="A13" s="13" t="inlineStr">
        <is>
          <t>0.2650 - 0.3813 · DN 2</t>
        </is>
      </c>
      <c r="B13" s="20" t="n">
        <v>0.5303</v>
      </c>
      <c r="C13" s="21">
        <f>ROUND(B13/$B$15*100,2)</f>
        <v/>
      </c>
      <c r="D13" s="14" t="inlineStr">
        <is>
          <t>Vigor muy bajo</t>
        </is>
      </c>
      <c r="E13" s="14" t="inlineStr">
        <is>
          <t>BAJO umbral 0.4976</t>
        </is>
      </c>
    </row>
    <row r="14">
      <c r="A14" s="7" t="inlineStr">
        <is>
          <t>&lt;= 0.2650 · DN 1</t>
        </is>
      </c>
      <c r="B14" s="18" t="n">
        <v>0.0198</v>
      </c>
      <c r="C14" s="19">
        <f>ROUND(B14/$B$15*100,2)</f>
        <v/>
      </c>
      <c r="D14" s="15" t="inlineStr">
        <is>
          <t>Suelo desnudo / no vegetal</t>
        </is>
      </c>
      <c r="E14" s="15" t="inlineStr">
        <is>
          <t>BAJO umbral 0.4976</t>
        </is>
      </c>
    </row>
    <row r="15" ht="30" customHeight="1">
      <c r="A15" s="43" t="inlineStr">
        <is>
          <t>TOTAL CLASIFICADO MSAVI 2024</t>
        </is>
      </c>
      <c r="B15" s="44">
        <f>SUM(B10:B14)</f>
        <v/>
      </c>
      <c r="C15" s="45">
        <f>SUM(C10:C14)</f>
        <v/>
      </c>
      <c r="D15" s="43" t="inlineStr">
        <is>
          <t>Suma de la distribución areal · 255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102.34</v>
      </c>
      <c r="C18" s="49" t="inlineStr">
        <is>
          <t>—</t>
        </is>
      </c>
      <c r="D18" s="46" t="inlineStr">
        <is>
          <t>Desviación planimétrica frente al catálogo</t>
        </is>
      </c>
      <c r="E18" s="46" t="inlineStr">
        <is>
          <t>+0.00 %</t>
        </is>
      </c>
    </row>
    <row r="19">
      <c r="A19" s="16" t="inlineStr">
        <is>
          <t>MSAVI 2024 — MEDIA DEL BLOQUE</t>
        </is>
      </c>
      <c r="B19" s="17" t="n">
        <v>0.640254</v>
      </c>
      <c r="C19" s="17" t="inlineStr">
        <is>
          <t>—</t>
        </is>
      </c>
      <c r="D19" s="17" t="inlineStr">
        <is>
          <t>Vigor alto · clase &gt;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255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(0.6403)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96.2992</v>
      </c>
      <c r="C25" s="19" t="n">
        <v>94.08</v>
      </c>
      <c r="D25" s="15" t="inlineStr">
        <is>
          <t>Dosel continuo, matorral denso o mosaico agroforestal</t>
        </is>
      </c>
      <c r="E25" s="15" t="inlineStr"/>
    </row>
    <row r="26">
      <c r="A26" s="13" t="inlineStr">
        <is>
          <t>Vegetación mediana</t>
        </is>
      </c>
      <c r="B26" s="20" t="n">
        <v>5.9798</v>
      </c>
      <c r="C26" s="21" t="n">
        <v>5.84</v>
      </c>
      <c r="D26" s="14" t="inlineStr">
        <is>
          <t>Pastizal cultivado, matorral ralo, parcelas agrícolas</t>
        </is>
      </c>
      <c r="E26" s="14" t="inlineStr"/>
    </row>
    <row r="27">
      <c r="A27" s="7" t="inlineStr">
        <is>
          <t>Vegetación ligera</t>
        </is>
      </c>
      <c r="B27" s="18" t="n">
        <v>0.0791</v>
      </c>
      <c r="C27" s="19" t="n">
        <v>0.08</v>
      </c>
      <c r="D27" s="15" t="inlineStr">
        <is>
          <t>Cobertura discontinua, suelo parcialmente expuesto</t>
        </is>
      </c>
      <c r="E27" s="15" t="inlineStr"/>
    </row>
    <row r="28">
      <c r="A28" s="16" t="inlineStr">
        <is>
          <t>TOTAL CLASIFICADO</t>
        </is>
      </c>
      <c r="B28" s="22">
        <f>SUM(B25:B27)</f>
        <v/>
      </c>
      <c r="C28" s="23">
        <f>SUM(C25:C27)</f>
        <v/>
      </c>
      <c r="D28" s="17" t="inlineStr"/>
      <c r="E28" s="17" t="inlineStr"/>
    </row>
    <row r="29">
      <c r="A29" s="24" t="inlineStr">
        <is>
          <t>Superficie de catálogo (V5/V6)</t>
        </is>
      </c>
      <c r="B29" s="25" t="n">
        <v>102.34</v>
      </c>
      <c r="C29" s="25" t="inlineStr">
        <is>
          <t>—</t>
        </is>
      </c>
      <c r="D29" s="25" t="inlineStr">
        <is>
          <t>Desviación planimétrica frente al catálogo</t>
        </is>
      </c>
      <c r="E29" s="25" t="inlineStr">
        <is>
          <t>+0.02 %</t>
        </is>
      </c>
    </row>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92 % frente a un 94.08 % del polígono clasificado como «Vegetación alta» por el NDVI 2025; la observación de campo corresponde a una parcela o recorrido puntual y no es estadísticamente representativa de las 102.340 ha del bloque.</t>
        </is>
      </c>
      <c r="B31" s="41" t="n"/>
      <c r="C31" s="41" t="n"/>
      <c r="D31" s="41" t="n"/>
      <c r="E31" s="42" t="n"/>
    </row>
  </sheetData>
  <mergeCells count="10">
    <mergeCell ref="A21:E21"/>
    <mergeCell ref="A4:E4"/>
    <mergeCell ref="A2:E2"/>
    <mergeCell ref="A5:E5"/>
    <mergeCell ref="A1:E1"/>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66</t>
        </is>
      </c>
    </row>
    <row r="6" ht="24" customHeight="1">
      <c r="A6" s="4" t="inlineStr">
        <is>
          <t>Levantamiento del 2026-08-10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652566</v>
      </c>
      <c r="D10" s="26" t="n">
        <v>9417311</v>
      </c>
      <c r="E10" s="15" t="n">
        <v>0</v>
      </c>
      <c r="F10" s="15" t="inlineStr"/>
      <c r="G10" s="15" t="inlineStr">
        <is>
          <t>Coordenada consignada en F-DT-01</t>
        </is>
      </c>
    </row>
    <row r="11">
      <c r="A11" s="13" t="inlineStr">
        <is>
          <t>H-01</t>
        </is>
      </c>
      <c r="B11" s="14" t="inlineStr">
        <is>
          <t>Fuente de agua — Quebrada permanente</t>
        </is>
      </c>
      <c r="C11" s="27" t="inlineStr">
        <is>
          <t>Por verificar</t>
        </is>
      </c>
      <c r="D11" s="27" t="inlineStr">
        <is>
          <t>Por verificar</t>
        </is>
      </c>
      <c r="E11" s="14" t="inlineStr"/>
      <c r="F11" s="14" t="inlineStr">
        <is>
          <t>Permanente</t>
        </is>
      </c>
      <c r="G11" s="14" t="inlineStr">
        <is>
          <t>Cauce principal del flanco</t>
        </is>
      </c>
    </row>
    <row r="12">
      <c r="A12" s="7" t="inlineStr">
        <is>
          <t>H-02</t>
        </is>
      </c>
      <c r="B12" s="15" t="inlineStr">
        <is>
          <t>Fuente de agua — Quebrada estacional</t>
        </is>
      </c>
      <c r="C12" s="26" t="inlineStr">
        <is>
          <t>Por verificar</t>
        </is>
      </c>
      <c r="D12" s="26" t="inlineStr">
        <is>
          <t>Por verificar</t>
        </is>
      </c>
      <c r="E12" s="15" t="inlineStr"/>
      <c r="F12" s="15" t="inlineStr">
        <is>
          <t>Estacional</t>
        </is>
      </c>
      <c r="G12" s="15" t="inlineStr">
        <is>
          <t>Tributarios que disectan la ladera</t>
        </is>
      </c>
    </row>
    <row r="13">
      <c r="A13" s="13" t="inlineStr">
        <is>
          <t>H-03</t>
        </is>
      </c>
      <c r="B13" s="14" t="inlineStr">
        <is>
          <t>Fuente de agua — Río</t>
        </is>
      </c>
      <c r="C13" s="27" t="inlineStr">
        <is>
          <t>Por verificar</t>
        </is>
      </c>
      <c r="D13" s="27" t="inlineStr">
        <is>
          <t>Por verificar</t>
        </is>
      </c>
      <c r="E13" s="14" t="inlineStr"/>
      <c r="F13" s="14" t="inlineStr">
        <is>
          <t>Permanente</t>
        </is>
      </c>
      <c r="G13" s="14" t="inlineStr">
        <is>
          <t>Río de fondo de valle</t>
        </is>
      </c>
    </row>
    <row r="14">
      <c r="A14" s="16" t="inlineStr">
        <is>
          <t>TOTAL: 4 puntos</t>
        </is>
      </c>
      <c r="B14" s="17" t="inlineStr"/>
      <c r="C14" s="17" t="inlineStr"/>
      <c r="D14" s="17" t="inlineStr"/>
      <c r="E14" s="17" t="inlineStr"/>
      <c r="F14" s="17" t="inlineStr"/>
      <c r="G14" s="17" t="inlineStr"/>
    </row>
    <row r="16">
      <c r="A16" s="6" t="inlineStr">
        <is>
          <t>Centroide del bloque — UTM ESTE (m)</t>
        </is>
      </c>
      <c r="B16" s="7" t="n">
        <v>652566</v>
      </c>
      <c r="C16" s="6" t="inlineStr">
        <is>
          <t>Centroide del bloque — UTM NORTE (m)</t>
        </is>
      </c>
      <c r="D16" s="7" t="n">
        <v>9417311</v>
      </c>
      <c r="E16" s="8" t="n"/>
      <c r="F16" s="8" t="n"/>
      <c r="G16" s="8" t="n"/>
      <c r="H16" s="8" t="n"/>
    </row>
    <row r="17">
      <c r="A17" s="6" t="inlineStr">
        <is>
          <t>N.° de estaciones fotográficas declaradas</t>
        </is>
      </c>
      <c r="B17" s="7" t="n">
        <v>0</v>
      </c>
      <c r="C17" s="6" t="inlineStr">
        <is>
          <t>Estaciones dentro del polígono</t>
        </is>
      </c>
      <c r="D17" s="7" t="n">
        <v>0</v>
      </c>
      <c r="E17" s="8" t="n"/>
      <c r="F17" s="8" t="n"/>
      <c r="G17" s="8" t="n"/>
      <c r="H17" s="8" t="n"/>
    </row>
    <row r="19" ht="168" customHeight="1">
      <c r="A19"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EJECUTADA MEDIANTE VUELO DE DRON (RPAS) con tomas oblicuas y cenitales; NO hubo recorrido pedestre ni levantamiento GPS de puntos, por lo que las coordenadas consignadas corresponden al CENTROIDE del polígono (Bloques V4/V5). Superficie oficial 102.34 ha: EL BLOQUE MÁS EXTENSO de la microcuenca C1081-Q9591. Rango altitudinal 1 171-1 769 msnm (MDE), amplitud 598 m: el polígono cabalga las clases 1000-1500 m y 1500-2000 m; se consigna la primera por cota media (1 470 msnm) y se deja constancia del carácter transicional. Pendiente promedio zonal 31.55% ≈ 17.5° (clase 25-50%), muy por debajo del umbral de exclusión de 75%. Indicios verificados en las tomas: farallones y afloramientos en la divisoria, escarpe activo con suelo desnudo y material suelto en ladera de pastizal del sector centro-norte, terracetas y sendas de ganado (reptación) y socavamiento en el cauce principal. PMM PRELIMINAR: MEDIO-ALTO.</t>
        </is>
      </c>
      <c r="B19" s="41" t="n"/>
      <c r="C19" s="41" t="n"/>
      <c r="D19" s="41" t="n"/>
      <c r="E19" s="41" t="n"/>
      <c r="F19" s="41" t="n"/>
      <c r="G19" s="42" t="n"/>
    </row>
  </sheetData>
  <mergeCells count="8">
    <mergeCell ref="A1:G1"/>
    <mergeCell ref="A8:G8"/>
    <mergeCell ref="A3:G3"/>
    <mergeCell ref="A6:G6"/>
    <mergeCell ref="A4:G4"/>
    <mergeCell ref="A2:G2"/>
    <mergeCell ref="A19:G19"/>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C1081-Q9591 — BLOQUE 66</t>
        </is>
      </c>
    </row>
    <row r="6" ht="24" customHeight="1">
      <c r="A6" s="4" t="inlineStr">
        <is>
          <t>Distrito de Canchaque · Provincia de Huancabamba · Comparación de los bloques preliminares de intervención de la misma microcuenca</t>
        </is>
      </c>
    </row>
    <row r="8" ht="18" customHeight="1">
      <c r="A8" s="5" t="inlineStr">
        <is>
          <t>BLOQUES DE LA MICROCUENCA C1081-Q9591</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1" t="inlineStr">
        <is>
          <t>► 66</t>
        </is>
      </c>
      <c r="B10" s="28" t="n">
        <v>102.34</v>
      </c>
      <c r="C10" s="29" t="n">
        <v>18.53</v>
      </c>
      <c r="D10" s="12" t="inlineStr">
        <is>
          <t>1171 – 1769</t>
        </is>
      </c>
      <c r="E10" s="12" t="n">
        <v>598</v>
      </c>
      <c r="F10" s="12" t="n">
        <v>31.55</v>
      </c>
      <c r="G10" s="30" t="n">
        <v>0.6403</v>
      </c>
      <c r="H10" s="29" t="n">
        <v>94.08</v>
      </c>
      <c r="I10" s="29" t="n">
        <v>8.84</v>
      </c>
    </row>
    <row r="11">
      <c r="A11" s="13" t="inlineStr">
        <is>
          <t>M30B5</t>
        </is>
      </c>
      <c r="B11" s="31" t="n">
        <v>90.90000000000001</v>
      </c>
      <c r="C11" s="21" t="n">
        <v>16.46</v>
      </c>
      <c r="D11" s="14" t="inlineStr">
        <is>
          <t>1782 – 2307</t>
        </is>
      </c>
      <c r="E11" s="14" t="n">
        <v>525</v>
      </c>
      <c r="F11" s="14" t="n">
        <v>21.23</v>
      </c>
      <c r="G11" s="20" t="n">
        <v>0.5564</v>
      </c>
      <c r="H11" s="21" t="n">
        <v>79.45999999999999</v>
      </c>
      <c r="I11" s="21" t="n">
        <v>33.03</v>
      </c>
    </row>
    <row r="12">
      <c r="A12" s="7" t="inlineStr">
        <is>
          <t>21</t>
        </is>
      </c>
      <c r="B12" s="32" t="n">
        <v>84.23</v>
      </c>
      <c r="C12" s="19" t="n">
        <v>15.25</v>
      </c>
      <c r="D12" s="15" t="inlineStr">
        <is>
          <t>1353 – 2004</t>
        </is>
      </c>
      <c r="E12" s="15" t="n">
        <v>651</v>
      </c>
      <c r="F12" s="15" t="n">
        <v>31.71</v>
      </c>
      <c r="G12" s="18" t="n">
        <v>0.6201</v>
      </c>
      <c r="H12" s="19" t="n">
        <v>89.39</v>
      </c>
      <c r="I12" s="19" t="n">
        <v>5.17</v>
      </c>
    </row>
    <row r="13">
      <c r="A13" s="13" t="inlineStr">
        <is>
          <t>28</t>
        </is>
      </c>
      <c r="B13" s="31" t="n">
        <v>52.97</v>
      </c>
      <c r="C13" s="21" t="n">
        <v>9.59</v>
      </c>
      <c r="D13" s="14" t="inlineStr">
        <is>
          <t>1462 – 1856</t>
        </is>
      </c>
      <c r="E13" s="14" t="n">
        <v>394</v>
      </c>
      <c r="F13" s="14" t="n">
        <v>30.36</v>
      </c>
      <c r="G13" s="20" t="n">
        <v>0.6394</v>
      </c>
      <c r="H13" s="21" t="n">
        <v>96.64</v>
      </c>
      <c r="I13" s="21" t="n">
        <v>0.93</v>
      </c>
    </row>
    <row r="14">
      <c r="A14" s="7" t="inlineStr">
        <is>
          <t>26</t>
        </is>
      </c>
      <c r="B14" s="32" t="n">
        <v>46.96</v>
      </c>
      <c r="C14" s="19" t="n">
        <v>8.5</v>
      </c>
      <c r="D14" s="15" t="inlineStr">
        <is>
          <t>1260 – 1855</t>
        </is>
      </c>
      <c r="E14" s="15" t="n">
        <v>595</v>
      </c>
      <c r="F14" s="15" t="n">
        <v>32.26</v>
      </c>
      <c r="G14" s="18" t="n">
        <v>0.6733</v>
      </c>
      <c r="H14" s="19" t="n">
        <v>97.29000000000001</v>
      </c>
      <c r="I14" s="19" t="n">
        <v>2.35</v>
      </c>
    </row>
    <row r="15">
      <c r="A15" s="13" t="inlineStr">
        <is>
          <t>60</t>
        </is>
      </c>
      <c r="B15" s="31" t="n">
        <v>40.13</v>
      </c>
      <c r="C15" s="21" t="n">
        <v>7.27</v>
      </c>
      <c r="D15" s="14" t="inlineStr">
        <is>
          <t>1638 – 2073</t>
        </is>
      </c>
      <c r="E15" s="14" t="n">
        <v>435</v>
      </c>
      <c r="F15" s="14" t="n">
        <v>32.67</v>
      </c>
      <c r="G15" s="20" t="n">
        <v>0.6745</v>
      </c>
      <c r="H15" s="21" t="n">
        <v>99.90000000000001</v>
      </c>
      <c r="I15" s="21" t="n">
        <v>0.61</v>
      </c>
    </row>
    <row r="16">
      <c r="A16" s="7" t="inlineStr">
        <is>
          <t>64</t>
        </is>
      </c>
      <c r="B16" s="32" t="n">
        <v>35.77</v>
      </c>
      <c r="C16" s="19" t="n">
        <v>6.48</v>
      </c>
      <c r="D16" s="15" t="inlineStr">
        <is>
          <t>2412 – 2651</t>
        </is>
      </c>
      <c r="E16" s="15" t="n">
        <v>239</v>
      </c>
      <c r="F16" s="15" t="n">
        <v>28.18</v>
      </c>
      <c r="G16" s="18" t="n">
        <v>0.5254</v>
      </c>
      <c r="H16" s="19" t="n">
        <v>78.22</v>
      </c>
      <c r="I16" s="19" t="n">
        <v>41.48</v>
      </c>
    </row>
    <row r="17">
      <c r="A17" s="13" t="inlineStr">
        <is>
          <t>37</t>
        </is>
      </c>
      <c r="B17" s="31" t="n">
        <v>35.49</v>
      </c>
      <c r="C17" s="21" t="n">
        <v>6.43</v>
      </c>
      <c r="D17" s="14" t="inlineStr">
        <is>
          <t>1184 – 1455</t>
        </is>
      </c>
      <c r="E17" s="14" t="n">
        <v>271</v>
      </c>
      <c r="F17" s="14" t="n">
        <v>23.59</v>
      </c>
      <c r="G17" s="20" t="n">
        <v>0.6588000000000001</v>
      </c>
      <c r="H17" s="21" t="n">
        <v>98.02</v>
      </c>
      <c r="I17" s="21" t="n">
        <v>1.92</v>
      </c>
    </row>
    <row r="18">
      <c r="A18" s="7" t="inlineStr">
        <is>
          <t>30</t>
        </is>
      </c>
      <c r="B18" s="32" t="n">
        <v>34.87</v>
      </c>
      <c r="C18" s="19" t="n">
        <v>6.31</v>
      </c>
      <c r="D18" s="15" t="inlineStr">
        <is>
          <t>1216 – 1541</t>
        </is>
      </c>
      <c r="E18" s="15" t="n">
        <v>325</v>
      </c>
      <c r="F18" s="15" t="n">
        <v>27.91</v>
      </c>
      <c r="G18" s="18" t="n">
        <v>0.6637999999999999</v>
      </c>
      <c r="H18" s="19" t="n">
        <v>99.38</v>
      </c>
      <c r="I18" s="19" t="n">
        <v>1.31</v>
      </c>
    </row>
    <row r="19">
      <c r="A19" s="13" t="inlineStr">
        <is>
          <t>40</t>
        </is>
      </c>
      <c r="B19" s="31" t="n">
        <v>28.52</v>
      </c>
      <c r="C19" s="21" t="n">
        <v>5.16</v>
      </c>
      <c r="D19" s="14" t="inlineStr">
        <is>
          <t>1407 – 1656</t>
        </is>
      </c>
      <c r="E19" s="14" t="n">
        <v>249</v>
      </c>
      <c r="F19" s="14" t="n">
        <v>31.4</v>
      </c>
      <c r="G19" s="20" t="n">
        <v>0.6401</v>
      </c>
      <c r="H19" s="21" t="n">
        <v>99.55</v>
      </c>
      <c r="I19" s="21" t="n">
        <v>2.9</v>
      </c>
    </row>
    <row r="20">
      <c r="A20" s="16" t="inlineStr">
        <is>
          <t>TOTAL / PROMEDIO</t>
        </is>
      </c>
      <c r="B20" s="33">
        <f>SUM(B10:B19)</f>
        <v/>
      </c>
      <c r="C20" s="23">
        <f>SUM(C10:C19)</f>
        <v/>
      </c>
      <c r="D20" s="17" t="inlineStr">
        <is>
          <t>1171 – 2651</t>
        </is>
      </c>
      <c r="E20" s="17" t="inlineStr"/>
      <c r="F20" s="17">
        <f>ROUND(AVERAGE(F10:F19),2)</f>
        <v/>
      </c>
      <c r="G20" s="22">
        <f>ROUND(AVERAGE(G10:G19),4)</f>
        <v/>
      </c>
      <c r="H20" s="23">
        <f>ROUND(AVERAGE(H10:H19),2)</f>
        <v/>
      </c>
      <c r="I20" s="23">
        <f>ROUND(AVERAGE(I10:I19),2)</f>
        <v/>
      </c>
    </row>
    <row r="22" ht="84" customHeight="1">
      <c r="A22" s="9" t="inlineStr">
        <is>
          <t>LECTURA INTRAMICROCUENCA. El bloque 66 ocupa el puesto 1 de 10 por superficie dentro de la microcuenca C1081-Q9591 (18.53 % de las 552.18 ha preliminares de la microcuenca). Su pendiente promedio (31.55 %, clase «25-50% (Mod. escarpado)») es la 7.ª más baja de 10 y se sitúa por encima del promedio de la microcuenca (29.09 %). Su MSAVI 2024 (0.6403) es el 5.º de 10 y queda por encima del promedio local (0.6292). Amplitud altitudinal del bloque: 598 m (1171–1769 msnm). El cuadro conserva todos los bloques catalogados en la microcuenca, incluidos los descartados en el tamizaje, para referencia del conjunto. Los bloques sin ficha DT figuran con sus parámetros de gabinete. BRECHA ESPECTRAL. El 8.84 % de la superficie del bloque (9.047 ha de 102.335 ha) se sitúa bajo el umbral MSAVI 0.4976, por debajo del promedio local de la microcuenca (9.85 %) calculado sobre los bloques con dato MSAVI disponible.</t>
        </is>
      </c>
      <c r="B22" s="41" t="n"/>
      <c r="C22" s="41" t="n"/>
      <c r="D22" s="41" t="n"/>
      <c r="E22" s="41" t="n"/>
      <c r="F22" s="41" t="n"/>
      <c r="G22" s="41" t="n"/>
      <c r="H22" s="41" t="n"/>
      <c r="I22" s="42" t="n"/>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1" t="n"/>
      <c r="C24" s="41" t="n"/>
      <c r="D24" s="41" t="n"/>
      <c r="E24" s="41" t="n"/>
      <c r="F24" s="41" t="n"/>
      <c r="G24" s="41" t="n"/>
      <c r="H24" s="41" t="n"/>
      <c r="I24" s="42" t="n"/>
    </row>
  </sheetData>
  <mergeCells count="9">
    <mergeCell ref="A2:I2"/>
    <mergeCell ref="A5:I5"/>
    <mergeCell ref="A1:I1"/>
    <mergeCell ref="A8:I8"/>
    <mergeCell ref="A3:I3"/>
    <mergeCell ref="A6:I6"/>
    <mergeCell ref="A22:I22"/>
    <mergeCell ref="A4:I4"/>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2"/>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66</t>
        </is>
      </c>
    </row>
    <row r="6">
      <c r="A6" s="52" t="inlineStr">
        <is>
          <t>Cruce de la ficha de campo F-DT vigente con la ficha de resumen de gabinete y el catálogo maestro. Integración 2026-09-11 20:22:31.</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«C1081-Q9591».</t>
        </is>
      </c>
      <c r="D9" s="56" t="inlineStr">
        <is>
          <t>CONFORME</t>
        </is>
      </c>
      <c r="E9" s="56" t="inlineStr">
        <is>
          <t>Sin acción.</t>
        </is>
      </c>
    </row>
    <row r="10">
      <c r="A10" s="57" t="inlineStr">
        <is>
          <t>G-02</t>
        </is>
      </c>
      <c r="B10" s="57" t="inlineStr">
        <is>
          <t>UTM del punto de muestreo</t>
        </is>
      </c>
      <c r="C10" s="57" t="inlineStr">
        <is>
          <t>El punto de muestreo declarado dista 0.0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No es posible contrastar la altitud GPS con el rango altitudinal del bloque: falta uno de los dos datos.</t>
        </is>
      </c>
      <c r="D12" s="57" t="inlineStr">
        <is>
          <t>NO SUSTANTIVA</t>
        </is>
      </c>
      <c r="E12" s="57" t="inlineStr">
        <is>
          <t>Se completa con la lectura GPS de F-DT-01 o con la estadística zonal del MDE.</t>
        </is>
      </c>
    </row>
    <row r="13">
      <c r="A13" s="56" t="inlineStr">
        <is>
          <t>G-05</t>
        </is>
      </c>
      <c r="B13" s="56" t="inlineStr">
        <is>
          <t>Superficie NDVI vs. catálogo</t>
        </is>
      </c>
      <c r="C13" s="56" t="inlineStr">
        <is>
          <t>La superficie clasificada por el NDVI mediana 2025 (102.358 ha) se desvía 0.02 % de la superficie de catálogo (102.34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(102.335 ha) se desvía -0.00 % de la superficie de catálogo (102.34 ha).</t>
        </is>
      </c>
      <c r="D14" s="57" t="inlineStr">
        <is>
          <t>CONFORME</t>
        </is>
      </c>
      <c r="E14" s="57" t="inlineStr">
        <is>
          <t>Sin acción: la segmentación valida la geometría del bloque.</t>
        </is>
      </c>
    </row>
    <row r="15">
      <c r="A15" s="56" t="inlineStr">
        <is>
          <t>G-07</t>
        </is>
      </c>
      <c r="B15" s="56" t="inlineStr">
        <is>
          <t>Brecha espectral MSAVI</t>
        </is>
      </c>
      <c r="C15" s="56" t="inlineStr">
        <is>
          <t>El 8.84 % del bloque queda bajo el umbral 0.4976; superficie de brecha 9.0475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102.34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(0.6403) cae en la clase «&gt; 0.6139 (Vigor alto)» y la clase DN dominante por superficie es «DN 5 · &gt; 0.6139 (Vigor alto)».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F-01</t>
        </is>
      </c>
      <c r="B19" s="56" t="inlineStr">
        <is>
          <t>Fichas F-DT levantadas</t>
        </is>
      </c>
      <c r="C19" s="56" t="inlineStr">
        <is>
          <t>La plantilla de campo trae las cinco fichas F-DT-01 a F-DT-05 (completitud 89.3 % de los campos esperados).</t>
        </is>
      </c>
      <c r="D19" s="56" t="inlineStr">
        <is>
          <t>CONFORME</t>
        </is>
      </c>
      <c r="E19" s="56" t="inlineStr">
        <is>
          <t>Sin acción.</t>
        </is>
      </c>
    </row>
    <row r="20">
      <c r="A20" s="57" t="inlineStr">
        <is>
          <t>F-02</t>
        </is>
      </c>
      <c r="B20" s="57" t="inlineStr">
        <is>
          <t>Cobertura de la integración</t>
        </is>
      </c>
      <c r="C20" s="57" t="inlineStr">
        <is>
          <t>Se declararon 93 de 114 hechos integrados (81.6 %); 21 quedan sin dato en ninguna fuente.</t>
        </is>
      </c>
      <c r="D20" s="57" t="inlineStr">
        <is>
          <t>CONFORME</t>
        </is>
      </c>
      <c r="E20" s="57" t="inlineStr">
        <is>
          <t>Sin acción.</t>
        </is>
      </c>
    </row>
    <row r="21">
      <c r="A21" s="56" t="inlineStr">
        <is>
          <t>H-01</t>
        </is>
      </c>
      <c r="B21" s="56" t="inlineStr">
        <is>
          <t>Rango altitudinal / piso ecológico</t>
        </is>
      </c>
      <c r="C21" s="56" t="inlineStr">
        <is>
          <t>La ficha DT declara «1000-1500 m (Quechua baja) — transicional a 1500-2000 m»; el MDE sitúa el bloque entre 1171 y 1769 msnm, cuyo punto medio corresponde a «1000-1500 m (Quechua baja)»</t>
        </is>
      </c>
      <c r="D21" s="56" t="inlineStr">
        <is>
          <t>NO SUSTANTIVA</t>
        </is>
      </c>
      <c r="E21" s="56" t="inlineStr">
        <is>
          <t>Se declara la divergencia. El bloque abarca más de un piso altitudinal cuando la amplitud supera el ancho de la clase; el registro de campo corresponde al sector recorrido. (Verificación heredada de la ficha de resumen V6.)</t>
        </is>
      </c>
    </row>
    <row r="22">
      <c r="A22" s="57" t="inlineStr">
        <is>
          <t>H-02</t>
        </is>
      </c>
      <c r="B22" s="57" t="inlineStr">
        <is>
          <t>Representatividad del levantamiento</t>
        </is>
      </c>
      <c r="C22" s="57" t="inlineStr">
        <is>
          <t>Ninguna de las estaciones fotográficas georreferenciadas se localiza dentro del polígono del bloque</t>
        </is>
      </c>
      <c r="D22" s="57" t="inlineStr">
        <is>
          <t>SUSTANTIVA</t>
        </is>
      </c>
      <c r="E22" s="57" t="inlineStr">
        <is>
          <t>La verificación documenta el perímetro y la vista panorámica del bloque, no su interior. Los parámetros que exigen recorrido interno se consignan «Por determinar». (Verificación heredada de la ficha de resumen V6.)</t>
        </is>
      </c>
    </row>
    <row r="23">
      <c r="A23" s="56" t="inlineStr">
        <is>
          <t>H-03</t>
        </is>
      </c>
      <c r="B23" s="56" t="inlineStr">
        <is>
          <t>Centro poblado asociado</t>
        </is>
      </c>
      <c r="C23" s="56" t="inlineStr">
        <is>
          <t>La ficha DT declara «Huamala»; el cruce INEI-Bloques V5 identifica 1 centro(s) poblado(s) en el bloque: HUAMALA BAJA</t>
        </is>
      </c>
      <c r="D23" s="56" t="inlineStr">
        <is>
          <t>CONFORME</t>
        </is>
      </c>
      <c r="E23" s="56" t="inlineStr">
        <is>
          <t>Se conserva el registro de campo como referencia y se adopta el listado INEI para el diagnóstico social y el cálculo de población beneficiaria. (Verificación heredada de la ficha de resumen V6.)</t>
        </is>
      </c>
    </row>
    <row r="24">
      <c r="A24" s="57" t="inlineStr">
        <is>
          <t>H-04</t>
        </is>
      </c>
      <c r="B24" s="57" t="inlineStr">
        <is>
          <t>Ficha DT</t>
        </is>
      </c>
      <c r="C24" s="57" t="inlineStr">
        <is>
          <t>La ficha consigna microcuenca C1076-Q9584; el catálogo maestro asigna al bloque 66 la microcuenca C1081-Q9591</t>
        </is>
      </c>
      <c r="D24" s="57" t="inlineStr">
        <is>
          <t>SUSTANTIVA</t>
        </is>
      </c>
      <c r="E24" s="57" t="inlineStr">
        <is>
          <t>Valor por defecto de la plantilla; se conserva el del catálogo (Verificación heredada de la ficha de resumen V6.)</t>
        </is>
      </c>
    </row>
    <row r="25">
      <c r="A25" s="56" t="inlineStr">
        <is>
          <t>H-05</t>
        </is>
      </c>
      <c r="B25" s="56" t="inlineStr">
        <is>
          <t>F-DT-01</t>
        </is>
      </c>
      <c r="C25" s="56" t="inlineStr">
        <is>
          <t>Verificación exclusivamente aérea (RPAS): coordenadas = centroide del polígono, no punto GPS de campo</t>
        </is>
      </c>
      <c r="D25" s="56" t="inlineStr">
        <is>
          <t>NO SUSTANTIVA</t>
        </is>
      </c>
      <c r="E25" s="56" t="inlineStr">
        <is>
          <t>Declarado en la propia ficha (Verificación heredada de la ficha de resumen V6.)</t>
        </is>
      </c>
    </row>
    <row r="26">
      <c r="A26" s="57" t="inlineStr">
        <is>
          <t>H-06</t>
        </is>
      </c>
      <c r="B26" s="57" t="inlineStr">
        <is>
          <t>F-DT-02</t>
        </is>
      </c>
      <c r="C26" s="57" t="inlineStr">
        <is>
          <t>0 cárcavas registradas con inventario NO ejecutado</t>
        </is>
      </c>
      <c r="D26" s="57" t="inlineStr">
        <is>
          <t>SUSTANTIVA</t>
        </is>
      </c>
      <c r="E26" s="57" t="inlineStr">
        <is>
          <t>No equivale a ausencia; pendiente de ortomosaico y MDS del propio vuelo (Verificación heredada de la ficha de resumen V6.)</t>
        </is>
      </c>
    </row>
    <row r="27">
      <c r="A27" s="56" t="inlineStr">
        <is>
          <t>H-07</t>
        </is>
      </c>
      <c r="B27" s="56" t="inlineStr">
        <is>
          <t>F-DT-03</t>
        </is>
      </c>
      <c r="C27" s="56" t="inlineStr">
        <is>
          <t>Composición florística transferida POR ANALOGÍA con el Bloque 21</t>
        </is>
      </c>
      <c r="D27" s="56" t="inlineStr">
        <is>
          <t>SUSTANTIVA</t>
        </is>
      </c>
      <c r="E27" s="56" t="inlineStr">
        <is>
          <t>No constituye levantamiento propio; requiere colecta y determinación botánica (Verificación heredada de la ficha de resumen V6.)</t>
        </is>
      </c>
    </row>
    <row r="28">
      <c r="A28" s="57" t="inlineStr">
        <is>
          <t>H-08</t>
        </is>
      </c>
      <c r="B28" s="57" t="inlineStr">
        <is>
          <t>F-DT-04</t>
        </is>
      </c>
      <c r="C28" s="57" t="inlineStr">
        <is>
          <t>Indicador de brecha (R.M. 00213-2024-MINAM) no debe calcularse sobre las 102.34 ha del bloque</t>
        </is>
      </c>
      <c r="D28" s="57" t="inlineStr">
        <is>
          <t>SUSTANTIVA</t>
        </is>
      </c>
      <c r="E28" s="57" t="inlineStr">
        <is>
          <t>Calcular sobre la superficie efectivamente degradada (Verificación heredada de la ficha de resumen V6.)</t>
        </is>
      </c>
    </row>
    <row r="30">
      <c r="A30" s="58" t="inlineStr">
        <is>
          <t>RESUMEN</t>
        </is>
      </c>
      <c r="B30" s="59" t="inlineStr">
        <is>
          <t>20 verificaciones</t>
        </is>
      </c>
      <c r="C30" s="59" t="inlineStr">
        <is>
          <t>SUSTANTIVA: 6 · NO SUSTANTIVA: 3 · CONFORME: 11</t>
        </is>
      </c>
    </row>
    <row r="32">
      <c r="A32"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1:E1"/>
    <mergeCell ref="A5:E5"/>
    <mergeCell ref="A32:E32"/>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66</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t>
        </is>
      </c>
      <c r="B9" s="56" t="inlineStr">
        <is>
          <t>Sin cambios: la ficha de campo confirma el libro V6</t>
        </is>
      </c>
      <c r="C9" s="56" t="inlineStr"/>
      <c r="D9" s="56" t="inlineStr"/>
      <c r="E9" s="56" t="inlineStr"/>
    </row>
    <row r="11">
      <c r="A11" s="54" t="inlineStr">
        <is>
          <t>B. HECHOS APORTADOS ÚNICAMENTE POR LA FICHA DE CAMPO</t>
        </is>
      </c>
    </row>
    <row r="12">
      <c r="A12" s="55" t="inlineStr">
        <is>
          <t>Sección</t>
        </is>
      </c>
      <c r="B12" s="55" t="inlineStr">
        <is>
          <t>Hecho</t>
        </is>
      </c>
      <c r="C12" s="55" t="inlineStr">
        <is>
          <t>Valor</t>
        </is>
      </c>
      <c r="D12" s="55" t="inlineStr">
        <is>
          <t>Unidad</t>
        </is>
      </c>
    </row>
    <row r="13">
      <c r="A13" s="56" t="inlineStr">
        <is>
          <t>1. Identificación y localización</t>
        </is>
      </c>
      <c r="B13" s="56" t="inlineStr">
        <is>
          <t>UTM ESTE del punto de muestreo (m)</t>
        </is>
      </c>
      <c r="C13" s="56" t="inlineStr">
        <is>
          <t>652566</t>
        </is>
      </c>
      <c r="D13" s="56" t="inlineStr">
        <is>
          <t>m</t>
        </is>
      </c>
    </row>
    <row r="14">
      <c r="A14" s="57" t="inlineStr">
        <is>
          <t>1. Identificación y localización</t>
        </is>
      </c>
      <c r="B14" s="57" t="inlineStr">
        <is>
          <t>UTM NORTE del punto de muestreo (m)</t>
        </is>
      </c>
      <c r="C14" s="57" t="inlineStr">
        <is>
          <t>9417311</t>
        </is>
      </c>
      <c r="D14" s="57" t="inlineStr">
        <is>
          <t>m</t>
        </is>
      </c>
    </row>
    <row r="15">
      <c r="A15" s="56" t="inlineStr">
        <is>
          <t>2. Parámetros físicos del terreno</t>
        </is>
      </c>
      <c r="B15" s="56" t="inlineStr">
        <is>
          <t>Piso altitudinal del punto de muestreo</t>
        </is>
      </c>
      <c r="C15" s="56" t="inlineStr">
        <is>
          <t>1000-1500 m (Quechua baja)</t>
        </is>
      </c>
      <c r="D15" s="56" t="inlineStr"/>
    </row>
    <row r="16">
      <c r="A16" s="57" t="inlineStr">
        <is>
          <t>2. Parámetros físicos del terreno</t>
        </is>
      </c>
      <c r="B16" s="57" t="inlineStr">
        <is>
          <t>Paisaje dominante descrito en campo</t>
        </is>
      </c>
      <c r="C16" s="57" t="inlineStr">
        <is>
          <t>Ladera de montaña de exposición dominante norte que desciende desde la divisoria meridional (1 769 msnm) hasta el fondo de valle del río Canchaque (1 171 msnm). Macizo con farallones y afloramientos rocosos en las cumbres; laderas medias en mosaico de bosque montano relicto en quebradas, matorral, pastizal y parcelas agrícolas; caserío Huamala y trocha carrozable en el sector norte.</t>
        </is>
      </c>
      <c r="D16" s="57" t="inlineStr"/>
    </row>
    <row r="17">
      <c r="A17" s="56" t="inlineStr">
        <is>
          <t>2. Parámetros físicos del terreno</t>
        </is>
      </c>
      <c r="B17" s="56" t="inlineStr">
        <is>
          <t>Reptación de suelo</t>
        </is>
      </c>
      <c r="C17" s="56" t="inlineStr">
        <is>
          <t>Sí</t>
        </is>
      </c>
      <c r="D17" s="56" t="inlineStr"/>
    </row>
    <row r="18">
      <c r="A18" s="57" t="inlineStr">
        <is>
          <t>2. Parámetros físicos del terreno</t>
        </is>
      </c>
      <c r="B18" s="57" t="inlineStr">
        <is>
          <t>Deslizamientos antiguos</t>
        </is>
      </c>
      <c r="C18" s="57" t="inlineStr">
        <is>
          <t>Sí</t>
        </is>
      </c>
      <c r="D18" s="57" t="inlineStr"/>
    </row>
    <row r="19">
      <c r="A19" s="56" t="inlineStr">
        <is>
          <t>4. Suelos y erosión (F-DT-02)</t>
        </is>
      </c>
      <c r="B19" s="56" t="inlineStr">
        <is>
          <t>Nivel de erosión - síntesis de campo</t>
        </is>
      </c>
      <c r="C19" s="56" t="inlineStr">
        <is>
          <t>Moderada (surcos)</t>
        </is>
      </c>
      <c r="D19" s="56" t="inlineStr"/>
    </row>
    <row r="20">
      <c r="A20" s="57" t="inlineStr">
        <is>
          <t>4. Suelos y erosión (F-DT-02)</t>
        </is>
      </c>
      <c r="B20" s="57" t="inlineStr">
        <is>
          <t>Sellamiento / costra superficial</t>
        </is>
      </c>
      <c r="C20" s="57" t="inlineStr">
        <is>
          <t>No</t>
        </is>
      </c>
      <c r="D20" s="57" t="inlineStr"/>
    </row>
    <row r="21">
      <c r="A21" s="56" t="inlineStr">
        <is>
          <t>4. Suelos y erosión (F-DT-02)</t>
        </is>
      </c>
      <c r="B21" s="56" t="inlineStr">
        <is>
          <t>Compactación por pisoteo</t>
        </is>
      </c>
      <c r="C21" s="56" t="inlineStr">
        <is>
          <t>Sí</t>
        </is>
      </c>
      <c r="D21" s="56" t="inlineStr"/>
    </row>
    <row r="22">
      <c r="A22" s="57" t="inlineStr">
        <is>
          <t>4. Suelos y erosión (F-DT-02)</t>
        </is>
      </c>
      <c r="B22" s="57" t="inlineStr">
        <is>
          <t>Raíces expuestas</t>
        </is>
      </c>
      <c r="C22" s="57" t="inlineStr">
        <is>
          <t>Sí</t>
        </is>
      </c>
      <c r="D22" s="57" t="inlineStr"/>
    </row>
    <row r="23">
      <c r="A23" s="56" t="inlineStr">
        <is>
          <t>4. Suelos y erosión (F-DT-02)</t>
        </is>
      </c>
      <c r="B23" s="56" t="inlineStr">
        <is>
          <t>Longitud total de cárcavas (m)</t>
        </is>
      </c>
      <c r="C23" s="56" t="inlineStr">
        <is>
          <t>No ejecutado</t>
        </is>
      </c>
      <c r="D23" s="56" t="inlineStr">
        <is>
          <t>m</t>
        </is>
      </c>
    </row>
    <row r="24">
      <c r="A24" s="57" t="inlineStr">
        <is>
          <t>4. Suelos y erosión (F-DT-02)</t>
        </is>
      </c>
      <c r="B24" s="57" t="inlineStr">
        <is>
          <t>Socavamiento de cauce</t>
        </is>
      </c>
      <c r="C24" s="57" t="inlineStr">
        <is>
          <t>Sí</t>
        </is>
      </c>
      <c r="D24" s="57" t="inlineStr"/>
    </row>
    <row r="25">
      <c r="A25" s="56" t="inlineStr">
        <is>
          <t>5. Ecosistema, cobertura y flora (F-DT-03)</t>
        </is>
      </c>
      <c r="B25" s="56" t="inlineStr">
        <is>
          <t>Cobertura del dosel (%)</t>
        </is>
      </c>
      <c r="C25" s="56" t="inlineStr">
        <is>
          <t>20</t>
        </is>
      </c>
      <c r="D25" s="56" t="inlineStr">
        <is>
          <t>%</t>
        </is>
      </c>
    </row>
    <row r="26">
      <c r="A26" s="57" t="inlineStr">
        <is>
          <t>5. Ecosistema, cobertura y flora (F-DT-03)</t>
        </is>
      </c>
      <c r="B26" s="57" t="inlineStr">
        <is>
          <t>Cobertura herbácea (%)</t>
        </is>
      </c>
      <c r="C26" s="57" t="inlineStr">
        <is>
          <t>40</t>
        </is>
      </c>
      <c r="D26" s="57" t="inlineStr">
        <is>
          <t>%</t>
        </is>
      </c>
    </row>
    <row r="27">
      <c r="A27" s="56" t="inlineStr">
        <is>
          <t>5. Ecosistema, cobertura y flora (F-DT-03)</t>
        </is>
      </c>
      <c r="B27" s="56" t="inlineStr">
        <is>
          <t>Altura máxima registrada (m)</t>
        </is>
      </c>
      <c r="C27" s="56" t="inlineStr">
        <is>
          <t>20</t>
        </is>
      </c>
      <c r="D27" s="56" t="inlineStr">
        <is>
          <t>m</t>
        </is>
      </c>
    </row>
    <row r="28">
      <c r="A28" s="57" t="inlineStr">
        <is>
          <t>5. Ecosistema, cobertura y flora (F-DT-03)</t>
        </is>
      </c>
      <c r="B28" s="57" t="inlineStr">
        <is>
          <t>Presencia de epífitas</t>
        </is>
      </c>
      <c r="C28" s="57" t="inlineStr">
        <is>
          <t>Sí</t>
        </is>
      </c>
      <c r="D28" s="57" t="inlineStr"/>
    </row>
    <row r="29">
      <c r="A29" s="56" t="inlineStr">
        <is>
          <t>5. Ecosistema, cobertura y flora (F-DT-03)</t>
        </is>
      </c>
      <c r="B29" s="56" t="inlineStr">
        <is>
          <t>Fenología dominante</t>
        </is>
      </c>
      <c r="C29" s="56" t="inlineStr">
        <is>
          <t>Vegetativo</t>
        </is>
      </c>
      <c r="D29" s="56" t="inlineStr"/>
    </row>
    <row r="30">
      <c r="A30" s="57" t="inlineStr">
        <is>
          <t>5. Ecosistema, cobertura y flora (F-DT-03)</t>
        </is>
      </c>
      <c r="B30" s="57" t="inlineStr">
        <is>
          <t>Dimensiones de la parcela (m)</t>
        </is>
      </c>
      <c r="C30" s="57" t="inlineStr">
        <is>
          <t>No aplica</t>
        </is>
      </c>
      <c r="D30" s="57" t="inlineStr"/>
    </row>
    <row r="31">
      <c r="A31" s="56" t="inlineStr">
        <is>
          <t>5. Ecosistema, cobertura y flora (F-DT-03)</t>
        </is>
      </c>
      <c r="B31" s="56" t="inlineStr">
        <is>
          <t>Pendiente de la parcela (%)</t>
        </is>
      </c>
      <c r="C31" s="56" t="inlineStr">
        <is>
          <t>31.55</t>
        </is>
      </c>
      <c r="D31" s="56" t="inlineStr">
        <is>
          <t>%</t>
        </is>
      </c>
    </row>
    <row r="32">
      <c r="A32" s="57" t="inlineStr">
        <is>
          <t>5. Ecosistema, cobertura y flora (F-DT-03)</t>
        </is>
      </c>
      <c r="B32" s="57" t="inlineStr">
        <is>
          <t>Especies clave georreferenciadas</t>
        </is>
      </c>
      <c r="C32" s="57" t="inlineStr">
        <is>
          <t>6</t>
        </is>
      </c>
      <c r="D32" s="57" t="inlineStr"/>
    </row>
    <row r="33">
      <c r="A33" s="56" t="inlineStr">
        <is>
          <t>6. Degradación, causas y urgencia (F-DT-04)</t>
        </is>
      </c>
      <c r="B33" s="56" t="inlineStr">
        <is>
          <t>Causas directas de la degradación</t>
        </is>
      </c>
      <c r="C33" s="56" t="inlineStr">
        <is>
          <t>Cambio de uso a pastoreo y sobrepastoreo vacuno (causa dominante), cambio de uso a agricultura en ladera sin prácticas de conservación de suelos, erosión natural severa asociada a la geodinámica del macizo y presión vial-poblacional del caserío Huamala.</t>
        </is>
      </c>
      <c r="D33" s="56" t="inlineStr"/>
    </row>
    <row r="34">
      <c r="A34" s="57" t="inlineStr">
        <is>
          <t>6. Degradación, causas y urgencia (F-DT-04)</t>
        </is>
      </c>
      <c r="B34" s="57" t="inlineStr">
        <is>
          <t>N.° de causas activas en la matriz F-DT-04</t>
        </is>
      </c>
      <c r="C34" s="57" t="inlineStr">
        <is>
          <t>6</t>
        </is>
      </c>
      <c r="D34" s="57" t="inlineStr"/>
    </row>
    <row r="35">
      <c r="A35" s="56" t="inlineStr">
        <is>
          <t>7. Hidrología, acceso y logística (F-DT-05)</t>
        </is>
      </c>
      <c r="B35" s="56" t="inlineStr">
        <is>
          <t>Fuentes de agua inventariadas</t>
        </is>
      </c>
      <c r="C35" s="56" t="inlineStr">
        <is>
          <t>3</t>
        </is>
      </c>
      <c r="D35" s="56" t="inlineStr"/>
    </row>
    <row r="36">
      <c r="A36" s="57" t="inlineStr">
        <is>
          <t>7. Hidrología, acceso y logística (F-DT-05)</t>
        </is>
      </c>
      <c r="B36" s="57" t="inlineStr">
        <is>
          <t>Vía principal de acceso</t>
        </is>
      </c>
      <c r="C36" s="57" t="inlineStr">
        <is>
          <t>Trocha carrozable Canchaque – Huamala (colindante al límite norte del bloque)</t>
        </is>
      </c>
      <c r="D36" s="57" t="inlineStr"/>
    </row>
    <row r="37">
      <c r="A37" s="56" t="inlineStr">
        <is>
          <t>7. Hidrología, acceso y logística (F-DT-05)</t>
        </is>
      </c>
      <c r="B37" s="56" t="inlineStr">
        <is>
          <t>Tipo de vía del tramo final</t>
        </is>
      </c>
      <c r="C37" s="56" t="inlineStr">
        <is>
          <t>Trocha carrozable</t>
        </is>
      </c>
      <c r="D37" s="56" t="inlineStr"/>
    </row>
    <row r="38">
      <c r="A38" s="57" t="inlineStr">
        <is>
          <t>7. Hidrología, acceso y logística (F-DT-05)</t>
        </is>
      </c>
      <c r="B38" s="57" t="inlineStr">
        <is>
          <t>Transitabilidad en época seca</t>
        </is>
      </c>
      <c r="C38" s="57" t="inlineStr">
        <is>
          <t>Medio</t>
        </is>
      </c>
      <c r="D38" s="57" t="inlineStr"/>
    </row>
    <row r="39">
      <c r="A39" s="56" t="inlineStr">
        <is>
          <t>7. Hidrología, acceso y logística (F-DT-05)</t>
        </is>
      </c>
      <c r="B39" s="56" t="inlineStr">
        <is>
          <t>Transitabilidad en época lluviosa</t>
        </is>
      </c>
      <c r="C39" s="56" t="inlineStr">
        <is>
          <t>Bajo</t>
        </is>
      </c>
      <c r="D39" s="56" t="inlineStr"/>
    </row>
    <row r="40">
      <c r="A40" s="57" t="inlineStr">
        <is>
          <t>7. Hidrología, acceso y logística (F-DT-05)</t>
        </is>
      </c>
      <c r="B40" s="57" t="inlineStr">
        <is>
          <t>Requiere coordinación con ronda / comunidad</t>
        </is>
      </c>
      <c r="C40" s="57" t="inlineStr">
        <is>
          <t>Sí</t>
        </is>
      </c>
      <c r="D40" s="57" t="inlineStr"/>
    </row>
    <row r="42">
      <c r="A42" s="54" t="inlineStr">
        <is>
          <t>C. PROCEDENCIA DE LOS HECHOS DECLARADOS</t>
        </is>
      </c>
    </row>
    <row r="43">
      <c r="A43" s="55" t="inlineStr">
        <is>
          <t>Fuente</t>
        </is>
      </c>
      <c r="B43" s="55" t="inlineStr">
        <is>
          <t>Hechos</t>
        </is>
      </c>
      <c r="C43" s="55" t="inlineStr">
        <is>
          <t>Alcance de la fuente</t>
        </is>
      </c>
    </row>
    <row r="44">
      <c r="A44" s="56" t="inlineStr">
        <is>
          <t>Dato de campo</t>
        </is>
      </c>
      <c r="B44" s="56" t="n">
        <v>58</v>
      </c>
      <c r="C44" s="56" t="inlineStr">
        <is>
          <t>Verificación en campo. Fichas F-DT-01 a F-DT-05 de la Plantilla DT Campo Check Validada V5, suscritas por el evaluador.</t>
        </is>
      </c>
    </row>
    <row r="45">
      <c r="A45" s="57" t="inlineStr">
        <is>
          <t>Gabinete (GIS / teledetección)</t>
        </is>
      </c>
      <c r="B45" s="57" t="n">
        <v>21</v>
      </c>
      <c r="C45" s="57" t="inlineStr">
        <is>
          <t>Gabinete. Estadística zonal sobre el MDE y compuestos Sentinel-2 (NDVI mediana 2025, MSAVI 2024 por clase DN).</t>
        </is>
      </c>
    </row>
    <row r="46">
      <c r="A46" s="56" t="inlineStr">
        <is>
          <t>Fuente oficial</t>
        </is>
      </c>
      <c r="B46" s="56" t="n">
        <v>14</v>
      </c>
      <c r="C46" s="56" t="inlineStr">
        <is>
          <t>Fuente oficial. Catálogo maestro Bloques V5/V6, división política INEI y codificación de microcuencas de la ANA.</t>
        </is>
      </c>
    </row>
    <row r="48">
      <c r="A48" s="54" t="inlineStr">
        <is>
          <t>D. ESTADO DEL CRUCE ENTRE FUENTES</t>
        </is>
      </c>
    </row>
    <row r="49">
      <c r="A49" s="55" t="inlineStr">
        <is>
          <t>Estado</t>
        </is>
      </c>
      <c r="B49" s="55" t="inlineStr">
        <is>
          <t>Hechos</t>
        </is>
      </c>
      <c r="C49" s="55" t="inlineStr">
        <is>
          <t>Significado</t>
        </is>
      </c>
    </row>
    <row r="50">
      <c r="A50" s="56" t="inlineStr">
        <is>
          <t>CONFORME</t>
        </is>
      </c>
      <c r="B50" s="56" t="n">
        <v>92</v>
      </c>
      <c r="C50" s="56" t="inlineStr">
        <is>
          <t>Las dos fuentes declaran lo mismo, o solo la fuente que manda sobre el hecho lo declara.</t>
        </is>
      </c>
    </row>
    <row r="51">
      <c r="A51" s="57" t="inlineStr">
        <is>
          <t>COMPLEMENTADO</t>
        </is>
      </c>
      <c r="B51" s="57" t="n">
        <v>1</v>
      </c>
      <c r="C51" s="57" t="inlineStr">
        <is>
          <t>Solo una de las fuentes lo declara y se adopta ese valor.</t>
        </is>
      </c>
    </row>
    <row r="52">
      <c r="A52" s="56" t="inlineStr">
        <is>
          <t>ACTUALIZADO</t>
        </is>
      </c>
      <c r="B52" s="56" t="n">
        <v>0</v>
      </c>
      <c r="C52" s="56" t="inlineStr">
        <is>
          <t>La verificación de campo vigente corrige lo que traía el libro de resumen.</t>
        </is>
      </c>
    </row>
    <row r="53">
      <c r="A53" s="57" t="inlineStr">
        <is>
          <t>DISCREPANTE</t>
        </is>
      </c>
      <c r="B53" s="57" t="n">
        <v>0</v>
      </c>
      <c r="C53" s="57" t="inlineStr">
        <is>
          <t>Las fuentes se contradicen; prevalece la que manda sobre el hecho y la otra queda declarada.</t>
        </is>
      </c>
    </row>
    <row r="54">
      <c r="A54" s="56" t="inlineStr">
        <is>
          <t>PENDIENTE</t>
        </is>
      </c>
      <c r="B54" s="56" t="n">
        <v>21</v>
      </c>
      <c r="C54"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0"/>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66</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Sin cárcavas inventariadas en el tramo verificado</t>
        </is>
      </c>
      <c r="B9" s="56" t="inlineStr"/>
      <c r="C9" s="56" t="inlineStr"/>
      <c r="D9" s="56" t="inlineStr"/>
      <c r="E9" s="56" t="inlineStr"/>
      <c r="F9" s="56" t="inlineStr"/>
      <c r="G9" s="56" t="inlineStr"/>
      <c r="H9" s="56" t="inlineStr"/>
      <c r="I9" s="56" t="inlineStr"/>
    </row>
    <row r="11">
      <c r="A11" s="54" t="inlineStr">
        <is>
          <t>F-DT-03 · ELENCO FLORÍSTICO</t>
        </is>
      </c>
    </row>
    <row r="12">
      <c r="A12" s="55" t="inlineStr">
        <is>
          <t>N.o</t>
        </is>
      </c>
      <c r="B12" s="55" t="inlineStr">
        <is>
          <t>Nombre común</t>
        </is>
      </c>
      <c r="C12" s="55" t="inlineStr">
        <is>
          <t>Nombre científico</t>
        </is>
      </c>
      <c r="D12" s="55" t="inlineStr">
        <is>
          <t>Familia</t>
        </is>
      </c>
      <c r="E12" s="55" t="inlineStr">
        <is>
          <t>Estrato</t>
        </is>
      </c>
      <c r="F12" s="55" t="inlineStr">
        <is>
          <t>Origen</t>
        </is>
      </c>
      <c r="G12" s="55" t="inlineStr">
        <is>
          <t>Abundancia</t>
        </is>
      </c>
      <c r="H12" s="55" t="inlineStr">
        <is>
          <t>DAP (cm)</t>
        </is>
      </c>
      <c r="I12" s="55" t="inlineStr">
        <is>
          <t>Altura (m)</t>
        </is>
      </c>
    </row>
    <row r="13">
      <c r="A13" s="56" t="inlineStr">
        <is>
          <t>1</t>
        </is>
      </c>
      <c r="B13" s="56" t="inlineStr">
        <is>
          <t>Eucalipto</t>
        </is>
      </c>
      <c r="C13" s="56" t="inlineStr">
        <is>
          <t>Eucalyptus globulus</t>
        </is>
      </c>
      <c r="D13" s="56" t="inlineStr">
        <is>
          <t>Myrtaceae</t>
        </is>
      </c>
      <c r="E13" s="56" t="inlineStr">
        <is>
          <t>Arbóreo superior (&gt;15 m)</t>
        </is>
      </c>
      <c r="F13" s="56" t="inlineStr">
        <is>
          <t>Introducida</t>
        </is>
      </c>
      <c r="G13" s="56" t="inlineStr">
        <is>
          <t>Ocasional (1-5%)</t>
        </is>
      </c>
      <c r="H13" s="56" t="n"/>
      <c r="I13" s="56" t="n"/>
    </row>
    <row r="14">
      <c r="A14" s="57" t="inlineStr">
        <is>
          <t>2</t>
        </is>
      </c>
      <c r="B14" s="57" t="inlineStr">
        <is>
          <t>Grevilea</t>
        </is>
      </c>
      <c r="C14" s="57" t="inlineStr">
        <is>
          <t>Grevillea robusta</t>
        </is>
      </c>
      <c r="D14" s="57" t="inlineStr">
        <is>
          <t>Proteaceae</t>
        </is>
      </c>
      <c r="E14" s="57" t="inlineStr">
        <is>
          <t>Arbóreo medio (8-15 m)</t>
        </is>
      </c>
      <c r="F14" s="57" t="inlineStr">
        <is>
          <t>Introducida</t>
        </is>
      </c>
      <c r="G14" s="57" t="inlineStr">
        <is>
          <t>Ocasional (1-5%)</t>
        </is>
      </c>
      <c r="H14" s="57" t="n"/>
      <c r="I14" s="57" t="n"/>
    </row>
    <row r="15">
      <c r="A15" s="56" t="inlineStr">
        <is>
          <t>3</t>
        </is>
      </c>
      <c r="B15" s="56" t="inlineStr">
        <is>
          <t>Higuerón</t>
        </is>
      </c>
      <c r="C15" s="56" t="inlineStr">
        <is>
          <t>Ficus sp.</t>
        </is>
      </c>
      <c r="D15" s="56" t="inlineStr">
        <is>
          <t>Moraceae</t>
        </is>
      </c>
      <c r="E15" s="56" t="inlineStr">
        <is>
          <t>Arbóreo superior (&gt;15 m)</t>
        </is>
      </c>
      <c r="F15" s="56" t="inlineStr">
        <is>
          <t>Nativa</t>
        </is>
      </c>
      <c r="G15" s="56" t="inlineStr">
        <is>
          <t>Ocasional (1-5%)</t>
        </is>
      </c>
      <c r="H15" s="56" t="n"/>
      <c r="I15" s="56" t="n"/>
    </row>
    <row r="16">
      <c r="A16" s="57" t="inlineStr">
        <is>
          <t>4</t>
        </is>
      </c>
      <c r="B16" s="57" t="inlineStr">
        <is>
          <t>Pacae</t>
        </is>
      </c>
      <c r="C16" s="57" t="inlineStr">
        <is>
          <t>Inga feuillei</t>
        </is>
      </c>
      <c r="D16" s="57" t="inlineStr">
        <is>
          <t>Fabaceae</t>
        </is>
      </c>
      <c r="E16" s="57" t="inlineStr">
        <is>
          <t>Arbóreo medio (8-15 m)</t>
        </is>
      </c>
      <c r="F16" s="57" t="inlineStr">
        <is>
          <t>Nativa</t>
        </is>
      </c>
      <c r="G16" s="57" t="inlineStr">
        <is>
          <t>Frecuente (5-20%)</t>
        </is>
      </c>
      <c r="H16" s="57" t="n"/>
      <c r="I16" s="57" t="n"/>
    </row>
    <row r="17">
      <c r="A17" s="56" t="inlineStr">
        <is>
          <t>5</t>
        </is>
      </c>
      <c r="B17" s="56" t="inlineStr">
        <is>
          <t>Faique</t>
        </is>
      </c>
      <c r="C17" s="56" t="inlineStr">
        <is>
          <t>Vachellia macracantha</t>
        </is>
      </c>
      <c r="D17" s="56" t="inlineStr">
        <is>
          <t>Fabaceae</t>
        </is>
      </c>
      <c r="E17" s="56" t="inlineStr">
        <is>
          <t>Arbóreo bajo (4-8 m)</t>
        </is>
      </c>
      <c r="F17" s="56" t="inlineStr">
        <is>
          <t>Nativa</t>
        </is>
      </c>
      <c r="G17" s="56" t="inlineStr">
        <is>
          <t>Ocasional (1-5%)</t>
        </is>
      </c>
      <c r="H17" s="56" t="n"/>
      <c r="I17" s="56" t="n"/>
    </row>
    <row r="18">
      <c r="A18" s="57" t="inlineStr">
        <is>
          <t>6</t>
        </is>
      </c>
      <c r="B18" s="57" t="inlineStr">
        <is>
          <t>Caña guayaquil / bambú</t>
        </is>
      </c>
      <c r="C18" s="57" t="inlineStr">
        <is>
          <t>Guadua angustifolia</t>
        </is>
      </c>
      <c r="D18" s="57" t="inlineStr">
        <is>
          <t>Poaceae</t>
        </is>
      </c>
      <c r="E18" s="57" t="inlineStr">
        <is>
          <t>Arbóreo bajo (4-8 m)</t>
        </is>
      </c>
      <c r="F18" s="57" t="inlineStr">
        <is>
          <t>Nativa</t>
        </is>
      </c>
      <c r="G18" s="57" t="inlineStr">
        <is>
          <t>Frecuente (5-20%)</t>
        </is>
      </c>
      <c r="H18" s="57" t="n"/>
      <c r="I18" s="57" t="n"/>
    </row>
    <row r="19">
      <c r="A19" s="56" t="inlineStr">
        <is>
          <t>7</t>
        </is>
      </c>
      <c r="B19" s="56" t="inlineStr">
        <is>
          <t>Cítricos</t>
        </is>
      </c>
      <c r="C19" s="56" t="inlineStr">
        <is>
          <t>Citrus spp.</t>
        </is>
      </c>
      <c r="D19" s="56" t="inlineStr">
        <is>
          <t>Rutaceae</t>
        </is>
      </c>
      <c r="E19" s="56" t="inlineStr">
        <is>
          <t>Arbóreo bajo (4-8 m)</t>
        </is>
      </c>
      <c r="F19" s="56" t="inlineStr">
        <is>
          <t>Introducida</t>
        </is>
      </c>
      <c r="G19" s="56" t="inlineStr">
        <is>
          <t>Ocasional (1-5%)</t>
        </is>
      </c>
      <c r="H19" s="56" t="n"/>
      <c r="I19" s="56" t="n"/>
    </row>
    <row r="20">
      <c r="A20" s="57" t="inlineStr">
        <is>
          <t>8</t>
        </is>
      </c>
      <c r="B20" s="57" t="inlineStr">
        <is>
          <t>Chilca</t>
        </is>
      </c>
      <c r="C20" s="57" t="inlineStr">
        <is>
          <t>Baccharis latifolia</t>
        </is>
      </c>
      <c r="D20" s="57" t="inlineStr">
        <is>
          <t>Asteraceae</t>
        </is>
      </c>
      <c r="E20" s="57" t="inlineStr">
        <is>
          <t>Arbustivo alto (1.5-4 m)</t>
        </is>
      </c>
      <c r="F20" s="57" t="inlineStr">
        <is>
          <t>Nativa</t>
        </is>
      </c>
      <c r="G20" s="57" t="inlineStr">
        <is>
          <t>Abundante (20-40%)</t>
        </is>
      </c>
      <c r="H20" s="57" t="n"/>
      <c r="I20" s="57" t="n"/>
    </row>
    <row r="21">
      <c r="A21" s="56" t="inlineStr">
        <is>
          <t>9</t>
        </is>
      </c>
      <c r="B21" s="56" t="inlineStr">
        <is>
          <t>Agave / penca</t>
        </is>
      </c>
      <c r="C21" s="56" t="inlineStr">
        <is>
          <t>Agave americana</t>
        </is>
      </c>
      <c r="D21" s="56" t="inlineStr">
        <is>
          <t>Asparagaceae</t>
        </is>
      </c>
      <c r="E21" s="56" t="inlineStr">
        <is>
          <t>Arbustivo alto (1.5-4 m)</t>
        </is>
      </c>
      <c r="F21" s="56" t="inlineStr">
        <is>
          <t>Introducida</t>
        </is>
      </c>
      <c r="G21" s="56" t="inlineStr">
        <is>
          <t>Ocasional (1-5%)</t>
        </is>
      </c>
      <c r="H21" s="56" t="n"/>
      <c r="I21" s="56" t="n"/>
    </row>
    <row r="22">
      <c r="A22" s="57" t="inlineStr">
        <is>
          <t>10</t>
        </is>
      </c>
      <c r="B22" s="57" t="inlineStr">
        <is>
          <t>Falsa yuca</t>
        </is>
      </c>
      <c r="C22" s="57" t="inlineStr">
        <is>
          <t>Por determinar</t>
        </is>
      </c>
      <c r="D22" s="57" t="inlineStr">
        <is>
          <t>Por determinar</t>
        </is>
      </c>
      <c r="E22" s="57" t="inlineStr">
        <is>
          <t>Arbustivo alto (1.5-4 m)</t>
        </is>
      </c>
      <c r="F22" s="57" t="inlineStr">
        <is>
          <t>Nativa</t>
        </is>
      </c>
      <c r="G22" s="57" t="inlineStr">
        <is>
          <t>Ocasional (1-5%)</t>
        </is>
      </c>
      <c r="H22" s="57" t="n"/>
      <c r="I22" s="57" t="n"/>
    </row>
    <row r="23">
      <c r="A23" s="56" t="inlineStr">
        <is>
          <t>11</t>
        </is>
      </c>
      <c r="B23" s="56" t="inlineStr">
        <is>
          <t>Plátano</t>
        </is>
      </c>
      <c r="C23" s="56" t="inlineStr">
        <is>
          <t>Musa × paradisiaca</t>
        </is>
      </c>
      <c r="D23" s="56" t="inlineStr">
        <is>
          <t>Musaceae</t>
        </is>
      </c>
      <c r="E23" s="56" t="inlineStr">
        <is>
          <t>Arbustivo alto (1.5-4 m)</t>
        </is>
      </c>
      <c r="F23" s="56" t="inlineStr">
        <is>
          <t>Introducida</t>
        </is>
      </c>
      <c r="G23" s="56" t="inlineStr">
        <is>
          <t>Frecuente (5-20%)</t>
        </is>
      </c>
      <c r="H23" s="56" t="n"/>
      <c r="I23" s="56" t="n"/>
    </row>
    <row r="24">
      <c r="A24" s="57" t="inlineStr">
        <is>
          <t>12</t>
        </is>
      </c>
      <c r="B24" s="57" t="inlineStr">
        <is>
          <t>Café</t>
        </is>
      </c>
      <c r="C24" s="57" t="inlineStr">
        <is>
          <t>Coffea arabica</t>
        </is>
      </c>
      <c r="D24" s="57" t="inlineStr">
        <is>
          <t>Rubiaceae</t>
        </is>
      </c>
      <c r="E24" s="57" t="inlineStr">
        <is>
          <t>Arbustivo alto (1.5-4 m)</t>
        </is>
      </c>
      <c r="F24" s="57" t="inlineStr">
        <is>
          <t>Introducida</t>
        </is>
      </c>
      <c r="G24" s="57" t="inlineStr">
        <is>
          <t>Frecuente (5-20%)</t>
        </is>
      </c>
      <c r="H24" s="57" t="n"/>
      <c r="I24" s="57" t="n"/>
    </row>
    <row r="25">
      <c r="A25" s="56" t="inlineStr">
        <is>
          <t>13</t>
        </is>
      </c>
      <c r="B25" s="56" t="inlineStr">
        <is>
          <t>Caña de azúcar</t>
        </is>
      </c>
      <c r="C25" s="56" t="inlineStr">
        <is>
          <t>Saccharum officinarum</t>
        </is>
      </c>
      <c r="D25" s="56" t="inlineStr">
        <is>
          <t>Poaceae</t>
        </is>
      </c>
      <c r="E25" s="56" t="inlineStr">
        <is>
          <t>Herbáceo (&lt;0.5 m)</t>
        </is>
      </c>
      <c r="F25" s="56" t="inlineStr">
        <is>
          <t>Introducida</t>
        </is>
      </c>
      <c r="G25" s="56" t="inlineStr">
        <is>
          <t>Frecuente (5-20%)</t>
        </is>
      </c>
      <c r="H25" s="56" t="n"/>
      <c r="I25" s="56" t="n"/>
    </row>
    <row r="26">
      <c r="A26" s="57" t="inlineStr">
        <is>
          <t>14</t>
        </is>
      </c>
      <c r="B26" s="57" t="inlineStr">
        <is>
          <t>Maíz</t>
        </is>
      </c>
      <c r="C26" s="57" t="inlineStr">
        <is>
          <t>Zea mays</t>
        </is>
      </c>
      <c r="D26" s="57" t="inlineStr">
        <is>
          <t>Poaceae</t>
        </is>
      </c>
      <c r="E26" s="57" t="inlineStr">
        <is>
          <t>Herbáceo (&lt;0.5 m)</t>
        </is>
      </c>
      <c r="F26" s="57" t="inlineStr">
        <is>
          <t>Introducida</t>
        </is>
      </c>
      <c r="G26" s="57" t="inlineStr">
        <is>
          <t>Frecuente (5-20%)</t>
        </is>
      </c>
      <c r="H26" s="57" t="n"/>
      <c r="I26" s="57" t="n"/>
    </row>
    <row r="27">
      <c r="A27" s="56" t="inlineStr">
        <is>
          <t>15</t>
        </is>
      </c>
      <c r="B27" s="56" t="inlineStr">
        <is>
          <t>Pastos cultivados</t>
        </is>
      </c>
      <c r="C27" s="56" t="inlineStr">
        <is>
          <t>Brachiaria sp. / Pennisetum sp.</t>
        </is>
      </c>
      <c r="D27" s="56" t="inlineStr">
        <is>
          <t>Poaceae</t>
        </is>
      </c>
      <c r="E27" s="56" t="inlineStr">
        <is>
          <t>Herbáceo (&lt;0.5 m)</t>
        </is>
      </c>
      <c r="F27" s="56" t="inlineStr">
        <is>
          <t>Introducida</t>
        </is>
      </c>
      <c r="G27" s="56" t="inlineStr">
        <is>
          <t>Dominante (&gt;40%)</t>
        </is>
      </c>
      <c r="H27" s="56" t="n"/>
      <c r="I27" s="56" t="n"/>
    </row>
    <row r="29">
      <c r="A29" s="54" t="inlineStr">
        <is>
          <t>F-DT-03 · ESPECIES CLAVE GEORREFERENCIADAS</t>
        </is>
      </c>
    </row>
    <row r="30">
      <c r="A30" s="55" t="inlineStr">
        <is>
          <t>N.o</t>
        </is>
      </c>
      <c r="B30" s="55" t="inlineStr">
        <is>
          <t>Especie</t>
        </is>
      </c>
      <c r="C30" s="55" t="inlineStr">
        <is>
          <t>Categoría</t>
        </is>
      </c>
      <c r="D30" s="55" t="inlineStr">
        <is>
          <t>Estado UICN</t>
        </is>
      </c>
      <c r="E30" s="55" t="inlineStr">
        <is>
          <t>UTM ESTE</t>
        </is>
      </c>
      <c r="F30" s="55" t="inlineStr">
        <is>
          <t>UTM NORTE</t>
        </is>
      </c>
      <c r="G30" s="55" t="inlineStr">
        <is>
          <t>N.° individuos</t>
        </is>
      </c>
      <c r="H30" s="55" t="inlineStr">
        <is>
          <t>Observación</t>
        </is>
      </c>
    </row>
    <row r="31">
      <c r="A31" s="56" t="inlineStr">
        <is>
          <t>1</t>
        </is>
      </c>
      <c r="B31" s="56" t="inlineStr">
        <is>
          <t>Higuerón (Ficus sp.)</t>
        </is>
      </c>
      <c r="C31" s="56" t="inlineStr">
        <is>
          <t>Indicadora de buen estado</t>
        </is>
      </c>
      <c r="D31" s="56" t="inlineStr">
        <is>
          <t>NE — No Evaluado</t>
        </is>
      </c>
      <c r="E31" s="56" t="n"/>
      <c r="F31" s="56" t="n"/>
      <c r="G31" s="56" t="n"/>
      <c r="H31" s="56" t="inlineStr">
        <is>
          <t>Nativo emergente de relictos montanos y fajas ribereñas</t>
        </is>
      </c>
    </row>
    <row r="32">
      <c r="A32" s="57" t="inlineStr">
        <is>
          <t>2</t>
        </is>
      </c>
      <c r="B32" s="57" t="inlineStr">
        <is>
          <t>Pacae (Inga feuillei)</t>
        </is>
      </c>
      <c r="C32" s="57" t="inlineStr">
        <is>
          <t>Indicadora de buen estado</t>
        </is>
      </c>
      <c r="D32" s="57" t="inlineStr">
        <is>
          <t>NE — No Evaluado</t>
        </is>
      </c>
      <c r="E32" s="57" t="n"/>
      <c r="F32" s="57" t="n"/>
      <c r="G32" s="57" t="n"/>
      <c r="H32" s="57" t="inlineStr">
        <is>
          <t>Indicador de humedad edáfica; sombra de café</t>
        </is>
      </c>
    </row>
    <row r="33">
      <c r="A33" s="56" t="inlineStr">
        <is>
          <t>3</t>
        </is>
      </c>
      <c r="B33" s="56" t="inlineStr">
        <is>
          <t>Caña guayaquil (Guadua angustifolia)</t>
        </is>
      </c>
      <c r="C33" s="56" t="inlineStr">
        <is>
          <t>Clave cultural</t>
        </is>
      </c>
      <c r="D33" s="56" t="inlineStr">
        <is>
          <t>NE — No Evaluado</t>
        </is>
      </c>
      <c r="E33" s="56" t="n"/>
      <c r="F33" s="56" t="n"/>
      <c r="G33" s="56" t="n"/>
      <c r="H33" s="56" t="inlineStr">
        <is>
          <t>Rodales en fondos de quebrada; humedad permanente</t>
        </is>
      </c>
    </row>
    <row r="34">
      <c r="A34" s="57" t="inlineStr">
        <is>
          <t>4</t>
        </is>
      </c>
      <c r="B34" s="57" t="inlineStr">
        <is>
          <t>Chilca (Baccharis latifolia)</t>
        </is>
      </c>
      <c r="C34" s="57" t="inlineStr">
        <is>
          <t>Indicadora de perturbación</t>
        </is>
      </c>
      <c r="D34" s="57" t="inlineStr">
        <is>
          <t>NE — No Evaluado</t>
        </is>
      </c>
      <c r="E34" s="57" t="n"/>
      <c r="F34" s="57" t="n"/>
      <c r="G34" s="57" t="n"/>
      <c r="H34" s="57" t="inlineStr">
        <is>
          <t>Material para barreras vivas y revegetación</t>
        </is>
      </c>
    </row>
    <row r="35">
      <c r="A35" s="56" t="inlineStr">
        <is>
          <t>5</t>
        </is>
      </c>
      <c r="B35" s="56" t="inlineStr">
        <is>
          <t>Agave americana</t>
        </is>
      </c>
      <c r="C35" s="56" t="inlineStr">
        <is>
          <t>Indicadora de perturbación</t>
        </is>
      </c>
      <c r="D35" s="56" t="inlineStr">
        <is>
          <t>NE — No Evaluado</t>
        </is>
      </c>
      <c r="E35" s="56" t="n"/>
      <c r="F35" s="56" t="n"/>
      <c r="G35" s="56" t="n"/>
      <c r="H35" s="56" t="inlineStr">
        <is>
          <t>Exótica naturalizada; uso en cercos vivos</t>
        </is>
      </c>
    </row>
    <row r="36">
      <c r="A36" s="57" t="inlineStr">
        <is>
          <t>6</t>
        </is>
      </c>
      <c r="B36" s="57" t="inlineStr">
        <is>
          <t>Faique (Vachellia macracantha)</t>
        </is>
      </c>
      <c r="C36" s="57" t="inlineStr">
        <is>
          <t>Indicadora de perturbación</t>
        </is>
      </c>
      <c r="D36" s="57" t="inlineStr">
        <is>
          <t>NE — No Evaluado</t>
        </is>
      </c>
      <c r="E36" s="57" t="n"/>
      <c r="F36" s="57" t="n"/>
      <c r="G36" s="57" t="n"/>
      <c r="H36" s="57" t="inlineStr">
        <is>
          <t>Indicador de suelos degradados y sobrepastoreo</t>
        </is>
      </c>
    </row>
    <row r="38">
      <c r="A38" s="54" t="inlineStr">
        <is>
          <t>F-DT-04 · MATRIZ DE CAUSAS DE DEGRADACIÓN</t>
        </is>
      </c>
    </row>
    <row r="39">
      <c r="A39" s="55" t="inlineStr">
        <is>
          <t>N.o</t>
        </is>
      </c>
      <c r="B39" s="55" t="inlineStr">
        <is>
          <t>Causa</t>
        </is>
      </c>
      <c r="C39" s="55" t="inlineStr">
        <is>
          <t>Presencia</t>
        </is>
      </c>
      <c r="D39" s="55" t="inlineStr">
        <is>
          <t>Intensidad</t>
        </is>
      </c>
      <c r="E39" s="55" t="inlineStr">
        <is>
          <t>Extensión</t>
        </is>
      </c>
      <c r="F39" s="55" t="inlineStr">
        <is>
          <t>Antigüedad</t>
        </is>
      </c>
      <c r="G39" s="55" t="inlineStr">
        <is>
          <t>Evidencia</t>
        </is>
      </c>
    </row>
    <row r="40">
      <c r="A40" s="56" t="inlineStr">
        <is>
          <t>1</t>
        </is>
      </c>
      <c r="B40" s="56" t="inlineStr">
        <is>
          <t>Sobrepastoreo (caprino/vacuno)</t>
        </is>
      </c>
      <c r="C40" s="56" t="inlineStr">
        <is>
          <t>Sí</t>
        </is>
      </c>
      <c r="D40" s="56" t="inlineStr">
        <is>
          <t>Moderada</t>
        </is>
      </c>
      <c r="E40" s="56" t="inlineStr">
        <is>
          <t>30</t>
        </is>
      </c>
      <c r="F40" s="56" t="inlineStr">
        <is>
          <t>&gt;10</t>
        </is>
      </c>
      <c r="G40" s="56" t="inlineStr">
        <is>
          <t>Ganado vacuno en laderas de pastizal, incluso sobre la cicatriz de deslizamiento; terracetas y sendas paralelas a la curva de nivel.</t>
        </is>
      </c>
    </row>
    <row r="41">
      <c r="A41" s="57" t="inlineStr">
        <is>
          <t>2</t>
        </is>
      </c>
      <c r="B41" s="57" t="inlineStr">
        <is>
          <t>Tala para leña</t>
        </is>
      </c>
      <c r="C41" s="57" t="inlineStr"/>
      <c r="D41" s="57" t="inlineStr"/>
      <c r="E41" s="57" t="inlineStr"/>
      <c r="F41" s="57" t="inlineStr"/>
      <c r="G41" s="57" t="inlineStr">
        <is>
          <t>Por verificar: no se observaron claros de extracción en las tomas aéreas.</t>
        </is>
      </c>
    </row>
    <row r="42">
      <c r="A42" s="56" t="inlineStr">
        <is>
          <t>3</t>
        </is>
      </c>
      <c r="B42" s="56" t="inlineStr">
        <is>
          <t>Tala para carbón</t>
        </is>
      </c>
      <c r="C42" s="56" t="inlineStr"/>
      <c r="D42" s="56" t="inlineStr"/>
      <c r="E42" s="56" t="inlineStr"/>
      <c r="F42" s="56" t="inlineStr"/>
      <c r="G42" s="56" t="inlineStr">
        <is>
          <t>Por verificar.</t>
        </is>
      </c>
    </row>
    <row r="43">
      <c r="A43" s="57" t="inlineStr">
        <is>
          <t>4</t>
        </is>
      </c>
      <c r="B43" s="57" t="inlineStr">
        <is>
          <t>Tala para madera</t>
        </is>
      </c>
      <c r="C43" s="57" t="inlineStr"/>
      <c r="D43" s="57" t="inlineStr"/>
      <c r="E43" s="57" t="inlineStr"/>
      <c r="F43" s="57" t="inlineStr"/>
      <c r="G43" s="57" t="inlineStr">
        <is>
          <t>Por verificar.</t>
        </is>
      </c>
    </row>
    <row r="44">
      <c r="A44" s="56" t="inlineStr">
        <is>
          <t>5</t>
        </is>
      </c>
      <c r="B44" s="56" t="inlineStr">
        <is>
          <t>Quema (renovación de pastos)</t>
        </is>
      </c>
      <c r="C44" s="56" t="inlineStr"/>
      <c r="D44" s="56" t="inlineStr"/>
      <c r="E44" s="56" t="inlineStr"/>
      <c r="F44" s="56" t="inlineStr"/>
      <c r="G44" s="56" t="inlineStr">
        <is>
          <t>Por verificar: no se registraron cicatrices de quema reciente en el vuelo de agosto.</t>
        </is>
      </c>
    </row>
    <row r="45">
      <c r="A45" s="57" t="inlineStr">
        <is>
          <t>6</t>
        </is>
      </c>
      <c r="B45" s="57" t="inlineStr">
        <is>
          <t>Quema accidental / Incendio</t>
        </is>
      </c>
      <c r="C45" s="57" t="inlineStr"/>
      <c r="D45" s="57" t="inlineStr"/>
      <c r="E45" s="57" t="inlineStr"/>
      <c r="F45" s="57" t="inlineStr"/>
      <c r="G45" s="57" t="inlineStr">
        <is>
          <t>Por verificar.</t>
        </is>
      </c>
    </row>
    <row r="46">
      <c r="A46" s="56" t="inlineStr">
        <is>
          <t>7</t>
        </is>
      </c>
      <c r="B46" s="56" t="inlineStr">
        <is>
          <t>Cambio de uso a agricultura</t>
        </is>
      </c>
      <c r="C46" s="56" t="inlineStr">
        <is>
          <t>Sí</t>
        </is>
      </c>
      <c r="D46" s="56" t="inlineStr">
        <is>
          <t>Moderada</t>
        </is>
      </c>
      <c r="E46" s="56" t="inlineStr">
        <is>
          <t>25</t>
        </is>
      </c>
      <c r="F46" s="56" t="inlineStr">
        <is>
          <t>&gt;20</t>
        </is>
      </c>
      <c r="G46" s="56" t="inlineStr">
        <is>
          <t>Parcelas de caña de azúcar, maíz, plátano y café en ladera, con labranza a favor de la pendiente.</t>
        </is>
      </c>
    </row>
    <row r="47">
      <c r="A47" s="57" t="inlineStr">
        <is>
          <t>8</t>
        </is>
      </c>
      <c r="B47" s="57" t="inlineStr">
        <is>
          <t>Cambio de uso a pastoreo</t>
        </is>
      </c>
      <c r="C47" s="57" t="inlineStr">
        <is>
          <t>Sí</t>
        </is>
      </c>
      <c r="D47" s="57" t="inlineStr">
        <is>
          <t>Fuerte</t>
        </is>
      </c>
      <c r="E47" s="57" t="inlineStr">
        <is>
          <t>30</t>
        </is>
      </c>
      <c r="F47" s="57" t="inlineStr">
        <is>
          <t>&gt;20</t>
        </is>
      </c>
      <c r="G47" s="57" t="inlineStr">
        <is>
          <t>Conversión de matorral y bosque a pastos cultivados en las laderas de mayor insolación.</t>
        </is>
      </c>
    </row>
    <row r="48">
      <c r="A48" s="56" t="inlineStr">
        <is>
          <t>9</t>
        </is>
      </c>
      <c r="B48" s="56" t="inlineStr">
        <is>
          <t>Expansión urbana / vial</t>
        </is>
      </c>
      <c r="C48" s="56" t="inlineStr">
        <is>
          <t>Sí</t>
        </is>
      </c>
      <c r="D48" s="56" t="inlineStr">
        <is>
          <t>Ligera</t>
        </is>
      </c>
      <c r="E48" s="56" t="inlineStr">
        <is>
          <t>5</t>
        </is>
      </c>
      <c r="F48" s="56" t="inlineStr">
        <is>
          <t>Por verificar</t>
        </is>
      </c>
      <c r="G48" s="56" t="inlineStr">
        <is>
          <t>Caserío Huamala con vivienda dispersa, reservorio de concreto en construcción y trocha carrozable con taludes de corte sin tratamiento.</t>
        </is>
      </c>
    </row>
    <row r="49">
      <c r="A49" s="57" t="inlineStr">
        <is>
          <t>10</t>
        </is>
      </c>
      <c r="B49" s="57" t="inlineStr">
        <is>
          <t>Minería informal</t>
        </is>
      </c>
      <c r="C49" s="57" t="inlineStr"/>
      <c r="D49" s="57" t="inlineStr"/>
      <c r="E49" s="57" t="inlineStr"/>
      <c r="F49" s="57" t="inlineStr"/>
      <c r="G49" s="57" t="inlineStr"/>
    </row>
    <row r="50">
      <c r="A50" s="56" t="inlineStr">
        <is>
          <t>11</t>
        </is>
      </c>
      <c r="B50" s="56" t="inlineStr">
        <is>
          <t>Extracción de áridos (cauces)</t>
        </is>
      </c>
      <c r="C50" s="56" t="inlineStr"/>
      <c r="D50" s="56" t="inlineStr"/>
      <c r="E50" s="56" t="inlineStr"/>
      <c r="F50" s="56" t="inlineStr"/>
      <c r="G50" s="56" t="inlineStr"/>
    </row>
    <row r="51">
      <c r="A51" s="57" t="inlineStr">
        <is>
          <t>12</t>
        </is>
      </c>
      <c r="B51" s="57" t="inlineStr">
        <is>
          <t>Especies invasoras</t>
        </is>
      </c>
      <c r="C51" s="57" t="inlineStr">
        <is>
          <t>Sí</t>
        </is>
      </c>
      <c r="D51" s="57" t="inlineStr">
        <is>
          <t>Ligera</t>
        </is>
      </c>
      <c r="E51" s="57" t="inlineStr">
        <is>
          <t>5</t>
        </is>
      </c>
      <c r="F51" s="57" t="inlineStr">
        <is>
          <t>Por verificar</t>
        </is>
      </c>
      <c r="G51" s="57" t="inlineStr">
        <is>
          <t>Agave naturalizado y plantaciones de eucalipto y grevilea en linderos y crestas.</t>
        </is>
      </c>
    </row>
    <row r="52">
      <c r="A52" s="56" t="inlineStr">
        <is>
          <t>13</t>
        </is>
      </c>
      <c r="B52" s="56" t="inlineStr">
        <is>
          <t>Erosión natural severa</t>
        </is>
      </c>
      <c r="C52" s="56" t="inlineStr">
        <is>
          <t>Sí</t>
        </is>
      </c>
      <c r="D52" s="56" t="inlineStr">
        <is>
          <t>Moderada</t>
        </is>
      </c>
      <c r="E52" s="56" t="inlineStr">
        <is>
          <t>10</t>
        </is>
      </c>
      <c r="F52" s="56" t="inlineStr">
        <is>
          <t>Por verificar</t>
        </is>
      </c>
      <c r="G52" s="56" t="inlineStr">
        <is>
          <t>Escarpe activo con suelo desnudo y material suelto; socavamiento del cauce principal; afloramientos y desprendimientos en farallones.</t>
        </is>
      </c>
    </row>
    <row r="53">
      <c r="A53" s="57" t="inlineStr">
        <is>
          <t>14</t>
        </is>
      </c>
      <c r="B53" s="57" t="inlineStr">
        <is>
          <t>Sequía prolongada / CC</t>
        </is>
      </c>
      <c r="C53" s="57" t="inlineStr"/>
      <c r="D53" s="57" t="inlineStr"/>
      <c r="E53" s="57" t="inlineStr"/>
      <c r="F53" s="57" t="inlineStr"/>
      <c r="G53" s="57" t="inlineStr"/>
    </row>
    <row r="54">
      <c r="A54" s="56" t="inlineStr">
        <is>
          <t>15</t>
        </is>
      </c>
      <c r="B54" s="56" t="inlineStr">
        <is>
          <t>Plagas o enfermedades forestales</t>
        </is>
      </c>
      <c r="C54" s="56" t="inlineStr"/>
      <c r="D54" s="56" t="inlineStr"/>
      <c r="E54" s="56" t="inlineStr"/>
      <c r="F54" s="56" t="inlineStr"/>
      <c r="G54" s="56" t="inlineStr"/>
    </row>
    <row r="55">
      <c r="A55" s="57" t="inlineStr">
        <is>
          <t>16</t>
        </is>
      </c>
      <c r="B55" s="57" t="inlineStr">
        <is>
          <t>Otro</t>
        </is>
      </c>
      <c r="C55" s="57" t="inlineStr"/>
      <c r="D55" s="57" t="inlineStr"/>
      <c r="E55" s="57" t="inlineStr"/>
      <c r="F55" s="57" t="inlineStr"/>
      <c r="G55" s="57" t="inlineStr"/>
    </row>
    <row r="57">
      <c r="A57" s="54" t="inlineStr">
        <is>
          <t>F-DT-04 · INDICADORES CUANTITATIVOS</t>
        </is>
      </c>
    </row>
    <row r="58">
      <c r="A58" s="55" t="inlineStr">
        <is>
          <t>N.o</t>
        </is>
      </c>
      <c r="B58" s="55" t="inlineStr">
        <is>
          <t>Indicador</t>
        </is>
      </c>
      <c r="C58" s="55" t="inlineStr">
        <is>
          <t>Unidad</t>
        </is>
      </c>
      <c r="D58" s="55" t="inlineStr">
        <is>
          <t>Valor</t>
        </is>
      </c>
      <c r="E58" s="55" t="inlineStr">
        <is>
          <t>Fuente</t>
        </is>
      </c>
      <c r="F58" s="55" t="inlineStr">
        <is>
          <t>Umbral</t>
        </is>
      </c>
      <c r="G58" s="55" t="inlineStr">
        <is>
          <t>Nivel</t>
        </is>
      </c>
    </row>
    <row r="59">
      <c r="A59" s="56" t="inlineStr">
        <is>
          <t>1</t>
        </is>
      </c>
      <c r="B59" s="56" t="inlineStr">
        <is>
          <t>Cobertura vegetal total</t>
        </is>
      </c>
      <c r="C59" s="56" t="inlineStr">
        <is>
          <t>%</t>
        </is>
      </c>
      <c r="D59" s="56" t="inlineStr">
        <is>
          <t>92</t>
        </is>
      </c>
      <c r="E59" s="56" t="inlineStr">
        <is>
          <t>Estimación visual + NDVI 2025 / MSAVI 2024</t>
        </is>
      </c>
      <c r="F59" s="56" t="inlineStr">
        <is>
          <t>&gt;60% bueno; 30-60% medio; &lt;30% malo</t>
        </is>
      </c>
      <c r="G59" s="56" t="inlineStr">
        <is>
          <t>Bajo</t>
        </is>
      </c>
    </row>
    <row r="60">
      <c r="A60" s="57" t="inlineStr">
        <is>
          <t>2</t>
        </is>
      </c>
      <c r="B60" s="57" t="inlineStr">
        <is>
          <t>Porcentaje de suelo desnudo</t>
        </is>
      </c>
      <c r="C60" s="57" t="inlineStr">
        <is>
          <t>%</t>
        </is>
      </c>
      <c r="D60" s="57" t="inlineStr">
        <is>
          <t>5</t>
        </is>
      </c>
      <c r="E60" s="57" t="inlineStr">
        <is>
          <t>Estimación visual sobre tomas RPAS</t>
        </is>
      </c>
      <c r="F60" s="57" t="inlineStr">
        <is>
          <t>&lt;10% bueno; 10-30% medio; &gt;30% malo</t>
        </is>
      </c>
      <c r="G60" s="57" t="inlineStr">
        <is>
          <t>Bajo</t>
        </is>
      </c>
    </row>
    <row r="61">
      <c r="A61" s="56" t="inlineStr">
        <is>
          <t>3</t>
        </is>
      </c>
      <c r="B61" s="56" t="inlineStr">
        <is>
          <t>Densidad de cárcavas</t>
        </is>
      </c>
      <c r="C61" s="56" t="inlineStr">
        <is>
          <t>N°/ha</t>
        </is>
      </c>
      <c r="D61" s="56" t="inlineStr">
        <is>
          <t>Por determinar</t>
        </is>
      </c>
      <c r="E61" s="56" t="inlineStr">
        <is>
          <t>Requiere ortomosaico/MDS del vuelo</t>
        </is>
      </c>
      <c r="F61" s="56" t="inlineStr">
        <is>
          <t>0 nulo; 1-3 medio; &gt;3 alto</t>
        </is>
      </c>
      <c r="G61" s="56" t="inlineStr"/>
    </row>
    <row r="62">
      <c r="A62" s="57" t="inlineStr">
        <is>
          <t>4</t>
        </is>
      </c>
      <c r="B62" s="57" t="inlineStr">
        <is>
          <t>Presencia de especies invasoras</t>
        </is>
      </c>
      <c r="C62" s="57" t="inlineStr">
        <is>
          <t>% área</t>
        </is>
      </c>
      <c r="D62" s="57" t="inlineStr">
        <is>
          <t>5</t>
        </is>
      </c>
      <c r="E62" s="57" t="inlineStr">
        <is>
          <t>Estimación visual (agave, exóticas forestales)</t>
        </is>
      </c>
      <c r="F62" s="57" t="inlineStr">
        <is>
          <t>&lt;5% bueno; 5-20% medio; &gt;20% alto</t>
        </is>
      </c>
      <c r="G62" s="57" t="inlineStr">
        <is>
          <t>Bajo</t>
        </is>
      </c>
    </row>
    <row r="63">
      <c r="A63" s="56" t="inlineStr">
        <is>
          <t>5</t>
        </is>
      </c>
      <c r="B63" s="56" t="inlineStr">
        <is>
          <t>Carga ganadera estimada</t>
        </is>
      </c>
      <c r="C63" s="56" t="inlineStr">
        <is>
          <t>UA/ha</t>
        </is>
      </c>
      <c r="D63" s="56" t="inlineStr">
        <is>
          <t>Por determinar</t>
        </is>
      </c>
      <c r="E63" s="56" t="inlineStr">
        <is>
          <t>Requiere diagnóstico social / F-DS</t>
        </is>
      </c>
      <c r="F63" s="56" t="inlineStr">
        <is>
          <t>Según tipo de ecosistema</t>
        </is>
      </c>
      <c r="G63" s="56" t="inlineStr"/>
    </row>
    <row r="64">
      <c r="A64" s="57" t="inlineStr">
        <is>
          <t>6</t>
        </is>
      </c>
      <c r="B64" s="57" t="inlineStr">
        <is>
          <t>Frecuencia de quemas últimos 5 años</t>
        </is>
      </c>
      <c r="C64" s="57" t="inlineStr">
        <is>
          <t>N°</t>
        </is>
      </c>
      <c r="D64" s="57" t="inlineStr">
        <is>
          <t>Por determinar</t>
        </is>
      </c>
      <c r="E64" s="57" t="inlineStr">
        <is>
          <t>Requiere serie de focos de calor / entrevistas</t>
        </is>
      </c>
      <c r="F64" s="57" t="inlineStr">
        <is>
          <t>0 nulo; 1-2 medio; &gt;2 alto</t>
        </is>
      </c>
      <c r="G64" s="57" t="inlineStr"/>
    </row>
    <row r="65">
      <c r="A65" s="56" t="inlineStr">
        <is>
          <t>7</t>
        </is>
      </c>
      <c r="B65" s="56" t="inlineStr">
        <is>
          <t>% área con pendiente &gt;50%</t>
        </is>
      </c>
      <c r="C65" s="56" t="inlineStr">
        <is>
          <t>%</t>
        </is>
      </c>
      <c r="D65" s="56" t="inlineStr">
        <is>
          <t>Por determinar</t>
        </is>
      </c>
      <c r="E65" s="56" t="inlineStr">
        <is>
          <t>Requiere histograma de pendientes del MDE</t>
        </is>
      </c>
      <c r="F65" s="56" t="inlineStr">
        <is>
          <t>Factor de susceptibilidad</t>
        </is>
      </c>
      <c r="G65" s="56" t="inlineStr"/>
    </row>
    <row r="66">
      <c r="A66" s="57" t="inlineStr">
        <is>
          <t>8</t>
        </is>
      </c>
      <c r="B66" s="57" t="inlineStr">
        <is>
          <t>Distancia a vía vecinal más cercana</t>
        </is>
      </c>
      <c r="C66" s="57" t="inlineStr">
        <is>
          <t>m</t>
        </is>
      </c>
      <c r="D66" s="57" t="inlineStr">
        <is>
          <t>0</t>
        </is>
      </c>
      <c r="E66" s="57" t="inlineStr">
        <is>
          <t>Trocha carrozable colindante al límite norte (SIG)</t>
        </is>
      </c>
      <c r="F66" s="57" t="inlineStr">
        <is>
          <t>A menor distancia → mayor presión</t>
        </is>
      </c>
      <c r="G66" s="57" t="inlineStr">
        <is>
          <t>Alto</t>
        </is>
      </c>
    </row>
    <row r="68">
      <c r="A68" s="54" t="inlineStr">
        <is>
          <t>F-DT-05 · FUENTES DE AGUA INVENTARIADAS</t>
        </is>
      </c>
    </row>
    <row r="69">
      <c r="A69" s="55" t="inlineStr">
        <is>
          <t>N.o</t>
        </is>
      </c>
      <c r="B69" s="55" t="inlineStr">
        <is>
          <t>Tipo de fuente</t>
        </is>
      </c>
      <c r="C69" s="55" t="inlineStr">
        <is>
          <t>UTM ESTE</t>
        </is>
      </c>
      <c r="D69" s="55" t="inlineStr">
        <is>
          <t>UTM NORTE</t>
        </is>
      </c>
      <c r="E69" s="55" t="inlineStr">
        <is>
          <t>Régimen</t>
        </is>
      </c>
      <c r="F69" s="55" t="inlineStr">
        <is>
          <t>Calidad</t>
        </is>
      </c>
      <c r="G69" s="55" t="inlineStr">
        <is>
          <t>Distancia (m)</t>
        </is>
      </c>
      <c r="H69" s="55" t="inlineStr">
        <is>
          <t>Uso / observación</t>
        </is>
      </c>
    </row>
    <row r="70">
      <c r="A70" s="56" t="inlineStr">
        <is>
          <t>1</t>
        </is>
      </c>
      <c r="B70" s="56" t="inlineStr">
        <is>
          <t>Quebrada permanente</t>
        </is>
      </c>
      <c r="C70" s="56" t="n"/>
      <c r="D70" s="56" t="n"/>
      <c r="E70" s="56" t="inlineStr">
        <is>
          <t>Permanente</t>
        </is>
      </c>
      <c r="F70" s="56" t="inlineStr">
        <is>
          <t>No evaluable</t>
        </is>
      </c>
      <c r="G70" s="61" t="n">
        <v>0</v>
      </c>
      <c r="H70" s="56" t="inlineStr">
        <is>
          <t>Cauce principal del flanco oriental, con salto de agua y vegetación ribereña continua; socavamiento de márgenes.</t>
        </is>
      </c>
    </row>
    <row r="71">
      <c r="A71" s="57" t="inlineStr">
        <is>
          <t>2</t>
        </is>
      </c>
      <c r="B71" s="57" t="inlineStr">
        <is>
          <t>Quebrada estacional</t>
        </is>
      </c>
      <c r="C71" s="57" t="n"/>
      <c r="D71" s="57" t="n"/>
      <c r="E71" s="57" t="inlineStr">
        <is>
          <t>Estacional (lluvias)</t>
        </is>
      </c>
      <c r="F71" s="57" t="inlineStr">
        <is>
          <t>No evaluable</t>
        </is>
      </c>
      <c r="G71" s="62" t="n">
        <v>0</v>
      </c>
      <c r="H71" s="57" t="inlineStr">
        <is>
          <t>Tributarios que disectan la ladera y cruzan la trocha carrozable; escorrentía concentrada.</t>
        </is>
      </c>
    </row>
    <row r="72">
      <c r="A72" s="56" t="inlineStr">
        <is>
          <t>3</t>
        </is>
      </c>
      <c r="B72" s="56" t="inlineStr">
        <is>
          <t>Río</t>
        </is>
      </c>
      <c r="C72" s="56" t="n"/>
      <c r="D72" s="56" t="n"/>
      <c r="E72" s="56" t="inlineStr">
        <is>
          <t>Permanente</t>
        </is>
      </c>
      <c r="F72" s="56" t="inlineStr">
        <is>
          <t>No evaluable</t>
        </is>
      </c>
      <c r="G72" s="63" t="n">
        <v>500</v>
      </c>
      <c r="H72" s="56" t="inlineStr">
        <is>
          <t>Río de fondo de valle al norte del bloque (imagen Google Earth); receptor del sedimento generado en el bloque.</t>
        </is>
      </c>
    </row>
    <row r="75">
      <c r="A75" s="54" t="inlineStr">
        <is>
          <t>OBSERVACIONES DEL EVALUADOR POR FICHA</t>
        </is>
      </c>
    </row>
    <row r="76">
      <c r="A76" s="55" t="inlineStr">
        <is>
          <t>Ficha</t>
        </is>
      </c>
      <c r="B76" s="55" t="inlineStr">
        <is>
          <t>Observación registrada en campo</t>
        </is>
      </c>
    </row>
    <row r="77">
      <c r="A77" s="56" t="inlineStr">
        <is>
          <t>F-DT-01</t>
        </is>
      </c>
      <c r="B77" s="56" t="inlineStr">
        <is>
          <t>Verificación ejecutada mediante vuelo de dron (RPAS) con tomas oblicuas y cenitales; no hubo recorrido pedestre ni levantamiento GPS de puntos, por lo que las coordenadas consignadas corresponden al CENTROIDE del polígono (Bloques V4/V5) y no a un punto de muestreo de campo. Superficie oficial 102.34 ha: el bloque más extenso de la microcuenca C1081-Q9591. Rango altitudinal 1 171–1 769 msnm (MDE), amplitud 598 m: el polígono cabalga las clases 1000–1500 m (Quechua baja) y 1500–2000 m (Quechua media); se consigna la primera por cota media (1 470 msnm) y se deja constancia del carácter transicional. Pendiente promedio zonal 31.55 % ≡ 17.5° (clase 25–50 %), muy por debajo del umbral de exclusión de 75 %. Indicios de inestabilidad verificados en las tomas: farallones y afloramientos en la divisoria, escarpe activo con suelo desnudo y material suelto en ladera de pastizal del sector centro-norte, terracetas y sendas de ganado (reptación) y socavamiento en el cauce principal. PMM preliminar: Medio–Alto.</t>
        </is>
      </c>
    </row>
    <row r="78">
      <c r="A78" s="57" t="inlineStr">
        <is>
          <t>F-DT-02</t>
        </is>
      </c>
      <c r="B78" s="57" t="inlineStr">
        <is>
          <t>El inventario georreferenciado de cárcavas (sección 3) NO fue ejecutado: la modalidad de verificación fue vuelo de dron sin recorrido pedestre ni medición instrumental de longitud, profundidad y ancho. Cero cárcavas registradas NO equivale a ausencia de cárcavas; el inventario queda supeditado al ortomosaico y al modelo digital de superficie (MDS) del propio vuelo, a cargo del analista de infraestructura marrón. Procesos observados, en orden de relevancia: (i) escarpe de deslizamiento activo con suelo desnudo y material suelto expuesto en ladera de pastizal, con ganado vacuno pastando sobre la cicatriz; (ii) socavamiento y profundización del cauce de la quebrada principal; (iii) compactación y terraceteo por pisoteo en las laderas de pastoreo; (iv) erosión laminar y en surcos en parcelas de cultivo en pendiente; (v) taludes de corte sin tratamiento en la trocha carrozable del sector norte.</t>
        </is>
      </c>
    </row>
    <row r="79">
      <c r="A79" s="56" t="inlineStr">
        <is>
          <t>F-DT-03</t>
        </is>
      </c>
      <c r="B79" s="56" t="inlineStr">
        <is>
          <t>Composición florística PRELIMINAR levantada por lectura aérea (RPAS) y por analogía con el Bloque 21, colindante y de la misma microcuenca C1081-Q9591, cuya vegetación el responsable de brigada declara similar. NO hubo colecta botánica ni determinación taxonómica formal; los nombres científicos están sujetos a confirmación por el estudio de ecosistema. NO se confirmaron especies amenazadas del D.S. 043-2006-AG. Coberturas y alturas son estimaciones visuales apoyadas en los índices MSAVI 2024 y NDVI mediana 2025. Gabinete: MSAVI medio 2024 = 0.6403 (vigor alto, 5.º de 10 bloques de la microcuenca, por encima del promedio local de 0.6292); el 95.93 % de la superficie supera 0.4976 y solo 0.04 ha (0.04 %) cae en la clase crítica (≤ 0.2650). El NDVI mediana 2025 asigna «Vegetación alta» al 94.11 % del polígono. La degradación es LOCALIZADA —lóbulo occidental y entorno del caserío—, no generalizada.</t>
        </is>
      </c>
    </row>
    <row r="80">
      <c r="A80" s="57" t="inlineStr">
        <is>
          <t>F-DT-05</t>
        </is>
      </c>
      <c r="B80" s="57" t="inlineStr">
        <is>
          <t>Inventario hídrico levantado por LECTURA AÉREA: las coordenadas, caudales y distancias de las fuentes quedan por verificar con GPS en una visita pedestre. El bloque se sitúa en la ZONA DE ORIGEN del peligro generador de inundaciones (PGI) y no en la zona de impacto: la escorrentía y el sedimento generados en estas laderas se transfieren al río de fondo de valle y, aguas abajo, a la cuenca media y baja del río Piura. Señal celular, operador, tiempos de viaje y alojamiento rural no fueron registrados por tratarse de una verificación aérea.</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66</t>
        </is>
      </c>
    </row>
    <row r="7">
      <c r="A7" s="54" t="inlineStr">
        <is>
          <t>Hechos declarados por fuente</t>
        </is>
      </c>
    </row>
    <row r="8">
      <c r="A8" s="55" t="inlineStr">
        <is>
          <t>Fuente</t>
        </is>
      </c>
      <c r="B8" s="55" t="inlineStr">
        <is>
          <t>Hechos</t>
        </is>
      </c>
    </row>
    <row r="9">
      <c r="A9" s="56" t="inlineStr">
        <is>
          <t>Dato de campo</t>
        </is>
      </c>
      <c r="B9" s="56" t="n">
        <v>58</v>
      </c>
    </row>
    <row r="10">
      <c r="A10" s="57" t="inlineStr">
        <is>
          <t>Gabinete (GIS / teledetección)</t>
        </is>
      </c>
      <c r="B10" s="57" t="n">
        <v>21</v>
      </c>
    </row>
    <row r="11">
      <c r="A11" s="56" t="inlineStr">
        <is>
          <t>Fuente oficial</t>
        </is>
      </c>
      <c r="B11" s="56" t="n">
        <v>14</v>
      </c>
    </row>
    <row r="28">
      <c r="A28" s="54" t="inlineStr">
        <is>
          <t>Estado del cruce entre fuentes</t>
        </is>
      </c>
    </row>
    <row r="29">
      <c r="A29" s="55" t="inlineStr">
        <is>
          <t>Estado</t>
        </is>
      </c>
      <c r="B29" s="55" t="inlineStr">
        <is>
          <t>Hechos</t>
        </is>
      </c>
    </row>
    <row r="30">
      <c r="A30" s="56" t="inlineStr">
        <is>
          <t>CONFORME</t>
        </is>
      </c>
      <c r="B30" s="56" t="n">
        <v>92</v>
      </c>
    </row>
    <row r="31">
      <c r="A31" s="57" t="inlineStr">
        <is>
          <t>COMPLEMENTADO</t>
        </is>
      </c>
      <c r="B31" s="57" t="n">
        <v>1</v>
      </c>
    </row>
    <row r="32">
      <c r="A32" s="56" t="inlineStr">
        <is>
          <t>ACTUALIZADO</t>
        </is>
      </c>
      <c r="B32" s="56" t="n">
        <v>0</v>
      </c>
    </row>
    <row r="33">
      <c r="A33" s="57" t="inlineStr">
        <is>
          <t>DISCREPANTE</t>
        </is>
      </c>
      <c r="B33" s="57" t="n">
        <v>0</v>
      </c>
    </row>
    <row r="34">
      <c r="A34" s="56" t="inlineStr">
        <is>
          <t>PENDIENTE</t>
        </is>
      </c>
      <c r="B34" s="56" t="n">
        <v>21</v>
      </c>
    </row>
    <row r="51">
      <c r="A51" s="54" t="inlineStr">
        <is>
          <t>Cobertura por estrato — campo (%)</t>
        </is>
      </c>
    </row>
    <row r="52">
      <c r="A52" s="55" t="inlineStr">
        <is>
          <t>Estrato</t>
        </is>
      </c>
      <c r="B52" s="55" t="inlineStr">
        <is>
          <t>% del área</t>
        </is>
      </c>
    </row>
    <row r="53">
      <c r="A53" s="56" t="inlineStr">
        <is>
          <t>Dosel</t>
        </is>
      </c>
      <c r="B53" s="63" t="n">
        <v>20</v>
      </c>
    </row>
    <row r="54">
      <c r="A54" s="57" t="inlineStr">
        <is>
          <t>Herbácea</t>
        </is>
      </c>
      <c r="B54" s="64" t="n">
        <v>40</v>
      </c>
    </row>
    <row r="55">
      <c r="A55" s="56" t="inlineStr">
        <is>
          <t>Suelo desnudo</t>
        </is>
      </c>
      <c r="B55" s="61" t="n">
        <v>5</v>
      </c>
    </row>
    <row r="72">
      <c r="A72" s="54" t="inlineStr">
        <is>
          <t>Causas activas de degradación (F-DT-04)</t>
        </is>
      </c>
    </row>
    <row r="73">
      <c r="A73" s="55" t="inlineStr">
        <is>
          <t>Causa</t>
        </is>
      </c>
      <c r="B73" s="55" t="inlineStr">
        <is>
          <t>Intensidad (1 ligera - 4 muy fuerte)</t>
        </is>
      </c>
    </row>
    <row r="74">
      <c r="A74" s="56" t="inlineStr">
        <is>
          <t>Cambio de uso a pastoreo</t>
        </is>
      </c>
      <c r="B74" s="56" t="n">
        <v>3</v>
      </c>
    </row>
    <row r="75">
      <c r="A75" s="57" t="inlineStr">
        <is>
          <t>Cambio de uso a agricultura</t>
        </is>
      </c>
      <c r="B75" s="57" t="n">
        <v>2</v>
      </c>
    </row>
    <row r="76">
      <c r="A76" s="56" t="inlineStr">
        <is>
          <t>Erosión natural severa</t>
        </is>
      </c>
      <c r="B76" s="56" t="n">
        <v>2</v>
      </c>
    </row>
    <row r="77">
      <c r="A77" s="57" t="inlineStr">
        <is>
          <t>Sobrepastoreo (caprino/vacuno)</t>
        </is>
      </c>
      <c r="B77" s="57" t="n">
        <v>2</v>
      </c>
    </row>
    <row r="78">
      <c r="A78" s="56" t="inlineStr">
        <is>
          <t>Especies invasoras</t>
        </is>
      </c>
      <c r="B78" s="56" t="n">
        <v>1</v>
      </c>
    </row>
    <row r="79">
      <c r="A79" s="57" t="inlineStr">
        <is>
          <t>Expansión urbana / vial</t>
        </is>
      </c>
      <c r="B79" s="57" t="n">
        <v>1</v>
      </c>
    </row>
    <row r="96">
      <c r="A96" s="54" t="inlineStr">
        <is>
          <t>Control de consistencia por calificación</t>
        </is>
      </c>
    </row>
    <row r="97">
      <c r="A97" s="55" t="inlineStr">
        <is>
          <t>Calificación</t>
        </is>
      </c>
      <c r="B97" s="55" t="inlineStr">
        <is>
          <t>Verificaciones</t>
        </is>
      </c>
    </row>
    <row r="98">
      <c r="A98" s="56" t="inlineStr">
        <is>
          <t>SUSTANTIVA</t>
        </is>
      </c>
      <c r="B98" s="56" t="n">
        <v>6</v>
      </c>
    </row>
    <row r="99">
      <c r="A99" s="57" t="inlineStr">
        <is>
          <t>NO SUSTANTIVA</t>
        </is>
      </c>
      <c r="B99" s="57" t="n">
        <v>3</v>
      </c>
    </row>
    <row r="100">
      <c r="A100" s="56" t="inlineStr">
        <is>
          <t>CORREGIDO</t>
        </is>
      </c>
      <c r="B100" s="56" t="n">
        <v>0</v>
      </c>
    </row>
    <row r="101">
      <c r="A101" s="57" t="inlineStr">
        <is>
          <t>CONFORME</t>
        </is>
      </c>
      <c r="B101" s="57"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66 — IN Piura</dc:title>
  <dc:subject>Diagnóstico Territorial por bloque de intervención</dc:subject>
  <dcterms:created xsi:type="dcterms:W3CDTF">2026-09-08T03:39:57Z</dcterms:created>
  <dcterms:modified xsi:type="dcterms:W3CDTF">2026-09-11T20:22:31Z</dcterms:modified>
</cp:coreProperties>
</file>