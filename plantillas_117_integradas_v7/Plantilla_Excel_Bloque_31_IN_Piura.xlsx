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integración'!$A$47:$A$50</f>
            </numRef>
          </cat>
          <val>
            <numRef>
              <f>'Gráficos de integración'!$B$47:$B$50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integración'!$A$66:$A$70</f>
            </numRef>
          </cat>
          <val>
            <numRef>
              <f>'Gráficos de integración'!$B$66:$B$70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31</t>
        </is>
      </c>
    </row>
    <row r="6" ht="24" customHeight="1">
      <c r="A6" s="4" t="inlineStr">
        <is>
          <t>Diagnóstico Territorial — Plantilla DT Campo Check Validada V5 | Sistema de referencia: UTM WGS 84 Zona 17S (EPSG:32717) · Integrado con la ficha de campo F-DT vigente (Plantilla_DT_Campo_Bloque31_IN_Piura.xlsx) — V7 - resumen V6 + campo F-DT integrado</t>
        </is>
      </c>
    </row>
    <row r="7"/>
    <row r="8" ht="18" customHeight="1">
      <c r="A8" s="5" t="inlineStr">
        <is>
          <t>1. IDENTIFICACIÓN Y LOCALIZACIÓN</t>
        </is>
      </c>
    </row>
    <row r="9">
      <c r="A9" s="6" t="inlineStr">
        <is>
          <t>Código del bloque</t>
        </is>
      </c>
      <c r="B9" s="7" t="inlineStr">
        <is>
          <t>31</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Molle y Hualanga Pampa</t>
        </is>
      </c>
      <c r="C13" s="6" t="inlineStr">
        <is>
          <t>Comunidad campesina</t>
        </is>
      </c>
      <c r="D13" s="7" t="inlineStr">
        <is>
          <t>Por verificar (tamizaje predial pendiente)</t>
        </is>
      </c>
      <c r="E13" s="8" t="n"/>
      <c r="F13" s="8" t="n"/>
    </row>
    <row r="14">
      <c r="A14" s="6" t="inlineStr">
        <is>
          <t>Superficie de catálogo (V5/V6), ha</t>
        </is>
      </c>
      <c r="B14" s="7" t="n">
        <v>47.58</v>
      </c>
      <c r="C14" s="6" t="inlineStr">
        <is>
          <t>Fuente de superficie</t>
        </is>
      </c>
      <c r="D14" s="7" t="inlineStr">
        <is>
          <t>Catálogo maestro Bloques V5/V6</t>
        </is>
      </c>
      <c r="E14" s="8" t="n"/>
      <c r="F14" s="8" t="n"/>
    </row>
    <row r="15">
      <c r="A15" s="6" t="inlineStr">
        <is>
          <t>Centroide UTM ESTE (m)</t>
        </is>
      </c>
      <c r="B15" s="7" t="n">
        <v>663334</v>
      </c>
      <c r="C15" s="6" t="inlineStr">
        <is>
          <t>Centroide UTM NORTE (m)</t>
        </is>
      </c>
      <c r="D15" s="7" t="n">
        <v>9392820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1741</v>
      </c>
      <c r="C19" s="6" t="inlineStr">
        <is>
          <t>Altitud máxima (msnm)</t>
        </is>
      </c>
      <c r="D19" s="7" t="n">
        <v>2234</v>
      </c>
      <c r="E19" s="8" t="n"/>
      <c r="F19" s="8" t="n"/>
    </row>
    <row r="20">
      <c r="A20" s="6" t="inlineStr">
        <is>
          <t>Amplitud altitudinal (m)</t>
        </is>
      </c>
      <c r="B20" s="7" t="n">
        <v>493</v>
      </c>
      <c r="C20" s="6" t="inlineStr">
        <is>
          <t>Piso altitudinal dominante</t>
        </is>
      </c>
      <c r="D20" s="7" t="inlineStr">
        <is>
          <t>1500-2000 m (Quechua media)</t>
        </is>
      </c>
      <c r="E20" s="8" t="n"/>
      <c r="F20" s="8" t="n"/>
    </row>
    <row r="21">
      <c r="A21" s="6" t="inlineStr">
        <is>
          <t>Pendiente promedio (%)</t>
        </is>
      </c>
      <c r="B21" s="7" t="n">
        <v>27.08</v>
      </c>
      <c r="C21" s="6" t="inlineStr">
        <is>
          <t>Pendiente promedio (grados)</t>
        </is>
      </c>
      <c r="D21" s="7" t="n">
        <v>15.2</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0.4358</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(68.50 %)</t>
        </is>
      </c>
      <c r="E29" s="8" t="n"/>
      <c r="F29" s="8" t="n"/>
    </row>
    <row r="30">
      <c r="A30" s="6" t="inlineStr">
        <is>
          <t>Superficie clasificada NDVI 2025 (ha)</t>
        </is>
      </c>
      <c r="B30" s="7" t="n">
        <v>47.588</v>
      </c>
      <c r="C30" s="6" t="inlineStr">
        <is>
          <t>Desviación frente al catálogo (%)</t>
        </is>
      </c>
      <c r="D30" s="7" t="n">
        <v>0.02</v>
      </c>
      <c r="E30" s="8" t="n"/>
      <c r="F30" s="8" t="n"/>
    </row>
    <row r="31">
      <c r="A31" s="6" t="inlineStr">
        <is>
          <t>Superficie clasificada MSAVI 2024 (ha)</t>
        </is>
      </c>
      <c r="B31" s="38" t="n">
        <v>47.581</v>
      </c>
      <c r="C31" s="6" t="inlineStr">
        <is>
          <t>Desviación MSAVI frente al catálogo (%)</t>
        </is>
      </c>
      <c r="D31" s="39" t="n">
        <v>0</v>
      </c>
      <c r="E31" s="8" t="n"/>
      <c r="F31" s="8" t="n"/>
    </row>
    <row r="32">
      <c r="A32" s="6" t="inlineStr">
        <is>
          <t>Superficie bajo umbral MSAVI 0.4976 (ha)</t>
        </is>
      </c>
      <c r="B32" s="38" t="n">
        <v>37.312</v>
      </c>
      <c r="C32" s="6" t="inlineStr">
        <is>
          <t>% del bloque bajo umbral (brecha espectral)</t>
        </is>
      </c>
      <c r="D32" s="39" t="n">
        <v>78.42</v>
      </c>
      <c r="E32" s="8" t="n"/>
      <c r="F32" s="8" t="n"/>
    </row>
    <row r="33">
      <c r="A33" s="6" t="inlineStr">
        <is>
          <t>Clase DN dominante (MSAVI 2024)</t>
        </is>
      </c>
      <c r="B33" s="7" t="inlineStr">
        <is>
          <t>DN 3 · 0.3813 - 0.4976 (Vigor bajo)</t>
        </is>
      </c>
      <c r="C33" s="6" t="inlineStr">
        <is>
          <t>N.° de polígonos MSAVI del bloque</t>
        </is>
      </c>
      <c r="D33" s="40" t="n">
        <v>335</v>
      </c>
      <c r="E33" s="8" t="n"/>
      <c r="F33" s="8" t="n"/>
    </row>
    <row r="34"/>
    <row r="35" ht="18" customHeight="1">
      <c r="A35" s="5" t="inlineStr">
        <is>
          <t>4. ECOSISTEMA Y ESTADO DE CONSERVACIÓN</t>
        </is>
      </c>
    </row>
    <row r="36">
      <c r="A36" s="6" t="inlineStr">
        <is>
          <t>Tipo de ecosistema (UP)</t>
        </is>
      </c>
      <c r="B36" s="7" t="inlineStr">
        <is>
          <t>Matorral Andino semiárido</t>
        </is>
      </c>
      <c r="C36" s="6" t="inlineStr">
        <is>
          <t>Superficie de ecosistema (ha)</t>
        </is>
      </c>
      <c r="D36" s="7" t="inlineStr">
        <is>
          <t>Por determinar (intersección con capa nacional MINAM pendiente)</t>
        </is>
      </c>
      <c r="E36" s="8" t="n"/>
      <c r="F36" s="8" t="n"/>
    </row>
    <row r="37">
      <c r="A37" s="6" t="inlineStr">
        <is>
          <t>Estado de conservación</t>
        </is>
      </c>
      <c r="B37" s="7" t="inlineStr">
        <is>
          <t>Muy alterado / Degradado</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inlineStr">
        <is>
          <t>70 - 80</t>
        </is>
      </c>
      <c r="E38" s="8" t="n"/>
      <c r="F38" s="8" t="n"/>
    </row>
    <row r="39">
      <c r="A39" s="6" t="inlineStr">
        <is>
          <t>Suelo desnudo — campo (%)</t>
        </is>
      </c>
      <c r="B39" s="7" t="inlineStr">
        <is>
          <t>10 - 20</t>
        </is>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inlineStr">
        <is>
          <t>Sin inventario</t>
        </is>
      </c>
      <c r="E40" s="8" t="n"/>
      <c r="F40" s="8" t="n"/>
    </row>
    <row r="41">
      <c r="A41" s="6" t="inlineStr">
        <is>
          <t>Elenco florístico (n.° de taxones)</t>
        </is>
      </c>
      <c r="B41" s="7" t="n">
        <v>12</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Pedro Talledo Hernández</t>
        </is>
      </c>
      <c r="C44" s="6" t="inlineStr">
        <is>
          <t>Fecha de evaluación</t>
        </is>
      </c>
      <c r="D44" s="7" t="inlineStr">
        <is>
          <t>2026-08-21</t>
        </is>
      </c>
      <c r="E44" s="8" t="n"/>
      <c r="F44" s="8" t="n"/>
    </row>
    <row r="45">
      <c r="A45" s="6" t="inlineStr">
        <is>
          <t>Hora de registro</t>
        </is>
      </c>
      <c r="B45" s="7" t="inlineStr">
        <is>
          <t>12:09 - 12:25 h</t>
        </is>
      </c>
      <c r="C45" s="6" t="inlineStr">
        <is>
          <t>Correlativo de ficha</t>
        </is>
      </c>
      <c r="D45" s="7" t="inlineStr">
        <is>
          <t>F-DT-01-B31-2026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n">
        <v>7</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Ganadería extensiva sin ordenamiento de carga ni calendario de pastoreo, sobre predios sin acuerdos de conservación</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2.8031</v>
      </c>
      <c r="C10" s="19">
        <f>ROUND(B10/$B$15*100,2)</f>
        <v/>
      </c>
      <c r="D10" s="11" t="inlineStr">
        <is>
          <t>Vigor alto</t>
        </is>
      </c>
      <c r="E10" s="11" t="inlineStr">
        <is>
          <t>Sobre umbral</t>
        </is>
      </c>
    </row>
    <row r="11">
      <c r="A11" s="12" t="inlineStr">
        <is>
          <t>0.4976 - 0.6139 · DN 4</t>
        </is>
      </c>
      <c r="B11" s="20" t="n">
        <v>7.4668</v>
      </c>
      <c r="C11" s="21">
        <f>ROUND(B11/$B$15*100,2)</f>
        <v/>
      </c>
      <c r="D11" s="13" t="inlineStr">
        <is>
          <t>Vigor moderado</t>
        </is>
      </c>
      <c r="E11" s="13" t="inlineStr">
        <is>
          <t>Sobre umbral</t>
        </is>
      </c>
    </row>
    <row r="12">
      <c r="A12" s="14" t="inlineStr">
        <is>
          <t>0.3813 - 0.4976 · DN 3</t>
        </is>
      </c>
      <c r="B12" s="32" t="n">
        <v>25.6868</v>
      </c>
      <c r="C12" s="31">
        <f>ROUND(B12/$B$15*100,2)</f>
        <v/>
      </c>
      <c r="D12" s="15" t="inlineStr">
        <is>
          <t>Vigor bajo</t>
        </is>
      </c>
      <c r="E12" s="15" t="inlineStr">
        <is>
          <t>BAJO umbral 0.4976</t>
        </is>
      </c>
    </row>
    <row r="13">
      <c r="A13" s="12" t="inlineStr">
        <is>
          <t>0.2650 - 0.3813 · DN 2</t>
        </is>
      </c>
      <c r="B13" s="20" t="n">
        <v>11.0475</v>
      </c>
      <c r="C13" s="21">
        <f>ROUND(B13/$B$15*100,2)</f>
        <v/>
      </c>
      <c r="D13" s="13" t="inlineStr">
        <is>
          <t>Vigor muy bajo</t>
        </is>
      </c>
      <c r="E13" s="13" t="inlineStr">
        <is>
          <t>BAJO umbral 0.4976</t>
        </is>
      </c>
    </row>
    <row r="14">
      <c r="A14" s="7" t="inlineStr">
        <is>
          <t>&lt;= 0.2650 · DN 1</t>
        </is>
      </c>
      <c r="B14" s="18" t="n">
        <v>0.5773</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335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47.58</v>
      </c>
      <c r="C18" s="49" t="inlineStr">
        <is>
          <t>—</t>
        </is>
      </c>
      <c r="D18" s="46" t="inlineStr">
        <is>
          <t>Desviación planimétrica frente al catálogo</t>
        </is>
      </c>
      <c r="E18" s="46" t="inlineStr">
        <is>
          <t>+0.00 %</t>
        </is>
      </c>
    </row>
    <row r="19">
      <c r="A19" s="16" t="inlineStr">
        <is>
          <t>MSAVI 2024 — MEDIA DEL BLOQUE</t>
        </is>
      </c>
      <c r="B19" s="17" t="n">
        <v>0.435805</v>
      </c>
      <c r="C19" s="17" t="inlineStr">
        <is>
          <t>—</t>
        </is>
      </c>
      <c r="D19" s="17" t="inlineStr">
        <is>
          <t>Vigor bajo · clase 0.3813 - 0.4976</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335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(0.4358)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8.8344</v>
      </c>
      <c r="C25" s="19" t="n">
        <v>18.56</v>
      </c>
      <c r="D25" s="11" t="inlineStr">
        <is>
          <t>Dosel continuo, matorral denso o mosaico agroforestal</t>
        </is>
      </c>
      <c r="E25" s="11" t="inlineStr"/>
    </row>
    <row r="26">
      <c r="A26" s="12" t="inlineStr">
        <is>
          <t>Vegetación mediana</t>
        </is>
      </c>
      <c r="B26" s="20" t="n">
        <v>32.598</v>
      </c>
      <c r="C26" s="21" t="n">
        <v>68.5</v>
      </c>
      <c r="D26" s="13" t="inlineStr">
        <is>
          <t>Pastizal cultivado, matorral ralo, parcelas agrícolas</t>
        </is>
      </c>
      <c r="E26" s="13" t="inlineStr"/>
    </row>
    <row r="27">
      <c r="A27" s="7" t="inlineStr">
        <is>
          <t>Vegetación ligera</t>
        </is>
      </c>
      <c r="B27" s="18" t="n">
        <v>5.9086</v>
      </c>
      <c r="C27" s="19" t="n">
        <v>12.42</v>
      </c>
      <c r="D27" s="11" t="inlineStr">
        <is>
          <t>Cobertura discontinua, suelo parcialmente expuesto</t>
        </is>
      </c>
      <c r="E27" s="11" t="inlineStr"/>
    </row>
    <row r="28">
      <c r="A28" s="12" t="inlineStr">
        <is>
          <t>Tierra desnuda</t>
        </is>
      </c>
      <c r="B28" s="20" t="n">
        <v>0.247</v>
      </c>
      <c r="C28" s="21" t="n">
        <v>0.52</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47.58</v>
      </c>
      <c r="C30" s="25" t="inlineStr">
        <is>
          <t>—</t>
        </is>
      </c>
      <c r="D30" s="25" t="inlineStr">
        <is>
          <t>Desviación planimétrica frente al catálogo</t>
        </is>
      </c>
      <c r="E30" s="25" t="inlineStr">
        <is>
          <t>+0.02 %</t>
        </is>
      </c>
    </row>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31</t>
        </is>
      </c>
    </row>
    <row r="6" ht="24" customHeight="1">
      <c r="A6" s="4" t="inlineStr">
        <is>
          <t>Levantamiento del 2026-08-21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663334</v>
      </c>
      <c r="D10" s="26" t="n">
        <v>9392820</v>
      </c>
      <c r="E10" s="11" t="n">
        <v>0</v>
      </c>
      <c r="F10" s="11" t="inlineStr"/>
      <c r="G10" s="11" t="inlineStr">
        <is>
          <t>Coordenada consignada en F-DT-01</t>
        </is>
      </c>
    </row>
    <row r="11">
      <c r="A11" s="12" t="inlineStr">
        <is>
          <t>H-01</t>
        </is>
      </c>
      <c r="B11" s="13" t="inlineStr">
        <is>
          <t>Fuente de agua — Quebrada estacional</t>
        </is>
      </c>
      <c r="C11" s="27" t="n">
        <v>663039</v>
      </c>
      <c r="D11" s="27" t="n">
        <v>9392813</v>
      </c>
      <c r="E11" s="13" t="n">
        <v>295.1</v>
      </c>
      <c r="F11" s="13" t="inlineStr">
        <is>
          <t>Estacional</t>
        </is>
      </c>
      <c r="G11" s="13" t="inlineStr">
        <is>
          <t>Vaguada interior</t>
        </is>
      </c>
    </row>
    <row r="12">
      <c r="A12" s="7" t="inlineStr">
        <is>
          <t>H-02</t>
        </is>
      </c>
      <c r="B12" s="11" t="inlineStr">
        <is>
          <t>Fuente de agua — Otro (línea de conducción)</t>
        </is>
      </c>
      <c r="C12" s="26" t="n">
        <v>662650</v>
      </c>
      <c r="D12" s="26" t="n">
        <v>9393175</v>
      </c>
      <c r="E12" s="11" t="n">
        <v>770.6</v>
      </c>
      <c r="F12" s="11" t="inlineStr">
        <is>
          <t>Permanente</t>
        </is>
      </c>
      <c r="G12" s="11" t="inlineStr">
        <is>
          <t>Línea de conducción</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663334</v>
      </c>
      <c r="C15" s="6" t="inlineStr">
        <is>
          <t>Centroide del bloque — UTM NORTE (m)</t>
        </is>
      </c>
      <c r="D15" s="7" t="n">
        <v>9392820</v>
      </c>
      <c r="E15" s="8" t="n"/>
      <c r="F15" s="8" t="n"/>
      <c r="G15" s="8" t="n"/>
      <c r="H15" s="8" t="n"/>
    </row>
    <row r="16">
      <c r="A16" s="6" t="inlineStr">
        <is>
          <t>N.° de estaciones fotográficas declaradas</t>
        </is>
      </c>
      <c r="B16" s="7" t="n">
        <v>7</v>
      </c>
      <c r="C16" s="6" t="inlineStr">
        <is>
          <t>Estaciones dentro del polígono</t>
        </is>
      </c>
      <c r="D16" s="7" t="n">
        <v>6</v>
      </c>
      <c r="E16" s="8" t="n"/>
      <c r="F16" s="8" t="n"/>
      <c r="G16" s="8" t="n"/>
      <c r="H16" s="8" t="n"/>
    </row>
    <row r="18" ht="120"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Pendiente promedio zonal 27.08% ≈ 15.15°. Centroide oficial 663334 E · 9392820 N; centroide planimétrico medido sobre el plano MSAVI 663392 E · 9392806 N (Δ ≈ 59 m). Superficie planimétrica ≈ 44.785 ha frente a las 47.588 ha del catálogo (−5.9%). SEIS de las siete estaciones fotográficas cayeron DENTRO del polígono (30 a 79 m del borde): la verificación es interior, no limítrofe. El cuadrante suroriental no fue recorrido.</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31</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8" t="n">
        <v>103.62</v>
      </c>
      <c r="C10" s="19" t="n">
        <v>21.54</v>
      </c>
      <c r="D10" s="11" t="inlineStr">
        <is>
          <t>1218 – 1904</t>
        </is>
      </c>
      <c r="E10" s="11" t="n">
        <v>686</v>
      </c>
      <c r="F10" s="11" t="n">
        <v>28.7</v>
      </c>
      <c r="G10" s="18" t="n">
        <v>0.6402</v>
      </c>
      <c r="H10" s="19" t="n">
        <v>96.64</v>
      </c>
      <c r="I10" s="19" t="n">
        <v>3</v>
      </c>
    </row>
    <row r="11">
      <c r="A11" s="12" t="inlineStr">
        <is>
          <t>19</t>
        </is>
      </c>
      <c r="B11" s="29" t="n">
        <v>82.09</v>
      </c>
      <c r="C11" s="21" t="n">
        <v>17.06</v>
      </c>
      <c r="D11" s="13" t="inlineStr">
        <is>
          <t>2064 – 2503</t>
        </is>
      </c>
      <c r="E11" s="13" t="n">
        <v>439</v>
      </c>
      <c r="F11" s="13" t="n">
        <v>31.01</v>
      </c>
      <c r="G11" s="20" t="n">
        <v>0.5372</v>
      </c>
      <c r="H11" s="21" t="n">
        <v>60.33</v>
      </c>
      <c r="I11" s="21" t="n">
        <v>42.63</v>
      </c>
    </row>
    <row r="12">
      <c r="A12" s="7" t="inlineStr">
        <is>
          <t>41</t>
        </is>
      </c>
      <c r="B12" s="28" t="n">
        <v>64.92</v>
      </c>
      <c r="C12" s="19" t="n">
        <v>13.49</v>
      </c>
      <c r="D12" s="11" t="inlineStr">
        <is>
          <t>1536 – 1818</t>
        </is>
      </c>
      <c r="E12" s="11" t="n">
        <v>282</v>
      </c>
      <c r="F12" s="11" t="n">
        <v>25.53</v>
      </c>
      <c r="G12" s="18" t="n">
        <v>0.5927</v>
      </c>
      <c r="H12" s="19" t="n">
        <v>98.02</v>
      </c>
      <c r="I12" s="19" t="n">
        <v>12.26</v>
      </c>
    </row>
    <row r="13">
      <c r="A13" s="12" t="inlineStr">
        <is>
          <t>73</t>
        </is>
      </c>
      <c r="B13" s="29" t="n">
        <v>54.29</v>
      </c>
      <c r="C13" s="21" t="n">
        <v>11.28</v>
      </c>
      <c r="D13" s="13" t="inlineStr">
        <is>
          <t>1845 – 2305</t>
        </is>
      </c>
      <c r="E13" s="13" t="n">
        <v>460</v>
      </c>
      <c r="F13" s="13" t="n">
        <v>36.34</v>
      </c>
      <c r="G13" s="20" t="n">
        <v>0.555</v>
      </c>
      <c r="H13" s="21" t="n">
        <v>88.8</v>
      </c>
      <c r="I13" s="21" t="n">
        <v>18.94</v>
      </c>
    </row>
    <row r="14">
      <c r="A14" s="14" t="inlineStr">
        <is>
          <t>► 31</t>
        </is>
      </c>
      <c r="B14" s="30" t="n">
        <v>47.58</v>
      </c>
      <c r="C14" s="31" t="n">
        <v>9.890000000000001</v>
      </c>
      <c r="D14" s="15" t="inlineStr">
        <is>
          <t>1741 – 2234</t>
        </is>
      </c>
      <c r="E14" s="15" t="n">
        <v>493</v>
      </c>
      <c r="F14" s="15" t="n">
        <v>27.08</v>
      </c>
      <c r="G14" s="32" t="n">
        <v>0.4358</v>
      </c>
      <c r="H14" s="31" t="n">
        <v>18.56</v>
      </c>
      <c r="I14" s="31" t="n">
        <v>78.42</v>
      </c>
    </row>
    <row r="15">
      <c r="A15" s="12" t="inlineStr">
        <is>
          <t>29</t>
        </is>
      </c>
      <c r="B15" s="29" t="n">
        <v>40.1</v>
      </c>
      <c r="C15" s="21" t="n">
        <v>8.33</v>
      </c>
      <c r="D15" s="13" t="inlineStr">
        <is>
          <t>2142 – 2391</t>
        </is>
      </c>
      <c r="E15" s="13" t="n">
        <v>249</v>
      </c>
      <c r="F15" s="13" t="n">
        <v>31.54</v>
      </c>
      <c r="G15" s="20" t="n">
        <v>0.5482</v>
      </c>
      <c r="H15" s="21" t="inlineStr">
        <is>
          <t>Por determinar</t>
        </is>
      </c>
      <c r="I15" s="13" t="inlineStr">
        <is>
          <t>s/d</t>
        </is>
      </c>
    </row>
    <row r="16">
      <c r="A16" s="7" t="inlineStr">
        <is>
          <t>70</t>
        </is>
      </c>
      <c r="B16" s="28" t="n">
        <v>22.39</v>
      </c>
      <c r="C16" s="19" t="n">
        <v>4.65</v>
      </c>
      <c r="D16" s="11" t="inlineStr">
        <is>
          <t>2326 – 2536</t>
        </is>
      </c>
      <c r="E16" s="11" t="n">
        <v>210</v>
      </c>
      <c r="F16" s="11" t="n">
        <v>23.2</v>
      </c>
      <c r="G16" s="18" t="n">
        <v>0.6223</v>
      </c>
      <c r="H16" s="19" t="n">
        <v>98.39</v>
      </c>
      <c r="I16" s="19" t="n">
        <v>4.87</v>
      </c>
    </row>
    <row r="17">
      <c r="A17" s="12" t="inlineStr">
        <is>
          <t>68</t>
        </is>
      </c>
      <c r="B17" s="29" t="n">
        <v>21.29</v>
      </c>
      <c r="C17" s="21" t="n">
        <v>4.42</v>
      </c>
      <c r="D17" s="13" t="inlineStr">
        <is>
          <t>2086 – 2374</t>
        </is>
      </c>
      <c r="E17" s="13" t="n">
        <v>288</v>
      </c>
      <c r="F17" s="13" t="n">
        <v>36.81</v>
      </c>
      <c r="G17" s="20" t="n">
        <v>0.483</v>
      </c>
      <c r="H17" s="21" t="inlineStr">
        <is>
          <t>Por determinar</t>
        </is>
      </c>
      <c r="I17" s="13" t="inlineStr">
        <is>
          <t>s/d</t>
        </is>
      </c>
    </row>
    <row r="18">
      <c r="A18" s="7" t="inlineStr">
        <is>
          <t>69</t>
        </is>
      </c>
      <c r="B18" s="28" t="n">
        <v>19.43</v>
      </c>
      <c r="C18" s="19" t="n">
        <v>4.04</v>
      </c>
      <c r="D18" s="11" t="inlineStr">
        <is>
          <t>1931 – 2205</t>
        </is>
      </c>
      <c r="E18" s="11" t="n">
        <v>274</v>
      </c>
      <c r="F18" s="11" t="n">
        <v>27.95</v>
      </c>
      <c r="G18" s="18" t="n">
        <v>0.4489</v>
      </c>
      <c r="H18" s="19" t="n">
        <v>22.92</v>
      </c>
      <c r="I18" s="19" t="n">
        <v>81.28</v>
      </c>
    </row>
    <row r="19">
      <c r="A19" s="12" t="inlineStr">
        <is>
          <t>53</t>
        </is>
      </c>
      <c r="B19" s="29" t="n">
        <v>13.06</v>
      </c>
      <c r="C19" s="21" t="n">
        <v>2.71</v>
      </c>
      <c r="D19" s="13" t="inlineStr">
        <is>
          <t>2235 – 2540</t>
        </is>
      </c>
      <c r="E19" s="13" t="n">
        <v>305</v>
      </c>
      <c r="F19" s="13" t="n">
        <v>26.89</v>
      </c>
      <c r="G19" s="20" t="n">
        <v>0.5963000000000001</v>
      </c>
      <c r="H19" s="21" t="n">
        <v>86.15000000000001</v>
      </c>
      <c r="I19" s="21" t="n">
        <v>12.45</v>
      </c>
    </row>
    <row r="20">
      <c r="A20" s="7" t="inlineStr">
        <is>
          <t>72</t>
        </is>
      </c>
      <c r="B20" s="28" t="n">
        <v>12.4</v>
      </c>
      <c r="C20" s="19" t="n">
        <v>2.58</v>
      </c>
      <c r="D20" s="11" t="inlineStr">
        <is>
          <t>1538 – 1742</t>
        </is>
      </c>
      <c r="E20" s="11" t="n">
        <v>204</v>
      </c>
      <c r="F20" s="11" t="n">
        <v>28.25</v>
      </c>
      <c r="G20" s="18" t="n">
        <v>0.5185</v>
      </c>
      <c r="H20" s="19" t="n">
        <v>92.44</v>
      </c>
      <c r="I20" s="19" t="n">
        <v>41.35</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c r="I21" s="23">
        <f>ROUND(AVERAGE(I10:I20),2)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1" t="n"/>
      <c r="C22" s="41" t="n"/>
      <c r="D22" s="41" t="n"/>
      <c r="E22" s="41" t="n"/>
      <c r="F22" s="41" t="n"/>
      <c r="G22" s="41" t="n"/>
      <c r="H22" s="41" t="n"/>
      <c r="I22" s="42" t="n"/>
    </row>
    <row r="24" ht="84" customHeight="1">
      <c r="A24" s="9" t="inlineStr">
        <is>
          <t>LECTURA INTRAMICROCUENCA. El bloque 31 ocupa el puesto 5 de 11 por superficie dentro de la microcuenca C1076-Q9592 (9.89 % de las 481.17 ha preliminares de la microcuenca). Su pendiente promedio (27.08 %, clase «25-50% (Mod. escarpado)») es la 4.ª más baja de 11 y se sitúa por debajo del promedio de la microcuenca (29.39 %). Su MSAVI 2024 (0.4358) es el 11.º de 11 y queda por debajo del promedio local (0.5435). Amplitud altitudinal del bloque: 493 m (1741–2234 msnm). El cuadro conserva todos los bloques catalogados en la microcuenca, incluidos los descartados en el tamizaje, para referencia del conjunto. Los bloques sin ficha DT figuran con sus parámetros de gabinete. BRECHA ESPECTRAL. El 78.42 % de la superficie del bloque (37.312 ha de 47.581 ha) se sitúa bajo el umbral MSAVI 0.4976, por encima del promedio local de la microcuenca (32.80 %) calculado sobre los bloques con dato MSAVI disponible.</t>
        </is>
      </c>
      <c r="B24" s="41" t="n"/>
      <c r="C24" s="41" t="n"/>
      <c r="D24" s="41" t="n"/>
      <c r="E24" s="41" t="n"/>
      <c r="F24" s="41" t="n"/>
      <c r="G24" s="41" t="n"/>
      <c r="H24" s="41" t="n"/>
      <c r="I24" s="42"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1" t="n"/>
      <c r="I26" s="42" t="n"/>
    </row>
  </sheetData>
  <mergeCells count="10">
    <mergeCell ref="A2:I2"/>
    <mergeCell ref="A5:I5"/>
    <mergeCell ref="A1:I1"/>
    <mergeCell ref="A8:I8"/>
    <mergeCell ref="A3:I3"/>
    <mergeCell ref="A6:I6"/>
    <mergeCell ref="A22:I22"/>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31</t>
        </is>
      </c>
    </row>
    <row r="6">
      <c r="A6" s="51" t="inlineStr">
        <is>
          <t>Cruce de la ficha de campo F-DT vigente con la ficha de resumen de gabinete y el catálogo maestro. Integración 2026-09-11 21:26:24.</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«C1076-Q9592».</t>
        </is>
      </c>
      <c r="D9" s="55" t="inlineStr">
        <is>
          <t>CONFORME</t>
        </is>
      </c>
      <c r="E9" s="55" t="inlineStr">
        <is>
          <t>Sin acción.</t>
        </is>
      </c>
    </row>
    <row r="10">
      <c r="A10" s="56" t="inlineStr">
        <is>
          <t>G-02</t>
        </is>
      </c>
      <c r="B10" s="56" t="inlineStr">
        <is>
          <t>UTM del punto de muestreo</t>
        </is>
      </c>
      <c r="C10" s="56" t="inlineStr">
        <is>
          <t>El punto de muestreo declarado dista 0.0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No es posible contrastar la altitud GPS con el rango altitudinal del bloque: falta uno de los dos datos.</t>
        </is>
      </c>
      <c r="D12" s="56" t="inlineStr">
        <is>
          <t>NO SUSTANTIVA</t>
        </is>
      </c>
      <c r="E12" s="56" t="inlineStr">
        <is>
          <t>Se completa con la lectura GPS de F-DT-01 o con la estadística zonal del MDE.</t>
        </is>
      </c>
    </row>
    <row r="13">
      <c r="A13" s="55" t="inlineStr">
        <is>
          <t>G-05</t>
        </is>
      </c>
      <c r="B13" s="55" t="inlineStr">
        <is>
          <t>Superficie NDVI vs. catálogo</t>
        </is>
      </c>
      <c r="C13" s="55" t="inlineStr">
        <is>
          <t>La superficie clasificada por el NDVI mediana 2025 (47.588 ha) se desvía 0.02 % de la superficie de catálogo (47.58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(47.581 ha) se desvía 0.00 % de la superficie de catálogo (47.58 ha).</t>
        </is>
      </c>
      <c r="D14" s="56" t="inlineStr">
        <is>
          <t>CONFORME</t>
        </is>
      </c>
      <c r="E14" s="56" t="inlineStr">
        <is>
          <t>Sin acción: la segmentación valida la geometría del bloque.</t>
        </is>
      </c>
    </row>
    <row r="15">
      <c r="A15" s="55" t="inlineStr">
        <is>
          <t>G-07</t>
        </is>
      </c>
      <c r="B15" s="55" t="inlineStr">
        <is>
          <t>Brecha espectral MSAVI</t>
        </is>
      </c>
      <c r="C15" s="55" t="inlineStr">
        <is>
          <t>El 78.42 % del bloque queda bajo el umbral 0.4976; superficie de brecha 37.31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47.58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(0.4358) cae en la clase «0.3813 - 0.4976 (Vigor bajo)» y la clase DN dominante por superficie es «DN 3 · 0.3813 - 0.4976 (Vigor bajo)».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100.0 % de los campos esperados).</t>
        </is>
      </c>
      <c r="D19" s="55" t="inlineStr">
        <is>
          <t>CONFORME</t>
        </is>
      </c>
      <c r="E19" s="55" t="inlineStr">
        <is>
          <t>Sin acción.</t>
        </is>
      </c>
    </row>
    <row r="20">
      <c r="A20" s="56" t="inlineStr">
        <is>
          <t>F-02</t>
        </is>
      </c>
      <c r="B20" s="56" t="inlineStr">
        <is>
          <t>Cobertura de la integración</t>
        </is>
      </c>
      <c r="C20" s="56" t="inlineStr">
        <is>
          <t>Se declararon 104 de 114 hechos integrados (91.2 %); 10 quedan sin dato en ninguna fuente.</t>
        </is>
      </c>
      <c r="D20" s="56" t="inlineStr">
        <is>
          <t>CONFORME</t>
        </is>
      </c>
      <c r="E20" s="56" t="inlineStr">
        <is>
          <t>Sin acción.</t>
        </is>
      </c>
    </row>
    <row r="21">
      <c r="A21" s="55" t="inlineStr">
        <is>
          <t>H-01</t>
        </is>
      </c>
      <c r="B21" s="55" t="inlineStr">
        <is>
          <t>Inventario georreferenciado de cárcavas</t>
        </is>
      </c>
      <c r="C21" s="55" t="inlineStr">
        <is>
          <t>El inventario de cárcavas no fue ejecutado o no consta en la ficha DT</t>
        </is>
      </c>
      <c r="D21" s="55" t="inlineStr">
        <is>
          <t>SUSTANTIVA</t>
        </is>
      </c>
      <c r="E21" s="55"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22">
      <c r="A22" s="56" t="inlineStr">
        <is>
          <t>H-02</t>
        </is>
      </c>
      <c r="B22" s="56" t="inlineStr">
        <is>
          <t>Elenco florístico</t>
        </is>
      </c>
      <c r="C22" s="56" t="inlineStr">
        <is>
          <t>La ficha registra 12 taxones, por debajo del mínimo de 15 que exige el formato V5</t>
        </is>
      </c>
      <c r="D22" s="56" t="inlineStr">
        <is>
          <t>SUSTANTIVA</t>
        </is>
      </c>
      <c r="E22" s="56" t="inlineStr">
        <is>
          <t>Registro florístico preliminar, sin colecta ni determinación botánica formal. Debe cerrarse con colecta botánica en la siguiente campaña. (Verificación heredada de la ficha de resumen V6.)</t>
        </is>
      </c>
    </row>
    <row r="24">
      <c r="A24" s="57" t="inlineStr">
        <is>
          <t>RESUMEN</t>
        </is>
      </c>
      <c r="B24" s="58" t="inlineStr">
        <is>
          <t>14 verificaciones</t>
        </is>
      </c>
      <c r="C24" s="58" t="inlineStr">
        <is>
          <t>SUSTANTIVA: 3 · NO SUSTANTIVA: 1 · CONFORME: 10</t>
        </is>
      </c>
    </row>
    <row r="26">
      <c r="A26"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6:E26"/>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31</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663334</t>
        </is>
      </c>
      <c r="D13" s="55" t="inlineStr">
        <is>
          <t>m</t>
        </is>
      </c>
    </row>
    <row r="14">
      <c r="A14" s="56" t="inlineStr">
        <is>
          <t>1. Identificación y localización</t>
        </is>
      </c>
      <c r="B14" s="56" t="inlineStr">
        <is>
          <t>UTM NORTE del punto de muestreo (m)</t>
        </is>
      </c>
      <c r="C14" s="56" t="inlineStr">
        <is>
          <t>9392820</t>
        </is>
      </c>
      <c r="D14" s="56" t="inlineStr">
        <is>
          <t>m</t>
        </is>
      </c>
    </row>
    <row r="15">
      <c r="A15" s="55" t="inlineStr">
        <is>
          <t>2. Parámetros físicos del terreno</t>
        </is>
      </c>
      <c r="B15" s="55" t="inlineStr">
        <is>
          <t>Altitud GPS del punto de muestreo (msnm)</t>
        </is>
      </c>
      <c r="C15" s="55" t="inlineStr">
        <is>
          <t>No registrada</t>
        </is>
      </c>
      <c r="D15" s="55" t="inlineStr">
        <is>
          <t>msnm</t>
        </is>
      </c>
    </row>
    <row r="16">
      <c r="A16" s="56" t="inlineStr">
        <is>
          <t>2. Parámetros físicos del terreno</t>
        </is>
      </c>
      <c r="B16" s="56" t="inlineStr">
        <is>
          <t>Piso altitudinal del punto de muestreo</t>
        </is>
      </c>
      <c r="C16" s="56" t="inlineStr">
        <is>
          <t>1500-2000 m (Quechua media)</t>
        </is>
      </c>
      <c r="D16" s="56" t="inlineStr"/>
    </row>
    <row r="17">
      <c r="A17" s="55" t="inlineStr">
        <is>
          <t>2. Parámetros físicos del terreno</t>
        </is>
      </c>
      <c r="B17" s="55" t="inlineStr">
        <is>
          <t>Paisaje dominante descrito en campo</t>
        </is>
      </c>
      <c r="C17" s="55" t="inlineStr">
        <is>
          <t>Ladera de montaña de exposición sur, entre 1741 y 2234 msnm (amplitud 493 m). Vertiente extensamente denudada, con pastizal seco dominante, matorral relegado a vaguadas y una red densa de terracillas de pisoteo. Atravesada por trochas carrozables de trazo en zigzag con taludes de corte activos.</t>
        </is>
      </c>
      <c r="D17" s="55" t="inlineStr"/>
    </row>
    <row r="18">
      <c r="A18" s="56" t="inlineStr">
        <is>
          <t>2. Parámetros físicos del terreno</t>
        </is>
      </c>
      <c r="B18" s="56" t="inlineStr">
        <is>
          <t>Reptación de suelo</t>
        </is>
      </c>
      <c r="C18" s="56" t="inlineStr">
        <is>
          <t>Sí</t>
        </is>
      </c>
      <c r="D18" s="56" t="inlineStr"/>
    </row>
    <row r="19">
      <c r="A19" s="55" t="inlineStr">
        <is>
          <t>2. Parámetros físicos del terreno</t>
        </is>
      </c>
      <c r="B19" s="55" t="inlineStr">
        <is>
          <t>Deslizamientos antiguos</t>
        </is>
      </c>
      <c r="C19" s="55" t="inlineStr">
        <is>
          <t>No</t>
        </is>
      </c>
      <c r="D19" s="55" t="inlineStr"/>
    </row>
    <row r="20">
      <c r="A20" s="56" t="inlineStr">
        <is>
          <t>4. Suelos y erosión (F-DT-02)</t>
        </is>
      </c>
      <c r="B20" s="56" t="inlineStr">
        <is>
          <t>Nivel de erosión - síntesis de campo</t>
        </is>
      </c>
      <c r="C20" s="56" t="inlineStr">
        <is>
          <t>Fuerte (cárcavas incipientes)</t>
        </is>
      </c>
      <c r="D20" s="56" t="inlineStr"/>
    </row>
    <row r="21">
      <c r="A21" s="55" t="inlineStr">
        <is>
          <t>4. Suelos y erosión (F-DT-02)</t>
        </is>
      </c>
      <c r="B21" s="55" t="inlineStr">
        <is>
          <t>Sellamiento / costra superficial</t>
        </is>
      </c>
      <c r="C21" s="55" t="inlineStr">
        <is>
          <t>Sí</t>
        </is>
      </c>
      <c r="D21" s="55" t="inlineStr"/>
    </row>
    <row r="22">
      <c r="A22" s="56" t="inlineStr">
        <is>
          <t>4. Suelos y erosión (F-DT-02)</t>
        </is>
      </c>
      <c r="B22" s="56" t="inlineStr">
        <is>
          <t>Compactación por pisoteo</t>
        </is>
      </c>
      <c r="C22" s="56" t="inlineStr">
        <is>
          <t>Sí</t>
        </is>
      </c>
      <c r="D22" s="56" t="inlineStr"/>
    </row>
    <row r="23">
      <c r="A23" s="55" t="inlineStr">
        <is>
          <t>4. Suelos y erosión (F-DT-02)</t>
        </is>
      </c>
      <c r="B23" s="55" t="inlineStr">
        <is>
          <t>Raíces expuestas</t>
        </is>
      </c>
      <c r="C23" s="55" t="inlineStr">
        <is>
          <t>Sí</t>
        </is>
      </c>
      <c r="D23" s="55" t="inlineStr"/>
    </row>
    <row r="24">
      <c r="A24" s="56" t="inlineStr">
        <is>
          <t>4. Suelos y erosión (F-DT-02)</t>
        </is>
      </c>
      <c r="B24" s="56" t="inlineStr">
        <is>
          <t>% del bloque afectado por cárcavas</t>
        </is>
      </c>
      <c r="C24" s="56" t="inlineStr">
        <is>
          <t>Sin cuantificar</t>
        </is>
      </c>
      <c r="D24" s="56" t="inlineStr">
        <is>
          <t>%</t>
        </is>
      </c>
    </row>
    <row r="25">
      <c r="A25" s="55" t="inlineStr">
        <is>
          <t>4. Suelos y erosión (F-DT-02)</t>
        </is>
      </c>
      <c r="B25" s="55" t="inlineStr">
        <is>
          <t>Patrón de cárcavas</t>
        </is>
      </c>
      <c r="C25" s="55" t="inlineStr">
        <is>
          <t>Lineal</t>
        </is>
      </c>
      <c r="D25" s="55" t="inlineStr"/>
    </row>
    <row r="26">
      <c r="A26" s="56" t="inlineStr">
        <is>
          <t>4. Suelos y erosión (F-DT-02)</t>
        </is>
      </c>
      <c r="B26" s="56" t="inlineStr">
        <is>
          <t>Socavamiento de cauce</t>
        </is>
      </c>
      <c r="C26" s="56" t="inlineStr">
        <is>
          <t>Sí</t>
        </is>
      </c>
      <c r="D26" s="56" t="inlineStr"/>
    </row>
    <row r="27">
      <c r="A27" s="55" t="inlineStr">
        <is>
          <t>5. Ecosistema, cobertura y flora (F-DT-03)</t>
        </is>
      </c>
      <c r="B27" s="55" t="inlineStr">
        <is>
          <t>Cobertura del dosel (%)</t>
        </is>
      </c>
      <c r="C27" s="55" t="inlineStr">
        <is>
          <t>&lt; 5</t>
        </is>
      </c>
      <c r="D27" s="55" t="inlineStr">
        <is>
          <t>%</t>
        </is>
      </c>
    </row>
    <row r="28">
      <c r="A28" s="56" t="inlineStr">
        <is>
          <t>5. Ecosistema, cobertura y flora (F-DT-03)</t>
        </is>
      </c>
      <c r="B28" s="56" t="inlineStr">
        <is>
          <t>Cobertura arbustiva (%)</t>
        </is>
      </c>
      <c r="C28" s="56" t="inlineStr">
        <is>
          <t>15 – 25</t>
        </is>
      </c>
      <c r="D28" s="56" t="inlineStr">
        <is>
          <t>%</t>
        </is>
      </c>
    </row>
    <row r="29">
      <c r="A29" s="55" t="inlineStr">
        <is>
          <t>5. Ecosistema, cobertura y flora (F-DT-03)</t>
        </is>
      </c>
      <c r="B29" s="55" t="inlineStr">
        <is>
          <t>Cobertura herbácea (%)</t>
        </is>
      </c>
      <c r="C29" s="55" t="inlineStr">
        <is>
          <t>55 – 70</t>
        </is>
      </c>
      <c r="D29" s="55" t="inlineStr">
        <is>
          <t>%</t>
        </is>
      </c>
    </row>
    <row r="30">
      <c r="A30" s="56" t="inlineStr">
        <is>
          <t>5. Ecosistema, cobertura y flora (F-DT-03)</t>
        </is>
      </c>
      <c r="B30" s="56" t="inlineStr">
        <is>
          <t>Cobertura de hojarasca (%)</t>
        </is>
      </c>
      <c r="C30" s="56" t="inlineStr">
        <is>
          <t>Escasa</t>
        </is>
      </c>
      <c r="D30" s="56" t="inlineStr">
        <is>
          <t>%</t>
        </is>
      </c>
    </row>
    <row r="31">
      <c r="A31" s="55" t="inlineStr">
        <is>
          <t>5. Ecosistema, cobertura y flora (F-DT-03)</t>
        </is>
      </c>
      <c r="B31" s="55" t="inlineStr">
        <is>
          <t>Altura del estrato dominante (m)</t>
        </is>
      </c>
      <c r="C31" s="55" t="inlineStr">
        <is>
          <t>1.5 – 3.0</t>
        </is>
      </c>
      <c r="D31" s="55" t="inlineStr">
        <is>
          <t>m</t>
        </is>
      </c>
    </row>
    <row r="32">
      <c r="A32" s="56" t="inlineStr">
        <is>
          <t>5. Ecosistema, cobertura y flora (F-DT-03)</t>
        </is>
      </c>
      <c r="B32" s="56" t="inlineStr">
        <is>
          <t>Altura máxima registrada (m)</t>
        </is>
      </c>
      <c r="C32" s="56" t="inlineStr">
        <is>
          <t>8 – 12</t>
        </is>
      </c>
      <c r="D32" s="56" t="inlineStr">
        <is>
          <t>m</t>
        </is>
      </c>
    </row>
    <row r="33">
      <c r="A33" s="55" t="inlineStr">
        <is>
          <t>5. Ecosistema, cobertura y flora (F-DT-03)</t>
        </is>
      </c>
      <c r="B33" s="55" t="inlineStr">
        <is>
          <t>DAP promedio (cm)</t>
        </is>
      </c>
      <c r="C33" s="55" t="inlineStr">
        <is>
          <t>No medido</t>
        </is>
      </c>
      <c r="D33" s="55" t="inlineStr">
        <is>
          <t>cm</t>
        </is>
      </c>
    </row>
    <row r="34">
      <c r="A34" s="56" t="inlineStr">
        <is>
          <t>5. Ecosistema, cobertura y flora (F-DT-03)</t>
        </is>
      </c>
      <c r="B34" s="56" t="inlineStr">
        <is>
          <t>Presencia de epífitas</t>
        </is>
      </c>
      <c r="C34" s="56" t="inlineStr">
        <is>
          <t>Sí</t>
        </is>
      </c>
      <c r="D34" s="56" t="inlineStr"/>
    </row>
    <row r="35">
      <c r="A35" s="55" t="inlineStr">
        <is>
          <t>5. Ecosistema, cobertura y flora (F-DT-03)</t>
        </is>
      </c>
      <c r="B35" s="55" t="inlineStr">
        <is>
          <t>Fenología dominante</t>
        </is>
      </c>
      <c r="C35" s="55" t="inlineStr">
        <is>
          <t>Latencia / Estrés hídrico</t>
        </is>
      </c>
      <c r="D35" s="55" t="inlineStr"/>
    </row>
    <row r="36">
      <c r="A36" s="56" t="inlineStr">
        <is>
          <t>5. Ecosistema, cobertura y flora (F-DT-03)</t>
        </is>
      </c>
      <c r="B36" s="56" t="inlineStr">
        <is>
          <t>Dimensiones de la parcela (m)</t>
        </is>
      </c>
      <c r="C36" s="56" t="inlineStr">
        <is>
          <t>No aplica</t>
        </is>
      </c>
      <c r="D36" s="56" t="inlineStr"/>
    </row>
    <row r="37">
      <c r="A37" s="55" t="inlineStr">
        <is>
          <t>5. Ecosistema, cobertura y flora (F-DT-03)</t>
        </is>
      </c>
      <c r="B37" s="55" t="inlineStr">
        <is>
          <t>Pendiente de la parcela (%)</t>
        </is>
      </c>
      <c r="C37" s="55" t="inlineStr">
        <is>
          <t>27.08</t>
        </is>
      </c>
      <c r="D37" s="55" t="inlineStr">
        <is>
          <t>%</t>
        </is>
      </c>
    </row>
    <row r="38">
      <c r="A38" s="56" t="inlineStr">
        <is>
          <t>5. Ecosistema, cobertura y flora (F-DT-03)</t>
        </is>
      </c>
      <c r="B38" s="56" t="inlineStr">
        <is>
          <t>Especies clave georreferenciadas</t>
        </is>
      </c>
      <c r="C38" s="56" t="inlineStr">
        <is>
          <t>5</t>
        </is>
      </c>
      <c r="D38" s="56" t="inlineStr"/>
    </row>
    <row r="39">
      <c r="A39" s="55" t="inlineStr">
        <is>
          <t>6. Degradación, causas y urgencia (F-DT-04)</t>
        </is>
      </c>
      <c r="B39" s="55" t="inlineStr">
        <is>
          <t>Causas directas de la degradación</t>
        </is>
      </c>
      <c r="C39" s="55" t="inlineStr">
        <is>
          <t>Sobrepastoreo con formación generalizada de terracillas de pisoteo y sustitución del matorral por pastizal, agravados por la apertura y el mantenimiento de trochas carrozables con taludes de corte activos en el interior del polígono.</t>
        </is>
      </c>
      <c r="D39" s="55" t="inlineStr"/>
    </row>
    <row r="40">
      <c r="A40" s="56" t="inlineStr">
        <is>
          <t>6. Degradación, causas y urgencia (F-DT-04)</t>
        </is>
      </c>
      <c r="B40" s="56" t="inlineStr">
        <is>
          <t>N.° de causas activas en la matriz F-DT-04</t>
        </is>
      </c>
      <c r="C40" s="56" t="inlineStr">
        <is>
          <t>5</t>
        </is>
      </c>
      <c r="D40" s="56" t="inlineStr"/>
    </row>
    <row r="41">
      <c r="A41" s="55" t="inlineStr">
        <is>
          <t>7. Hidrología, acceso y logística (F-DT-05)</t>
        </is>
      </c>
      <c r="B41" s="55" t="inlineStr">
        <is>
          <t>Escorrentía concentrada</t>
        </is>
      </c>
      <c r="C41" s="55" t="inlineStr">
        <is>
          <t>Sí</t>
        </is>
      </c>
      <c r="D41" s="55" t="inlineStr"/>
    </row>
    <row r="42">
      <c r="A42" s="56" t="inlineStr">
        <is>
          <t>7. Hidrología, acceso y logística (F-DT-05)</t>
        </is>
      </c>
      <c r="B42" s="56" t="inlineStr">
        <is>
          <t>Fuentes de agua inventariadas</t>
        </is>
      </c>
      <c r="C42" s="56" t="inlineStr">
        <is>
          <t>2</t>
        </is>
      </c>
      <c r="D42" s="56" t="inlineStr"/>
    </row>
    <row r="43">
      <c r="A43" s="55" t="inlineStr">
        <is>
          <t>7. Hidrología, acceso y logística (F-DT-05)</t>
        </is>
      </c>
      <c r="B43" s="55" t="inlineStr">
        <is>
          <t>Interferencia con riego</t>
        </is>
      </c>
      <c r="C43" s="55" t="inlineStr">
        <is>
          <t>No</t>
        </is>
      </c>
      <c r="D43" s="55" t="inlineStr"/>
    </row>
    <row r="44">
      <c r="A44" s="56" t="inlineStr">
        <is>
          <t>7. Hidrología, acceso y logística (F-DT-05)</t>
        </is>
      </c>
      <c r="B44" s="56" t="inlineStr">
        <is>
          <t>Vía principal de acceso</t>
        </is>
      </c>
      <c r="C44" s="56" t="inlineStr">
        <is>
          <t>Trocha carrozable de la red vecinal (acceso desde el C.P. Laguna Grande)</t>
        </is>
      </c>
      <c r="D44" s="56" t="inlineStr"/>
    </row>
    <row r="45">
      <c r="A45" s="55" t="inlineStr">
        <is>
          <t>7. Hidrología, acceso y logística (F-DT-05)</t>
        </is>
      </c>
      <c r="B45" s="55" t="inlineStr">
        <is>
          <t>Tipo de vía del tramo final</t>
        </is>
      </c>
      <c r="C45" s="55" t="inlineStr">
        <is>
          <t>Trocha carrozable</t>
        </is>
      </c>
      <c r="D45" s="55" t="inlineStr"/>
    </row>
    <row r="46">
      <c r="A46" s="56" t="inlineStr">
        <is>
          <t>7. Hidrología, acceso y logística (F-DT-05)</t>
        </is>
      </c>
      <c r="B46" s="56" t="inlineStr">
        <is>
          <t>Transitabilidad en época seca</t>
        </is>
      </c>
      <c r="C46" s="56" t="inlineStr">
        <is>
          <t>Medio</t>
        </is>
      </c>
      <c r="D46" s="56" t="inlineStr"/>
    </row>
    <row r="47">
      <c r="A47" s="55" t="inlineStr">
        <is>
          <t>7. Hidrología, acceso y logística (F-DT-05)</t>
        </is>
      </c>
      <c r="B47" s="55" t="inlineStr">
        <is>
          <t>Transitabilidad en época lluviosa</t>
        </is>
      </c>
      <c r="C47" s="55" t="inlineStr">
        <is>
          <t>Bajo</t>
        </is>
      </c>
      <c r="D47" s="55" t="inlineStr"/>
    </row>
    <row r="48">
      <c r="A48" s="56" t="inlineStr">
        <is>
          <t>7. Hidrología, acceso y logística (F-DT-05)</t>
        </is>
      </c>
      <c r="B48" s="56" t="inlineStr">
        <is>
          <t>Señal celular</t>
        </is>
      </c>
      <c r="C48" s="56" t="inlineStr">
        <is>
          <t>Parcial</t>
        </is>
      </c>
      <c r="D48" s="56" t="inlineStr"/>
    </row>
    <row r="49">
      <c r="A49" s="55" t="inlineStr">
        <is>
          <t>7. Hidrología, acceso y logística (F-DT-05)</t>
        </is>
      </c>
      <c r="B49" s="55" t="inlineStr">
        <is>
          <t>Operador con cobertura</t>
        </is>
      </c>
      <c r="C49" s="55" t="inlineStr">
        <is>
          <t>Otro</t>
        </is>
      </c>
      <c r="D49" s="55" t="inlineStr"/>
    </row>
    <row r="50">
      <c r="A50" s="56" t="inlineStr">
        <is>
          <t>7. Hidrología, acceso y logística (F-DT-05)</t>
        </is>
      </c>
      <c r="B50" s="56" t="inlineStr">
        <is>
          <t>Alojamiento disponible en la zona</t>
        </is>
      </c>
      <c r="C50" s="56" t="inlineStr">
        <is>
          <t>No</t>
        </is>
      </c>
      <c r="D50" s="56" t="inlineStr"/>
    </row>
    <row r="51">
      <c r="A51" s="55" t="inlineStr">
        <is>
          <t>7. Hidrología, acceso y logística (F-DT-05)</t>
        </is>
      </c>
      <c r="B51" s="55" t="inlineStr">
        <is>
          <t>Requiere coordinación con ronda / comunidad</t>
        </is>
      </c>
      <c r="C51" s="55" t="inlineStr">
        <is>
          <t>Sí</t>
        </is>
      </c>
      <c r="D51" s="55" t="inlineStr"/>
    </row>
    <row r="53">
      <c r="A53" s="53" t="inlineStr">
        <is>
          <t>C. PROCEDENCIA DE LOS HECHOS DECLARADOS</t>
        </is>
      </c>
    </row>
    <row r="54">
      <c r="A54" s="54" t="inlineStr">
        <is>
          <t>Fuente</t>
        </is>
      </c>
      <c r="B54" s="54" t="inlineStr">
        <is>
          <t>Hechos</t>
        </is>
      </c>
      <c r="C54" s="54" t="inlineStr">
        <is>
          <t>Alcance de la fuente</t>
        </is>
      </c>
    </row>
    <row r="55">
      <c r="A55" s="55" t="inlineStr">
        <is>
          <t>Dato de campo</t>
        </is>
      </c>
      <c r="B55" s="55" t="n">
        <v>70</v>
      </c>
      <c r="C55" s="55" t="inlineStr">
        <is>
          <t>Verificación en campo. Fichas F-DT-01 a F-DT-05 de la Plantilla DT Campo Check Validada V5, suscritas por el evaluador.</t>
        </is>
      </c>
    </row>
    <row r="56">
      <c r="A56" s="56" t="inlineStr">
        <is>
          <t>Gabinete (GIS / teledetección)</t>
        </is>
      </c>
      <c r="B56" s="56" t="n">
        <v>20</v>
      </c>
      <c r="C56" s="56" t="inlineStr">
        <is>
          <t>Gabinete. Estadística zonal sobre el MDE y compuestos Sentinel-2 (NDVI mediana 2025, MSAVI 2024 por clase DN).</t>
        </is>
      </c>
    </row>
    <row r="57">
      <c r="A57" s="55" t="inlineStr">
        <is>
          <t>Fuente oficial</t>
        </is>
      </c>
      <c r="B57" s="55" t="n">
        <v>14</v>
      </c>
      <c r="C57" s="55" t="inlineStr">
        <is>
          <t>Fuente oficial. Catálogo maestro Bloques V5/V6, división política INEI y codificación de microcuencas de la ANA.</t>
        </is>
      </c>
    </row>
    <row r="59">
      <c r="A59" s="53" t="inlineStr">
        <is>
          <t>D. ESTADO DEL CRUCE ENTRE FUENTES</t>
        </is>
      </c>
    </row>
    <row r="60">
      <c r="A60" s="54" t="inlineStr">
        <is>
          <t>Estado</t>
        </is>
      </c>
      <c r="B60" s="54" t="inlineStr">
        <is>
          <t>Hechos</t>
        </is>
      </c>
      <c r="C60" s="54" t="inlineStr">
        <is>
          <t>Significado</t>
        </is>
      </c>
    </row>
    <row r="61">
      <c r="A61" s="55" t="inlineStr">
        <is>
          <t>CONFORME</t>
        </is>
      </c>
      <c r="B61" s="55" t="n">
        <v>104</v>
      </c>
      <c r="C61" s="55" t="inlineStr">
        <is>
          <t>Las dos fuentes declaran lo mismo, o solo la fuente que manda sobre el hecho lo declara.</t>
        </is>
      </c>
    </row>
    <row r="62">
      <c r="A62" s="56" t="inlineStr">
        <is>
          <t>COMPLEMENTADO</t>
        </is>
      </c>
      <c r="B62" s="56" t="n">
        <v>0</v>
      </c>
      <c r="C62" s="56" t="inlineStr">
        <is>
          <t>Solo una de las fuentes lo declara y se adopta ese valor.</t>
        </is>
      </c>
    </row>
    <row r="63">
      <c r="A63" s="55" t="inlineStr">
        <is>
          <t>ACTUALIZADO</t>
        </is>
      </c>
      <c r="B63" s="55" t="n">
        <v>0</v>
      </c>
      <c r="C63" s="55" t="inlineStr">
        <is>
          <t>La verificación de campo vigente corrige lo que traía el libro de resumen.</t>
        </is>
      </c>
    </row>
    <row r="64">
      <c r="A64" s="56" t="inlineStr">
        <is>
          <t>DISCREPANTE</t>
        </is>
      </c>
      <c r="B64" s="56" t="n">
        <v>0</v>
      </c>
      <c r="C64" s="56" t="inlineStr">
        <is>
          <t>Las fuentes se contradicen; prevalece la que manda sobre el hecho y la otra queda declarada.</t>
        </is>
      </c>
    </row>
    <row r="65">
      <c r="A65" s="55" t="inlineStr">
        <is>
          <t>PENDIENTE</t>
        </is>
      </c>
      <c r="B65" s="55" t="n">
        <v>10</v>
      </c>
      <c r="C65"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31</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Eucalipto</t>
        </is>
      </c>
      <c r="C13" s="55" t="inlineStr">
        <is>
          <t>Eucalyptus globulus</t>
        </is>
      </c>
      <c r="D13" s="55" t="inlineStr">
        <is>
          <t>Myrtaceae</t>
        </is>
      </c>
      <c r="E13" s="55" t="inlineStr">
        <is>
          <t>Arbóreo medio (8-15 m)</t>
        </is>
      </c>
      <c r="F13" s="55" t="inlineStr">
        <is>
          <t>Introducida</t>
        </is>
      </c>
      <c r="G13" s="55" t="inlineStr">
        <is>
          <t>Ocasional (1-5%)</t>
        </is>
      </c>
      <c r="H13" s="55" t="n"/>
      <c r="I13" s="55" t="n"/>
    </row>
    <row r="14">
      <c r="A14" s="56" t="inlineStr">
        <is>
          <t>2</t>
        </is>
      </c>
      <c r="B14" s="56" t="inlineStr">
        <is>
          <t>Chilca</t>
        </is>
      </c>
      <c r="C14" s="56" t="inlineStr">
        <is>
          <t>Baccharis spp.</t>
        </is>
      </c>
      <c r="D14" s="56" t="inlineStr">
        <is>
          <t>Asteraceae</t>
        </is>
      </c>
      <c r="E14" s="56" t="inlineStr">
        <is>
          <t>Arbustivo alto (1.5-4 m)</t>
        </is>
      </c>
      <c r="F14" s="56" t="inlineStr">
        <is>
          <t>Nativa</t>
        </is>
      </c>
      <c r="G14" s="56" t="inlineStr">
        <is>
          <t>Frecuente (5-20%)</t>
        </is>
      </c>
      <c r="H14" s="56" t="n"/>
      <c r="I14" s="56" t="n"/>
    </row>
    <row r="15">
      <c r="A15" s="55" t="inlineStr">
        <is>
          <t>3</t>
        </is>
      </c>
      <c r="B15" s="55" t="inlineStr">
        <is>
          <t>Pastos cultivados</t>
        </is>
      </c>
      <c r="C15" s="55" t="inlineStr">
        <is>
          <t>Poaceae (indet.)</t>
        </is>
      </c>
      <c r="D15" s="55" t="inlineStr">
        <is>
          <t>Poaceae</t>
        </is>
      </c>
      <c r="E15" s="55" t="inlineStr">
        <is>
          <t>Herbáceo (&lt;0.5 m)</t>
        </is>
      </c>
      <c r="F15" s="55" t="inlineStr">
        <is>
          <t>Introducida</t>
        </is>
      </c>
      <c r="G15" s="55" t="inlineStr">
        <is>
          <t>Abundante (20-40%)</t>
        </is>
      </c>
      <c r="H15" s="55" t="n"/>
      <c r="I15" s="55" t="n"/>
    </row>
    <row r="16">
      <c r="A16" s="56" t="inlineStr">
        <is>
          <t>4</t>
        </is>
      </c>
      <c r="B16" s="56" t="inlineStr">
        <is>
          <t>Gramíneas / pastos naturales</t>
        </is>
      </c>
      <c r="C16" s="56" t="inlineStr">
        <is>
          <t>Poaceae (indet.)</t>
        </is>
      </c>
      <c r="D16" s="56" t="inlineStr">
        <is>
          <t>Poaceae</t>
        </is>
      </c>
      <c r="E16" s="56" t="inlineStr">
        <is>
          <t>Herbáceo (&lt;0.5 m)</t>
        </is>
      </c>
      <c r="F16" s="56" t="inlineStr">
        <is>
          <t>Nativa</t>
        </is>
      </c>
      <c r="G16" s="56" t="inlineStr">
        <is>
          <t>Dominante (&gt;40%)</t>
        </is>
      </c>
      <c r="H16" s="56" t="n"/>
      <c r="I16" s="56" t="n"/>
    </row>
    <row r="17">
      <c r="A17" s="55" t="inlineStr">
        <is>
          <t>5</t>
        </is>
      </c>
      <c r="B17" s="55" t="inlineStr">
        <is>
          <t>Matorral andino no diferenciado</t>
        </is>
      </c>
      <c r="C17" s="55" t="inlineStr">
        <is>
          <t>Por determinar</t>
        </is>
      </c>
      <c r="D17" s="55" t="inlineStr">
        <is>
          <t>Por determinar</t>
        </is>
      </c>
      <c r="E17" s="55" t="inlineStr">
        <is>
          <t>Arbustivo alto (1.5-4 m)</t>
        </is>
      </c>
      <c r="F17" s="55" t="inlineStr">
        <is>
          <t>Nativa</t>
        </is>
      </c>
      <c r="G17" s="55" t="inlineStr">
        <is>
          <t>Frecuente (5-20%)</t>
        </is>
      </c>
      <c r="H17" s="55" t="n"/>
      <c r="I17" s="55" t="n"/>
    </row>
    <row r="18">
      <c r="A18" s="56" t="inlineStr">
        <is>
          <t>6</t>
        </is>
      </c>
      <c r="B18" s="56" t="inlineStr">
        <is>
          <t>Arbusto nativo de matorral (hoja coriácea)</t>
        </is>
      </c>
      <c r="C18" s="56" t="inlineStr">
        <is>
          <t>Por determinar</t>
        </is>
      </c>
      <c r="D18" s="56" t="inlineStr">
        <is>
          <t>Por determinar</t>
        </is>
      </c>
      <c r="E18" s="56" t="inlineStr">
        <is>
          <t>Arbustivo alto (1.5-4 m)</t>
        </is>
      </c>
      <c r="F18" s="56" t="inlineStr">
        <is>
          <t>Nativa</t>
        </is>
      </c>
      <c r="G18" s="56" t="inlineStr">
        <is>
          <t>Frecuente (5-20%)</t>
        </is>
      </c>
      <c r="H18" s="56" t="n"/>
      <c r="I18" s="56" t="n"/>
    </row>
    <row r="19">
      <c r="A19" s="55" t="inlineStr">
        <is>
          <t>7</t>
        </is>
      </c>
      <c r="B19" s="55" t="inlineStr">
        <is>
          <t>Arbusto nativo de matorral (bajo, defoliado)</t>
        </is>
      </c>
      <c r="C19" s="55" t="inlineStr">
        <is>
          <t>Por determinar</t>
        </is>
      </c>
      <c r="D19" s="55" t="inlineStr">
        <is>
          <t>Por determinar</t>
        </is>
      </c>
      <c r="E19" s="55" t="inlineStr">
        <is>
          <t>Arbustivo bajo (0.5-1.5 m)</t>
        </is>
      </c>
      <c r="F19" s="55" t="inlineStr">
        <is>
          <t>Nativa</t>
        </is>
      </c>
      <c r="G19" s="55" t="inlineStr">
        <is>
          <t>Frecuente (5-20%)</t>
        </is>
      </c>
      <c r="H19" s="55" t="n"/>
      <c r="I19" s="55" t="n"/>
    </row>
    <row r="20">
      <c r="A20" s="56" t="inlineStr">
        <is>
          <t>8</t>
        </is>
      </c>
      <c r="B20" s="56" t="inlineStr">
        <is>
          <t>Bromeliácea epífita (achupalla)</t>
        </is>
      </c>
      <c r="C20" s="56" t="inlineStr">
        <is>
          <t>Tillandsia sp.</t>
        </is>
      </c>
      <c r="D20" s="56" t="inlineStr">
        <is>
          <t>Bromeliaceae</t>
        </is>
      </c>
      <c r="E20" s="56" t="inlineStr">
        <is>
          <t>Epífito</t>
        </is>
      </c>
      <c r="F20" s="56" t="inlineStr">
        <is>
          <t>Nativa</t>
        </is>
      </c>
      <c r="G20" s="56" t="inlineStr">
        <is>
          <t>Ocasional (1-5%)</t>
        </is>
      </c>
      <c r="H20" s="56" t="n"/>
      <c r="I20" s="56" t="n"/>
    </row>
    <row r="21">
      <c r="A21" s="55" t="inlineStr">
        <is>
          <t>9</t>
        </is>
      </c>
      <c r="B21" s="55" t="inlineStr">
        <is>
          <t>Arbolillo de vaguada</t>
        </is>
      </c>
      <c r="C21" s="55" t="inlineStr">
        <is>
          <t>Por determinar</t>
        </is>
      </c>
      <c r="D21" s="55" t="inlineStr">
        <is>
          <t>Por determinar</t>
        </is>
      </c>
      <c r="E21" s="55" t="inlineStr">
        <is>
          <t>Arbóreo bajo (4-8 m)</t>
        </is>
      </c>
      <c r="F21" s="55" t="inlineStr">
        <is>
          <t>Nativa</t>
        </is>
      </c>
      <c r="G21" s="55" t="inlineStr">
        <is>
          <t>Ocasional (1-5%)</t>
        </is>
      </c>
      <c r="H21" s="55" t="n"/>
      <c r="I21" s="55" t="n"/>
    </row>
    <row r="22">
      <c r="A22" s="56" t="inlineStr">
        <is>
          <t>10</t>
        </is>
      </c>
      <c r="B22" s="56" t="inlineStr">
        <is>
          <t>Conífera introducida (pino)</t>
        </is>
      </c>
      <c r="C22" s="56" t="inlineStr">
        <is>
          <t>Pinus sp.</t>
        </is>
      </c>
      <c r="D22" s="56" t="inlineStr">
        <is>
          <t>Pinaceae</t>
        </is>
      </c>
      <c r="E22" s="56" t="inlineStr">
        <is>
          <t>Arbóreo bajo (4-8 m)</t>
        </is>
      </c>
      <c r="F22" s="56" t="inlineStr">
        <is>
          <t>Introducida</t>
        </is>
      </c>
      <c r="G22" s="56" t="inlineStr">
        <is>
          <t>Rara (&lt;1%)</t>
        </is>
      </c>
      <c r="H22" s="56" t="n"/>
      <c r="I22" s="56" t="n"/>
    </row>
    <row r="23">
      <c r="A23" s="55" t="inlineStr">
        <is>
          <t>11</t>
        </is>
      </c>
      <c r="B23" s="55" t="inlineStr">
        <is>
          <t>Herbácea de borde de camino</t>
        </is>
      </c>
      <c r="C23" s="55" t="inlineStr">
        <is>
          <t>Por determinar</t>
        </is>
      </c>
      <c r="D23" s="55" t="inlineStr">
        <is>
          <t>Por determinar</t>
        </is>
      </c>
      <c r="E23" s="55" t="inlineStr">
        <is>
          <t>Herbáceo (&lt;0.5 m)</t>
        </is>
      </c>
      <c r="F23" s="55" t="inlineStr">
        <is>
          <t>Por determinar</t>
        </is>
      </c>
      <c r="G23" s="55" t="inlineStr">
        <is>
          <t>Ocasional (1-5%)</t>
        </is>
      </c>
      <c r="H23" s="55" t="n"/>
      <c r="I23" s="55" t="n"/>
    </row>
    <row r="24">
      <c r="A24" s="56" t="inlineStr">
        <is>
          <t>12</t>
        </is>
      </c>
      <c r="B24" s="56" t="inlineStr">
        <is>
          <t>Trepadora de cerco</t>
        </is>
      </c>
      <c r="C24" s="56" t="inlineStr">
        <is>
          <t>Por determinar</t>
        </is>
      </c>
      <c r="D24" s="56" t="inlineStr">
        <is>
          <t>Por determinar</t>
        </is>
      </c>
      <c r="E24" s="56" t="inlineStr">
        <is>
          <t>Trepador</t>
        </is>
      </c>
      <c r="F24" s="56" t="inlineStr">
        <is>
          <t>Nativa</t>
        </is>
      </c>
      <c r="G24" s="56" t="inlineStr">
        <is>
          <t>Ocasional (1-5%)</t>
        </is>
      </c>
      <c r="H24" s="56" t="n"/>
      <c r="I24" s="56" t="n"/>
    </row>
    <row r="26">
      <c r="A26" s="53" t="inlineStr">
        <is>
          <t>F-DT-03 · ESPECIES CLAVE GEORREFERENCIADAS</t>
        </is>
      </c>
    </row>
    <row r="27">
      <c r="A27" s="54" t="inlineStr">
        <is>
          <t>N.o</t>
        </is>
      </c>
      <c r="B27" s="54" t="inlineStr">
        <is>
          <t>Especie</t>
        </is>
      </c>
      <c r="C27" s="54" t="inlineStr">
        <is>
          <t>Categoría</t>
        </is>
      </c>
      <c r="D27" s="54" t="inlineStr">
        <is>
          <t>Estado UICN</t>
        </is>
      </c>
      <c r="E27" s="54" t="inlineStr">
        <is>
          <t>UTM ESTE</t>
        </is>
      </c>
      <c r="F27" s="54" t="inlineStr">
        <is>
          <t>UTM NORTE</t>
        </is>
      </c>
      <c r="G27" s="54" t="inlineStr">
        <is>
          <t>N.° individuos</t>
        </is>
      </c>
      <c r="H27" s="54" t="inlineStr">
        <is>
          <t>Observación</t>
        </is>
      </c>
    </row>
    <row r="28">
      <c r="A28" s="55" t="inlineStr">
        <is>
          <t>1</t>
        </is>
      </c>
      <c r="B28" s="55" t="inlineStr">
        <is>
          <t>Baccharis spp. (chilca)</t>
        </is>
      </c>
      <c r="C28" s="55" t="inlineStr">
        <is>
          <t>Indicadora de perturbación</t>
        </is>
      </c>
      <c r="D28" s="55" t="inlineStr">
        <is>
          <t>No aplica</t>
        </is>
      </c>
      <c r="E28" s="55" t="n"/>
      <c r="F28" s="55" t="n"/>
      <c r="G28" s="55" t="n"/>
      <c r="H28" s="55" t="inlineStr">
        <is>
          <t>Colonizadora de taludes y bordes. Material de elección para barreras vivas y estabilización biológica.</t>
        </is>
      </c>
    </row>
    <row r="29">
      <c r="A29" s="56" t="inlineStr">
        <is>
          <t>2</t>
        </is>
      </c>
      <c r="B29" s="56" t="inlineStr">
        <is>
          <t>Poaceae — pastos cultivados</t>
        </is>
      </c>
      <c r="C29" s="56" t="inlineStr">
        <is>
          <t>Indicadora de perturbación</t>
        </is>
      </c>
      <c r="D29" s="56" t="inlineStr">
        <is>
          <t>No aplica</t>
        </is>
      </c>
      <c r="E29" s="56" t="n"/>
      <c r="F29" s="56" t="n"/>
      <c r="G29" s="56" t="n"/>
      <c r="H29" s="56" t="inlineStr">
        <is>
          <t>Sustitución de la cobertura natural; sostiene la carga ganadera que origina las terracillas.</t>
        </is>
      </c>
    </row>
    <row r="30">
      <c r="A30" s="55" t="inlineStr">
        <is>
          <t>3</t>
        </is>
      </c>
      <c r="B30" s="55" t="inlineStr">
        <is>
          <t>Eucalyptus globulus</t>
        </is>
      </c>
      <c r="C30" s="55" t="inlineStr">
        <is>
          <t>Indicadora de perturbación</t>
        </is>
      </c>
      <c r="D30" s="55" t="inlineStr">
        <is>
          <t>No aplica</t>
        </is>
      </c>
      <c r="E30" s="55" t="n"/>
      <c r="F30" s="55" t="n"/>
      <c r="G30" s="55" t="n"/>
      <c r="H30" s="55" t="inlineStr">
        <is>
          <t>Introducida. NO debe emplearse en los diseños de revegetación por su demanda hídrica y su efecto sobre el sotobosque.</t>
        </is>
      </c>
    </row>
    <row r="31">
      <c r="A31" s="56" t="inlineStr">
        <is>
          <t>4</t>
        </is>
      </c>
      <c r="B31" s="56" t="inlineStr">
        <is>
          <t>Pinus sp.</t>
        </is>
      </c>
      <c r="C31" s="56" t="inlineStr">
        <is>
          <t>Indicadora de perturbación</t>
        </is>
      </c>
      <c r="D31" s="56" t="inlineStr">
        <is>
          <t>No aplica</t>
        </is>
      </c>
      <c r="E31" s="56" t="n"/>
      <c r="F31" s="56" t="n"/>
      <c r="G31" s="56" t="n"/>
      <c r="H31" s="56" t="inlineStr">
        <is>
          <t>Introducida, registrada en el extremo NO del B-31 (E-15). Se descarta para revegetación.</t>
        </is>
      </c>
    </row>
    <row r="32">
      <c r="A32" s="55" t="inlineStr">
        <is>
          <t>5</t>
        </is>
      </c>
      <c r="B32" s="55" t="inlineStr">
        <is>
          <t>Tillandsia sp.</t>
        </is>
      </c>
      <c r="C32" s="55" t="inlineStr">
        <is>
          <t>Indicadora de buen estado</t>
        </is>
      </c>
      <c r="D32" s="55" t="inlineStr">
        <is>
          <t>No aplica</t>
        </is>
      </c>
      <c r="E32" s="55" t="n"/>
      <c r="F32" s="55" t="n"/>
      <c r="G32" s="55" t="n"/>
      <c r="H32" s="55" t="inlineStr">
        <is>
          <t>Epífitas presentes solo en los relictos de matorral del sector NO y de las vaguadas.</t>
        </is>
      </c>
    </row>
    <row r="34">
      <c r="A34" s="53" t="inlineStr">
        <is>
          <t>F-DT-04 · MATRIZ DE CAUSAS DE DEGRADACIÓN</t>
        </is>
      </c>
    </row>
    <row r="35">
      <c r="A35" s="54" t="inlineStr">
        <is>
          <t>N.o</t>
        </is>
      </c>
      <c r="B35" s="54" t="inlineStr">
        <is>
          <t>Causa</t>
        </is>
      </c>
      <c r="C35" s="54" t="inlineStr">
        <is>
          <t>Presencia</t>
        </is>
      </c>
      <c r="D35" s="54" t="inlineStr">
        <is>
          <t>Intensidad</t>
        </is>
      </c>
      <c r="E35" s="54" t="inlineStr">
        <is>
          <t>Extensión</t>
        </is>
      </c>
      <c r="F35" s="54" t="inlineStr">
        <is>
          <t>Antigüedad</t>
        </is>
      </c>
      <c r="G35" s="54" t="inlineStr">
        <is>
          <t>Evidencia</t>
        </is>
      </c>
    </row>
    <row r="36">
      <c r="A36" s="55" t="inlineStr">
        <is>
          <t>1</t>
        </is>
      </c>
      <c r="B36" s="55" t="inlineStr">
        <is>
          <t>Sobrepastoreo (caprino/vacuno)</t>
        </is>
      </c>
      <c r="C36" s="55" t="inlineStr">
        <is>
          <t>Sí</t>
        </is>
      </c>
      <c r="D36" s="55" t="inlineStr">
        <is>
          <t>Fuerte</t>
        </is>
      </c>
      <c r="E36" s="55" t="inlineStr">
        <is>
          <t>70</t>
        </is>
      </c>
      <c r="F36" s="55" t="inlineStr">
        <is>
          <t>&gt; 20</t>
        </is>
      </c>
      <c r="G36" s="55" t="inlineStr">
        <is>
          <t>CAUSA DOMINANTE. Red densa de terracillas de pisoteo sobre la vertiente (E-12); pastizal consumido, suelo compactado y desnudo junto a los cercos (E-10).</t>
        </is>
      </c>
    </row>
    <row r="37">
      <c r="A37" s="56" t="inlineStr">
        <is>
          <t>2</t>
        </is>
      </c>
      <c r="B37" s="56" t="inlineStr">
        <is>
          <t>Tala para leña</t>
        </is>
      </c>
      <c r="C37" s="56" t="inlineStr">
        <is>
          <t>Por determinar</t>
        </is>
      </c>
      <c r="D37" s="56" t="inlineStr">
        <is>
          <t>Nula</t>
        </is>
      </c>
      <c r="E37" s="56" t="inlineStr"/>
      <c r="F37" s="56" t="inlineStr"/>
      <c r="G37" s="56" t="inlineStr">
        <is>
          <t>Sin evidencia directa; probable por contexto.</t>
        </is>
      </c>
    </row>
    <row r="38">
      <c r="A38" s="55" t="inlineStr">
        <is>
          <t>3</t>
        </is>
      </c>
      <c r="B38" s="55" t="inlineStr">
        <is>
          <t>Tala para carbón</t>
        </is>
      </c>
      <c r="C38" s="55" t="inlineStr"/>
      <c r="D38" s="55" t="inlineStr"/>
      <c r="E38" s="55" t="inlineStr"/>
      <c r="F38" s="55" t="inlineStr"/>
      <c r="G38" s="55" t="inlineStr"/>
    </row>
    <row r="39">
      <c r="A39" s="56" t="inlineStr">
        <is>
          <t>4</t>
        </is>
      </c>
      <c r="B39" s="56" t="inlineStr">
        <is>
          <t>Tala para madera</t>
        </is>
      </c>
      <c r="C39" s="56" t="inlineStr"/>
      <c r="D39" s="56" t="inlineStr"/>
      <c r="E39" s="56" t="inlineStr"/>
      <c r="F39" s="56" t="inlineStr"/>
      <c r="G39" s="56" t="inlineStr"/>
    </row>
    <row r="40">
      <c r="A40" s="55" t="inlineStr">
        <is>
          <t>5</t>
        </is>
      </c>
      <c r="B40" s="55" t="inlineStr">
        <is>
          <t>Quema (renovación de pastos)</t>
        </is>
      </c>
      <c r="C40" s="55" t="inlineStr">
        <is>
          <t>Por determinar</t>
        </is>
      </c>
      <c r="D40" s="55" t="inlineStr">
        <is>
          <t>Nula</t>
        </is>
      </c>
      <c r="E40" s="55" t="inlineStr"/>
      <c r="F40" s="55" t="inlineStr"/>
      <c r="G40" s="55" t="inlineStr">
        <is>
          <t>Sin evidencia directa en la fecha de visita; por verificar.</t>
        </is>
      </c>
    </row>
    <row r="41">
      <c r="A41" s="56" t="inlineStr">
        <is>
          <t>6</t>
        </is>
      </c>
      <c r="B41" s="56" t="inlineStr">
        <is>
          <t>Quema accidental / Incendio</t>
        </is>
      </c>
      <c r="C41" s="56" t="inlineStr"/>
      <c r="D41" s="56" t="inlineStr"/>
      <c r="E41" s="56" t="inlineStr"/>
      <c r="F41" s="56" t="inlineStr"/>
      <c r="G41" s="56" t="inlineStr"/>
    </row>
    <row r="42">
      <c r="A42" s="55" t="inlineStr">
        <is>
          <t>7</t>
        </is>
      </c>
      <c r="B42" s="55" t="inlineStr">
        <is>
          <t>Cambio de uso a agricultura</t>
        </is>
      </c>
      <c r="C42" s="55" t="inlineStr"/>
      <c r="D42" s="55" t="inlineStr"/>
      <c r="E42" s="55" t="inlineStr"/>
      <c r="F42" s="55" t="inlineStr"/>
      <c r="G42" s="55" t="inlineStr"/>
    </row>
    <row r="43">
      <c r="A43" s="56" t="inlineStr">
        <is>
          <t>8</t>
        </is>
      </c>
      <c r="B43" s="56" t="inlineStr">
        <is>
          <t>Cambio de uso a pastoreo</t>
        </is>
      </c>
      <c r="C43" s="56" t="inlineStr">
        <is>
          <t>Sí</t>
        </is>
      </c>
      <c r="D43" s="56" t="inlineStr">
        <is>
          <t>Fuerte</t>
        </is>
      </c>
      <c r="E43" s="56" t="inlineStr">
        <is>
          <t>60</t>
        </is>
      </c>
      <c r="F43" s="56" t="inlineStr">
        <is>
          <t>&gt; 20</t>
        </is>
      </c>
      <c r="G43" s="56" t="inlineStr">
        <is>
          <t>Sustitución del matorral por pastizal y pastos cultivados en la mayor parte del bloque.</t>
        </is>
      </c>
    </row>
    <row r="44">
      <c r="A44" s="55" t="inlineStr">
        <is>
          <t>9</t>
        </is>
      </c>
      <c r="B44" s="55" t="inlineStr">
        <is>
          <t>Expansión urbana / vial</t>
        </is>
      </c>
      <c r="C44" s="55" t="inlineStr">
        <is>
          <t>Sí</t>
        </is>
      </c>
      <c r="D44" s="55" t="inlineStr">
        <is>
          <t>Moderada</t>
        </is>
      </c>
      <c r="E44" s="55" t="inlineStr">
        <is>
          <t>10</t>
        </is>
      </c>
      <c r="F44" s="55" t="inlineStr">
        <is>
          <t>&lt; 10</t>
        </is>
      </c>
      <c r="G44" s="55" t="inlineStr">
        <is>
          <t>Trochas carrozables de trazo en zigzag DENTRO del polígono, con taludes de corte de 4-6 m sin sostenimiento, cornisas en voladizo y desprendimientos al pie (E-09, E-11, E-13).</t>
        </is>
      </c>
    </row>
    <row r="45">
      <c r="A45" s="56" t="inlineStr">
        <is>
          <t>10</t>
        </is>
      </c>
      <c r="B45" s="56" t="inlineStr">
        <is>
          <t>Minería informal</t>
        </is>
      </c>
      <c r="C45" s="56" t="inlineStr"/>
      <c r="D45" s="56" t="inlineStr"/>
      <c r="E45" s="56" t="inlineStr"/>
      <c r="F45" s="56" t="inlineStr"/>
      <c r="G45" s="56" t="inlineStr"/>
    </row>
    <row r="46">
      <c r="A46" s="55" t="inlineStr">
        <is>
          <t>11</t>
        </is>
      </c>
      <c r="B46" s="55" t="inlineStr">
        <is>
          <t>Extracción de áridos (cauces)</t>
        </is>
      </c>
      <c r="C46" s="55" t="inlineStr"/>
      <c r="D46" s="55" t="inlineStr"/>
      <c r="E46" s="55" t="inlineStr"/>
      <c r="F46" s="55" t="inlineStr"/>
      <c r="G46" s="55" t="inlineStr"/>
    </row>
    <row r="47">
      <c r="A47" s="56" t="inlineStr">
        <is>
          <t>12</t>
        </is>
      </c>
      <c r="B47" s="56" t="inlineStr">
        <is>
          <t>Especies invasoras</t>
        </is>
      </c>
      <c r="C47" s="56" t="inlineStr"/>
      <c r="D47" s="56" t="inlineStr"/>
      <c r="E47" s="56" t="inlineStr"/>
      <c r="F47" s="56" t="inlineStr"/>
      <c r="G47" s="56" t="inlineStr"/>
    </row>
    <row r="48">
      <c r="A48" s="55" t="inlineStr">
        <is>
          <t>13</t>
        </is>
      </c>
      <c r="B48" s="55" t="inlineStr">
        <is>
          <t>Erosión natural severa</t>
        </is>
      </c>
      <c r="C48" s="55" t="inlineStr">
        <is>
          <t>Sí</t>
        </is>
      </c>
      <c r="D48" s="55" t="inlineStr">
        <is>
          <t>Fuerte</t>
        </is>
      </c>
      <c r="E48" s="55" t="inlineStr">
        <is>
          <t>80</t>
        </is>
      </c>
      <c r="F48" s="55" t="inlineStr">
        <is>
          <t>&gt; 20</t>
        </is>
      </c>
      <c r="G48" s="55" t="inlineStr">
        <is>
          <t>38.352 ha (80.60 %) bajo el umbral MSAVI 0.4976, de ellas 0.607 ha en cobertura crítica (≤ 0.2650). La mayor brecha proporcional registrada en la microcuenca.</t>
        </is>
      </c>
    </row>
    <row r="49">
      <c r="A49" s="56" t="inlineStr">
        <is>
          <t>14</t>
        </is>
      </c>
      <c r="B49" s="56" t="inlineStr">
        <is>
          <t>Sequía prolongada / CC</t>
        </is>
      </c>
      <c r="C49" s="56" t="inlineStr">
        <is>
          <t>Sí</t>
        </is>
      </c>
      <c r="D49" s="56" t="inlineStr">
        <is>
          <t>Moderada</t>
        </is>
      </c>
      <c r="E49" s="56" t="inlineStr">
        <is>
          <t>100</t>
        </is>
      </c>
      <c r="F49" s="56" t="inlineStr"/>
      <c r="G49" s="56" t="inlineStr">
        <is>
          <t>Déficit hídrico proyectado (MPI-ESM1-2HR, SSP 5-8.5, 2021-2040).</t>
        </is>
      </c>
    </row>
    <row r="50">
      <c r="A50" s="55" t="inlineStr">
        <is>
          <t>15</t>
        </is>
      </c>
      <c r="B50" s="55" t="inlineStr">
        <is>
          <t>Plagas o enfermedades forestales</t>
        </is>
      </c>
      <c r="C50" s="55" t="inlineStr"/>
      <c r="D50" s="55" t="inlineStr"/>
      <c r="E50" s="55" t="inlineStr"/>
      <c r="F50" s="55" t="inlineStr"/>
      <c r="G50" s="55" t="inlineStr"/>
    </row>
    <row r="51">
      <c r="A51" s="56" t="inlineStr">
        <is>
          <t>16</t>
        </is>
      </c>
      <c r="B51" s="56" t="inlineStr">
        <is>
          <t>Otro</t>
        </is>
      </c>
      <c r="C51" s="56" t="inlineStr"/>
      <c r="D51" s="56" t="inlineStr"/>
      <c r="E51" s="56" t="inlineStr"/>
      <c r="F51" s="56" t="inlineStr"/>
      <c r="G51" s="56" t="inlineStr"/>
    </row>
    <row r="53">
      <c r="A53" s="53" t="inlineStr">
        <is>
          <t>F-DT-04 · INDICADORES CUANTITATIVOS</t>
        </is>
      </c>
    </row>
    <row r="54">
      <c r="A54" s="54" t="inlineStr">
        <is>
          <t>N.o</t>
        </is>
      </c>
      <c r="B54" s="54" t="inlineStr">
        <is>
          <t>Indicador</t>
        </is>
      </c>
      <c r="C54" s="54" t="inlineStr">
        <is>
          <t>Unidad</t>
        </is>
      </c>
      <c r="D54" s="54" t="inlineStr">
        <is>
          <t>Valor</t>
        </is>
      </c>
      <c r="E54" s="54" t="inlineStr">
        <is>
          <t>Fuente</t>
        </is>
      </c>
      <c r="F54" s="54" t="inlineStr">
        <is>
          <t>Umbral</t>
        </is>
      </c>
      <c r="G54" s="54" t="inlineStr">
        <is>
          <t>Nivel</t>
        </is>
      </c>
    </row>
    <row r="55">
      <c r="A55" s="55" t="inlineStr">
        <is>
          <t>1</t>
        </is>
      </c>
      <c r="B55" s="55" t="inlineStr">
        <is>
          <t>Cobertura vegetal total</t>
        </is>
      </c>
      <c r="C55" s="55" t="inlineStr">
        <is>
          <t>%</t>
        </is>
      </c>
      <c r="D55" s="55" t="inlineStr">
        <is>
          <t>19.4</t>
        </is>
      </c>
      <c r="E55" s="55" t="inlineStr">
        <is>
          <t>MSAVI 2024 — clasificación sobre plano</t>
        </is>
      </c>
      <c r="F55" s="55" t="inlineStr">
        <is>
          <t>&gt;60% bueno; 30-60% medio; &lt;30% malo</t>
        </is>
      </c>
      <c r="G55" s="55" t="inlineStr">
        <is>
          <t>Alto</t>
        </is>
      </c>
    </row>
    <row r="56">
      <c r="A56" s="56" t="inlineStr">
        <is>
          <t>2</t>
        </is>
      </c>
      <c r="B56" s="56" t="inlineStr">
        <is>
          <t>Porcentaje de suelo desnudo</t>
        </is>
      </c>
      <c r="C56" s="56" t="inlineStr">
        <is>
          <t>%</t>
        </is>
      </c>
      <c r="D56" s="56" t="inlineStr">
        <is>
          <t>10 – 20 (estimado visual)</t>
        </is>
      </c>
      <c r="E56" s="56" t="inlineStr">
        <is>
          <t>Registro fotográfico 21-08-2026</t>
        </is>
      </c>
      <c r="F56" s="56" t="inlineStr">
        <is>
          <t>&lt;10% bueno; 10-30% medio; &gt;30% malo</t>
        </is>
      </c>
      <c r="G56" s="56" t="inlineStr">
        <is>
          <t>Medio</t>
        </is>
      </c>
    </row>
    <row r="57">
      <c r="A57" s="55" t="inlineStr">
        <is>
          <t>3</t>
        </is>
      </c>
      <c r="B57" s="55" t="inlineStr">
        <is>
          <t>Densidad de cárcavas</t>
        </is>
      </c>
      <c r="C57" s="55" t="inlineStr">
        <is>
          <t>N°/ha</t>
        </is>
      </c>
      <c r="D57" s="55" t="inlineStr">
        <is>
          <t>Sin inventario</t>
        </is>
      </c>
      <c r="E57" s="55" t="inlineStr">
        <is>
          <t>Pendiente — analista de infraestructura marrón</t>
        </is>
      </c>
      <c r="F57" s="55" t="inlineStr">
        <is>
          <t>0 nulo; 1-3 medio; &gt;3 alto</t>
        </is>
      </c>
      <c r="G57" s="55" t="inlineStr"/>
    </row>
    <row r="58">
      <c r="A58" s="56" t="inlineStr">
        <is>
          <t>4</t>
        </is>
      </c>
      <c r="B58" s="56" t="inlineStr">
        <is>
          <t>Presencia de especies invasoras</t>
        </is>
      </c>
      <c r="C58" s="56" t="inlineStr">
        <is>
          <t>% área</t>
        </is>
      </c>
      <c r="D58" s="56" t="inlineStr">
        <is>
          <t>Sin cuantificar</t>
        </is>
      </c>
      <c r="E58" s="56" t="inlineStr">
        <is>
          <t>Registro fotográfico (eucalipto, pino)</t>
        </is>
      </c>
      <c r="F58" s="56" t="inlineStr">
        <is>
          <t>&lt;5% bueno; 5-20% medio; &gt;20% alto</t>
        </is>
      </c>
      <c r="G58" s="56" t="inlineStr">
        <is>
          <t>Bajo</t>
        </is>
      </c>
    </row>
    <row r="59">
      <c r="A59" s="55" t="inlineStr">
        <is>
          <t>5</t>
        </is>
      </c>
      <c r="B59" s="55" t="inlineStr">
        <is>
          <t>Carga ganadera estimada</t>
        </is>
      </c>
      <c r="C59" s="55" t="inlineStr">
        <is>
          <t>UA/ha</t>
        </is>
      </c>
      <c r="D59" s="55" t="inlineStr">
        <is>
          <t>Sin cuantificar</t>
        </is>
      </c>
      <c r="E59" s="55" t="inlineStr">
        <is>
          <t>Encuesta a tenedores pendiente</t>
        </is>
      </c>
      <c r="F59" s="55" t="inlineStr">
        <is>
          <t>Según tipo de ecosistema</t>
        </is>
      </c>
      <c r="G59" s="55" t="inlineStr"/>
    </row>
    <row r="60">
      <c r="A60" s="56" t="inlineStr">
        <is>
          <t>6</t>
        </is>
      </c>
      <c r="B60" s="56" t="inlineStr">
        <is>
          <t>Frecuencia de quemas últimos 5 años</t>
        </is>
      </c>
      <c r="C60" s="56" t="inlineStr">
        <is>
          <t>N°</t>
        </is>
      </c>
      <c r="D60" s="56" t="inlineStr">
        <is>
          <t>Sin dato</t>
        </is>
      </c>
      <c r="E60" s="56" t="inlineStr">
        <is>
          <t>Por verificar con la comunidad</t>
        </is>
      </c>
      <c r="F60" s="56" t="inlineStr">
        <is>
          <t>0 nulo; 1-2 medio; &gt;2 alto</t>
        </is>
      </c>
      <c r="G60" s="56" t="inlineStr"/>
    </row>
    <row r="61">
      <c r="A61" s="55" t="inlineStr">
        <is>
          <t>7</t>
        </is>
      </c>
      <c r="B61" s="55" t="inlineStr">
        <is>
          <t>% área con pendiente &gt;50%</t>
        </is>
      </c>
      <c r="C61" s="55" t="inlineStr">
        <is>
          <t>%</t>
        </is>
      </c>
      <c r="D61" s="55" t="inlineStr">
        <is>
          <t>Sin cuantificar</t>
        </is>
      </c>
      <c r="E61" s="55" t="inlineStr">
        <is>
          <t>Estadística zonal MDE pendiente</t>
        </is>
      </c>
      <c r="F61" s="55" t="inlineStr">
        <is>
          <t>Factor de susceptibilidad</t>
        </is>
      </c>
      <c r="G61" s="55" t="inlineStr"/>
    </row>
    <row r="62">
      <c r="A62" s="56" t="inlineStr">
        <is>
          <t>8</t>
        </is>
      </c>
      <c r="B62" s="56" t="inlineStr">
        <is>
          <t>Distancia a vía vecinal más cercana</t>
        </is>
      </c>
      <c r="C62" s="56" t="inlineStr">
        <is>
          <t>m</t>
        </is>
      </c>
      <c r="D62" s="56" t="inlineStr">
        <is>
          <t>0 — la trocha atraviesa el bloque</t>
        </is>
      </c>
      <c r="E62" s="56" t="inlineStr">
        <is>
          <t>Medición sobre plano MSAVI</t>
        </is>
      </c>
      <c r="F62" s="56" t="inlineStr">
        <is>
          <t>A menor distancia → mayor presión</t>
        </is>
      </c>
      <c r="G62" s="56" t="inlineStr">
        <is>
          <t>Alto</t>
        </is>
      </c>
    </row>
    <row r="64">
      <c r="A64" s="53" t="inlineStr">
        <is>
          <t>F-DT-05 · FUENTES DE AGUA INVENTARIADAS</t>
        </is>
      </c>
    </row>
    <row r="65">
      <c r="A65" s="54" t="inlineStr">
        <is>
          <t>N.o</t>
        </is>
      </c>
      <c r="B65" s="54" t="inlineStr">
        <is>
          <t>Tipo de fuente</t>
        </is>
      </c>
      <c r="C65" s="54" t="inlineStr">
        <is>
          <t>UTM ESTE</t>
        </is>
      </c>
      <c r="D65" s="54" t="inlineStr">
        <is>
          <t>UTM NORTE</t>
        </is>
      </c>
      <c r="E65" s="54" t="inlineStr">
        <is>
          <t>Régimen</t>
        </is>
      </c>
      <c r="F65" s="54" t="inlineStr">
        <is>
          <t>Calidad</t>
        </is>
      </c>
      <c r="G65" s="54" t="inlineStr">
        <is>
          <t>Distancia (m)</t>
        </is>
      </c>
      <c r="H65" s="54" t="inlineStr">
        <is>
          <t>Uso / observación</t>
        </is>
      </c>
    </row>
    <row r="66">
      <c r="A66" s="55" t="inlineStr">
        <is>
          <t>1</t>
        </is>
      </c>
      <c r="B66" s="55" t="inlineStr">
        <is>
          <t>Quebrada estacional</t>
        </is>
      </c>
      <c r="C66" s="60" t="n">
        <v>663039</v>
      </c>
      <c r="D66" s="60" t="n">
        <v>9392813</v>
      </c>
      <c r="E66" s="55" t="inlineStr">
        <is>
          <t>Estacional (lluvias)</t>
        </is>
      </c>
      <c r="F66" s="55" t="inlineStr">
        <is>
          <t>No evaluable</t>
        </is>
      </c>
      <c r="G66" s="61" t="n">
        <v>0</v>
      </c>
      <c r="H66" s="55" t="inlineStr">
        <is>
          <t>Vaguada interior con matorral relicto; sin caudal en la fecha de visita (E-12).</t>
        </is>
      </c>
    </row>
    <row r="67">
      <c r="A67" s="56" t="inlineStr">
        <is>
          <t>2</t>
        </is>
      </c>
      <c r="B67" s="56" t="inlineStr">
        <is>
          <t>Otro</t>
        </is>
      </c>
      <c r="C67" s="62" t="n">
        <v>662650</v>
      </c>
      <c r="D67" s="62" t="n">
        <v>9393175</v>
      </c>
      <c r="E67" s="56" t="inlineStr">
        <is>
          <t>Permanente</t>
        </is>
      </c>
      <c r="F67" s="56" t="inlineStr">
        <is>
          <t>No evaluable</t>
        </is>
      </c>
      <c r="G67" s="63" t="n">
        <v>0</v>
      </c>
      <c r="H67" s="56" t="inlineStr">
        <is>
          <t>Línea de conducción en tubería de polietileno tendida sobre el talud de la trocha (E-14). Infraestructura existente NO registrada en las capas del proyecto.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31</t>
        </is>
      </c>
    </row>
    <row r="7">
      <c r="A7" s="53" t="inlineStr">
        <is>
          <t>Hechos declarados por fuente</t>
        </is>
      </c>
    </row>
    <row r="8">
      <c r="A8" s="54" t="inlineStr">
        <is>
          <t>Fuente</t>
        </is>
      </c>
      <c r="B8" s="54" t="inlineStr">
        <is>
          <t>Hechos</t>
        </is>
      </c>
    </row>
    <row r="9">
      <c r="A9" s="55" t="inlineStr">
        <is>
          <t>Dato de campo</t>
        </is>
      </c>
      <c r="B9" s="55" t="n">
        <v>70</v>
      </c>
    </row>
    <row r="10">
      <c r="A10" s="56" t="inlineStr">
        <is>
          <t>Gabinete (GIS / teledetección)</t>
        </is>
      </c>
      <c r="B10" s="56" t="n">
        <v>20</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104</v>
      </c>
    </row>
    <row r="29">
      <c r="A29" s="56" t="inlineStr">
        <is>
          <t>COMPLEMENTADO</t>
        </is>
      </c>
      <c r="B29" s="56" t="n">
        <v>0</v>
      </c>
    </row>
    <row r="30">
      <c r="A30" s="55" t="inlineStr">
        <is>
          <t>ACTUALIZADO</t>
        </is>
      </c>
      <c r="B30" s="55" t="n">
        <v>0</v>
      </c>
    </row>
    <row r="31">
      <c r="A31" s="56" t="inlineStr">
        <is>
          <t>DISCREPANTE</t>
        </is>
      </c>
      <c r="B31" s="56" t="n">
        <v>0</v>
      </c>
    </row>
    <row r="32">
      <c r="A32" s="55" t="inlineStr">
        <is>
          <t>PENDIENTE</t>
        </is>
      </c>
      <c r="B32" s="55" t="n">
        <v>10</v>
      </c>
    </row>
    <row r="45">
      <c r="A45" s="53" t="inlineStr">
        <is>
          <t>Cobertura por estrato — campo (%)</t>
        </is>
      </c>
    </row>
    <row r="46">
      <c r="A46" s="54" t="inlineStr">
        <is>
          <t>Estrato</t>
        </is>
      </c>
      <c r="B46" s="54" t="inlineStr">
        <is>
          <t>% del área</t>
        </is>
      </c>
    </row>
    <row r="47">
      <c r="A47" s="55" t="inlineStr">
        <is>
          <t>Dosel</t>
        </is>
      </c>
      <c r="B47" s="61" t="n">
        <v>5</v>
      </c>
    </row>
    <row r="48">
      <c r="A48" s="56" t="inlineStr">
        <is>
          <t>Arbustiva</t>
        </is>
      </c>
      <c r="B48" s="62" t="n">
        <v>15</v>
      </c>
    </row>
    <row r="49">
      <c r="A49" s="55" t="inlineStr">
        <is>
          <t>Herbácea</t>
        </is>
      </c>
      <c r="B49" s="60" t="n">
        <v>55</v>
      </c>
    </row>
    <row r="50">
      <c r="A50" s="56" t="inlineStr">
        <is>
          <t>Suelo desnudo</t>
        </is>
      </c>
      <c r="B50" s="62" t="n">
        <v>10</v>
      </c>
    </row>
    <row r="64">
      <c r="A64" s="53" t="inlineStr">
        <is>
          <t>Causas activas de degradación (F-DT-04)</t>
        </is>
      </c>
    </row>
    <row r="65">
      <c r="A65" s="54" t="inlineStr">
        <is>
          <t>Causa</t>
        </is>
      </c>
      <c r="B65" s="54" t="inlineStr">
        <is>
          <t>Intensidad (1 ligera - 4 muy fuerte)</t>
        </is>
      </c>
    </row>
    <row r="66">
      <c r="A66" s="55" t="inlineStr">
        <is>
          <t>Cambio de uso a pastoreo</t>
        </is>
      </c>
      <c r="B66" s="55" t="n">
        <v>3</v>
      </c>
    </row>
    <row r="67">
      <c r="A67" s="56" t="inlineStr">
        <is>
          <t>Erosión natural severa</t>
        </is>
      </c>
      <c r="B67" s="56" t="n">
        <v>3</v>
      </c>
    </row>
    <row r="68">
      <c r="A68" s="55" t="inlineStr">
        <is>
          <t>Sobrepastoreo (caprino/vacuno)</t>
        </is>
      </c>
      <c r="B68" s="55" t="n">
        <v>3</v>
      </c>
    </row>
    <row r="69">
      <c r="A69" s="56" t="inlineStr">
        <is>
          <t>Expansión urbana / vial</t>
        </is>
      </c>
      <c r="B69" s="56" t="n">
        <v>2</v>
      </c>
    </row>
    <row r="70">
      <c r="A70" s="55" t="inlineStr">
        <is>
          <t>Sequía prolongada / CC</t>
        </is>
      </c>
      <c r="B70" s="55" t="n">
        <v>2</v>
      </c>
    </row>
    <row r="83">
      <c r="A83" s="53" t="inlineStr">
        <is>
          <t>Control de consistencia por calificación</t>
        </is>
      </c>
    </row>
    <row r="84">
      <c r="A84" s="54" t="inlineStr">
        <is>
          <t>Calificación</t>
        </is>
      </c>
      <c r="B84" s="54" t="inlineStr">
        <is>
          <t>Verificaciones</t>
        </is>
      </c>
    </row>
    <row r="85">
      <c r="A85" s="55" t="inlineStr">
        <is>
          <t>SUSTANTIVA</t>
        </is>
      </c>
      <c r="B85" s="55" t="n">
        <v>3</v>
      </c>
    </row>
    <row r="86">
      <c r="A86" s="56" t="inlineStr">
        <is>
          <t>NO SUSTANTIVA</t>
        </is>
      </c>
      <c r="B86" s="56" t="n">
        <v>1</v>
      </c>
    </row>
    <row r="87">
      <c r="A87" s="55" t="inlineStr">
        <is>
          <t>CORREGIDO</t>
        </is>
      </c>
      <c r="B87" s="55" t="n">
        <v>0</v>
      </c>
    </row>
    <row r="88">
      <c r="A88" s="56" t="inlineStr">
        <is>
          <t>CONFORME</t>
        </is>
      </c>
      <c r="B88" s="56"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31 — IN Piura</dc:title>
  <dc:subject>Diagnóstico Territorial por bloque de intervención</dc:subject>
  <dcterms:created xsi:type="dcterms:W3CDTF">2026-09-08T03:39:59Z</dcterms:created>
  <dcterms:modified xsi:type="dcterms:W3CDTF">2026-09-11T21:26:25Z</dcterms:modified>
</cp:coreProperties>
</file>