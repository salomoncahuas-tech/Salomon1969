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integración'!$A$66:$A$68</f>
            </numRef>
          </cat>
          <val>
            <numRef>
              <f>'Gráficos de integración'!$B$66:$B$68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86</t>
        </is>
      </c>
    </row>
    <row r="6" ht="24" customHeight="1">
      <c r="A6" s="4" t="inlineStr">
        <is>
          <t>Diagnóstico Territorial — Plantilla DT Campo Check Validada V5 | Sistema de referencia: UTM WGS 84 Zona 17S (EPSG:32717) · Integrado con la ficha de campo F-DT vigente (Plantilla_DT_Campo_Bloque86_IN_Piura.xlsx) — V7 - resumen V6 + campo F-DT integrado</t>
        </is>
      </c>
    </row>
    <row r="7"/>
    <row r="8" ht="18" customHeight="1">
      <c r="A8" s="5" t="inlineStr">
        <is>
          <t>1. IDENTIFICACIÓN Y LOCALIZACIÓN</t>
        </is>
      </c>
    </row>
    <row r="9">
      <c r="A9" s="6" t="inlineStr">
        <is>
          <t>Código del bloque</t>
        </is>
      </c>
      <c r="B9" s="7" t="inlineStr">
        <is>
          <t>86</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Nueva Esperanza (C.P. Nueva Esperanza); Dotor al norte</t>
        </is>
      </c>
      <c r="C13" s="6" t="inlineStr">
        <is>
          <t>Comunidad campesina</t>
        </is>
      </c>
      <c r="D13" s="50" t="inlineStr">
        <is>
          <t>En blanco (no consignada)</t>
        </is>
      </c>
      <c r="E13" s="8" t="n"/>
      <c r="F13" s="8" t="n"/>
    </row>
    <row r="14">
      <c r="A14" s="6" t="inlineStr">
        <is>
          <t>Superficie de catálogo (V5/V6), ha</t>
        </is>
      </c>
      <c r="B14" s="7" t="n">
        <v>30.001</v>
      </c>
      <c r="C14" s="6" t="inlineStr">
        <is>
          <t>Fuente de superficie</t>
        </is>
      </c>
      <c r="D14" s="7" t="inlineStr">
        <is>
          <t>Catálogo maestro Bloques V5/V6</t>
        </is>
      </c>
      <c r="E14" s="8" t="n"/>
      <c r="F14" s="8" t="n"/>
    </row>
    <row r="15">
      <c r="A15" s="6" t="inlineStr">
        <is>
          <t>Centroide UTM ESTE (m)</t>
        </is>
      </c>
      <c r="B15" s="7" t="n">
        <v>642415</v>
      </c>
      <c r="C15" s="6" t="inlineStr">
        <is>
          <t>Centroide UTM NORTE (m)</t>
        </is>
      </c>
      <c r="D15" s="7" t="n">
        <v>9410216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 (exposición mixta: el bloque abarca ambos flancos de la lomada)</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0.2735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(68.30 %)</t>
        </is>
      </c>
      <c r="E29" s="8" t="n"/>
      <c r="F29" s="8" t="n"/>
    </row>
    <row r="30">
      <c r="A30" s="6" t="inlineStr">
        <is>
          <t>Superficie clasificada NDVI 2025 (ha)</t>
        </is>
      </c>
      <c r="B30" s="7" t="n">
        <v>30.01</v>
      </c>
      <c r="C30" s="6" t="inlineStr">
        <is>
          <t>Desviación frente al catálogo (%)</t>
        </is>
      </c>
      <c r="D30" s="7" t="n">
        <v>0.03</v>
      </c>
      <c r="E30" s="8" t="n"/>
      <c r="F30" s="8" t="n"/>
    </row>
    <row r="31">
      <c r="A31" s="6" t="inlineStr">
        <is>
          <t>Superficie clasificada MSAVI 2024 (ha)</t>
        </is>
      </c>
      <c r="B31" s="38" t="n">
        <v>30.001</v>
      </c>
      <c r="C31" s="6" t="inlineStr">
        <is>
          <t>Desviación MSAVI frente al catálogo (%)</t>
        </is>
      </c>
      <c r="D31" s="39" t="n">
        <v>0</v>
      </c>
      <c r="E31" s="8" t="n"/>
      <c r="F31" s="8" t="n"/>
    </row>
    <row r="32">
      <c r="A32" s="6" t="inlineStr">
        <is>
          <t>Superficie bajo umbral MSAVI 0.4976 (ha)</t>
        </is>
      </c>
      <c r="B32" s="38" t="n">
        <v>29.887</v>
      </c>
      <c r="C32" s="6" t="inlineStr">
        <is>
          <t>% del bloque bajo umbral (brecha espectral)</t>
        </is>
      </c>
      <c r="D32" s="39" t="n">
        <v>99.62</v>
      </c>
      <c r="E32" s="8" t="n"/>
      <c r="F32" s="8" t="n"/>
    </row>
    <row r="33">
      <c r="A33" s="6" t="inlineStr">
        <is>
          <t>Clase DN dominante (MSAVI 2024)</t>
        </is>
      </c>
      <c r="B33" s="7" t="inlineStr">
        <is>
          <t>DN 1 · &lt;= 0.2650 (Suelo desnudo / no vegetal)</t>
        </is>
      </c>
      <c r="C33" s="6" t="inlineStr">
        <is>
          <t>N.° de polígonos MSAVI del bloque</t>
        </is>
      </c>
      <c r="D33" s="40" t="n">
        <v>178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30.01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24</v>
      </c>
      <c r="E38" s="8" t="n"/>
      <c r="F38" s="8" t="n"/>
    </row>
    <row r="39">
      <c r="A39" s="6" t="inlineStr">
        <is>
          <t>Suelo desnudo — campo (%)</t>
        </is>
      </c>
      <c r="B39" s="7" t="n">
        <v>50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50" t="inlineStr">
        <is>
          <t>No inventariadas</t>
        </is>
      </c>
      <c r="E40" s="8" t="n"/>
      <c r="F40" s="8" t="n"/>
    </row>
    <row r="41">
      <c r="A41" s="6" t="inlineStr">
        <is>
          <t>Elenco florístico (n.° de taxones)</t>
        </is>
      </c>
      <c r="B41" s="7" t="n">
        <v>15</v>
      </c>
      <c r="C41" s="6" t="inlineStr">
        <is>
          <t>Estado sanitario</t>
        </is>
      </c>
      <c r="D41" s="50" t="inlineStr">
        <is>
          <t>En blanco (sin mediciones)</t>
        </is>
      </c>
      <c r="E41" s="8" t="n"/>
      <c r="F41" s="8" t="n"/>
    </row>
    <row r="42"/>
    <row r="43" ht="18" customHeight="1">
      <c r="A43" s="5" t="inlineStr">
        <is>
          <t>5. RESPONSABLE Y MODALIDAD DE LA EVALUACIÓN</t>
        </is>
      </c>
    </row>
    <row r="44">
      <c r="A44" s="6" t="inlineStr">
        <is>
          <t>Responsable de la evaluación</t>
        </is>
      </c>
      <c r="B44" s="7" t="inlineStr">
        <is>
          <t>Brigada de campo IN Piura — levantamiento fotogramétrico RPA; nominación POR CONFIRMAR según parte diario</t>
        </is>
      </c>
      <c r="C44" s="6" t="inlineStr">
        <is>
          <t>Fecha de evaluación</t>
        </is>
      </c>
      <c r="D44" s="7" t="inlineStr">
        <is>
          <t>2026-08-14</t>
        </is>
      </c>
      <c r="E44" s="8" t="n"/>
      <c r="F44" s="8" t="n"/>
    </row>
    <row r="45">
      <c r="A45" s="6" t="inlineStr">
        <is>
          <t>Hora de registro</t>
        </is>
      </c>
      <c r="B45" s="7" t="inlineStr">
        <is>
          <t>11:58 h</t>
        </is>
      </c>
      <c r="C45" s="6" t="inlineStr">
        <is>
          <t>Correlativo de ficha</t>
        </is>
      </c>
      <c r="D45" s="7" t="inlineStr">
        <is>
          <t>F-DT-01-B86-2026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 — fotointerpretación de ortofoto RPA</t>
        </is>
      </c>
      <c r="E47" s="8" t="n"/>
      <c r="F47" s="8" t="n"/>
    </row>
    <row r="48">
      <c r="A48" s="6" t="inlineStr">
        <is>
          <t>Estaciones fotográficas georreferenciadas</t>
        </is>
      </c>
      <c r="B48" s="7" t="n">
        <v>13</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régimen de manejo del pastoreo comunal combinada con la presión de expansión de las áreas irrigadas</t>
        </is>
      </c>
      <c r="C51" s="6" t="inlineStr">
        <is>
          <t>Velocidad de degradación</t>
        </is>
      </c>
      <c r="D51" s="50" t="inlineStr">
        <is>
          <t>EN BLANCO — no se dispone de serie Theil-Sen (TAU) ni de MSAVI multianual</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0.1143</v>
      </c>
      <c r="C11" s="21">
        <f>ROUND(B11/$B$15*100,2)</f>
        <v/>
      </c>
      <c r="D11" s="13" t="inlineStr">
        <is>
          <t>Vigor moderado</t>
        </is>
      </c>
      <c r="E11" s="13" t="inlineStr">
        <is>
          <t>Sobre umbral</t>
        </is>
      </c>
    </row>
    <row r="12">
      <c r="A12" s="7" t="inlineStr">
        <is>
          <t>0.3813 - 0.4976 · DN 3</t>
        </is>
      </c>
      <c r="B12" s="18" t="n">
        <v>1.4653</v>
      </c>
      <c r="C12" s="19">
        <f>ROUND(B12/$B$15*100,2)</f>
        <v/>
      </c>
      <c r="D12" s="11" t="inlineStr">
        <is>
          <t>Vigor bajo</t>
        </is>
      </c>
      <c r="E12" s="11" t="inlineStr">
        <is>
          <t>BAJO umbral 0.4976</t>
        </is>
      </c>
    </row>
    <row r="13">
      <c r="A13" s="14" t="inlineStr">
        <is>
          <t>0.2650 - 0.3813 · DN 2</t>
        </is>
      </c>
      <c r="B13" s="32" t="n">
        <v>13.4206</v>
      </c>
      <c r="C13" s="31">
        <f>ROUND(B13/$B$15*100,2)</f>
        <v/>
      </c>
      <c r="D13" s="15" t="inlineStr">
        <is>
          <t>Vigor muy bajo</t>
        </is>
      </c>
      <c r="E13" s="15" t="inlineStr">
        <is>
          <t>BAJO umbral 0.4976</t>
        </is>
      </c>
    </row>
    <row r="14">
      <c r="A14" s="7" t="inlineStr">
        <is>
          <t>&lt;= 0.2650 · DN 1</t>
        </is>
      </c>
      <c r="B14" s="18" t="n">
        <v>15.0011</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178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30.001</v>
      </c>
      <c r="C18" s="49" t="inlineStr">
        <is>
          <t>—</t>
        </is>
      </c>
      <c r="D18" s="46" t="inlineStr">
        <is>
          <t>Desviación planimétrica frente al catálogo</t>
        </is>
      </c>
      <c r="E18" s="46" t="inlineStr">
        <is>
          <t>+0.00 %</t>
        </is>
      </c>
    </row>
    <row r="19">
      <c r="A19" s="16" t="inlineStr">
        <is>
          <t>MSAVI 2024 — MEDIA DEL BLOQUE</t>
        </is>
      </c>
      <c r="B19" s="17" t="n">
        <v>0.273472</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(0.2735)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0.3153</v>
      </c>
      <c r="C25" s="19" t="n">
        <v>1.05</v>
      </c>
      <c r="D25" s="11" t="inlineStr">
        <is>
          <t>Dosel continuo, matorral denso o mosaico agroforestal</t>
        </is>
      </c>
      <c r="E25" s="11" t="inlineStr"/>
    </row>
    <row r="26">
      <c r="A26" s="12" t="inlineStr">
        <is>
          <t>Vegetación mediana</t>
        </is>
      </c>
      <c r="B26" s="20" t="n">
        <v>2.6483</v>
      </c>
      <c r="C26" s="21" t="n">
        <v>8.82</v>
      </c>
      <c r="D26" s="13" t="inlineStr">
        <is>
          <t>Pastizal cultivado, matorral ralo, parcelas agrícolas</t>
        </is>
      </c>
      <c r="E26" s="13" t="inlineStr"/>
    </row>
    <row r="27">
      <c r="A27" s="7" t="inlineStr">
        <is>
          <t>Vegetación ligera</t>
        </is>
      </c>
      <c r="B27" s="18" t="n">
        <v>20.4961</v>
      </c>
      <c r="C27" s="19" t="n">
        <v>68.3</v>
      </c>
      <c r="D27" s="11" t="inlineStr">
        <is>
          <t>Cobertura discontinua, suelo parcialmente expuesto</t>
        </is>
      </c>
      <c r="E27" s="11" t="inlineStr"/>
    </row>
    <row r="28">
      <c r="A28" s="12" t="inlineStr">
        <is>
          <t>Tierra desnuda</t>
        </is>
      </c>
      <c r="B28" s="20" t="n">
        <v>6.5505</v>
      </c>
      <c r="C28" s="21" t="n">
        <v>21.83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30.001</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24 % frente a un 1.05 % del polígono clasificado como «Vegetación alta» por el NDVI 2025; la observación de campo corresponde a una parcela o recorrido puntual y no es estadísticamente representativa de las 30.001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86</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17012.1</v>
      </c>
      <c r="F10" s="11" t="inlineStr"/>
      <c r="G10" s="11" t="inlineStr">
        <is>
          <t>Coordenada consignada en F-DT-01</t>
        </is>
      </c>
    </row>
    <row r="11">
      <c r="A11" s="12" t="inlineStr">
        <is>
          <t>H-01</t>
        </is>
      </c>
      <c r="B11" s="13" t="inlineStr">
        <is>
          <t>Fuente de agua — Quebrada estacional</t>
        </is>
      </c>
      <c r="C11" s="27" t="n">
        <v>642519</v>
      </c>
      <c r="D11" s="27" t="n">
        <v>9410439</v>
      </c>
      <c r="E11" s="13" t="n">
        <v>246.1</v>
      </c>
      <c r="F11" s="13" t="inlineStr">
        <is>
          <t>POR VERIFICAR</t>
        </is>
      </c>
      <c r="G11" s="13" t="inlineStr">
        <is>
          <t>Cauce que limita el bloque</t>
        </is>
      </c>
    </row>
    <row r="12">
      <c r="A12" s="7" t="inlineStr">
        <is>
          <t>H-02</t>
        </is>
      </c>
      <c r="B12" s="11" t="inlineStr">
        <is>
          <t>Fuente de agua — Quebrada estacional</t>
        </is>
      </c>
      <c r="C12" s="26" t="n">
        <v>642478</v>
      </c>
      <c r="D12" s="26" t="n">
        <v>9410660</v>
      </c>
      <c r="E12" s="11" t="n">
        <v>448.4</v>
      </c>
      <c r="F12" s="11" t="inlineStr">
        <is>
          <t>POR VERIFICAR</t>
        </is>
      </c>
      <c r="G12" s="11" t="inlineStr">
        <is>
          <t>Continuación del mismo cauce</t>
        </is>
      </c>
    </row>
    <row r="13">
      <c r="A13" s="12" t="inlineStr">
        <is>
          <t>H-03</t>
        </is>
      </c>
      <c r="B13" s="13" t="inlineStr">
        <is>
          <t>Fuente de agua — Canal de riego</t>
        </is>
      </c>
      <c r="C13" s="27" t="n">
        <v>642184</v>
      </c>
      <c r="D13" s="27" t="n">
        <v>9410274</v>
      </c>
      <c r="E13" s="13" t="n">
        <v>238.2</v>
      </c>
      <c r="F13" s="13" t="inlineStr">
        <is>
          <t>POR VERIFICAR</t>
        </is>
      </c>
      <c r="G13" s="13" t="inlineStr">
        <is>
          <t>Canal de conducción</t>
        </is>
      </c>
    </row>
    <row r="14">
      <c r="A14" s="7" t="inlineStr">
        <is>
          <t>H-04</t>
        </is>
      </c>
      <c r="B14" s="11" t="inlineStr">
        <is>
          <t>Fuente de agua — Río</t>
        </is>
      </c>
      <c r="C14" s="26" t="n">
        <v>642014</v>
      </c>
      <c r="D14" s="26" t="n">
        <v>9410696</v>
      </c>
      <c r="E14" s="11" t="n">
        <v>625.5</v>
      </c>
      <c r="F14" s="11" t="inlineStr">
        <is>
          <t>POR VERIFICAR</t>
        </is>
      </c>
      <c r="G14" s="11" t="inlineStr">
        <is>
          <t>Curso principal</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642415</v>
      </c>
      <c r="C17" s="6" t="inlineStr">
        <is>
          <t>Centroide del bloque — UTM NORTE (m)</t>
        </is>
      </c>
      <c r="D17" s="7" t="n">
        <v>9410216</v>
      </c>
      <c r="E17" s="8" t="n"/>
      <c r="F17" s="8" t="n"/>
      <c r="G17" s="8" t="n"/>
      <c r="H17" s="8" t="n"/>
    </row>
    <row r="18">
      <c r="A18" s="6" t="inlineStr">
        <is>
          <t>N.° de estaciones fotográficas declaradas</t>
        </is>
      </c>
      <c r="B18" s="7" t="n">
        <v>13</v>
      </c>
      <c r="C18" s="6" t="inlineStr">
        <is>
          <t>Estaciones dentro del polígono</t>
        </is>
      </c>
      <c r="D18" s="7" t="n">
        <v>0</v>
      </c>
      <c r="E18" s="8" t="n"/>
      <c r="F18" s="8" t="n"/>
      <c r="G18" s="8" t="n"/>
      <c r="H18" s="8" t="n"/>
    </row>
    <row r="20" ht="180"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86 NO CUENTA CON FICHAS F-DT-01 A F-DT-05 LEVANTADAS EN CAMPO. La información procede de: (i) levantamiento fotogramétrico con RPA del 14-08-2026, 13 fotogramas cenitales georreferenciados por EXIF sobre el ámbito de los bloques 85-87; (ii) cartografía NDVI mediana 2025 y MSAVI 2024; (iii) imagen Google Earth / Airbus del 09-11-2023 y perfil de elevación sobre transecto oeste-este de 607 m. BLOQUE FUERA DEL CATÁLOGO MAESTRO: no figura en «Bloques V4» ni en Bloques V5; solo en el REPORTE_BLOQUES_V6 y en «Bloques extras». Centroide por restitución cartográfica (E 642 380 / N 9 410 190, ±25 m). PENDIENTE Y ALTITUD: el transecto de 607 m registra cotas de 245 – 287 – 314 msnm, pendiente media 17.8% en el ascenso y −15.0% en el descenso, con máximas de 30.5% y −34.2%. POR VERIFICAR con estadística zonal del DEM. EXPOSICIÓN MIXTA: se consigna «Oeste» por ser el flanco de mayor superficie y el que enfrenta al centro poblado; el análisis de aspecto del DEM deberá confirmarlo. ATENCIÓN: el UTM del punto de registro (645 575 · 9 393 500) es el valor por defecto de la plantilla.</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86</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14" t="inlineStr">
        <is>
          <t>► 86</t>
        </is>
      </c>
      <c r="B14" s="30" t="n">
        <v>30.001</v>
      </c>
      <c r="C14" s="31" t="n">
        <v>7.54</v>
      </c>
      <c r="D14" s="15" t="inlineStr">
        <is>
          <t>Por determinar</t>
        </is>
      </c>
      <c r="E14" s="15" t="inlineStr">
        <is>
          <t>Por determinar</t>
        </is>
      </c>
      <c r="F14" s="15" t="inlineStr">
        <is>
          <t>Por determinar</t>
        </is>
      </c>
      <c r="G14" s="32" t="n">
        <v>0.2735</v>
      </c>
      <c r="H14" s="31" t="n">
        <v>1.05</v>
      </c>
      <c r="I14" s="31"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1" t="n"/>
      <c r="I20" s="42" t="n"/>
    </row>
    <row r="22" ht="48" customHeight="1">
      <c r="A22" s="9" t="inlineStr">
        <is>
          <t>LECTURA INTRAMICROCUENCA. El bloque 86 ocupa el puesto 5 de 9 por superficie dentro de la microcuenca C1081-Q9583 (7.54 % de las 398.04 ha preliminares de la microcuenca). El cuadro conserva todos los bloques catalogados en la microcuenca, incluidos los descartados en el tamizaje, para referencia del conjunto. Los bloques sin ficha DT figuran con sus parámetros de gabinete. BRECHA ESPECTRAL. El 99.62 % de la superficie del bloque (29.887 ha de 30.001 ha) se sitúa bajo el umbral MSAVI 0.4976, por encima del promedio local de la microcuenca (76.96 %)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86</t>
        </is>
      </c>
    </row>
    <row r="6">
      <c r="A6" s="52" t="inlineStr">
        <is>
          <t>Cruce de la ficha de campo F-DT vigente con la ficha de resumen de gabinete y el catálogo maestro. Integración 2026-09-11 21:26:32.</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«C1081-Q9583».</t>
        </is>
      </c>
      <c r="D9" s="56" t="inlineStr">
        <is>
          <t>CONFORME</t>
        </is>
      </c>
      <c r="E9" s="56" t="inlineStr">
        <is>
          <t>Sin acción.</t>
        </is>
      </c>
    </row>
    <row r="10">
      <c r="A10" s="57" t="inlineStr">
        <is>
          <t>G-02</t>
        </is>
      </c>
      <c r="B10" s="57" t="inlineStr">
        <is>
          <t>UTM del punto de muestreo</t>
        </is>
      </c>
      <c r="C10" s="57" t="inlineStr">
        <is>
          <t>El punto de muestreo declarado dista 448.4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(30.010 ha) se desvía 0.03 % de la superficie de catálogo (30.00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(30.001 ha) se desvía 0.00 % de la superficie de catálogo (30.00 ha).</t>
        </is>
      </c>
      <c r="D14" s="57" t="inlineStr">
        <is>
          <t>CONFORME</t>
        </is>
      </c>
      <c r="E14" s="57" t="inlineStr">
        <is>
          <t>Sin acción: la segmentación valida la geometría del bloque.</t>
        </is>
      </c>
    </row>
    <row r="15">
      <c r="A15" s="56" t="inlineStr">
        <is>
          <t>G-07</t>
        </is>
      </c>
      <c r="B15" s="56" t="inlineStr">
        <is>
          <t>Brecha espectral MSAVI</t>
        </is>
      </c>
      <c r="C15" s="56" t="inlineStr">
        <is>
          <t>El 99.62 % del bloque queda bajo el umbral 0.4976; superficie de brecha 29.89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30.00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(0.2735) cae en la clase «0.2650 - 0.3813 (Vigor muy bajo)» y la clase DN dominante por superficie es «DN 1 · &lt;= 0.2650 (Suelo desnudo / no vegetal)».</t>
        </is>
      </c>
      <c r="D17" s="56" t="inlineStr">
        <is>
          <t>NO SUSTANTIVA</t>
        </is>
      </c>
      <c r="E17" s="56" t="inlineStr">
        <is>
          <t>Se declaran ambas lecturas: la media resume el bloque y la clase dominante su reparto areal.</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93 de 114 hechos integrados (81.6 %); 21 quedan sin dato en ninguna fuente.</t>
        </is>
      </c>
      <c r="D20" s="57" t="inlineStr">
        <is>
          <t>CONFORME</t>
        </is>
      </c>
      <c r="E20" s="57" t="inlineStr">
        <is>
          <t>Sin acción.</t>
        </is>
      </c>
    </row>
    <row r="21">
      <c r="A21" s="56" t="inlineStr">
        <is>
          <t>H-01</t>
        </is>
      </c>
      <c r="B21" s="56" t="inlineStr">
        <is>
          <t>Rango de pendiente dominante</t>
        </is>
      </c>
      <c r="C21" s="56" t="inlineStr">
        <is>
          <t>La ficha DT declara «15-25% (Fuert. inclinado)»; la estadística zonal sobre el MDE arroja una pendiente promedio de 0.00 %, que corresponde a la clase «0-8% (Plano-lig. inclinado)»</t>
        </is>
      </c>
      <c r="D21" s="56" t="inlineStr">
        <is>
          <t>NO SUSTANTIVA</t>
        </is>
      </c>
      <c r="E21"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7" t="inlineStr">
        <is>
          <t>H-02</t>
        </is>
      </c>
      <c r="B22" s="57" t="inlineStr">
        <is>
          <t>Cobertura vegetal total</t>
        </is>
      </c>
      <c r="C22" s="57" t="inlineStr">
        <is>
          <t>La ficha DT estima 24 % de cobertura vegetal en campo; el NDVI mediana 2025 clasifica 78.17 % del polígono en clases de vegetación</t>
        </is>
      </c>
      <c r="D22" s="57" t="inlineStr">
        <is>
          <t>NO SUSTANTIVA</t>
        </is>
      </c>
      <c r="E22"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6" t="inlineStr">
        <is>
          <t>H-03</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H-04</t>
        </is>
      </c>
      <c r="B24" s="57" t="inlineStr">
        <is>
          <t>F-DT-01</t>
        </is>
      </c>
      <c r="C24" s="57" t="inlineStr">
        <is>
          <t>Ninguna ficha F-DT fue levantada en campo: la información procede de levantamiento fotogramétrico RPA (14-08-2026), cartografía NDVI/MSAVI e imagen Google Earth</t>
        </is>
      </c>
      <c r="D24" s="57" t="inlineStr">
        <is>
          <t>SUSTANTIVA</t>
        </is>
      </c>
      <c r="E24" s="57" t="inlineStr">
        <is>
          <t>Levantamiento de campo pendiente (Verificación heredada de la ficha de resumen V6.)</t>
        </is>
      </c>
    </row>
    <row r="25">
      <c r="A25" s="56" t="inlineStr">
        <is>
          <t>H-05</t>
        </is>
      </c>
      <c r="B25" s="56" t="inlineStr">
        <is>
          <t>F-DT-02</t>
        </is>
      </c>
      <c r="C25" s="56" t="inlineStr">
        <is>
          <t>Inventario georreferenciado de cárcavas NO ejecutado</t>
        </is>
      </c>
      <c r="D25" s="56" t="inlineStr">
        <is>
          <t>SUSTANTIVA</t>
        </is>
      </c>
      <c r="E25" s="56" t="inlineStr">
        <is>
          <t>La ausencia de registro no equivale a ausencia del proceso (Verificación heredada de la ficha de resumen V6.)</t>
        </is>
      </c>
    </row>
    <row r="26">
      <c r="A26" s="57" t="inlineStr">
        <is>
          <t>H-06</t>
        </is>
      </c>
      <c r="B26" s="57" t="inlineStr">
        <is>
          <t>F-DT-03</t>
        </is>
      </c>
      <c r="C26" s="57" t="inlineStr">
        <is>
          <t>Lista florística comunicada por la Subdirección para el ámbito 85-87; no procede de muestreo por parcela del bloque</t>
        </is>
      </c>
      <c r="D26" s="57" t="inlineStr">
        <is>
          <t>SUSTANTIVA</t>
        </is>
      </c>
      <c r="E26" s="57" t="inlineStr">
        <is>
          <t>Colecta y determinación botánica formal pendientes (Verificación heredada de la ficha de resumen V6.)</t>
        </is>
      </c>
    </row>
    <row r="27">
      <c r="A27" s="56" t="inlineStr">
        <is>
          <t>H-07</t>
        </is>
      </c>
      <c r="B27" s="56" t="inlineStr">
        <is>
          <t>F-DT-04</t>
        </is>
      </c>
      <c r="C27" s="56" t="inlineStr">
        <is>
          <t>Velocidad de degradación en blanco: no se dispone de serie Theil-Sen (TAU) ni de MSAVI multianual</t>
        </is>
      </c>
      <c r="D27" s="56" t="inlineStr">
        <is>
          <t>SUSTANTIVA</t>
        </is>
      </c>
      <c r="E27" s="56" t="inlineStr">
        <is>
          <t>Procesar serie temporal (Verificación heredada de la ficha de resumen V6.)</t>
        </is>
      </c>
    </row>
    <row r="28">
      <c r="A28" s="57" t="inlineStr">
        <is>
          <t>H-08</t>
        </is>
      </c>
      <c r="B28" s="57" t="inlineStr">
        <is>
          <t>F-DT-05</t>
        </is>
      </c>
      <c r="C28" s="57" t="inlineStr">
        <is>
          <t>Inventario hídrico no levantado en campo; coordenadas = centro del fotograma</t>
        </is>
      </c>
      <c r="D28" s="57" t="inlineStr">
        <is>
          <t>NO SUSTANTIVA</t>
        </is>
      </c>
      <c r="E28" s="57" t="inlineStr">
        <is>
          <t>Relevar con GPS (Verificación heredada de la ficha de resumen V6.)</t>
        </is>
      </c>
    </row>
    <row r="29">
      <c r="A29" s="56" t="inlineStr">
        <is>
          <t>H-09</t>
        </is>
      </c>
      <c r="B29" s="56" t="inlineStr">
        <is>
          <t>Ficha DT</t>
        </is>
      </c>
      <c r="C29" s="56" t="inlineStr">
        <is>
          <t>UTM del punto de registro (645 575 · 9 393 500) = valor por defecto de la plantilla; centroide de catálogo 642 415 · 9 410 216</t>
        </is>
      </c>
      <c r="D29" s="56" t="inlineStr">
        <is>
          <t>SUSTANTIVA</t>
        </is>
      </c>
      <c r="E29" s="56" t="inlineStr">
        <is>
          <t>Georreferencia por reponer (Verificación heredada de la ficha de resumen V6.)</t>
        </is>
      </c>
    </row>
    <row r="31">
      <c r="A31" s="58" t="inlineStr">
        <is>
          <t>RESUMEN</t>
        </is>
      </c>
      <c r="B31" s="59" t="inlineStr">
        <is>
          <t>21 verificaciones</t>
        </is>
      </c>
      <c r="C31" s="59" t="inlineStr">
        <is>
          <t>SUSTANTIVA: 7 · NO SUSTANTIVA: 5 · CONFORME: 9</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86</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642478</t>
        </is>
      </c>
      <c r="D13" s="56" t="inlineStr">
        <is>
          <t>m</t>
        </is>
      </c>
    </row>
    <row r="14">
      <c r="A14" s="57" t="inlineStr">
        <is>
          <t>1. Identificación y localización</t>
        </is>
      </c>
      <c r="B14" s="57" t="inlineStr">
        <is>
          <t>UTM NORTE del punto de muestreo (m)</t>
        </is>
      </c>
      <c r="C14" s="57" t="inlineStr">
        <is>
          <t>9410660</t>
        </is>
      </c>
      <c r="D14" s="57" t="inlineStr">
        <is>
          <t>m</t>
        </is>
      </c>
    </row>
    <row r="15">
      <c r="A15" s="56" t="inlineStr">
        <is>
          <t>2. Parámetros físicos del terreno</t>
        </is>
      </c>
      <c r="B15" s="56" t="inlineStr">
        <is>
          <t>Piso altitudinal del punto de muestreo</t>
        </is>
      </c>
      <c r="C15" s="56" t="inlineStr">
        <is>
          <t>&lt;1000 m (Yunga)</t>
        </is>
      </c>
      <c r="D15" s="56" t="inlineStr"/>
    </row>
    <row r="16">
      <c r="A16" s="57" t="inlineStr">
        <is>
          <t>2. Parámetros físicos del terreno</t>
        </is>
      </c>
      <c r="B16" s="57" t="inlineStr">
        <is>
          <t>Paisaje dominante descrito en campo</t>
        </is>
      </c>
      <c r="C16" s="57" t="inlineStr">
        <is>
          <t>Lomada alargada en direccion NNE-SSO, de aproximadamente 1 150 m de longitud, que separa el fondo de valle irrigado de Nueva Esperanza (oeste) de la quebrada tributaria que la limita por el este. Perfil convexo con divisoria en torno a los 314 msnm y cotas minimas de 245 msnm en el contacto con las areas de cultivo. Cobertura de matorral ralo con arbolado disperso, mas densa en el flanco oriental y en la franja ribereña de la quebrada.</t>
        </is>
      </c>
      <c r="D16" s="57" t="inlineStr"/>
    </row>
    <row r="17">
      <c r="A17" s="56" t="inlineStr">
        <is>
          <t>2. Parámetros físicos del terreno</t>
        </is>
      </c>
      <c r="B17" s="56" t="inlineStr">
        <is>
          <t>Reptación de suelo</t>
        </is>
      </c>
      <c r="C17" s="56" t="inlineStr">
        <is>
          <t>Sí</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Sí</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Erosión laminar (% del bloque)</t>
        </is>
      </c>
      <c r="C23" s="56" t="inlineStr">
        <is>
          <t>55</t>
        </is>
      </c>
      <c r="D23" s="56" t="inlineStr">
        <is>
          <t>%</t>
        </is>
      </c>
    </row>
    <row r="24">
      <c r="A24" s="57" t="inlineStr">
        <is>
          <t>5. Ecosistema, cobertura y flora (F-DT-03)</t>
        </is>
      </c>
      <c r="B24" s="57" t="inlineStr">
        <is>
          <t>Cobertura del dosel (%)</t>
        </is>
      </c>
      <c r="C24" s="57" t="inlineStr">
        <is>
          <t>12</t>
        </is>
      </c>
      <c r="D24" s="57" t="inlineStr">
        <is>
          <t>%</t>
        </is>
      </c>
    </row>
    <row r="25">
      <c r="A25" s="56" t="inlineStr">
        <is>
          <t>5. Ecosistema, cobertura y flora (F-DT-03)</t>
        </is>
      </c>
      <c r="B25" s="56" t="inlineStr">
        <is>
          <t>Cobertura arbustiva (%)</t>
        </is>
      </c>
      <c r="C25" s="56" t="inlineStr">
        <is>
          <t>7</t>
        </is>
      </c>
      <c r="D25" s="56" t="inlineStr">
        <is>
          <t>%</t>
        </is>
      </c>
    </row>
    <row r="26">
      <c r="A26" s="57" t="inlineStr">
        <is>
          <t>5. Ecosistema, cobertura y flora (F-DT-03)</t>
        </is>
      </c>
      <c r="B26" s="57" t="inlineStr">
        <is>
          <t>Cobertura herbácea (%)</t>
        </is>
      </c>
      <c r="C26" s="57" t="inlineStr">
        <is>
          <t>5</t>
        </is>
      </c>
      <c r="D26" s="57" t="inlineStr">
        <is>
          <t>%</t>
        </is>
      </c>
    </row>
    <row r="27">
      <c r="A27" s="56" t="inlineStr">
        <is>
          <t>5. Ecosistema, cobertura y flora (F-DT-03)</t>
        </is>
      </c>
      <c r="B27" s="56" t="inlineStr">
        <is>
          <t>Cobertura de hojarasca (%)</t>
        </is>
      </c>
      <c r="C27" s="56" t="inlineStr">
        <is>
          <t>26</t>
        </is>
      </c>
      <c r="D27" s="56" t="inlineStr">
        <is>
          <t>%</t>
        </is>
      </c>
    </row>
    <row r="28">
      <c r="A28" s="57" t="inlineStr">
        <is>
          <t>5. Ecosistema, cobertura y flora (F-DT-03)</t>
        </is>
      </c>
      <c r="B28" s="57" t="inlineStr">
        <is>
          <t>Presencia de epífitas</t>
        </is>
      </c>
      <c r="C28" s="57" t="inlineStr">
        <is>
          <t>No</t>
        </is>
      </c>
      <c r="D28" s="57" t="inlineStr"/>
    </row>
    <row r="29">
      <c r="A29" s="56" t="inlineStr">
        <is>
          <t>5. Ecosistema, cobertura y flora (F-DT-03)</t>
        </is>
      </c>
      <c r="B29" s="56" t="inlineStr">
        <is>
          <t>Fenología dominante</t>
        </is>
      </c>
      <c r="C29" s="56" t="inlineStr">
        <is>
          <t>Caducifolio (hojas caídas)</t>
        </is>
      </c>
      <c r="D29" s="56" t="inlineStr"/>
    </row>
    <row r="30">
      <c r="A30" s="57" t="inlineStr">
        <is>
          <t>5. Ecosistema, cobertura y flora (F-DT-03)</t>
        </is>
      </c>
      <c r="B30" s="57" t="inlineStr">
        <is>
          <t>Especies clave georreferenciadas</t>
        </is>
      </c>
      <c r="C30" s="57" t="inlineStr">
        <is>
          <t>8</t>
        </is>
      </c>
      <c r="D30" s="57" t="inlineStr"/>
    </row>
    <row r="31">
      <c r="A31" s="56" t="inlineStr">
        <is>
          <t>6. Degradación, causas y urgencia (F-DT-04)</t>
        </is>
      </c>
      <c r="B31" s="56" t="inlineStr">
        <is>
          <t>Causas directas de la degradación</t>
        </is>
      </c>
      <c r="C31" s="56" t="inlineStr">
        <is>
          <t>Sobrepastoreo extensivo sobre la lomada, con presion adicional de la frontera agricola bajo riego que asciende desde el fondo de valle de Nueva Esperanza por el flanco occidental y meridional.</t>
        </is>
      </c>
      <c r="D31" s="56" t="inlineStr"/>
    </row>
    <row r="32">
      <c r="A32" s="57" t="inlineStr">
        <is>
          <t>6. Degradación, causas y urgencia (F-DT-04)</t>
        </is>
      </c>
      <c r="B32" s="57" t="inlineStr">
        <is>
          <t>N.° de causas activas en la matriz F-DT-04</t>
        </is>
      </c>
      <c r="C32" s="57" t="inlineStr">
        <is>
          <t>3</t>
        </is>
      </c>
      <c r="D32" s="57" t="inlineStr"/>
    </row>
    <row r="33">
      <c r="A33" s="56" t="inlineStr">
        <is>
          <t>7. Hidrología, acceso y logística (F-DT-05)</t>
        </is>
      </c>
      <c r="B33" s="56" t="inlineStr">
        <is>
          <t>Escorrentía concentrada</t>
        </is>
      </c>
      <c r="C33" s="56" t="inlineStr">
        <is>
          <t>Sí</t>
        </is>
      </c>
      <c r="D33" s="56" t="inlineStr"/>
    </row>
    <row r="34">
      <c r="A34" s="57" t="inlineStr">
        <is>
          <t>7. Hidrología, acceso y logística (F-DT-05)</t>
        </is>
      </c>
      <c r="B34" s="57" t="inlineStr">
        <is>
          <t>Fuentes de agua inventariadas</t>
        </is>
      </c>
      <c r="C34" s="57" t="inlineStr">
        <is>
          <t>4</t>
        </is>
      </c>
      <c r="D34" s="57" t="inlineStr"/>
    </row>
    <row r="35">
      <c r="A35" s="56" t="inlineStr">
        <is>
          <t>7. Hidrología, acceso y logística (F-DT-05)</t>
        </is>
      </c>
      <c r="B35" s="56" t="inlineStr">
        <is>
          <t>Interferencia con riego</t>
        </is>
      </c>
      <c r="C35" s="56" t="inlineStr">
        <is>
          <t>Sí</t>
        </is>
      </c>
      <c r="D35" s="56" t="inlineStr"/>
    </row>
    <row r="36">
      <c r="A36" s="57" t="inlineStr">
        <is>
          <t>7. Hidrología, acceso y logística (F-DT-05)</t>
        </is>
      </c>
      <c r="B36" s="57" t="inlineStr">
        <is>
          <t>Vía principal de acceso</t>
        </is>
      </c>
      <c r="C36" s="57" t="inlineStr">
        <is>
          <t>Via afirmada de acceso a Dotor (San Juan de Bigote) - codigo MTC POR VERIFICAR</t>
        </is>
      </c>
      <c r="D36" s="57" t="inlineStr"/>
    </row>
    <row r="37">
      <c r="A37" s="56" t="inlineStr">
        <is>
          <t>7. Hidrología, acceso y logística (F-DT-05)</t>
        </is>
      </c>
      <c r="B37" s="56" t="inlineStr">
        <is>
          <t>Tipo de vía del tramo final</t>
        </is>
      </c>
      <c r="C37" s="56" t="inlineStr">
        <is>
          <t>Trocha carrozable</t>
        </is>
      </c>
      <c r="D37" s="56" t="inlineStr"/>
    </row>
    <row r="38">
      <c r="A38" s="57" t="inlineStr">
        <is>
          <t>7. Hidrología, acceso y logística (F-DT-05)</t>
        </is>
      </c>
      <c r="B38" s="57" t="inlineStr">
        <is>
          <t>Transitabilidad en época seca</t>
        </is>
      </c>
      <c r="C38" s="57" t="inlineStr">
        <is>
          <t>Alto</t>
        </is>
      </c>
      <c r="D38" s="57" t="inlineStr"/>
    </row>
    <row r="40">
      <c r="A40" s="54" t="inlineStr">
        <is>
          <t>C. PROCEDENCIA DE LOS HECHOS DECLARADOS</t>
        </is>
      </c>
    </row>
    <row r="41">
      <c r="A41" s="55" t="inlineStr">
        <is>
          <t>Fuente</t>
        </is>
      </c>
      <c r="B41" s="55" t="inlineStr">
        <is>
          <t>Hechos</t>
        </is>
      </c>
      <c r="C41" s="55" t="inlineStr">
        <is>
          <t>Alcance de la fuente</t>
        </is>
      </c>
    </row>
    <row r="42">
      <c r="A42" s="56" t="inlineStr">
        <is>
          <t>Dato de campo</t>
        </is>
      </c>
      <c r="B42" s="56" t="n">
        <v>51</v>
      </c>
      <c r="C42" s="56" t="inlineStr">
        <is>
          <t>Verificación en campo. Fichas F-DT-01 a F-DT-05 de la Plantilla DT Campo Check Validada V5, suscritas por el evaluador.</t>
        </is>
      </c>
    </row>
    <row r="43">
      <c r="A43" s="57" t="inlineStr">
        <is>
          <t>Gabinete (GIS / teledetección)</t>
        </is>
      </c>
      <c r="B43" s="57" t="n">
        <v>28</v>
      </c>
      <c r="C43" s="57" t="inlineStr">
        <is>
          <t>Gabinete. Estadística zonal sobre el MDE y compuestos Sentinel-2 (NDVI mediana 2025, MSAVI 2024 por clase DN).</t>
        </is>
      </c>
    </row>
    <row r="44">
      <c r="A44" s="56" t="inlineStr">
        <is>
          <t>Fuente oficial</t>
        </is>
      </c>
      <c r="B44" s="56" t="n">
        <v>14</v>
      </c>
      <c r="C44" s="56" t="inlineStr">
        <is>
          <t>Fuente oficial. Catálogo maestro Bloques V5/V6, división política INEI y codificación de microcuencas de la ANA.</t>
        </is>
      </c>
    </row>
    <row r="46">
      <c r="A46" s="54" t="inlineStr">
        <is>
          <t>D. ESTADO DEL CRUCE ENTRE FUENTES</t>
        </is>
      </c>
    </row>
    <row r="47">
      <c r="A47" s="55" t="inlineStr">
        <is>
          <t>Estado</t>
        </is>
      </c>
      <c r="B47" s="55" t="inlineStr">
        <is>
          <t>Hechos</t>
        </is>
      </c>
      <c r="C47" s="55" t="inlineStr">
        <is>
          <t>Significado</t>
        </is>
      </c>
    </row>
    <row r="48">
      <c r="A48" s="56" t="inlineStr">
        <is>
          <t>CONFORME</t>
        </is>
      </c>
      <c r="B48" s="56" t="n">
        <v>88</v>
      </c>
      <c r="C48" s="56" t="inlineStr">
        <is>
          <t>Las dos fuentes declaran lo mismo, o solo la fuente que manda sobre el hecho lo declara.</t>
        </is>
      </c>
    </row>
    <row r="49">
      <c r="A49" s="57" t="inlineStr">
        <is>
          <t>COMPLEMENTADO</t>
        </is>
      </c>
      <c r="B49" s="57" t="n">
        <v>5</v>
      </c>
      <c r="C49" s="57" t="inlineStr">
        <is>
          <t>Solo una de las fuentes lo declara y se adopta ese valor.</t>
        </is>
      </c>
    </row>
    <row r="50">
      <c r="A50" s="56" t="inlineStr">
        <is>
          <t>ACTUALIZADO</t>
        </is>
      </c>
      <c r="B50" s="56" t="n">
        <v>0</v>
      </c>
      <c r="C50" s="56" t="inlineStr">
        <is>
          <t>La verificación de campo vigente corrige lo que traía el libro de resumen.</t>
        </is>
      </c>
    </row>
    <row r="51">
      <c r="A51" s="57" t="inlineStr">
        <is>
          <t>DISCREPANTE</t>
        </is>
      </c>
      <c r="B51" s="57" t="n">
        <v>0</v>
      </c>
      <c r="C51" s="57" t="inlineStr">
        <is>
          <t>Las fuentes se contradicen; prevalece la que manda sobre el hecho y la otra queda declarada.</t>
        </is>
      </c>
    </row>
    <row r="52">
      <c r="A52" s="56" t="inlineStr">
        <is>
          <t>PENDIENTE</t>
        </is>
      </c>
      <c r="B52" s="56" t="n">
        <v>21</v>
      </c>
      <c r="C52"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86</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trischistandra</t>
        </is>
      </c>
      <c r="D13" s="56" t="inlineStr">
        <is>
          <t>Malvaceae</t>
        </is>
      </c>
      <c r="E13" s="56" t="inlineStr">
        <is>
          <t>Arbóreo medio (8-15 m)</t>
        </is>
      </c>
      <c r="F13" s="56" t="inlineStr">
        <is>
          <t>Nativa</t>
        </is>
      </c>
      <c r="G13" s="56" t="inlineStr"/>
      <c r="H13" s="56" t="n"/>
      <c r="I13" s="56" t="n"/>
    </row>
    <row r="14">
      <c r="A14" s="57" t="inlineStr">
        <is>
          <t>2</t>
        </is>
      </c>
      <c r="B14" s="57" t="inlineStr">
        <is>
          <t>Charán</t>
        </is>
      </c>
      <c r="C14" s="57" t="inlineStr">
        <is>
          <t>Coulteria paipai</t>
        </is>
      </c>
      <c r="D14" s="57" t="inlineStr">
        <is>
          <t>Fabaceae</t>
        </is>
      </c>
      <c r="E14" s="57" t="inlineStr">
        <is>
          <t>Arbóreo bajo (4-8 m)</t>
        </is>
      </c>
      <c r="F14" s="57" t="inlineStr">
        <is>
          <t>Nativa</t>
        </is>
      </c>
      <c r="G14" s="57" t="inlineStr"/>
      <c r="H14" s="57" t="n"/>
      <c r="I14" s="57" t="n"/>
    </row>
    <row r="15">
      <c r="A15" s="56" t="inlineStr">
        <is>
          <t>3</t>
        </is>
      </c>
      <c r="B15" s="56" t="inlineStr">
        <is>
          <t>Faique</t>
        </is>
      </c>
      <c r="C15" s="56" t="inlineStr">
        <is>
          <t>Vachellia macracantha</t>
        </is>
      </c>
      <c r="D15" s="56" t="inlineStr">
        <is>
          <t>Fabaceae</t>
        </is>
      </c>
      <c r="E15" s="56" t="inlineStr">
        <is>
          <t>Arbóreo bajo (4-8 m)</t>
        </is>
      </c>
      <c r="F15" s="56" t="inlineStr">
        <is>
          <t>Nativa</t>
        </is>
      </c>
      <c r="G15" s="56" t="inlineStr"/>
      <c r="H15" s="56" t="n"/>
      <c r="I15" s="56" t="n"/>
    </row>
    <row r="16">
      <c r="A16" s="57" t="inlineStr">
        <is>
          <t>4</t>
        </is>
      </c>
      <c r="B16" s="57" t="inlineStr">
        <is>
          <t>Algarrobo</t>
        </is>
      </c>
      <c r="C16" s="57" t="inlineStr">
        <is>
          <t>Neltuma pallida</t>
        </is>
      </c>
      <c r="D16" s="57" t="inlineStr">
        <is>
          <t>Fabaceae</t>
        </is>
      </c>
      <c r="E16" s="57" t="inlineStr">
        <is>
          <t>Arbóreo medio (8-15 m)</t>
        </is>
      </c>
      <c r="F16" s="57" t="inlineStr">
        <is>
          <t>Nativa</t>
        </is>
      </c>
      <c r="G16" s="57" t="inlineStr"/>
      <c r="H16" s="57" t="n"/>
      <c r="I16" s="57" t="n"/>
    </row>
    <row r="17">
      <c r="A17" s="56" t="inlineStr">
        <is>
          <t>5</t>
        </is>
      </c>
      <c r="B17" s="56" t="inlineStr">
        <is>
          <t>Sapote</t>
        </is>
      </c>
      <c r="C17" s="56" t="inlineStr">
        <is>
          <t>Colicodendron scabridum</t>
        </is>
      </c>
      <c r="D17" s="56" t="inlineStr">
        <is>
          <t>Capparaceae</t>
        </is>
      </c>
      <c r="E17" s="56" t="inlineStr">
        <is>
          <t>Arbóreo bajo (4-8 m)</t>
        </is>
      </c>
      <c r="F17" s="56" t="inlineStr">
        <is>
          <t>Nativa</t>
        </is>
      </c>
      <c r="G17" s="56" t="inlineStr"/>
      <c r="H17" s="56" t="n"/>
      <c r="I17" s="56" t="n"/>
    </row>
    <row r="18">
      <c r="A18" s="57" t="inlineStr">
        <is>
          <t>6</t>
        </is>
      </c>
      <c r="B18" s="57" t="inlineStr">
        <is>
          <t>Hualtaco</t>
        </is>
      </c>
      <c r="C18" s="57" t="inlineStr">
        <is>
          <t>Loxopterygium huasango</t>
        </is>
      </c>
      <c r="D18" s="57" t="inlineStr">
        <is>
          <t>Anacardiaceae</t>
        </is>
      </c>
      <c r="E18" s="57" t="inlineStr">
        <is>
          <t>Arbóreo medio (8-15 m)</t>
        </is>
      </c>
      <c r="F18" s="57" t="inlineStr">
        <is>
          <t>Nativa</t>
        </is>
      </c>
      <c r="G18" s="57" t="inlineStr"/>
      <c r="H18" s="57" t="n"/>
      <c r="I18" s="57" t="n"/>
    </row>
    <row r="19">
      <c r="A19" s="56" t="inlineStr">
        <is>
          <t>7</t>
        </is>
      </c>
      <c r="B19" s="56" t="inlineStr">
        <is>
          <t>Overo</t>
        </is>
      </c>
      <c r="C19" s="56" t="inlineStr">
        <is>
          <t>Cordia lutea</t>
        </is>
      </c>
      <c r="D19" s="56" t="inlineStr">
        <is>
          <t>Cordiaceae</t>
        </is>
      </c>
      <c r="E19" s="56" t="inlineStr">
        <is>
          <t>Arbustivo alto (1.5-4 m)</t>
        </is>
      </c>
      <c r="F19" s="56" t="inlineStr">
        <is>
          <t>Nativa</t>
        </is>
      </c>
      <c r="G19" s="56" t="inlineStr"/>
      <c r="H19" s="56" t="n"/>
      <c r="I19" s="56" t="n"/>
    </row>
    <row r="20">
      <c r="A20" s="57" t="inlineStr">
        <is>
          <t>8</t>
        </is>
      </c>
      <c r="B20" s="57" t="inlineStr">
        <is>
          <t>Cactáceas</t>
        </is>
      </c>
      <c r="C20" s="57" t="inlineStr">
        <is>
          <t>Cactaceae — género por verificar</t>
        </is>
      </c>
      <c r="D20" s="57" t="inlineStr">
        <is>
          <t>Cactaceae</t>
        </is>
      </c>
      <c r="E20" s="57" t="inlineStr">
        <is>
          <t>Arbustivo alto (1.5-4 m)</t>
        </is>
      </c>
      <c r="F20" s="57" t="inlineStr">
        <is>
          <t>Nativa</t>
        </is>
      </c>
      <c r="G20" s="57" t="inlineStr"/>
      <c r="H20" s="57" t="n"/>
      <c r="I20" s="57" t="n"/>
    </row>
    <row r="21">
      <c r="A21" s="56" t="inlineStr">
        <is>
          <t>9</t>
        </is>
      </c>
      <c r="B21" s="56" t="inlineStr">
        <is>
          <t>Borrachera</t>
        </is>
      </c>
      <c r="C21" s="56" t="inlineStr">
        <is>
          <t>Ipomoea carnea</t>
        </is>
      </c>
      <c r="D21" s="56" t="inlineStr">
        <is>
          <t>Convolvulaceae</t>
        </is>
      </c>
      <c r="E21" s="56" t="inlineStr">
        <is>
          <t>Arbustivo alto (1.5-4 m)</t>
        </is>
      </c>
      <c r="F21" s="56" t="inlineStr">
        <is>
          <t>Nativa</t>
        </is>
      </c>
      <c r="G21" s="56" t="inlineStr"/>
      <c r="H21" s="56" t="n"/>
      <c r="I21" s="56" t="n"/>
    </row>
    <row r="22">
      <c r="A22" s="57" t="inlineStr">
        <is>
          <t>10</t>
        </is>
      </c>
      <c r="B22" s="57" t="inlineStr">
        <is>
          <t>Palo santo</t>
        </is>
      </c>
      <c r="C22" s="57" t="inlineStr">
        <is>
          <t>Bursera graveolens</t>
        </is>
      </c>
      <c r="D22" s="57" t="inlineStr">
        <is>
          <t>Burseraceae</t>
        </is>
      </c>
      <c r="E22" s="57" t="inlineStr">
        <is>
          <t>Arbóreo bajo (4-8 m)</t>
        </is>
      </c>
      <c r="F22" s="57" t="inlineStr">
        <is>
          <t>Nativa</t>
        </is>
      </c>
      <c r="G22" s="57" t="inlineStr"/>
      <c r="H22" s="57" t="n"/>
      <c r="I22" s="57" t="n"/>
    </row>
    <row r="23">
      <c r="A23" s="56" t="inlineStr">
        <is>
          <t>11</t>
        </is>
      </c>
      <c r="B23" s="56" t="inlineStr">
        <is>
          <t>Frijolillo</t>
        </is>
      </c>
      <c r="C23" s="56" t="inlineStr">
        <is>
          <t>Determinación por verificar</t>
        </is>
      </c>
      <c r="D23" s="56" t="inlineStr">
        <is>
          <t>Por verificar</t>
        </is>
      </c>
      <c r="E23" s="56" t="inlineStr">
        <is>
          <t>Arbustivo alto (1.5-4 m)</t>
        </is>
      </c>
      <c r="F23" s="56" t="inlineStr">
        <is>
          <t>Nativa</t>
        </is>
      </c>
      <c r="G23" s="56" t="inlineStr"/>
      <c r="H23" s="56" t="n"/>
      <c r="I23" s="56" t="n"/>
    </row>
    <row r="24">
      <c r="A24" s="57" t="inlineStr">
        <is>
          <t>12</t>
        </is>
      </c>
      <c r="B24" s="57" t="inlineStr">
        <is>
          <t>Pasallo</t>
        </is>
      </c>
      <c r="C24" s="57" t="inlineStr">
        <is>
          <t>Eriotheca ruizii</t>
        </is>
      </c>
      <c r="D24" s="57" t="inlineStr">
        <is>
          <t>Malvaceae</t>
        </is>
      </c>
      <c r="E24" s="57" t="inlineStr">
        <is>
          <t>Arbóreo medio (8-15 m)</t>
        </is>
      </c>
      <c r="F24" s="57" t="inlineStr">
        <is>
          <t>Nativa</t>
        </is>
      </c>
      <c r="G24" s="57" t="inlineStr"/>
      <c r="H24" s="57" t="n"/>
      <c r="I24" s="57" t="n"/>
    </row>
    <row r="25">
      <c r="A25" s="56" t="inlineStr">
        <is>
          <t>13</t>
        </is>
      </c>
      <c r="B25" s="56" t="inlineStr">
        <is>
          <t>Barbasco</t>
        </is>
      </c>
      <c r="C25" s="56" t="inlineStr">
        <is>
          <t>Lonchocarpus sp.</t>
        </is>
      </c>
      <c r="D25" s="56" t="inlineStr">
        <is>
          <t>Fabaceae</t>
        </is>
      </c>
      <c r="E25" s="56" t="inlineStr">
        <is>
          <t>Arbustivo alto (1.5-4 m)</t>
        </is>
      </c>
      <c r="F25" s="56" t="inlineStr">
        <is>
          <t>Nativa</t>
        </is>
      </c>
      <c r="G25" s="56" t="inlineStr"/>
      <c r="H25" s="56" t="n"/>
      <c r="I25" s="56" t="n"/>
    </row>
    <row r="26">
      <c r="A26" s="57" t="inlineStr">
        <is>
          <t>14</t>
        </is>
      </c>
      <c r="B26" s="57" t="inlineStr">
        <is>
          <t>Chamelico</t>
        </is>
      </c>
      <c r="C26" s="57" t="inlineStr">
        <is>
          <t>Sapindus saponaria</t>
        </is>
      </c>
      <c r="D26" s="57" t="inlineStr">
        <is>
          <t>Sapindaceae</t>
        </is>
      </c>
      <c r="E26" s="57" t="inlineStr">
        <is>
          <t>Arbóreo bajo (4-8 m)</t>
        </is>
      </c>
      <c r="F26" s="57" t="inlineStr">
        <is>
          <t>Nativa</t>
        </is>
      </c>
      <c r="G26" s="57" t="inlineStr"/>
      <c r="H26" s="57" t="n"/>
      <c r="I26" s="57" t="n"/>
    </row>
    <row r="27">
      <c r="A27" s="56" t="inlineStr">
        <is>
          <t>15</t>
        </is>
      </c>
      <c r="B27" s="56" t="inlineStr">
        <is>
          <t>Huasimo</t>
        </is>
      </c>
      <c r="C27" s="56" t="inlineStr">
        <is>
          <t>Guazuma ulmifolia</t>
        </is>
      </c>
      <c r="D27" s="56" t="inlineStr">
        <is>
          <t>Malvaceae</t>
        </is>
      </c>
      <c r="E27" s="56" t="inlineStr">
        <is>
          <t>Arbóreo medio (8-15 m)</t>
        </is>
      </c>
      <c r="F27" s="56" t="inlineStr">
        <is>
          <t>Nativa</t>
        </is>
      </c>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Hualtaco (Loxopterygium huasango)</t>
        </is>
      </c>
      <c r="C31" s="56" t="inlineStr">
        <is>
          <t>Amenazada (D.S. 043-2006-AG)</t>
        </is>
      </c>
      <c r="D31" s="56" t="inlineStr">
        <is>
          <t>CR — En Peligro Crítico</t>
        </is>
      </c>
      <c r="E31" s="56" t="n"/>
      <c r="F31" s="56" t="n"/>
      <c r="G31" s="56" t="n"/>
      <c r="H31" s="56" t="inlineStr"/>
    </row>
    <row r="32">
      <c r="A32" s="57" t="inlineStr">
        <is>
          <t>2</t>
        </is>
      </c>
      <c r="B32" s="57" t="inlineStr">
        <is>
          <t>Sapote (Colicodendron scabridum)</t>
        </is>
      </c>
      <c r="C32" s="57" t="inlineStr">
        <is>
          <t>Amenazada (D.S. 043-2006-AG)</t>
        </is>
      </c>
      <c r="D32" s="57" t="inlineStr">
        <is>
          <t>CR — En Peligro Crítico</t>
        </is>
      </c>
      <c r="E32" s="57" t="n"/>
      <c r="F32" s="57" t="n"/>
      <c r="G32" s="57" t="n"/>
      <c r="H32" s="57" t="inlineStr"/>
    </row>
    <row r="33">
      <c r="A33" s="56" t="inlineStr">
        <is>
          <t>3</t>
        </is>
      </c>
      <c r="B33" s="56" t="inlineStr">
        <is>
          <t>Palo santo (Bursera graveolens)</t>
        </is>
      </c>
      <c r="C33" s="56" t="inlineStr">
        <is>
          <t>Amenazada (D.S. 043-2006-AG)</t>
        </is>
      </c>
      <c r="D33" s="56" t="inlineStr">
        <is>
          <t>CR — En Peligro Crítico</t>
        </is>
      </c>
      <c r="E33" s="56" t="n"/>
      <c r="F33" s="56" t="n"/>
      <c r="G33" s="56" t="n"/>
      <c r="H33" s="56" t="inlineStr"/>
    </row>
    <row r="34">
      <c r="A34" s="57" t="inlineStr">
        <is>
          <t>4</t>
        </is>
      </c>
      <c r="B34" s="57" t="inlineStr">
        <is>
          <t>Algarrobo (Neltuma pallida)</t>
        </is>
      </c>
      <c r="C34" s="57" t="inlineStr">
        <is>
          <t>Amenazada (D.S. 043-2006-AG)</t>
        </is>
      </c>
      <c r="D34" s="57" t="inlineStr">
        <is>
          <t>VU — Vulnerable</t>
        </is>
      </c>
      <c r="E34" s="57" t="n"/>
      <c r="F34" s="57" t="n"/>
      <c r="G34" s="57" t="n"/>
      <c r="H34" s="57" t="inlineStr"/>
    </row>
    <row r="35">
      <c r="A35" s="56" t="inlineStr">
        <is>
          <t>5</t>
        </is>
      </c>
      <c r="B35" s="56" t="inlineStr">
        <is>
          <t>Faique (Vachellia macracantha)</t>
        </is>
      </c>
      <c r="C35" s="56" t="inlineStr">
        <is>
          <t>Amenazada (D.S. 043-2006-AG)</t>
        </is>
      </c>
      <c r="D35" s="56" t="inlineStr">
        <is>
          <t>NT — Casi Amenazado</t>
        </is>
      </c>
      <c r="E35" s="56" t="n"/>
      <c r="F35" s="56" t="n"/>
      <c r="G35" s="56" t="n"/>
      <c r="H35" s="56" t="inlineStr"/>
    </row>
    <row r="36">
      <c r="A36" s="57" t="inlineStr">
        <is>
          <t>6</t>
        </is>
      </c>
      <c r="B36" s="57" t="inlineStr">
        <is>
          <t>Ceibo (Ceiba trischistandra)</t>
        </is>
      </c>
      <c r="C36" s="57" t="inlineStr">
        <is>
          <t>Indicadora de buen estado</t>
        </is>
      </c>
      <c r="D36" s="57" t="inlineStr"/>
      <c r="E36" s="57" t="n"/>
      <c r="F36" s="57" t="n"/>
      <c r="G36" s="57" t="n"/>
      <c r="H36" s="57" t="inlineStr">
        <is>
          <t>Categoría bajo D.S. 043-2006-AG POR VERIFICAR.</t>
        </is>
      </c>
    </row>
    <row r="37">
      <c r="A37" s="56" t="inlineStr">
        <is>
          <t>7</t>
        </is>
      </c>
      <c r="B37" s="56" t="inlineStr">
        <is>
          <t>Pasallo (Eriotheca ruizii)</t>
        </is>
      </c>
      <c r="C37" s="56" t="inlineStr">
        <is>
          <t>Indicadora de buen estado</t>
        </is>
      </c>
      <c r="D37" s="56" t="inlineStr"/>
      <c r="E37" s="56" t="n"/>
      <c r="F37" s="56" t="n"/>
      <c r="G37" s="56" t="n"/>
      <c r="H37" s="56" t="inlineStr">
        <is>
          <t>Categoría bajo D.S. 043-2006-AG POR VERIFICAR.</t>
        </is>
      </c>
    </row>
    <row r="38">
      <c r="A38" s="57" t="inlineStr">
        <is>
          <t>8</t>
        </is>
      </c>
      <c r="B38" s="57" t="inlineStr">
        <is>
          <t>Borrachera (Ipomoea carnea)</t>
        </is>
      </c>
      <c r="C38" s="57" t="inlineStr">
        <is>
          <t>Indicadora de perturbación</t>
        </is>
      </c>
      <c r="D38" s="57" t="inlineStr">
        <is>
          <t>No aplica</t>
        </is>
      </c>
      <c r="E38" s="57" t="n"/>
      <c r="F38" s="57" t="n"/>
      <c r="G38" s="57" t="n"/>
      <c r="H38" s="57" t="inlineStr">
        <is>
          <t>Colonizadora de suelos alterados y sobrepastoreados; refuerza el diagnóstico de degradación.</t>
        </is>
      </c>
    </row>
    <row r="40">
      <c r="A40" s="54" t="inlineStr">
        <is>
          <t>F-DT-04 · MATRIZ DE CAUSAS DE DEGRADACIÓN</t>
        </is>
      </c>
    </row>
    <row r="41">
      <c r="A41" s="55" t="inlineStr">
        <is>
          <t>N.o</t>
        </is>
      </c>
      <c r="B41" s="55" t="inlineStr">
        <is>
          <t>Causa</t>
        </is>
      </c>
      <c r="C41" s="55" t="inlineStr">
        <is>
          <t>Presencia</t>
        </is>
      </c>
      <c r="D41" s="55" t="inlineStr">
        <is>
          <t>Intensidad</t>
        </is>
      </c>
      <c r="E41" s="55" t="inlineStr">
        <is>
          <t>Extensión</t>
        </is>
      </c>
      <c r="F41" s="55" t="inlineStr">
        <is>
          <t>Antigüedad</t>
        </is>
      </c>
      <c r="G41" s="55" t="inlineStr">
        <is>
          <t>Evidencia</t>
        </is>
      </c>
    </row>
    <row r="42">
      <c r="A42" s="56" t="inlineStr">
        <is>
          <t>1</t>
        </is>
      </c>
      <c r="B42" s="56" t="inlineStr">
        <is>
          <t>Sobrepastoreo (caprino/vacuno)</t>
        </is>
      </c>
      <c r="C42" s="56" t="inlineStr">
        <is>
          <t>Sí</t>
        </is>
      </c>
      <c r="D42" s="56" t="inlineStr">
        <is>
          <t>Fuerte</t>
        </is>
      </c>
      <c r="E42" s="56" t="inlineStr">
        <is>
          <t>85</t>
        </is>
      </c>
      <c r="F42" s="56" t="inlineStr"/>
      <c r="G42" s="56" t="inlineStr">
        <is>
          <t>Huellas de ganado paralelas a la curva de nivel en los tercios medio y alto de la lomada (ortofoto RPA 14-08-2026); estrato herbaceo discontinuo; regeneracion natural escasa.</t>
        </is>
      </c>
    </row>
    <row r="43">
      <c r="A43" s="57" t="inlineStr">
        <is>
          <t>2</t>
        </is>
      </c>
      <c r="B43" s="57" t="inlineStr">
        <is>
          <t>Tala para leña</t>
        </is>
      </c>
      <c r="C43" s="57" t="inlineStr"/>
      <c r="D43" s="57" t="inlineStr"/>
      <c r="E43" s="57" t="inlineStr"/>
      <c r="F43" s="57" t="inlineStr"/>
      <c r="G43" s="57" t="inlineStr"/>
    </row>
    <row r="44">
      <c r="A44" s="56" t="inlineStr">
        <is>
          <t>3</t>
        </is>
      </c>
      <c r="B44" s="56" t="inlineStr">
        <is>
          <t>Tala para carbón</t>
        </is>
      </c>
      <c r="C44" s="56" t="inlineStr"/>
      <c r="D44" s="56" t="inlineStr"/>
      <c r="E44" s="56" t="inlineStr"/>
      <c r="F44" s="56" t="inlineStr"/>
      <c r="G44" s="56" t="inlineStr"/>
    </row>
    <row r="45">
      <c r="A45" s="57" t="inlineStr">
        <is>
          <t>4</t>
        </is>
      </c>
      <c r="B45" s="57" t="inlineStr">
        <is>
          <t>Tala para madera</t>
        </is>
      </c>
      <c r="C45" s="57" t="inlineStr"/>
      <c r="D45" s="57" t="inlineStr"/>
      <c r="E45" s="57" t="inlineStr"/>
      <c r="F45" s="57" t="inlineStr"/>
      <c r="G45" s="57" t="inlineStr"/>
    </row>
    <row r="46">
      <c r="A46" s="56" t="inlineStr">
        <is>
          <t>5</t>
        </is>
      </c>
      <c r="B46" s="56" t="inlineStr">
        <is>
          <t>Quema (renovación de pastos)</t>
        </is>
      </c>
      <c r="C46" s="56" t="inlineStr"/>
      <c r="D46" s="56" t="inlineStr"/>
      <c r="E46" s="56" t="inlineStr"/>
      <c r="F46" s="56" t="inlineStr"/>
      <c r="G46" s="56" t="inlineStr"/>
    </row>
    <row r="47">
      <c r="A47" s="57" t="inlineStr">
        <is>
          <t>6</t>
        </is>
      </c>
      <c r="B47" s="57" t="inlineStr">
        <is>
          <t>Quema accidental / Incendio</t>
        </is>
      </c>
      <c r="C47" s="57" t="inlineStr"/>
      <c r="D47" s="57" t="inlineStr"/>
      <c r="E47" s="57" t="inlineStr"/>
      <c r="F47" s="57" t="inlineStr"/>
      <c r="G47" s="57" t="inlineStr"/>
    </row>
    <row r="48">
      <c r="A48" s="56" t="inlineStr">
        <is>
          <t>7</t>
        </is>
      </c>
      <c r="B48" s="56" t="inlineStr">
        <is>
          <t>Cambio de uso a agricultura</t>
        </is>
      </c>
      <c r="C48" s="56" t="inlineStr">
        <is>
          <t>Sí</t>
        </is>
      </c>
      <c r="D48" s="56" t="inlineStr">
        <is>
          <t>Ligera</t>
        </is>
      </c>
      <c r="E48" s="56" t="inlineStr">
        <is>
          <t>5</t>
        </is>
      </c>
      <c r="F48" s="56" t="inlineStr"/>
      <c r="G48" s="56" t="inlineStr">
        <is>
          <t>Contacto directo del limite occidental y meridional con parcelas de cultivo bajo riego del sector Nueva Esperanza; frontera agricola avanzando desde el fondo de valle hacia la ladera.</t>
        </is>
      </c>
    </row>
    <row r="49">
      <c r="A49" s="57" t="inlineStr">
        <is>
          <t>8</t>
        </is>
      </c>
      <c r="B49" s="57" t="inlineStr">
        <is>
          <t>Cambio de uso a pastoreo</t>
        </is>
      </c>
      <c r="C49" s="57" t="inlineStr"/>
      <c r="D49" s="57" t="inlineStr"/>
      <c r="E49" s="57" t="inlineStr"/>
      <c r="F49" s="57" t="inlineStr"/>
      <c r="G49" s="57" t="inlineStr"/>
    </row>
    <row r="50">
      <c r="A50" s="56" t="inlineStr">
        <is>
          <t>9</t>
        </is>
      </c>
      <c r="B50" s="56" t="inlineStr">
        <is>
          <t>Expansión urbana / vial</t>
        </is>
      </c>
      <c r="C50" s="56" t="inlineStr">
        <is>
          <t>Sí</t>
        </is>
      </c>
      <c r="D50" s="56" t="inlineStr">
        <is>
          <t>Ligera</t>
        </is>
      </c>
      <c r="E50" s="56" t="inlineStr">
        <is>
          <t>5</t>
        </is>
      </c>
      <c r="F50" s="56" t="inlineStr"/>
      <c r="G50" s="56" t="inlineStr">
        <is>
          <t>Trocha carrozable de acceso y viviendas dispersas del C.P. Nueva Esperanza en el borde occidental del poligono.</t>
        </is>
      </c>
    </row>
    <row r="51">
      <c r="A51" s="57" t="inlineStr">
        <is>
          <t>10</t>
        </is>
      </c>
      <c r="B51" s="57" t="inlineStr">
        <is>
          <t>Minería informal</t>
        </is>
      </c>
      <c r="C51" s="57" t="inlineStr"/>
      <c r="D51" s="57" t="inlineStr"/>
      <c r="E51" s="57" t="inlineStr"/>
      <c r="F51" s="57" t="inlineStr"/>
      <c r="G51" s="57" t="inlineStr"/>
    </row>
    <row r="52">
      <c r="A52" s="56" t="inlineStr">
        <is>
          <t>11</t>
        </is>
      </c>
      <c r="B52" s="56" t="inlineStr">
        <is>
          <t>Extracción de áridos (cauces)</t>
        </is>
      </c>
      <c r="C52" s="56" t="inlineStr"/>
      <c r="D52" s="56" t="inlineStr"/>
      <c r="E52" s="56" t="inlineStr"/>
      <c r="F52" s="56" t="inlineStr"/>
      <c r="G52" s="56" t="inlineStr"/>
    </row>
    <row r="53">
      <c r="A53" s="57" t="inlineStr">
        <is>
          <t>12</t>
        </is>
      </c>
      <c r="B53" s="57" t="inlineStr">
        <is>
          <t>Especies invasoras</t>
        </is>
      </c>
      <c r="C53" s="57" t="inlineStr"/>
      <c r="D53" s="57" t="inlineStr"/>
      <c r="E53" s="57" t="inlineStr"/>
      <c r="F53" s="57" t="inlineStr"/>
      <c r="G53" s="57" t="inlineStr"/>
    </row>
    <row r="54">
      <c r="A54" s="56" t="inlineStr">
        <is>
          <t>13</t>
        </is>
      </c>
      <c r="B54" s="56" t="inlineStr">
        <is>
          <t>Erosión natural severa</t>
        </is>
      </c>
      <c r="C54" s="56" t="inlineStr"/>
      <c r="D54" s="56" t="inlineStr"/>
      <c r="E54" s="56" t="inlineStr"/>
      <c r="F54" s="56" t="inlineStr"/>
      <c r="G54" s="56" t="inlineStr"/>
    </row>
    <row r="55">
      <c r="A55" s="57" t="inlineStr">
        <is>
          <t>14</t>
        </is>
      </c>
      <c r="B55" s="57" t="inlineStr">
        <is>
          <t>Sequía prolongada / CC</t>
        </is>
      </c>
      <c r="C55" s="57" t="inlineStr"/>
      <c r="D55" s="57" t="inlineStr"/>
      <c r="E55" s="57" t="inlineStr"/>
      <c r="F55" s="57" t="inlineStr"/>
      <c r="G55" s="57" t="inlineStr"/>
    </row>
    <row r="56">
      <c r="A56" s="56" t="inlineStr">
        <is>
          <t>15</t>
        </is>
      </c>
      <c r="B56" s="56" t="inlineStr">
        <is>
          <t>Plagas o enfermedades forestales</t>
        </is>
      </c>
      <c r="C56" s="56" t="inlineStr"/>
      <c r="D56" s="56" t="inlineStr"/>
      <c r="E56" s="56" t="inlineStr"/>
      <c r="F56" s="56" t="inlineStr"/>
      <c r="G56" s="56" t="inlineStr"/>
    </row>
    <row r="57">
      <c r="A57" s="57" t="inlineStr">
        <is>
          <t>16</t>
        </is>
      </c>
      <c r="B57" s="57" t="inlineStr">
        <is>
          <t>Otro</t>
        </is>
      </c>
      <c r="C57" s="57" t="inlineStr"/>
      <c r="D57" s="57" t="inlineStr"/>
      <c r="E57" s="57" t="inlineStr"/>
      <c r="F57" s="57" t="inlineStr"/>
      <c r="G57" s="57" t="inlineStr"/>
    </row>
    <row r="59">
      <c r="A59" s="54" t="inlineStr">
        <is>
          <t>F-DT-04 · INDICADORES CUANTITATIVOS</t>
        </is>
      </c>
    </row>
    <row r="60">
      <c r="A60" s="55" t="inlineStr">
        <is>
          <t>N.o</t>
        </is>
      </c>
      <c r="B60" s="55" t="inlineStr">
        <is>
          <t>Indicador</t>
        </is>
      </c>
      <c r="C60" s="55" t="inlineStr">
        <is>
          <t>Unidad</t>
        </is>
      </c>
      <c r="D60" s="55" t="inlineStr">
        <is>
          <t>Valor</t>
        </is>
      </c>
      <c r="E60" s="55" t="inlineStr">
        <is>
          <t>Fuente</t>
        </is>
      </c>
      <c r="F60" s="55" t="inlineStr">
        <is>
          <t>Umbral</t>
        </is>
      </c>
      <c r="G60" s="55" t="inlineStr">
        <is>
          <t>Nivel</t>
        </is>
      </c>
    </row>
    <row r="61">
      <c r="A61" s="56" t="inlineStr">
        <is>
          <t>1</t>
        </is>
      </c>
      <c r="B61" s="56" t="inlineStr">
        <is>
          <t>Cobertura vegetal total</t>
        </is>
      </c>
      <c r="C61" s="56" t="inlineStr">
        <is>
          <t>%</t>
        </is>
      </c>
      <c r="D61" s="56" t="inlineStr">
        <is>
          <t>24</t>
        </is>
      </c>
      <c r="E61" s="56" t="inlineStr">
        <is>
          <t>Fotointerpretacion ortofoto RPA 14-08-2026 + NDVI mediana 2025</t>
        </is>
      </c>
      <c r="F61" s="56" t="inlineStr">
        <is>
          <t>&gt;60% bueno; 30-60% medio; &lt;30% malo</t>
        </is>
      </c>
      <c r="G61" s="56" t="inlineStr">
        <is>
          <t>Alto</t>
        </is>
      </c>
    </row>
    <row r="62">
      <c r="A62" s="57" t="inlineStr">
        <is>
          <t>2</t>
        </is>
      </c>
      <c r="B62" s="57" t="inlineStr">
        <is>
          <t>Porcentaje de suelo desnudo</t>
        </is>
      </c>
      <c r="C62" s="57" t="inlineStr">
        <is>
          <t>%</t>
        </is>
      </c>
      <c r="D62" s="57" t="inlineStr">
        <is>
          <t>50</t>
        </is>
      </c>
      <c r="E62" s="57" t="inlineStr">
        <is>
          <t>Fotointerpretacion ortofoto RPA 14-08-2026</t>
        </is>
      </c>
      <c r="F62" s="57" t="inlineStr">
        <is>
          <t>&lt;10% bueno; 10-30% medio; &gt;30% malo</t>
        </is>
      </c>
      <c r="G62" s="57" t="inlineStr">
        <is>
          <t>Alto</t>
        </is>
      </c>
    </row>
    <row r="63">
      <c r="A63" s="56" t="inlineStr">
        <is>
          <t>3</t>
        </is>
      </c>
      <c r="B63" s="56" t="inlineStr">
        <is>
          <t>Densidad de cárcavas</t>
        </is>
      </c>
      <c r="C63" s="56" t="inlineStr">
        <is>
          <t>N°/ha</t>
        </is>
      </c>
      <c r="D63" s="56" t="inlineStr"/>
      <c r="E63" s="56" t="inlineStr">
        <is>
          <t>POR VERIFICAR - inventario de carcavas no ejecutado</t>
        </is>
      </c>
      <c r="F63" s="56" t="inlineStr">
        <is>
          <t>0 nulo; 1-3 medio; &gt;3 alto</t>
        </is>
      </c>
      <c r="G63" s="56" t="inlineStr"/>
    </row>
    <row r="64">
      <c r="A64" s="57" t="inlineStr">
        <is>
          <t>4</t>
        </is>
      </c>
      <c r="B64" s="57" t="inlineStr">
        <is>
          <t>Presencia de especies invasoras</t>
        </is>
      </c>
      <c r="C64" s="57" t="inlineStr">
        <is>
          <t>% área</t>
        </is>
      </c>
      <c r="D64" s="57" t="inlineStr"/>
      <c r="E64" s="57" t="inlineStr">
        <is>
          <t>POR VERIFICAR - no evaluado</t>
        </is>
      </c>
      <c r="F64" s="57" t="inlineStr">
        <is>
          <t>&lt;5% bueno; 5-20% medio; &gt;20% alto</t>
        </is>
      </c>
      <c r="G64" s="57" t="inlineStr"/>
    </row>
    <row r="65">
      <c r="A65" s="56" t="inlineStr">
        <is>
          <t>5</t>
        </is>
      </c>
      <c r="B65" s="56" t="inlineStr">
        <is>
          <t>Carga ganadera estimada</t>
        </is>
      </c>
      <c r="C65" s="56" t="inlineStr">
        <is>
          <t>UA/ha</t>
        </is>
      </c>
      <c r="D65" s="56" t="inlineStr"/>
      <c r="E65" s="56" t="inlineStr">
        <is>
          <t>POR VERIFICAR - requiere encuesta a tenedores de ganado</t>
        </is>
      </c>
      <c r="F65" s="56" t="inlineStr">
        <is>
          <t>Según tipo de ecosistema</t>
        </is>
      </c>
      <c r="G65" s="56" t="inlineStr"/>
    </row>
    <row r="66">
      <c r="A66" s="57" t="inlineStr">
        <is>
          <t>6</t>
        </is>
      </c>
      <c r="B66" s="57" t="inlineStr">
        <is>
          <t>Frecuencia de quemas últimos 5 años</t>
        </is>
      </c>
      <c r="C66" s="57" t="inlineStr">
        <is>
          <t>N°</t>
        </is>
      </c>
      <c r="D66" s="57" t="inlineStr"/>
      <c r="E66" s="57" t="inlineStr">
        <is>
          <t>POR VERIFICAR - requiere serie de cicatrices de quema</t>
        </is>
      </c>
      <c r="F66" s="57" t="inlineStr">
        <is>
          <t>0 nulo; 1-2 medio; &gt;2 alto</t>
        </is>
      </c>
      <c r="G66" s="57" t="inlineStr"/>
    </row>
    <row r="67">
      <c r="A67" s="56" t="inlineStr">
        <is>
          <t>7</t>
        </is>
      </c>
      <c r="B67" s="56" t="inlineStr">
        <is>
          <t>% área con pendiente &gt;50%</t>
        </is>
      </c>
      <c r="C67" s="56" t="inlineStr">
        <is>
          <t>%</t>
        </is>
      </c>
      <c r="D67" s="56" t="inlineStr"/>
      <c r="E67" s="56" t="inlineStr">
        <is>
          <t>POR VERIFICAR - estadistica zonal DEM no disponible para el bloque 86</t>
        </is>
      </c>
      <c r="F67" s="56" t="inlineStr">
        <is>
          <t>Factor de susceptibilidad</t>
        </is>
      </c>
      <c r="G67" s="56" t="inlineStr"/>
    </row>
    <row r="68">
      <c r="A68" s="57" t="inlineStr">
        <is>
          <t>8</t>
        </is>
      </c>
      <c r="B68" s="57" t="inlineStr">
        <is>
          <t>Distancia a vía vecinal más cercana</t>
        </is>
      </c>
      <c r="C68" s="57" t="inlineStr">
        <is>
          <t>m</t>
        </is>
      </c>
      <c r="D68" s="57" t="inlineStr">
        <is>
          <t>300</t>
        </is>
      </c>
      <c r="E68" s="57" t="inlineStr">
        <is>
          <t>Restitucion cartografica sobre mapa NDVI 2025 (aproximado)</t>
        </is>
      </c>
      <c r="F68" s="57" t="inlineStr">
        <is>
          <t>A menor distancia → mayor presión</t>
        </is>
      </c>
      <c r="G68" s="57" t="inlineStr">
        <is>
          <t>Medio</t>
        </is>
      </c>
    </row>
    <row r="70">
      <c r="A70" s="54" t="inlineStr">
        <is>
          <t>F-DT-05 · FUENTES DE AGUA INVENTARIADAS</t>
        </is>
      </c>
    </row>
    <row r="71">
      <c r="A71" s="55" t="inlineStr">
        <is>
          <t>N.o</t>
        </is>
      </c>
      <c r="B71" s="55" t="inlineStr">
        <is>
          <t>Tipo de fuente</t>
        </is>
      </c>
      <c r="C71" s="55" t="inlineStr">
        <is>
          <t>UTM ESTE</t>
        </is>
      </c>
      <c r="D71" s="55" t="inlineStr">
        <is>
          <t>UTM NORTE</t>
        </is>
      </c>
      <c r="E71" s="55" t="inlineStr">
        <is>
          <t>Régimen</t>
        </is>
      </c>
      <c r="F71" s="55" t="inlineStr">
        <is>
          <t>Calidad</t>
        </is>
      </c>
      <c r="G71" s="55" t="inlineStr">
        <is>
          <t>Distancia (m)</t>
        </is>
      </c>
      <c r="H71" s="55" t="inlineStr">
        <is>
          <t>Uso / observación</t>
        </is>
      </c>
    </row>
    <row r="72">
      <c r="A72" s="56" t="inlineStr">
        <is>
          <t>1</t>
        </is>
      </c>
      <c r="B72" s="56" t="inlineStr">
        <is>
          <t>Quebrada estacional</t>
        </is>
      </c>
      <c r="C72" s="61" t="n">
        <v>642519</v>
      </c>
      <c r="D72" s="61" t="n">
        <v>9410439</v>
      </c>
      <c r="E72" s="56" t="inlineStr"/>
      <c r="F72" s="56" t="inlineStr"/>
      <c r="G72" s="62" t="n">
        <v>0</v>
      </c>
      <c r="H72" s="56" t="inlineStr">
        <is>
          <t>Cauce que limita el bloque por el este y lo separa del bloque 87. La ortofoto RPA del 14-08-2026 (fotogramas DJI_0550 y DJI_0555), en plena estacion seca, muestra agua superficial encharcada y vegetacion riberena continua, lo que sugiere un regimen permanente o intermitente antes que estacional. REGIMEN Y CALIDAD POR VERIFICAR en campo.</t>
        </is>
      </c>
    </row>
    <row r="73">
      <c r="A73" s="57" t="inlineStr">
        <is>
          <t>2</t>
        </is>
      </c>
      <c r="B73" s="57" t="inlineStr">
        <is>
          <t>Quebrada estacional</t>
        </is>
      </c>
      <c r="C73" s="63" t="n">
        <v>642478</v>
      </c>
      <c r="D73" s="63" t="n">
        <v>9410660</v>
      </c>
      <c r="E73" s="57" t="inlineStr"/>
      <c r="F73" s="57" t="inlineStr"/>
      <c r="G73" s="64" t="n">
        <v>0</v>
      </c>
      <c r="H73" s="57" t="inlineStr">
        <is>
          <t>Continuacion del mismo cauce hacia el norte, con vegetacion riberena densa y terrazas de cultivo en la margen occidental. Registrado en el fotograma DJI_0555. Regimen y calidad POR VERIFICAR.</t>
        </is>
      </c>
    </row>
    <row r="74">
      <c r="A74" s="56" t="inlineStr">
        <is>
          <t>3</t>
        </is>
      </c>
      <c r="B74" s="56" t="inlineStr">
        <is>
          <t>Canal de riego</t>
        </is>
      </c>
      <c r="C74" s="61" t="n">
        <v>642184</v>
      </c>
      <c r="D74" s="61" t="n">
        <v>9410274</v>
      </c>
      <c r="E74" s="56" t="inlineStr"/>
      <c r="F74" s="56" t="inlineStr"/>
      <c r="G74" s="56" t="n"/>
      <c r="H74" s="56" t="inlineStr">
        <is>
          <t>Canal de conduccion que bordea el limite occidental del bloque y abastece las parcelas del sector Nueva Esperanza. Registrado en los fotogramas DJI_0666 y DJI_0720. Distancia exacta al limite POR VERIFICAR.</t>
        </is>
      </c>
    </row>
    <row r="75">
      <c r="A75" s="57" t="inlineStr">
        <is>
          <t>4</t>
        </is>
      </c>
      <c r="B75" s="57" t="inlineStr">
        <is>
          <t>Río</t>
        </is>
      </c>
      <c r="C75" s="63" t="n">
        <v>642014</v>
      </c>
      <c r="D75" s="63" t="n">
        <v>9410696</v>
      </c>
      <c r="E75" s="57" t="inlineStr"/>
      <c r="F75" s="57" t="inlineStr"/>
      <c r="G75" s="57" t="n"/>
      <c r="H75" s="57" t="inlineStr">
        <is>
          <t>Curso principal con puente y captacion, al oeste del ambito, registrado en el fotograma DJI_0705. Identificacion del cauce (rio Bigote o tributario) y distancia al bloque POR VERIFICAR.</t>
        </is>
      </c>
    </row>
    <row r="78">
      <c r="A78" s="54" t="inlineStr">
        <is>
          <t>OBSERVACIONES DEL EVALUADOR POR FICHA</t>
        </is>
      </c>
    </row>
    <row r="79">
      <c r="A79" s="55" t="inlineStr">
        <is>
          <t>Ficha</t>
        </is>
      </c>
      <c r="B79" s="55" t="inlineStr">
        <is>
          <t>Observación registrada en campo</t>
        </is>
      </c>
    </row>
    <row r="80">
      <c r="A80" s="56" t="inlineStr">
        <is>
          <t>F-DT-01</t>
        </is>
      </c>
      <c r="B80" s="56" t="inlineStr">
        <is>
          <t>ALCANCE DE LA EVIDENCIA. El bloque 86 NO cuenta con fichas F-DT-01 a F-DT-05 levantadas en campo. La informacion consignada procede de: (i) levantamiento fotogrametrico con RPA (dron) del 14-08-2026, 13 fotogramas cenitales georreferenciados por EXIF sobre el ambito de los bloques 85-87; (ii) cartografia tematica NDVI mediana 2025 y MSAVI 2024 (Sentinel-2); (iii) imagen Google Earth / Airbus del 09-11-2023 y perfil de elevacion sobre transecto oeste-este de 607 m. Ningun campo ha sido estimado sin sustento documental. BLOQUE FUERA DEL CATALOGO MAESTRO. El bloque 86 no figura en la tabla auxiliar 'Bloques V4' (127 registros) ni en el catalogo Bloques V5. Solo aparece en el REPORTE_BLOQUES_V6 y en la capa cartografica rotulada 'Bloques extras'. Para habilitar los VLOOKUP se anadio un registro con centroide obtenido por restitucion cartografica (E 642 380 / N 9 410 190, aproximado +/- 25 m). NO se ha modificado ninguna fuente primaria. PENDIENTE Y ALTITUD. El transecto oeste-este de 607 m (Google Earth) registra cotas de 245 - 287 - 314 msnm, pendiente media 17.8% en el ascenso y -15.0% en el descenso, con maximas de 30.5% y -34.2%. De alli la clase '15-25%'. POR VERIFICAR mediante estadistica zonal del DEM. EXPOSICION MIXTA. El bloque abarca ambos flancos de una lomada; se consigna 'Oeste' por ser el flanco de mayor superficie y el que enfrenta al centro poblado, pero el analisis de aspecto del DEM debera confirmarlo. CAMPOS EN BLANCO: hora exacta de cada fotograma; altitud GPS de terreno (el EXIF registra la cota de la aeronave, 393 msnm); comunidad campesina.</t>
        </is>
      </c>
    </row>
    <row r="81">
      <c r="A81" s="57" t="inlineStr">
        <is>
          <t>F-DT-02</t>
        </is>
      </c>
      <c r="B81" s="57" t="inlineStr">
        <is>
          <t>SUSTENTO DE LA CALIFICACION. El nivel 'Moderada (surcos)' se deriva de fotointerpretacion de la ortofoto RPA del 14-08-2026. Evidencias: (i) huellas de ganado paralelas a la curva de nivel en los tercios medio y alto de la lomada, con densidad menor que en el bloque 85; (ii) parches de suelo desnudo de contorno neto en el flanco occidental, coincidentes con la clase 'Tierra desnuda' del NDVI 2025; (iii) pedregosidad superficial y afloramientos rocosos alineados en el sector meridional; (iv) conservacion de una franja ribereña continua en el flanco oriental, que actua como control de la erosion remontante. EROSION LAMINAR 55%. Cifra estimada por fotointerpretacion. El bloque 86 presenta condiciones sensiblemente mejores que los bloques 85 y 87 contiguos: la clasificacion NDVI mediana 2025 arroja solo 22.1% de 'Tierra desnuda' frente al 59.5% del bloque 85. INVENTARIO DE CARCAVAS NO EJECUTADO. Las filas 22-31 se dejan vacias por no existir levantamiento de campo. La ausencia de registro NO equivale a ausencia del proceso. PRIORIDAD DE VERIFICACION: (a) recorrido del cauce del flanco oriental para descartar socavamiento de margenes; (b) transectos en el flanco occidental sobre los parches de suelo desnudo; (c) calicata en el tercio medio de la ladera.</t>
        </is>
      </c>
    </row>
    <row r="82">
      <c r="A82" s="56" t="inlineStr">
        <is>
          <t>F-DT-03</t>
        </is>
      </c>
      <c r="B82" s="56" t="inlineStr">
        <is>
          <t>ESTADO RELATIVO. Con un MSAVI 2024 de 0.2735 el bloque 86 se situa entre los mas bajos del proyecto (media 0.4909), pero es el mejor conservado del conglomerado 83-87. La clasificacion NDVI mediana 2025 sobre el poligono arroja: Tierra desnuda 22.1%, Vegetacion ligera 68.2%, Vegetacion mediana 8.7%, Vegetacion alta 1.0%. Los nucleos de vegetacion mediana y alta se concentran en el flanco oriental, asociados a la quebrada, y constituyen el principal activo ecologico del conjunto: deben tratarse como area de conservacion y fuente de propagulos, no como area a intervenir. ORIGEN DE LA LISTA FLORISTICA. Las 12 especies corresponden a la relacion de especies representativas comunicada por la Subdireccion para el ambito de los bloques 85-87 (microcuenca C1081-Q9583), homologa a la registrada para el bloque 87 contiguo. NO proceden de un muestreo por parcela: no se consignan abundancia relativa, DAP ni altura, por carecer de transectos. Las determinaciones son PRELIMINARES y estan sujetas a colecta y determinacion botanica formal. El estrato indicado corresponde al habito tipico de cada especie en bosque estacionalmente seco, no al estrato en que fue efectivamente registrada. CATEGORIAS DE AMENAZA. Se consignan unicamente las cinco categorias con precedente establecido en el proyecto (Hualtaco CR, Sapote CR, Palo santo CR, Algarrobo VU, Faique NT). Ceibo, Pasallo, Charan y Frijolillo quedan SIN CATEGORIA por no haberse podido verificar su condicion bajo el D.S. 043-2006-AG. COORDENADAS DE ESPECIES CLAVE EN BLANCO. No se georreferencio ningun individuo: la resolucion de la ortofoto no permite determinacion taxonomica y no hubo recorrido de campo. COBERTURAS. Los porcentajes son estimaciones por fotointerpretacion de ortofoto RPA de agosto 2026 y de la clasificacion NDVI 2025; no son mediciones de campo. Suman 100%. CAUTELA ESTACIONAL MSAVI. El Bes-cm es caducifolio: las escenas Sentinel-2 obtenidas fuera de la estacion humeda (enero-abril) subestiman de forma sistematica la cobertura lenosa real, por lo que valores bajos de MSAVI no implican necesariamente degradacion. En este ambito, sin embargo, la ortofoto RPA del 14-08-2026 corrobora de forma independiente una cobertura lenosa muy baja, por lo que los valores no se consideran un artefacto estacional. CLASIFICACION DEL ECOSISTEMA. La asignacion Bes-cm se sustenta en la composicion floristica, el rango altitudinal (245-360 msnm) y la morfologia de lomada de piedemonte. POR VERIFICAR mediante interseccion con el Mapa Nacional de Ecosistemas del MINAM; el contacto con el Bes de llanura del valle del rio Bigote es proximo. CAMPOS EN BLANCO: parcela de muestreo y dimensiones; pendiente de parcela; altitud; coordenadas de esquina; altura del estrato dominante; altura maxima; DAP promedio.</t>
        </is>
      </c>
    </row>
    <row r="83">
      <c r="A83" s="57" t="inlineStr">
        <is>
          <t>F-DT-04</t>
        </is>
      </c>
      <c r="B83" s="57" t="inlineStr">
        <is>
          <t>VELOCIDAD DE DEGRADACION EN BLANCO. No se dispone de la serie temporal Theil-Sen (TAU) ni de MSAVI multianual para el bloque 86. La comparacion entre el NDVI mediana 2025 y el MSAVI 2024 no permite inferir tendencia. INDICADORES SIN VALOR. Densidad de carcavas, especies invasoras, carga ganadera, frecuencia de quemas y porcentaje de area con pendiente &gt; 50% quedan POR VERIFICAR. DISTANCIA A VIA VECINAL. El valor de 300 m procede de restitucion cartografica sobre el mapa NDVI 2025 y es aproximado; existe ademas una trocha carrozable de acceso mas proxima, no medida. CAUSAS NO EVALUADAS. Tala para lena, carbon y madera; quemas; mineria informal; extraccion de aridos; especies invasoras; plagas forestales. CONGLOMERADO DE BLOQUES DEGRADADOS. Los bloques 83 a 87 (San Juan de Bigote, microcuenca C1081-Q9583) presentan los MSAVI mas bajos del proyecto: 0.3055, 0.2516, 0.2289, 0.2735 y 0.2487. Se recomienda tratarlos como una unidad de manejo continua.</t>
        </is>
      </c>
    </row>
    <row r="84">
      <c r="A84" s="56" t="inlineStr">
        <is>
          <t>F-DT-05</t>
        </is>
      </c>
      <c r="B84" s="56" t="inlineStr">
        <is>
          <t>RECURSOS HIDRICOS. El inventario NO fue levantado en campo: las cuatro entradas proceden de la interpretacion de la ortofoto RPA del 14-08-2026 y sus coordenadas corresponden al centro del fotograma, no al punto de la fuente. Regimen, calidad, caudal y distancias quedan POR VERIFICAR. HALLAZGO RELEVANTE. La presencia de agua superficial en el cauce oriental durante el estiaje de agosto es un dato de valor para el diseno de las MRR-CCC (viveros, riego de establecimiento de plantones) y para el balance hidrico del bloque. Requiere confirmacion prioritaria. ZONAS DE HUMEDAD PERSISTENTE. Se consigna 'Si' por la franja riberena de vegetacion permanentemente verde asociada al cauce oriental, visible tanto en la ortofoto de agosto como en la clase 'Vegetacion alta' del NDVI 2025. INTERFERENCIA CON RIEGO. Se consigna 'Si' por la contiguidad del canal de conduccion con el limite occidental del poligono; cualquier obra de infraestructura verde en ese borde debera coordinarse con la organizacion de usuarios. CAMPOS EN BLANCO: transitabilidad en epoca lluviosa; tiempos de viaje; senal celular y operador; alojamiento rural; autorizacion y contacto de Ronda Campesina; distancia a captacion poblacional; JASS asociada.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86</t>
        </is>
      </c>
    </row>
    <row r="7">
      <c r="A7" s="54" t="inlineStr">
        <is>
          <t>Hechos declarados por fuente</t>
        </is>
      </c>
    </row>
    <row r="8">
      <c r="A8" s="55" t="inlineStr">
        <is>
          <t>Fuente</t>
        </is>
      </c>
      <c r="B8" s="55" t="inlineStr">
        <is>
          <t>Hechos</t>
        </is>
      </c>
    </row>
    <row r="9">
      <c r="A9" s="56" t="inlineStr">
        <is>
          <t>Dato de campo</t>
        </is>
      </c>
      <c r="B9" s="56" t="n">
        <v>51</v>
      </c>
    </row>
    <row r="10">
      <c r="A10" s="57" t="inlineStr">
        <is>
          <t>Gabinete (GIS / teledetección)</t>
        </is>
      </c>
      <c r="B10" s="57" t="n">
        <v>28</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88</v>
      </c>
    </row>
    <row r="29">
      <c r="A29" s="57" t="inlineStr">
        <is>
          <t>COMPLEMENTADO</t>
        </is>
      </c>
      <c r="B29" s="57" t="n">
        <v>5</v>
      </c>
    </row>
    <row r="30">
      <c r="A30" s="56" t="inlineStr">
        <is>
          <t>ACTUALIZADO</t>
        </is>
      </c>
      <c r="B30" s="56" t="n">
        <v>0</v>
      </c>
    </row>
    <row r="31">
      <c r="A31" s="57" t="inlineStr">
        <is>
          <t>DISCREPANTE</t>
        </is>
      </c>
      <c r="B31" s="57" t="n">
        <v>0</v>
      </c>
    </row>
    <row r="32">
      <c r="A32" s="56" t="inlineStr">
        <is>
          <t>PENDIENTE</t>
        </is>
      </c>
      <c r="B32" s="56" t="n">
        <v>21</v>
      </c>
    </row>
    <row r="45">
      <c r="A45" s="54" t="inlineStr">
        <is>
          <t>Cobertura por estrato — campo (%)</t>
        </is>
      </c>
    </row>
    <row r="46">
      <c r="A46" s="55" t="inlineStr">
        <is>
          <t>Estrato</t>
        </is>
      </c>
      <c r="B46" s="55" t="inlineStr">
        <is>
          <t>% del área</t>
        </is>
      </c>
    </row>
    <row r="47">
      <c r="A47" s="56" t="inlineStr">
        <is>
          <t>Dosel</t>
        </is>
      </c>
      <c r="B47" s="61" t="n">
        <v>12</v>
      </c>
    </row>
    <row r="48">
      <c r="A48" s="57" t="inlineStr">
        <is>
          <t>Arbustiva</t>
        </is>
      </c>
      <c r="B48" s="64" t="n">
        <v>7</v>
      </c>
    </row>
    <row r="49">
      <c r="A49" s="56" t="inlineStr">
        <is>
          <t>Herbácea</t>
        </is>
      </c>
      <c r="B49" s="62" t="n">
        <v>5</v>
      </c>
    </row>
    <row r="50">
      <c r="A50" s="57" t="inlineStr">
        <is>
          <t>Hojarasca</t>
        </is>
      </c>
      <c r="B50" s="63" t="n">
        <v>26</v>
      </c>
    </row>
    <row r="51">
      <c r="A51" s="56" t="inlineStr">
        <is>
          <t>Suelo desnudo</t>
        </is>
      </c>
      <c r="B51" s="61" t="n">
        <v>50</v>
      </c>
    </row>
    <row r="64">
      <c r="A64" s="54" t="inlineStr">
        <is>
          <t>Causas activas de degradación (F-DT-04)</t>
        </is>
      </c>
    </row>
    <row r="65">
      <c r="A65" s="55" t="inlineStr">
        <is>
          <t>Causa</t>
        </is>
      </c>
      <c r="B65" s="55" t="inlineStr">
        <is>
          <t>Intensidad (1 ligera - 4 muy fuerte)</t>
        </is>
      </c>
    </row>
    <row r="66">
      <c r="A66" s="56" t="inlineStr">
        <is>
          <t>Sobrepastoreo (caprino/vacuno)</t>
        </is>
      </c>
      <c r="B66" s="56" t="n">
        <v>3</v>
      </c>
    </row>
    <row r="67">
      <c r="A67" s="57" t="inlineStr">
        <is>
          <t>Cambio de uso a agricultura</t>
        </is>
      </c>
      <c r="B67" s="57" t="n">
        <v>1</v>
      </c>
    </row>
    <row r="68">
      <c r="A68" s="56" t="inlineStr">
        <is>
          <t>Expansión urbana / vial</t>
        </is>
      </c>
      <c r="B68" s="56" t="n">
        <v>1</v>
      </c>
    </row>
    <row r="83">
      <c r="A83" s="54" t="inlineStr">
        <is>
          <t>Control de consistencia por calificación</t>
        </is>
      </c>
    </row>
    <row r="84">
      <c r="A84" s="55" t="inlineStr">
        <is>
          <t>Calificación</t>
        </is>
      </c>
      <c r="B84" s="55" t="inlineStr">
        <is>
          <t>Verificaciones</t>
        </is>
      </c>
    </row>
    <row r="85">
      <c r="A85" s="56" t="inlineStr">
        <is>
          <t>SUSTANTIVA</t>
        </is>
      </c>
      <c r="B85" s="56" t="n">
        <v>7</v>
      </c>
    </row>
    <row r="86">
      <c r="A86" s="57" t="inlineStr">
        <is>
          <t>NO SUSTANTIVA</t>
        </is>
      </c>
      <c r="B86" s="57" t="n">
        <v>5</v>
      </c>
    </row>
    <row r="87">
      <c r="A87" s="56" t="inlineStr">
        <is>
          <t>CORREGIDO</t>
        </is>
      </c>
      <c r="B87" s="56" t="n">
        <v>0</v>
      </c>
    </row>
    <row r="88">
      <c r="A88" s="57" t="inlineStr">
        <is>
          <t>CONFORME</t>
        </is>
      </c>
      <c r="B88" s="57" t="n">
        <v>9</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86 — IN Piura</dc:title>
  <dc:subject>Diagnóstico Territorial por bloque de intervención</dc:subject>
  <dcterms:created xsi:type="dcterms:W3CDTF">2026-09-08T03:40:00Z</dcterms:created>
  <dcterms:modified xsi:type="dcterms:W3CDTF">2026-09-11T21:26:32Z</dcterms:modified>
</cp:coreProperties>
</file>