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integración'!$A$53:$A$56</f>
            </numRef>
          </cat>
          <val>
            <numRef>
              <f>'Gráficos de integración'!$B$53:$B$56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integración'!B74</f>
            </strRef>
          </tx>
          <spPr>
            <a:ln>
              <a:prstDash val="solid"/>
            </a:ln>
          </spPr>
          <cat>
            <numRef>
              <f>'Gráficos de integración'!$A$75:$A$78</f>
            </numRef>
          </cat>
          <val>
            <numRef>
              <f>'Gráficos de integración'!$B$75:$B$78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integración'!B96</f>
            </strRef>
          </tx>
          <spPr>
            <a:ln>
              <a:prstDash val="solid"/>
            </a:ln>
          </spPr>
          <cat>
            <numRef>
              <f>'Gráficos de integración'!$A$97:$A$100</f>
            </numRef>
          </cat>
          <val>
            <numRef>
              <f>'Gráficos de integración'!$B$97:$B$100</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73</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95</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39</t>
        </is>
      </c>
    </row>
    <row r="6" ht="24" customHeight="1">
      <c r="A6" s="4" t="inlineStr">
        <is>
          <t>Diagnóstico Territorial — Plantilla DT Campo Check Validada V5 | Sistema de referencia: UTM WGS 84 Zona 17S (EPSG:32717) · Integrado con la ficha de campo F-DT vigente (Plantilla_DT_Campo_Bloque39_IN_Piura.xlsx) — V7 - resumen V6 + campo F-DT integrado</t>
        </is>
      </c>
    </row>
    <row r="7"/>
    <row r="8" ht="18" customHeight="1">
      <c r="A8" s="5" t="inlineStr">
        <is>
          <t>1. IDENTIFICACIÓN Y LOCALIZACIÓN</t>
        </is>
      </c>
    </row>
    <row r="9">
      <c r="A9" s="6" t="inlineStr">
        <is>
          <t>Código del bloque</t>
        </is>
      </c>
      <c r="B9" s="7" t="inlineStr">
        <is>
          <t>39</t>
        </is>
      </c>
      <c r="C9" s="6" t="inlineStr">
        <is>
          <t>Microcuenca (catálogo)</t>
        </is>
      </c>
      <c r="D9" s="7" t="inlineStr">
        <is>
          <t>C1096-Q9564</t>
        </is>
      </c>
      <c r="E9" s="8" t="n"/>
      <c r="F9" s="8" t="n"/>
    </row>
    <row r="10">
      <c r="A10" s="6" t="inlineStr">
        <is>
          <t>Zona de planificación</t>
        </is>
      </c>
      <c r="B10" s="7" t="inlineStr">
        <is>
          <t>Z02</t>
        </is>
      </c>
      <c r="C10" s="6" t="inlineStr">
        <is>
          <t>Microcuenca declarada en ficha DT</t>
        </is>
      </c>
      <c r="D10" s="7" t="inlineStr">
        <is>
          <t>C1096-Q9564</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La Cría</t>
        </is>
      </c>
      <c r="C13" s="6" t="inlineStr">
        <is>
          <t>Comunidad campesina</t>
        </is>
      </c>
      <c r="D13" s="7" t="inlineStr">
        <is>
          <t>Por verificar (consultar Dirección Regional Agraria Piura)</t>
        </is>
      </c>
      <c r="E13" s="8" t="n"/>
      <c r="F13" s="8" t="n"/>
    </row>
    <row r="14">
      <c r="A14" s="6" t="inlineStr">
        <is>
          <t>Superficie de catálogo (V5/V6), ha</t>
        </is>
      </c>
      <c r="B14" s="7" t="n">
        <v>68.56999999999999</v>
      </c>
      <c r="C14" s="6" t="inlineStr">
        <is>
          <t>Fuente de superficie</t>
        </is>
      </c>
      <c r="D14" s="7" t="inlineStr">
        <is>
          <t>Catálogo maestro Bloques V5/V6</t>
        </is>
      </c>
      <c r="E14" s="8" t="n"/>
      <c r="F14" s="8" t="n"/>
    </row>
    <row r="15">
      <c r="A15" s="6" t="inlineStr">
        <is>
          <t>Centroide UTM ESTE (m)</t>
        </is>
      </c>
      <c r="B15" s="7" t="n">
        <v>618523</v>
      </c>
      <c r="C15" s="6" t="inlineStr">
        <is>
          <t>Centroide UTM NORTE (m)</t>
        </is>
      </c>
      <c r="D15" s="7" t="n">
        <v>9448918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1729</v>
      </c>
      <c r="C19" s="6" t="inlineStr">
        <is>
          <t>Altitud máxima (msnm)</t>
        </is>
      </c>
      <c r="D19" s="7" t="n">
        <v>2088</v>
      </c>
      <c r="E19" s="8" t="n"/>
      <c r="F19" s="8" t="n"/>
    </row>
    <row r="20">
      <c r="A20" s="6" t="inlineStr">
        <is>
          <t>Amplitud altitudinal (m)</t>
        </is>
      </c>
      <c r="B20" s="7" t="n">
        <v>359</v>
      </c>
      <c r="C20" s="6" t="inlineStr">
        <is>
          <t>Piso altitudinal dominante</t>
        </is>
      </c>
      <c r="D20" s="7" t="inlineStr">
        <is>
          <t>1500-2000 m (Quechua media)</t>
        </is>
      </c>
      <c r="E20" s="8" t="n"/>
      <c r="F20" s="8" t="n"/>
    </row>
    <row r="21">
      <c r="A21" s="6" t="inlineStr">
        <is>
          <t>Pendiente promedio (%)</t>
        </is>
      </c>
      <c r="B21" s="7" t="n">
        <v>22.51</v>
      </c>
      <c r="C21" s="6" t="inlineStr">
        <is>
          <t>Pendiente promedio (grados)</t>
        </is>
      </c>
      <c r="D21" s="7" t="n">
        <v>12.7</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50" t="inlineStr">
        <is>
          <t>En blanco (no observable desde estación externa)</t>
        </is>
      </c>
      <c r="C25" s="6" t="inlineStr">
        <is>
          <t>Remociones en masa activas</t>
        </is>
      </c>
      <c r="D25" s="50" t="inlineStr">
        <is>
          <t>En blanco</t>
        </is>
      </c>
      <c r="E25" s="8" t="n"/>
      <c r="F25" s="8" t="n"/>
    </row>
    <row r="26"/>
    <row r="27" ht="18" customHeight="1">
      <c r="A27" s="5" t="inlineStr">
        <is>
          <t>3. ÍNDICES DE VEGETACIÓN (SENTINEL-2)</t>
        </is>
      </c>
    </row>
    <row r="28">
      <c r="A28" s="6" t="inlineStr">
        <is>
          <t>MSAVI 2024 — media del bloque</t>
        </is>
      </c>
      <c r="B28" s="7" t="n">
        <v>0.7016</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(94.05 %)</t>
        </is>
      </c>
      <c r="E29" s="8" t="n"/>
      <c r="F29" s="8" t="n"/>
    </row>
    <row r="30">
      <c r="A30" s="6" t="inlineStr">
        <is>
          <t>Superficie clasificada NDVI 2025 (ha)</t>
        </is>
      </c>
      <c r="B30" s="7" t="n">
        <v>68.59999999999999</v>
      </c>
      <c r="C30" s="6" t="inlineStr">
        <is>
          <t>Desviación frente al catálogo (%)</t>
        </is>
      </c>
      <c r="D30" s="7" t="n">
        <v>0.04</v>
      </c>
      <c r="E30" s="8" t="n"/>
      <c r="F30" s="8" t="n"/>
    </row>
    <row r="31">
      <c r="A31" s="6" t="inlineStr">
        <is>
          <t>Superficie clasificada MSAVI 2024 (ha)</t>
        </is>
      </c>
      <c r="B31" s="38" t="n">
        <v>68.569</v>
      </c>
      <c r="C31" s="6" t="inlineStr">
        <is>
          <t>Desviación MSAVI frente al catálogo (%)</t>
        </is>
      </c>
      <c r="D31" s="39" t="n">
        <v>0</v>
      </c>
      <c r="E31" s="8" t="n"/>
      <c r="F31" s="8" t="n"/>
    </row>
    <row r="32">
      <c r="A32" s="6" t="inlineStr">
        <is>
          <t>Superficie bajo umbral MSAVI 0.4976 (ha)</t>
        </is>
      </c>
      <c r="B32" s="38" t="n">
        <v>2.636</v>
      </c>
      <c r="C32" s="6" t="inlineStr">
        <is>
          <t>% del bloque bajo umbral (brecha espectral)</t>
        </is>
      </c>
      <c r="D32" s="39" t="n">
        <v>3.84</v>
      </c>
      <c r="E32" s="8" t="n"/>
      <c r="F32" s="8" t="n"/>
    </row>
    <row r="33">
      <c r="A33" s="6" t="inlineStr">
        <is>
          <t>Clase DN dominante (MSAVI 2024)</t>
        </is>
      </c>
      <c r="B33" s="7" t="inlineStr">
        <is>
          <t>DN 5 · &gt; 0.6139 (Vigor alto)</t>
        </is>
      </c>
      <c r="C33" s="6" t="inlineStr">
        <is>
          <t>N.° de polígonos MSAVI del bloque</t>
        </is>
      </c>
      <c r="D33" s="40" t="n">
        <v>184</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68.57 ha</t>
        </is>
      </c>
      <c r="E36" s="8" t="n"/>
      <c r="F36" s="8" t="n"/>
    </row>
    <row r="37">
      <c r="A37" s="6" t="inlineStr">
        <is>
          <t>Estado de conservación</t>
        </is>
      </c>
      <c r="B37" s="7" t="inlineStr">
        <is>
          <t>Levemente alterado</t>
        </is>
      </c>
      <c r="C37" s="6" t="inlineStr">
        <is>
          <t>Uso actual dominante del suelo</t>
        </is>
      </c>
      <c r="D37" s="7" t="inlineStr">
        <is>
          <t>Forestal protección</t>
        </is>
      </c>
      <c r="E37" s="8" t="n"/>
      <c r="F37" s="8" t="n"/>
    </row>
    <row r="38">
      <c r="A38" s="6" t="inlineStr">
        <is>
          <t>Tipo de cobertura dominante</t>
        </is>
      </c>
      <c r="B38" s="7" t="inlineStr">
        <is>
          <t>Bosque denso (&gt;70%)</t>
        </is>
      </c>
      <c r="C38" s="6" t="inlineStr">
        <is>
          <t>Cobertura vegetal total — campo (%)</t>
        </is>
      </c>
      <c r="D38" s="7" t="n">
        <v>90</v>
      </c>
      <c r="E38" s="8" t="n"/>
      <c r="F38" s="8" t="n"/>
    </row>
    <row r="39">
      <c r="A39" s="6" t="inlineStr">
        <is>
          <t>Suelo desnudo — campo (%)</t>
        </is>
      </c>
      <c r="B39" s="7" t="n">
        <v>3</v>
      </c>
      <c r="C39" s="6" t="inlineStr">
        <is>
          <t>Regeneración natural</t>
        </is>
      </c>
      <c r="D39" s="50" t="inlineStr">
        <is>
          <t>En blanco (no observable desde estación externa)</t>
        </is>
      </c>
      <c r="E39" s="8" t="n"/>
      <c r="F39" s="8" t="n"/>
    </row>
    <row r="40">
      <c r="A40" s="6" t="inlineStr">
        <is>
          <t>Nivel general de erosión</t>
        </is>
      </c>
      <c r="B40" s="7" t="inlineStr">
        <is>
          <t>Ligera (laminar)</t>
        </is>
      </c>
      <c r="C40" s="6" t="inlineStr">
        <is>
          <t>N.° de cárcavas registradas</t>
        </is>
      </c>
      <c r="D40" s="7" t="inlineStr">
        <is>
          <t>No inventariado</t>
        </is>
      </c>
      <c r="E40" s="8" t="n"/>
      <c r="F40" s="8" t="n"/>
    </row>
    <row r="41">
      <c r="A41" s="6" t="inlineStr">
        <is>
          <t>Elenco florístico (n.° de taxones)</t>
        </is>
      </c>
      <c r="B41" s="50" t="inlineStr">
        <is>
          <t>15</t>
        </is>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 (ANIN / DIME – SESDI)</t>
        </is>
      </c>
      <c r="C44" s="6" t="inlineStr">
        <is>
          <t>Fecha de evaluación</t>
        </is>
      </c>
      <c r="D44" s="7" t="inlineStr">
        <is>
          <t>2026-06-24</t>
        </is>
      </c>
      <c r="E44" s="8" t="n"/>
      <c r="F44" s="8" t="n"/>
    </row>
    <row r="45">
      <c r="A45" s="6" t="inlineStr">
        <is>
          <t>Hora de registro</t>
        </is>
      </c>
      <c r="B45" s="7" t="inlineStr">
        <is>
          <t>11:49 h (24-06) · 15:39-16:42 h (04-09)</t>
        </is>
      </c>
      <c r="C45" s="6" t="inlineStr">
        <is>
          <t>Correlativo de ficha</t>
        </is>
      </c>
      <c r="D45" s="7" t="inlineStr">
        <is>
          <t>F-DT-01 / B39-2026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 levantamiento externo</t>
        </is>
      </c>
      <c r="E47" s="8" t="n"/>
      <c r="F47" s="8" t="n"/>
    </row>
    <row r="48">
      <c r="A48" s="6" t="inlineStr">
        <is>
          <t>Estaciones fotográficas georreferenciadas</t>
        </is>
      </c>
      <c r="B48" s="7" t="n">
        <v>14</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Expansión de la frontera agropecuaria familiar desde el C.P. La Cría hacia la cabecera de microcuenca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39</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56.4189</v>
      </c>
      <c r="C10" s="31">
        <f>ROUND(B10/$B$15*100,2)</f>
        <v/>
      </c>
      <c r="D10" s="12" t="inlineStr">
        <is>
          <t>Vigor alto</t>
        </is>
      </c>
      <c r="E10" s="12" t="inlineStr">
        <is>
          <t>Sobre umbral</t>
        </is>
      </c>
    </row>
    <row r="11">
      <c r="A11" s="13" t="inlineStr">
        <is>
          <t>0.4976 - 0.6139 · DN 4</t>
        </is>
      </c>
      <c r="B11" s="20" t="n">
        <v>9.5146</v>
      </c>
      <c r="C11" s="21">
        <f>ROUND(B11/$B$15*100,2)</f>
        <v/>
      </c>
      <c r="D11" s="14" t="inlineStr">
        <is>
          <t>Vigor moderado</t>
        </is>
      </c>
      <c r="E11" s="14" t="inlineStr">
        <is>
          <t>Sobre umbral</t>
        </is>
      </c>
    </row>
    <row r="12">
      <c r="A12" s="7" t="inlineStr">
        <is>
          <t>0.3813 - 0.4976 · DN 3</t>
        </is>
      </c>
      <c r="B12" s="18" t="n">
        <v>2.6356</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184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68.56999999999999</v>
      </c>
      <c r="C18" s="49" t="inlineStr">
        <is>
          <t>—</t>
        </is>
      </c>
      <c r="D18" s="46" t="inlineStr">
        <is>
          <t>Desviación planimétrica frente al catálogo</t>
        </is>
      </c>
      <c r="E18" s="46" t="inlineStr">
        <is>
          <t>+0.00 %</t>
        </is>
      </c>
    </row>
    <row r="19">
      <c r="A19" s="16" t="inlineStr">
        <is>
          <t>MSAVI 2024 — MEDIA DEL BLOQUE</t>
        </is>
      </c>
      <c r="B19" s="17" t="n">
        <v>0.701601</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184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(0.7016)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64.5172</v>
      </c>
      <c r="C25" s="19" t="n">
        <v>94.05</v>
      </c>
      <c r="D25" s="15" t="inlineStr">
        <is>
          <t>Dosel continuo, matorral denso o mosaico agroforestal</t>
        </is>
      </c>
      <c r="E25" s="15" t="inlineStr"/>
    </row>
    <row r="26">
      <c r="A26" s="13" t="inlineStr">
        <is>
          <t>Vegetación mediana</t>
        </is>
      </c>
      <c r="B26" s="20" t="n">
        <v>4.0607</v>
      </c>
      <c r="C26" s="21" t="n">
        <v>5.92</v>
      </c>
      <c r="D26" s="14" t="inlineStr">
        <is>
          <t>Pastizal cultivado, matorral ralo, parcelas agrícolas</t>
        </is>
      </c>
      <c r="E26" s="14" t="inlineStr"/>
    </row>
    <row r="27">
      <c r="A27" s="7" t="inlineStr">
        <is>
          <t>Vegetación ligera</t>
        </is>
      </c>
      <c r="B27" s="18" t="n">
        <v>0.0222</v>
      </c>
      <c r="C27" s="19" t="n">
        <v>0.03</v>
      </c>
      <c r="D27" s="15" t="inlineStr">
        <is>
          <t>Cobertura discontinua, suelo parcialmente expuesto</t>
        </is>
      </c>
      <c r="E27" s="15" t="inlineStr"/>
    </row>
    <row r="28">
      <c r="A28" s="16" t="inlineStr">
        <is>
          <t>TOTAL CLASIFICADO</t>
        </is>
      </c>
      <c r="B28" s="22">
        <f>SUM(B25:B27)</f>
        <v/>
      </c>
      <c r="C28" s="23">
        <f>SUM(C25:C27)</f>
        <v/>
      </c>
      <c r="D28" s="17" t="inlineStr"/>
      <c r="E28" s="17" t="inlineStr"/>
    </row>
    <row r="29">
      <c r="A29" s="24" t="inlineStr">
        <is>
          <t>Superficie de catálogo (V5/V6)</t>
        </is>
      </c>
      <c r="B29" s="25" t="n">
        <v>68.56999999999999</v>
      </c>
      <c r="C29" s="25" t="inlineStr">
        <is>
          <t>—</t>
        </is>
      </c>
      <c r="D29" s="25" t="inlineStr">
        <is>
          <t>Desviación planimétrica frente al catálogo</t>
        </is>
      </c>
      <c r="E29" s="25" t="inlineStr">
        <is>
          <t>+0.04 %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94.05 % del polígono clasificado como «Vegetación alta» por el NDVI 2025; la observación de campo corresponde a una parcela o recorrido puntual y no es estadísticamente representativa de las 68.570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39</t>
        </is>
      </c>
    </row>
    <row r="6" ht="24" customHeight="1">
      <c r="A6" s="4" t="inlineStr">
        <is>
          <t>Levantamiento del 2026-06-24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619274</v>
      </c>
      <c r="D10" s="26" t="n">
        <v>9449187</v>
      </c>
      <c r="E10" s="15" t="n">
        <v>797.7</v>
      </c>
      <c r="F10" s="15" t="inlineStr"/>
      <c r="G10" s="15" t="inlineStr">
        <is>
          <t>Coordenada consignada en F-DT-01</t>
        </is>
      </c>
    </row>
    <row r="11">
      <c r="A11" s="13" t="inlineStr">
        <is>
          <t>E-01</t>
        </is>
      </c>
      <c r="B11" s="14" t="inlineStr">
        <is>
          <t>Rasgo erosivo — Cárcava somera (externa al polígono)</t>
        </is>
      </c>
      <c r="C11" s="27" t="n">
        <v>619281</v>
      </c>
      <c r="D11" s="27" t="n">
        <v>9449192</v>
      </c>
      <c r="E11" s="14" t="n">
        <v>806</v>
      </c>
      <c r="F11" s="14" t="inlineStr">
        <is>
          <t>Activa</t>
        </is>
      </c>
      <c r="G11" s="14" t="inlineStr">
        <is>
          <t>Caminos / huellas de ganado</t>
        </is>
      </c>
    </row>
    <row r="12">
      <c r="A12" s="7" t="inlineStr">
        <is>
          <t>E-02</t>
        </is>
      </c>
      <c r="B12" s="15" t="inlineStr">
        <is>
          <t>Rasgo erosivo — Cárcava somera (externa al polígono)</t>
        </is>
      </c>
      <c r="C12" s="26" t="n">
        <v>619265</v>
      </c>
      <c r="D12" s="26" t="n">
        <v>9449198</v>
      </c>
      <c r="E12" s="15" t="n">
        <v>793.1</v>
      </c>
      <c r="F12" s="15" t="inlineStr">
        <is>
          <t>Activa</t>
        </is>
      </c>
      <c r="G12" s="15" t="inlineStr">
        <is>
          <t>Concentración natural de escorrentía</t>
        </is>
      </c>
    </row>
    <row r="13">
      <c r="A13" s="13" t="inlineStr">
        <is>
          <t>H-01</t>
        </is>
      </c>
      <c r="B13" s="14" t="inlineStr">
        <is>
          <t>Fuente de agua — Otro (caja de captación)</t>
        </is>
      </c>
      <c r="C13" s="27" t="n">
        <v>619278</v>
      </c>
      <c r="D13" s="27" t="n">
        <v>9449154</v>
      </c>
      <c r="E13" s="14" t="n">
        <v>791</v>
      </c>
      <c r="F13" s="14" t="inlineStr"/>
      <c r="G13" s="14" t="inlineStr">
        <is>
          <t>Captación poblacional en servicio</t>
        </is>
      </c>
    </row>
    <row r="14">
      <c r="A14" s="7" t="inlineStr">
        <is>
          <t>H-02</t>
        </is>
      </c>
      <c r="B14" s="15" t="inlineStr">
        <is>
          <t>Fuente de agua — Otro</t>
        </is>
      </c>
      <c r="C14" s="26" t="inlineStr"/>
      <c r="D14" s="26" t="inlineStr"/>
      <c r="E14" s="15" t="inlineStr"/>
      <c r="F14" s="15" t="inlineStr"/>
      <c r="G14" s="15" t="inlineStr">
        <is>
          <t>Curso de agua que delimita el bloque</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618523</v>
      </c>
      <c r="C17" s="6" t="inlineStr">
        <is>
          <t>Centroide del bloque — UTM NORTE (m)</t>
        </is>
      </c>
      <c r="D17" s="7" t="n">
        <v>9448918</v>
      </c>
      <c r="E17" s="8" t="n"/>
      <c r="F17" s="8" t="n"/>
      <c r="G17" s="8" t="n"/>
      <c r="H17" s="8" t="n"/>
    </row>
    <row r="18">
      <c r="A18" s="6" t="inlineStr">
        <is>
          <t>N.° de estaciones fotográficas declaradas</t>
        </is>
      </c>
      <c r="B18" s="7" t="n">
        <v>14</v>
      </c>
      <c r="C18" s="6" t="inlineStr">
        <is>
          <t>Estaciones dentro del polígono</t>
        </is>
      </c>
      <c r="D18" s="7" t="n">
        <v>0</v>
      </c>
      <c r="E18" s="8" t="n"/>
      <c r="F18" s="8" t="n"/>
      <c r="G18" s="8" t="n"/>
      <c r="H18" s="8" t="n"/>
    </row>
    <row r="20" ht="132"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MODALIDAD DE VERIFICACIÓN EXTERNA. NINGUNA de las 14 estaciones fotográficas se localiza dentro del polígono: 13 tomas se concentran en el C.P. La Cría, entre 419 y 458 m al este del límite y a 780-817 m del centroide; la restante a 729 m al NNO. La completitud del levantamiento interno es NULA (0%). Escarpes activos, reptación, deslizamientos y remociones se dejan EN BLANCO —no «No»— porque no son observables desde estaciones externas y un «No» afirmaría una ausencia verificada que este levantamiento no sostiene. Superficie planimétrica medida ≈67.56 ha (−1.5% frente al catálogo).</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C1096-Q9564 — BLOQUE 39</t>
        </is>
      </c>
    </row>
    <row r="6" ht="24" customHeight="1">
      <c r="A6" s="4" t="inlineStr">
        <is>
          <t>Distrito de Frias · Provincia de Ayabaca · Comparación de los bloques preliminares de intervención de la misma microcuenca</t>
        </is>
      </c>
    </row>
    <row r="8" ht="18" customHeight="1">
      <c r="A8" s="5" t="inlineStr">
        <is>
          <t>BLOQUES DE LA MICROCUENCA C1096-Q9564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13</t>
        </is>
      </c>
      <c r="B10" s="28" t="n">
        <v>100.51</v>
      </c>
      <c r="C10" s="19" t="n">
        <v>40.73</v>
      </c>
      <c r="D10" s="15" t="inlineStr">
        <is>
          <t>1649 – 2267</t>
        </is>
      </c>
      <c r="E10" s="15" t="n">
        <v>618</v>
      </c>
      <c r="F10" s="15" t="n">
        <v>28.99</v>
      </c>
      <c r="G10" s="18" t="n">
        <v>0.6711</v>
      </c>
      <c r="H10" s="19" t="n">
        <v>89.59</v>
      </c>
      <c r="I10" s="19" t="n">
        <v>5.21</v>
      </c>
    </row>
    <row r="11">
      <c r="A11" s="13" t="inlineStr">
        <is>
          <t>56</t>
        </is>
      </c>
      <c r="B11" s="29" t="n">
        <v>77.67</v>
      </c>
      <c r="C11" s="21" t="n">
        <v>31.48</v>
      </c>
      <c r="D11" s="14" t="inlineStr">
        <is>
          <t>2342 – 2770</t>
        </is>
      </c>
      <c r="E11" s="14" t="n">
        <v>428</v>
      </c>
      <c r="F11" s="14" t="n">
        <v>27.27</v>
      </c>
      <c r="G11" s="20" t="n">
        <v>0.6777</v>
      </c>
      <c r="H11" s="21" t="n">
        <v>94.90000000000001</v>
      </c>
      <c r="I11" s="21" t="n">
        <v>2.8</v>
      </c>
    </row>
    <row r="12">
      <c r="A12" s="11" t="inlineStr">
        <is>
          <t>► 39</t>
        </is>
      </c>
      <c r="B12" s="30" t="n">
        <v>68.56999999999999</v>
      </c>
      <c r="C12" s="31" t="n">
        <v>27.79</v>
      </c>
      <c r="D12" s="12" t="inlineStr">
        <is>
          <t>1729 – 2088</t>
        </is>
      </c>
      <c r="E12" s="12" t="n">
        <v>359</v>
      </c>
      <c r="F12" s="12" t="n">
        <v>22.51</v>
      </c>
      <c r="G12" s="32" t="n">
        <v>0.7016</v>
      </c>
      <c r="H12" s="31" t="n">
        <v>94.05</v>
      </c>
      <c r="I12" s="31" t="n">
        <v>3.84</v>
      </c>
    </row>
    <row r="13">
      <c r="A13" s="16" t="inlineStr">
        <is>
          <t>TOTAL / PROMEDIO</t>
        </is>
      </c>
      <c r="B13" s="33">
        <f>SUM(B10:B12)</f>
        <v/>
      </c>
      <c r="C13" s="23">
        <f>SUM(C10:C12)</f>
        <v/>
      </c>
      <c r="D13" s="17" t="inlineStr">
        <is>
          <t>1649 – 2770</t>
        </is>
      </c>
      <c r="E13" s="17" t="inlineStr"/>
      <c r="F13" s="17">
        <f>ROUND(AVERAGE(F10:F12),2)</f>
        <v/>
      </c>
      <c r="G13" s="22">
        <f>ROUND(AVERAGE(G10:G12),4)</f>
        <v/>
      </c>
      <c r="H13" s="23">
        <f>ROUND(AVERAGE(H10:H12),2)</f>
        <v/>
      </c>
      <c r="I13" s="23">
        <f>ROUND(AVERAGE(I10:I12),2)</f>
        <v/>
      </c>
    </row>
    <row r="15" ht="84" customHeight="1">
      <c r="A15" s="9" t="inlineStr">
        <is>
          <t>LECTURA INTRAMICROCUENCA. El bloque 39 ocupa el puesto 3 de 3 por superficie dentro de la microcuenca C1096-Q9564 (27.79 % de las 246.75 ha preliminares de la microcuenca). Su pendiente promedio (22.51 %, clase «15-25% (Fuert. inclinado)») es la 1.ª más baja de 3 y se sitúa por debajo del promedio de la microcuenca (26.26 %). Su MSAVI 2024 (0.7016) es el 1.º de 3 y queda por encima del promedio local (0.6835). Amplitud altitudinal del bloque: 359 m (1729–2088 msnm). El cuadro conserva todos los bloques catalogados en la microcuenca, incluidos los descartados en el tamizaje, para referencia del conjunto. Los bloques sin ficha DT figuran con sus parámetros de gabinete. BRECHA ESPECTRAL. El 3.84 % de la superficie del bloque (2.636 ha de 68.569 ha) se sitúa bajo el umbral MSAVI 0.4976, por debajo del promedio local de la microcuenca (3.95 %) calculado sobre los bloques con dato MSAVI disponible.</t>
        </is>
      </c>
      <c r="B15" s="41" t="n"/>
      <c r="C15" s="41" t="n"/>
      <c r="D15" s="41" t="n"/>
      <c r="E15" s="41" t="n"/>
      <c r="F15" s="41" t="n"/>
      <c r="G15" s="41" t="n"/>
      <c r="H15" s="41" t="n"/>
      <c r="I15" s="42" t="n"/>
    </row>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7" s="41" t="n"/>
      <c r="C17" s="41" t="n"/>
      <c r="D17" s="41" t="n"/>
      <c r="E17" s="41" t="n"/>
      <c r="F17" s="41" t="n"/>
      <c r="G17" s="41" t="n"/>
      <c r="H17" s="41" t="n"/>
      <c r="I17" s="42" t="n"/>
    </row>
  </sheetData>
  <mergeCells count="9">
    <mergeCell ref="A15:I15"/>
    <mergeCell ref="A2:I2"/>
    <mergeCell ref="A5:I5"/>
    <mergeCell ref="A1:I1"/>
    <mergeCell ref="A17:I17"/>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39</t>
        </is>
      </c>
    </row>
    <row r="6">
      <c r="A6" s="52" t="inlineStr">
        <is>
          <t>Cruce de la ficha de campo F-DT vigente con la ficha de resumen de gabinete y el catálogo maestro. Integración 2026-09-11 20:22:27.</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«C1096-Q9564».</t>
        </is>
      </c>
      <c r="D9" s="56" t="inlineStr">
        <is>
          <t>CONFORME</t>
        </is>
      </c>
      <c r="E9" s="56" t="inlineStr">
        <is>
          <t>Sin acción.</t>
        </is>
      </c>
    </row>
    <row r="10">
      <c r="A10" s="57" t="inlineStr">
        <is>
          <t>G-02</t>
        </is>
      </c>
      <c r="B10" s="57" t="inlineStr">
        <is>
          <t>UTM del punto de muestreo</t>
        </is>
      </c>
      <c r="C10" s="57" t="inlineStr">
        <is>
          <t>El punto de muestreo declarado dista 797.7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(68.600 ha) se desvía 0.04 % de la superficie de catálogo (68.57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(68.569 ha) se desvía -0.00 % de la superficie de catálogo (68.57 ha).</t>
        </is>
      </c>
      <c r="D14" s="57" t="inlineStr">
        <is>
          <t>CONFORME</t>
        </is>
      </c>
      <c r="E14" s="57" t="inlineStr">
        <is>
          <t>Sin acción: la segmentación valida la geometría del bloque.</t>
        </is>
      </c>
    </row>
    <row r="15">
      <c r="A15" s="56" t="inlineStr">
        <is>
          <t>G-07</t>
        </is>
      </c>
      <c r="B15" s="56" t="inlineStr">
        <is>
          <t>Brecha espectral MSAVI</t>
        </is>
      </c>
      <c r="C15" s="56" t="inlineStr">
        <is>
          <t>El 3.84 % del bloque queda bajo el umbral 0.4976; superficie de brecha 2.6356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68.57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(0.7016)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Elenco florístico (n.o de taxones)</t>
        </is>
      </c>
      <c r="C19" s="56" t="inlineStr">
        <is>
          <t>El libro de resumen V6 consignaba «19»; la ficha de campo vigente declara «15».</t>
        </is>
      </c>
      <c r="D19" s="56" t="inlineStr">
        <is>
          <t>CORREGIDO</t>
        </is>
      </c>
      <c r="E19" s="56" t="inlineStr">
        <is>
          <t>Se adopta el valor de campo por ser la fuente que manda sobre el dato y la más reciente. El valor anterior queda declarado para trazabilidad.</t>
        </is>
      </c>
    </row>
    <row r="20">
      <c r="A20" s="57" t="inlineStr">
        <is>
          <t>F-01</t>
        </is>
      </c>
      <c r="B20" s="57" t="inlineStr">
        <is>
          <t>Fichas F-DT levantadas</t>
        </is>
      </c>
      <c r="C20" s="57" t="inlineStr">
        <is>
          <t>La plantilla de campo trae las cinco fichas F-DT-01 a F-DT-05 (completitud 92.9 % de los campos esperados).</t>
        </is>
      </c>
      <c r="D20" s="57" t="inlineStr">
        <is>
          <t>CONFORME</t>
        </is>
      </c>
      <c r="E20" s="57" t="inlineStr">
        <is>
          <t>Sin acción.</t>
        </is>
      </c>
    </row>
    <row r="21">
      <c r="A21" s="56" t="inlineStr">
        <is>
          <t>F-02</t>
        </is>
      </c>
      <c r="B21" s="56" t="inlineStr">
        <is>
          <t>Cobertura de la integración</t>
        </is>
      </c>
      <c r="C21" s="56" t="inlineStr">
        <is>
          <t>Se declararon 89 de 114 hechos integrados (78.1 %); 25 quedan sin dato en ninguna fuente.</t>
        </is>
      </c>
      <c r="D21" s="56" t="inlineStr">
        <is>
          <t>CONFORME</t>
        </is>
      </c>
      <c r="E21" s="56" t="inlineStr">
        <is>
          <t>Sin acción.</t>
        </is>
      </c>
    </row>
    <row r="22">
      <c r="A22" s="57" t="inlineStr">
        <is>
          <t>H-01</t>
        </is>
      </c>
      <c r="B22" s="57" t="inlineStr">
        <is>
          <t>Representatividad del levantamiento</t>
        </is>
      </c>
      <c r="C22" s="57" t="inlineStr">
        <is>
          <t>Ninguna de las estaciones fotográficas georreferenciadas se localiza dentro del polígono del bloque</t>
        </is>
      </c>
      <c r="D22" s="57" t="inlineStr">
        <is>
          <t>SUSTANTIVA</t>
        </is>
      </c>
      <c r="E22" s="57" t="inlineStr">
        <is>
          <t>La verificación documenta el perímetro y la vista panorámica del bloque, no su interior. Los parámetros que exigen recorrido interno se consignan «Por determinar». (Verificación heredada de la ficha de resumen V6.)</t>
        </is>
      </c>
    </row>
    <row r="23">
      <c r="A23" s="56" t="inlineStr">
        <is>
          <t>H-02</t>
        </is>
      </c>
      <c r="B23" s="56" t="inlineStr">
        <is>
          <t>Centro poblado asociado</t>
        </is>
      </c>
      <c r="C23" s="56" t="inlineStr">
        <is>
          <t>La ficha DT declara «La Cría»; el cruce INEI-Bloques V5 identifica 1 centro(s) poblado(s) en el bloque: LA CRIA</t>
        </is>
      </c>
      <c r="D23" s="56" t="inlineStr">
        <is>
          <t>CONFORME</t>
        </is>
      </c>
      <c r="E23" s="56" t="inlineStr">
        <is>
          <t>Se conserva el registro de campo como referencia y se adopta el listado INEI para el diagnóstico social y el cálculo de población beneficiaria. (Verificación heredada de la ficha de resumen V6.)</t>
        </is>
      </c>
    </row>
    <row r="25">
      <c r="A25" s="58" t="inlineStr">
        <is>
          <t>RESUMEN</t>
        </is>
      </c>
      <c r="B25" s="59" t="inlineStr">
        <is>
          <t>15 verificaciones</t>
        </is>
      </c>
      <c r="C25" s="59" t="inlineStr">
        <is>
          <t>SUSTANTIVA: 2 · NO SUSTANTIVA: 1 · CORREGIDO: 1 · CONFORME: 11</t>
        </is>
      </c>
    </row>
    <row r="27">
      <c r="A27"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6:E6"/>
    <mergeCell ref="A27:E27"/>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39</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5. Ecosistema, cobertura y flora (F-DT-03)</t>
        </is>
      </c>
      <c r="B9" s="56" t="inlineStr">
        <is>
          <t>Elenco florístico (n.o de taxones)</t>
        </is>
      </c>
      <c r="C9" s="56" t="inlineStr">
        <is>
          <t>19</t>
        </is>
      </c>
      <c r="D9" s="56" t="inlineStr">
        <is>
          <t>15</t>
        </is>
      </c>
      <c r="E9" s="56" t="inlineStr">
        <is>
          <t>Dato de campo</t>
        </is>
      </c>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619274</t>
        </is>
      </c>
      <c r="D13" s="56" t="inlineStr">
        <is>
          <t>m</t>
        </is>
      </c>
    </row>
    <row r="14">
      <c r="A14" s="57" t="inlineStr">
        <is>
          <t>1. Identificación y localización</t>
        </is>
      </c>
      <c r="B14" s="57" t="inlineStr">
        <is>
          <t>UTM NORTE del punto de muestreo (m)</t>
        </is>
      </c>
      <c r="C14" s="57" t="inlineStr">
        <is>
          <t>9449187</t>
        </is>
      </c>
      <c r="D14" s="57" t="inlineStr">
        <is>
          <t>m</t>
        </is>
      </c>
    </row>
    <row r="15">
      <c r="A15" s="56" t="inlineStr">
        <is>
          <t>2. Parámetros físicos del terreno</t>
        </is>
      </c>
      <c r="B15" s="56" t="inlineStr">
        <is>
          <t>Altitud GPS del punto de muestreo (msnm)</t>
        </is>
      </c>
      <c r="C15" s="56" t="inlineStr">
        <is>
          <t>No registrada por la aplicación</t>
        </is>
      </c>
      <c r="D15" s="56" t="inlineStr">
        <is>
          <t>msnm</t>
        </is>
      </c>
    </row>
    <row r="16">
      <c r="A16" s="57" t="inlineStr">
        <is>
          <t>2. Parámetros físicos del terreno</t>
        </is>
      </c>
      <c r="B16" s="57" t="inlineStr">
        <is>
          <t>Piso altitudinal del punto de muestreo</t>
        </is>
      </c>
      <c r="C16" s="57" t="inlineStr">
        <is>
          <t>1500-2000 m (Quechua media)</t>
        </is>
      </c>
      <c r="D16" s="57" t="inlineStr"/>
    </row>
    <row r="17">
      <c r="A17" s="56" t="inlineStr">
        <is>
          <t>2. Parámetros físicos del terreno</t>
        </is>
      </c>
      <c r="B17" s="56" t="inlineStr">
        <is>
          <t>Paisaje dominante descrito en campo</t>
        </is>
      </c>
      <c r="C17" s="56" t="inlineStr">
        <is>
          <t>Macizo de colina-montaña de la margen occidental del valle de La Cría, en cabecera de la microcuenca C1096-Q9564. Ladera de exposición dominante norte, con gradiente de 1 729 a 2 088 msnm y curvas de nivel regulares y paralelas, indicativas de una vertiente uniforme sin grandes rupturas de pendiente. Dosel boscoso continuo y cerrado en prácticamente toda la superficie, con claros de matorral y pastizal dispersos en el tercio norte y en el flanco occidental. El flanco norte está delimitado por un curso de agua; el vértice nororiental se aproxima a 225 m de la red vial. El entorno inmediato oriental (C.P. La Cría, fuera del polígono) es un mosaico agropecuario de maíz en ladera, pastos cultivados y rodales de eucalipto, con bolonería granítica métrica expuesta.</t>
        </is>
      </c>
      <c r="D17" s="56" t="inlineStr"/>
    </row>
    <row r="18">
      <c r="A18" s="57" t="inlineStr">
        <is>
          <t>4. Suelos y erosión (F-DT-02)</t>
        </is>
      </c>
      <c r="B18" s="57" t="inlineStr">
        <is>
          <t>Nivel de erosión - síntesis de campo</t>
        </is>
      </c>
      <c r="C18" s="57" t="inlineStr">
        <is>
          <t>Ligera (laminar)</t>
        </is>
      </c>
      <c r="D18" s="57" t="inlineStr"/>
    </row>
    <row r="19">
      <c r="A19" s="56" t="inlineStr">
        <is>
          <t>4. Suelos y erosión (F-DT-02)</t>
        </is>
      </c>
      <c r="B19" s="56" t="inlineStr">
        <is>
          <t>Longitud total de cárcavas (m)</t>
        </is>
      </c>
      <c r="C19" s="56" t="inlineStr">
        <is>
          <t>No inventariado</t>
        </is>
      </c>
      <c r="D19" s="56" t="inlineStr">
        <is>
          <t>m</t>
        </is>
      </c>
    </row>
    <row r="20">
      <c r="A20" s="57" t="inlineStr">
        <is>
          <t>5. Ecosistema, cobertura y flora (F-DT-03)</t>
        </is>
      </c>
      <c r="B20" s="57" t="inlineStr">
        <is>
          <t>Cobertura del dosel (%)</t>
        </is>
      </c>
      <c r="C20" s="57" t="inlineStr">
        <is>
          <t>70</t>
        </is>
      </c>
      <c r="D20" s="57" t="inlineStr">
        <is>
          <t>%</t>
        </is>
      </c>
    </row>
    <row r="21">
      <c r="A21" s="56" t="inlineStr">
        <is>
          <t>5. Ecosistema, cobertura y flora (F-DT-03)</t>
        </is>
      </c>
      <c r="B21" s="56" t="inlineStr">
        <is>
          <t>Cobertura arbustiva (%)</t>
        </is>
      </c>
      <c r="C21" s="56" t="inlineStr">
        <is>
          <t>20</t>
        </is>
      </c>
      <c r="D21" s="56" t="inlineStr">
        <is>
          <t>%</t>
        </is>
      </c>
    </row>
    <row r="22">
      <c r="A22" s="57" t="inlineStr">
        <is>
          <t>5. Ecosistema, cobertura y flora (F-DT-03)</t>
        </is>
      </c>
      <c r="B22" s="57" t="inlineStr">
        <is>
          <t>Cobertura herbácea (%)</t>
        </is>
      </c>
      <c r="C22" s="57" t="inlineStr">
        <is>
          <t>15</t>
        </is>
      </c>
      <c r="D22" s="57" t="inlineStr">
        <is>
          <t>%</t>
        </is>
      </c>
    </row>
    <row r="23">
      <c r="A23" s="56" t="inlineStr">
        <is>
          <t>5. Ecosistema, cobertura y flora (F-DT-03)</t>
        </is>
      </c>
      <c r="B23" s="56" t="inlineStr">
        <is>
          <t>Presencia de epífitas</t>
        </is>
      </c>
      <c r="C23" s="56" t="inlineStr">
        <is>
          <t>Sí</t>
        </is>
      </c>
      <c r="D23" s="56" t="inlineStr"/>
    </row>
    <row r="24">
      <c r="A24" s="57" t="inlineStr">
        <is>
          <t>5. Ecosistema, cobertura y flora (F-DT-03)</t>
        </is>
      </c>
      <c r="B24" s="57" t="inlineStr">
        <is>
          <t>Fenología dominante</t>
        </is>
      </c>
      <c r="C24" s="57" t="inlineStr">
        <is>
          <t>Vegetativo</t>
        </is>
      </c>
      <c r="D24" s="57" t="inlineStr"/>
    </row>
    <row r="25">
      <c r="A25" s="56" t="inlineStr">
        <is>
          <t>5. Ecosistema, cobertura y flora (F-DT-03)</t>
        </is>
      </c>
      <c r="B25" s="56" t="inlineStr">
        <is>
          <t>Dimensiones de la parcela (m)</t>
        </is>
      </c>
      <c r="C25" s="56" t="inlineStr">
        <is>
          <t>No aplica</t>
        </is>
      </c>
      <c r="D25" s="56" t="inlineStr"/>
    </row>
    <row r="26">
      <c r="A26" s="57" t="inlineStr">
        <is>
          <t>5. Ecosistema, cobertura y flora (F-DT-03)</t>
        </is>
      </c>
      <c r="B26" s="57" t="inlineStr">
        <is>
          <t>Pendiente de la parcela (%)</t>
        </is>
      </c>
      <c r="C26" s="57" t="inlineStr">
        <is>
          <t>22.51</t>
        </is>
      </c>
      <c r="D26" s="57" t="inlineStr">
        <is>
          <t>%</t>
        </is>
      </c>
    </row>
    <row r="27">
      <c r="A27" s="56" t="inlineStr">
        <is>
          <t>5. Ecosistema, cobertura y flora (F-DT-03)</t>
        </is>
      </c>
      <c r="B27" s="56" t="inlineStr">
        <is>
          <t>Especies clave georreferenciadas</t>
        </is>
      </c>
      <c r="C27" s="56" t="inlineStr">
        <is>
          <t>10</t>
        </is>
      </c>
      <c r="D27" s="56" t="inlineStr"/>
    </row>
    <row r="28">
      <c r="A28" s="57" t="inlineStr">
        <is>
          <t>6. Degradación, causas y urgencia (F-DT-04)</t>
        </is>
      </c>
      <c r="B28" s="57" t="inlineStr">
        <is>
          <t>Causas directas de la degradación</t>
        </is>
      </c>
      <c r="C28" s="57" t="inlineStr">
        <is>
          <t>Presión agropecuaria de borde: parcelas de maíz en ladera y pastos cultivados que ascienden desde el C.P. La Cría hacia el flanco oriental y el tercio norte del macizo, acompañadas de rodales de forestales exóticas. No se observó tala para leña o madera, quema, minería ni extracción de áridos; estas causas se dejan en blanco por no haber sido verificadas, no por ausencia comprobada. El núcleo del bloque conserva dosel continuo (83.0 % con MSAVI &gt; 0.6139).</t>
        </is>
      </c>
      <c r="D28" s="57" t="inlineStr"/>
    </row>
    <row r="29">
      <c r="A29" s="56" t="inlineStr">
        <is>
          <t>6. Degradación, causas y urgencia (F-DT-04)</t>
        </is>
      </c>
      <c r="B29" s="56" t="inlineStr">
        <is>
          <t>N.° de causas activas en la matriz F-DT-04</t>
        </is>
      </c>
      <c r="C29" s="56" t="inlineStr">
        <is>
          <t>4</t>
        </is>
      </c>
      <c r="D29" s="56" t="inlineStr"/>
    </row>
    <row r="30">
      <c r="A30" s="57" t="inlineStr">
        <is>
          <t>7. Hidrología, acceso y logística (F-DT-05)</t>
        </is>
      </c>
      <c r="B30" s="57" t="inlineStr">
        <is>
          <t>Escorrentía concentrada</t>
        </is>
      </c>
      <c r="C30" s="57" t="inlineStr">
        <is>
          <t>Sí</t>
        </is>
      </c>
      <c r="D30" s="57" t="inlineStr"/>
    </row>
    <row r="31">
      <c r="A31" s="56" t="inlineStr">
        <is>
          <t>7. Hidrología, acceso y logística (F-DT-05)</t>
        </is>
      </c>
      <c r="B31" s="56" t="inlineStr">
        <is>
          <t>Fuentes de agua inventariadas</t>
        </is>
      </c>
      <c r="C31" s="56" t="inlineStr">
        <is>
          <t>2</t>
        </is>
      </c>
      <c r="D31" s="56" t="inlineStr"/>
    </row>
    <row r="32">
      <c r="A32" s="57" t="inlineStr">
        <is>
          <t>7. Hidrología, acceso y logística (F-DT-05)</t>
        </is>
      </c>
      <c r="B32" s="57" t="inlineStr">
        <is>
          <t>Distancia a captación (m)</t>
        </is>
      </c>
      <c r="C32" s="57" t="inlineStr">
        <is>
          <t>419</t>
        </is>
      </c>
      <c r="D32" s="57" t="inlineStr">
        <is>
          <t>m</t>
        </is>
      </c>
    </row>
    <row r="33">
      <c r="A33" s="56" t="inlineStr">
        <is>
          <t>7. Hidrología, acceso y logística (F-DT-05)</t>
        </is>
      </c>
      <c r="B33" s="56" t="inlineStr">
        <is>
          <t>Vía principal de acceso</t>
        </is>
      </c>
      <c r="C33" s="56" t="inlineStr">
        <is>
          <t>Trocha carrozable de acceso al C.P. La Cría, con empalme a la red vial del distrito de Frías (código de ruta por confirmar)</t>
        </is>
      </c>
      <c r="D33" s="56" t="inlineStr"/>
    </row>
    <row r="34">
      <c r="A34" s="57" t="inlineStr">
        <is>
          <t>7. Hidrología, acceso y logística (F-DT-05)</t>
        </is>
      </c>
      <c r="B34" s="57" t="inlineStr">
        <is>
          <t>Tipo de vía del tramo final</t>
        </is>
      </c>
      <c r="C34" s="57" t="inlineStr">
        <is>
          <t>Trocha carrozable</t>
        </is>
      </c>
      <c r="D34" s="57" t="inlineStr"/>
    </row>
    <row r="35">
      <c r="A35" s="56" t="inlineStr">
        <is>
          <t>7. Hidrología, acceso y logística (F-DT-05)</t>
        </is>
      </c>
      <c r="B35" s="56" t="inlineStr">
        <is>
          <t>Transitabilidad en época seca</t>
        </is>
      </c>
      <c r="C35" s="56" t="inlineStr">
        <is>
          <t>Alto</t>
        </is>
      </c>
      <c r="D35" s="56" t="inlineStr"/>
    </row>
    <row r="37">
      <c r="A37" s="54" t="inlineStr">
        <is>
          <t>C. PROCEDENCIA DE LOS HECHOS DECLARADOS</t>
        </is>
      </c>
    </row>
    <row r="38">
      <c r="A38" s="55" t="inlineStr">
        <is>
          <t>Fuente</t>
        </is>
      </c>
      <c r="B38" s="55" t="inlineStr">
        <is>
          <t>Hechos</t>
        </is>
      </c>
      <c r="C38" s="55" t="inlineStr">
        <is>
          <t>Alcance de la fuente</t>
        </is>
      </c>
    </row>
    <row r="39">
      <c r="A39" s="56" t="inlineStr">
        <is>
          <t>Dato de campo</t>
        </is>
      </c>
      <c r="B39" s="56" t="n">
        <v>51</v>
      </c>
      <c r="C39" s="56" t="inlineStr">
        <is>
          <t>Verificación en campo. Fichas F-DT-01 a F-DT-05 de la Plantilla DT Campo Check Validada V5, suscritas por el evaluador.</t>
        </is>
      </c>
    </row>
    <row r="40">
      <c r="A40" s="57" t="inlineStr">
        <is>
          <t>Gabinete (GIS / teledetección)</t>
        </is>
      </c>
      <c r="B40" s="57" t="n">
        <v>24</v>
      </c>
      <c r="C40" s="57" t="inlineStr">
        <is>
          <t>Gabinete. Estadística zonal sobre el MDE y compuestos Sentinel-2 (NDVI mediana 2025, MSAVI 2024 por clase DN).</t>
        </is>
      </c>
    </row>
    <row r="41">
      <c r="A41" s="56" t="inlineStr">
        <is>
          <t>Fuente oficial</t>
        </is>
      </c>
      <c r="B41" s="56" t="n">
        <v>14</v>
      </c>
      <c r="C41" s="56" t="inlineStr">
        <is>
          <t>Fuente oficial. Catálogo maestro Bloques V5/V6, división política INEI y codificación de microcuencas de la ANA.</t>
        </is>
      </c>
    </row>
    <row r="43">
      <c r="A43" s="54" t="inlineStr">
        <is>
          <t>D. ESTADO DEL CRUCE ENTRE FUENTES</t>
        </is>
      </c>
    </row>
    <row r="44">
      <c r="A44" s="55" t="inlineStr">
        <is>
          <t>Estado</t>
        </is>
      </c>
      <c r="B44" s="55" t="inlineStr">
        <is>
          <t>Hechos</t>
        </is>
      </c>
      <c r="C44" s="55" t="inlineStr">
        <is>
          <t>Significado</t>
        </is>
      </c>
    </row>
    <row r="45">
      <c r="A45" s="56" t="inlineStr">
        <is>
          <t>CONFORME</t>
        </is>
      </c>
      <c r="B45" s="56" t="n">
        <v>85</v>
      </c>
      <c r="C45" s="56" t="inlineStr">
        <is>
          <t>Las dos fuentes declaran lo mismo, o solo la fuente que manda sobre el hecho lo declara.</t>
        </is>
      </c>
    </row>
    <row r="46">
      <c r="A46" s="57" t="inlineStr">
        <is>
          <t>COMPLEMENTADO</t>
        </is>
      </c>
      <c r="B46" s="57" t="n">
        <v>3</v>
      </c>
      <c r="C46" s="57" t="inlineStr">
        <is>
          <t>Solo una de las fuentes lo declara y se adopta ese valor.</t>
        </is>
      </c>
    </row>
    <row r="47">
      <c r="A47" s="56" t="inlineStr">
        <is>
          <t>ACTUALIZADO</t>
        </is>
      </c>
      <c r="B47" s="56" t="n">
        <v>1</v>
      </c>
      <c r="C47" s="56" t="inlineStr">
        <is>
          <t>La verificación de campo vigente corrige lo que traía el libro de resumen.</t>
        </is>
      </c>
    </row>
    <row r="48">
      <c r="A48" s="57" t="inlineStr">
        <is>
          <t>DISCREPANTE</t>
        </is>
      </c>
      <c r="B48" s="57" t="n">
        <v>0</v>
      </c>
      <c r="C48" s="57" t="inlineStr">
        <is>
          <t>Las fuentes se contradicen; prevalece la que manda sobre el hecho y la otra queda declarada.</t>
        </is>
      </c>
    </row>
    <row r="49">
      <c r="A49" s="56" t="inlineStr">
        <is>
          <t>PENDIENTE</t>
        </is>
      </c>
      <c r="B49" s="56" t="n">
        <v>25</v>
      </c>
      <c r="C49"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39</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E-01</t>
        </is>
      </c>
      <c r="B9" s="56" t="inlineStr">
        <is>
          <t>Cárcava somera (0.5-2 m)</t>
        </is>
      </c>
      <c r="C9" s="61" t="n">
        <v>619281</v>
      </c>
      <c r="D9" s="61" t="n">
        <v>9449192</v>
      </c>
      <c r="E9" s="56" t="n"/>
      <c r="F9" s="56" t="n"/>
      <c r="G9" s="56" t="n"/>
      <c r="H9" s="56" t="inlineStr">
        <is>
          <t>Activa</t>
        </is>
      </c>
      <c r="I9" s="56" t="inlineStr">
        <is>
          <t>Caminos / huellas de ganado</t>
        </is>
      </c>
    </row>
    <row r="10">
      <c r="A10" s="57" t="inlineStr">
        <is>
          <t>E-02</t>
        </is>
      </c>
      <c r="B10" s="57" t="inlineStr">
        <is>
          <t>Cárcava somera (0.5-2 m)</t>
        </is>
      </c>
      <c r="C10" s="62" t="n">
        <v>619265</v>
      </c>
      <c r="D10" s="62" t="n">
        <v>9449198</v>
      </c>
      <c r="E10" s="57" t="n"/>
      <c r="F10" s="57" t="n"/>
      <c r="G10" s="57" t="n"/>
      <c r="H10" s="57" t="inlineStr">
        <is>
          <t>Activa</t>
        </is>
      </c>
      <c r="I10" s="57" t="inlineStr">
        <is>
          <t>Concentración natural de escorrentía</t>
        </is>
      </c>
    </row>
    <row r="12">
      <c r="A12" s="54" t="inlineStr">
        <is>
          <t>F-DT-03 · ELENCO FLORÍSTICO</t>
        </is>
      </c>
    </row>
    <row r="13">
      <c r="A13" s="55" t="inlineStr">
        <is>
          <t>N.o</t>
        </is>
      </c>
      <c r="B13" s="55" t="inlineStr">
        <is>
          <t>Nombre común</t>
        </is>
      </c>
      <c r="C13" s="55" t="inlineStr">
        <is>
          <t>Nombre científico</t>
        </is>
      </c>
      <c r="D13" s="55" t="inlineStr">
        <is>
          <t>Familia</t>
        </is>
      </c>
      <c r="E13" s="55" t="inlineStr">
        <is>
          <t>Estrato</t>
        </is>
      </c>
      <c r="F13" s="55" t="inlineStr">
        <is>
          <t>Origen</t>
        </is>
      </c>
      <c r="G13" s="55" t="inlineStr">
        <is>
          <t>Abundancia</t>
        </is>
      </c>
      <c r="H13" s="55" t="inlineStr">
        <is>
          <t>DAP (cm)</t>
        </is>
      </c>
      <c r="I13" s="55" t="inlineStr">
        <is>
          <t>Altura (m)</t>
        </is>
      </c>
    </row>
    <row r="14">
      <c r="A14" s="56" t="inlineStr">
        <is>
          <t>1</t>
        </is>
      </c>
      <c r="B14" s="56" t="inlineStr">
        <is>
          <t>Lanche</t>
        </is>
      </c>
      <c r="C14" s="56" t="inlineStr">
        <is>
          <t>Myrcianthes rhopaloides (por confirmar)</t>
        </is>
      </c>
      <c r="D14" s="56" t="inlineStr">
        <is>
          <t>Myrtaceae</t>
        </is>
      </c>
      <c r="E14" s="56" t="inlineStr">
        <is>
          <t>Arbóreo medio (8-15 m)</t>
        </is>
      </c>
      <c r="F14" s="56" t="inlineStr">
        <is>
          <t>Nativa</t>
        </is>
      </c>
      <c r="G14" s="56" t="inlineStr"/>
      <c r="H14" s="56" t="n"/>
      <c r="I14" s="56" t="n"/>
    </row>
    <row r="15">
      <c r="A15" s="57" t="inlineStr">
        <is>
          <t>2</t>
        </is>
      </c>
      <c r="B15" s="57" t="inlineStr">
        <is>
          <t>Arrayán</t>
        </is>
      </c>
      <c r="C15" s="57" t="inlineStr">
        <is>
          <t>Myrcianthes sp.</t>
        </is>
      </c>
      <c r="D15" s="57" t="inlineStr">
        <is>
          <t>Myrtaceae</t>
        </is>
      </c>
      <c r="E15" s="57" t="inlineStr">
        <is>
          <t>Arbóreo bajo (4-8 m)</t>
        </is>
      </c>
      <c r="F15" s="57" t="inlineStr">
        <is>
          <t>Nativa</t>
        </is>
      </c>
      <c r="G15" s="57" t="inlineStr"/>
      <c r="H15" s="57" t="n"/>
      <c r="I15" s="57" t="n"/>
    </row>
    <row r="16">
      <c r="A16" s="56" t="inlineStr">
        <is>
          <t>3</t>
        </is>
      </c>
      <c r="B16" s="56" t="inlineStr">
        <is>
          <t>Sauco</t>
        </is>
      </c>
      <c r="C16" s="56" t="inlineStr">
        <is>
          <t>Sambucus peruviana</t>
        </is>
      </c>
      <c r="D16" s="56" t="inlineStr">
        <is>
          <t>Adoxaceae</t>
        </is>
      </c>
      <c r="E16" s="56" t="inlineStr">
        <is>
          <t>Arbóreo bajo (4-8 m)</t>
        </is>
      </c>
      <c r="F16" s="56" t="inlineStr">
        <is>
          <t>Nativa</t>
        </is>
      </c>
      <c r="G16" s="56" t="inlineStr"/>
      <c r="H16" s="56" t="n"/>
      <c r="I16" s="56" t="n"/>
    </row>
    <row r="17">
      <c r="A17" s="57" t="inlineStr">
        <is>
          <t>4</t>
        </is>
      </c>
      <c r="B17" s="57" t="inlineStr">
        <is>
          <t>Roble (roble andino)</t>
        </is>
      </c>
      <c r="C17" s="57" t="inlineStr">
        <is>
          <t>Roupala sp. (por confirmar)</t>
        </is>
      </c>
      <c r="D17" s="57" t="inlineStr">
        <is>
          <t>Proteaceae</t>
        </is>
      </c>
      <c r="E17" s="57" t="inlineStr">
        <is>
          <t>Arbóreo medio (8-15 m)</t>
        </is>
      </c>
      <c r="F17" s="57" t="inlineStr">
        <is>
          <t>Nativa</t>
        </is>
      </c>
      <c r="G17" s="57" t="inlineStr"/>
      <c r="H17" s="57" t="n"/>
      <c r="I17" s="57" t="n"/>
    </row>
    <row r="18">
      <c r="A18" s="56" t="inlineStr">
        <is>
          <t>5</t>
        </is>
      </c>
      <c r="B18" s="56" t="inlineStr">
        <is>
          <t>Higuerón</t>
        </is>
      </c>
      <c r="C18" s="56" t="inlineStr">
        <is>
          <t>Ficus sp.</t>
        </is>
      </c>
      <c r="D18" s="56" t="inlineStr">
        <is>
          <t>Moraceae</t>
        </is>
      </c>
      <c r="E18" s="56" t="inlineStr">
        <is>
          <t>Arbóreo superior (&gt;15 m)</t>
        </is>
      </c>
      <c r="F18" s="56" t="inlineStr">
        <is>
          <t>Nativa</t>
        </is>
      </c>
      <c r="G18" s="56" t="inlineStr"/>
      <c r="H18" s="56" t="n"/>
      <c r="I18" s="56" t="n"/>
    </row>
    <row r="19">
      <c r="A19" s="57" t="inlineStr">
        <is>
          <t>6</t>
        </is>
      </c>
      <c r="B19" s="57" t="inlineStr">
        <is>
          <t>Pacae / Guaba</t>
        </is>
      </c>
      <c r="C19" s="57" t="inlineStr">
        <is>
          <t>Inga sp. (I. feuillei / I. edulis, por confirmar)</t>
        </is>
      </c>
      <c r="D19" s="57" t="inlineStr">
        <is>
          <t>Fabaceae</t>
        </is>
      </c>
      <c r="E19" s="57" t="inlineStr">
        <is>
          <t>Arbóreo medio (8-15 m)</t>
        </is>
      </c>
      <c r="F19" s="57" t="inlineStr">
        <is>
          <t>Nativa</t>
        </is>
      </c>
      <c r="G19" s="57" t="inlineStr"/>
      <c r="H19" s="57" t="n"/>
      <c r="I19" s="57" t="n"/>
    </row>
    <row r="20">
      <c r="A20" s="56" t="inlineStr">
        <is>
          <t>7</t>
        </is>
      </c>
      <c r="B20" s="56" t="inlineStr">
        <is>
          <t>Sauce</t>
        </is>
      </c>
      <c r="C20" s="56" t="inlineStr">
        <is>
          <t>Salix humboldtiana</t>
        </is>
      </c>
      <c r="D20" s="56" t="inlineStr">
        <is>
          <t>Salicaceae</t>
        </is>
      </c>
      <c r="E20" s="56" t="inlineStr">
        <is>
          <t>Arbóreo medio (8-15 m)</t>
        </is>
      </c>
      <c r="F20" s="56" t="inlineStr">
        <is>
          <t>Nativa</t>
        </is>
      </c>
      <c r="G20" s="56" t="inlineStr"/>
      <c r="H20" s="56" t="n"/>
      <c r="I20" s="56" t="n"/>
    </row>
    <row r="21">
      <c r="A21" s="57" t="inlineStr">
        <is>
          <t>8</t>
        </is>
      </c>
      <c r="B21" s="57" t="inlineStr">
        <is>
          <t>Tara</t>
        </is>
      </c>
      <c r="C21" s="57" t="inlineStr">
        <is>
          <t>Caesalpinia spinosa (= Tara spinosa)</t>
        </is>
      </c>
      <c r="D21" s="57" t="inlineStr">
        <is>
          <t>Fabaceae</t>
        </is>
      </c>
      <c r="E21" s="57" t="inlineStr">
        <is>
          <t>Arbóreo bajo (4-8 m)</t>
        </is>
      </c>
      <c r="F21" s="57" t="inlineStr">
        <is>
          <t>Nativa</t>
        </is>
      </c>
      <c r="G21" s="57" t="inlineStr"/>
      <c r="H21" s="57" t="n"/>
      <c r="I21" s="57" t="n"/>
    </row>
    <row r="22">
      <c r="A22" s="56" t="inlineStr">
        <is>
          <t>9</t>
        </is>
      </c>
      <c r="B22" s="56" t="inlineStr">
        <is>
          <t>Chirimoyo silvestre</t>
        </is>
      </c>
      <c r="C22" s="56" t="inlineStr">
        <is>
          <t>Annona sp. (A. cherimola, por confirmar)</t>
        </is>
      </c>
      <c r="D22" s="56" t="inlineStr">
        <is>
          <t>Annonaceae</t>
        </is>
      </c>
      <c r="E22" s="56" t="inlineStr">
        <is>
          <t>Arbóreo bajo (4-8 m)</t>
        </is>
      </c>
      <c r="F22" s="56" t="inlineStr">
        <is>
          <t>Nativa</t>
        </is>
      </c>
      <c r="G22" s="56" t="inlineStr"/>
      <c r="H22" s="56" t="n"/>
      <c r="I22" s="56" t="n"/>
    </row>
    <row r="23">
      <c r="A23" s="57" t="inlineStr">
        <is>
          <t>10</t>
        </is>
      </c>
      <c r="B23" s="57" t="inlineStr">
        <is>
          <t>Chin chin</t>
        </is>
      </c>
      <c r="C23" s="57" t="inlineStr">
        <is>
          <t>Tecoma stans (por confirmar)</t>
        </is>
      </c>
      <c r="D23" s="57" t="inlineStr">
        <is>
          <t>Bignoniaceae</t>
        </is>
      </c>
      <c r="E23" s="57" t="inlineStr">
        <is>
          <t>Arbustivo alto (1.5-4 m)</t>
        </is>
      </c>
      <c r="F23" s="57" t="inlineStr">
        <is>
          <t>Nativa</t>
        </is>
      </c>
      <c r="G23" s="57" t="inlineStr"/>
      <c r="H23" s="57" t="n"/>
      <c r="I23" s="57" t="n"/>
    </row>
    <row r="24">
      <c r="A24" s="56" t="inlineStr">
        <is>
          <t>11</t>
        </is>
      </c>
      <c r="B24" s="56" t="inlineStr">
        <is>
          <t>Matico</t>
        </is>
      </c>
      <c r="C24" s="56" t="inlineStr">
        <is>
          <t>Piper aduncum</t>
        </is>
      </c>
      <c r="D24" s="56" t="inlineStr">
        <is>
          <t>Piperaceae</t>
        </is>
      </c>
      <c r="E24" s="56" t="inlineStr">
        <is>
          <t>Arbustivo alto (1.5-4 m)</t>
        </is>
      </c>
      <c r="F24" s="56" t="inlineStr">
        <is>
          <t>Nativa</t>
        </is>
      </c>
      <c r="G24" s="56" t="inlineStr"/>
      <c r="H24" s="56" t="n"/>
      <c r="I24" s="56" t="n"/>
    </row>
    <row r="25">
      <c r="A25" s="57" t="inlineStr">
        <is>
          <t>12</t>
        </is>
      </c>
      <c r="B25" s="57" t="inlineStr">
        <is>
          <t>Chilca</t>
        </is>
      </c>
      <c r="C25" s="57" t="inlineStr">
        <is>
          <t>Baccharis latifolia (por confirmar)</t>
        </is>
      </c>
      <c r="D25" s="57" t="inlineStr">
        <is>
          <t>Asteraceae</t>
        </is>
      </c>
      <c r="E25" s="57" t="inlineStr">
        <is>
          <t>Arbustivo alto (1.5-4 m)</t>
        </is>
      </c>
      <c r="F25" s="57" t="inlineStr">
        <is>
          <t>Nativa</t>
        </is>
      </c>
      <c r="G25" s="57" t="inlineStr"/>
      <c r="H25" s="57" t="n"/>
      <c r="I25" s="57" t="n"/>
    </row>
    <row r="26">
      <c r="A26" s="56" t="inlineStr">
        <is>
          <t>13</t>
        </is>
      </c>
      <c r="B26" s="56" t="inlineStr">
        <is>
          <t>Mosquero</t>
        </is>
      </c>
      <c r="C26" s="56" t="inlineStr">
        <is>
          <t>Por determinar (Croton sp. / Baccharis sp., atribución preliminar)</t>
        </is>
      </c>
      <c r="D26" s="56" t="inlineStr">
        <is>
          <t>Por determinar</t>
        </is>
      </c>
      <c r="E26" s="56" t="inlineStr">
        <is>
          <t>Arbustivo alto (1.5-4 m)</t>
        </is>
      </c>
      <c r="F26" s="56" t="inlineStr">
        <is>
          <t>Nativa</t>
        </is>
      </c>
      <c r="G26" s="56" t="inlineStr"/>
      <c r="H26" s="56" t="n"/>
      <c r="I26" s="56" t="n"/>
    </row>
    <row r="27">
      <c r="A27" s="57" t="inlineStr">
        <is>
          <t>14</t>
        </is>
      </c>
      <c r="B27" s="57" t="inlineStr">
        <is>
          <t>Tabaco silvestre</t>
        </is>
      </c>
      <c r="C27" s="57" t="inlineStr">
        <is>
          <t>Nicotiana sp. (N. tomentosa / N. paniculata, por confirmar)</t>
        </is>
      </c>
      <c r="D27" s="57" t="inlineStr">
        <is>
          <t>Solanaceae</t>
        </is>
      </c>
      <c r="E27" s="57" t="inlineStr">
        <is>
          <t>Arbustivo bajo (0.5-1.5 m)</t>
        </is>
      </c>
      <c r="F27" s="57" t="inlineStr">
        <is>
          <t>Nativa</t>
        </is>
      </c>
      <c r="G27" s="57" t="inlineStr"/>
      <c r="H27" s="57" t="n"/>
      <c r="I27" s="57" t="n"/>
    </row>
    <row r="28">
      <c r="A28" s="56" t="inlineStr">
        <is>
          <t>15</t>
        </is>
      </c>
      <c r="B28" s="56" t="inlineStr">
        <is>
          <t>Eucalipto</t>
        </is>
      </c>
      <c r="C28" s="56" t="inlineStr">
        <is>
          <t>Eucalyptus globulus</t>
        </is>
      </c>
      <c r="D28" s="56" t="inlineStr">
        <is>
          <t>Myrtaceae</t>
        </is>
      </c>
      <c r="E28" s="56" t="inlineStr">
        <is>
          <t>Arbóreo superior (&gt;15 m)</t>
        </is>
      </c>
      <c r="F28" s="56" t="inlineStr">
        <is>
          <t>Introducida</t>
        </is>
      </c>
      <c r="G28" s="56" t="inlineStr"/>
      <c r="H28" s="56" t="n"/>
      <c r="I28" s="56" t="n"/>
    </row>
    <row r="30">
      <c r="A30" s="54" t="inlineStr">
        <is>
          <t>F-DT-03 · ESPECIES CLAVE GEORREFERENCIADAS</t>
        </is>
      </c>
    </row>
    <row r="31">
      <c r="A31" s="55" t="inlineStr">
        <is>
          <t>N.o</t>
        </is>
      </c>
      <c r="B31" s="55" t="inlineStr">
        <is>
          <t>Especie</t>
        </is>
      </c>
      <c r="C31" s="55" t="inlineStr">
        <is>
          <t>Categoría</t>
        </is>
      </c>
      <c r="D31" s="55" t="inlineStr">
        <is>
          <t>Estado UICN</t>
        </is>
      </c>
      <c r="E31" s="55" t="inlineStr">
        <is>
          <t>UTM ESTE</t>
        </is>
      </c>
      <c r="F31" s="55" t="inlineStr">
        <is>
          <t>UTM NORTE</t>
        </is>
      </c>
      <c r="G31" s="55" t="inlineStr">
        <is>
          <t>N.° individuos</t>
        </is>
      </c>
      <c r="H31" s="55" t="inlineStr">
        <is>
          <t>Observación</t>
        </is>
      </c>
    </row>
    <row r="32">
      <c r="A32" s="56" t="inlineStr">
        <is>
          <t>1</t>
        </is>
      </c>
      <c r="B32" s="56" t="inlineStr">
        <is>
          <t>Lanche (Myrcianthes rhopaloides)</t>
        </is>
      </c>
      <c r="C32" s="56" t="inlineStr">
        <is>
          <t>Indicadora de buen estado</t>
        </is>
      </c>
      <c r="D32" s="56" t="inlineStr">
        <is>
          <t>NE — No Evaluado</t>
        </is>
      </c>
      <c r="E32" s="56" t="n"/>
      <c r="F32" s="56" t="n"/>
      <c r="G32" s="56" t="n"/>
      <c r="H32" s="56" t="inlineStr">
        <is>
          <t>Elemento estructural del bosque relicto montano; no incluida en el D.S. 043-2006-AG. Determinación específica pendiente.</t>
        </is>
      </c>
    </row>
    <row r="33">
      <c r="A33" s="57" t="inlineStr">
        <is>
          <t>2</t>
        </is>
      </c>
      <c r="B33" s="57" t="inlineStr">
        <is>
          <t>Arrayán (Myrcianthes sp.)</t>
        </is>
      </c>
      <c r="C33" s="57" t="inlineStr">
        <is>
          <t>Indicadora de buen estado</t>
        </is>
      </c>
      <c r="D33" s="57" t="inlineStr">
        <is>
          <t>NE — No Evaluado</t>
        </is>
      </c>
      <c r="E33" s="57" t="n"/>
      <c r="F33" s="57" t="n"/>
      <c r="G33" s="57" t="n"/>
      <c r="H33" s="57" t="inlineStr">
        <is>
          <t>Registrada fotográficamente (F-08). Determinación específica pendiente.</t>
        </is>
      </c>
    </row>
    <row r="34">
      <c r="A34" s="56" t="inlineStr">
        <is>
          <t>3</t>
        </is>
      </c>
      <c r="B34" s="56" t="inlineStr">
        <is>
          <t>Roble andino (Roupala sp.)</t>
        </is>
      </c>
      <c r="C34" s="56" t="inlineStr">
        <is>
          <t>Indicadora de buen estado</t>
        </is>
      </c>
      <c r="D34" s="56" t="inlineStr">
        <is>
          <t>NE — No Evaluado</t>
        </is>
      </c>
      <c r="E34" s="56" t="n"/>
      <c r="F34" s="56" t="n"/>
      <c r="G34" s="56" t="n"/>
      <c r="H34" s="56" t="inlineStr">
        <is>
          <t>Atribución preliminar del nombre local «roble»; requiere colecta botánica.</t>
        </is>
      </c>
    </row>
    <row r="35">
      <c r="A35" s="57" t="inlineStr">
        <is>
          <t>4</t>
        </is>
      </c>
      <c r="B35" s="57" t="inlineStr">
        <is>
          <t>Higuerón (Ficus sp.)</t>
        </is>
      </c>
      <c r="C35" s="57" t="inlineStr">
        <is>
          <t>Indicadora de buen estado</t>
        </is>
      </c>
      <c r="D35" s="57" t="inlineStr">
        <is>
          <t>NE — No Evaluado</t>
        </is>
      </c>
      <c r="E35" s="57" t="n"/>
      <c r="F35" s="57" t="n"/>
      <c r="G35" s="57" t="n"/>
      <c r="H35" s="57" t="inlineStr">
        <is>
          <t>Emergente de quebrada; indica humedad edáfica persistente.</t>
        </is>
      </c>
    </row>
    <row r="36">
      <c r="A36" s="56" t="inlineStr">
        <is>
          <t>5</t>
        </is>
      </c>
      <c r="B36" s="56" t="inlineStr">
        <is>
          <t>Sauco (Sambucus peruviana)</t>
        </is>
      </c>
      <c r="C36" s="56" t="inlineStr">
        <is>
          <t>Clave cultural</t>
        </is>
      </c>
      <c r="D36" s="56" t="inlineStr">
        <is>
          <t>NE — No Evaluado</t>
        </is>
      </c>
      <c r="E36" s="56" t="n"/>
      <c r="F36" s="56" t="n"/>
      <c r="G36" s="56" t="n"/>
      <c r="H36" s="56" t="inlineStr">
        <is>
          <t>Uso medicinal y alimenticio local; especie prioritaria para viveros comunales.</t>
        </is>
      </c>
    </row>
    <row r="37">
      <c r="A37" s="57" t="inlineStr">
        <is>
          <t>6</t>
        </is>
      </c>
      <c r="B37" s="57" t="inlineStr">
        <is>
          <t>Tara (Caesalpinia spinosa)</t>
        </is>
      </c>
      <c r="C37" s="57" t="inlineStr">
        <is>
          <t>Clave cultural</t>
        </is>
      </c>
      <c r="D37" s="57" t="inlineStr">
        <is>
          <t>NE — No Evaluado</t>
        </is>
      </c>
      <c r="E37" s="57" t="n"/>
      <c r="F37" s="57" t="n"/>
      <c r="G37" s="57" t="n"/>
      <c r="H37" s="57" t="inlineStr">
        <is>
          <t>Especie de valor comercial (taninos). Categoría en D.S. 043-2006-AG POR VERIFICAR.</t>
        </is>
      </c>
    </row>
    <row r="38">
      <c r="A38" s="56" t="inlineStr">
        <is>
          <t>7</t>
        </is>
      </c>
      <c r="B38" s="56" t="inlineStr">
        <is>
          <t>Chirimoyo silvestre (Annona sp.)</t>
        </is>
      </c>
      <c r="C38" s="56" t="inlineStr">
        <is>
          <t>Indicadora de buen estado</t>
        </is>
      </c>
      <c r="D38" s="56" t="inlineStr">
        <is>
          <t>NE — No Evaluado</t>
        </is>
      </c>
      <c r="E38" s="56" t="n"/>
      <c r="F38" s="56" t="n"/>
      <c r="G38" s="56" t="n"/>
      <c r="H38" s="56" t="inlineStr">
        <is>
          <t>Frutal nativo asilvestrado; germoplasma local de interés.</t>
        </is>
      </c>
    </row>
    <row r="39">
      <c r="A39" s="57" t="inlineStr">
        <is>
          <t>8</t>
        </is>
      </c>
      <c r="B39" s="57" t="inlineStr">
        <is>
          <t>Matico (Piper aduncum)</t>
        </is>
      </c>
      <c r="C39" s="57" t="inlineStr">
        <is>
          <t>Clave cultural</t>
        </is>
      </c>
      <c r="D39" s="57" t="inlineStr">
        <is>
          <t>NE — No Evaluado</t>
        </is>
      </c>
      <c r="E39" s="57" t="n"/>
      <c r="F39" s="57" t="n"/>
      <c r="G39" s="57" t="n"/>
      <c r="H39" s="57" t="inlineStr">
        <is>
          <t>Registrado fotográficamente (F-06). Medicinal; coloniza bordes y claros.</t>
        </is>
      </c>
    </row>
    <row r="40">
      <c r="A40" s="56" t="inlineStr">
        <is>
          <t>9</t>
        </is>
      </c>
      <c r="B40" s="56" t="inlineStr">
        <is>
          <t>Chilca (Baccharis latifolia)</t>
        </is>
      </c>
      <c r="C40" s="56" t="inlineStr">
        <is>
          <t>Indicadora de perturbación</t>
        </is>
      </c>
      <c r="D40" s="56" t="inlineStr">
        <is>
          <t>NE — No Evaluado</t>
        </is>
      </c>
      <c r="E40" s="56" t="n"/>
      <c r="F40" s="56" t="n"/>
      <c r="G40" s="56" t="n"/>
      <c r="H40" s="56" t="inlineStr">
        <is>
          <t>Arbustiva colonizadora de suelos removidos y bordes de camino.</t>
        </is>
      </c>
    </row>
    <row r="41">
      <c r="A41" s="57" t="inlineStr"/>
      <c r="B41" s="57" t="inlineStr">
        <is>
          <t>Tabaco silvestre (Nicotiana sp.)</t>
        </is>
      </c>
      <c r="C41" s="57" t="inlineStr">
        <is>
          <t>Indicadora de perturbación</t>
        </is>
      </c>
      <c r="D41" s="57" t="inlineStr">
        <is>
          <t>NE — No Evaluado</t>
        </is>
      </c>
      <c r="E41" s="57" t="n"/>
      <c r="F41" s="57" t="n"/>
      <c r="G41" s="57" t="n"/>
      <c r="H41" s="57" t="inlineStr">
        <is>
          <t>Ruderal, indicadora de suelo alterado y de presión de pastoreo.</t>
        </is>
      </c>
    </row>
    <row r="43">
      <c r="A43" s="54" t="inlineStr">
        <is>
          <t>F-DT-04 · MATRIZ DE CAUSAS DE DEGRADACIÓN</t>
        </is>
      </c>
    </row>
    <row r="44">
      <c r="A44" s="55" t="inlineStr">
        <is>
          <t>N.o</t>
        </is>
      </c>
      <c r="B44" s="55" t="inlineStr">
        <is>
          <t>Causa</t>
        </is>
      </c>
      <c r="C44" s="55" t="inlineStr">
        <is>
          <t>Presencia</t>
        </is>
      </c>
      <c r="D44" s="55" t="inlineStr">
        <is>
          <t>Intensidad</t>
        </is>
      </c>
      <c r="E44" s="55" t="inlineStr">
        <is>
          <t>Extensión</t>
        </is>
      </c>
      <c r="F44" s="55" t="inlineStr">
        <is>
          <t>Antigüedad</t>
        </is>
      </c>
      <c r="G44" s="55" t="inlineStr">
        <is>
          <t>Evidencia</t>
        </is>
      </c>
    </row>
    <row r="45">
      <c r="A45" s="56" t="inlineStr">
        <is>
          <t>1</t>
        </is>
      </c>
      <c r="B45" s="56" t="inlineStr">
        <is>
          <t>Sobrepastoreo (caprino/vacuno)</t>
        </is>
      </c>
      <c r="C45" s="56" t="inlineStr"/>
      <c r="D45" s="56" t="inlineStr"/>
      <c r="E45" s="56" t="inlineStr"/>
      <c r="F45" s="56" t="inlineStr"/>
      <c r="G45" s="56" t="inlineStr">
        <is>
          <t>Pastos cultivados y ganado vacuno en el entorno oriental (F-07, F-10). Carga ganadera y ocurrencia dentro del polígono POR VERIFICAR.</t>
        </is>
      </c>
    </row>
    <row r="46">
      <c r="A46" s="57" t="inlineStr">
        <is>
          <t>2</t>
        </is>
      </c>
      <c r="B46" s="57" t="inlineStr">
        <is>
          <t>Tala para leña</t>
        </is>
      </c>
      <c r="C46" s="57" t="inlineStr"/>
      <c r="D46" s="57" t="inlineStr"/>
      <c r="E46" s="57" t="inlineStr"/>
      <c r="F46" s="57" t="inlineStr"/>
      <c r="G46" s="57" t="inlineStr"/>
    </row>
    <row r="47">
      <c r="A47" s="56" t="inlineStr">
        <is>
          <t>3</t>
        </is>
      </c>
      <c r="B47" s="56" t="inlineStr">
        <is>
          <t>Tala para carbón</t>
        </is>
      </c>
      <c r="C47" s="56" t="inlineStr"/>
      <c r="D47" s="56" t="inlineStr"/>
      <c r="E47" s="56" t="inlineStr"/>
      <c r="F47" s="56" t="inlineStr"/>
      <c r="G47" s="56" t="inlineStr"/>
    </row>
    <row r="48">
      <c r="A48" s="57" t="inlineStr">
        <is>
          <t>4</t>
        </is>
      </c>
      <c r="B48" s="57" t="inlineStr">
        <is>
          <t>Tala para madera</t>
        </is>
      </c>
      <c r="C48" s="57" t="inlineStr"/>
      <c r="D48" s="57" t="inlineStr"/>
      <c r="E48" s="57" t="inlineStr"/>
      <c r="F48" s="57" t="inlineStr"/>
      <c r="G48" s="57" t="inlineStr"/>
    </row>
    <row r="49">
      <c r="A49" s="56" t="inlineStr">
        <is>
          <t>5</t>
        </is>
      </c>
      <c r="B49" s="56" t="inlineStr">
        <is>
          <t>Quema (renovación de pastos)</t>
        </is>
      </c>
      <c r="C49" s="56" t="inlineStr"/>
      <c r="D49" s="56" t="inlineStr"/>
      <c r="E49" s="56" t="inlineStr"/>
      <c r="F49" s="56" t="inlineStr"/>
      <c r="G49" s="56" t="inlineStr"/>
    </row>
    <row r="50">
      <c r="A50" s="57" t="inlineStr">
        <is>
          <t>6</t>
        </is>
      </c>
      <c r="B50" s="57" t="inlineStr">
        <is>
          <t>Quema accidental / Incendio</t>
        </is>
      </c>
      <c r="C50" s="57" t="inlineStr"/>
      <c r="D50" s="57" t="inlineStr"/>
      <c r="E50" s="57" t="inlineStr"/>
      <c r="F50" s="57" t="inlineStr"/>
      <c r="G50" s="57" t="inlineStr"/>
    </row>
    <row r="51">
      <c r="A51" s="56" t="inlineStr">
        <is>
          <t>7</t>
        </is>
      </c>
      <c r="B51" s="56" t="inlineStr">
        <is>
          <t>Cambio de uso a agricultura</t>
        </is>
      </c>
      <c r="C51" s="56" t="inlineStr">
        <is>
          <t>Sí</t>
        </is>
      </c>
      <c r="D51" s="56" t="inlineStr">
        <is>
          <t>Ligera</t>
        </is>
      </c>
      <c r="E51" s="56" t="inlineStr">
        <is>
          <t>17</t>
        </is>
      </c>
      <c r="F51" s="56" t="inlineStr"/>
      <c r="G51" s="56" t="inlineStr">
        <is>
          <t>Parcelas de maíz en ladera y claros de cultivo en el tercio norte y flanco occidental del macizo (F-01, F-03, F-12). La extensión consignada corresponde a la superficie con MSAVI 2024 &lt; 0.6139 (11.65 ha ≈ 17.0 % del bloque), tomada como cota superior del área intervenida.</t>
        </is>
      </c>
    </row>
    <row r="52">
      <c r="A52" s="57" t="inlineStr">
        <is>
          <t>8</t>
        </is>
      </c>
      <c r="B52" s="57" t="inlineStr">
        <is>
          <t>Cambio de uso a pastoreo</t>
        </is>
      </c>
      <c r="C52" s="57" t="inlineStr">
        <is>
          <t>Sí</t>
        </is>
      </c>
      <c r="D52" s="57" t="inlineStr">
        <is>
          <t>Ligera</t>
        </is>
      </c>
      <c r="E52" s="57" t="inlineStr"/>
      <c r="F52" s="57" t="inlineStr"/>
      <c r="G52" s="57" t="inlineStr">
        <is>
          <t>Fajas de pastos cultivados de tonalidad verde intensa en el borde oriental del macizo (F-07, F-09, F-10); extensión dentro del polígono por delimitar.</t>
        </is>
      </c>
    </row>
    <row r="53">
      <c r="A53" s="56" t="inlineStr">
        <is>
          <t>9</t>
        </is>
      </c>
      <c r="B53" s="56" t="inlineStr">
        <is>
          <t>Expansión urbana / vial</t>
        </is>
      </c>
      <c r="C53" s="56" t="inlineStr">
        <is>
          <t>Sí</t>
        </is>
      </c>
      <c r="D53" s="56" t="inlineStr">
        <is>
          <t>Ligera</t>
        </is>
      </c>
      <c r="E53" s="56" t="inlineStr"/>
      <c r="F53" s="56" t="inlineStr"/>
      <c r="G53" s="56" t="inlineStr">
        <is>
          <t>C.P. La Cría a 419 m del límite oriental, con trocha carrozable de acceso y red de media tensión. La red vial más próxima dista 225 m del vértice nororiental (medición sobre plano temático).</t>
        </is>
      </c>
    </row>
    <row r="54">
      <c r="A54" s="57" t="inlineStr">
        <is>
          <t>10</t>
        </is>
      </c>
      <c r="B54" s="57" t="inlineStr">
        <is>
          <t>Minería informal</t>
        </is>
      </c>
      <c r="C54" s="57" t="inlineStr"/>
      <c r="D54" s="57" t="inlineStr"/>
      <c r="E54" s="57" t="inlineStr"/>
      <c r="F54" s="57" t="inlineStr"/>
      <c r="G54" s="57" t="inlineStr"/>
    </row>
    <row r="55">
      <c r="A55" s="56" t="inlineStr">
        <is>
          <t>11</t>
        </is>
      </c>
      <c r="B55" s="56" t="inlineStr">
        <is>
          <t>Extracción de áridos (cauces)</t>
        </is>
      </c>
      <c r="C55" s="56" t="inlineStr"/>
      <c r="D55" s="56" t="inlineStr"/>
      <c r="E55" s="56" t="inlineStr"/>
      <c r="F55" s="56" t="inlineStr"/>
      <c r="G55" s="56" t="inlineStr"/>
    </row>
    <row r="56">
      <c r="A56" s="57" t="inlineStr">
        <is>
          <t>12</t>
        </is>
      </c>
      <c r="B56" s="57" t="inlineStr">
        <is>
          <t>Especies invasoras</t>
        </is>
      </c>
      <c r="C56" s="57" t="inlineStr"/>
      <c r="D56" s="57" t="inlineStr"/>
      <c r="E56" s="57" t="inlineStr"/>
      <c r="F56" s="57" t="inlineStr"/>
      <c r="G56" s="57" t="inlineStr"/>
    </row>
    <row r="57">
      <c r="A57" s="56" t="inlineStr">
        <is>
          <t>13</t>
        </is>
      </c>
      <c r="B57" s="56" t="inlineStr">
        <is>
          <t>Erosión natural severa</t>
        </is>
      </c>
      <c r="C57" s="56" t="inlineStr"/>
      <c r="D57" s="56" t="inlineStr"/>
      <c r="E57" s="56" t="inlineStr"/>
      <c r="F57" s="56" t="inlineStr"/>
      <c r="G57" s="56" t="inlineStr"/>
    </row>
    <row r="58">
      <c r="A58" s="57" t="inlineStr">
        <is>
          <t>14</t>
        </is>
      </c>
      <c r="B58" s="57" t="inlineStr">
        <is>
          <t>Sequía prolongada / CC</t>
        </is>
      </c>
      <c r="C58" s="57" t="inlineStr"/>
      <c r="D58" s="57" t="inlineStr"/>
      <c r="E58" s="57" t="inlineStr"/>
      <c r="F58" s="57" t="inlineStr"/>
      <c r="G58" s="57" t="inlineStr"/>
    </row>
    <row r="59">
      <c r="A59" s="56" t="inlineStr">
        <is>
          <t>15</t>
        </is>
      </c>
      <c r="B59" s="56" t="inlineStr">
        <is>
          <t>Plagas o enfermedades forestales</t>
        </is>
      </c>
      <c r="C59" s="56" t="inlineStr"/>
      <c r="D59" s="56" t="inlineStr"/>
      <c r="E59" s="56" t="inlineStr"/>
      <c r="F59" s="56" t="inlineStr"/>
      <c r="G59" s="56" t="inlineStr"/>
    </row>
    <row r="60">
      <c r="A60" s="57" t="inlineStr">
        <is>
          <t>16</t>
        </is>
      </c>
      <c r="B60" s="57" t="inlineStr">
        <is>
          <t>Otro</t>
        </is>
      </c>
      <c r="C60" s="57" t="inlineStr">
        <is>
          <t>Sí</t>
        </is>
      </c>
      <c r="D60" s="57" t="inlineStr">
        <is>
          <t>Ligera</t>
        </is>
      </c>
      <c r="E60" s="57" t="inlineStr"/>
      <c r="F60" s="57" t="inlineStr"/>
      <c r="G60" s="57" t="inlineStr">
        <is>
          <t>OTRO — Forestación con especies exóticas: rodales de eucalipto, pino, ciprés y grevilea en el entorno inmediato (F-03, F-07, F-09). Riesgo de sustitución de flora nativa y de consumo hídrico en cabecera; presencia dentro del polígono por verificar.</t>
        </is>
      </c>
    </row>
    <row r="62">
      <c r="A62" s="54" t="inlineStr">
        <is>
          <t>F-DT-04 · INDICADORES CUANTITATIVOS</t>
        </is>
      </c>
    </row>
    <row r="63">
      <c r="A63" s="55" t="inlineStr">
        <is>
          <t>N.o</t>
        </is>
      </c>
      <c r="B63" s="55" t="inlineStr">
        <is>
          <t>Indicador</t>
        </is>
      </c>
      <c r="C63" s="55" t="inlineStr">
        <is>
          <t>Unidad</t>
        </is>
      </c>
      <c r="D63" s="55" t="inlineStr">
        <is>
          <t>Valor</t>
        </is>
      </c>
      <c r="E63" s="55" t="inlineStr">
        <is>
          <t>Fuente</t>
        </is>
      </c>
      <c r="F63" s="55" t="inlineStr">
        <is>
          <t>Umbral</t>
        </is>
      </c>
      <c r="G63" s="55" t="inlineStr">
        <is>
          <t>Nivel</t>
        </is>
      </c>
    </row>
    <row r="64">
      <c r="A64" s="56" t="inlineStr">
        <is>
          <t>1</t>
        </is>
      </c>
      <c r="B64" s="56" t="inlineStr">
        <is>
          <t>Cobertura vegetal total</t>
        </is>
      </c>
      <c r="C64" s="56" t="inlineStr">
        <is>
          <t>%</t>
        </is>
      </c>
      <c r="D64" s="56" t="inlineStr">
        <is>
          <t>90</t>
        </is>
      </c>
      <c r="E64" s="56" t="inlineStr">
        <is>
          <t>Estimación apoyada en NDVI mediana 2025 (94.0 % veg. alta) y MSAVI 2024</t>
        </is>
      </c>
      <c r="F64" s="56" t="inlineStr">
        <is>
          <t>&gt;60% bueno; 30-60% medio; &lt;30% malo</t>
        </is>
      </c>
      <c r="G64" s="56" t="inlineStr">
        <is>
          <t>Alto</t>
        </is>
      </c>
    </row>
    <row r="65">
      <c r="A65" s="57" t="inlineStr">
        <is>
          <t>2</t>
        </is>
      </c>
      <c r="B65" s="57" t="inlineStr">
        <is>
          <t>Porcentaje de suelo desnudo</t>
        </is>
      </c>
      <c r="C65" s="57" t="inlineStr">
        <is>
          <t>%</t>
        </is>
      </c>
      <c r="D65" s="57" t="inlineStr">
        <is>
          <t>3</t>
        </is>
      </c>
      <c r="E65" s="57" t="inlineStr">
        <is>
          <t>Estimación apoyada en MSAVI 2024: 0 % de superficie en clases ≤ 0.3813</t>
        </is>
      </c>
      <c r="F65" s="57" t="inlineStr">
        <is>
          <t>&lt;10% bueno; 10-30% medio; &gt;30% malo</t>
        </is>
      </c>
      <c r="G65" s="57" t="inlineStr">
        <is>
          <t>Bajo</t>
        </is>
      </c>
    </row>
    <row r="66">
      <c r="A66" s="56" t="inlineStr">
        <is>
          <t>3</t>
        </is>
      </c>
      <c r="B66" s="56" t="inlineStr">
        <is>
          <t>Densidad de cárcavas</t>
        </is>
      </c>
      <c r="C66" s="56" t="inlineStr">
        <is>
          <t>N°/ha</t>
        </is>
      </c>
      <c r="D66" s="56" t="inlineStr">
        <is>
          <t>Por determinar</t>
        </is>
      </c>
      <c r="E66" s="56" t="inlineStr">
        <is>
          <t>Inventario de cárcavas no ejecutado dentro del polígono</t>
        </is>
      </c>
      <c r="F66" s="56" t="inlineStr">
        <is>
          <t>0 nulo; 1-3 medio; &gt;3 alto</t>
        </is>
      </c>
      <c r="G66" s="56" t="inlineStr"/>
    </row>
    <row r="67">
      <c r="A67" s="57" t="inlineStr">
        <is>
          <t>4</t>
        </is>
      </c>
      <c r="B67" s="57" t="inlineStr">
        <is>
          <t>Presencia de especies invasoras</t>
        </is>
      </c>
      <c r="C67" s="57" t="inlineStr">
        <is>
          <t>% área</t>
        </is>
      </c>
      <c r="D67" s="57" t="inlineStr">
        <is>
          <t>Por determinar</t>
        </is>
      </c>
      <c r="E67" s="57" t="inlineStr">
        <is>
          <t>No verificado; forestales exóticas registradas en el entorno</t>
        </is>
      </c>
      <c r="F67" s="57" t="inlineStr">
        <is>
          <t>&lt;5% bueno; 5-20% medio; &gt;20% alto</t>
        </is>
      </c>
      <c r="G67" s="57" t="inlineStr"/>
    </row>
    <row r="68">
      <c r="A68" s="56" t="inlineStr">
        <is>
          <t>5</t>
        </is>
      </c>
      <c r="B68" s="56" t="inlineStr">
        <is>
          <t>Carga ganadera estimada</t>
        </is>
      </c>
      <c r="C68" s="56" t="inlineStr">
        <is>
          <t>UA/ha</t>
        </is>
      </c>
      <c r="D68" s="56" t="inlineStr">
        <is>
          <t>Por determinar</t>
        </is>
      </c>
      <c r="E68" s="56" t="inlineStr">
        <is>
          <t>Requiere entrevistas a titulares y conteo de campo</t>
        </is>
      </c>
      <c r="F68" s="56" t="inlineStr">
        <is>
          <t>Según tipo de ecosistema</t>
        </is>
      </c>
      <c r="G68" s="56" t="inlineStr"/>
    </row>
    <row r="69">
      <c r="A69" s="57" t="inlineStr">
        <is>
          <t>6</t>
        </is>
      </c>
      <c r="B69" s="57" t="inlineStr">
        <is>
          <t>Frecuencia de quemas últimos 5 años</t>
        </is>
      </c>
      <c r="C69" s="57" t="inlineStr">
        <is>
          <t>N°</t>
        </is>
      </c>
      <c r="D69" s="57" t="inlineStr">
        <is>
          <t>Por determinar</t>
        </is>
      </c>
      <c r="E69" s="57" t="inlineStr">
        <is>
          <t>Requiere serie de focos de calor (NASA FIRMS / Sentinel-2)</t>
        </is>
      </c>
      <c r="F69" s="57" t="inlineStr">
        <is>
          <t>0 nulo; 1-2 medio; &gt;2 alto</t>
        </is>
      </c>
      <c r="G69" s="57" t="inlineStr"/>
    </row>
    <row r="70">
      <c r="A70" s="56" t="inlineStr">
        <is>
          <t>7</t>
        </is>
      </c>
      <c r="B70" s="56" t="inlineStr">
        <is>
          <t>% área con pendiente &gt;50%</t>
        </is>
      </c>
      <c r="C70" s="56" t="inlineStr">
        <is>
          <t>%</t>
        </is>
      </c>
      <c r="D70" s="56" t="inlineStr">
        <is>
          <t>Por determinar</t>
        </is>
      </c>
      <c r="E70" s="56" t="inlineStr">
        <is>
          <t>Requiere procesamiento zonal del MDE sobre el polígono</t>
        </is>
      </c>
      <c r="F70" s="56" t="inlineStr">
        <is>
          <t>Factor de susceptibilidad</t>
        </is>
      </c>
      <c r="G70" s="56" t="inlineStr"/>
    </row>
    <row r="71">
      <c r="A71" s="57" t="inlineStr">
        <is>
          <t>8</t>
        </is>
      </c>
      <c r="B71" s="57" t="inlineStr">
        <is>
          <t>Distancia a vía vecinal más cercana</t>
        </is>
      </c>
      <c r="C71" s="57" t="inlineStr">
        <is>
          <t>m</t>
        </is>
      </c>
      <c r="D71" s="57" t="inlineStr">
        <is>
          <t>225</t>
        </is>
      </c>
      <c r="E71" s="57" t="inlineStr">
        <is>
          <t>Medición sobre plano temático MSAVI_Piura_2024 (vértice NE al eje vial)</t>
        </is>
      </c>
      <c r="F71" s="57" t="inlineStr">
        <is>
          <t>A menor distancia → mayor presión</t>
        </is>
      </c>
      <c r="G71" s="57" t="inlineStr">
        <is>
          <t>Medio</t>
        </is>
      </c>
    </row>
    <row r="73">
      <c r="A73" s="54" t="inlineStr">
        <is>
          <t>F-DT-05 · FUENTES DE AGUA INVENTARIADAS</t>
        </is>
      </c>
    </row>
    <row r="74">
      <c r="A74" s="55" t="inlineStr">
        <is>
          <t>N.o</t>
        </is>
      </c>
      <c r="B74" s="55" t="inlineStr">
        <is>
          <t>Tipo de fuente</t>
        </is>
      </c>
      <c r="C74" s="55" t="inlineStr">
        <is>
          <t>UTM ESTE</t>
        </is>
      </c>
      <c r="D74" s="55" t="inlineStr">
        <is>
          <t>UTM NORTE</t>
        </is>
      </c>
      <c r="E74" s="55" t="inlineStr">
        <is>
          <t>Régimen</t>
        </is>
      </c>
      <c r="F74" s="55" t="inlineStr">
        <is>
          <t>Calidad</t>
        </is>
      </c>
      <c r="G74" s="55" t="inlineStr">
        <is>
          <t>Distancia (m)</t>
        </is>
      </c>
      <c r="H74" s="55" t="inlineStr">
        <is>
          <t>Uso / observación</t>
        </is>
      </c>
    </row>
    <row r="75">
      <c r="A75" s="56" t="inlineStr">
        <is>
          <t>1</t>
        </is>
      </c>
      <c r="B75" s="56" t="inlineStr">
        <is>
          <t>Otro</t>
        </is>
      </c>
      <c r="C75" s="61" t="n">
        <v>619278</v>
      </c>
      <c r="D75" s="61" t="n">
        <v>9449154</v>
      </c>
      <c r="E75" s="56" t="inlineStr"/>
      <c r="F75" s="56" t="inlineStr">
        <is>
          <t>No evaluable</t>
        </is>
      </c>
      <c r="G75" s="61" t="n">
        <v>419</v>
      </c>
      <c r="H75" s="56" t="inlineStr">
        <is>
          <t>Caja de captación de concreto armado con tapa metálica, en servicio (F-14). Asociada aparentemente al sistema de agua potable del C.P. La Cría. Nombre de la JASS, caudal, manantial de origen y padrón de usuarios POR VERIFICAR.</t>
        </is>
      </c>
    </row>
    <row r="76">
      <c r="A76" s="57" t="inlineStr">
        <is>
          <t>2</t>
        </is>
      </c>
      <c r="B76" s="57" t="inlineStr">
        <is>
          <t>Otro</t>
        </is>
      </c>
      <c r="C76" s="57" t="n"/>
      <c r="D76" s="57" t="n"/>
      <c r="E76" s="57" t="inlineStr"/>
      <c r="F76" s="57" t="inlineStr"/>
      <c r="G76" s="63" t="n">
        <v>0</v>
      </c>
      <c r="H76" s="57" t="inlineStr">
        <is>
          <t>Curso de agua que delimita el flanco norte del bloque, trazado en la capa hidrográfica del proyecto sobre imagen Google Earth / Airbus. Tipo (quebrada permanente o estacional), régimen, coordenadas y caudal POR PRECISAR en campo; no fue accesible desde las estaciones externas.</t>
        </is>
      </c>
    </row>
    <row r="79">
      <c r="A79" s="54" t="inlineStr">
        <is>
          <t>OBSERVACIONES DEL EVALUADOR POR FICHA</t>
        </is>
      </c>
    </row>
    <row r="80">
      <c r="A80" s="55" t="inlineStr">
        <is>
          <t>Ficha</t>
        </is>
      </c>
      <c r="B80" s="55" t="inlineStr">
        <is>
          <t>Observación registrada en campo</t>
        </is>
      </c>
    </row>
    <row r="81">
      <c r="A81" s="56" t="inlineStr">
        <is>
          <t>F-DT-01</t>
        </is>
      </c>
      <c r="B81" s="56" t="inlineStr">
        <is>
          <t>MODALIDAD DE VERIFICACIÓN — EXTERNA. Ninguna de las 14 estaciones fotográficas se localiza dentro del polígono. Las 13 tomas del 04-09-2026 se concentran en un rectángulo de 53 m (E) × 58 m (N) en el C.P. La Cría, entre 419 y 458 m al este del límite del bloque y a 780–817 m del centroide de catálogo. La toma del 24-06-2026 (617 717 E / 9 450 103 N, azimut 179° S) se sitúa a 729 m al nor-noroeste del límite y encuadra el macizo completo. La completitud del levantamiento interno es NULA (0 %). En consecuencia: (i) los afloramientos rocosos se marcan «Sí» por evidencia directa en la cresta del macizo (F-01) y en el pie de ladera oriental (F-04, F-05, F-13); (ii) escarpes activos, reptación de suelo, deslizamientos antiguos y remociones en masa activas se dejan EN BLANCO —no «No»— porque no son observables desde estaciones externas y una casilla «No» afirmaría una ausencia verificada que este levantamiento no sostiene. La altitud GPS no fue registrada por la aplicación de campo. El punto de muestreo consignado corresponde a la media de las estaciones del 04-09-2026 y es EXTERNO al polígono. Área, microcuenca, provincia, distrito y zona son autocalculados desde el catálogo «Bloques V4» (68.57 ha); el catálogo «Bloques V5 (05-ago)» consigna 68.569 ha y «CP´s y Bloques V5» 68.6 ha; la superficie planimétrica medida sobre el plano temático MSAVI es ≈ 67.56 ha (−1.5 %).</t>
        </is>
      </c>
    </row>
    <row r="82">
      <c r="A82" s="57" t="inlineStr">
        <is>
          <t>F-DT-02</t>
        </is>
      </c>
      <c r="B82" s="57" t="inlineStr">
        <is>
          <t>No se ejecutó inventario georreferenciado de cárcavas DENTRO del polígono: el levantamiento fue externo. Consignar «0» habría significado ausencia verificada de cárcavas, lo que no se ha comprobado; se consigna «No inventariado». Las dos filas E-01 y E-02 registran rasgos erosivos observados en el ENTORNO INMEDIATO (C.P. La Cría, 420–455 m al este del límite del bloque) y NO computan en los indicadores del bloque: se incorporan por su valor diagnóstico sobre el comportamiento de la escorrentía concentrada en el sector. Sus dimensiones (longitud, profundidad, ancho) no fueron medidas y se dejan en blanco. La calificación «Ligera (laminar)» a escala de bloque es preliminar y se sustenta en la continuidad del dosel verificada por sensores remotos: el 83.0 % de la superficie registra MSAVI 2024 &gt; 0.6139 y el 94.0 % clasifica como «vegetación alta» en el NDVI mediana 2025, sin un solo píxel en las clases de suelo desnudo o degradación crítica. Sellamiento superficial, compactación por pisoteo y raíces expuestas requieren observación directa en calicata o punto de control y quedan en blanco.</t>
        </is>
      </c>
    </row>
    <row r="83">
      <c r="A83" s="56" t="inlineStr">
        <is>
          <t>F-DT-04</t>
        </is>
      </c>
      <c r="B83" s="56" t="inlineStr">
        <is>
          <t>El Bloque 39 es, en términos de cobertura, uno de los bloques mejor conservados del catálogo del proyecto: su MSAVI 2024 de 0.7016 lo ubica en el 5.° lugar entre los 127 bloques inventariados y es el más alto de su microcuenca (C1096-Q9564: 0.7016 en el B-39 frente a 0.6777 en el B-56 y 0.6711 en el B-13). El diagnóstico de degradación es, por tanto, de PRESIÓN DE BORDE y no de deterioro consumado: la intervención pertinente es de CONSERVACIÓN Y ENRIQUECIMIENTO —clausura, acuerdos de conservación, control del avance agrícola en la franja de contacto— y no de restauración intensiva, que sería técnicamente innecesaria y económicamente ineficiente sobre un dosel funcional. Las casillas de presencia en blanco NO equivalen a «No»: significan que la causa no fue verificada desde estaciones externas.</t>
        </is>
      </c>
    </row>
    <row r="84">
      <c r="A84" s="57" t="inlineStr">
        <is>
          <t>F-DT-05</t>
        </is>
      </c>
      <c r="B84" s="57" t="inlineStr">
        <is>
          <t>La calificación «Sí» de zona de recarga se sustenta en la posición del bloque en cabecera de la microcuenca C1096-Q9564, en la continuidad del dosel (83.0 % del área con MSAVI &gt; 0.6139) y en la existencia de una captación poblacional en servicio a 419 m aguas abajo del límite oriental; su confirmación exige caracterización hidrogeológica. La humedad persistente se sustenta en la neblina registrada en las tomas del 04-09-2026 en pleno estiaje (F-03 a F-14) y en el dosel verde continuo del macizo. La escorrentía concentrada se evidencia en los dos rasgos erosivos activos sobre la calle y la trocha del C.P. La Cría (E-01 y E-02, ficha F-DT-02), ambos externos al polígono. Transitabilidad en época lluviosa, tiempos de viaje, señal celular, operador, alojamiento y requerimiento de autorización de Ronda Campesina NO fueron levantados y se dejan en blanco; deben completarse en la siguiente salida en coordinación con la brigada social. La distancia de 419 m es la separación horizontal medida entre la caja de captación y el límite oriental del polígono sobre el plano temático georreferenciado.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39</t>
        </is>
      </c>
    </row>
    <row r="7">
      <c r="A7" s="54" t="inlineStr">
        <is>
          <t>Hechos declarados por fuente</t>
        </is>
      </c>
    </row>
    <row r="8">
      <c r="A8" s="55" t="inlineStr">
        <is>
          <t>Fuente</t>
        </is>
      </c>
      <c r="B8" s="55" t="inlineStr">
        <is>
          <t>Hechos</t>
        </is>
      </c>
    </row>
    <row r="9">
      <c r="A9" s="56" t="inlineStr">
        <is>
          <t>Dato de campo</t>
        </is>
      </c>
      <c r="B9" s="56" t="n">
        <v>51</v>
      </c>
    </row>
    <row r="10">
      <c r="A10" s="57" t="inlineStr">
        <is>
          <t>Gabinete (GIS / teledetección)</t>
        </is>
      </c>
      <c r="B10" s="57" t="n">
        <v>24</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85</v>
      </c>
    </row>
    <row r="31">
      <c r="A31" s="57" t="inlineStr">
        <is>
          <t>COMPLEMENTADO</t>
        </is>
      </c>
      <c r="B31" s="57" t="n">
        <v>3</v>
      </c>
    </row>
    <row r="32">
      <c r="A32" s="56" t="inlineStr">
        <is>
          <t>ACTUALIZADO</t>
        </is>
      </c>
      <c r="B32" s="56" t="n">
        <v>1</v>
      </c>
    </row>
    <row r="33">
      <c r="A33" s="57" t="inlineStr">
        <is>
          <t>DISCREPANTE</t>
        </is>
      </c>
      <c r="B33" s="57" t="n">
        <v>0</v>
      </c>
    </row>
    <row r="34">
      <c r="A34" s="56" t="inlineStr">
        <is>
          <t>PENDIENTE</t>
        </is>
      </c>
      <c r="B34" s="56" t="n">
        <v>25</v>
      </c>
    </row>
    <row r="51">
      <c r="A51" s="54" t="inlineStr">
        <is>
          <t>Cobertura por estrato — campo (%)</t>
        </is>
      </c>
    </row>
    <row r="52">
      <c r="A52" s="55" t="inlineStr">
        <is>
          <t>Estrato</t>
        </is>
      </c>
      <c r="B52" s="55" t="inlineStr">
        <is>
          <t>% del área</t>
        </is>
      </c>
    </row>
    <row r="53">
      <c r="A53" s="56" t="inlineStr">
        <is>
          <t>Dosel</t>
        </is>
      </c>
      <c r="B53" s="61" t="n">
        <v>70</v>
      </c>
    </row>
    <row r="54">
      <c r="A54" s="57" t="inlineStr">
        <is>
          <t>Arbustiva</t>
        </is>
      </c>
      <c r="B54" s="62" t="n">
        <v>20</v>
      </c>
    </row>
    <row r="55">
      <c r="A55" s="56" t="inlineStr">
        <is>
          <t>Herbácea</t>
        </is>
      </c>
      <c r="B55" s="61" t="n">
        <v>15</v>
      </c>
    </row>
    <row r="56">
      <c r="A56" s="57" t="inlineStr">
        <is>
          <t>Suelo desnudo</t>
        </is>
      </c>
      <c r="B56" s="63" t="n">
        <v>3</v>
      </c>
    </row>
    <row r="73">
      <c r="A73" s="54" t="inlineStr">
        <is>
          <t>Causas activas de degradación (F-DT-04)</t>
        </is>
      </c>
    </row>
    <row r="74">
      <c r="A74" s="55" t="inlineStr">
        <is>
          <t>Causa</t>
        </is>
      </c>
      <c r="B74" s="55" t="inlineStr">
        <is>
          <t>Intensidad (1 ligera - 4 muy fuerte)</t>
        </is>
      </c>
    </row>
    <row r="75">
      <c r="A75" s="56" t="inlineStr">
        <is>
          <t>Cambio de uso a agricultura</t>
        </is>
      </c>
      <c r="B75" s="56" t="n">
        <v>1</v>
      </c>
    </row>
    <row r="76">
      <c r="A76" s="57" t="inlineStr">
        <is>
          <t>Cambio de uso a pastoreo</t>
        </is>
      </c>
      <c r="B76" s="57" t="n">
        <v>1</v>
      </c>
    </row>
    <row r="77">
      <c r="A77" s="56" t="inlineStr">
        <is>
          <t>Expansión urbana / vial</t>
        </is>
      </c>
      <c r="B77" s="56" t="n">
        <v>1</v>
      </c>
    </row>
    <row r="78">
      <c r="A78" s="57" t="inlineStr">
        <is>
          <t>Otro</t>
        </is>
      </c>
      <c r="B78" s="57" t="n">
        <v>1</v>
      </c>
    </row>
    <row r="95">
      <c r="A95" s="54" t="inlineStr">
        <is>
          <t>Control de consistencia por calificación</t>
        </is>
      </c>
    </row>
    <row r="96">
      <c r="A96" s="55" t="inlineStr">
        <is>
          <t>Calificación</t>
        </is>
      </c>
      <c r="B96" s="55" t="inlineStr">
        <is>
          <t>Verificaciones</t>
        </is>
      </c>
    </row>
    <row r="97">
      <c r="A97" s="56" t="inlineStr">
        <is>
          <t>SUSTANTIVA</t>
        </is>
      </c>
      <c r="B97" s="56" t="n">
        <v>2</v>
      </c>
    </row>
    <row r="98">
      <c r="A98" s="57" t="inlineStr">
        <is>
          <t>NO SUSTANTIVA</t>
        </is>
      </c>
      <c r="B98" s="57" t="n">
        <v>1</v>
      </c>
    </row>
    <row r="99">
      <c r="A99" s="56" t="inlineStr">
        <is>
          <t>CORREGIDO</t>
        </is>
      </c>
      <c r="B99" s="56" t="n">
        <v>1</v>
      </c>
    </row>
    <row r="100">
      <c r="A100" s="57" t="inlineStr">
        <is>
          <t>CONFORME</t>
        </is>
      </c>
      <c r="B100"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39 — IN Piura</dc:title>
  <dc:subject>Diagnóstico Territorial por bloque de intervención</dc:subject>
  <dcterms:created xsi:type="dcterms:W3CDTF">2026-09-08T03:39:59Z</dcterms:created>
  <dcterms:modified xsi:type="dcterms:W3CDTF">2026-09-11T20:22:27Z</dcterms:modified>
</cp:coreProperties>
</file>