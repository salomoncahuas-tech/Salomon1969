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5" borderId="7" pivotButton="0" quotePrefix="0" xfId="0"/>
    <xf numFmtId="4" fontId="6" fillId="0"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57</t>
        </is>
      </c>
    </row>
    <row r="6" ht="24" customHeight="1">
      <c r="A6" s="4" t="inlineStr">
        <is>
          <t>Diagnóstico Territorial — Plantilla DT Campo Check Validada V5 | Sistema de referencia: UTM WGS 84 Zona 17S (EPSG:32717) · Integrado con la ficha de campo F-DT vigente (Plantilla_DT_Campo_Bloque57_V5.xlsx) — V7 - resumen V6 + campo F-DT integrado</t>
        </is>
      </c>
    </row>
    <row r="7"/>
    <row r="8" ht="18" customHeight="1">
      <c r="A8" s="5" t="inlineStr">
        <is>
          <t>1. IDENTIFICACIÓN Y LOCALIZACIÓN</t>
        </is>
      </c>
    </row>
    <row r="9">
      <c r="A9" s="6" t="inlineStr">
        <is>
          <t>Código del bloque</t>
        </is>
      </c>
      <c r="B9" s="7" t="inlineStr">
        <is>
          <t>57</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49" t="inlineStr">
        <is>
          <t>Taspa / San Lorenzo (ref. Los Lúcumos)</t>
        </is>
      </c>
      <c r="C13" s="6" t="inlineStr">
        <is>
          <t>Comunidad campesina</t>
        </is>
      </c>
      <c r="D13" s="49" t="inlineStr">
        <is>
          <t>Comunidad Campesina Chalaco - Trigopampa (según F-DS-03)</t>
        </is>
      </c>
      <c r="E13" s="8" t="n"/>
      <c r="F13" s="8" t="n"/>
    </row>
    <row r="14">
      <c r="A14" s="6" t="inlineStr">
        <is>
          <t>Superficie de catálogo (V5/V6), ha</t>
        </is>
      </c>
      <c r="B14" s="7" t="n">
        <v>25.67</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2306</v>
      </c>
      <c r="C19" s="6" t="inlineStr">
        <is>
          <t>Altitud máxima (msnm)</t>
        </is>
      </c>
      <c r="D19" s="7" t="n">
        <v>2624</v>
      </c>
      <c r="E19" s="8" t="n"/>
      <c r="F19" s="8" t="n"/>
    </row>
    <row r="20">
      <c r="A20" s="6" t="inlineStr">
        <is>
          <t>Amplitud altitudinal (m)</t>
        </is>
      </c>
      <c r="B20" s="7" t="n">
        <v>318</v>
      </c>
      <c r="C20" s="6" t="inlineStr">
        <is>
          <t>Piso altitudinal dominante</t>
        </is>
      </c>
      <c r="D20" s="7" t="inlineStr">
        <is>
          <t>2000-2500 m (Quechua alta)</t>
        </is>
      </c>
      <c r="E20" s="8" t="n"/>
      <c r="F20" s="8" t="n"/>
    </row>
    <row r="21">
      <c r="A21" s="6" t="inlineStr">
        <is>
          <t>Pendiente promedio (%)</t>
        </is>
      </c>
      <c r="B21" s="7" t="n">
        <v>30.44</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(82.90 %)</t>
        </is>
      </c>
      <c r="E29" s="8" t="n"/>
      <c r="F29" s="8" t="n"/>
    </row>
    <row r="30">
      <c r="A30" s="6" t="inlineStr">
        <is>
          <t>Superficie clasificada NDVI 2025 (ha)</t>
        </is>
      </c>
      <c r="B30" s="7" t="n">
        <v>25.677</v>
      </c>
      <c r="C30" s="6" t="inlineStr">
        <is>
          <t>Desviación frente al catálogo (%)</t>
        </is>
      </c>
      <c r="D30" s="7" t="n">
        <v>0.03</v>
      </c>
      <c r="E30" s="8" t="n"/>
      <c r="F30" s="8" t="n"/>
    </row>
    <row r="31">
      <c r="A31" s="6" t="inlineStr">
        <is>
          <t>Superficie clasificada MSAVI 2024 (ha)</t>
        </is>
      </c>
      <c r="B31" s="37" t="n">
        <v>25.668</v>
      </c>
      <c r="C31" s="6" t="inlineStr">
        <is>
          <t>Desviación MSAVI frente al catálogo (%)</t>
        </is>
      </c>
      <c r="D31" s="38" t="n">
        <v>-0.01</v>
      </c>
      <c r="E31" s="8" t="n"/>
      <c r="F31" s="8" t="n"/>
    </row>
    <row r="32">
      <c r="A32" s="6" t="inlineStr">
        <is>
          <t>Superficie bajo umbral MSAVI 0.4976 (ha)</t>
        </is>
      </c>
      <c r="B32" s="37" t="n">
        <v>1.176</v>
      </c>
      <c r="C32" s="6" t="inlineStr">
        <is>
          <t>% del bloque bajo umbral (brecha espectral)</t>
        </is>
      </c>
      <c r="D32" s="38" t="n">
        <v>4.58</v>
      </c>
      <c r="E32" s="8" t="n"/>
      <c r="F32" s="8" t="n"/>
    </row>
    <row r="33">
      <c r="A33" s="6" t="inlineStr">
        <is>
          <t>Clase DN dominante (MSAVI 2024)</t>
        </is>
      </c>
      <c r="B33" s="7" t="inlineStr">
        <is>
          <t>DN 4 · 0.4976 - 0.6139 (Vigor moderado)</t>
        </is>
      </c>
      <c r="C33" s="6" t="inlineStr">
        <is>
          <t>N.° de polígonos MSAVI del bloque</t>
        </is>
      </c>
      <c r="D33" s="39" t="n">
        <v>88</v>
      </c>
      <c r="E33" s="8" t="n"/>
      <c r="F33" s="8" t="n"/>
    </row>
    <row r="34"/>
    <row r="35" ht="18" customHeight="1">
      <c r="A35" s="5" t="inlineStr">
        <is>
          <t>4. ECOSISTEMA Y ESTADO DE CONSERVACIÓN</t>
        </is>
      </c>
    </row>
    <row r="36">
      <c r="A36" s="6" t="inlineStr">
        <is>
          <t>Tipo de ecosistema (UP)</t>
        </is>
      </c>
      <c r="B36" s="7" t="inlineStr">
        <is>
          <t>Matorral Andino húmedo</t>
        </is>
      </c>
      <c r="C36" s="6" t="inlineStr">
        <is>
          <t>Superficie de ecosistema (ha)</t>
        </is>
      </c>
      <c r="D36" s="7" t="inlineStr">
        <is>
          <t>21.26 ha de matorral andino húmedo (de 25.67 ha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Héctor Salomón Cahuas Miller y equipo de campo IN Piura</t>
        </is>
      </c>
      <c r="C44" s="6" t="inlineStr">
        <is>
          <t>Fecha de evaluación</t>
        </is>
      </c>
      <c r="D44" s="7" t="inlineStr">
        <is>
          <t>2026-07-01</t>
        </is>
      </c>
      <c r="E44" s="8" t="n"/>
      <c r="F44" s="8" t="n"/>
    </row>
    <row r="45">
      <c r="A45" s="6" t="inlineStr">
        <is>
          <t>Hora de registro</t>
        </is>
      </c>
      <c r="B45" s="49" t="inlineStr">
        <is>
          <t>10:27 a 11:30 h</t>
        </is>
      </c>
      <c r="C45" s="6" t="inlineStr">
        <is>
          <t>Correlativo de ficha</t>
        </is>
      </c>
      <c r="D45" s="7" t="inlineStr">
        <is>
          <t>DT-57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sostenida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10.1498</v>
      </c>
      <c r="C10" s="19">
        <f>ROUND(B10/$B$15*100,2)</f>
        <v/>
      </c>
      <c r="D10" s="11" t="inlineStr">
        <is>
          <t>Vigor alto</t>
        </is>
      </c>
      <c r="E10" s="11" t="inlineStr">
        <is>
          <t>Sobre umbral</t>
        </is>
      </c>
    </row>
    <row r="11">
      <c r="A11" s="12" t="inlineStr">
        <is>
          <t>0.4976 - 0.6139 · DN 4</t>
        </is>
      </c>
      <c r="B11" s="31" t="n">
        <v>14.342</v>
      </c>
      <c r="C11" s="30">
        <f>ROUND(B11/$B$15*100,2)</f>
        <v/>
      </c>
      <c r="D11" s="13" t="inlineStr">
        <is>
          <t>Vigor moderado</t>
        </is>
      </c>
      <c r="E11" s="13" t="inlineStr">
        <is>
          <t>Sobre umbral</t>
        </is>
      </c>
    </row>
    <row r="12">
      <c r="A12" s="7" t="inlineStr">
        <is>
          <t>0.3813 - 0.4976 · DN 3</t>
        </is>
      </c>
      <c r="B12" s="18" t="n">
        <v>1.1762</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88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25.67</v>
      </c>
      <c r="C18" s="48" t="inlineStr">
        <is>
          <t>—</t>
        </is>
      </c>
      <c r="D18" s="45" t="inlineStr">
        <is>
          <t>Desviación planimétrica frente al catálogo</t>
        </is>
      </c>
      <c r="E18" s="45" t="inlineStr">
        <is>
          <t>-0.01 %</t>
        </is>
      </c>
    </row>
    <row r="19">
      <c r="A19" s="16" t="inlineStr">
        <is>
          <t>MSAVI 2024 — MEDIA DEL BLOQUE</t>
        </is>
      </c>
      <c r="B19" s="17" t="n">
        <v>0.603055</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(0.6031)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21.2854</v>
      </c>
      <c r="C25" s="19" t="n">
        <v>82.90000000000001</v>
      </c>
      <c r="D25" s="11" t="inlineStr">
        <is>
          <t>Dosel continuo, matorral denso o mosaico agroforestal</t>
        </is>
      </c>
      <c r="E25" s="11" t="inlineStr"/>
    </row>
    <row r="26">
      <c r="A26" s="14" t="inlineStr">
        <is>
          <t>Vegetación mediana</t>
        </is>
      </c>
      <c r="B26" s="20" t="n">
        <v>4.3623</v>
      </c>
      <c r="C26" s="21" t="n">
        <v>16.99</v>
      </c>
      <c r="D26" s="15" t="inlineStr">
        <is>
          <t>Pastizal cultivado, matorral ralo, parcelas agrícolas</t>
        </is>
      </c>
      <c r="E26" s="15" t="inlineStr"/>
    </row>
    <row r="27">
      <c r="A27" s="7" t="inlineStr">
        <is>
          <t>Vegetación ligera</t>
        </is>
      </c>
      <c r="B27" s="18" t="n">
        <v>0.0297</v>
      </c>
      <c r="C27" s="19" t="n">
        <v>0.12</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25.67</v>
      </c>
      <c r="C29" s="25" t="inlineStr">
        <is>
          <t>—</t>
        </is>
      </c>
      <c r="D29" s="25" t="inlineStr">
        <is>
          <t>Desviación planimétrica frente al catálogo</t>
        </is>
      </c>
      <c r="E29" s="25" t="inlineStr">
        <is>
          <t>+0.03 %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82.90 % del polígono clasificado como «Vegetación alta» por el NDVI 2025; la observación de campo corresponde a una parcela o recorrido puntual y no es estadísticamente representativa de las 25.670 ha del bloque.</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57</t>
        </is>
      </c>
    </row>
    <row r="6" ht="24" customHeight="1">
      <c r="A6" s="4" t="inlineStr">
        <is>
          <t>Levantamiento del 2026-07-01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631723</v>
      </c>
      <c r="D10" s="26" t="n">
        <v>9439702</v>
      </c>
      <c r="E10" s="11" t="n">
        <v>2141.1</v>
      </c>
      <c r="F10" s="11" t="inlineStr"/>
      <c r="G10" s="11" t="inlineStr">
        <is>
          <t>Coordenada consignada en F-DT-01</t>
        </is>
      </c>
    </row>
    <row r="11">
      <c r="A11" s="14" t="inlineStr">
        <is>
          <t>H-01</t>
        </is>
      </c>
      <c r="B11" s="15" t="inlineStr">
        <is>
          <t>Fuente de agua — Manantial / Puquio</t>
        </is>
      </c>
      <c r="C11" s="27" t="n">
        <v>631909</v>
      </c>
      <c r="D11" s="27" t="n">
        <v>9440083</v>
      </c>
      <c r="E11" s="15" t="n">
        <v>1838.3</v>
      </c>
      <c r="F11" s="15" t="inlineStr">
        <is>
          <t>Permanente</t>
        </is>
      </c>
      <c r="G11" s="15" t="inlineStr">
        <is>
          <t>Pileta/reservorio de captación dentro del bloque</t>
        </is>
      </c>
    </row>
    <row r="12">
      <c r="A12" s="7" t="inlineStr">
        <is>
          <t>H-02</t>
        </is>
      </c>
      <c r="B12" s="11" t="inlineStr">
        <is>
          <t>Fuente de agua — Quebrada estacional</t>
        </is>
      </c>
      <c r="C12" s="26" t="inlineStr">
        <is>
          <t>Por verificar</t>
        </is>
      </c>
      <c r="D12" s="26" t="inlineStr">
        <is>
          <t>Por verificar</t>
        </is>
      </c>
      <c r="E12" s="11" t="inlineStr"/>
      <c r="F12" s="11" t="inlineStr">
        <is>
          <t>Estacional</t>
        </is>
      </c>
      <c r="G12" s="11" t="inlineStr">
        <is>
          <t>Quebrada tributaria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631195</v>
      </c>
      <c r="C15" s="6" t="inlineStr">
        <is>
          <t>Centroide del bloque — UTM NORTE (m)</t>
        </is>
      </c>
      <c r="D15" s="7" t="n">
        <v>9441777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42.7% y máxima 65.0% (perfil Google Earth). Se observó reptación de suelo en laderas de pastoreo y un parche de suelo expuesto rojizo (631 809 E · 9 440 087 N) cuya naturaleza (remoción incipiente vs. desbroce) queda por verificar. NOTA DE CATÁLOGO: el centroide de campo (631 723 E · 9 439 702 N, Centroides_V5) coincide con la evidencia GPS; el registro este/norte de «Bloques V4» (631 195 E · 9 441 777 N) difiere ≈2.1 km al N y debe revisarse.</t>
        </is>
      </c>
      <c r="B18" s="40" t="n"/>
      <c r="C18" s="40" t="n"/>
      <c r="D18" s="40" t="n"/>
      <c r="E18" s="40" t="n"/>
      <c r="F18" s="40" t="n"/>
      <c r="G18" s="41"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57</t>
        </is>
      </c>
    </row>
    <row r="6" ht="24" customHeight="1">
      <c r="A6" s="4" t="inlineStr">
        <is>
          <t>Distrito de Chalaco · Provincia de Morropon · Comparación de los bloques preliminares de intervención de la misma microcuenca</t>
        </is>
      </c>
    </row>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M36B2</t>
        </is>
      </c>
      <c r="B10" s="28" t="n">
        <v>28.19</v>
      </c>
      <c r="C10" s="19" t="n">
        <v>52.34</v>
      </c>
      <c r="D10" s="11" t="inlineStr">
        <is>
          <t>1331 – 1533</t>
        </is>
      </c>
      <c r="E10" s="11" t="n">
        <v>202</v>
      </c>
      <c r="F10" s="11" t="n">
        <v>29.67</v>
      </c>
      <c r="G10" s="18" t="n">
        <v>0.5974</v>
      </c>
      <c r="H10" s="19" t="n">
        <v>82.34999999999999</v>
      </c>
      <c r="I10" s="19" t="n">
        <v>4.97</v>
      </c>
    </row>
    <row r="11">
      <c r="A11" s="12" t="inlineStr">
        <is>
          <t>► 57</t>
        </is>
      </c>
      <c r="B11" s="29" t="n">
        <v>25.67</v>
      </c>
      <c r="C11" s="30" t="n">
        <v>47.66</v>
      </c>
      <c r="D11" s="13" t="inlineStr">
        <is>
          <t>2306 – 2624</t>
        </is>
      </c>
      <c r="E11" s="13" t="n">
        <v>318</v>
      </c>
      <c r="F11" s="13" t="n">
        <v>30.44</v>
      </c>
      <c r="G11" s="31" t="n">
        <v>0.6031</v>
      </c>
      <c r="H11" s="30" t="n">
        <v>82.90000000000001</v>
      </c>
      <c r="I11" s="30" t="n">
        <v>4.58</v>
      </c>
    </row>
    <row r="12">
      <c r="A12" s="16" t="inlineStr">
        <is>
          <t>TOTAL / PROMEDIO</t>
        </is>
      </c>
      <c r="B12" s="32">
        <f>SUM(B10:B11)</f>
        <v/>
      </c>
      <c r="C12" s="23">
        <f>SUM(C10:C11)</f>
        <v/>
      </c>
      <c r="D12" s="17" t="inlineStr">
        <is>
          <t>1331 – 2624</t>
        </is>
      </c>
      <c r="E12" s="17" t="inlineStr"/>
      <c r="F12" s="17">
        <f>ROUND(AVERAGE(F10:F11),2)</f>
        <v/>
      </c>
      <c r="G12" s="22">
        <f>ROUND(AVERAGE(G10:G11),4)</f>
        <v/>
      </c>
      <c r="H12" s="23">
        <f>ROUND(AVERAGE(H10:H11),2)</f>
        <v/>
      </c>
      <c r="I12" s="23">
        <f>ROUND(AVERAGE(I10:I11),2)</f>
        <v/>
      </c>
    </row>
    <row r="14" ht="84" customHeight="1">
      <c r="A14" s="9" t="inlineStr">
        <is>
          <t>LECTURA INTRAMICROCUENCA. El bloque 57 ocupa el puesto 2 de 2 por superficie dentro de la microcuenca C1086-Q9576 (47.66 % de las 53.86 ha preliminares de la microcuenca). Su pendiente promedio (30.44 %, clase «25-50% (Mod. escarpado)») es la 2.ª más baja de 2 y se sitúa por encima del promedio de la microcuenca (30.05 %). Su MSAVI 2024 (0.6031) es el 1.º de 2 y queda por encima del promedio local (0.6002). Amplitud altitudinal del bloque: 318 m (2306–2624 msnm). El cuadro conserva todos los bloques catalogados en la microcuenca, incluidos los descartados en el tamizaje, para referencia del conjunto. Los bloques sin ficha DT figuran con sus parámetros de gabinete. BRECHA ESPECTRAL. El 4.58 % de la superficie del bloque (1.176 ha de 25.668 ha) se sitúa bajo el umbral MSAVI 0.4976, por debajo del promedio local de la microcuenca (4.78 %)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57</t>
        </is>
      </c>
    </row>
    <row r="6">
      <c r="A6" s="51" t="inlineStr">
        <is>
          <t>Cruce de la ficha de campo F-DT vigente con la ficha de resumen de gabinete y el catálogo maestro. Integración 2026-09-11 21:26:28.</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«C1086-Q9576».</t>
        </is>
      </c>
      <c r="D9" s="55" t="inlineStr">
        <is>
          <t>CONFORME</t>
        </is>
      </c>
      <c r="E9" s="55" t="inlineStr">
        <is>
          <t>Sin acción.</t>
        </is>
      </c>
    </row>
    <row r="10">
      <c r="A10" s="56" t="inlineStr">
        <is>
          <t>G-02</t>
        </is>
      </c>
      <c r="B10" s="56" t="inlineStr">
        <is>
          <t>UTM del punto de muestreo</t>
        </is>
      </c>
      <c r="C10" s="56" t="inlineStr">
        <is>
          <t>El punto de muestreo declarado dista 2141.1 m del centroide del bloque, por encima del radio de control de 1500 m.</t>
        </is>
      </c>
      <c r="D10" s="56" t="inlineStr">
        <is>
          <t>NO SUSTANTIVA</t>
        </is>
      </c>
      <c r="E10" s="56" t="inlineStr">
        <is>
          <t>Se verifica en gabinete si la estación cae dentro del polígono; el dato de campo se conserva como referencia de acceso.</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(25.677 ha) se desvía 0.03 % de la superficie de catálogo (25.67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(25.668 ha) se desvía -0.01 % de la superficie de catálogo (25.67 ha).</t>
        </is>
      </c>
      <c r="D14" s="56" t="inlineStr">
        <is>
          <t>CONFORME</t>
        </is>
      </c>
      <c r="E14" s="56" t="inlineStr">
        <is>
          <t>Sin acción: la segmentación valida la geometría del bloque.</t>
        </is>
      </c>
    </row>
    <row r="15">
      <c r="A15" s="55" t="inlineStr">
        <is>
          <t>G-07</t>
        </is>
      </c>
      <c r="B15" s="55" t="inlineStr">
        <is>
          <t>Brecha espectral MSAVI</t>
        </is>
      </c>
      <c r="C15" s="55" t="inlineStr">
        <is>
          <t>El 4.58 % del bloque queda bajo el umbral 0.4976; superficie de brecha 1.1762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25.67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(0.6031)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Centro poblado asociado</t>
        </is>
      </c>
      <c r="C19" s="55" t="inlineStr">
        <is>
          <t>El libro de resumen V6 consignaba «Taspa (631 621 E · 9 440 841 N; 250 hab.) / San Lorenzo (126 hab.) — ref. Los Lúcumos»; la ficha de campo vigente declara «Taspa / San Lorenzo (ref. Los Lúcumos)».</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Responsable de la evaluación</t>
        </is>
      </c>
      <c r="C20" s="56" t="inlineStr">
        <is>
          <t>El libro de resumen V6 consignaba «Ing. Héctor S. Cahuas Miller»; la ficha de campo vigente declara «Ing. Héctor Salomón Cahuas Miller y equipo de campo IN Piura».</t>
        </is>
      </c>
      <c r="D20" s="56" t="inlineStr">
        <is>
          <t>CORREGIDO</t>
        </is>
      </c>
      <c r="E20" s="56" t="inlineStr">
        <is>
          <t>Se adopta el valor de campo por ser la fuente que manda sobre el dato y la más reciente. El valor anterior queda declarado para trazabilidad.</t>
        </is>
      </c>
    </row>
    <row r="21">
      <c r="A21" s="55" t="inlineStr">
        <is>
          <t>I-03</t>
        </is>
      </c>
      <c r="B21" s="55" t="inlineStr">
        <is>
          <t>Hora de registro</t>
        </is>
      </c>
      <c r="C21" s="55" t="inlineStr">
        <is>
          <t>El libro de resumen V6 consignaba «10:27 - 11:30 h»; la ficha de campo vigente declara «10:27 a 11:30 h».</t>
        </is>
      </c>
      <c r="D21" s="55" t="inlineStr">
        <is>
          <t>CORREGIDO</t>
        </is>
      </c>
      <c r="E21" s="55" t="inlineStr">
        <is>
          <t>Se adopta el valor de campo por ser la fuente que manda sobre el dato y la más reciente. El valor anterior queda declarado para trazabilidad.</t>
        </is>
      </c>
    </row>
    <row r="22">
      <c r="A22" s="56" t="inlineStr">
        <is>
          <t>F-01</t>
        </is>
      </c>
      <c r="B22" s="56" t="inlineStr">
        <is>
          <t>Fichas F-DT levantadas</t>
        </is>
      </c>
      <c r="C22" s="56" t="inlineStr">
        <is>
          <t>La plantilla de campo trae las cinco fichas F-DT-01 a F-DT-05 (completitud 96.4 % de los campos esperados).</t>
        </is>
      </c>
      <c r="D22" s="56" t="inlineStr">
        <is>
          <t>CONFORME</t>
        </is>
      </c>
      <c r="E22" s="56" t="inlineStr">
        <is>
          <t>Sin acción.</t>
        </is>
      </c>
    </row>
    <row r="23">
      <c r="A23" s="55" t="inlineStr">
        <is>
          <t>F-02</t>
        </is>
      </c>
      <c r="B23" s="55" t="inlineStr">
        <is>
          <t>Cobertura de la integración</t>
        </is>
      </c>
      <c r="C23" s="55" t="inlineStr">
        <is>
          <t>Se declararon 101 de 114 hechos integrados (88.6 %); 13 quedan sin dato en ninguna fuente.</t>
        </is>
      </c>
      <c r="D23" s="55" t="inlineStr">
        <is>
          <t>CONFORME</t>
        </is>
      </c>
      <c r="E23" s="55" t="inlineStr">
        <is>
          <t>Sin acción.</t>
        </is>
      </c>
    </row>
    <row r="24">
      <c r="A24" s="56" t="inlineStr">
        <is>
          <t>H-01</t>
        </is>
      </c>
      <c r="B24" s="56" t="inlineStr">
        <is>
          <t>Cobertura vegetal total</t>
        </is>
      </c>
      <c r="C24" s="56" t="inlineStr">
        <is>
          <t>La ficha DT estima 85 % de cobertura vegetal en campo; el NDVI mediana 2025 clasifica 100.01 % del polígono en clases de vegetación</t>
        </is>
      </c>
      <c r="D24" s="56" t="inlineStr">
        <is>
          <t>NO SUSTANTIVA</t>
        </is>
      </c>
      <c r="E24"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5" t="inlineStr">
        <is>
          <t>H-02</t>
        </is>
      </c>
      <c r="B25" s="55" t="inlineStr">
        <is>
          <t>Inventario georreferenciado de cárcavas</t>
        </is>
      </c>
      <c r="C25" s="55" t="inlineStr">
        <is>
          <t>El inventario de cárcavas no fue ejecutado o no consta en la ficha DT</t>
        </is>
      </c>
      <c r="D25" s="55" t="inlineStr">
        <is>
          <t>SUSTANTIVA</t>
        </is>
      </c>
      <c r="E25" s="55"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6">
      <c r="A26" s="56" t="inlineStr">
        <is>
          <t>H-03</t>
        </is>
      </c>
      <c r="B26" s="56" t="inlineStr">
        <is>
          <t>Representatividad del levantamiento</t>
        </is>
      </c>
      <c r="C26" s="56" t="inlineStr">
        <is>
          <t>Ninguna de las estaciones fotográficas georreferenciadas se localiza dentro del polígono del bloque</t>
        </is>
      </c>
      <c r="D26" s="56" t="inlineStr">
        <is>
          <t>SUSTANTIVA</t>
        </is>
      </c>
      <c r="E26" s="56" t="inlineStr">
        <is>
          <t>La verificación documenta el perímetro y la vista panorámica del bloque, no su interior. Los parámetros que exigen recorrido interno se consignan «Por determinar». (Verificación heredada de la ficha de resumen V6.)</t>
        </is>
      </c>
    </row>
    <row r="27">
      <c r="A27" s="55" t="inlineStr">
        <is>
          <t>H-04</t>
        </is>
      </c>
      <c r="B27" s="55" t="inlineStr">
        <is>
          <t>Plan de Ingreso</t>
        </is>
      </c>
      <c r="C27" s="55" t="inlineStr">
        <is>
          <t>Altitud = 0 msnm (captura por defecto del aplicativo)</t>
        </is>
      </c>
      <c r="D27" s="55" t="inlineStr">
        <is>
          <t>NO SUSTANTIVA</t>
        </is>
      </c>
      <c r="E27" s="55" t="inlineStr">
        <is>
          <t>Se sustituye por el rango del MDE 2306-2624 msnm (Verificación heredada de la ficha de resumen V6.)</t>
        </is>
      </c>
    </row>
    <row r="28">
      <c r="A28" s="56" t="inlineStr">
        <is>
          <t>H-05</t>
        </is>
      </c>
      <c r="B28" s="56" t="inlineStr">
        <is>
          <t>F-DS-03</t>
        </is>
      </c>
      <c r="C28" s="56" t="inlineStr">
        <is>
          <t>Las fichas sociales del C.P. San Lorenzo/Taspa consignan microcuenca C1076-Q9584 y UTM 631 195 · 9 441 780 (valores heredados de plantilla)</t>
        </is>
      </c>
      <c r="D28" s="56" t="inlineStr">
        <is>
          <t>NO SUSTANTIVA</t>
        </is>
      </c>
      <c r="E28" s="56" t="inlineStr">
        <is>
          <t>Se conserva la microcuenca del catálogo C1086-Q9576 (Verificación heredada de la ficha de resumen V6.)</t>
        </is>
      </c>
    </row>
    <row r="30">
      <c r="A30" s="57" t="inlineStr">
        <is>
          <t>RESUMEN</t>
        </is>
      </c>
      <c r="B30" s="58" t="inlineStr">
        <is>
          <t>20 verificaciones</t>
        </is>
      </c>
      <c r="C30" s="58" t="inlineStr">
        <is>
          <t>SUSTANTIVA: 3 · NO SUSTANTIVA: 5 · CORREGIDO: 3 · CONFORME: 9</t>
        </is>
      </c>
    </row>
    <row r="32">
      <c r="A32"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2:E32"/>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57</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1. Identificación y localización</t>
        </is>
      </c>
      <c r="B9" s="55" t="inlineStr">
        <is>
          <t>Centro poblado asociado</t>
        </is>
      </c>
      <c r="C9" s="55" t="inlineStr">
        <is>
          <t>Taspa (631 621 E · 9 440 841 N; 250 hab.) / San Lorenzo (126 hab.) — ref. Los Lúcumos</t>
        </is>
      </c>
      <c r="D9" s="55" t="inlineStr">
        <is>
          <t>Taspa / San Lorenzo (ref. Los Lúcumos)</t>
        </is>
      </c>
      <c r="E9" s="55" t="inlineStr">
        <is>
          <t>Dato de campo</t>
        </is>
      </c>
    </row>
    <row r="10">
      <c r="A10" s="56" t="inlineStr">
        <is>
          <t>8. Responsable y modalidad de la evaluación</t>
        </is>
      </c>
      <c r="B10" s="56" t="inlineStr">
        <is>
          <t>Responsable de la evaluación</t>
        </is>
      </c>
      <c r="C10" s="56" t="inlineStr">
        <is>
          <t>Ing. Héctor S. Cahuas Miller</t>
        </is>
      </c>
      <c r="D10" s="56" t="inlineStr">
        <is>
          <t>Ing. Héctor Salomón Cahuas Miller y equipo de campo IN Piura</t>
        </is>
      </c>
      <c r="E10" s="56" t="inlineStr">
        <is>
          <t>Dato de campo</t>
        </is>
      </c>
    </row>
    <row r="11">
      <c r="A11" s="55" t="inlineStr">
        <is>
          <t>8. Responsable y modalidad de la evaluación</t>
        </is>
      </c>
      <c r="B11" s="55" t="inlineStr">
        <is>
          <t>Hora de registro</t>
        </is>
      </c>
      <c r="C11" s="55" t="inlineStr">
        <is>
          <t>10:27 - 11:30 h</t>
        </is>
      </c>
      <c r="D11" s="55" t="inlineStr">
        <is>
          <t>10:27 a 11:30 h</t>
        </is>
      </c>
      <c r="E11" s="55" t="inlineStr">
        <is>
          <t>Dato de campo</t>
        </is>
      </c>
    </row>
    <row r="13">
      <c r="A13" s="53" t="inlineStr">
        <is>
          <t>B. HECHOS APORTADOS ÚNICAMENTE POR LA FICHA DE CAMPO</t>
        </is>
      </c>
    </row>
    <row r="14">
      <c r="A14" s="54" t="inlineStr">
        <is>
          <t>Sección</t>
        </is>
      </c>
      <c r="B14" s="54" t="inlineStr">
        <is>
          <t>Hecho</t>
        </is>
      </c>
      <c r="C14" s="54" t="inlineStr">
        <is>
          <t>Valor</t>
        </is>
      </c>
      <c r="D14" s="54" t="inlineStr">
        <is>
          <t>Unidad</t>
        </is>
      </c>
    </row>
    <row r="15">
      <c r="A15" s="55" t="inlineStr">
        <is>
          <t>1. Identificación y localización</t>
        </is>
      </c>
      <c r="B15" s="55" t="inlineStr">
        <is>
          <t>UTM ESTE del punto de muestreo (m)</t>
        </is>
      </c>
      <c r="C15" s="55" t="inlineStr">
        <is>
          <t>631723</t>
        </is>
      </c>
      <c r="D15" s="55" t="inlineStr">
        <is>
          <t>m</t>
        </is>
      </c>
    </row>
    <row r="16">
      <c r="A16" s="56" t="inlineStr">
        <is>
          <t>1. Identificación y localización</t>
        </is>
      </c>
      <c r="B16" s="56" t="inlineStr">
        <is>
          <t>UTM NORTE del punto de muestreo (m)</t>
        </is>
      </c>
      <c r="C16" s="56" t="inlineStr">
        <is>
          <t>9439702</t>
        </is>
      </c>
      <c r="D16" s="56" t="inlineStr">
        <is>
          <t>m</t>
        </is>
      </c>
    </row>
    <row r="17">
      <c r="A17" s="55" t="inlineStr">
        <is>
          <t>2. Parámetros físicos del terreno</t>
        </is>
      </c>
      <c r="B17" s="55" t="inlineStr">
        <is>
          <t>Piso altitudinal del punto de muestreo</t>
        </is>
      </c>
      <c r="C17" s="55" t="inlineStr">
        <is>
          <t>2000-2500 m (Quechua alta)</t>
        </is>
      </c>
      <c r="D17" s="55" t="inlineStr"/>
    </row>
    <row r="18">
      <c r="A18" s="56" t="inlineStr">
        <is>
          <t>2. Parámetros físicos del terreno</t>
        </is>
      </c>
      <c r="B18" s="56" t="inlineStr">
        <is>
          <t>Paisaje dominante descrito en campo</t>
        </is>
      </c>
      <c r="C18" s="56" t="inlineStr">
        <is>
          <t>Ladera de matorral andino húmedo en mosaico agropecuario; relictos de bosque montano en cimas y quebradas; afloramientos rocosos dispersos.</t>
        </is>
      </c>
      <c r="D18" s="56" t="inlineStr"/>
    </row>
    <row r="19">
      <c r="A19" s="55" t="inlineStr">
        <is>
          <t>2. Parámetros físicos del terreno</t>
        </is>
      </c>
      <c r="B19" s="55" t="inlineStr">
        <is>
          <t>Reptación de suelo</t>
        </is>
      </c>
      <c r="C19" s="55" t="inlineStr">
        <is>
          <t>Sí</t>
        </is>
      </c>
      <c r="D19" s="55" t="inlineStr"/>
    </row>
    <row r="20">
      <c r="A20" s="56" t="inlineStr">
        <is>
          <t>2. Parámetros físicos del terreno</t>
        </is>
      </c>
      <c r="B20" s="56" t="inlineStr">
        <is>
          <t>Deslizamientos antiguos</t>
        </is>
      </c>
      <c r="C20" s="56" t="inlineStr">
        <is>
          <t>No</t>
        </is>
      </c>
      <c r="D20" s="56" t="inlineStr"/>
    </row>
    <row r="21">
      <c r="A21" s="55" t="inlineStr">
        <is>
          <t>4. Suelos y erosión (F-DT-02)</t>
        </is>
      </c>
      <c r="B21" s="55" t="inlineStr">
        <is>
          <t>Nivel de erosión - síntesis de campo</t>
        </is>
      </c>
      <c r="C21" s="55" t="inlineStr">
        <is>
          <t>Moderada (surcos)</t>
        </is>
      </c>
      <c r="D21" s="55" t="inlineStr"/>
    </row>
    <row r="22">
      <c r="A22" s="56" t="inlineStr">
        <is>
          <t>4. Suelos y erosión (F-DT-02)</t>
        </is>
      </c>
      <c r="B22" s="56" t="inlineStr">
        <is>
          <t>Sellamiento / costra superficial</t>
        </is>
      </c>
      <c r="C22" s="56" t="inlineStr">
        <is>
          <t>No</t>
        </is>
      </c>
      <c r="D22" s="56" t="inlineStr"/>
    </row>
    <row r="23">
      <c r="A23" s="55" t="inlineStr">
        <is>
          <t>4. Suelos y erosión (F-DT-02)</t>
        </is>
      </c>
      <c r="B23" s="55" t="inlineStr">
        <is>
          <t>Compactación por pisoteo</t>
        </is>
      </c>
      <c r="C23" s="55" t="inlineStr">
        <is>
          <t>Sí</t>
        </is>
      </c>
      <c r="D23" s="55" t="inlineStr"/>
    </row>
    <row r="24">
      <c r="A24" s="56" t="inlineStr">
        <is>
          <t>4. Suelos y erosión (F-DT-02)</t>
        </is>
      </c>
      <c r="B24" s="56" t="inlineStr">
        <is>
          <t>Raíces expuestas</t>
        </is>
      </c>
      <c r="C24" s="56" t="inlineStr">
        <is>
          <t>No</t>
        </is>
      </c>
      <c r="D24" s="56" t="inlineStr"/>
    </row>
    <row r="25">
      <c r="A25" s="55" t="inlineStr">
        <is>
          <t>4. Suelos y erosión (F-DT-02)</t>
        </is>
      </c>
      <c r="B25" s="55" t="inlineStr">
        <is>
          <t>Patrón de cárcavas</t>
        </is>
      </c>
      <c r="C25" s="55" t="inlineStr">
        <is>
          <t>Aislado</t>
        </is>
      </c>
      <c r="D25" s="55" t="inlineStr"/>
    </row>
    <row r="26">
      <c r="A26" s="56" t="inlineStr">
        <is>
          <t>4. Suelos y erosión (F-DT-02)</t>
        </is>
      </c>
      <c r="B26" s="56" t="inlineStr">
        <is>
          <t>Socavamiento de cauce</t>
        </is>
      </c>
      <c r="C26" s="56" t="inlineStr">
        <is>
          <t>No</t>
        </is>
      </c>
      <c r="D26" s="56" t="inlineStr"/>
    </row>
    <row r="27">
      <c r="A27" s="55" t="inlineStr">
        <is>
          <t>5. Ecosistema, cobertura y flora (F-DT-03)</t>
        </is>
      </c>
      <c r="B27" s="55" t="inlineStr">
        <is>
          <t>Cobertura del dosel (%)</t>
        </is>
      </c>
      <c r="C27" s="55" t="inlineStr">
        <is>
          <t>15</t>
        </is>
      </c>
      <c r="D27" s="55" t="inlineStr">
        <is>
          <t>%</t>
        </is>
      </c>
    </row>
    <row r="28">
      <c r="A28" s="56" t="inlineStr">
        <is>
          <t>5. Ecosistema, cobertura y flora (F-DT-03)</t>
        </is>
      </c>
      <c r="B28" s="56" t="inlineStr">
        <is>
          <t>Cobertura arbustiva (%)</t>
        </is>
      </c>
      <c r="C28" s="56" t="inlineStr">
        <is>
          <t>25</t>
        </is>
      </c>
      <c r="D28" s="56" t="inlineStr">
        <is>
          <t>%</t>
        </is>
      </c>
    </row>
    <row r="29">
      <c r="A29" s="55" t="inlineStr">
        <is>
          <t>5. Ecosistema, cobertura y flora (F-DT-03)</t>
        </is>
      </c>
      <c r="B29" s="55" t="inlineStr">
        <is>
          <t>Cobertura herbácea (%)</t>
        </is>
      </c>
      <c r="C29" s="55" t="inlineStr">
        <is>
          <t>45</t>
        </is>
      </c>
      <c r="D29" s="55" t="inlineStr">
        <is>
          <t>%</t>
        </is>
      </c>
    </row>
    <row r="30">
      <c r="A30" s="56" t="inlineStr">
        <is>
          <t>5. Ecosistema, cobertura y flora (F-DT-03)</t>
        </is>
      </c>
      <c r="B30" s="56" t="inlineStr">
        <is>
          <t>Presencia de epífitas</t>
        </is>
      </c>
      <c r="C30" s="56" t="inlineStr">
        <is>
          <t>Sí</t>
        </is>
      </c>
      <c r="D30" s="56" t="inlineStr"/>
    </row>
    <row r="31">
      <c r="A31" s="55" t="inlineStr">
        <is>
          <t>5. Ecosistema, cobertura y flora (F-DT-03)</t>
        </is>
      </c>
      <c r="B31" s="55" t="inlineStr">
        <is>
          <t>Fenología dominante</t>
        </is>
      </c>
      <c r="C31" s="55" t="inlineStr">
        <is>
          <t>Floración</t>
        </is>
      </c>
      <c r="D31" s="55" t="inlineStr"/>
    </row>
    <row r="32">
      <c r="A32" s="56" t="inlineStr">
        <is>
          <t>5. Ecosistema, cobertura y flora (F-DT-03)</t>
        </is>
      </c>
      <c r="B32" s="56" t="inlineStr">
        <is>
          <t>Dimensiones de la parcela (m)</t>
        </is>
      </c>
      <c r="C32" s="56" t="inlineStr">
        <is>
          <t>No aplica (recorrido)</t>
        </is>
      </c>
      <c r="D32" s="56" t="inlineStr"/>
    </row>
    <row r="33">
      <c r="A33" s="55" t="inlineStr">
        <is>
          <t>5. Ecosistema, cobertura y flora (F-DT-03)</t>
        </is>
      </c>
      <c r="B33" s="55" t="inlineStr">
        <is>
          <t>Pendiente de la parcela (%)</t>
        </is>
      </c>
      <c r="C33" s="55" t="inlineStr">
        <is>
          <t>43 (ref. GE)</t>
        </is>
      </c>
      <c r="D33" s="55" t="inlineStr">
        <is>
          <t>%</t>
        </is>
      </c>
    </row>
    <row r="34">
      <c r="A34" s="56" t="inlineStr">
        <is>
          <t>5. Ecosistema, cobertura y flora (F-DT-03)</t>
        </is>
      </c>
      <c r="B34" s="56" t="inlineStr">
        <is>
          <t>Especies clave georreferenciadas</t>
        </is>
      </c>
      <c r="C34" s="56" t="inlineStr">
        <is>
          <t>4</t>
        </is>
      </c>
      <c r="D34" s="56" t="inlineStr"/>
    </row>
    <row r="35">
      <c r="A35" s="55" t="inlineStr">
        <is>
          <t>6. Degradación, causas y urgencia (F-DT-04)</t>
        </is>
      </c>
      <c r="B35" s="55" t="inlineStr">
        <is>
          <t>Causas directas de la degradación</t>
        </is>
      </c>
      <c r="C35" s="55" t="inlineStr">
        <is>
          <t>Sobrepastoreo vacuno; cambio de uso a agricultura (maíz, arveja, trigo) y a pastos cultivados; reptación de suelo en laderas empinadas; presencia de especies exóticas (eucalipto, grevilea, agave).</t>
        </is>
      </c>
      <c r="D35" s="55" t="inlineStr"/>
    </row>
    <row r="36">
      <c r="A36" s="56" t="inlineStr">
        <is>
          <t>6. Degradación, causas y urgencia (F-DT-04)</t>
        </is>
      </c>
      <c r="B36" s="56" t="inlineStr">
        <is>
          <t>N.° de causas activas en la matriz F-DT-04</t>
        </is>
      </c>
      <c r="C36" s="56" t="inlineStr">
        <is>
          <t>7</t>
        </is>
      </c>
      <c r="D36" s="56" t="inlineStr"/>
    </row>
    <row r="37">
      <c r="A37" s="55" t="inlineStr">
        <is>
          <t>7. Hidrología, acceso y logística (F-DT-05)</t>
        </is>
      </c>
      <c r="B37" s="55" t="inlineStr">
        <is>
          <t>Escorrentía concentrada</t>
        </is>
      </c>
      <c r="C37" s="55" t="inlineStr">
        <is>
          <t>Sí</t>
        </is>
      </c>
      <c r="D37" s="55" t="inlineStr"/>
    </row>
    <row r="38">
      <c r="A38" s="56" t="inlineStr">
        <is>
          <t>7. Hidrología, acceso y logística (F-DT-05)</t>
        </is>
      </c>
      <c r="B38" s="56" t="inlineStr">
        <is>
          <t>Fuentes de agua inventariadas</t>
        </is>
      </c>
      <c r="C38" s="56" t="inlineStr">
        <is>
          <t>2</t>
        </is>
      </c>
      <c r="D38" s="56" t="inlineStr"/>
    </row>
    <row r="39">
      <c r="A39" s="55" t="inlineStr">
        <is>
          <t>7. Hidrología, acceso y logística (F-DT-05)</t>
        </is>
      </c>
      <c r="B39" s="55" t="inlineStr">
        <is>
          <t>Distancia a captación (m)</t>
        </is>
      </c>
      <c r="C39" s="55" t="inlineStr">
        <is>
          <t>0 (pileta observada dentro del bloque)</t>
        </is>
      </c>
      <c r="D39" s="55" t="inlineStr">
        <is>
          <t>m</t>
        </is>
      </c>
    </row>
    <row r="40">
      <c r="A40" s="56" t="inlineStr">
        <is>
          <t>7. Hidrología, acceso y logística (F-DT-05)</t>
        </is>
      </c>
      <c r="B40" s="56" t="inlineStr">
        <is>
          <t>Interferencia con riego</t>
        </is>
      </c>
      <c r="C40" s="56" t="inlineStr">
        <is>
          <t>No</t>
        </is>
      </c>
      <c r="D40" s="56" t="inlineStr"/>
    </row>
    <row r="41">
      <c r="A41" s="55" t="inlineStr">
        <is>
          <t>7. Hidrología, acceso y logística (F-DT-05)</t>
        </is>
      </c>
      <c r="B41" s="55" t="inlineStr">
        <is>
          <t>Vía principal de acceso</t>
        </is>
      </c>
      <c r="C41" s="55" t="inlineStr">
        <is>
          <t>Trocha carrozable desde Chalaco + camino de herradura</t>
        </is>
      </c>
      <c r="D41" s="55" t="inlineStr"/>
    </row>
    <row r="42">
      <c r="A42" s="56" t="inlineStr">
        <is>
          <t>7. Hidrología, acceso y logística (F-DT-05)</t>
        </is>
      </c>
      <c r="B42" s="56" t="inlineStr">
        <is>
          <t>Tipo de vía del tramo final</t>
        </is>
      </c>
      <c r="C42" s="56" t="inlineStr">
        <is>
          <t>Camino de herradura</t>
        </is>
      </c>
      <c r="D42" s="56" t="inlineStr"/>
    </row>
    <row r="43">
      <c r="A43" s="55" t="inlineStr">
        <is>
          <t>7. Hidrología, acceso y logística (F-DT-05)</t>
        </is>
      </c>
      <c r="B43" s="55" t="inlineStr">
        <is>
          <t>Transitabilidad en época seca</t>
        </is>
      </c>
      <c r="C43" s="55" t="inlineStr">
        <is>
          <t>Medio</t>
        </is>
      </c>
      <c r="D43" s="55" t="inlineStr"/>
    </row>
    <row r="44">
      <c r="A44" s="56" t="inlineStr">
        <is>
          <t>7. Hidrología, acceso y logística (F-DT-05)</t>
        </is>
      </c>
      <c r="B44" s="56" t="inlineStr">
        <is>
          <t>Transitabilidad en época lluviosa</t>
        </is>
      </c>
      <c r="C44" s="56" t="inlineStr">
        <is>
          <t>Bajo</t>
        </is>
      </c>
      <c r="D44" s="56" t="inlineStr"/>
    </row>
    <row r="45">
      <c r="A45" s="55" t="inlineStr">
        <is>
          <t>7. Hidrología, acceso y logística (F-DT-05)</t>
        </is>
      </c>
      <c r="B45" s="55" t="inlineStr">
        <is>
          <t>Tiempo a la capital distrital (min)</t>
        </is>
      </c>
      <c r="C45" s="55" t="inlineStr">
        <is>
          <t>35</t>
        </is>
      </c>
      <c r="D45" s="55" t="inlineStr">
        <is>
          <t>min</t>
        </is>
      </c>
    </row>
    <row r="46">
      <c r="A46" s="56" t="inlineStr">
        <is>
          <t>7. Hidrología, acceso y logística (F-DT-05)</t>
        </is>
      </c>
      <c r="B46" s="56" t="inlineStr">
        <is>
          <t>Señal celular</t>
        </is>
      </c>
      <c r="C46" s="56" t="inlineStr">
        <is>
          <t>Parcial</t>
        </is>
      </c>
      <c r="D46" s="56" t="inlineStr"/>
    </row>
    <row r="47">
      <c r="A47" s="55" t="inlineStr">
        <is>
          <t>7. Hidrología, acceso y logística (F-DT-05)</t>
        </is>
      </c>
      <c r="B47" s="55" t="inlineStr">
        <is>
          <t>Operador con cobertura</t>
        </is>
      </c>
      <c r="C47" s="55" t="inlineStr">
        <is>
          <t>Bitel</t>
        </is>
      </c>
      <c r="D47" s="55" t="inlineStr"/>
    </row>
    <row r="48">
      <c r="A48" s="56" t="inlineStr">
        <is>
          <t>7. Hidrología, acceso y logística (F-DT-05)</t>
        </is>
      </c>
      <c r="B48" s="56" t="inlineStr">
        <is>
          <t>Alojamiento disponible en la zona</t>
        </is>
      </c>
      <c r="C48" s="56" t="inlineStr">
        <is>
          <t>No</t>
        </is>
      </c>
      <c r="D48" s="56" t="inlineStr"/>
    </row>
    <row r="49">
      <c r="A49" s="55" t="inlineStr">
        <is>
          <t>7. Hidrología, acceso y logística (F-DT-05)</t>
        </is>
      </c>
      <c r="B49" s="55" t="inlineStr">
        <is>
          <t>Requiere coordinación con ronda / comunidad</t>
        </is>
      </c>
      <c r="C49" s="55" t="inlineStr">
        <is>
          <t>Sí</t>
        </is>
      </c>
      <c r="D49" s="55" t="inlineStr"/>
    </row>
    <row r="51">
      <c r="A51" s="53" t="inlineStr">
        <is>
          <t>C. PROCEDENCIA DE LOS HECHOS DECLARADOS</t>
        </is>
      </c>
    </row>
    <row r="52">
      <c r="A52" s="54" t="inlineStr">
        <is>
          <t>Fuente</t>
        </is>
      </c>
      <c r="B52" s="54" t="inlineStr">
        <is>
          <t>Hechos</t>
        </is>
      </c>
      <c r="C52" s="54" t="inlineStr">
        <is>
          <t>Alcance de la fuente</t>
        </is>
      </c>
    </row>
    <row r="53">
      <c r="A53" s="55" t="inlineStr">
        <is>
          <t>Dato de campo</t>
        </is>
      </c>
      <c r="B53" s="55" t="n">
        <v>65</v>
      </c>
      <c r="C53" s="55" t="inlineStr">
        <is>
          <t>Verificación en campo. Fichas F-DT-01 a F-DT-05 de la Plantilla DT Campo Check Validada V5, suscritas por el evaluador.</t>
        </is>
      </c>
    </row>
    <row r="54">
      <c r="A54" s="56" t="inlineStr">
        <is>
          <t>Gabinete (GIS / teledetección)</t>
        </is>
      </c>
      <c r="B54" s="56" t="n">
        <v>22</v>
      </c>
      <c r="C54" s="56" t="inlineStr">
        <is>
          <t>Gabinete. Estadística zonal sobre el MDE y compuestos Sentinel-2 (NDVI mediana 2025, MSAVI 2024 por clase DN).</t>
        </is>
      </c>
    </row>
    <row r="55">
      <c r="A55" s="55" t="inlineStr">
        <is>
          <t>Fuente oficial</t>
        </is>
      </c>
      <c r="B55" s="55" t="n">
        <v>14</v>
      </c>
      <c r="C55" s="55" t="inlineStr">
        <is>
          <t>Fuente oficial. Catálogo maestro Bloques V5/V6, división política INEI y codificación de microcuencas de la ANA.</t>
        </is>
      </c>
    </row>
    <row r="57">
      <c r="A57" s="53" t="inlineStr">
        <is>
          <t>D. ESTADO DEL CRUCE ENTRE FUENTES</t>
        </is>
      </c>
    </row>
    <row r="58">
      <c r="A58" s="54" t="inlineStr">
        <is>
          <t>Estado</t>
        </is>
      </c>
      <c r="B58" s="54" t="inlineStr">
        <is>
          <t>Hechos</t>
        </is>
      </c>
      <c r="C58" s="54" t="inlineStr">
        <is>
          <t>Significado</t>
        </is>
      </c>
    </row>
    <row r="59">
      <c r="A59" s="55" t="inlineStr">
        <is>
          <t>CONFORME</t>
        </is>
      </c>
      <c r="B59" s="55" t="n">
        <v>97</v>
      </c>
      <c r="C59" s="55" t="inlineStr">
        <is>
          <t>Las dos fuentes declaran lo mismo, o solo la fuente que manda sobre el hecho lo declara.</t>
        </is>
      </c>
    </row>
    <row r="60">
      <c r="A60" s="56" t="inlineStr">
        <is>
          <t>COMPLEMENTADO</t>
        </is>
      </c>
      <c r="B60" s="56" t="n">
        <v>1</v>
      </c>
      <c r="C60" s="56" t="inlineStr">
        <is>
          <t>Solo una de las fuentes lo declara y se adopta ese valor.</t>
        </is>
      </c>
    </row>
    <row r="61">
      <c r="A61" s="55" t="inlineStr">
        <is>
          <t>ACTUALIZADO</t>
        </is>
      </c>
      <c r="B61" s="55" t="n">
        <v>3</v>
      </c>
      <c r="C61" s="55" t="inlineStr">
        <is>
          <t>La verificación de campo vigente corrige lo que traía el libro de resumen.</t>
        </is>
      </c>
    </row>
    <row r="62">
      <c r="A62" s="56" t="inlineStr">
        <is>
          <t>DISCREPANTE</t>
        </is>
      </c>
      <c r="B62" s="56" t="n">
        <v>0</v>
      </c>
      <c r="C62" s="56" t="inlineStr">
        <is>
          <t>Las fuentes se contradicen; prevalece la que manda sobre el hecho y la otra queda declarada.</t>
        </is>
      </c>
    </row>
    <row r="63">
      <c r="A63" s="55" t="inlineStr">
        <is>
          <t>PENDIENTE</t>
        </is>
      </c>
      <c r="B63" s="55" t="n">
        <v>13</v>
      </c>
      <c r="C6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57</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Palo Blanco</t>
        </is>
      </c>
      <c r="C13" s="55" t="inlineStr">
        <is>
          <t>Por determinar</t>
        </is>
      </c>
      <c r="D13" s="55" t="inlineStr">
        <is>
          <t>Por determinar</t>
        </is>
      </c>
      <c r="E13" s="55" t="inlineStr">
        <is>
          <t>Arbóreo bajo (4-8 m)</t>
        </is>
      </c>
      <c r="F13" s="55" t="inlineStr">
        <is>
          <t>Nativa</t>
        </is>
      </c>
      <c r="G13" s="55" t="inlineStr">
        <is>
          <t>Frecuente (5-20%)</t>
        </is>
      </c>
      <c r="H13" s="55" t="n"/>
      <c r="I13" s="55" t="n"/>
    </row>
    <row r="14">
      <c r="A14" s="56" t="inlineStr">
        <is>
          <t>2</t>
        </is>
      </c>
      <c r="B14" s="56" t="inlineStr">
        <is>
          <t>Palo hoja Blanca</t>
        </is>
      </c>
      <c r="C14" s="56" t="inlineStr">
        <is>
          <t>Asteraceae (por determinar)</t>
        </is>
      </c>
      <c r="D14" s="56" t="inlineStr">
        <is>
          <t>Asteraceae</t>
        </is>
      </c>
      <c r="E14" s="56" t="inlineStr">
        <is>
          <t>Arbóreo bajo (4-8 m)</t>
        </is>
      </c>
      <c r="F14" s="56" t="inlineStr">
        <is>
          <t>Nativa</t>
        </is>
      </c>
      <c r="G14" s="56" t="inlineStr">
        <is>
          <t>Ocasional (1-5%)</t>
        </is>
      </c>
      <c r="H14" s="56" t="n"/>
      <c r="I14" s="56" t="n"/>
    </row>
    <row r="15">
      <c r="A15" s="55" t="inlineStr">
        <is>
          <t>3</t>
        </is>
      </c>
      <c r="B15" s="55" t="inlineStr">
        <is>
          <t>Chin Chin</t>
        </is>
      </c>
      <c r="C15" s="55" t="inlineStr">
        <is>
          <t>Por determinar</t>
        </is>
      </c>
      <c r="D15" s="55" t="inlineStr">
        <is>
          <t>Por determinar</t>
        </is>
      </c>
      <c r="E15" s="55" t="inlineStr">
        <is>
          <t>Arbustivo alto (1.5-4 m)</t>
        </is>
      </c>
      <c r="F15" s="55" t="inlineStr">
        <is>
          <t>Nativa</t>
        </is>
      </c>
      <c r="G15" s="55" t="inlineStr">
        <is>
          <t>Frecuente (5-20%)</t>
        </is>
      </c>
      <c r="H15" s="55" t="n"/>
      <c r="I15" s="55" t="n"/>
    </row>
    <row r="16">
      <c r="A16" s="56" t="inlineStr">
        <is>
          <t>4</t>
        </is>
      </c>
      <c r="B16" s="56" t="inlineStr">
        <is>
          <t>Chirimoyo silvestre</t>
        </is>
      </c>
      <c r="C16" s="56" t="inlineStr">
        <is>
          <t>Annona sp.</t>
        </is>
      </c>
      <c r="D16" s="56" t="inlineStr">
        <is>
          <t>Annonaceae</t>
        </is>
      </c>
      <c r="E16" s="56" t="inlineStr">
        <is>
          <t>Arbóreo bajo (4-8 m)</t>
        </is>
      </c>
      <c r="F16" s="56" t="inlineStr">
        <is>
          <t>Nativa</t>
        </is>
      </c>
      <c r="G16" s="56" t="inlineStr">
        <is>
          <t>Ocasional (1-5%)</t>
        </is>
      </c>
      <c r="H16" s="56" t="n"/>
      <c r="I16" s="56" t="n"/>
    </row>
    <row r="17">
      <c r="A17" s="55" t="inlineStr">
        <is>
          <t>5</t>
        </is>
      </c>
      <c r="B17" s="55" t="inlineStr">
        <is>
          <t>Pacae</t>
        </is>
      </c>
      <c r="C17" s="55" t="inlineStr">
        <is>
          <t>Inga sp.</t>
        </is>
      </c>
      <c r="D17" s="55" t="inlineStr">
        <is>
          <t>Fabaceae</t>
        </is>
      </c>
      <c r="E17" s="55" t="inlineStr">
        <is>
          <t>Arbóreo medio (8-15 m)</t>
        </is>
      </c>
      <c r="F17" s="55" t="inlineStr">
        <is>
          <t>Nativa</t>
        </is>
      </c>
      <c r="G17" s="55" t="inlineStr">
        <is>
          <t>Ocasional (1-5%)</t>
        </is>
      </c>
      <c r="H17" s="55" t="n"/>
      <c r="I17" s="55" t="n"/>
    </row>
    <row r="18">
      <c r="A18" s="56" t="inlineStr">
        <is>
          <t>6</t>
        </is>
      </c>
      <c r="B18" s="56" t="inlineStr">
        <is>
          <t>Chilca</t>
        </is>
      </c>
      <c r="C18" s="56" t="inlineStr">
        <is>
          <t>Baccharis sp.</t>
        </is>
      </c>
      <c r="D18" s="56" t="inlineStr">
        <is>
          <t>Asteraceae</t>
        </is>
      </c>
      <c r="E18" s="56" t="inlineStr">
        <is>
          <t>Arbustivo alto (1.5-4 m)</t>
        </is>
      </c>
      <c r="F18" s="56" t="inlineStr">
        <is>
          <t>Nativa</t>
        </is>
      </c>
      <c r="G18" s="56" t="inlineStr">
        <is>
          <t>Frecuente (5-20%)</t>
        </is>
      </c>
      <c r="H18" s="56" t="n"/>
      <c r="I18" s="56" t="n"/>
    </row>
    <row r="19">
      <c r="A19" s="55" t="inlineStr">
        <is>
          <t>7</t>
        </is>
      </c>
      <c r="B19" s="55" t="inlineStr">
        <is>
          <t>Tarwi silvestre</t>
        </is>
      </c>
      <c r="C19" s="55" t="inlineStr">
        <is>
          <t>Lupinus sp.</t>
        </is>
      </c>
      <c r="D19" s="55" t="inlineStr">
        <is>
          <t>Fabaceae</t>
        </is>
      </c>
      <c r="E19" s="55" t="inlineStr">
        <is>
          <t>Arbustivo bajo (0.5-1.5 m)</t>
        </is>
      </c>
      <c r="F19" s="55" t="inlineStr">
        <is>
          <t>Nativa</t>
        </is>
      </c>
      <c r="G19" s="55" t="inlineStr">
        <is>
          <t>Frecuente (5-20%)</t>
        </is>
      </c>
      <c r="H19" s="55" t="n"/>
      <c r="I19" s="55" t="n"/>
    </row>
    <row r="20">
      <c r="A20" s="56" t="inlineStr">
        <is>
          <t>8</t>
        </is>
      </c>
      <c r="B20" s="56" t="inlineStr">
        <is>
          <t>Melastomatácea (flor morada)</t>
        </is>
      </c>
      <c r="C20" s="56" t="inlineStr">
        <is>
          <t>Melastomataceae (indet.)</t>
        </is>
      </c>
      <c r="D20" s="56" t="inlineStr">
        <is>
          <t>Melastomataceae</t>
        </is>
      </c>
      <c r="E20" s="56" t="inlineStr">
        <is>
          <t>Arbustivo bajo (0.5-1.5 m)</t>
        </is>
      </c>
      <c r="F20" s="56" t="inlineStr">
        <is>
          <t>Nativa</t>
        </is>
      </c>
      <c r="G20" s="56" t="inlineStr">
        <is>
          <t>Frecuente (5-20%)</t>
        </is>
      </c>
      <c r="H20" s="56" t="n"/>
      <c r="I20" s="56" t="n"/>
    </row>
    <row r="21">
      <c r="A21" s="55" t="inlineStr">
        <is>
          <t>9</t>
        </is>
      </c>
      <c r="B21" s="55" t="inlineStr">
        <is>
          <t>Helechos</t>
        </is>
      </c>
      <c r="C21" s="55" t="inlineStr">
        <is>
          <t>Pteridophyta (indet.)</t>
        </is>
      </c>
      <c r="D21" s="55" t="inlineStr">
        <is>
          <t>Pteridophyta</t>
        </is>
      </c>
      <c r="E21" s="55" t="inlineStr">
        <is>
          <t>Herbáceo (&lt;0.5 m)</t>
        </is>
      </c>
      <c r="F21" s="55" t="inlineStr">
        <is>
          <t>Nativa</t>
        </is>
      </c>
      <c r="G21" s="55" t="inlineStr">
        <is>
          <t>Frecuente (5-20%)</t>
        </is>
      </c>
      <c r="H21" s="55" t="n"/>
      <c r="I21" s="55" t="n"/>
    </row>
    <row r="22">
      <c r="A22" s="56" t="inlineStr">
        <is>
          <t>10</t>
        </is>
      </c>
      <c r="B22" s="56" t="inlineStr">
        <is>
          <t>Bromelias epífitas</t>
        </is>
      </c>
      <c r="C22" s="56" t="inlineStr">
        <is>
          <t>Bromeliaceae (indet.)</t>
        </is>
      </c>
      <c r="D22" s="56" t="inlineStr">
        <is>
          <t>Bromeliaceae</t>
        </is>
      </c>
      <c r="E22" s="56" t="inlineStr">
        <is>
          <t>Epífito</t>
        </is>
      </c>
      <c r="F22" s="56" t="inlineStr">
        <is>
          <t>Nativa</t>
        </is>
      </c>
      <c r="G22" s="56" t="inlineStr">
        <is>
          <t>Ocasional (1-5%)</t>
        </is>
      </c>
      <c r="H22" s="56" t="n"/>
      <c r="I22" s="56" t="n"/>
    </row>
    <row r="23">
      <c r="A23" s="55" t="inlineStr">
        <is>
          <t>11</t>
        </is>
      </c>
      <c r="B23" s="55" t="inlineStr">
        <is>
          <t>Cactácea</t>
        </is>
      </c>
      <c r="C23" s="55" t="inlineStr">
        <is>
          <t>Cactaceae (indet.)</t>
        </is>
      </c>
      <c r="D23" s="55" t="inlineStr">
        <is>
          <t>Cactaceae</t>
        </is>
      </c>
      <c r="E23" s="55" t="inlineStr">
        <is>
          <t>Arbustivo bajo (0.5-1.5 m)</t>
        </is>
      </c>
      <c r="F23" s="55" t="inlineStr">
        <is>
          <t>Nativa</t>
        </is>
      </c>
      <c r="G23" s="55" t="inlineStr">
        <is>
          <t>Rara (&lt;1%)</t>
        </is>
      </c>
      <c r="H23" s="55" t="n"/>
      <c r="I23" s="55" t="n"/>
    </row>
    <row r="24">
      <c r="A24" s="56" t="inlineStr">
        <is>
          <t>12</t>
        </is>
      </c>
      <c r="B24" s="56" t="inlineStr">
        <is>
          <t>Agave</t>
        </is>
      </c>
      <c r="C24" s="56" t="inlineStr">
        <is>
          <t>Agave americana</t>
        </is>
      </c>
      <c r="D24" s="56" t="inlineStr">
        <is>
          <t>Asparagaceae</t>
        </is>
      </c>
      <c r="E24" s="56" t="inlineStr">
        <is>
          <t>Arbustivo alto (1.5-4 m)</t>
        </is>
      </c>
      <c r="F24" s="56" t="inlineStr">
        <is>
          <t>Introducida</t>
        </is>
      </c>
      <c r="G24" s="56" t="inlineStr">
        <is>
          <t>Ocasional (1-5%)</t>
        </is>
      </c>
      <c r="H24" s="56" t="n"/>
      <c r="I24" s="56" t="n"/>
    </row>
    <row r="25">
      <c r="A25" s="55" t="inlineStr">
        <is>
          <t>13</t>
        </is>
      </c>
      <c r="B25" s="55" t="inlineStr">
        <is>
          <t>Grevilea</t>
        </is>
      </c>
      <c r="C25" s="55" t="inlineStr">
        <is>
          <t>Grevillea robusta</t>
        </is>
      </c>
      <c r="D25" s="55" t="inlineStr">
        <is>
          <t>Proteaceae</t>
        </is>
      </c>
      <c r="E25" s="55" t="inlineStr">
        <is>
          <t>Arbóreo medio (8-15 m)</t>
        </is>
      </c>
      <c r="F25" s="55" t="inlineStr">
        <is>
          <t>Introducida</t>
        </is>
      </c>
      <c r="G25" s="55" t="inlineStr">
        <is>
          <t>Ocasional (1-5%)</t>
        </is>
      </c>
      <c r="H25" s="55" t="n"/>
      <c r="I25" s="55" t="n"/>
    </row>
    <row r="26">
      <c r="A26" s="56" t="inlineStr">
        <is>
          <t>14</t>
        </is>
      </c>
      <c r="B26" s="56" t="inlineStr">
        <is>
          <t>Eucalipto</t>
        </is>
      </c>
      <c r="C26" s="56" t="inlineStr">
        <is>
          <t>Eucalyptus sp.</t>
        </is>
      </c>
      <c r="D26" s="56" t="inlineStr">
        <is>
          <t>Myrtaceae</t>
        </is>
      </c>
      <c r="E26" s="56" t="inlineStr">
        <is>
          <t>Arbóreo superior (&gt;15 m)</t>
        </is>
      </c>
      <c r="F26" s="56" t="inlineStr">
        <is>
          <t>Introducida</t>
        </is>
      </c>
      <c r="G26" s="56" t="inlineStr">
        <is>
          <t>Frecuente (5-20%)</t>
        </is>
      </c>
      <c r="H26" s="56" t="n"/>
      <c r="I26" s="56" t="n"/>
    </row>
    <row r="27">
      <c r="A27" s="55" t="inlineStr">
        <is>
          <t>15</t>
        </is>
      </c>
      <c r="B27" s="55" t="inlineStr">
        <is>
          <t>Pastos cultivados</t>
        </is>
      </c>
      <c r="C27" s="55" t="inlineStr">
        <is>
          <t>Poaceae (indet.)</t>
        </is>
      </c>
      <c r="D27" s="55" t="inlineStr">
        <is>
          <t>Poaceae</t>
        </is>
      </c>
      <c r="E27" s="55" t="inlineStr">
        <is>
          <t>Herbáceo (&lt;0.5 m)</t>
        </is>
      </c>
      <c r="F27" s="55" t="inlineStr">
        <is>
          <t>Introducida</t>
        </is>
      </c>
      <c r="G27" s="55" t="inlineStr">
        <is>
          <t>Dominante (&gt;40%)</t>
        </is>
      </c>
      <c r="H27" s="55" t="n"/>
      <c r="I27" s="55" t="n"/>
    </row>
    <row r="29">
      <c r="A29" s="53" t="inlineStr">
        <is>
          <t>F-DT-03 · ESPECIES CLAVE GEORREFERENCIADAS</t>
        </is>
      </c>
    </row>
    <row r="30">
      <c r="A30" s="54" t="inlineStr">
        <is>
          <t>N.o</t>
        </is>
      </c>
      <c r="B30" s="54" t="inlineStr">
        <is>
          <t>Especie</t>
        </is>
      </c>
      <c r="C30" s="54" t="inlineStr">
        <is>
          <t>Categoría</t>
        </is>
      </c>
      <c r="D30" s="54" t="inlineStr">
        <is>
          <t>Estado UICN</t>
        </is>
      </c>
      <c r="E30" s="54" t="inlineStr">
        <is>
          <t>UTM ESTE</t>
        </is>
      </c>
      <c r="F30" s="54" t="inlineStr">
        <is>
          <t>UTM NORTE</t>
        </is>
      </c>
      <c r="G30" s="54" t="inlineStr">
        <is>
          <t>N.° individuos</t>
        </is>
      </c>
      <c r="H30" s="54" t="inlineStr">
        <is>
          <t>Observación</t>
        </is>
      </c>
    </row>
    <row r="31">
      <c r="A31" s="55" t="inlineStr">
        <is>
          <t>1</t>
        </is>
      </c>
      <c r="B31" s="55" t="inlineStr">
        <is>
          <t>Pacae (Inga sp.)</t>
        </is>
      </c>
      <c r="C31" s="55" t="inlineStr">
        <is>
          <t>Indicadora de buen estado</t>
        </is>
      </c>
      <c r="D31" s="55" t="inlineStr">
        <is>
          <t>NE — No Evaluado</t>
        </is>
      </c>
      <c r="E31" s="55" t="n"/>
      <c r="F31" s="55" t="n"/>
      <c r="G31" s="55" t="n"/>
      <c r="H31" s="55" t="inlineStr">
        <is>
          <t>Nativo fijador de N; indicador de humedad</t>
        </is>
      </c>
    </row>
    <row r="32">
      <c r="A32" s="56" t="inlineStr">
        <is>
          <t>2</t>
        </is>
      </c>
      <c r="B32" s="56" t="inlineStr">
        <is>
          <t>Tarwi silvestre (Lupinus sp.)</t>
        </is>
      </c>
      <c r="C32" s="56" t="inlineStr">
        <is>
          <t>Clave cultural</t>
        </is>
      </c>
      <c r="D32" s="56" t="inlineStr">
        <is>
          <t>NE — No Evaluado</t>
        </is>
      </c>
      <c r="E32" s="60" t="n">
        <v>631876</v>
      </c>
      <c r="F32" s="60" t="n">
        <v>9439986</v>
      </c>
      <c r="G32" s="56" t="n"/>
      <c r="H32" s="56" t="inlineStr">
        <is>
          <t>Nativo fijador de N; en floración</t>
        </is>
      </c>
    </row>
    <row r="33">
      <c r="A33" s="55" t="inlineStr">
        <is>
          <t>3</t>
        </is>
      </c>
      <c r="B33" s="55" t="inlineStr">
        <is>
          <t>Bromeliáceas / Helechos</t>
        </is>
      </c>
      <c r="C33" s="55" t="inlineStr">
        <is>
          <t>Indicadora de buen estado</t>
        </is>
      </c>
      <c r="D33" s="55" t="inlineStr">
        <is>
          <t>NE — No Evaluado</t>
        </is>
      </c>
      <c r="E33" s="55" t="n"/>
      <c r="F33" s="55" t="n"/>
      <c r="G33" s="55" t="n"/>
      <c r="H33" s="55" t="inlineStr">
        <is>
          <t>Epífitas e higrófilas; indican humedad</t>
        </is>
      </c>
    </row>
    <row r="34">
      <c r="A34" s="56" t="inlineStr">
        <is>
          <t>4</t>
        </is>
      </c>
      <c r="B34" s="56" t="inlineStr">
        <is>
          <t>Palo Blanco / Chin Chin</t>
        </is>
      </c>
      <c r="C34" s="56" t="inlineStr">
        <is>
          <t>Indicadora de buen estado</t>
        </is>
      </c>
      <c r="D34" s="56" t="inlineStr">
        <is>
          <t>DD — Datos Insuficientes</t>
        </is>
      </c>
      <c r="E34" s="60" t="n">
        <v>631747</v>
      </c>
      <c r="F34" s="60" t="n">
        <v>9440505</v>
      </c>
      <c r="G34" s="56" t="n"/>
      <c r="H34" s="56" t="inlineStr">
        <is>
          <t>Relictos nativos; determinación botánica pendiente</t>
        </is>
      </c>
    </row>
    <row r="36">
      <c r="A36" s="53" t="inlineStr">
        <is>
          <t>F-DT-04 · MATRIZ DE CAUSAS DE DEGRADACIÓN</t>
        </is>
      </c>
    </row>
    <row r="37">
      <c r="A37" s="54" t="inlineStr">
        <is>
          <t>N.o</t>
        </is>
      </c>
      <c r="B37" s="54" t="inlineStr">
        <is>
          <t>Causa</t>
        </is>
      </c>
      <c r="C37" s="54" t="inlineStr">
        <is>
          <t>Presencia</t>
        </is>
      </c>
      <c r="D37" s="54" t="inlineStr">
        <is>
          <t>Intensidad</t>
        </is>
      </c>
      <c r="E37" s="54" t="inlineStr">
        <is>
          <t>Extensión</t>
        </is>
      </c>
      <c r="F37" s="54" t="inlineStr">
        <is>
          <t>Antigüedad</t>
        </is>
      </c>
      <c r="G37" s="54" t="inlineStr">
        <is>
          <t>Evidencia</t>
        </is>
      </c>
    </row>
    <row r="38">
      <c r="A38" s="55" t="inlineStr">
        <is>
          <t>1</t>
        </is>
      </c>
      <c r="B38" s="55" t="inlineStr">
        <is>
          <t>Sobrepastoreo (caprino/vacuno)</t>
        </is>
      </c>
      <c r="C38" s="55" t="inlineStr">
        <is>
          <t>Sí</t>
        </is>
      </c>
      <c r="D38" s="55" t="inlineStr">
        <is>
          <t>Moderada</t>
        </is>
      </c>
      <c r="E38" s="55" t="inlineStr">
        <is>
          <t>≈40%</t>
        </is>
      </c>
      <c r="F38" s="55" t="inlineStr">
        <is>
          <t>Por verificar</t>
        </is>
      </c>
      <c r="G38" s="55" t="inlineStr">
        <is>
          <t>Ganado vacuno en laderas; pisoteo y compactación (17M 631876 9439986)</t>
        </is>
      </c>
    </row>
    <row r="39">
      <c r="A39" s="56" t="inlineStr">
        <is>
          <t>2</t>
        </is>
      </c>
      <c r="B39" s="56" t="inlineStr">
        <is>
          <t>Tala para leña</t>
        </is>
      </c>
      <c r="C39" s="56" t="inlineStr">
        <is>
          <t>Sí</t>
        </is>
      </c>
      <c r="D39" s="56" t="inlineStr">
        <is>
          <t>Ligera</t>
        </is>
      </c>
      <c r="E39" s="56" t="inlineStr">
        <is>
          <t>Por verificar</t>
        </is>
      </c>
      <c r="F39" s="56" t="inlineStr">
        <is>
          <t>Por verificar</t>
        </is>
      </c>
      <c r="G39" s="56" t="inlineStr">
        <is>
          <t>Extracción puntual para autoconsumo (por verificar)</t>
        </is>
      </c>
    </row>
    <row r="40">
      <c r="A40" s="55" t="inlineStr">
        <is>
          <t>3</t>
        </is>
      </c>
      <c r="B40" s="55" t="inlineStr">
        <is>
          <t>Tala para carbón</t>
        </is>
      </c>
      <c r="C40" s="55" t="inlineStr"/>
      <c r="D40" s="55" t="inlineStr"/>
      <c r="E40" s="55" t="inlineStr"/>
      <c r="F40" s="55" t="inlineStr"/>
      <c r="G40" s="55" t="inlineStr"/>
    </row>
    <row r="41">
      <c r="A41" s="56" t="inlineStr">
        <is>
          <t>4</t>
        </is>
      </c>
      <c r="B41" s="56" t="inlineStr">
        <is>
          <t>Tala para madera</t>
        </is>
      </c>
      <c r="C41" s="56" t="inlineStr"/>
      <c r="D41" s="56" t="inlineStr"/>
      <c r="E41" s="56" t="inlineStr"/>
      <c r="F41" s="56" t="inlineStr"/>
      <c r="G41" s="56" t="inlineStr"/>
    </row>
    <row r="42">
      <c r="A42" s="55" t="inlineStr">
        <is>
          <t>5</t>
        </is>
      </c>
      <c r="B42" s="55" t="inlineStr">
        <is>
          <t>Quema (renovación de pastos)</t>
        </is>
      </c>
      <c r="C42" s="55" t="inlineStr"/>
      <c r="D42" s="55" t="inlineStr"/>
      <c r="E42" s="55" t="inlineStr"/>
      <c r="F42" s="55" t="inlineStr"/>
      <c r="G42" s="55" t="inlineStr"/>
    </row>
    <row r="43">
      <c r="A43" s="56" t="inlineStr">
        <is>
          <t>6</t>
        </is>
      </c>
      <c r="B43" s="56" t="inlineStr">
        <is>
          <t>Quema accidental / Incendio</t>
        </is>
      </c>
      <c r="C43" s="56" t="inlineStr"/>
      <c r="D43" s="56" t="inlineStr"/>
      <c r="E43" s="56" t="inlineStr"/>
      <c r="F43" s="56" t="inlineStr"/>
      <c r="G43" s="56" t="inlineStr"/>
    </row>
    <row r="44">
      <c r="A44" s="55" t="inlineStr">
        <is>
          <t>7</t>
        </is>
      </c>
      <c r="B44" s="55" t="inlineStr">
        <is>
          <t>Cambio de uso a agricultura</t>
        </is>
      </c>
      <c r="C44" s="55" t="inlineStr">
        <is>
          <t>Sí</t>
        </is>
      </c>
      <c r="D44" s="55" t="inlineStr">
        <is>
          <t>Moderada</t>
        </is>
      </c>
      <c r="E44" s="55" t="inlineStr">
        <is>
          <t>≈17%</t>
        </is>
      </c>
      <c r="F44" s="55" t="inlineStr">
        <is>
          <t>Por verificar</t>
        </is>
      </c>
      <c r="G44" s="55" t="inlineStr">
        <is>
          <t>Parcelas de maíz, arveja y trigo (Zona agrícola 4.41 ha)</t>
        </is>
      </c>
    </row>
    <row r="45">
      <c r="A45" s="56" t="inlineStr">
        <is>
          <t>8</t>
        </is>
      </c>
      <c r="B45" s="56" t="inlineStr">
        <is>
          <t>Cambio de uso a pastoreo</t>
        </is>
      </c>
      <c r="C45" s="56" t="inlineStr">
        <is>
          <t>Sí</t>
        </is>
      </c>
      <c r="D45" s="56" t="inlineStr">
        <is>
          <t>Moderada</t>
        </is>
      </c>
      <c r="E45" s="56" t="inlineStr">
        <is>
          <t>≈35%</t>
        </is>
      </c>
      <c r="F45" s="56" t="inlineStr">
        <is>
          <t>Por verificar</t>
        </is>
      </c>
      <c r="G45" s="56" t="inlineStr">
        <is>
          <t>Pastos cultivados dominantes en laderas</t>
        </is>
      </c>
    </row>
    <row r="46">
      <c r="A46" s="55" t="inlineStr">
        <is>
          <t>9</t>
        </is>
      </c>
      <c r="B46" s="55" t="inlineStr">
        <is>
          <t>Expansión urbana / vial</t>
        </is>
      </c>
      <c r="C46" s="55" t="inlineStr">
        <is>
          <t>Sí</t>
        </is>
      </c>
      <c r="D46" s="55" t="inlineStr">
        <is>
          <t>Ligera</t>
        </is>
      </c>
      <c r="E46" s="55" t="inlineStr">
        <is>
          <t>Por verificar</t>
        </is>
      </c>
      <c r="F46" s="55" t="inlineStr">
        <is>
          <t>Por verificar</t>
        </is>
      </c>
      <c r="G46" s="55" t="inlineStr">
        <is>
          <t>Camino de herradura/trocha atraviesa el sector N (17M 631815 9440481)</t>
        </is>
      </c>
    </row>
    <row r="47">
      <c r="A47" s="56" t="inlineStr">
        <is>
          <t>10</t>
        </is>
      </c>
      <c r="B47" s="56" t="inlineStr">
        <is>
          <t>Minería informal</t>
        </is>
      </c>
      <c r="C47" s="56" t="inlineStr"/>
      <c r="D47" s="56" t="inlineStr"/>
      <c r="E47" s="56" t="inlineStr"/>
      <c r="F47" s="56" t="inlineStr"/>
      <c r="G47" s="56" t="inlineStr"/>
    </row>
    <row r="48">
      <c r="A48" s="55" t="inlineStr">
        <is>
          <t>11</t>
        </is>
      </c>
      <c r="B48" s="55" t="inlineStr">
        <is>
          <t>Extracción de áridos (cauces)</t>
        </is>
      </c>
      <c r="C48" s="55" t="inlineStr"/>
      <c r="D48" s="55" t="inlineStr"/>
      <c r="E48" s="55" t="inlineStr"/>
      <c r="F48" s="55" t="inlineStr"/>
      <c r="G48" s="55" t="inlineStr"/>
    </row>
    <row r="49">
      <c r="A49" s="56" t="inlineStr">
        <is>
          <t>12</t>
        </is>
      </c>
      <c r="B49" s="56" t="inlineStr">
        <is>
          <t>Especies invasoras</t>
        </is>
      </c>
      <c r="C49" s="56" t="inlineStr">
        <is>
          <t>Sí</t>
        </is>
      </c>
      <c r="D49" s="56" t="inlineStr">
        <is>
          <t>Ligera</t>
        </is>
      </c>
      <c r="E49" s="56" t="inlineStr">
        <is>
          <t>≈10%</t>
        </is>
      </c>
      <c r="F49" s="56" t="inlineStr">
        <is>
          <t>Por verificar</t>
        </is>
      </c>
      <c r="G49" s="56" t="inlineStr">
        <is>
          <t>Eucalipto (cortinas cortavientos), Grevilea y Agave</t>
        </is>
      </c>
    </row>
    <row r="50">
      <c r="A50" s="55" t="inlineStr">
        <is>
          <t>13</t>
        </is>
      </c>
      <c r="B50" s="55" t="inlineStr">
        <is>
          <t>Erosión natural severa</t>
        </is>
      </c>
      <c r="C50" s="55" t="inlineStr">
        <is>
          <t>Sí</t>
        </is>
      </c>
      <c r="D50" s="55" t="inlineStr">
        <is>
          <t>Ligera</t>
        </is>
      </c>
      <c r="E50" s="55" t="inlineStr">
        <is>
          <t>≈5%</t>
        </is>
      </c>
      <c r="F50" s="55" t="inlineStr">
        <is>
          <t>Por verificar</t>
        </is>
      </c>
      <c r="G50" s="55" t="inlineStr">
        <is>
          <t>Reptación de suelo y surcos por pisoteo en laderas empinadas</t>
        </is>
      </c>
    </row>
    <row r="51">
      <c r="A51" s="56" t="inlineStr">
        <is>
          <t>14</t>
        </is>
      </c>
      <c r="B51" s="56" t="inlineStr">
        <is>
          <t>Sequía prolongada / CC</t>
        </is>
      </c>
      <c r="C51" s="56" t="inlineStr"/>
      <c r="D51" s="56" t="inlineStr"/>
      <c r="E51" s="56" t="inlineStr"/>
      <c r="F51" s="56" t="inlineStr"/>
      <c r="G51" s="56" t="inlineStr"/>
    </row>
    <row r="52">
      <c r="A52" s="55" t="inlineStr">
        <is>
          <t>15</t>
        </is>
      </c>
      <c r="B52" s="55" t="inlineStr">
        <is>
          <t>Plagas o enfermedades forestales</t>
        </is>
      </c>
      <c r="C52" s="55" t="inlineStr"/>
      <c r="D52" s="55" t="inlineStr"/>
      <c r="E52" s="55" t="inlineStr"/>
      <c r="F52" s="55" t="inlineStr"/>
      <c r="G52" s="55" t="inlineStr"/>
    </row>
    <row r="53">
      <c r="A53" s="56" t="inlineStr">
        <is>
          <t>16</t>
        </is>
      </c>
      <c r="B53" s="56" t="inlineStr">
        <is>
          <t>Otro</t>
        </is>
      </c>
      <c r="C53" s="56" t="inlineStr"/>
      <c r="D53" s="56" t="inlineStr"/>
      <c r="E53" s="56" t="inlineStr"/>
      <c r="F53" s="56" t="inlineStr"/>
      <c r="G53" s="56" t="inlineStr"/>
    </row>
    <row r="55">
      <c r="A55" s="53" t="inlineStr">
        <is>
          <t>F-DT-04 · INDICADORES CUANTITATIVOS</t>
        </is>
      </c>
    </row>
    <row r="56">
      <c r="A56" s="54" t="inlineStr">
        <is>
          <t>N.o</t>
        </is>
      </c>
      <c r="B56" s="54" t="inlineStr">
        <is>
          <t>Indicador</t>
        </is>
      </c>
      <c r="C56" s="54" t="inlineStr">
        <is>
          <t>Unidad</t>
        </is>
      </c>
      <c r="D56" s="54" t="inlineStr">
        <is>
          <t>Valor</t>
        </is>
      </c>
      <c r="E56" s="54" t="inlineStr">
        <is>
          <t>Fuente</t>
        </is>
      </c>
      <c r="F56" s="54" t="inlineStr">
        <is>
          <t>Umbral</t>
        </is>
      </c>
      <c r="G56" s="54" t="inlineStr">
        <is>
          <t>Nivel</t>
        </is>
      </c>
    </row>
    <row r="57">
      <c r="A57" s="55" t="inlineStr">
        <is>
          <t>1</t>
        </is>
      </c>
      <c r="B57" s="55" t="inlineStr">
        <is>
          <t>Cobertura vegetal total</t>
        </is>
      </c>
      <c r="C57" s="55" t="inlineStr">
        <is>
          <t>%</t>
        </is>
      </c>
      <c r="D57" s="55" t="inlineStr">
        <is>
          <t>85</t>
        </is>
      </c>
      <c r="E57" s="55" t="inlineStr">
        <is>
          <t>MSAVI 2024 + estimación ocular</t>
        </is>
      </c>
      <c r="F57" s="55" t="inlineStr">
        <is>
          <t>&gt;60% bueno; 30-60% medio; &lt;30% malo</t>
        </is>
      </c>
      <c r="G57" s="55" t="inlineStr">
        <is>
          <t>Alto</t>
        </is>
      </c>
    </row>
    <row r="58">
      <c r="A58" s="56" t="inlineStr">
        <is>
          <t>2</t>
        </is>
      </c>
      <c r="B58" s="56" t="inlineStr">
        <is>
          <t>Porcentaje de suelo desnudo</t>
        </is>
      </c>
      <c r="C58" s="56" t="inlineStr">
        <is>
          <t>%</t>
        </is>
      </c>
      <c r="D58" s="56" t="inlineStr">
        <is>
          <t>10</t>
        </is>
      </c>
      <c r="E58" s="56" t="inlineStr">
        <is>
          <t>Estimación ocular de campo</t>
        </is>
      </c>
      <c r="F58" s="56" t="inlineStr">
        <is>
          <t>&lt;10% bueno; 10-30% medio; &gt;30% malo</t>
        </is>
      </c>
      <c r="G58" s="56" t="inlineStr">
        <is>
          <t>Bajo</t>
        </is>
      </c>
    </row>
    <row r="59">
      <c r="A59" s="55" t="inlineStr">
        <is>
          <t>3</t>
        </is>
      </c>
      <c r="B59" s="55" t="inlineStr">
        <is>
          <t>Densidad de cárcavas</t>
        </is>
      </c>
      <c r="C59" s="55" t="inlineStr">
        <is>
          <t>N°/ha</t>
        </is>
      </c>
      <c r="D59" s="55" t="inlineStr">
        <is>
          <t>Por determinar</t>
        </is>
      </c>
      <c r="E59" s="55" t="inlineStr">
        <is>
          <t>—</t>
        </is>
      </c>
      <c r="F59" s="55" t="inlineStr">
        <is>
          <t>0 nulo; 1-3 medio; &gt;3 alto</t>
        </is>
      </c>
      <c r="G59" s="55" t="inlineStr">
        <is>
          <t>Por determinar</t>
        </is>
      </c>
    </row>
    <row r="60">
      <c r="A60" s="56" t="inlineStr">
        <is>
          <t>4</t>
        </is>
      </c>
      <c r="B60" s="56" t="inlineStr">
        <is>
          <t>Presencia de especies invasoras</t>
        </is>
      </c>
      <c r="C60" s="56" t="inlineStr">
        <is>
          <t>% área</t>
        </is>
      </c>
      <c r="D60" s="56" t="inlineStr">
        <is>
          <t>10</t>
        </is>
      </c>
      <c r="E60" s="56" t="inlineStr">
        <is>
          <t>Estimación ocular</t>
        </is>
      </c>
      <c r="F60" s="56" t="inlineStr">
        <is>
          <t>&lt;5% bueno; 5-20% medio; &gt;20% alto</t>
        </is>
      </c>
      <c r="G60" s="56" t="inlineStr">
        <is>
          <t>Medio</t>
        </is>
      </c>
    </row>
    <row r="61">
      <c r="A61" s="55" t="inlineStr">
        <is>
          <t>5</t>
        </is>
      </c>
      <c r="B61" s="55" t="inlineStr">
        <is>
          <t>Carga ganadera estimada</t>
        </is>
      </c>
      <c r="C61" s="55" t="inlineStr">
        <is>
          <t>UA/ha</t>
        </is>
      </c>
      <c r="D61" s="55" t="inlineStr">
        <is>
          <t>Por determinar</t>
        </is>
      </c>
      <c r="E61" s="55" t="inlineStr">
        <is>
          <t>—</t>
        </is>
      </c>
      <c r="F61" s="55" t="inlineStr">
        <is>
          <t>Según tipo de ecosistema</t>
        </is>
      </c>
      <c r="G61" s="55" t="inlineStr">
        <is>
          <t>Por determinar</t>
        </is>
      </c>
    </row>
    <row r="62">
      <c r="A62" s="56" t="inlineStr">
        <is>
          <t>6</t>
        </is>
      </c>
      <c r="B62" s="56" t="inlineStr">
        <is>
          <t>Frecuencia de quemas últimos 5 años</t>
        </is>
      </c>
      <c r="C62" s="56" t="inlineStr">
        <is>
          <t>N°</t>
        </is>
      </c>
      <c r="D62" s="56" t="inlineStr">
        <is>
          <t>Por determinar</t>
        </is>
      </c>
      <c r="E62" s="56" t="inlineStr">
        <is>
          <t>—</t>
        </is>
      </c>
      <c r="F62" s="56" t="inlineStr">
        <is>
          <t>0 nulo; 1-2 medio; &gt;2 alto</t>
        </is>
      </c>
      <c r="G62" s="56" t="inlineStr">
        <is>
          <t>Por determinar</t>
        </is>
      </c>
    </row>
    <row r="63">
      <c r="A63" s="55" t="inlineStr">
        <is>
          <t>7</t>
        </is>
      </c>
      <c r="B63" s="55" t="inlineStr">
        <is>
          <t>% área con pendiente &gt;50%</t>
        </is>
      </c>
      <c r="C63" s="55" t="inlineStr">
        <is>
          <t>%</t>
        </is>
      </c>
      <c r="D63" s="55" t="inlineStr">
        <is>
          <t>≈35%</t>
        </is>
      </c>
      <c r="E63" s="55" t="inlineStr">
        <is>
          <t>Perfil de elevación Google Earth (pend. máx 65 %)</t>
        </is>
      </c>
      <c r="F63" s="55" t="inlineStr">
        <is>
          <t>Factor de susceptibilidad</t>
        </is>
      </c>
      <c r="G63" s="55" t="inlineStr">
        <is>
          <t>Medio</t>
        </is>
      </c>
    </row>
    <row r="64">
      <c r="A64" s="56" t="inlineStr">
        <is>
          <t>8</t>
        </is>
      </c>
      <c r="B64" s="56" t="inlineStr">
        <is>
          <t>Distancia a vía vecinal más cercana</t>
        </is>
      </c>
      <c r="C64" s="56" t="inlineStr">
        <is>
          <t>m</t>
        </is>
      </c>
      <c r="D64" s="56" t="inlineStr">
        <is>
          <t>≈0</t>
        </is>
      </c>
      <c r="E64" s="56" t="inlineStr">
        <is>
          <t>Camino de herradura atraviesa el sector N</t>
        </is>
      </c>
      <c r="F64" s="56" t="inlineStr">
        <is>
          <t>A menor distancia → mayor presión</t>
        </is>
      </c>
      <c r="G64" s="56" t="inlineStr">
        <is>
          <t>Alto</t>
        </is>
      </c>
    </row>
    <row r="66">
      <c r="A66" s="53" t="inlineStr">
        <is>
          <t>F-DT-05 · FUENTES DE AGUA INVENTARIADAS</t>
        </is>
      </c>
    </row>
    <row r="67">
      <c r="A67" s="54" t="inlineStr">
        <is>
          <t>N.o</t>
        </is>
      </c>
      <c r="B67" s="54" t="inlineStr">
        <is>
          <t>Tipo de fuente</t>
        </is>
      </c>
      <c r="C67" s="54" t="inlineStr">
        <is>
          <t>UTM ESTE</t>
        </is>
      </c>
      <c r="D67" s="54" t="inlineStr">
        <is>
          <t>UTM NORTE</t>
        </is>
      </c>
      <c r="E67" s="54" t="inlineStr">
        <is>
          <t>Régimen</t>
        </is>
      </c>
      <c r="F67" s="54" t="inlineStr">
        <is>
          <t>Calidad</t>
        </is>
      </c>
      <c r="G67" s="54" t="inlineStr">
        <is>
          <t>Distancia (m)</t>
        </is>
      </c>
      <c r="H67" s="54" t="inlineStr">
        <is>
          <t>Uso / observación</t>
        </is>
      </c>
    </row>
    <row r="68">
      <c r="A68" s="55" t="inlineStr">
        <is>
          <t>1</t>
        </is>
      </c>
      <c r="B68" s="55" t="inlineStr">
        <is>
          <t>Manantial / Puquio</t>
        </is>
      </c>
      <c r="C68" s="61" t="n">
        <v>631909</v>
      </c>
      <c r="D68" s="61" t="n">
        <v>9440083</v>
      </c>
      <c r="E68" s="55" t="inlineStr">
        <is>
          <t>Permanente</t>
        </is>
      </c>
      <c r="F68" s="55" t="inlineStr">
        <is>
          <t>Buena (clara, sin olor, sin sedimentos)</t>
        </is>
      </c>
      <c r="G68" s="62" t="n">
        <v>0</v>
      </c>
      <c r="H68" s="55" t="inlineStr">
        <is>
          <t>Pileta/reservorio de concreto con agua en época seca; captación pecuaria/poblacional (JASS por verificar)</t>
        </is>
      </c>
    </row>
    <row r="69">
      <c r="A69" s="56" t="inlineStr">
        <is>
          <t>2</t>
        </is>
      </c>
      <c r="B69" s="56" t="inlineStr">
        <is>
          <t>Quebrada estacional</t>
        </is>
      </c>
      <c r="C69" s="56" t="n"/>
      <c r="D69" s="56" t="n"/>
      <c r="E69" s="56" t="inlineStr">
        <is>
          <t>Estacional (lluvias)</t>
        </is>
      </c>
      <c r="F69" s="56" t="inlineStr">
        <is>
          <t>No evaluable</t>
        </is>
      </c>
      <c r="G69" s="56" t="n"/>
      <c r="H69" s="56" t="inlineStr">
        <is>
          <t>Quebrada tributaria hacia el E/NE (Los Lúcumos), visible en imagen satelital</t>
        </is>
      </c>
    </row>
    <row r="72">
      <c r="A72" s="53" t="inlineStr">
        <is>
          <t>OBSERVACIONES DEL EVALUADOR POR FICHA</t>
        </is>
      </c>
    </row>
    <row r="73">
      <c r="A73" s="54" t="inlineStr">
        <is>
          <t>Ficha</t>
        </is>
      </c>
      <c r="B73" s="54" t="inlineStr">
        <is>
          <t>Observación registrada en campo</t>
        </is>
      </c>
    </row>
    <row r="74">
      <c r="A74" s="55" t="inlineStr">
        <is>
          <t>F-DT-01</t>
        </is>
      </c>
      <c r="B74" s="55" t="inlineStr">
        <is>
          <t>Pendiente media 42.7 % y máxima 65.0 % (perfil Google Earth). Se observó reptación de suelo en laderas de pastoreo y un parche de suelo expuesto rojizo (17M 631809 9440087) cuya naturaleza (remoción incipiente vs. desbroce) queda por verificar. Nota de catálogo: el centroide de campo (631 723 E / 9 439 702 N, Centroides_V5) coincide con la evidencia GPS; el registro este/norte de "Bloques V4" (631 195 E / 9 441 777 N) difiere ~2.1 km al N y debe revisarse.</t>
        </is>
      </c>
    </row>
    <row r="75">
      <c r="A75" s="56" t="inlineStr">
        <is>
          <t>F-DT-02</t>
        </is>
      </c>
      <c r="B75" s="56" t="inlineStr">
        <is>
          <t>Predominan reptación de suelo y surcos por pisoteo de ganado en laderas de fuerte pendiente; no se registraron cárcavas activas. Dimensiones instrumentales (longitud, profundidad, ancho), longitud total, % de bloque afectado y densidad de cárcavas/ha quedan pendientes de levantamiento por el especialista de Infraestructura Marrón.</t>
        </is>
      </c>
    </row>
    <row r="76">
      <c r="A76" s="55" t="inlineStr">
        <is>
          <t>F-DT-03</t>
        </is>
      </c>
      <c r="B76" s="55" t="inlineStr">
        <is>
          <t>Además se registraron cultivos de maíz (Zea mays), arveja (Pisum sativum) y trigo (Triticum aestivum) y otras herbáceas nativas ("Pega Pega", por determinar) y un arbusto de flores blancas (por determinar). Lista PRELIMINAR: nombres comunes ambiguos (Palo Blanco, Palo hoja Blanca, Chin Chin, Pega Pega) se mantienen "Por determinar" hasta colección y determinación botánica formal. No se registran especies de bosque seco en peligro crítico (Hualtaco, Palo Santo, Sapote) por corresponder a otro piso ecológico.</t>
        </is>
      </c>
    </row>
    <row r="77">
      <c r="A77" s="56" t="inlineStr">
        <is>
          <t>F-DT-05</t>
        </is>
      </c>
      <c r="B77" s="56" t="inlineStr">
        <is>
          <t>La autorización formal de la Ronda Campesina queda por confirmar con autoridades del C.P.</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57</t>
        </is>
      </c>
    </row>
    <row r="7">
      <c r="A7" s="53" t="inlineStr">
        <is>
          <t>Hechos declarados por fuente</t>
        </is>
      </c>
    </row>
    <row r="8">
      <c r="A8" s="54" t="inlineStr">
        <is>
          <t>Fuente</t>
        </is>
      </c>
      <c r="B8" s="54" t="inlineStr">
        <is>
          <t>Hechos</t>
        </is>
      </c>
    </row>
    <row r="9">
      <c r="A9" s="55" t="inlineStr">
        <is>
          <t>Dato de campo</t>
        </is>
      </c>
      <c r="B9" s="55" t="n">
        <v>65</v>
      </c>
    </row>
    <row r="10">
      <c r="A10" s="56" t="inlineStr">
        <is>
          <t>Gabinete (GIS / teledetección)</t>
        </is>
      </c>
      <c r="B10" s="56" t="n">
        <v>22</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97</v>
      </c>
    </row>
    <row r="29">
      <c r="A29" s="56" t="inlineStr">
        <is>
          <t>COMPLEMENTADO</t>
        </is>
      </c>
      <c r="B29" s="56" t="n">
        <v>1</v>
      </c>
    </row>
    <row r="30">
      <c r="A30" s="55" t="inlineStr">
        <is>
          <t>ACTUALIZADO</t>
        </is>
      </c>
      <c r="B30" s="55" t="n">
        <v>3</v>
      </c>
    </row>
    <row r="31">
      <c r="A31" s="56" t="inlineStr">
        <is>
          <t>DISCREPANTE</t>
        </is>
      </c>
      <c r="B31" s="56" t="n">
        <v>0</v>
      </c>
    </row>
    <row r="32">
      <c r="A32" s="55" t="inlineStr">
        <is>
          <t>PENDIENTE</t>
        </is>
      </c>
      <c r="B32" s="55" t="n">
        <v>13</v>
      </c>
    </row>
    <row r="45">
      <c r="A45" s="53" t="inlineStr">
        <is>
          <t>Cobertura por estrato — campo (%)</t>
        </is>
      </c>
    </row>
    <row r="46">
      <c r="A46" s="54" t="inlineStr">
        <is>
          <t>Estrato</t>
        </is>
      </c>
      <c r="B46" s="54" t="inlineStr">
        <is>
          <t>% del área</t>
        </is>
      </c>
    </row>
    <row r="47">
      <c r="A47" s="55" t="inlineStr">
        <is>
          <t>Dosel</t>
        </is>
      </c>
      <c r="B47" s="61" t="n">
        <v>15</v>
      </c>
    </row>
    <row r="48">
      <c r="A48" s="56" t="inlineStr">
        <is>
          <t>Arbustiva</t>
        </is>
      </c>
      <c r="B48" s="60" t="n">
        <v>25</v>
      </c>
    </row>
    <row r="49">
      <c r="A49" s="55" t="inlineStr">
        <is>
          <t>Herbácea</t>
        </is>
      </c>
      <c r="B49" s="61" t="n">
        <v>45</v>
      </c>
    </row>
    <row r="50">
      <c r="A50" s="56" t="inlineStr">
        <is>
          <t>Suelo desnudo</t>
        </is>
      </c>
      <c r="B50" s="60" t="n">
        <v>10</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Cambio de uso a pastoreo</t>
        </is>
      </c>
      <c r="B67" s="56" t="n">
        <v>2</v>
      </c>
    </row>
    <row r="68">
      <c r="A68" s="55" t="inlineStr">
        <is>
          <t>Sobrepastoreo (caprino/vacuno)</t>
        </is>
      </c>
      <c r="B68" s="55" t="n">
        <v>2</v>
      </c>
    </row>
    <row r="69">
      <c r="A69" s="56" t="inlineStr">
        <is>
          <t>Erosión natural severa</t>
        </is>
      </c>
      <c r="B69" s="56" t="n">
        <v>1</v>
      </c>
    </row>
    <row r="70">
      <c r="A70" s="55" t="inlineStr">
        <is>
          <t>Especies invasoras</t>
        </is>
      </c>
      <c r="B70" s="55" t="n">
        <v>1</v>
      </c>
    </row>
    <row r="71">
      <c r="A71" s="56" t="inlineStr">
        <is>
          <t>Expansión urbana / vial</t>
        </is>
      </c>
      <c r="B71" s="56" t="n">
        <v>1</v>
      </c>
    </row>
    <row r="72">
      <c r="A72" s="55" t="inlineStr">
        <is>
          <t>Tala para leña</t>
        </is>
      </c>
      <c r="B72" s="55" t="n">
        <v>1</v>
      </c>
    </row>
    <row r="83">
      <c r="A83" s="53" t="inlineStr">
        <is>
          <t>Control de consistencia por calificación</t>
        </is>
      </c>
    </row>
    <row r="84">
      <c r="A84" s="54" t="inlineStr">
        <is>
          <t>Calificación</t>
        </is>
      </c>
      <c r="B84" s="54" t="inlineStr">
        <is>
          <t>Verificaciones</t>
        </is>
      </c>
    </row>
    <row r="85">
      <c r="A85" s="55" t="inlineStr">
        <is>
          <t>SUSTANTIVA</t>
        </is>
      </c>
      <c r="B85" s="55" t="n">
        <v>3</v>
      </c>
    </row>
    <row r="86">
      <c r="A86" s="56" t="inlineStr">
        <is>
          <t>NO SUSTANTIVA</t>
        </is>
      </c>
      <c r="B86" s="56" t="n">
        <v>5</v>
      </c>
    </row>
    <row r="87">
      <c r="A87" s="55" t="inlineStr">
        <is>
          <t>CORREGIDO</t>
        </is>
      </c>
      <c r="B87" s="55" t="n">
        <v>3</v>
      </c>
    </row>
    <row r="88">
      <c r="A88" s="56" t="inlineStr">
        <is>
          <t>CONFORME</t>
        </is>
      </c>
      <c r="B88" s="56" t="n">
        <v>9</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57 — IN Piura</dc:title>
  <dc:subject>Diagnóstico Territorial por bloque de intervención</dc:subject>
  <dcterms:created xsi:type="dcterms:W3CDTF">2026-09-08T03:39:56Z</dcterms:created>
  <dcterms:modified xsi:type="dcterms:W3CDTF">2026-09-11T21:26:28Z</dcterms:modified>
</cp:coreProperties>
</file>