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integración'!B73</f>
            </strRef>
          </tx>
          <spPr>
            <a:ln>
              <a:prstDash val="solid"/>
            </a:ln>
          </spPr>
          <cat>
            <numRef>
              <f>'Gráficos de integración'!$A$74:$A$77</f>
            </numRef>
          </cat>
          <val>
            <numRef>
              <f>'Gráficos de integración'!$B$74:$B$77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67</t>
        </is>
      </c>
    </row>
    <row r="6" ht="24" customHeight="1">
      <c r="A6" s="4" t="inlineStr">
        <is>
          <t>Diagnóstico Territorial — Plantilla DT Campo Check Validada V5 | Sistema de referencia: UTM WGS 84 Zona 17S (EPSG:32717) · Integrado con la ficha de campo F-DT vigente (DT_Bloque67_V5.xlsx) — V7 - resumen V6 + campo F-DT integrado</t>
        </is>
      </c>
    </row>
    <row r="7"/>
    <row r="8" ht="18" customHeight="1">
      <c r="A8" s="5" t="inlineStr">
        <is>
          <t>1. IDENTIFICACIÓN Y LOCALIZACIÓN</t>
        </is>
      </c>
    </row>
    <row r="9">
      <c r="A9" s="6" t="inlineStr">
        <is>
          <t>Código del bloque</t>
        </is>
      </c>
      <c r="B9" s="7" t="inlineStr">
        <is>
          <t>67</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Quitahuajara</t>
        </is>
      </c>
      <c r="C13" s="6" t="inlineStr">
        <is>
          <t>Comunidad campesina</t>
        </is>
      </c>
      <c r="D13" s="7" t="inlineStr">
        <is>
          <t>Por verificar</t>
        </is>
      </c>
      <c r="E13" s="8" t="n"/>
      <c r="F13" s="8" t="n"/>
    </row>
    <row r="14">
      <c r="A14" s="6" t="inlineStr">
        <is>
          <t>Superficie de catálogo (V5/V6), ha</t>
        </is>
      </c>
      <c r="B14" s="7" t="n">
        <v>13.18</v>
      </c>
      <c r="C14" s="6" t="inlineStr">
        <is>
          <t>Fuente de superficie</t>
        </is>
      </c>
      <c r="D14" s="7" t="inlineStr">
        <is>
          <t>Catálogo maestro Bloques V5/V6</t>
        </is>
      </c>
      <c r="E14" s="8" t="n"/>
      <c r="F14" s="8" t="n"/>
    </row>
    <row r="15">
      <c r="A15" s="6" t="inlineStr">
        <is>
          <t>Centroide UTM ESTE (m)</t>
        </is>
      </c>
      <c r="B15" s="7" t="n">
        <v>654207</v>
      </c>
      <c r="C15" s="6" t="inlineStr">
        <is>
          <t>Centroide UTM NORTE (m)</t>
        </is>
      </c>
      <c r="D15" s="7" t="n">
        <v>9394210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1575</v>
      </c>
      <c r="C19" s="6" t="inlineStr">
        <is>
          <t>Altitud máxima (msnm)</t>
        </is>
      </c>
      <c r="D19" s="7" t="n">
        <v>1770</v>
      </c>
      <c r="E19" s="8" t="n"/>
      <c r="F19" s="8" t="n"/>
    </row>
    <row r="20">
      <c r="A20" s="6" t="inlineStr">
        <is>
          <t>Amplitud altitudinal (m)</t>
        </is>
      </c>
      <c r="B20" s="7" t="n">
        <v>195</v>
      </c>
      <c r="C20" s="6" t="inlineStr">
        <is>
          <t>Piso altitudinal dominante</t>
        </is>
      </c>
      <c r="D20" s="7" t="inlineStr">
        <is>
          <t>1500-2000 m (Quechua media)</t>
        </is>
      </c>
      <c r="E20" s="8" t="n"/>
      <c r="F20" s="8" t="n"/>
    </row>
    <row r="21">
      <c r="A21" s="6" t="inlineStr">
        <is>
          <t>Pendiente promedio (%)</t>
        </is>
      </c>
      <c r="B21" s="7" t="n">
        <v>30.33</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49" t="inlineStr">
        <is>
          <t>Sin registro en ficha</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0.6052999999999999</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(97.50 %)</t>
        </is>
      </c>
      <c r="E29" s="8" t="n"/>
      <c r="F29" s="8" t="n"/>
    </row>
    <row r="30">
      <c r="A30" s="6" t="inlineStr">
        <is>
          <t>Superficie clasificada NDVI 2025 (ha)</t>
        </is>
      </c>
      <c r="B30" s="7" t="n">
        <v>13.187</v>
      </c>
      <c r="C30" s="6" t="inlineStr">
        <is>
          <t>Desviación frente al catálogo (%)</t>
        </is>
      </c>
      <c r="D30" s="7" t="n">
        <v>0.05</v>
      </c>
      <c r="E30" s="8" t="n"/>
      <c r="F30" s="8" t="n"/>
    </row>
    <row r="31">
      <c r="A31" s="6" t="inlineStr">
        <is>
          <t>Superficie clasificada MSAVI 2024 (ha)</t>
        </is>
      </c>
      <c r="B31" s="37" t="n">
        <v>13.184</v>
      </c>
      <c r="C31" s="6" t="inlineStr">
        <is>
          <t>Desviación MSAVI frente al catálogo (%)</t>
        </is>
      </c>
      <c r="D31" s="38" t="n">
        <v>0.03</v>
      </c>
      <c r="E31" s="8" t="n"/>
      <c r="F31" s="8" t="n"/>
    </row>
    <row r="32">
      <c r="A32" s="6" t="inlineStr">
        <is>
          <t>Superficie bajo umbral MSAVI 0.4976 (ha)</t>
        </is>
      </c>
      <c r="B32" s="37" t="n">
        <v>0.279</v>
      </c>
      <c r="C32" s="6" t="inlineStr">
        <is>
          <t>% del bloque bajo umbral (brecha espectral)</t>
        </is>
      </c>
      <c r="D32" s="38" t="n">
        <v>2.12</v>
      </c>
      <c r="E32" s="8" t="n"/>
      <c r="F32" s="8" t="n"/>
    </row>
    <row r="33">
      <c r="A33" s="6" t="inlineStr">
        <is>
          <t>Clase DN dominante (MSAVI 2024)</t>
        </is>
      </c>
      <c r="B33" s="7" t="inlineStr">
        <is>
          <t>DN 5 · &gt; 0.6139 (Vigor alto)</t>
        </is>
      </c>
      <c r="C33" s="6" t="inlineStr">
        <is>
          <t>N.° de polígonos MSAVI del bloque</t>
        </is>
      </c>
      <c r="D33" s="39" t="n">
        <v>48</v>
      </c>
      <c r="E33" s="8" t="n"/>
      <c r="F33" s="8" t="n"/>
    </row>
    <row r="34"/>
    <row r="35" ht="18" customHeight="1">
      <c r="A35" s="5" t="inlineStr">
        <is>
          <t>4. ECOSISTEMA Y ESTADO DE CONSERVACIÓN</t>
        </is>
      </c>
    </row>
    <row r="36">
      <c r="A36" s="6" t="inlineStr">
        <is>
          <t>Tipo de ecosistema (UP)</t>
        </is>
      </c>
      <c r="B36" s="49" t="inlineStr">
        <is>
          <t>Bosque y matorral montano en recuperación bajo neblina (tipo MINAM no consignado)</t>
        </is>
      </c>
      <c r="C36" s="6" t="inlineStr">
        <is>
          <t>Superficie de ecosistema (ha)</t>
        </is>
      </c>
      <c r="D36" s="7" t="inlineStr">
        <is>
          <t>Por determinar</t>
        </is>
      </c>
      <c r="E36" s="8" t="n"/>
      <c r="F36" s="8" t="n"/>
    </row>
    <row r="37">
      <c r="A37" s="6" t="inlineStr">
        <is>
          <t>Estado de conservación</t>
        </is>
      </c>
      <c r="B37" s="49" t="inlineStr">
        <is>
          <t>Sin registro en ficha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verificar</t>
        </is>
      </c>
      <c r="E38" s="8" t="n"/>
      <c r="F38" s="8" t="n"/>
    </row>
    <row r="39">
      <c r="A39" s="6" t="inlineStr">
        <is>
          <t>Suelo desnudo — campo (%)</t>
        </is>
      </c>
      <c r="B39" s="7" t="inlineStr">
        <is>
          <t>Por determinar</t>
        </is>
      </c>
      <c r="C39" s="6" t="inlineStr">
        <is>
          <t>Regeneración natural</t>
        </is>
      </c>
      <c r="D39" s="49" t="inlineStr">
        <is>
          <t>Sin registro en ficha</t>
        </is>
      </c>
      <c r="E39" s="8" t="n"/>
      <c r="F39" s="8" t="n"/>
    </row>
    <row r="40">
      <c r="A40" s="6" t="inlineStr">
        <is>
          <t>Nivel general de erosión</t>
        </is>
      </c>
      <c r="B40" s="7" t="inlineStr">
        <is>
          <t>Moderada (surcos)</t>
        </is>
      </c>
      <c r="C40" s="6" t="inlineStr">
        <is>
          <t>N.° de cárcavas registradas</t>
        </is>
      </c>
      <c r="D40" s="49" t="inlineStr">
        <is>
          <t>No inventariadas</t>
        </is>
      </c>
      <c r="E40" s="8" t="n"/>
      <c r="F40" s="8" t="n"/>
    </row>
    <row r="41">
      <c r="A41" s="6" t="inlineStr">
        <is>
          <t>Elenco florístico (n.° de taxones)</t>
        </is>
      </c>
      <c r="B41" s="7" t="n">
        <v>14</v>
      </c>
      <c r="C41" s="6" t="inlineStr">
        <is>
          <t>Estado sanitario</t>
        </is>
      </c>
      <c r="D41" s="49"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7" t="inlineStr">
        <is>
          <t>16:50 h</t>
        </is>
      </c>
      <c r="C45" s="6" t="inlineStr">
        <is>
          <t>Correlativo de ficha</t>
        </is>
      </c>
      <c r="D45" s="49" t="inlineStr">
        <is>
          <t>F-DT-01..05/B67/2026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Por completar en gabinete/campo</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Apertura y mantenimiento de vía en ladera inestable, sumado a la presión agrícola sobre laderas</t>
        </is>
      </c>
      <c r="C51" s="6" t="inlineStr">
        <is>
          <t>Velocidad de degradación</t>
        </is>
      </c>
      <c r="D51" s="49" t="inlineStr">
        <is>
          <t>Sin registro en ficha</t>
        </is>
      </c>
      <c r="E51" s="8" t="n"/>
      <c r="F51" s="8" t="n"/>
    </row>
    <row r="52">
      <c r="A52" s="6" t="inlineStr">
        <is>
          <t>Reversibilidad técnica</t>
        </is>
      </c>
      <c r="B52" s="49" t="inlineStr">
        <is>
          <t>Sin registro en ficha</t>
        </is>
      </c>
      <c r="C52" s="6" t="inlineStr">
        <is>
          <t>Urgencia de intervención</t>
        </is>
      </c>
      <c r="D52" s="49" t="inlineStr">
        <is>
          <t>Sin registro en ficha</t>
        </is>
      </c>
      <c r="E52" s="8" t="n"/>
      <c r="F52" s="8" t="n"/>
    </row>
    <row r="53">
      <c r="A53" s="6" t="inlineStr">
        <is>
          <t>Urgencia de control de erosión</t>
        </is>
      </c>
      <c r="B53" s="49" t="inlineStr">
        <is>
          <t>Sin registro en ficha</t>
        </is>
      </c>
      <c r="C53" s="6" t="inlineStr">
        <is>
          <t>Zona de recarga hídrica</t>
        </is>
      </c>
      <c r="D53" s="49"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6.5065</v>
      </c>
      <c r="C10" s="19">
        <f>ROUND(B10/$B$15*100,2)</f>
        <v/>
      </c>
      <c r="D10" s="11" t="inlineStr">
        <is>
          <t>Vigor alto</t>
        </is>
      </c>
      <c r="E10" s="11" t="inlineStr">
        <is>
          <t>Sobre umbral</t>
        </is>
      </c>
    </row>
    <row r="11">
      <c r="A11" s="12" t="inlineStr">
        <is>
          <t>0.4976 - 0.6139 · DN 4</t>
        </is>
      </c>
      <c r="B11" s="31" t="n">
        <v>6.398</v>
      </c>
      <c r="C11" s="30">
        <f>ROUND(B11/$B$15*100,2)</f>
        <v/>
      </c>
      <c r="D11" s="13" t="inlineStr">
        <is>
          <t>Vigor moderado</t>
        </is>
      </c>
      <c r="E11" s="13" t="inlineStr">
        <is>
          <t>Sobre umbral</t>
        </is>
      </c>
    </row>
    <row r="12">
      <c r="A12" s="7" t="inlineStr">
        <is>
          <t>0.3813 - 0.4976 · DN 3</t>
        </is>
      </c>
      <c r="B12" s="18" t="n">
        <v>0.2793</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48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13.18</v>
      </c>
      <c r="C18" s="48" t="inlineStr">
        <is>
          <t>—</t>
        </is>
      </c>
      <c r="D18" s="45" t="inlineStr">
        <is>
          <t>Desviación planimétrica frente al catálogo</t>
        </is>
      </c>
      <c r="E18" s="45" t="inlineStr">
        <is>
          <t>+0.03 %</t>
        </is>
      </c>
    </row>
    <row r="19">
      <c r="A19" s="16" t="inlineStr">
        <is>
          <t>MSAVI 2024 — MEDIA DEL BLOQUE</t>
        </is>
      </c>
      <c r="B19" s="17" t="n">
        <v>0.605293</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(0.6053)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12.8574</v>
      </c>
      <c r="C25" s="19" t="n">
        <v>97.5</v>
      </c>
      <c r="D25" s="11" t="inlineStr">
        <is>
          <t>Dosel continuo, matorral denso o mosaico agroforestal</t>
        </is>
      </c>
      <c r="E25" s="11" t="inlineStr"/>
    </row>
    <row r="26">
      <c r="A26" s="14" t="inlineStr">
        <is>
          <t>Vegetación mediana</t>
        </is>
      </c>
      <c r="B26" s="20" t="n">
        <v>0.3291</v>
      </c>
      <c r="C26" s="21" t="n">
        <v>2.5</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13.18</v>
      </c>
      <c r="C28" s="25" t="inlineStr">
        <is>
          <t>—</t>
        </is>
      </c>
      <c r="D28" s="25" t="inlineStr">
        <is>
          <t>Desviación planimétrica frente al catálogo</t>
        </is>
      </c>
      <c r="E28" s="25" t="inlineStr">
        <is>
          <t>+0.05 %</t>
        </is>
      </c>
    </row>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67</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8661.200000000001</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654207</v>
      </c>
      <c r="C13" s="6" t="inlineStr">
        <is>
          <t>Centroide del bloque — UTM NORTE (m)</t>
        </is>
      </c>
      <c r="D13" s="7" t="n">
        <v>9394210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del 21/07/2026 con GPS Garmin GPSMAP 66sr (track sobre Google Earth). FUERTE PENDIENTE (perfil GE: media 35.4%, máx. 54.3%; desnivel 204 m en 567 m). Rango altitudinal referencial GE 1 480-1 740 m (altitud puntual por completar desde el track). EVIDENCIAS DIRECTAS DE INESTABILIDAD: derrumbe de talud de corte sobre la vía y fractura/agrietamiento del suelo en el borde de la plataforma. Alcantarillas tipo arco de la vía con represamiento/empozamiento aguas arriba. ATENCIÓN: la ficha consigna UTM del punto de muestreo 645 575 E · 9 393 500 N, valor por defecto de la plantilla, distinto del centroide de catálogo (654 207 E · 9 394 210 N).</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67</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7" t="n">
        <v>109.86</v>
      </c>
      <c r="C10" s="19" t="n">
        <v>40.1</v>
      </c>
      <c r="D10" s="11" t="inlineStr">
        <is>
          <t>1529 – 2264</t>
        </is>
      </c>
      <c r="E10" s="11" t="n">
        <v>735</v>
      </c>
      <c r="F10" s="11" t="n">
        <v>34.82</v>
      </c>
      <c r="G10" s="18" t="n">
        <v>0.5745</v>
      </c>
      <c r="H10" s="19" t="n">
        <v>90.23999999999999</v>
      </c>
      <c r="I10" s="19" t="n">
        <v>11.68</v>
      </c>
    </row>
    <row r="11">
      <c r="A11" s="14" t="inlineStr">
        <is>
          <t>M22B1</t>
        </is>
      </c>
      <c r="B11" s="28" t="n">
        <v>55.17</v>
      </c>
      <c r="C11" s="21" t="n">
        <v>20.14</v>
      </c>
      <c r="D11" s="15" t="inlineStr">
        <is>
          <t>3216 – 3436</t>
        </is>
      </c>
      <c r="E11" s="15" t="n">
        <v>220</v>
      </c>
      <c r="F11" s="15" t="n">
        <v>19.98</v>
      </c>
      <c r="G11" s="20" t="n">
        <v>0.594</v>
      </c>
      <c r="H11" s="21" t="n">
        <v>91.05</v>
      </c>
      <c r="I11" s="21" t="n">
        <v>4.1</v>
      </c>
    </row>
    <row r="12">
      <c r="A12" s="7" t="inlineStr">
        <is>
          <t>35</t>
        </is>
      </c>
      <c r="B12" s="27" t="n">
        <v>30.8</v>
      </c>
      <c r="C12" s="19" t="n">
        <v>11.24</v>
      </c>
      <c r="D12" s="11" t="inlineStr">
        <is>
          <t>1376 – 1621</t>
        </is>
      </c>
      <c r="E12" s="11" t="n">
        <v>245</v>
      </c>
      <c r="F12" s="11" t="n">
        <v>33.66</v>
      </c>
      <c r="G12" s="18" t="n">
        <v>0.6245000000000001</v>
      </c>
      <c r="H12" s="19" t="n">
        <v>98.17</v>
      </c>
      <c r="I12" s="19" t="n">
        <v>1.19</v>
      </c>
    </row>
    <row r="13">
      <c r="A13" s="14" t="inlineStr">
        <is>
          <t>44</t>
        </is>
      </c>
      <c r="B13" s="28" t="n">
        <v>28.23</v>
      </c>
      <c r="C13" s="21" t="n">
        <v>10.3</v>
      </c>
      <c r="D13" s="15" t="inlineStr">
        <is>
          <t>3091 – 3277</t>
        </is>
      </c>
      <c r="E13" s="15" t="n">
        <v>186</v>
      </c>
      <c r="F13" s="15" t="n">
        <v>22.21</v>
      </c>
      <c r="G13" s="20" t="n">
        <v>0.5113</v>
      </c>
      <c r="H13" s="21" t="n">
        <v>83.84999999999999</v>
      </c>
      <c r="I13" s="21" t="n">
        <v>52.06</v>
      </c>
    </row>
    <row r="14">
      <c r="A14" s="7" t="inlineStr">
        <is>
          <t>43</t>
        </is>
      </c>
      <c r="B14" s="27" t="n">
        <v>23.17</v>
      </c>
      <c r="C14" s="19" t="n">
        <v>8.460000000000001</v>
      </c>
      <c r="D14" s="11" t="inlineStr">
        <is>
          <t>251 – 811</t>
        </is>
      </c>
      <c r="E14" s="11" t="n">
        <v>560</v>
      </c>
      <c r="F14" s="11" t="n">
        <v>31.39</v>
      </c>
      <c r="G14" s="18" t="n">
        <v>0.5515</v>
      </c>
      <c r="H14" s="19" t="n">
        <v>78.91</v>
      </c>
      <c r="I14" s="19" t="n">
        <v>21.28</v>
      </c>
    </row>
    <row r="15">
      <c r="A15" s="14" t="inlineStr">
        <is>
          <t>47</t>
        </is>
      </c>
      <c r="B15" s="28" t="n">
        <v>13.55</v>
      </c>
      <c r="C15" s="21" t="n">
        <v>4.95</v>
      </c>
      <c r="D15" s="15" t="inlineStr">
        <is>
          <t>2105 – 2333</t>
        </is>
      </c>
      <c r="E15" s="15" t="n">
        <v>228</v>
      </c>
      <c r="F15" s="15" t="n">
        <v>32.43</v>
      </c>
      <c r="G15" s="20" t="n">
        <v>0.5936</v>
      </c>
      <c r="H15" s="21" t="n">
        <v>91.26000000000001</v>
      </c>
      <c r="I15" s="21" t="n">
        <v>9.84</v>
      </c>
    </row>
    <row r="16">
      <c r="A16" s="12" t="inlineStr">
        <is>
          <t>► 67</t>
        </is>
      </c>
      <c r="B16" s="29" t="n">
        <v>13.18</v>
      </c>
      <c r="C16" s="30" t="n">
        <v>4.81</v>
      </c>
      <c r="D16" s="13" t="inlineStr">
        <is>
          <t>1575 – 1770</t>
        </is>
      </c>
      <c r="E16" s="13" t="n">
        <v>195</v>
      </c>
      <c r="F16" s="13" t="n">
        <v>30.33</v>
      </c>
      <c r="G16" s="31" t="n">
        <v>0.6052999999999999</v>
      </c>
      <c r="H16" s="30" t="n">
        <v>97.5</v>
      </c>
      <c r="I16" s="30" t="n">
        <v>2.12</v>
      </c>
    </row>
    <row r="17">
      <c r="A17" s="16" t="inlineStr">
        <is>
          <t>TOTAL / PROMEDIO</t>
        </is>
      </c>
      <c r="B17" s="32">
        <f>SUM(B10:B16)</f>
        <v/>
      </c>
      <c r="C17" s="23">
        <f>SUM(C10:C16)</f>
        <v/>
      </c>
      <c r="D17" s="17" t="inlineStr">
        <is>
          <t>251 – 3436</t>
        </is>
      </c>
      <c r="E17" s="17" t="inlineStr"/>
      <c r="F17" s="17">
        <f>ROUND(AVERAGE(F10:F16),2)</f>
        <v/>
      </c>
      <c r="G17" s="22">
        <f>ROUND(AVERAGE(G10:G16),4)</f>
        <v/>
      </c>
      <c r="H17" s="23">
        <f>ROUND(AVERAGE(H10:H16),2)</f>
        <v/>
      </c>
      <c r="I17" s="23">
        <f>ROUND(AVERAGE(I10:I16),2)</f>
        <v/>
      </c>
    </row>
    <row r="19" ht="84" customHeight="1">
      <c r="A19" s="9" t="inlineStr">
        <is>
          <t>LECTURA INTRAMICROCUENCA. El bloque 67 ocupa el puesto 7 de 7 por superficie dentro de la microcuenca C1076-Q9586 (4.81 % de las 273.96 ha preliminares de la microcuenca). Su pendiente promedio (30.33 %, clase «25-50% (Mod. escarpado)») es la 3.ª más baja de 7 y se sitúa por encima del promedio de la microcuenca (29.26 %). Su MSAVI 2024 (0.6053) es el 2.º de 7 y queda por encima del promedio local (0.5793). Amplitud altitudinal del bloque: 195 m (1575–1770 msnm). El cuadro conserva todos los bloques catalogados en la microcuenca, incluidos los descartados en el tamizaje, para referencia del conjunto. Los bloques sin ficha DT figuran con sus parámetros de gabinete. BRECHA ESPECTRAL. El 2.12 % de la superficie del bloque (0.279 ha de 13.184 ha) se sitúa bajo el umbral MSAVI 0.4976, por debajo del promedio local de la microcuenca (14.61 %) calculado sobre los bloques con dato MSAVI disponible.</t>
        </is>
      </c>
      <c r="B19" s="40" t="n"/>
      <c r="C19" s="40" t="n"/>
      <c r="D19" s="40" t="n"/>
      <c r="E19" s="40" t="n"/>
      <c r="F19" s="40" t="n"/>
      <c r="G19" s="40" t="n"/>
      <c r="H19" s="40" t="n"/>
      <c r="I19" s="41"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0" t="n"/>
      <c r="C21" s="40" t="n"/>
      <c r="D21" s="40" t="n"/>
      <c r="E21" s="40" t="n"/>
      <c r="F21" s="40" t="n"/>
      <c r="G21" s="40" t="n"/>
      <c r="H21" s="40" t="n"/>
      <c r="I21" s="41"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67</t>
        </is>
      </c>
    </row>
    <row r="6">
      <c r="A6" s="51" t="inlineStr">
        <is>
          <t>Cruce de la ficha de campo F-DT vigente con la ficha de resumen de gabinete y el catálogo maestro. Integración 2026-09-11 20:22:31.</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«C1076-Q9586».</t>
        </is>
      </c>
      <c r="D9" s="55" t="inlineStr">
        <is>
          <t>CONFORME</t>
        </is>
      </c>
      <c r="E9" s="55" t="inlineStr">
        <is>
          <t>Sin acción.</t>
        </is>
      </c>
    </row>
    <row r="10">
      <c r="A10" s="56" t="inlineStr">
        <is>
          <t>G-02</t>
        </is>
      </c>
      <c r="B10" s="56" t="inlineStr">
        <is>
          <t>UTM del punto de muestreo</t>
        </is>
      </c>
      <c r="C10" s="56" t="inlineStr">
        <is>
          <t>El punto de muestreo declarado dista 309.6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(13.187 ha) se desvía 0.05 % de la superficie de catálogo (13.18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(13.184 ha) se desvía 0.03 % de la superficie de catálogo (13.18 ha).</t>
        </is>
      </c>
      <c r="D14" s="56" t="inlineStr">
        <is>
          <t>CONFORME</t>
        </is>
      </c>
      <c r="E14" s="56" t="inlineStr">
        <is>
          <t>Sin acción: la segmentación valida la geometría del bloque.</t>
        </is>
      </c>
    </row>
    <row r="15">
      <c r="A15" s="55" t="inlineStr">
        <is>
          <t>G-07</t>
        </is>
      </c>
      <c r="B15" s="55" t="inlineStr">
        <is>
          <t>Brecha espectral MSAVI</t>
        </is>
      </c>
      <c r="C15" s="55" t="inlineStr">
        <is>
          <t>El 2.12 % del bloque queda bajo el umbral 0.4976; superficie de brecha 0.2793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13.18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(0.6053) cae en la clase «0.4976 - 0.6139 (Vigor moderado)» y la clase DN dominante por superficie es «DN 5 · &gt; 0.6139 (Vigor alto)».</t>
        </is>
      </c>
      <c r="D17" s="55" t="inlineStr">
        <is>
          <t>NO SUSTANTIVA</t>
        </is>
      </c>
      <c r="E17" s="55" t="inlineStr">
        <is>
          <t>Se declaran ambas lecturas: la media resume el bloque y la clase dominante su reparto areal.</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53.6 % de los campos esperados).</t>
        </is>
      </c>
      <c r="D19" s="55" t="inlineStr">
        <is>
          <t>CONFORME</t>
        </is>
      </c>
      <c r="E19" s="55" t="inlineStr">
        <is>
          <t>Sin acción.</t>
        </is>
      </c>
    </row>
    <row r="20">
      <c r="A20" s="56" t="inlineStr">
        <is>
          <t>F-02</t>
        </is>
      </c>
      <c r="B20" s="56" t="inlineStr">
        <is>
          <t>Cobertura de la integración</t>
        </is>
      </c>
      <c r="C20" s="56" t="inlineStr">
        <is>
          <t>Se declararon 77 de 114 hechos integrados (67.5 %); 37 quedan sin dato en ninguna fuente.</t>
        </is>
      </c>
      <c r="D20" s="56" t="inlineStr">
        <is>
          <t>NO SUSTANTIVA</t>
        </is>
      </c>
      <c r="E20" s="56" t="inlineStr">
        <is>
          <t>Se prioriza el completado de los campos faltantes en la próxima salida de campo.</t>
        </is>
      </c>
    </row>
    <row r="21">
      <c r="A21" s="55" t="inlineStr">
        <is>
          <t>H-01</t>
        </is>
      </c>
      <c r="B21" s="55" t="inlineStr">
        <is>
          <t>Dimensiones del inventario de cárcavas</t>
        </is>
      </c>
      <c r="C21" s="55" t="inlineStr">
        <is>
          <t>Se registran No inventariadas rasgos erosivos, pero longitud, profundidad y ancho no fueron medidos instrumentalmente</t>
        </is>
      </c>
      <c r="D21" s="55" t="inlineStr">
        <is>
          <t>NO SUSTANTIVA</t>
        </is>
      </c>
      <c r="E21" s="55" t="inlineStr">
        <is>
          <t>El conteo registrado no debe usarse para calcular densidad de cárcavas por hectárea. Pendiente de levantamiento con GPS submétrico. (Verificación heredada de la ficha de resumen V6.)</t>
        </is>
      </c>
    </row>
    <row r="22">
      <c r="A22" s="56" t="inlineStr">
        <is>
          <t>H-02</t>
        </is>
      </c>
      <c r="B22" s="56" t="inlineStr">
        <is>
          <t>Elenco florístico</t>
        </is>
      </c>
      <c r="C22" s="56" t="inlineStr">
        <is>
          <t>La ficha registra 14 taxones, por debajo del mínimo de 15 que exige el formato V5</t>
        </is>
      </c>
      <c r="D22" s="56" t="inlineStr">
        <is>
          <t>SUSTANTIVA</t>
        </is>
      </c>
      <c r="E22" s="56" t="inlineStr">
        <is>
          <t>Registro florístico preliminar, sin colecta ni determinación botánica formal. Debe cerrarse con colecta botánica en la siguiente campaña. (Verificación heredada de la ficha de resumen V6.)</t>
        </is>
      </c>
    </row>
    <row r="23">
      <c r="A23" s="55" t="inlineStr">
        <is>
          <t>H-03</t>
        </is>
      </c>
      <c r="B23" s="55" t="inlineStr">
        <is>
          <t>Representatividad del levantamiento</t>
        </is>
      </c>
      <c r="C23" s="55" t="inlineStr">
        <is>
          <t>Ninguna de las estaciones fotográficas georreferenciadas se localiza dentro del polígono del bloque</t>
        </is>
      </c>
      <c r="D23" s="55" t="inlineStr">
        <is>
          <t>SUSTANTIVA</t>
        </is>
      </c>
      <c r="E23" s="55" t="inlineStr">
        <is>
          <t>La verificación documenta el perímetro y la vista panorámica del bloque, no su interior. Los parámetros que exigen recorrido interno se consignan «Por determinar». (Verificación heredada de la ficha de resumen V6.)</t>
        </is>
      </c>
    </row>
    <row r="24">
      <c r="A24" s="56" t="inlineStr">
        <is>
          <t>H-04</t>
        </is>
      </c>
      <c r="B24" s="56" t="inlineStr">
        <is>
          <t>Centro poblado asociado</t>
        </is>
      </c>
      <c r="C24" s="56" t="inlineStr">
        <is>
          <t>La ficha DT declara «Quitahuajara»; el cruce INEI-Bloques V5 identifica 1 centro(s) poblado(s) en el bloque: PIEDRA GRANDE</t>
        </is>
      </c>
      <c r="D24" s="56" t="inlineStr">
        <is>
          <t>NO SUSTANTIVA</t>
        </is>
      </c>
      <c r="E24" s="56" t="inlineStr">
        <is>
          <t>Se conserva el registro de campo como referencia y se adopta el listado INEI para el diagnóstico social y el cálculo de población beneficiaria. (Verificación heredada de la ficha de resumen V6.)</t>
        </is>
      </c>
    </row>
    <row r="25">
      <c r="A25" s="55" t="inlineStr">
        <is>
          <t>H-05</t>
        </is>
      </c>
      <c r="B25" s="55" t="inlineStr">
        <is>
          <t>Ficha DT</t>
        </is>
      </c>
      <c r="C25" s="55" t="inlineStr">
        <is>
          <t>UTM del punto de muestreo 645 575 E · 9 393 500 N corresponde al valor por defecto de la plantilla; el centroide de catálogo es 654 207 E · 9 394 210 N</t>
        </is>
      </c>
      <c r="D25" s="55" t="inlineStr">
        <is>
          <t>SUSTANTIVA</t>
        </is>
      </c>
      <c r="E25" s="55" t="inlineStr">
        <is>
          <t>Georreferencia por reponer desde el track GPS del 21/07/2026 (Verificación heredada de la ficha de resumen V6.)</t>
        </is>
      </c>
    </row>
    <row r="26">
      <c r="A26" s="56" t="inlineStr">
        <is>
          <t>H-06</t>
        </is>
      </c>
      <c r="B26" s="56" t="inlineStr">
        <is>
          <t>Plan de Ingreso</t>
        </is>
      </c>
      <c r="C26" s="56" t="inlineStr">
        <is>
          <t>Altitud = 0 msnm (captura por defecto del aplicativo)</t>
        </is>
      </c>
      <c r="D26" s="56" t="inlineStr">
        <is>
          <t>NO SUSTANTIVA</t>
        </is>
      </c>
      <c r="E26" s="56" t="inlineStr">
        <is>
          <t>Se sustituye por el rango del MDE (Verificación heredada de la ficha de resumen V6.)</t>
        </is>
      </c>
    </row>
    <row r="27">
      <c r="A27" s="55" t="inlineStr">
        <is>
          <t>H-07</t>
        </is>
      </c>
      <c r="B27" s="55" t="inlineStr">
        <is>
          <t>F-DT-02</t>
        </is>
      </c>
      <c r="C27" s="55" t="inlineStr">
        <is>
          <t>Inventario formal de cárcavas no realizado; el nivel de erosión es apreciación preliminar</t>
        </is>
      </c>
      <c r="D27" s="55" t="inlineStr">
        <is>
          <t>SUSTANTIVA</t>
        </is>
      </c>
      <c r="E27" s="55" t="inlineStr">
        <is>
          <t>Levantamiento pendiente (Verificación heredada de la ficha de resumen V6.)</t>
        </is>
      </c>
    </row>
    <row r="28">
      <c r="A28" s="56" t="inlineStr">
        <is>
          <t>H-08</t>
        </is>
      </c>
      <c r="B28" s="56" t="inlineStr">
        <is>
          <t>F-DT-03</t>
        </is>
      </c>
      <c r="C28" s="56" t="inlineStr">
        <is>
          <t>Cobertura vegetal total, coberturas por estrato, alturas, DAP y parcela sin registrar</t>
        </is>
      </c>
      <c r="D28" s="56" t="inlineStr">
        <is>
          <t>SUSTANTIVA</t>
        </is>
      </c>
      <c r="E28" s="56" t="inlineStr">
        <is>
          <t>Pendientes de completar en gabinete/campo (Verificación heredada de la ficha de resumen V6.)</t>
        </is>
      </c>
    </row>
    <row r="29">
      <c r="A29" s="55" t="inlineStr">
        <is>
          <t>H-09</t>
        </is>
      </c>
      <c r="B29" s="55" t="inlineStr">
        <is>
          <t>F-DT-04</t>
        </is>
      </c>
      <c r="C29" s="55" t="inlineStr">
        <is>
          <t>Ningún indicador cuantitativo diligenciado (8/8 vacíos); velocidad, reversibilidad y urgencia no consignadas</t>
        </is>
      </c>
      <c r="D29" s="55" t="inlineStr">
        <is>
          <t>SUSTANTIVA</t>
        </is>
      </c>
      <c r="E29" s="55" t="inlineStr">
        <is>
          <t>Cuantificación y calificación pendientes (Verificación heredada de la ficha de resumen V6.)</t>
        </is>
      </c>
    </row>
    <row r="30">
      <c r="A30" s="56" t="inlineStr">
        <is>
          <t>H-10</t>
        </is>
      </c>
      <c r="B30" s="56" t="inlineStr">
        <is>
          <t>F-DT-05</t>
        </is>
      </c>
      <c r="C30" s="56" t="inlineStr">
        <is>
          <t>Inventario de fuentes de agua vacío; los cuerpos de agua observados son artificiales (drenaje vial)</t>
        </is>
      </c>
      <c r="D30" s="56" t="inlineStr">
        <is>
          <t>NO SUSTANTIVA</t>
        </is>
      </c>
      <c r="E30" s="56" t="inlineStr">
        <is>
          <t>Declarado en la propia ficha (Verificación heredada de la ficha de resumen V6.)</t>
        </is>
      </c>
    </row>
    <row r="32">
      <c r="A32" s="57" t="inlineStr">
        <is>
          <t>RESUMEN</t>
        </is>
      </c>
      <c r="B32" s="58" t="inlineStr">
        <is>
          <t>22 verificaciones</t>
        </is>
      </c>
      <c r="C32" s="58" t="inlineStr">
        <is>
          <t>SUSTANTIVA: 7 · NO SUSTANTIVA: 7 · CONFORME: 8</t>
        </is>
      </c>
    </row>
    <row r="34">
      <c r="A34"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67</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653927</t>
        </is>
      </c>
      <c r="D13" s="55" t="inlineStr">
        <is>
          <t>m</t>
        </is>
      </c>
    </row>
    <row r="14">
      <c r="A14" s="56" t="inlineStr">
        <is>
          <t>1. Identificación y localización</t>
        </is>
      </c>
      <c r="B14" s="56" t="inlineStr">
        <is>
          <t>UTM NORTE del punto de muestreo (m)</t>
        </is>
      </c>
      <c r="C14" s="56" t="inlineStr">
        <is>
          <t>9394078</t>
        </is>
      </c>
      <c r="D14" s="56" t="inlineStr">
        <is>
          <t>m</t>
        </is>
      </c>
    </row>
    <row r="15">
      <c r="A15" s="55" t="inlineStr">
        <is>
          <t>2. Parámetros físicos del terreno</t>
        </is>
      </c>
      <c r="B15" s="55" t="inlineStr">
        <is>
          <t>Piso altitudinal del punto de muestreo</t>
        </is>
      </c>
      <c r="C15" s="55" t="inlineStr">
        <is>
          <t>1500-2000 m (Quechua media)</t>
        </is>
      </c>
      <c r="D15" s="55" t="inlineStr"/>
    </row>
    <row r="16">
      <c r="A16" s="56" t="inlineStr">
        <is>
          <t>2. Parámetros físicos del terreno</t>
        </is>
      </c>
      <c r="B16" s="56" t="inlineStr">
        <is>
          <t>Paisaje dominante descrito en campo</t>
        </is>
      </c>
      <c r="C16" s="56" t="inlineStr">
        <is>
          <t>Laderas de montaña con bosque y matorral montano en recuperación bajo neblina, en mosaico con cultivos (plátano, café) y viviendas dispersas del caserío Quitahuajara.</t>
        </is>
      </c>
      <c r="D16" s="56" t="inlineStr"/>
    </row>
    <row r="17">
      <c r="A17" s="55" t="inlineStr">
        <is>
          <t>2. Parámetros físicos del terreno</t>
        </is>
      </c>
      <c r="B17" s="55" t="inlineStr">
        <is>
          <t>Reptación de suelo</t>
        </is>
      </c>
      <c r="C17" s="55" t="inlineStr">
        <is>
          <t>Sí</t>
        </is>
      </c>
      <c r="D17" s="55" t="inlineStr"/>
    </row>
    <row r="18">
      <c r="A18" s="56" t="inlineStr">
        <is>
          <t>4. Suelos y erosión (F-DT-02)</t>
        </is>
      </c>
      <c r="B18" s="56" t="inlineStr">
        <is>
          <t>Nivel de erosión - síntesis de campo</t>
        </is>
      </c>
      <c r="C18" s="56" t="inlineStr">
        <is>
          <t>Moderada (surcos)</t>
        </is>
      </c>
      <c r="D18" s="56" t="inlineStr"/>
    </row>
    <row r="19">
      <c r="A19" s="55" t="inlineStr">
        <is>
          <t>4. Suelos y erosión (F-DT-02)</t>
        </is>
      </c>
      <c r="B19" s="55" t="inlineStr">
        <is>
          <t>Raíces expuestas</t>
        </is>
      </c>
      <c r="C19" s="55" t="inlineStr">
        <is>
          <t>Sí</t>
        </is>
      </c>
      <c r="D19" s="55" t="inlineStr"/>
    </row>
    <row r="20">
      <c r="A20" s="56" t="inlineStr">
        <is>
          <t>6. Degradación, causas y urgencia (F-DT-04)</t>
        </is>
      </c>
      <c r="B20" s="56" t="inlineStr">
        <is>
          <t>Causas directas de la degradación</t>
        </is>
      </c>
      <c r="C20" s="56" t="inlineStr">
        <is>
          <t>Cortes viales (derrumbe y fractura de suelo), erosión en taludes de corte y avance de cultivos en ladera de fuerte pendiente.</t>
        </is>
      </c>
      <c r="D20" s="56" t="inlineStr"/>
    </row>
    <row r="21">
      <c r="A21" s="55" t="inlineStr">
        <is>
          <t>6. Degradación, causas y urgencia (F-DT-04)</t>
        </is>
      </c>
      <c r="B21" s="55" t="inlineStr">
        <is>
          <t>N.° de causas activas en la matriz F-DT-04</t>
        </is>
      </c>
      <c r="C21" s="55" t="inlineStr">
        <is>
          <t>3</t>
        </is>
      </c>
      <c r="D21" s="55" t="inlineStr"/>
    </row>
    <row r="22">
      <c r="A22" s="56" t="inlineStr">
        <is>
          <t>7. Hidrología, acceso y logística (F-DT-05)</t>
        </is>
      </c>
      <c r="B22" s="56" t="inlineStr">
        <is>
          <t>Escorrentía concentrada</t>
        </is>
      </c>
      <c r="C22" s="56" t="inlineStr">
        <is>
          <t>Sí</t>
        </is>
      </c>
      <c r="D22" s="56" t="inlineStr"/>
    </row>
    <row r="23">
      <c r="A23" s="55" t="inlineStr">
        <is>
          <t>7. Hidrología, acceso y logística (F-DT-05)</t>
        </is>
      </c>
      <c r="B23" s="55" t="inlineStr">
        <is>
          <t>Vía principal de acceso</t>
        </is>
      </c>
      <c r="C23" s="55" t="inlineStr">
        <is>
          <t>Ruta 108 (vía vecinal afirmada)</t>
        </is>
      </c>
      <c r="D23" s="55" t="inlineStr"/>
    </row>
    <row r="24">
      <c r="A24" s="56" t="inlineStr">
        <is>
          <t>7. Hidrología, acceso y logística (F-DT-05)</t>
        </is>
      </c>
      <c r="B24" s="56" t="inlineStr">
        <is>
          <t>Tipo de vía del tramo final</t>
        </is>
      </c>
      <c r="C24" s="56" t="inlineStr">
        <is>
          <t>Vecinal afirmada</t>
        </is>
      </c>
      <c r="D24" s="56" t="inlineStr"/>
    </row>
    <row r="25">
      <c r="A25" s="55" t="inlineStr">
        <is>
          <t>7. Hidrología, acceso y logística (F-DT-05)</t>
        </is>
      </c>
      <c r="B25" s="55" t="inlineStr">
        <is>
          <t>Transitabilidad en época seca</t>
        </is>
      </c>
      <c r="C25" s="55" t="inlineStr">
        <is>
          <t>Alto</t>
        </is>
      </c>
      <c r="D25" s="55" t="inlineStr"/>
    </row>
    <row r="26">
      <c r="A26" s="56" t="inlineStr">
        <is>
          <t>7. Hidrología, acceso y logística (F-DT-05)</t>
        </is>
      </c>
      <c r="B26" s="56" t="inlineStr">
        <is>
          <t>Transitabilidad en época lluviosa</t>
        </is>
      </c>
      <c r="C26" s="56" t="inlineStr">
        <is>
          <t>Bajo</t>
        </is>
      </c>
      <c r="D26" s="56" t="inlineStr"/>
    </row>
    <row r="28">
      <c r="A28" s="53" t="inlineStr">
        <is>
          <t>C. PROCEDENCIA DE LOS HECHOS DECLARADOS</t>
        </is>
      </c>
    </row>
    <row r="29">
      <c r="A29" s="54" t="inlineStr">
        <is>
          <t>Fuente</t>
        </is>
      </c>
      <c r="B29" s="54" t="inlineStr">
        <is>
          <t>Hechos</t>
        </is>
      </c>
      <c r="C29" s="54" t="inlineStr">
        <is>
          <t>Alcance de la fuente</t>
        </is>
      </c>
    </row>
    <row r="30">
      <c r="A30" s="55" t="inlineStr">
        <is>
          <t>Dato de campo</t>
        </is>
      </c>
      <c r="B30" s="55" t="n">
        <v>29</v>
      </c>
      <c r="C30" s="55" t="inlineStr">
        <is>
          <t>Verificación en campo. Fichas F-DT-01 a F-DT-05 de la Plantilla DT Campo Check Validada V5, suscritas por el evaluador.</t>
        </is>
      </c>
    </row>
    <row r="31">
      <c r="A31" s="56" t="inlineStr">
        <is>
          <t>Gabinete (GIS / teledetección)</t>
        </is>
      </c>
      <c r="B31" s="56" t="n">
        <v>34</v>
      </c>
      <c r="C31" s="56" t="inlineStr">
        <is>
          <t>Gabinete. Estadística zonal sobre el MDE y compuestos Sentinel-2 (NDVI mediana 2025, MSAVI 2024 por clase DN).</t>
        </is>
      </c>
    </row>
    <row r="32">
      <c r="A32" s="55" t="inlineStr">
        <is>
          <t>Fuente oficial</t>
        </is>
      </c>
      <c r="B32" s="55" t="n">
        <v>14</v>
      </c>
      <c r="C32" s="55" t="inlineStr">
        <is>
          <t>Fuente oficial. Catálogo maestro Bloques V5/V6, división política INEI y codificación de microcuencas de la ANA.</t>
        </is>
      </c>
    </row>
    <row r="34">
      <c r="A34" s="53" t="inlineStr">
        <is>
          <t>D. ESTADO DEL CRUCE ENTRE FUENTES</t>
        </is>
      </c>
    </row>
    <row r="35">
      <c r="A35" s="54" t="inlineStr">
        <is>
          <t>Estado</t>
        </is>
      </c>
      <c r="B35" s="54" t="inlineStr">
        <is>
          <t>Hechos</t>
        </is>
      </c>
      <c r="C35" s="54" t="inlineStr">
        <is>
          <t>Significado</t>
        </is>
      </c>
    </row>
    <row r="36">
      <c r="A36" s="55" t="inlineStr">
        <is>
          <t>CONFORME</t>
        </is>
      </c>
      <c r="B36" s="55" t="n">
        <v>64</v>
      </c>
      <c r="C36" s="55" t="inlineStr">
        <is>
          <t>Las dos fuentes declaran lo mismo, o solo la fuente que manda sobre el hecho lo declara.</t>
        </is>
      </c>
    </row>
    <row r="37">
      <c r="A37" s="56" t="inlineStr">
        <is>
          <t>COMPLEMENTADO</t>
        </is>
      </c>
      <c r="B37" s="56" t="n">
        <v>13</v>
      </c>
      <c r="C37" s="56" t="inlineStr">
        <is>
          <t>Solo una de las fuentes lo declara y se adopta ese valor.</t>
        </is>
      </c>
    </row>
    <row r="38">
      <c r="A38" s="55" t="inlineStr">
        <is>
          <t>ACTUALIZADO</t>
        </is>
      </c>
      <c r="B38" s="55" t="n">
        <v>0</v>
      </c>
      <c r="C38" s="55" t="inlineStr">
        <is>
          <t>La verificación de campo vigente corrige lo que traía el libro de resumen.</t>
        </is>
      </c>
    </row>
    <row r="39">
      <c r="A39" s="56" t="inlineStr">
        <is>
          <t>DISCREPANTE</t>
        </is>
      </c>
      <c r="B39" s="56" t="n">
        <v>0</v>
      </c>
      <c r="C39" s="56" t="inlineStr">
        <is>
          <t>Las fuentes se contradicen; prevalece la que manda sobre el hecho y la otra queda declarada.</t>
        </is>
      </c>
    </row>
    <row r="40">
      <c r="A40" s="55" t="inlineStr">
        <is>
          <t>PENDIENTE</t>
        </is>
      </c>
      <c r="B40" s="55" t="n">
        <v>37</v>
      </c>
      <c r="C40"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67</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Roble</t>
        </is>
      </c>
      <c r="C13" s="55" t="inlineStr">
        <is>
          <t>Roupala sp.</t>
        </is>
      </c>
      <c r="D13" s="55" t="inlineStr">
        <is>
          <t>Proteaceae</t>
        </is>
      </c>
      <c r="E13" s="55" t="inlineStr">
        <is>
          <t>Arbóreo superior (&gt;15 m)</t>
        </is>
      </c>
      <c r="F13" s="55" t="inlineStr">
        <is>
          <t>Nativa</t>
        </is>
      </c>
      <c r="G13" s="55" t="inlineStr"/>
      <c r="H13" s="55" t="n"/>
      <c r="I13" s="55" t="n"/>
    </row>
    <row r="14">
      <c r="A14" s="56" t="inlineStr">
        <is>
          <t>2</t>
        </is>
      </c>
      <c r="B14" s="56" t="inlineStr">
        <is>
          <t>Higuerón</t>
        </is>
      </c>
      <c r="C14" s="56" t="inlineStr">
        <is>
          <t>Ficus sp.</t>
        </is>
      </c>
      <c r="D14" s="56" t="inlineStr">
        <is>
          <t>Moraceae</t>
        </is>
      </c>
      <c r="E14" s="56" t="inlineStr">
        <is>
          <t>Arbóreo superior (&gt;15 m)</t>
        </is>
      </c>
      <c r="F14" s="56" t="inlineStr">
        <is>
          <t>Nativa</t>
        </is>
      </c>
      <c r="G14" s="56" t="inlineStr"/>
      <c r="H14" s="56" t="n"/>
      <c r="I14" s="56" t="n"/>
    </row>
    <row r="15">
      <c r="A15" s="55" t="inlineStr">
        <is>
          <t>3</t>
        </is>
      </c>
      <c r="B15" s="55" t="inlineStr">
        <is>
          <t>Chirimoyo silvestre</t>
        </is>
      </c>
      <c r="C15" s="55" t="inlineStr">
        <is>
          <t>Annona cherimola</t>
        </is>
      </c>
      <c r="D15" s="55" t="inlineStr">
        <is>
          <t>Annonaceae</t>
        </is>
      </c>
      <c r="E15" s="55" t="inlineStr">
        <is>
          <t>Arbóreo bajo (4-8 m)</t>
        </is>
      </c>
      <c r="F15" s="55" t="inlineStr">
        <is>
          <t>Nativa</t>
        </is>
      </c>
      <c r="G15" s="55" t="inlineStr"/>
      <c r="H15" s="55" t="n"/>
      <c r="I15" s="55" t="n"/>
    </row>
    <row r="16">
      <c r="A16" s="56" t="inlineStr">
        <is>
          <t>4</t>
        </is>
      </c>
      <c r="B16" s="56" t="inlineStr">
        <is>
          <t>Pacae</t>
        </is>
      </c>
      <c r="C16" s="56" t="inlineStr">
        <is>
          <t>Inga sp.</t>
        </is>
      </c>
      <c r="D16" s="56" t="inlineStr">
        <is>
          <t>Fabaceae</t>
        </is>
      </c>
      <c r="E16" s="56" t="inlineStr">
        <is>
          <t>Arbóreo medio (8-15 m)</t>
        </is>
      </c>
      <c r="F16" s="56" t="inlineStr">
        <is>
          <t>Nativa</t>
        </is>
      </c>
      <c r="G16" s="56" t="inlineStr"/>
      <c r="H16" s="56" t="n"/>
      <c r="I16" s="56" t="n"/>
    </row>
    <row r="17">
      <c r="A17" s="55" t="inlineStr">
        <is>
          <t>5</t>
        </is>
      </c>
      <c r="B17" s="55" t="inlineStr">
        <is>
          <t>Faique (parte baja)</t>
        </is>
      </c>
      <c r="C17" s="55" t="inlineStr">
        <is>
          <t>Vachellia macracantha</t>
        </is>
      </c>
      <c r="D17" s="55" t="inlineStr">
        <is>
          <t>Fabaceae</t>
        </is>
      </c>
      <c r="E17" s="55" t="inlineStr">
        <is>
          <t>Arbóreo bajo (4-8 m)</t>
        </is>
      </c>
      <c r="F17" s="55" t="inlineStr">
        <is>
          <t>Nativa</t>
        </is>
      </c>
      <c r="G17" s="55" t="inlineStr"/>
      <c r="H17" s="55" t="n"/>
      <c r="I17" s="55" t="n"/>
    </row>
    <row r="18">
      <c r="A18" s="56" t="inlineStr">
        <is>
          <t>6</t>
        </is>
      </c>
      <c r="B18" s="56" t="inlineStr">
        <is>
          <t>Grevilea</t>
        </is>
      </c>
      <c r="C18" s="56" t="inlineStr">
        <is>
          <t>Grevillea robusta</t>
        </is>
      </c>
      <c r="D18" s="56" t="inlineStr">
        <is>
          <t>Proteaceae</t>
        </is>
      </c>
      <c r="E18" s="56" t="inlineStr">
        <is>
          <t>Arbóreo superior (&gt;15 m)</t>
        </is>
      </c>
      <c r="F18" s="56" t="inlineStr">
        <is>
          <t>Introducida</t>
        </is>
      </c>
      <c r="G18" s="56" t="inlineStr"/>
      <c r="H18" s="56" t="n"/>
      <c r="I18" s="56" t="n"/>
    </row>
    <row r="19">
      <c r="A19" s="55" t="inlineStr">
        <is>
          <t>7</t>
        </is>
      </c>
      <c r="B19" s="55" t="inlineStr">
        <is>
          <t>Melastomatáceas</t>
        </is>
      </c>
      <c r="C19" s="55" t="inlineStr">
        <is>
          <t>Miconia / Tibouchina spp.</t>
        </is>
      </c>
      <c r="D19" s="55" t="inlineStr">
        <is>
          <t>Melastomataceae</t>
        </is>
      </c>
      <c r="E19" s="55" t="inlineStr">
        <is>
          <t>Arbustivo alto (1.5-4 m)</t>
        </is>
      </c>
      <c r="F19" s="55" t="inlineStr">
        <is>
          <t>Nativa</t>
        </is>
      </c>
      <c r="G19" s="55" t="inlineStr"/>
      <c r="H19" s="55" t="n"/>
      <c r="I19" s="55" t="n"/>
    </row>
    <row r="20">
      <c r="A20" s="56" t="inlineStr">
        <is>
          <t>8</t>
        </is>
      </c>
      <c r="B20" s="56" t="inlineStr">
        <is>
          <t>Urticáceas</t>
        </is>
      </c>
      <c r="C20" s="56" t="inlineStr">
        <is>
          <t>Urera / Cecropia spp.</t>
        </is>
      </c>
      <c r="D20" s="56" t="inlineStr">
        <is>
          <t>Urticaceae</t>
        </is>
      </c>
      <c r="E20" s="56" t="inlineStr">
        <is>
          <t>Arbóreo bajo (4-8 m)</t>
        </is>
      </c>
      <c r="F20" s="56" t="inlineStr">
        <is>
          <t>Nativa</t>
        </is>
      </c>
      <c r="G20" s="56" t="inlineStr"/>
      <c r="H20" s="56" t="n"/>
      <c r="I20" s="56" t="n"/>
    </row>
    <row r="21">
      <c r="A21" s="55" t="inlineStr">
        <is>
          <t>9</t>
        </is>
      </c>
      <c r="B21" s="55" t="inlineStr">
        <is>
          <t>Bambú</t>
        </is>
      </c>
      <c r="C21" s="55" t="inlineStr">
        <is>
          <t>Guadua / Bambusa sp.</t>
        </is>
      </c>
      <c r="D21" s="55" t="inlineStr">
        <is>
          <t>Poaceae</t>
        </is>
      </c>
      <c r="E21" s="55" t="inlineStr">
        <is>
          <t>Arbóreo bajo (4-8 m)</t>
        </is>
      </c>
      <c r="F21" s="55" t="inlineStr"/>
      <c r="G21" s="55" t="inlineStr"/>
      <c r="H21" s="55" t="n"/>
      <c r="I21" s="55" t="n"/>
    </row>
    <row r="22">
      <c r="A22" s="56" t="inlineStr">
        <is>
          <t>10</t>
        </is>
      </c>
      <c r="B22" s="56" t="inlineStr">
        <is>
          <t>Agave</t>
        </is>
      </c>
      <c r="C22" s="56" t="inlineStr">
        <is>
          <t>Agave americana</t>
        </is>
      </c>
      <c r="D22" s="56" t="inlineStr">
        <is>
          <t>Asparagaceae</t>
        </is>
      </c>
      <c r="E22" s="56" t="inlineStr">
        <is>
          <t>Arbustivo bajo (0.5-1.5 m)</t>
        </is>
      </c>
      <c r="F22" s="56" t="inlineStr">
        <is>
          <t>Introducida</t>
        </is>
      </c>
      <c r="G22" s="56" t="inlineStr"/>
      <c r="H22" s="56" t="n"/>
      <c r="I22" s="56" t="n"/>
    </row>
    <row r="23">
      <c r="A23" s="55" t="inlineStr">
        <is>
          <t>11</t>
        </is>
      </c>
      <c r="B23" s="55" t="inlineStr">
        <is>
          <t>Mostaza silvestre</t>
        </is>
      </c>
      <c r="C23" s="55" t="inlineStr">
        <is>
          <t>Brassica sp.</t>
        </is>
      </c>
      <c r="D23" s="55" t="inlineStr">
        <is>
          <t>Brassicaceae</t>
        </is>
      </c>
      <c r="E23" s="55" t="inlineStr">
        <is>
          <t>Herbáceo (&lt;0.5 m)</t>
        </is>
      </c>
      <c r="F23" s="55" t="inlineStr">
        <is>
          <t>Invasora</t>
        </is>
      </c>
      <c r="G23" s="55" t="inlineStr"/>
      <c r="H23" s="55" t="n"/>
      <c r="I23" s="55" t="n"/>
    </row>
    <row r="24">
      <c r="A24" s="56" t="inlineStr">
        <is>
          <t>12</t>
        </is>
      </c>
      <c r="B24" s="56" t="inlineStr">
        <is>
          <t>Plátano</t>
        </is>
      </c>
      <c r="C24" s="56" t="inlineStr">
        <is>
          <t>Musa × paradisiaca</t>
        </is>
      </c>
      <c r="D24" s="56" t="inlineStr">
        <is>
          <t>Musaceae</t>
        </is>
      </c>
      <c r="E24" s="56" t="inlineStr">
        <is>
          <t>Arbustivo alto (1.5-4 m)</t>
        </is>
      </c>
      <c r="F24" s="56" t="inlineStr">
        <is>
          <t>Introducida</t>
        </is>
      </c>
      <c r="G24" s="56" t="inlineStr"/>
      <c r="H24" s="56" t="n"/>
      <c r="I24" s="56" t="n"/>
    </row>
    <row r="25">
      <c r="A25" s="55" t="inlineStr">
        <is>
          <t>13</t>
        </is>
      </c>
      <c r="B25" s="55" t="inlineStr">
        <is>
          <t>Café</t>
        </is>
      </c>
      <c r="C25" s="55" t="inlineStr">
        <is>
          <t>Coffea arabica</t>
        </is>
      </c>
      <c r="D25" s="55" t="inlineStr">
        <is>
          <t>Rubiaceae</t>
        </is>
      </c>
      <c r="E25" s="55" t="inlineStr">
        <is>
          <t>Arbustivo alto (1.5-4 m)</t>
        </is>
      </c>
      <c r="F25" s="55" t="inlineStr">
        <is>
          <t>Introducida</t>
        </is>
      </c>
      <c r="G25" s="55" t="inlineStr"/>
      <c r="H25" s="55" t="n"/>
      <c r="I25" s="55" t="n"/>
    </row>
    <row r="26">
      <c r="A26" s="56" t="inlineStr">
        <is>
          <t>14</t>
        </is>
      </c>
      <c r="B26" s="56" t="inlineStr">
        <is>
          <t>Pastos cultivados</t>
        </is>
      </c>
      <c r="C26" s="56" t="inlineStr">
        <is>
          <t>Brachiaria / Pennisetum spp.</t>
        </is>
      </c>
      <c r="D26" s="56" t="inlineStr">
        <is>
          <t>Poaceae</t>
        </is>
      </c>
      <c r="E26" s="56" t="inlineStr">
        <is>
          <t>Herbáceo (&lt;0.5 m)</t>
        </is>
      </c>
      <c r="F26" s="56" t="inlineStr">
        <is>
          <t>Introducida</t>
        </is>
      </c>
      <c r="G26" s="56" t="inlineStr"/>
      <c r="H26" s="56" t="n"/>
      <c r="I26" s="56" t="n"/>
    </row>
    <row r="28">
      <c r="A28" s="53" t="inlineStr">
        <is>
          <t>F-DT-03 · ESPECIES CLAVE GEORREFERENCIADAS</t>
        </is>
      </c>
    </row>
    <row r="29">
      <c r="A29" s="54" t="inlineStr">
        <is>
          <t>N.o</t>
        </is>
      </c>
      <c r="B29" s="54" t="inlineStr">
        <is>
          <t>Especie</t>
        </is>
      </c>
      <c r="C29" s="54" t="inlineStr">
        <is>
          <t>Categoría</t>
        </is>
      </c>
      <c r="D29" s="54" t="inlineStr">
        <is>
          <t>Estado UICN</t>
        </is>
      </c>
      <c r="E29" s="54" t="inlineStr">
        <is>
          <t>UTM ESTE</t>
        </is>
      </c>
      <c r="F29" s="54" t="inlineStr">
        <is>
          <t>UTM NORTE</t>
        </is>
      </c>
      <c r="G29" s="54" t="inlineStr">
        <is>
          <t>N.° individuos</t>
        </is>
      </c>
      <c r="H29" s="54" t="inlineStr">
        <is>
          <t>Observación</t>
        </is>
      </c>
    </row>
    <row r="31">
      <c r="A31" s="53" t="inlineStr">
        <is>
          <t>F-DT-04 · MATRIZ DE CAUSAS DE DEGRADACIÓN</t>
        </is>
      </c>
    </row>
    <row r="32">
      <c r="A32" s="54" t="inlineStr">
        <is>
          <t>N.o</t>
        </is>
      </c>
      <c r="B32" s="54" t="inlineStr">
        <is>
          <t>Causa</t>
        </is>
      </c>
      <c r="C32" s="54" t="inlineStr">
        <is>
          <t>Presencia</t>
        </is>
      </c>
      <c r="D32" s="54" t="inlineStr">
        <is>
          <t>Intensidad</t>
        </is>
      </c>
      <c r="E32" s="54" t="inlineStr">
        <is>
          <t>Extensión</t>
        </is>
      </c>
      <c r="F32" s="54" t="inlineStr">
        <is>
          <t>Antigüedad</t>
        </is>
      </c>
      <c r="G32" s="54" t="inlineStr">
        <is>
          <t>Evidencia</t>
        </is>
      </c>
    </row>
    <row r="33">
      <c r="A33" s="55" t="inlineStr">
        <is>
          <t>1</t>
        </is>
      </c>
      <c r="B33" s="55" t="inlineStr">
        <is>
          <t>Sobrepastoreo (caprino/vacuno)</t>
        </is>
      </c>
      <c r="C33" s="55" t="inlineStr"/>
      <c r="D33" s="55" t="inlineStr"/>
      <c r="E33" s="55" t="inlineStr"/>
      <c r="F33" s="55" t="inlineStr"/>
      <c r="G33" s="55" t="inlineStr"/>
    </row>
    <row r="34">
      <c r="A34" s="56" t="inlineStr">
        <is>
          <t>2</t>
        </is>
      </c>
      <c r="B34" s="56" t="inlineStr">
        <is>
          <t>Tala para leña</t>
        </is>
      </c>
      <c r="C34" s="56" t="inlineStr"/>
      <c r="D34" s="56" t="inlineStr"/>
      <c r="E34" s="56" t="inlineStr"/>
      <c r="F34" s="56" t="inlineStr"/>
      <c r="G34" s="56" t="inlineStr"/>
    </row>
    <row r="35">
      <c r="A35" s="55" t="inlineStr">
        <is>
          <t>3</t>
        </is>
      </c>
      <c r="B35" s="55" t="inlineStr">
        <is>
          <t>Tala para carbón</t>
        </is>
      </c>
      <c r="C35" s="55" t="inlineStr"/>
      <c r="D35" s="55" t="inlineStr"/>
      <c r="E35" s="55" t="inlineStr"/>
      <c r="F35" s="55" t="inlineStr"/>
      <c r="G35" s="55" t="inlineStr"/>
    </row>
    <row r="36">
      <c r="A36" s="56" t="inlineStr">
        <is>
          <t>4</t>
        </is>
      </c>
      <c r="B36" s="56" t="inlineStr">
        <is>
          <t>Tala para madera</t>
        </is>
      </c>
      <c r="C36" s="56" t="inlineStr"/>
      <c r="D36" s="56" t="inlineStr"/>
      <c r="E36" s="56" t="inlineStr"/>
      <c r="F36" s="56" t="inlineStr"/>
      <c r="G36" s="56" t="inlineStr"/>
    </row>
    <row r="37">
      <c r="A37" s="55" t="inlineStr">
        <is>
          <t>5</t>
        </is>
      </c>
      <c r="B37" s="55" t="inlineStr">
        <is>
          <t>Quema (renovación de pastos)</t>
        </is>
      </c>
      <c r="C37" s="55" t="inlineStr"/>
      <c r="D37" s="55" t="inlineStr"/>
      <c r="E37" s="55" t="inlineStr"/>
      <c r="F37" s="55" t="inlineStr"/>
      <c r="G37" s="55" t="inlineStr"/>
    </row>
    <row r="38">
      <c r="A38" s="56" t="inlineStr">
        <is>
          <t>6</t>
        </is>
      </c>
      <c r="B38" s="56" t="inlineStr">
        <is>
          <t>Quema accidental / Incendio</t>
        </is>
      </c>
      <c r="C38" s="56" t="inlineStr"/>
      <c r="D38" s="56" t="inlineStr"/>
      <c r="E38" s="56" t="inlineStr"/>
      <c r="F38" s="56" t="inlineStr"/>
      <c r="G38" s="56" t="inlineStr"/>
    </row>
    <row r="39">
      <c r="A39" s="55" t="inlineStr">
        <is>
          <t>7</t>
        </is>
      </c>
      <c r="B39" s="55" t="inlineStr">
        <is>
          <t>Cambio de uso a agricultura</t>
        </is>
      </c>
      <c r="C39" s="55" t="inlineStr">
        <is>
          <t>Sí</t>
        </is>
      </c>
      <c r="D39" s="55" t="inlineStr">
        <is>
          <t>Moderada</t>
        </is>
      </c>
      <c r="E39" s="55" t="inlineStr"/>
      <c r="F39" s="55" t="inlineStr"/>
      <c r="G39" s="55" t="inlineStr">
        <is>
          <t>Cultivos de plátano y café en laderas de fuerte pendiente (P-02, P-10).</t>
        </is>
      </c>
    </row>
    <row r="40">
      <c r="A40" s="56" t="inlineStr">
        <is>
          <t>8</t>
        </is>
      </c>
      <c r="B40" s="56" t="inlineStr">
        <is>
          <t>Cambio de uso a pastoreo</t>
        </is>
      </c>
      <c r="C40" s="56" t="inlineStr"/>
      <c r="D40" s="56" t="inlineStr"/>
      <c r="E40" s="56" t="inlineStr"/>
      <c r="F40" s="56" t="inlineStr"/>
      <c r="G40" s="56" t="inlineStr"/>
    </row>
    <row r="41">
      <c r="A41" s="55" t="inlineStr">
        <is>
          <t>9</t>
        </is>
      </c>
      <c r="B41" s="55" t="inlineStr">
        <is>
          <t>Expansión urbana / vial</t>
        </is>
      </c>
      <c r="C41" s="55" t="inlineStr">
        <is>
          <t>Sí</t>
        </is>
      </c>
      <c r="D41" s="55" t="inlineStr">
        <is>
          <t>Moderada</t>
        </is>
      </c>
      <c r="E41" s="55" t="inlineStr"/>
      <c r="F41" s="55" t="inlineStr"/>
      <c r="G41" s="55" t="inlineStr">
        <is>
          <t>Cortes de talud de la vía afirmada Ruta 108 detonan derrumbe y fractura de suelo (P-04, P-05, P-09).</t>
        </is>
      </c>
    </row>
    <row r="42">
      <c r="A42" s="56" t="inlineStr">
        <is>
          <t>10</t>
        </is>
      </c>
      <c r="B42" s="56" t="inlineStr">
        <is>
          <t>Minería informal</t>
        </is>
      </c>
      <c r="C42" s="56" t="inlineStr"/>
      <c r="D42" s="56" t="inlineStr"/>
      <c r="E42" s="56" t="inlineStr"/>
      <c r="F42" s="56" t="inlineStr"/>
      <c r="G42" s="56" t="inlineStr"/>
    </row>
    <row r="43">
      <c r="A43" s="55" t="inlineStr">
        <is>
          <t>11</t>
        </is>
      </c>
      <c r="B43" s="55" t="inlineStr">
        <is>
          <t>Extracción de áridos (cauces)</t>
        </is>
      </c>
      <c r="C43" s="55" t="inlineStr"/>
      <c r="D43" s="55" t="inlineStr"/>
      <c r="E43" s="55" t="inlineStr"/>
      <c r="F43" s="55" t="inlineStr"/>
      <c r="G43" s="55" t="inlineStr"/>
    </row>
    <row r="44">
      <c r="A44" s="56" t="inlineStr">
        <is>
          <t>12</t>
        </is>
      </c>
      <c r="B44" s="56" t="inlineStr">
        <is>
          <t>Especies invasoras</t>
        </is>
      </c>
      <c r="C44" s="56" t="inlineStr"/>
      <c r="D44" s="56" t="inlineStr"/>
      <c r="E44" s="56" t="inlineStr"/>
      <c r="F44" s="56" t="inlineStr"/>
      <c r="G44" s="56" t="inlineStr"/>
    </row>
    <row r="45">
      <c r="A45" s="55" t="inlineStr">
        <is>
          <t>13</t>
        </is>
      </c>
      <c r="B45" s="55" t="inlineStr">
        <is>
          <t>Erosión natural severa</t>
        </is>
      </c>
      <c r="C45" s="55" t="inlineStr">
        <is>
          <t>Sí</t>
        </is>
      </c>
      <c r="D45" s="55" t="inlineStr">
        <is>
          <t>Moderada</t>
        </is>
      </c>
      <c r="E45" s="55" t="inlineStr"/>
      <c r="F45" s="55" t="inlineStr"/>
      <c r="G45" s="55" t="inlineStr">
        <is>
          <t>Taludes de corte con erosión activa y remoción en masa sobre pendientes &gt;35 % (P-09, P-04).</t>
        </is>
      </c>
    </row>
    <row r="46">
      <c r="A46" s="56" t="inlineStr">
        <is>
          <t>14</t>
        </is>
      </c>
      <c r="B46" s="56" t="inlineStr">
        <is>
          <t>Sequía prolongada / CC</t>
        </is>
      </c>
      <c r="C46" s="56" t="inlineStr"/>
      <c r="D46" s="56" t="inlineStr"/>
      <c r="E46" s="56" t="inlineStr"/>
      <c r="F46" s="56" t="inlineStr"/>
      <c r="G46" s="56" t="inlineStr"/>
    </row>
    <row r="47">
      <c r="A47" s="55" t="inlineStr">
        <is>
          <t>15</t>
        </is>
      </c>
      <c r="B47" s="55" t="inlineStr">
        <is>
          <t>Plagas o enfermedades forestales</t>
        </is>
      </c>
      <c r="C47" s="55" t="inlineStr"/>
      <c r="D47" s="55" t="inlineStr"/>
      <c r="E47" s="55" t="inlineStr"/>
      <c r="F47" s="55" t="inlineStr"/>
      <c r="G47" s="55" t="inlineStr"/>
    </row>
    <row r="48">
      <c r="A48" s="56" t="inlineStr">
        <is>
          <t>16</t>
        </is>
      </c>
      <c r="B48" s="56" t="inlineStr">
        <is>
          <t>Otro</t>
        </is>
      </c>
      <c r="C48" s="56" t="inlineStr"/>
      <c r="D48" s="56" t="inlineStr"/>
      <c r="E48" s="56" t="inlineStr"/>
      <c r="F48" s="56" t="inlineStr"/>
      <c r="G48" s="56" t="inlineStr"/>
    </row>
    <row r="50">
      <c r="A50" s="53" t="inlineStr">
        <is>
          <t>F-DT-04 · INDICADORES CUANTITATIVOS</t>
        </is>
      </c>
    </row>
    <row r="51">
      <c r="A51" s="54" t="inlineStr">
        <is>
          <t>N.o</t>
        </is>
      </c>
      <c r="B51" s="54" t="inlineStr">
        <is>
          <t>Indicador</t>
        </is>
      </c>
      <c r="C51" s="54" t="inlineStr">
        <is>
          <t>Unidad</t>
        </is>
      </c>
      <c r="D51" s="54" t="inlineStr">
        <is>
          <t>Valor</t>
        </is>
      </c>
      <c r="E51" s="54" t="inlineStr">
        <is>
          <t>Fuente</t>
        </is>
      </c>
      <c r="F51" s="54" t="inlineStr">
        <is>
          <t>Umbral</t>
        </is>
      </c>
      <c r="G51" s="54" t="inlineStr">
        <is>
          <t>Nivel</t>
        </is>
      </c>
    </row>
    <row r="52">
      <c r="A52" s="55" t="inlineStr">
        <is>
          <t>1</t>
        </is>
      </c>
      <c r="B52" s="55" t="inlineStr">
        <is>
          <t>Cobertura vegetal total</t>
        </is>
      </c>
      <c r="C52" s="55" t="inlineStr">
        <is>
          <t>%</t>
        </is>
      </c>
      <c r="D52" s="55" t="inlineStr"/>
      <c r="E52" s="55" t="inlineStr"/>
      <c r="F52" s="55" t="inlineStr">
        <is>
          <t>&gt;60% bueno; 30-60% medio; &lt;30% malo</t>
        </is>
      </c>
      <c r="G52" s="55" t="inlineStr"/>
    </row>
    <row r="53">
      <c r="A53" s="56" t="inlineStr">
        <is>
          <t>2</t>
        </is>
      </c>
      <c r="B53" s="56" t="inlineStr">
        <is>
          <t>Porcentaje de suelo desnudo</t>
        </is>
      </c>
      <c r="C53" s="56" t="inlineStr">
        <is>
          <t>%</t>
        </is>
      </c>
      <c r="D53" s="56" t="inlineStr"/>
      <c r="E53" s="56" t="inlineStr"/>
      <c r="F53" s="56" t="inlineStr">
        <is>
          <t>&lt;10% bueno; 10-30% medio; &gt;30% malo</t>
        </is>
      </c>
      <c r="G53" s="56" t="inlineStr"/>
    </row>
    <row r="54">
      <c r="A54" s="55" t="inlineStr">
        <is>
          <t>3</t>
        </is>
      </c>
      <c r="B54" s="55" t="inlineStr">
        <is>
          <t>Densidad de cárcavas</t>
        </is>
      </c>
      <c r="C54" s="55" t="inlineStr">
        <is>
          <t>N°/ha</t>
        </is>
      </c>
      <c r="D54" s="55" t="inlineStr"/>
      <c r="E54" s="55" t="inlineStr"/>
      <c r="F54" s="55" t="inlineStr">
        <is>
          <t>0 nulo; 1-3 medio; &gt;3 alto</t>
        </is>
      </c>
      <c r="G54" s="55" t="inlineStr"/>
    </row>
    <row r="55">
      <c r="A55" s="56" t="inlineStr">
        <is>
          <t>4</t>
        </is>
      </c>
      <c r="B55" s="56" t="inlineStr">
        <is>
          <t>Presencia de especies invasoras</t>
        </is>
      </c>
      <c r="C55" s="56" t="inlineStr">
        <is>
          <t>% área</t>
        </is>
      </c>
      <c r="D55" s="56" t="inlineStr"/>
      <c r="E55" s="56" t="inlineStr"/>
      <c r="F55" s="56" t="inlineStr">
        <is>
          <t>&lt;5% bueno; 5-20% medio; &gt;20% alto</t>
        </is>
      </c>
      <c r="G55" s="56" t="inlineStr"/>
    </row>
    <row r="56">
      <c r="A56" s="55" t="inlineStr">
        <is>
          <t>5</t>
        </is>
      </c>
      <c r="B56" s="55" t="inlineStr">
        <is>
          <t>Carga ganadera estimada</t>
        </is>
      </c>
      <c r="C56" s="55" t="inlineStr">
        <is>
          <t>UA/ha</t>
        </is>
      </c>
      <c r="D56" s="55" t="inlineStr"/>
      <c r="E56" s="55" t="inlineStr"/>
      <c r="F56" s="55" t="inlineStr">
        <is>
          <t>Según tipo de ecosistema</t>
        </is>
      </c>
      <c r="G56" s="55" t="inlineStr"/>
    </row>
    <row r="57">
      <c r="A57" s="56" t="inlineStr">
        <is>
          <t>6</t>
        </is>
      </c>
      <c r="B57" s="56" t="inlineStr">
        <is>
          <t>Frecuencia de quemas últimos 5 años</t>
        </is>
      </c>
      <c r="C57" s="56" t="inlineStr">
        <is>
          <t>N°</t>
        </is>
      </c>
      <c r="D57" s="56" t="inlineStr"/>
      <c r="E57" s="56" t="inlineStr"/>
      <c r="F57" s="56" t="inlineStr">
        <is>
          <t>0 nulo; 1-2 medio; &gt;2 alto</t>
        </is>
      </c>
      <c r="G57" s="56" t="inlineStr"/>
    </row>
    <row r="58">
      <c r="A58" s="55" t="inlineStr">
        <is>
          <t>7</t>
        </is>
      </c>
      <c r="B58" s="55" t="inlineStr">
        <is>
          <t>% área con pendiente &gt;50%</t>
        </is>
      </c>
      <c r="C58" s="55" t="inlineStr">
        <is>
          <t>%</t>
        </is>
      </c>
      <c r="D58" s="55" t="inlineStr"/>
      <c r="E58" s="55" t="inlineStr"/>
      <c r="F58" s="55" t="inlineStr">
        <is>
          <t>Factor de susceptibilidad</t>
        </is>
      </c>
      <c r="G58" s="55" t="inlineStr"/>
    </row>
    <row r="59">
      <c r="A59" s="56" t="inlineStr">
        <is>
          <t>8</t>
        </is>
      </c>
      <c r="B59" s="56" t="inlineStr">
        <is>
          <t>Distancia a vía vecinal más cercana</t>
        </is>
      </c>
      <c r="C59" s="56" t="inlineStr">
        <is>
          <t>m</t>
        </is>
      </c>
      <c r="D59" s="56" t="inlineStr"/>
      <c r="E59" s="56" t="inlineStr"/>
      <c r="F59" s="56" t="inlineStr">
        <is>
          <t>A menor distancia → mayor presión</t>
        </is>
      </c>
      <c r="G59" s="56" t="inlineStr"/>
    </row>
    <row r="61">
      <c r="A61" s="53" t="inlineStr">
        <is>
          <t>F-DT-05 · FUENTES DE AGUA INVENTARIADAS</t>
        </is>
      </c>
    </row>
    <row r="62">
      <c r="A62" s="54" t="inlineStr">
        <is>
          <t>N.o</t>
        </is>
      </c>
      <c r="B62" s="54" t="inlineStr">
        <is>
          <t>Tipo de fuente</t>
        </is>
      </c>
      <c r="C62" s="54" t="inlineStr">
        <is>
          <t>UTM ESTE</t>
        </is>
      </c>
      <c r="D62" s="54" t="inlineStr">
        <is>
          <t>UTM NORTE</t>
        </is>
      </c>
      <c r="E62" s="54" t="inlineStr">
        <is>
          <t>Régimen</t>
        </is>
      </c>
      <c r="F62" s="54" t="inlineStr">
        <is>
          <t>Calidad</t>
        </is>
      </c>
      <c r="G62" s="54" t="inlineStr">
        <is>
          <t>Distancia (m)</t>
        </is>
      </c>
      <c r="H62" s="54" t="inlineStr">
        <is>
          <t>Uso / observación</t>
        </is>
      </c>
    </row>
    <row r="65">
      <c r="A65" s="53" t="inlineStr">
        <is>
          <t>OBSERVACIONES DEL EVALUADOR POR FICHA</t>
        </is>
      </c>
    </row>
    <row r="66">
      <c r="A66" s="54" t="inlineStr">
        <is>
          <t>Ficha</t>
        </is>
      </c>
      <c r="B66" s="54" t="inlineStr">
        <is>
          <t>Observación registrada en campo</t>
        </is>
      </c>
    </row>
    <row r="67">
      <c r="A67" s="55" t="inlineStr">
        <is>
          <t>F-DT-01</t>
        </is>
      </c>
      <c r="B67" s="55" t="inlineStr">
        <is>
          <t>Verificación de campo del Bloque 67 (21/07/2026, GPS Garmin GPSMAP 66sr; track en celeste sobre Google Earth). Fuerte pendiente (perfil GE: media 35.4 %, máx 54.3 %; desnivel 204 m en 567 m). Rango altitudinal referencial GE 1480–1740 m (altitud puntual por completar desde el track). Evidencias directas de inestabilidad: derrumbe de talud de corte sobre la vía y fractura/agrietamiento del suelo en el borde de la plataforma. Alcantarillas tipo arco de la vía con represamiento/empozamiento aguas arriba.</t>
        </is>
      </c>
    </row>
    <row r="68">
      <c r="A68" s="56" t="inlineStr">
        <is>
          <t>F-DT-02</t>
        </is>
      </c>
      <c r="B68" s="56" t="inlineStr">
        <is>
          <t>Erosión concentrada en taludes de corte de la vía afirmada, sin cobertura vegetal (P-09), y remoción en masa asociada (derrumbe P-04). No se realizó inventario formal de cárcavas; el nivel de erosión es una apreciación de campo preliminar.</t>
        </is>
      </c>
    </row>
    <row r="69">
      <c r="A69" s="55" t="inlineStr">
        <is>
          <t>F-DT-03</t>
        </is>
      </c>
      <c r="B69" s="55" t="inlineStr">
        <is>
          <t>Cobertura en mosaico de bosque y matorral montano en recuperación bajo neblina (bosque montano), intercalado con cultivos (plátano, café) y pastos. Nombres científicos preliminares (requieren confirmación taxonómica). Coberturas por estrato, alturas, DAP y parcela de muestreo por completar en gabinete/campo.</t>
        </is>
      </c>
    </row>
    <row r="70">
      <c r="A70" s="56" t="inlineStr">
        <is>
          <t>F-DT-05</t>
        </is>
      </c>
      <c r="B70" s="56" t="inlineStr">
        <is>
          <t>Acceso por la vía afirmada Ruta 108 en camioneta 4x4 hasta el frente de trabajo; desplazamientos internos a pie por trochas/escaleras. Alcantarillas tipo arco con represamiento, empozamiento y posible colmatación (P-06, P-07, P-08): los cuerpos de agua observados son artificiales (drenaje vial), no fuentes naturales. Recomendable limpieza/mantenimiento del drenaje transversal.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67</t>
        </is>
      </c>
    </row>
    <row r="7">
      <c r="A7" s="53" t="inlineStr">
        <is>
          <t>Hechos declarados por fuente</t>
        </is>
      </c>
    </row>
    <row r="8">
      <c r="A8" s="54" t="inlineStr">
        <is>
          <t>Fuente</t>
        </is>
      </c>
      <c r="B8" s="54" t="inlineStr">
        <is>
          <t>Hechos</t>
        </is>
      </c>
    </row>
    <row r="9">
      <c r="A9" s="55" t="inlineStr">
        <is>
          <t>Dato de campo</t>
        </is>
      </c>
      <c r="B9" s="55" t="n">
        <v>29</v>
      </c>
    </row>
    <row r="10">
      <c r="A10" s="56" t="inlineStr">
        <is>
          <t>Gabinete (GIS / teledetección)</t>
        </is>
      </c>
      <c r="B10" s="56" t="n">
        <v>34</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64</v>
      </c>
    </row>
    <row r="31">
      <c r="A31" s="56" t="inlineStr">
        <is>
          <t>COMPLEMENTADO</t>
        </is>
      </c>
      <c r="B31" s="56" t="n">
        <v>13</v>
      </c>
    </row>
    <row r="32">
      <c r="A32" s="55" t="inlineStr">
        <is>
          <t>ACTUALIZADO</t>
        </is>
      </c>
      <c r="B32" s="55" t="n">
        <v>0</v>
      </c>
    </row>
    <row r="33">
      <c r="A33" s="56" t="inlineStr">
        <is>
          <t>DISCREPANTE</t>
        </is>
      </c>
      <c r="B33" s="56" t="n">
        <v>0</v>
      </c>
    </row>
    <row r="34">
      <c r="A34" s="55" t="inlineStr">
        <is>
          <t>PENDIENTE</t>
        </is>
      </c>
      <c r="B34" s="55" t="n">
        <v>37</v>
      </c>
    </row>
    <row r="51">
      <c r="A51" s="53" t="inlineStr">
        <is>
          <t>Causas activas de degradación (F-DT-04)</t>
        </is>
      </c>
    </row>
    <row r="52">
      <c r="A52" s="54" t="inlineStr">
        <is>
          <t>Causa</t>
        </is>
      </c>
      <c r="B52" s="54" t="inlineStr">
        <is>
          <t>Intensidad (1 ligera - 4 muy fuerte)</t>
        </is>
      </c>
    </row>
    <row r="53">
      <c r="A53" s="55" t="inlineStr">
        <is>
          <t>Cambio de uso a agricultura</t>
        </is>
      </c>
      <c r="B53" s="55" t="n">
        <v>2</v>
      </c>
    </row>
    <row r="54">
      <c r="A54" s="56" t="inlineStr">
        <is>
          <t>Erosión natural severa</t>
        </is>
      </c>
      <c r="B54" s="56" t="n">
        <v>2</v>
      </c>
    </row>
    <row r="55">
      <c r="A55" s="55" t="inlineStr">
        <is>
          <t>Expansión urbana / vial</t>
        </is>
      </c>
      <c r="B55" s="55" t="n">
        <v>2</v>
      </c>
    </row>
    <row r="72">
      <c r="A72" s="53" t="inlineStr">
        <is>
          <t>Control de consistencia por calificación</t>
        </is>
      </c>
    </row>
    <row r="73">
      <c r="A73" s="54" t="inlineStr">
        <is>
          <t>Calificación</t>
        </is>
      </c>
      <c r="B73" s="54" t="inlineStr">
        <is>
          <t>Verificaciones</t>
        </is>
      </c>
    </row>
    <row r="74">
      <c r="A74" s="55" t="inlineStr">
        <is>
          <t>SUSTANTIVA</t>
        </is>
      </c>
      <c r="B74" s="55" t="n">
        <v>7</v>
      </c>
    </row>
    <row r="75">
      <c r="A75" s="56" t="inlineStr">
        <is>
          <t>NO SUSTANTIVA</t>
        </is>
      </c>
      <c r="B75" s="56" t="n">
        <v>7</v>
      </c>
    </row>
    <row r="76">
      <c r="A76" s="55" t="inlineStr">
        <is>
          <t>CORREGIDO</t>
        </is>
      </c>
      <c r="B76" s="55" t="n">
        <v>0</v>
      </c>
    </row>
    <row r="77">
      <c r="A77" s="56" t="inlineStr">
        <is>
          <t>CONFORME</t>
        </is>
      </c>
      <c r="B77" s="56" t="n">
        <v>8</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67 — IN Piura</dc:title>
  <dc:subject>Diagnóstico Territorial por bloque de intervención</dc:subject>
  <dcterms:created xsi:type="dcterms:W3CDTF">2026-09-08T03:39:57Z</dcterms:created>
  <dcterms:modified xsi:type="dcterms:W3CDTF">2026-09-11T20:22:31Z</dcterms:modified>
</cp:coreProperties>
</file>