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integración'!$A$66:$A$73</f>
            </numRef>
          </cat>
          <val>
            <numRef>
              <f>'Gráficos de integración'!$B$66:$B$73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M17B6</t>
        </is>
      </c>
    </row>
    <row r="6" ht="24" customHeight="1">
      <c r="A6" s="4" t="inlineStr">
        <is>
          <t>Diagnóstico Territorial — Plantilla DT Campo Check Validada V5 | Sistema de referencia: UTM WGS 84 Zona 17S (EPSG:32717) · Integrado con la ficha de campo F-DT vigente (Plantilla_DT_Campo_M17B6_IN_Piura_V5.xlsx) — V7 - resumen V6 + campo F-DT integrado</t>
        </is>
      </c>
    </row>
    <row r="7"/>
    <row r="8" ht="18" customHeight="1">
      <c r="A8" s="5" t="inlineStr">
        <is>
          <t>1. IDENTIFICACIÓN Y LOCALIZACIÓN</t>
        </is>
      </c>
    </row>
    <row r="9">
      <c r="A9" s="6" t="inlineStr">
        <is>
          <t>Código del bloque</t>
        </is>
      </c>
      <c r="B9" s="7" t="inlineStr">
        <is>
          <t>M17B6</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50" t="inlineStr">
        <is>
          <t>Platanal Alto (aprox. 0.6 km al SO); El Guabo</t>
        </is>
      </c>
      <c r="C13" s="6" t="inlineStr">
        <is>
          <t>Comunidad campesina</t>
        </is>
      </c>
      <c r="D13" s="7" t="inlineStr">
        <is>
          <t>Por verificar</t>
        </is>
      </c>
      <c r="E13" s="8" t="n"/>
      <c r="F13" s="8" t="n"/>
    </row>
    <row r="14">
      <c r="A14" s="6" t="inlineStr">
        <is>
          <t>Superficie de catálogo (V5/V6), ha</t>
        </is>
      </c>
      <c r="B14" s="7" t="n">
        <v>106.54</v>
      </c>
      <c r="C14" s="6" t="inlineStr">
        <is>
          <t>Fuente de superficie</t>
        </is>
      </c>
      <c r="D14" s="7" t="inlineStr">
        <is>
          <t>Catálogo maestro Bloques V5/V6</t>
        </is>
      </c>
      <c r="E14" s="8" t="n"/>
      <c r="F14" s="8" t="n"/>
    </row>
    <row r="15">
      <c r="A15" s="6" t="inlineStr">
        <is>
          <t>Centroide UTM ESTE (m)</t>
        </is>
      </c>
      <c r="B15" s="7" t="n">
        <v>607036</v>
      </c>
      <c r="C15" s="6" t="inlineStr">
        <is>
          <t>Centroide UTM NORTE (m)</t>
        </is>
      </c>
      <c r="D15" s="7" t="n">
        <v>9446211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403</v>
      </c>
      <c r="C19" s="6" t="inlineStr">
        <is>
          <t>Altitud máxima (msnm)</t>
        </is>
      </c>
      <c r="D19" s="7" t="n">
        <v>1049</v>
      </c>
      <c r="E19" s="8" t="n"/>
      <c r="F19" s="8" t="n"/>
    </row>
    <row r="20">
      <c r="A20" s="6" t="inlineStr">
        <is>
          <t>Amplitud altitudinal (m)</t>
        </is>
      </c>
      <c r="B20" s="7" t="n">
        <v>646</v>
      </c>
      <c r="C20" s="6" t="inlineStr">
        <is>
          <t>Piso altitudinal dominante</t>
        </is>
      </c>
      <c r="D20" s="7" t="inlineStr">
        <is>
          <t>&lt;1000 m (Yunga)</t>
        </is>
      </c>
      <c r="E20" s="8" t="n"/>
      <c r="F20" s="8" t="n"/>
    </row>
    <row r="21">
      <c r="A21" s="6" t="inlineStr">
        <is>
          <t>Pendiente promedio (%)</t>
        </is>
      </c>
      <c r="B21" s="7" t="n">
        <v>23.42</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 (taludes de corte de la vía)</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0.4464</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(75.29 %)</t>
        </is>
      </c>
      <c r="E29" s="8" t="n"/>
      <c r="F29" s="8" t="n"/>
    </row>
    <row r="30">
      <c r="A30" s="6" t="inlineStr">
        <is>
          <t>Superficie clasificada NDVI 2025 (ha)</t>
        </is>
      </c>
      <c r="B30" s="7" t="n">
        <v>106.593</v>
      </c>
      <c r="C30" s="6" t="inlineStr">
        <is>
          <t>Desviación frente al catálogo (%)</t>
        </is>
      </c>
      <c r="D30" s="7" t="n">
        <v>0.05</v>
      </c>
      <c r="E30" s="8" t="n"/>
      <c r="F30" s="8" t="n"/>
    </row>
    <row r="31">
      <c r="A31" s="6" t="inlineStr">
        <is>
          <t>Superficie clasificada MSAVI 2024 (ha)</t>
        </is>
      </c>
      <c r="B31" s="38" t="n">
        <v>106.539</v>
      </c>
      <c r="C31" s="6" t="inlineStr">
        <is>
          <t>Desviación MSAVI frente al catálogo (%)</t>
        </is>
      </c>
      <c r="D31" s="39" t="n">
        <v>0</v>
      </c>
      <c r="E31" s="8" t="n"/>
      <c r="F31" s="8" t="n"/>
    </row>
    <row r="32">
      <c r="A32" s="6" t="inlineStr">
        <is>
          <t>Superficie bajo umbral MSAVI 0.4976 (ha)</t>
        </is>
      </c>
      <c r="B32" s="38" t="n">
        <v>87.169</v>
      </c>
      <c r="C32" s="6" t="inlineStr">
        <is>
          <t>% del bloque bajo umbral (brecha espectral)</t>
        </is>
      </c>
      <c r="D32" s="39" t="n">
        <v>81.81999999999999</v>
      </c>
      <c r="E32" s="8" t="n"/>
      <c r="F32" s="8" t="n"/>
    </row>
    <row r="33">
      <c r="A33" s="6" t="inlineStr">
        <is>
          <t>Clase DN dominante (MSAVI 2024)</t>
        </is>
      </c>
      <c r="B33" s="7" t="inlineStr">
        <is>
          <t>DN 3 · 0.3813 - 0.4976 (Vigor bajo)</t>
        </is>
      </c>
      <c r="C33" s="6" t="inlineStr">
        <is>
          <t>N.° de polígonos MSAVI del bloque</t>
        </is>
      </c>
      <c r="D33" s="40" t="n">
        <v>478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 (Bes-cm dominante en más del 85% de las 106.54 ha; estimación preliminar)</t>
        </is>
      </c>
      <c r="E36" s="8" t="n"/>
      <c r="F36" s="8" t="n"/>
    </row>
    <row r="37">
      <c r="A37" s="6" t="inlineStr">
        <is>
          <t>Estado de conservación</t>
        </is>
      </c>
      <c r="B37" s="7" t="inlineStr">
        <is>
          <t>Levemente alterado</t>
        </is>
      </c>
      <c r="C37" s="6" t="inlineStr">
        <is>
          <t>Uso actual dominante del suelo</t>
        </is>
      </c>
      <c r="D37" s="50" t="inlineStr">
        <is>
          <t>Forestal protección</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Fuerte (cárcavas incipientes) en el punto de muestreo — síntesis de bloque: 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demás integrantes por confirmar</t>
        </is>
      </c>
      <c r="C44" s="6" t="inlineStr">
        <is>
          <t>Fecha de evaluación</t>
        </is>
      </c>
      <c r="D44" s="7" t="inlineStr">
        <is>
          <t>2026-07-14</t>
        </is>
      </c>
      <c r="E44" s="8" t="n"/>
      <c r="F44" s="8" t="n"/>
    </row>
    <row r="45">
      <c r="A45" s="6" t="inlineStr">
        <is>
          <t>Hora de registro</t>
        </is>
      </c>
      <c r="B45" s="7" t="inlineStr">
        <is>
          <t>13:09 - 13:13 h</t>
        </is>
      </c>
      <c r="C45" s="6" t="inlineStr">
        <is>
          <t>Correlativo de ficha</t>
        </is>
      </c>
      <c r="D45" s="7" t="inlineStr">
        <is>
          <t>F-DT-01 / M17B6-01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instaló parcela; inventario florístico rápido por observación externa y registro fotográfico</t>
        </is>
      </c>
      <c r="E47" s="8" t="n"/>
      <c r="F47" s="8" t="n"/>
    </row>
    <row r="48">
      <c r="A48" s="6" t="inlineStr">
        <is>
          <t>Estaciones fotográficas georreferenciadas</t>
        </is>
      </c>
      <c r="B48" s="7" t="n">
        <v>6</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gestión del corredor vial en fase de mejoramiento (taludes sin estabilizar ni revegetar)</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1.6916</v>
      </c>
      <c r="C10" s="19">
        <f>ROUND(B10/$B$15*100,2)</f>
        <v/>
      </c>
      <c r="D10" s="11" t="inlineStr">
        <is>
          <t>Vigor alto</t>
        </is>
      </c>
      <c r="E10" s="11" t="inlineStr">
        <is>
          <t>Sobre umbral</t>
        </is>
      </c>
    </row>
    <row r="11">
      <c r="A11" s="12" t="inlineStr">
        <is>
          <t>0.4976 - 0.6139 · DN 4</t>
        </is>
      </c>
      <c r="B11" s="20" t="n">
        <v>17.6783</v>
      </c>
      <c r="C11" s="21">
        <f>ROUND(B11/$B$15*100,2)</f>
        <v/>
      </c>
      <c r="D11" s="13" t="inlineStr">
        <is>
          <t>Vigor moderado</t>
        </is>
      </c>
      <c r="E11" s="13" t="inlineStr">
        <is>
          <t>Sobre umbral</t>
        </is>
      </c>
    </row>
    <row r="12">
      <c r="A12" s="14" t="inlineStr">
        <is>
          <t>0.3813 - 0.4976 · DN 3</t>
        </is>
      </c>
      <c r="B12" s="32" t="n">
        <v>73.8064</v>
      </c>
      <c r="C12" s="31">
        <f>ROUND(B12/$B$15*100,2)</f>
        <v/>
      </c>
      <c r="D12" s="15" t="inlineStr">
        <is>
          <t>Vigor bajo</t>
        </is>
      </c>
      <c r="E12" s="15" t="inlineStr">
        <is>
          <t>BAJO umbral 0.4976</t>
        </is>
      </c>
    </row>
    <row r="13">
      <c r="A13" s="12" t="inlineStr">
        <is>
          <t>0.2650 - 0.3813 · DN 2</t>
        </is>
      </c>
      <c r="B13" s="20" t="n">
        <v>13.3443</v>
      </c>
      <c r="C13" s="21">
        <f>ROUND(B13/$B$15*100,2)</f>
        <v/>
      </c>
      <c r="D13" s="13" t="inlineStr">
        <is>
          <t>Vigor muy bajo</t>
        </is>
      </c>
      <c r="E13" s="13" t="inlineStr">
        <is>
          <t>BAJO umbral 0.4976</t>
        </is>
      </c>
    </row>
    <row r="14">
      <c r="A14" s="7" t="inlineStr">
        <is>
          <t>&lt;= 0.2650 · DN 1</t>
        </is>
      </c>
      <c r="B14" s="18" t="n">
        <v>0.0179</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106.54</v>
      </c>
      <c r="C18" s="49" t="inlineStr">
        <is>
          <t>—</t>
        </is>
      </c>
      <c r="D18" s="46" t="inlineStr">
        <is>
          <t>Desviación planimétrica frente al catálogo</t>
        </is>
      </c>
      <c r="E18" s="46" t="inlineStr">
        <is>
          <t>+0.00 %</t>
        </is>
      </c>
    </row>
    <row r="19">
      <c r="A19" s="16" t="inlineStr">
        <is>
          <t>MSAVI 2024 — MEDIA DEL BLOQUE</t>
        </is>
      </c>
      <c r="B19" s="17" t="n">
        <v>0.446441</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(0.4464)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19.7527</v>
      </c>
      <c r="C25" s="19" t="n">
        <v>18.53</v>
      </c>
      <c r="D25" s="11" t="inlineStr">
        <is>
          <t>Dosel continuo, matorral denso o mosaico agroforestal</t>
        </is>
      </c>
      <c r="E25" s="11" t="inlineStr"/>
    </row>
    <row r="26">
      <c r="A26" s="12" t="inlineStr">
        <is>
          <t>Vegetación mediana</t>
        </is>
      </c>
      <c r="B26" s="20" t="n">
        <v>80.25069999999999</v>
      </c>
      <c r="C26" s="21" t="n">
        <v>75.29000000000001</v>
      </c>
      <c r="D26" s="13" t="inlineStr">
        <is>
          <t>Pastizal cultivado, matorral ralo, parcelas agrícolas</t>
        </is>
      </c>
      <c r="E26" s="13" t="inlineStr"/>
    </row>
    <row r="27">
      <c r="A27" s="7" t="inlineStr">
        <is>
          <t>Vegetación ligera</t>
        </is>
      </c>
      <c r="B27" s="18" t="n">
        <v>6.5763</v>
      </c>
      <c r="C27" s="19" t="n">
        <v>6.17</v>
      </c>
      <c r="D27" s="11" t="inlineStr">
        <is>
          <t>Cobertura discontinua, suelo parcialmente expuesto</t>
        </is>
      </c>
      <c r="E27" s="11" t="inlineStr"/>
    </row>
    <row r="28">
      <c r="A28" s="12" t="inlineStr">
        <is>
          <t>Tierra desnuda</t>
        </is>
      </c>
      <c r="B28" s="20" t="n">
        <v>0.0137</v>
      </c>
      <c r="C28" s="21" t="n">
        <v>0.01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106.54</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18.53 % del polígono clasificado como «Vegetación alta» por el NDVI 2025; la observación de campo corresponde a una parcela o recorrido puntual y no es estadísticamente representativa de las 106.540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M17B6</t>
        </is>
      </c>
    </row>
    <row r="6" ht="24" customHeight="1">
      <c r="A6" s="4" t="inlineStr">
        <is>
          <t>Levantamiento del 2026-07-14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605682</v>
      </c>
      <c r="D10" s="26" t="n">
        <v>9445753</v>
      </c>
      <c r="E10" s="11" t="n">
        <v>1429.4</v>
      </c>
      <c r="F10" s="11" t="inlineStr"/>
      <c r="G10" s="11" t="inlineStr">
        <is>
          <t>Coordenada consignada en F-DT-01</t>
        </is>
      </c>
    </row>
    <row r="11">
      <c r="A11" s="12" t="inlineStr">
        <is>
          <t>F-01</t>
        </is>
      </c>
      <c r="B11" s="13" t="inlineStr">
        <is>
          <t>Estación fotográfica</t>
        </is>
      </c>
      <c r="C11" s="27" t="n">
        <v>605663</v>
      </c>
      <c r="D11" s="27" t="n">
        <v>9445732</v>
      </c>
      <c r="E11" s="13" t="n">
        <v>1454.2</v>
      </c>
      <c r="F11" s="13" t="inlineStr"/>
      <c r="G11" s="13" t="inlineStr">
        <is>
          <t>Registro fotográfico georreferenciado</t>
        </is>
      </c>
    </row>
    <row r="12">
      <c r="A12" s="7" t="inlineStr">
        <is>
          <t>F-02</t>
        </is>
      </c>
      <c r="B12" s="11" t="inlineStr">
        <is>
          <t>Estación fotográfica</t>
        </is>
      </c>
      <c r="C12" s="26" t="n">
        <v>605710</v>
      </c>
      <c r="D12" s="26" t="n">
        <v>9445765</v>
      </c>
      <c r="E12" s="11" t="n">
        <v>1399</v>
      </c>
      <c r="F12" s="11" t="inlineStr"/>
      <c r="G12" s="11" t="inlineStr">
        <is>
          <t>Registro fotográfico georreferenciado</t>
        </is>
      </c>
    </row>
    <row r="13">
      <c r="A13" s="12" t="inlineStr">
        <is>
          <t>F-05</t>
        </is>
      </c>
      <c r="B13" s="13" t="inlineStr">
        <is>
          <t>Estación fotográfica</t>
        </is>
      </c>
      <c r="C13" s="27" t="n">
        <v>605811</v>
      </c>
      <c r="D13" s="27" t="n">
        <v>9445811</v>
      </c>
      <c r="E13" s="13" t="n">
        <v>1288.7</v>
      </c>
      <c r="F13" s="13" t="inlineStr"/>
      <c r="G13" s="13" t="inlineStr">
        <is>
          <t>Registro fotográfico georreferenciado</t>
        </is>
      </c>
    </row>
    <row r="14">
      <c r="A14" s="7" t="inlineStr">
        <is>
          <t>F-06</t>
        </is>
      </c>
      <c r="B14" s="11" t="inlineStr">
        <is>
          <t>Estación fotográfica</t>
        </is>
      </c>
      <c r="C14" s="26" t="n">
        <v>605885</v>
      </c>
      <c r="D14" s="26" t="n">
        <v>9445824</v>
      </c>
      <c r="E14" s="11" t="n">
        <v>1214.3</v>
      </c>
      <c r="F14" s="11" t="inlineStr"/>
      <c r="G14" s="11" t="inlineStr">
        <is>
          <t>Registro fotográfico georreferenciado</t>
        </is>
      </c>
    </row>
    <row r="15">
      <c r="A15" s="12" t="inlineStr">
        <is>
          <t>C-01</t>
        </is>
      </c>
      <c r="B15" s="13" t="inlineStr">
        <is>
          <t>Rasgo erosivo — Surco (&lt;30 cm)</t>
        </is>
      </c>
      <c r="C15" s="27" t="n">
        <v>605663</v>
      </c>
      <c r="D15" s="27" t="n">
        <v>9445732</v>
      </c>
      <c r="E15" s="13" t="n">
        <v>1454.2</v>
      </c>
      <c r="F15" s="13" t="inlineStr">
        <is>
          <t>Activa</t>
        </is>
      </c>
      <c r="G15" s="13" t="inlineStr">
        <is>
          <t>Otro (corte y ensanche de la plataforma vial)</t>
        </is>
      </c>
    </row>
    <row r="16">
      <c r="A16" s="7" t="inlineStr">
        <is>
          <t>C-02</t>
        </is>
      </c>
      <c r="B16" s="11" t="inlineStr">
        <is>
          <t>Rasgo erosivo — Surco (&lt;30 cm)</t>
        </is>
      </c>
      <c r="C16" s="26" t="n">
        <v>605811</v>
      </c>
      <c r="D16" s="26" t="n">
        <v>9445811</v>
      </c>
      <c r="E16" s="11" t="n">
        <v>1288.7</v>
      </c>
      <c r="F16" s="11" t="inlineStr">
        <is>
          <t>Activa</t>
        </is>
      </c>
      <c r="G16" s="11" t="inlineStr">
        <is>
          <t>Otro (corte y ensanche de la plataforma vial)</t>
        </is>
      </c>
    </row>
    <row r="17">
      <c r="A17" s="12" t="inlineStr">
        <is>
          <t>C-03</t>
        </is>
      </c>
      <c r="B17" s="13" t="inlineStr">
        <is>
          <t>Rasgo erosivo — Cárcava incipiente</t>
        </is>
      </c>
      <c r="C17" s="27" t="n">
        <v>605885</v>
      </c>
      <c r="D17" s="27" t="n">
        <v>9445824</v>
      </c>
      <c r="E17" s="13" t="n">
        <v>1214.3</v>
      </c>
      <c r="F17" s="13" t="inlineStr">
        <is>
          <t>Activa</t>
        </is>
      </c>
      <c r="G17" s="13" t="inlineStr">
        <is>
          <t>Concentración natural de escorrentía</t>
        </is>
      </c>
    </row>
    <row r="18">
      <c r="A18" s="7" t="inlineStr">
        <is>
          <t>H-01</t>
        </is>
      </c>
      <c r="B18" s="11" t="inlineStr">
        <is>
          <t>Fuente de agua — Quebrada estacional</t>
        </is>
      </c>
      <c r="C18" s="26" t="n">
        <v>605710</v>
      </c>
      <c r="D18" s="26" t="n">
        <v>9445765</v>
      </c>
      <c r="E18" s="11" t="n">
        <v>1399</v>
      </c>
      <c r="F18" s="11" t="inlineStr">
        <is>
          <t>Estacional</t>
        </is>
      </c>
      <c r="G18" s="11" t="inlineStr">
        <is>
          <t>Quebrada tributaria cruzada por la vía</t>
        </is>
      </c>
    </row>
    <row r="19">
      <c r="A19" s="12" t="inlineStr">
        <is>
          <t>H-02</t>
        </is>
      </c>
      <c r="B19" s="13" t="inlineStr">
        <is>
          <t>Fuente de agua — Otro (catarata)</t>
        </is>
      </c>
      <c r="C19" s="27" t="inlineStr">
        <is>
          <t>Por determinar</t>
        </is>
      </c>
      <c r="D19" s="27" t="inlineStr">
        <is>
          <t>Por determinar</t>
        </is>
      </c>
      <c r="E19" s="13" t="inlineStr"/>
      <c r="F19" s="13" t="inlineStr">
        <is>
          <t>Estacional</t>
        </is>
      </c>
      <c r="G19" s="13" t="inlineStr">
        <is>
          <t>Catarata El Guabo (referencia cartográfica)</t>
        </is>
      </c>
    </row>
    <row r="20">
      <c r="A20" s="7" t="inlineStr">
        <is>
          <t>H-03</t>
        </is>
      </c>
      <c r="B20" s="11" t="inlineStr">
        <is>
          <t>Fuente de agua — Laguna / Humedal</t>
        </is>
      </c>
      <c r="C20" s="26" t="inlineStr">
        <is>
          <t>Por determinar</t>
        </is>
      </c>
      <c r="D20" s="26" t="inlineStr">
        <is>
          <t>Por determinar</t>
        </is>
      </c>
      <c r="E20" s="11" t="inlineStr"/>
      <c r="F20" s="11" t="inlineStr">
        <is>
          <t>Permanente</t>
        </is>
      </c>
      <c r="G20" s="11" t="inlineStr">
        <is>
          <t>Laguna del Amor El Huabo (referencia cartográfica)</t>
        </is>
      </c>
    </row>
    <row r="21">
      <c r="A21" s="12" t="inlineStr">
        <is>
          <t>H-04</t>
        </is>
      </c>
      <c r="B21" s="13" t="inlineStr">
        <is>
          <t>Fuente de agua — Laguna / Humedal</t>
        </is>
      </c>
      <c r="C21" s="27" t="inlineStr">
        <is>
          <t>Por determinar</t>
        </is>
      </c>
      <c r="D21" s="27" t="inlineStr">
        <is>
          <t>Por determinar</t>
        </is>
      </c>
      <c r="E21" s="13" t="inlineStr"/>
      <c r="F21" s="13" t="inlineStr">
        <is>
          <t>Permanente</t>
        </is>
      </c>
      <c r="G21" s="13" t="inlineStr">
        <is>
          <t>Laguna El Checo (referencia cartográfica)</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607036</v>
      </c>
      <c r="C24" s="6" t="inlineStr">
        <is>
          <t>Centroide del bloque — UTM NORTE (m)</t>
        </is>
      </c>
      <c r="D24" s="7" t="n">
        <v>9446211</v>
      </c>
      <c r="E24" s="8" t="n"/>
      <c r="F24" s="8" t="n"/>
      <c r="G24" s="8" t="n"/>
      <c r="H24" s="8" t="n"/>
    </row>
    <row r="25">
      <c r="A25" s="6" t="inlineStr">
        <is>
          <t>N.° de estaciones fotográficas declaradas</t>
        </is>
      </c>
      <c r="B25" s="7" t="n">
        <v>6</v>
      </c>
      <c r="C25" s="6" t="inlineStr">
        <is>
          <t>Estaciones dentro del polígono</t>
        </is>
      </c>
      <c r="D25" s="7" t="n">
        <v>0</v>
      </c>
      <c r="E25" s="8" t="n"/>
      <c r="F25" s="8" t="n"/>
      <c r="G25" s="8" t="n"/>
      <c r="H25" s="8" t="n"/>
    </row>
    <row r="27" ht="144"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RECONOCIMIENTO EXTERNO DESDE LA CARRETERA CHULUCANAS-FRÍAS (14/07/2026, 13:09-13:13 h). NO SE REALIZÓ TRAVESÍA POR EL INTERIOR DEL BLOQUE; COMPLETITUD FÍSICA ESTIMADA ≈10%. Los seis puntos de observación se sitúan entre 605 663-605 885 E / 9 445 732-9 445 824 N, sobre el límite NO del lóbulo occidental, A 1.3-1.6 km DEL CENTROIDE DE CATÁLOGO. ESCARPES ACTIVOS: taludes de corte de la vía, DE 4 A 8 m DE ALTURA, CON RETROCESO ACTIVO, RAÍCES COLGANTES Y DESPRENDIMIENTOS AL PIE. No se verificaron escarpes de origen natural en el interior. REMOCIONES ACTIVAS: caída de bloques y derrumbes de talud sobre la plataforma vial. ALTITUD GPS: el aplicativo no consignó cota; el valor deriva del MDE. Rango del bloque 403-1 049 msnm; pendiente promedio 23.42%.</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M17B6</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14" t="inlineStr">
        <is>
          <t>► M17B6</t>
        </is>
      </c>
      <c r="B12" s="30" t="n">
        <v>106.54</v>
      </c>
      <c r="C12" s="31" t="n">
        <v>12.17</v>
      </c>
      <c r="D12" s="15" t="inlineStr">
        <is>
          <t>403 – 1049</t>
        </is>
      </c>
      <c r="E12" s="15" t="n">
        <v>646</v>
      </c>
      <c r="F12" s="15" t="n">
        <v>23.42</v>
      </c>
      <c r="G12" s="32" t="n">
        <v>0.4464</v>
      </c>
      <c r="H12" s="31" t="n">
        <v>18.53</v>
      </c>
      <c r="I12" s="31"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2" t="inlineStr">
        <is>
          <t>M17B10</t>
        </is>
      </c>
      <c r="B15" s="29" t="n">
        <v>75.36</v>
      </c>
      <c r="C15" s="21" t="n">
        <v>8.609999999999999</v>
      </c>
      <c r="D15" s="13" t="inlineStr">
        <is>
          <t>466 – 902</t>
        </is>
      </c>
      <c r="E15" s="13" t="n">
        <v>436</v>
      </c>
      <c r="F15" s="13"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2" t="inlineStr">
        <is>
          <t>M17B1</t>
        </is>
      </c>
      <c r="B17" s="29" t="n">
        <v>42.45</v>
      </c>
      <c r="C17" s="21" t="n">
        <v>4.85</v>
      </c>
      <c r="D17" s="13" t="inlineStr">
        <is>
          <t>177 – 313</t>
        </is>
      </c>
      <c r="E17" s="13" t="n">
        <v>136</v>
      </c>
      <c r="F17" s="13"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M17B6 ocupa el puesto 3 de 9 por superficie dentro de la microcuenca C1096-Q9556 (12.17 % de las 875.24 ha preliminares de la microcuenca). Su pendiente promedio (23.42 %, clase «15-25% (Fuert. inclinado)») es la 5.ª más baja de 9 y se sitúa por encima del promedio de la microcuenca (22.85 %). Su MSAVI 2024 (0.4464) es el 5.º de 9 y queda por debajo del promedio local (0.4510). Amplitud altitudinal del bloque: 646 m (403–1049 msnm). El cuadro conserva todos los bloques catalogados en la microcuenca, incluidos los descartados en el tamizaje, para referencia del conjunto. Los bloques sin ficha DT figuran con sus parámetros de gabinete. BRECHA ESPECTRAL. El 81.82 % de la superficie del bloque (87.169 ha de 106.539 ha) se sitúa bajo el umbral MSAVI 0.4976, por encima del promedio local de la microcuenca (69.38 %)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M17B6</t>
        </is>
      </c>
    </row>
    <row r="6">
      <c r="A6" s="52" t="inlineStr">
        <is>
          <t>Cruce de la ficha de campo F-DT vigente con la ficha de resumen de gabinete y el catálogo maestro. Integración 2026-09-11 21:26:33.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El punto de muestreo declarado dista 1429.4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(0 msnm) queda fuera del rango altitudinal del bloque (403 - 1049 msnm).</t>
        </is>
      </c>
      <c r="D12" s="57" t="inlineStr">
        <is>
          <t>NO SUSTANTIVA</t>
        </is>
      </c>
      <c r="E12" s="57" t="inlineStr">
        <is>
          <t>Se revisa si la estación cayó fuera del polígono; prevalece el rango del MDE para los parámetros físicos del bloque.</t>
        </is>
      </c>
    </row>
    <row r="13">
      <c r="A13" s="56" t="inlineStr">
        <is>
          <t>G-05</t>
        </is>
      </c>
      <c r="B13" s="56" t="inlineStr">
        <is>
          <t>Superficie NDVI vs. catálogo</t>
        </is>
      </c>
      <c r="C13" s="56" t="inlineStr">
        <is>
          <t>La superficie clasificada por el NDVI mediana 2025 (106.593 ha) se desvía 0.05 % de la superficie de catálogo (106.54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(106.539 ha) se desvía -0.00 % de la superficie de catálogo (106.54 ha).</t>
        </is>
      </c>
      <c r="D14" s="57" t="inlineStr">
        <is>
          <t>CONFORME</t>
        </is>
      </c>
      <c r="E14" s="57" t="inlineStr">
        <is>
          <t>Sin acción: la segmentación valida la geometría del bloque.</t>
        </is>
      </c>
    </row>
    <row r="15">
      <c r="A15" s="56" t="inlineStr">
        <is>
          <t>G-07</t>
        </is>
      </c>
      <c r="B15" s="56" t="inlineStr">
        <is>
          <t>Brecha espectral MSAVI</t>
        </is>
      </c>
      <c r="C15" s="56" t="inlineStr">
        <is>
          <t>El 81.82 % del bloque queda bajo el umbral 0.4976; superficie de brecha 87.17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106.54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(0.4464)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«Platanal Alto (≈0.6 km al SO); El Guabo»; la ficha de campo vigente declara «Platanal Alto (aprox. 0.6 km al SO); El Guabo».</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Uso actual dominante del suelo</t>
        </is>
      </c>
      <c r="C20" s="57" t="inlineStr">
        <is>
          <t>El libro de resumen V6 consignaba «Forestal de protección»; la ficha de campo vigente declara «Forestal protección».</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96.4 % de los campos esperados).</t>
        </is>
      </c>
      <c r="D21" s="56" t="inlineStr">
        <is>
          <t>CONFORME</t>
        </is>
      </c>
      <c r="E21" s="56" t="inlineStr">
        <is>
          <t>Sin acción.</t>
        </is>
      </c>
    </row>
    <row r="22">
      <c r="A22" s="57" t="inlineStr">
        <is>
          <t>F-02</t>
        </is>
      </c>
      <c r="B22" s="57" t="inlineStr">
        <is>
          <t>Cobertura de la integración</t>
        </is>
      </c>
      <c r="C22" s="57" t="inlineStr">
        <is>
          <t>Se declararon 98 de 114 hechos integrados (86.0 %); 16 quedan sin dato en ninguna fuente.</t>
        </is>
      </c>
      <c r="D22" s="57" t="inlineStr">
        <is>
          <t>CONFORME</t>
        </is>
      </c>
      <c r="E22" s="57" t="inlineStr">
        <is>
          <t>Sin acción.</t>
        </is>
      </c>
    </row>
    <row r="23">
      <c r="A23" s="56" t="inlineStr">
        <is>
          <t>H-01</t>
        </is>
      </c>
      <c r="B23" s="56" t="inlineStr">
        <is>
          <t>Cobertura vegetal total</t>
        </is>
      </c>
      <c r="C23" s="56" t="inlineStr">
        <is>
          <t>La ficha DT estima 70 % de cobertura vegetal en campo; el NDVI mediana 2025 clasifica 99.99 %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H-02</t>
        </is>
      </c>
      <c r="B24" s="57" t="inlineStr">
        <is>
          <t>Dimensiones del inventario de cárcavas</t>
        </is>
      </c>
      <c r="C24" s="57" t="inlineStr">
        <is>
          <t>Se registran 3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Representatividad del levantamiento</t>
        </is>
      </c>
      <c r="C25" s="56" t="inlineStr">
        <is>
          <t>Ninguna de las estaciones fotográficas georreferenciadas se localiza dentro del polígono del bloque</t>
        </is>
      </c>
      <c r="D25" s="56" t="inlineStr">
        <is>
          <t>SUSTANTIVA</t>
        </is>
      </c>
      <c r="E25" s="56" t="inlineStr">
        <is>
          <t>La verificación documenta el perímetro y la vista panorámica del bloque, no su interior. Los parámetros que exigen recorrido interno se consignan «Por determinar». (Verificación heredada de la ficha de resumen V6.)</t>
        </is>
      </c>
    </row>
    <row r="26">
      <c r="A26" s="57" t="inlineStr">
        <is>
          <t>H-04</t>
        </is>
      </c>
      <c r="B26" s="57" t="inlineStr">
        <is>
          <t>F-DT-01</t>
        </is>
      </c>
      <c r="C26" s="57" t="inlineStr">
        <is>
          <t>Reconocimiento EXTERNO desde la carretera; completitud física ≈10%; los puntos se sitúan a 1.3-1.6 km del centroide</t>
        </is>
      </c>
      <c r="D26" s="57" t="inlineStr">
        <is>
          <t>SUSTANTIVA</t>
        </is>
      </c>
      <c r="E26" s="57" t="inlineStr">
        <is>
          <t>Travesía interior pendiente (Verificación heredada de la ficha de resumen V6.)</t>
        </is>
      </c>
    </row>
    <row r="27">
      <c r="A27" s="56" t="inlineStr">
        <is>
          <t>H-05</t>
        </is>
      </c>
      <c r="B27" s="56" t="inlineStr">
        <is>
          <t>F-DT-02</t>
        </is>
      </c>
      <c r="C27" s="56" t="inlineStr">
        <is>
          <t>Nivel de erosión puntual «Fuerte» frente a síntesis de bloque «Moderada»</t>
        </is>
      </c>
      <c r="D27" s="56" t="inlineStr">
        <is>
          <t>NO SUSTANTIVA</t>
        </is>
      </c>
      <c r="E27" s="56" t="inlineStr">
        <is>
          <t>Diferenciación declarada y justificada en la propia ficha (Verificación heredada de la ficha de resumen V6.)</t>
        </is>
      </c>
    </row>
    <row r="28">
      <c r="A28" s="57" t="inlineStr">
        <is>
          <t>H-06</t>
        </is>
      </c>
      <c r="B28" s="57" t="inlineStr">
        <is>
          <t>F-DT-03</t>
        </is>
      </c>
      <c r="C28" s="57" t="inlineStr">
        <is>
          <t>Sin parcela ni mediciones dendrométricas; coberturas y alturas estimadas visualmente desde puntos externos</t>
        </is>
      </c>
      <c r="D28" s="57" t="inlineStr">
        <is>
          <t>SUSTANTIVA</t>
        </is>
      </c>
      <c r="E28" s="57" t="inlineStr">
        <is>
          <t>Inventario con parcelas pendiente (Verificación heredada de la ficha de resumen V6.)</t>
        </is>
      </c>
    </row>
    <row r="29">
      <c r="A29" s="56" t="inlineStr">
        <is>
          <t>H-07</t>
        </is>
      </c>
      <c r="B29" s="56" t="inlineStr">
        <is>
          <t>F-DT-04</t>
        </is>
      </c>
      <c r="C29" s="56" t="inlineStr">
        <is>
          <t>La carretera Chulucanas-Frías, en obras de mejoramiento, se superpone al límite NO del bloque</t>
        </is>
      </c>
      <c r="D29" s="56" t="inlineStr">
        <is>
          <t>SUSTANTIVA</t>
        </is>
      </c>
      <c r="E29" s="56" t="inlineStr">
        <is>
          <t>Causa dominante de la degradación: la intervención debe incluir estabilización y revegetación de taludes (Verificación heredada de la ficha de resumen V6.)</t>
        </is>
      </c>
    </row>
    <row r="30">
      <c r="A30" s="57" t="inlineStr">
        <is>
          <t>H-08</t>
        </is>
      </c>
      <c r="B30" s="57" t="inlineStr">
        <is>
          <t>F-DT-05</t>
        </is>
      </c>
      <c r="C30" s="57" t="inlineStr">
        <is>
          <t>Las fuentes 2 a 4 son referencias cartográficas de Google Earth, no verificadas en campo</t>
        </is>
      </c>
      <c r="D30" s="57" t="inlineStr">
        <is>
          <t>NO SUSTANTIVA</t>
        </is>
      </c>
      <c r="E30" s="57" t="inlineStr">
        <is>
          <t>Georreferenciación pendiente (Verificación heredada de la ficha de resumen V6.)</t>
        </is>
      </c>
    </row>
    <row r="32">
      <c r="A32" s="58" t="inlineStr">
        <is>
          <t>RESUMEN</t>
        </is>
      </c>
      <c r="B32" s="59" t="inlineStr">
        <is>
          <t>22 verificaciones</t>
        </is>
      </c>
      <c r="C32" s="59" t="inlineStr">
        <is>
          <t>SUSTANTIVA: 5 · NO SUSTANTIVA: 5 · CORREGIDO: 2 · CONFORME: 10</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M17B6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Platanal Alto (≈0.6 km al SO); El Guabo</t>
        </is>
      </c>
      <c r="D9" s="56" t="inlineStr">
        <is>
          <t>Platanal Alto (aprox. 0.6 km al SO); El Guabo</t>
        </is>
      </c>
      <c r="E9" s="56" t="inlineStr">
        <is>
          <t>Dato de campo</t>
        </is>
      </c>
    </row>
    <row r="10">
      <c r="A10" s="57" t="inlineStr">
        <is>
          <t>5. Ecosistema, cobertura y flora (F-DT-03)</t>
        </is>
      </c>
      <c r="B10" s="57" t="inlineStr">
        <is>
          <t>Uso actual dominante del suelo</t>
        </is>
      </c>
      <c r="C10" s="57" t="inlineStr">
        <is>
          <t>Forestal de protección</t>
        </is>
      </c>
      <c r="D10" s="57" t="inlineStr">
        <is>
          <t>Forestal protección</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605682</t>
        </is>
      </c>
      <c r="D14" s="56" t="inlineStr">
        <is>
          <t>m</t>
        </is>
      </c>
    </row>
    <row r="15">
      <c r="A15" s="57" t="inlineStr">
        <is>
          <t>1. Identificación y localización</t>
        </is>
      </c>
      <c r="B15" s="57" t="inlineStr">
        <is>
          <t>UTM NORTE del punto de muestreo (m)</t>
        </is>
      </c>
      <c r="C15" s="57" t="inlineStr">
        <is>
          <t>9445753</t>
        </is>
      </c>
      <c r="D15" s="57" t="inlineStr">
        <is>
          <t>m</t>
        </is>
      </c>
    </row>
    <row r="16">
      <c r="A16" s="56" t="inlineStr">
        <is>
          <t>2. Parámetros físicos del terreno</t>
        </is>
      </c>
      <c r="B16" s="56" t="inlineStr">
        <is>
          <t>Altitud GPS del punto de muestreo (msnm)</t>
        </is>
      </c>
      <c r="C16" s="56" t="inlineStr">
        <is>
          <t>Aprox. 430 msnm (MDE)</t>
        </is>
      </c>
      <c r="D16" s="56" t="inlineStr">
        <is>
          <t>msnm</t>
        </is>
      </c>
    </row>
    <row r="17">
      <c r="A17" s="57" t="inlineStr">
        <is>
          <t>2. Parámetros físicos del terreno</t>
        </is>
      </c>
      <c r="B17" s="57" t="inlineStr">
        <is>
          <t>Piso altitudinal del punto de muestreo</t>
        </is>
      </c>
      <c r="C17" s="57" t="inlineStr">
        <is>
          <t>&lt;1000 m (Yunga)</t>
        </is>
      </c>
      <c r="D17" s="57" t="inlineStr"/>
    </row>
    <row r="18">
      <c r="A18" s="56" t="inlineStr">
        <is>
          <t>2. Parámetros físicos del terreno</t>
        </is>
      </c>
      <c r="B18" s="56" t="inlineStr">
        <is>
          <t>Paisaje dominante descrito en campo</t>
        </is>
      </c>
      <c r="C18" s="56" t="inlineStr">
        <is>
          <t>Ladera de colina-montaña de exposición NO que desciende desde la divisoria (1 049 msnm) hasta el fondo del valle de la quebrada tributaria del sector Platanal Alto - El Guabo (403 msnm). Bosque estacionalmente seco de colina y montaña (Bes-cm) de dosel discontinuo con emergentes de ceibo (Ceiba trichistandra) y pasallo (Eriotheca ruizii), sotobosque arbustivo y cactáceas columnares. Afloramientos y bolonería granítica dispersos; matriz de suelo areno-limoso derivado de saprolito granítico. Fondo de valle con mosaico agropecuario (pastizal cultivado y frutales) fuera del bloque. La carretera Chulucanas-Frías, en obras de mejoramiento, discurre sobre el límite NO del bloque.</t>
        </is>
      </c>
      <c r="D18" s="56" t="inlineStr"/>
    </row>
    <row r="19">
      <c r="A19" s="57" t="inlineStr">
        <is>
          <t>2. Parámetros físicos del terreno</t>
        </is>
      </c>
      <c r="B19" s="57" t="inlineStr">
        <is>
          <t>Reptación de suelo</t>
        </is>
      </c>
      <c r="C19" s="57" t="inlineStr">
        <is>
          <t>No</t>
        </is>
      </c>
      <c r="D19" s="57" t="inlineStr"/>
    </row>
    <row r="20">
      <c r="A20" s="56" t="inlineStr">
        <is>
          <t>2. Parámetros físicos del terreno</t>
        </is>
      </c>
      <c r="B20" s="56" t="inlineStr">
        <is>
          <t>Deslizamientos antiguos</t>
        </is>
      </c>
      <c r="C20" s="56" t="inlineStr">
        <is>
          <t>No</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Sellamiento / costra superficial</t>
        </is>
      </c>
      <c r="C22" s="56" t="inlineStr">
        <is>
          <t>Sí</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Sí</t>
        </is>
      </c>
      <c r="D24" s="56" t="inlineStr"/>
    </row>
    <row r="25">
      <c r="A25" s="57" t="inlineStr">
        <is>
          <t>4. Suelos y erosión (F-DT-02)</t>
        </is>
      </c>
      <c r="B25" s="57" t="inlineStr">
        <is>
          <t>% del bloque afectado por cárcavas</t>
        </is>
      </c>
      <c r="C25" s="57" t="inlineStr">
        <is>
          <t>Menor a 2 % (estimado; restringido al corredor vial NO)</t>
        </is>
      </c>
      <c r="D25" s="57" t="inlineStr">
        <is>
          <t>%</t>
        </is>
      </c>
    </row>
    <row r="26">
      <c r="A26" s="56" t="inlineStr">
        <is>
          <t>4. Suelos y erosión (F-DT-02)</t>
        </is>
      </c>
      <c r="B26" s="56" t="inlineStr">
        <is>
          <t>Patrón de cárcavas</t>
        </is>
      </c>
      <c r="C26" s="56" t="inlineStr">
        <is>
          <t>Lineal</t>
        </is>
      </c>
      <c r="D26" s="56" t="inlineStr"/>
    </row>
    <row r="27">
      <c r="A27" s="57" t="inlineStr">
        <is>
          <t>4. Suelos y erosión (F-DT-02)</t>
        </is>
      </c>
      <c r="B27" s="57" t="inlineStr">
        <is>
          <t>Socavamiento de cauce</t>
        </is>
      </c>
      <c r="C27" s="57" t="inlineStr">
        <is>
          <t>Sí</t>
        </is>
      </c>
      <c r="D27" s="57" t="inlineStr"/>
    </row>
    <row r="28">
      <c r="A28" s="56" t="inlineStr">
        <is>
          <t>5. Ecosistema, cobertura y flora (F-DT-03)</t>
        </is>
      </c>
      <c r="B28" s="56" t="inlineStr">
        <is>
          <t>Cobertura del dosel (%)</t>
        </is>
      </c>
      <c r="C28" s="56" t="inlineStr">
        <is>
          <t>60</t>
        </is>
      </c>
      <c r="D28" s="56" t="inlineStr">
        <is>
          <t>%</t>
        </is>
      </c>
    </row>
    <row r="29">
      <c r="A29" s="57" t="inlineStr">
        <is>
          <t>5. Ecosistema, cobertura y flora (F-DT-03)</t>
        </is>
      </c>
      <c r="B29" s="57" t="inlineStr">
        <is>
          <t>Cobertura arbustiva (%)</t>
        </is>
      </c>
      <c r="C29" s="57" t="inlineStr">
        <is>
          <t>25</t>
        </is>
      </c>
      <c r="D29" s="57" t="inlineStr">
        <is>
          <t>%</t>
        </is>
      </c>
    </row>
    <row r="30">
      <c r="A30" s="56" t="inlineStr">
        <is>
          <t>5. Ecosistema, cobertura y flora (F-DT-03)</t>
        </is>
      </c>
      <c r="B30" s="56" t="inlineStr">
        <is>
          <t>Cobertura herbácea (%)</t>
        </is>
      </c>
      <c r="C30" s="56" t="inlineStr">
        <is>
          <t>20</t>
        </is>
      </c>
      <c r="D30" s="56" t="inlineStr">
        <is>
          <t>%</t>
        </is>
      </c>
    </row>
    <row r="31">
      <c r="A31" s="57" t="inlineStr">
        <is>
          <t>5. Ecosistema, cobertura y flora (F-DT-03)</t>
        </is>
      </c>
      <c r="B31" s="57" t="inlineStr">
        <is>
          <t>Altura del estrato dominante (m)</t>
        </is>
      </c>
      <c r="C31" s="57" t="inlineStr">
        <is>
          <t>8</t>
        </is>
      </c>
      <c r="D31" s="57" t="inlineStr">
        <is>
          <t>m</t>
        </is>
      </c>
    </row>
    <row r="32">
      <c r="A32" s="56" t="inlineStr">
        <is>
          <t>5. Ecosistema, cobertura y flora (F-DT-03)</t>
        </is>
      </c>
      <c r="B32" s="56" t="inlineStr">
        <is>
          <t>Altura máxima registrada (m)</t>
        </is>
      </c>
      <c r="C32" s="56" t="inlineStr">
        <is>
          <t>18</t>
        </is>
      </c>
      <c r="D32" s="56" t="inlineStr">
        <is>
          <t>m</t>
        </is>
      </c>
    </row>
    <row r="33">
      <c r="A33" s="57" t="inlineStr">
        <is>
          <t>5. Ecosistema, cobertura y flora (F-DT-03)</t>
        </is>
      </c>
      <c r="B33" s="57" t="inlineStr">
        <is>
          <t>Presencia de epífitas</t>
        </is>
      </c>
      <c r="C33" s="57" t="inlineStr">
        <is>
          <t>Sí</t>
        </is>
      </c>
      <c r="D33" s="57" t="inlineStr"/>
    </row>
    <row r="34">
      <c r="A34" s="56" t="inlineStr">
        <is>
          <t>5. Ecosistema, cobertura y flora (F-DT-03)</t>
        </is>
      </c>
      <c r="B34" s="56" t="inlineStr">
        <is>
          <t>Fenología dominante</t>
        </is>
      </c>
      <c r="C34" s="56" t="inlineStr">
        <is>
          <t>Caducifolio (hojas caídas)</t>
        </is>
      </c>
      <c r="D34" s="56" t="inlineStr"/>
    </row>
    <row r="35">
      <c r="A35" s="57" t="inlineStr">
        <is>
          <t>5. Ecosistema, cobertura y flora (F-DT-03)</t>
        </is>
      </c>
      <c r="B35" s="57" t="inlineStr">
        <is>
          <t>Dimensiones de la parcela (m)</t>
        </is>
      </c>
      <c r="C35" s="57" t="inlineStr">
        <is>
          <t>No aplica (sin parcela instalada)</t>
        </is>
      </c>
      <c r="D35" s="57" t="inlineStr"/>
    </row>
    <row r="36">
      <c r="A36" s="56" t="inlineStr">
        <is>
          <t>5. Ecosistema, cobertura y flora (F-DT-03)</t>
        </is>
      </c>
      <c r="B36" s="56" t="inlineStr">
        <is>
          <t>Especies clave georreferenciadas</t>
        </is>
      </c>
      <c r="C36" s="56" t="inlineStr">
        <is>
          <t>10</t>
        </is>
      </c>
      <c r="D36" s="56" t="inlineStr"/>
    </row>
    <row r="37">
      <c r="A37" s="57" t="inlineStr">
        <is>
          <t>6. Degradación, causas y urgencia (F-DT-04)</t>
        </is>
      </c>
      <c r="B37" s="57" t="inlineStr">
        <is>
          <t>Causas directas de la degradación</t>
        </is>
      </c>
      <c r="C37" s="57" t="inlineStr">
        <is>
          <t>Presión de borde asociada al corredor vial Chulucanas-Frías (corte de taludes, desprendimientos y erosión acelerada sobre el límite NO); pastoreo extensivo de baja intensidad con senderos y suelo desnudo en ladera; interfaz agropecuaria en el fondo de valle contiguo al límite SO; y estrés hídrico estacional acentuado por el escenario de cambio climático. El interior del bloque no presenta evidencias de degradación generalizada.</t>
        </is>
      </c>
      <c r="D37" s="57" t="inlineStr"/>
    </row>
    <row r="38">
      <c r="A38" s="56" t="inlineStr">
        <is>
          <t>6. Degradación, causas y urgencia (F-DT-04)</t>
        </is>
      </c>
      <c r="B38" s="56" t="inlineStr">
        <is>
          <t>N.° de causas activas en la matriz F-DT-04</t>
        </is>
      </c>
      <c r="C38" s="56" t="inlineStr">
        <is>
          <t>8</t>
        </is>
      </c>
      <c r="D38" s="56" t="inlineStr"/>
    </row>
    <row r="39">
      <c r="A39" s="57" t="inlineStr">
        <is>
          <t>7. Hidrología, acceso y logística (F-DT-05)</t>
        </is>
      </c>
      <c r="B39" s="57" t="inlineStr">
        <is>
          <t>Escorrentía concentrada</t>
        </is>
      </c>
      <c r="C39" s="57" t="inlineStr">
        <is>
          <t>Sí</t>
        </is>
      </c>
      <c r="D39" s="57" t="inlineStr"/>
    </row>
    <row r="40">
      <c r="A40" s="56" t="inlineStr">
        <is>
          <t>7. Hidrología, acceso y logística (F-DT-05)</t>
        </is>
      </c>
      <c r="B40" s="56" t="inlineStr">
        <is>
          <t>Fuentes de agua inventariadas</t>
        </is>
      </c>
      <c r="C40" s="56" t="inlineStr">
        <is>
          <t>4</t>
        </is>
      </c>
      <c r="D40" s="56" t="inlineStr"/>
    </row>
    <row r="41">
      <c r="A41" s="57" t="inlineStr">
        <is>
          <t>7. Hidrología, acceso y logística (F-DT-05)</t>
        </is>
      </c>
      <c r="B41" s="57" t="inlineStr">
        <is>
          <t>Interferencia con riego</t>
        </is>
      </c>
      <c r="C41" s="57" t="inlineStr">
        <is>
          <t>No</t>
        </is>
      </c>
      <c r="D41" s="57" t="inlineStr"/>
    </row>
    <row r="42">
      <c r="A42" s="56" t="inlineStr">
        <is>
          <t>7. Hidrología, acceso y logística (F-DT-05)</t>
        </is>
      </c>
      <c r="B42" s="56" t="inlineStr">
        <is>
          <t>Vía principal de acceso</t>
        </is>
      </c>
      <c r="C42" s="56" t="inlineStr">
        <is>
          <t>Carretera Chulucanas - Frías (afirmada, en obras de mejoramiento). Código de ruta MTC por confirmar.</t>
        </is>
      </c>
      <c r="D42" s="56" t="inlineStr"/>
    </row>
    <row r="43">
      <c r="A43" s="57" t="inlineStr">
        <is>
          <t>7. Hidrología, acceso y logística (F-DT-05)</t>
        </is>
      </c>
      <c r="B43" s="57" t="inlineStr">
        <is>
          <t>Tipo de vía del tramo final</t>
        </is>
      </c>
      <c r="C43" s="57" t="inlineStr">
        <is>
          <t>Departamental afirmada</t>
        </is>
      </c>
      <c r="D43" s="57" t="inlineStr"/>
    </row>
    <row r="44">
      <c r="A44" s="56" t="inlineStr">
        <is>
          <t>7. Hidrología, acceso y logística (F-DT-05)</t>
        </is>
      </c>
      <c r="B44" s="56" t="inlineStr">
        <is>
          <t>Transitabilidad en época seca</t>
        </is>
      </c>
      <c r="C44" s="56" t="inlineStr">
        <is>
          <t>Alto</t>
        </is>
      </c>
      <c r="D44" s="56" t="inlineStr"/>
    </row>
    <row r="45">
      <c r="A45" s="57" t="inlineStr">
        <is>
          <t>7. Hidrología, acceso y logística (F-DT-05)</t>
        </is>
      </c>
      <c r="B45" s="57" t="inlineStr">
        <is>
          <t>Transitabilidad en época lluviosa</t>
        </is>
      </c>
      <c r="C45" s="57" t="inlineStr">
        <is>
          <t>Bajo</t>
        </is>
      </c>
      <c r="D45" s="57" t="inlineStr"/>
    </row>
    <row r="46">
      <c r="A46" s="56" t="inlineStr">
        <is>
          <t>7. Hidrología, acceso y logística (F-DT-05)</t>
        </is>
      </c>
      <c r="B46" s="56" t="inlineStr">
        <is>
          <t>Requiere coordinación con ronda / comunidad</t>
        </is>
      </c>
      <c r="C46" s="56" t="inlineStr">
        <is>
          <t>Sí</t>
        </is>
      </c>
      <c r="D46" s="56" t="inlineStr"/>
    </row>
    <row r="48">
      <c r="A48" s="54" t="inlineStr">
        <is>
          <t>C. PROCEDENCIA DE LOS HECHOS DECLARADOS</t>
        </is>
      </c>
    </row>
    <row r="49">
      <c r="A49" s="55" t="inlineStr">
        <is>
          <t>Fuente</t>
        </is>
      </c>
      <c r="B49" s="55" t="inlineStr">
        <is>
          <t>Hechos</t>
        </is>
      </c>
      <c r="C49" s="55" t="inlineStr">
        <is>
          <t>Alcance de la fuente</t>
        </is>
      </c>
    </row>
    <row r="50">
      <c r="A50" s="56" t="inlineStr">
        <is>
          <t>Dato de campo</t>
        </is>
      </c>
      <c r="B50" s="56" t="n">
        <v>62</v>
      </c>
      <c r="C50" s="56" t="inlineStr">
        <is>
          <t>Verificación en campo. Fichas F-DT-01 a F-DT-05 de la Plantilla DT Campo Check Validada V5, suscritas por el evaluador.</t>
        </is>
      </c>
    </row>
    <row r="51">
      <c r="A51" s="57" t="inlineStr">
        <is>
          <t>Gabinete (GIS / teledetección)</t>
        </is>
      </c>
      <c r="B51" s="57" t="n">
        <v>22</v>
      </c>
      <c r="C51" s="57" t="inlineStr">
        <is>
          <t>Gabinete. Estadística zonal sobre el MDE y compuestos Sentinel-2 (NDVI mediana 2025, MSAVI 2024 por clase DN).</t>
        </is>
      </c>
    </row>
    <row r="52">
      <c r="A52" s="56" t="inlineStr">
        <is>
          <t>Fuente oficial</t>
        </is>
      </c>
      <c r="B52" s="56" t="n">
        <v>14</v>
      </c>
      <c r="C52" s="56" t="inlineStr">
        <is>
          <t>Fuente oficial. Catálogo maestro Bloques V5/V6, división política INEI y codificación de microcuencas de la ANA.</t>
        </is>
      </c>
    </row>
    <row r="54">
      <c r="A54" s="54" t="inlineStr">
        <is>
          <t>D. ESTADO DEL CRUCE ENTRE FUENTES</t>
        </is>
      </c>
    </row>
    <row r="55">
      <c r="A55" s="55" t="inlineStr">
        <is>
          <t>Estado</t>
        </is>
      </c>
      <c r="B55" s="55" t="inlineStr">
        <is>
          <t>Hechos</t>
        </is>
      </c>
      <c r="C55" s="55" t="inlineStr">
        <is>
          <t>Significado</t>
        </is>
      </c>
    </row>
    <row r="56">
      <c r="A56" s="56" t="inlineStr">
        <is>
          <t>CONFORME</t>
        </is>
      </c>
      <c r="B56" s="56" t="n">
        <v>96</v>
      </c>
      <c r="C56" s="56" t="inlineStr">
        <is>
          <t>Las dos fuentes declaran lo mismo, o solo la fuente que manda sobre el hecho lo declara.</t>
        </is>
      </c>
    </row>
    <row r="57">
      <c r="A57" s="57" t="inlineStr">
        <is>
          <t>COMPLEMENTADO</t>
        </is>
      </c>
      <c r="B57" s="57" t="n">
        <v>0</v>
      </c>
      <c r="C57" s="57" t="inlineStr">
        <is>
          <t>Solo una de las fuentes lo declara y se adopta ese valor.</t>
        </is>
      </c>
    </row>
    <row r="58">
      <c r="A58" s="56" t="inlineStr">
        <is>
          <t>ACTUALIZADO</t>
        </is>
      </c>
      <c r="B58" s="56" t="n">
        <v>2</v>
      </c>
      <c r="C58" s="56" t="inlineStr">
        <is>
          <t>La verificación de campo vigente corrige lo que traía el libro de resumen.</t>
        </is>
      </c>
    </row>
    <row r="59">
      <c r="A59" s="57" t="inlineStr">
        <is>
          <t>DISCREPANTE</t>
        </is>
      </c>
      <c r="B59" s="57" t="n">
        <v>0</v>
      </c>
      <c r="C59" s="57" t="inlineStr">
        <is>
          <t>Las fuentes se contradicen; prevalece la que manda sobre el hecho y la otra queda declarada.</t>
        </is>
      </c>
    </row>
    <row r="60">
      <c r="A60" s="56" t="inlineStr">
        <is>
          <t>PENDIENTE</t>
        </is>
      </c>
      <c r="B60" s="56" t="n">
        <v>16</v>
      </c>
      <c r="C6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M17B6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Surco (&lt;30 cm)</t>
        </is>
      </c>
      <c r="C9" s="61" t="n">
        <v>605663</v>
      </c>
      <c r="D9" s="61" t="n">
        <v>9445732</v>
      </c>
      <c r="E9" s="56" t="n"/>
      <c r="F9" s="56" t="n"/>
      <c r="G9" s="56" t="n"/>
      <c r="H9" s="56" t="inlineStr">
        <is>
          <t>Activa</t>
        </is>
      </c>
      <c r="I9" s="56" t="inlineStr">
        <is>
          <t>Otro</t>
        </is>
      </c>
    </row>
    <row r="10">
      <c r="A10" s="57" t="inlineStr">
        <is>
          <t>C-02</t>
        </is>
      </c>
      <c r="B10" s="57" t="inlineStr">
        <is>
          <t>Surco (&lt;30 cm)</t>
        </is>
      </c>
      <c r="C10" s="62" t="n">
        <v>605811</v>
      </c>
      <c r="D10" s="62" t="n">
        <v>9445811</v>
      </c>
      <c r="E10" s="57" t="n"/>
      <c r="F10" s="57" t="n"/>
      <c r="G10" s="57" t="n"/>
      <c r="H10" s="57" t="inlineStr">
        <is>
          <t>Activa</t>
        </is>
      </c>
      <c r="I10" s="57" t="inlineStr">
        <is>
          <t>Otro</t>
        </is>
      </c>
    </row>
    <row r="11">
      <c r="A11" s="56" t="inlineStr">
        <is>
          <t>C-03</t>
        </is>
      </c>
      <c r="B11" s="56" t="inlineStr">
        <is>
          <t>Cárcava incipiente (30-50 cm)</t>
        </is>
      </c>
      <c r="C11" s="61" t="n">
        <v>605885</v>
      </c>
      <c r="D11" s="61" t="n">
        <v>9445824</v>
      </c>
      <c r="E11" s="56" t="n"/>
      <c r="F11" s="56" t="n"/>
      <c r="G11" s="56" t="n"/>
      <c r="H11" s="56" t="inlineStr">
        <is>
          <t>Activa</t>
        </is>
      </c>
      <c r="I11" s="56" t="inlineStr">
        <is>
          <t>Concentración natural de escorrentía</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Faique</t>
        </is>
      </c>
      <c r="C15" s="56" t="inlineStr">
        <is>
          <t>Vachellia macracantha (=Acacia macracantha)</t>
        </is>
      </c>
      <c r="D15" s="56" t="inlineStr">
        <is>
          <t>Fabaceae</t>
        </is>
      </c>
      <c r="E15" s="56" t="inlineStr">
        <is>
          <t>Arbóreo bajo (4-8 m)</t>
        </is>
      </c>
      <c r="F15" s="56" t="inlineStr">
        <is>
          <t>Nativa</t>
        </is>
      </c>
      <c r="G15" s="56" t="inlineStr">
        <is>
          <t>Frecuente (5-20%)</t>
        </is>
      </c>
      <c r="H15" s="56" t="n"/>
      <c r="I15" s="63" t="n">
        <v>6</v>
      </c>
    </row>
    <row r="16">
      <c r="A16" s="57" t="inlineStr">
        <is>
          <t>2</t>
        </is>
      </c>
      <c r="B16" s="57" t="inlineStr">
        <is>
          <t>Ceibo</t>
        </is>
      </c>
      <c r="C16" s="57" t="inlineStr">
        <is>
          <t>Ceiba trichistandra</t>
        </is>
      </c>
      <c r="D16" s="57" t="inlineStr">
        <is>
          <t>Malvaceae</t>
        </is>
      </c>
      <c r="E16" s="57" t="inlineStr">
        <is>
          <t>Arbóreo superior (&gt;15 m)</t>
        </is>
      </c>
      <c r="F16" s="57" t="inlineStr">
        <is>
          <t>Nativa</t>
        </is>
      </c>
      <c r="G16" s="57" t="inlineStr">
        <is>
          <t>Frecuente (5-20%)</t>
        </is>
      </c>
      <c r="H16" s="57" t="n"/>
      <c r="I16" s="62" t="n">
        <v>18</v>
      </c>
    </row>
    <row r="17">
      <c r="A17" s="56" t="inlineStr">
        <is>
          <t>3</t>
        </is>
      </c>
      <c r="B17" s="56" t="inlineStr">
        <is>
          <t>Cardo / cactácea columnar</t>
        </is>
      </c>
      <c r="C17" s="56" t="inlineStr">
        <is>
          <t>Armatocereus cartwrightianus (por confirmar)</t>
        </is>
      </c>
      <c r="D17" s="56" t="inlineStr">
        <is>
          <t>Cactaceae</t>
        </is>
      </c>
      <c r="E17" s="56" t="inlineStr">
        <is>
          <t>Arbustivo alto (1.5-4 m)</t>
        </is>
      </c>
      <c r="F17" s="56" t="inlineStr">
        <is>
          <t>Nativa</t>
        </is>
      </c>
      <c r="G17" s="56" t="inlineStr">
        <is>
          <t>Frecuente (5-20%)</t>
        </is>
      </c>
      <c r="H17" s="56" t="n"/>
      <c r="I17" s="63" t="n">
        <v>3</v>
      </c>
    </row>
    <row r="18">
      <c r="A18" s="57" t="inlineStr">
        <is>
          <t>4</t>
        </is>
      </c>
      <c r="B18" s="57" t="inlineStr">
        <is>
          <t>Pajuro / basul</t>
        </is>
      </c>
      <c r="C18" s="57" t="inlineStr">
        <is>
          <t>Erythrina edulis (identificación por confirmar)</t>
        </is>
      </c>
      <c r="D18" s="57" t="inlineStr">
        <is>
          <t>Fabaceae</t>
        </is>
      </c>
      <c r="E18" s="57" t="inlineStr">
        <is>
          <t>Arbóreo medio (8-15 m)</t>
        </is>
      </c>
      <c r="F18" s="57" t="inlineStr">
        <is>
          <t>Nativa</t>
        </is>
      </c>
      <c r="G18" s="57" t="inlineStr">
        <is>
          <t>Ocasional (1-5%)</t>
        </is>
      </c>
      <c r="H18" s="57" t="n"/>
      <c r="I18" s="62" t="n">
        <v>10</v>
      </c>
    </row>
    <row r="19">
      <c r="A19" s="56" t="inlineStr">
        <is>
          <t>5</t>
        </is>
      </c>
      <c r="B19" s="56" t="inlineStr">
        <is>
          <t>Pasallo</t>
        </is>
      </c>
      <c r="C19" s="56" t="inlineStr">
        <is>
          <t>Eriotheca ruizii</t>
        </is>
      </c>
      <c r="D19" s="56" t="inlineStr">
        <is>
          <t>Malvaceae</t>
        </is>
      </c>
      <c r="E19" s="56" t="inlineStr">
        <is>
          <t>Arbóreo medio (8-15 m)</t>
        </is>
      </c>
      <c r="F19" s="56" t="inlineStr">
        <is>
          <t>Nativa</t>
        </is>
      </c>
      <c r="G19" s="56" t="inlineStr">
        <is>
          <t>Abundante (20-40%)</t>
        </is>
      </c>
      <c r="H19" s="56" t="n"/>
      <c r="I19" s="61" t="n">
        <v>12</v>
      </c>
    </row>
    <row r="20">
      <c r="A20" s="57" t="inlineStr">
        <is>
          <t>6</t>
        </is>
      </c>
      <c r="B20" s="57" t="inlineStr">
        <is>
          <t>Palo santo</t>
        </is>
      </c>
      <c r="C20" s="57" t="inlineStr">
        <is>
          <t>Bursera graveolens</t>
        </is>
      </c>
      <c r="D20" s="57" t="inlineStr">
        <is>
          <t>Burseraceae</t>
        </is>
      </c>
      <c r="E20" s="57" t="inlineStr">
        <is>
          <t>Arbóreo bajo (4-8 m)</t>
        </is>
      </c>
      <c r="F20" s="57" t="inlineStr">
        <is>
          <t>Nativa</t>
        </is>
      </c>
      <c r="G20" s="57" t="inlineStr">
        <is>
          <t>Frecuente (5-20%)</t>
        </is>
      </c>
      <c r="H20" s="57" t="n"/>
      <c r="I20" s="64" t="n">
        <v>7</v>
      </c>
    </row>
    <row r="21">
      <c r="A21" s="56" t="inlineStr">
        <is>
          <t>7</t>
        </is>
      </c>
      <c r="B21" s="56" t="inlineStr">
        <is>
          <t>Hualtaco</t>
        </is>
      </c>
      <c r="C21" s="56" t="inlineStr">
        <is>
          <t>Loxopterygium huasango</t>
        </is>
      </c>
      <c r="D21" s="56" t="inlineStr">
        <is>
          <t>Anacardiaceae</t>
        </is>
      </c>
      <c r="E21" s="56" t="inlineStr">
        <is>
          <t>Arbóreo medio (8-15 m)</t>
        </is>
      </c>
      <c r="F21" s="56" t="inlineStr">
        <is>
          <t>Nativa</t>
        </is>
      </c>
      <c r="G21" s="56" t="inlineStr">
        <is>
          <t>Ocasional (1-5%)</t>
        </is>
      </c>
      <c r="H21" s="56" t="n"/>
      <c r="I21" s="61" t="n">
        <v>12</v>
      </c>
    </row>
    <row r="22">
      <c r="A22" s="57" t="inlineStr">
        <is>
          <t>8</t>
        </is>
      </c>
      <c r="B22" s="57" t="inlineStr">
        <is>
          <t>Sapote</t>
        </is>
      </c>
      <c r="C22" s="57" t="inlineStr">
        <is>
          <t>Colicodendron scabridum (=Capparis scabrida)</t>
        </is>
      </c>
      <c r="D22" s="57" t="inlineStr">
        <is>
          <t>Capparaceae</t>
        </is>
      </c>
      <c r="E22" s="57" t="inlineStr">
        <is>
          <t>Arbóreo bajo (4-8 m)</t>
        </is>
      </c>
      <c r="F22" s="57" t="inlineStr">
        <is>
          <t>Nativa</t>
        </is>
      </c>
      <c r="G22" s="57" t="inlineStr">
        <is>
          <t>Ocasional (1-5%)</t>
        </is>
      </c>
      <c r="H22" s="57" t="n"/>
      <c r="I22" s="64" t="n">
        <v>6</v>
      </c>
    </row>
    <row r="23">
      <c r="A23" s="56" t="inlineStr">
        <is>
          <t>9</t>
        </is>
      </c>
      <c r="B23" s="56" t="inlineStr">
        <is>
          <t>Charán</t>
        </is>
      </c>
      <c r="C23" s="56" t="inlineStr">
        <is>
          <t>Caesalpinia paipai</t>
        </is>
      </c>
      <c r="D23" s="56" t="inlineStr">
        <is>
          <t>Fabaceae</t>
        </is>
      </c>
      <c r="E23" s="56" t="inlineStr">
        <is>
          <t>Arbóreo bajo (4-8 m)</t>
        </is>
      </c>
      <c r="F23" s="56" t="inlineStr">
        <is>
          <t>Endémica</t>
        </is>
      </c>
      <c r="G23" s="56" t="inlineStr">
        <is>
          <t>Frecuente (5-20%)</t>
        </is>
      </c>
      <c r="H23" s="56" t="n"/>
      <c r="I23" s="63" t="n">
        <v>6</v>
      </c>
    </row>
    <row r="24">
      <c r="A24" s="57" t="inlineStr">
        <is>
          <t>10</t>
        </is>
      </c>
      <c r="B24" s="57" t="inlineStr">
        <is>
          <t>Higuerón</t>
        </is>
      </c>
      <c r="C24" s="57" t="inlineStr">
        <is>
          <t>Ficus sp.</t>
        </is>
      </c>
      <c r="D24" s="57" t="inlineStr">
        <is>
          <t>Moraceae</t>
        </is>
      </c>
      <c r="E24" s="57" t="inlineStr">
        <is>
          <t>Arbóreo superior (&gt;15 m)</t>
        </is>
      </c>
      <c r="F24" s="57" t="inlineStr">
        <is>
          <t>Nativa</t>
        </is>
      </c>
      <c r="G24" s="57" t="inlineStr">
        <is>
          <t>Rara (&lt;1%)</t>
        </is>
      </c>
      <c r="H24" s="57" t="n"/>
      <c r="I24" s="62" t="n">
        <v>16</v>
      </c>
    </row>
    <row r="25">
      <c r="A25" s="56" t="inlineStr">
        <is>
          <t>11</t>
        </is>
      </c>
      <c r="B25" s="56" t="inlineStr">
        <is>
          <t>Algarrobo</t>
        </is>
      </c>
      <c r="C25" s="56" t="inlineStr">
        <is>
          <t>Neltuma pallida (=Prosopis pallida)</t>
        </is>
      </c>
      <c r="D25" s="56" t="inlineStr">
        <is>
          <t>Fabaceae</t>
        </is>
      </c>
      <c r="E25" s="56" t="inlineStr">
        <is>
          <t>Arbóreo medio (8-15 m)</t>
        </is>
      </c>
      <c r="F25" s="56" t="inlineStr">
        <is>
          <t>Nativa</t>
        </is>
      </c>
      <c r="G25" s="56" t="inlineStr">
        <is>
          <t>Ocasional (1-5%)</t>
        </is>
      </c>
      <c r="H25" s="56" t="n"/>
      <c r="I25" s="63" t="n">
        <v>9</v>
      </c>
    </row>
    <row r="26">
      <c r="A26" s="57" t="inlineStr">
        <is>
          <t>12</t>
        </is>
      </c>
      <c r="B26" s="57" t="inlineStr">
        <is>
          <t>Borrachera</t>
        </is>
      </c>
      <c r="C26" s="57" t="inlineStr">
        <is>
          <t>Ipomoea carnea subsp. fistulosa (por confirmar)</t>
        </is>
      </c>
      <c r="D26" s="57" t="inlineStr">
        <is>
          <t>Convolvulaceae</t>
        </is>
      </c>
      <c r="E26" s="57" t="inlineStr">
        <is>
          <t>Arbustivo alto (1.5-4 m)</t>
        </is>
      </c>
      <c r="F26" s="57" t="inlineStr">
        <is>
          <t>Nativa</t>
        </is>
      </c>
      <c r="G26" s="57" t="inlineStr">
        <is>
          <t>Ocasional (1-5%)</t>
        </is>
      </c>
      <c r="H26" s="57" t="n"/>
      <c r="I26" s="64" t="n">
        <v>2.5</v>
      </c>
    </row>
    <row r="27">
      <c r="A27" s="56" t="inlineStr">
        <is>
          <t>13</t>
        </is>
      </c>
      <c r="B27" s="56" t="inlineStr">
        <is>
          <t>Penca / agave</t>
        </is>
      </c>
      <c r="C27" s="56" t="inlineStr">
        <is>
          <t>Agave americana</t>
        </is>
      </c>
      <c r="D27" s="56" t="inlineStr">
        <is>
          <t>Asparagaceae</t>
        </is>
      </c>
      <c r="E27" s="56" t="inlineStr">
        <is>
          <t>Arbustivo alto (1.5-4 m)</t>
        </is>
      </c>
      <c r="F27" s="56" t="inlineStr">
        <is>
          <t>Introducida</t>
        </is>
      </c>
      <c r="G27" s="56" t="inlineStr">
        <is>
          <t>Frecuente (5-20%)</t>
        </is>
      </c>
      <c r="H27" s="56" t="n"/>
      <c r="I27" s="63" t="n">
        <v>2</v>
      </c>
    </row>
    <row r="28">
      <c r="A28" s="57" t="inlineStr">
        <is>
          <t>14</t>
        </is>
      </c>
      <c r="B28" s="57" t="inlineStr">
        <is>
          <t>Papelillo (ident. preliminar por fotografía F-04)</t>
        </is>
      </c>
      <c r="C28" s="57" t="inlineStr">
        <is>
          <t>Bougainvillea sp.</t>
        </is>
      </c>
      <c r="D28" s="57" t="inlineStr">
        <is>
          <t>Nyctaginaceae</t>
        </is>
      </c>
      <c r="E28" s="57" t="inlineStr">
        <is>
          <t>Arbustivo alto (1.5-4 m)</t>
        </is>
      </c>
      <c r="F28" s="57" t="inlineStr">
        <is>
          <t>Nativa</t>
        </is>
      </c>
      <c r="G28" s="57" t="inlineStr">
        <is>
          <t>Ocasional (1-5%)</t>
        </is>
      </c>
      <c r="H28" s="57" t="n"/>
      <c r="I28" s="64" t="n">
        <v>3</v>
      </c>
    </row>
    <row r="29">
      <c r="A29" s="56" t="inlineStr">
        <is>
          <t>15</t>
        </is>
      </c>
      <c r="B29" s="56" t="inlineStr">
        <is>
          <t>Achupalla / bromelia epífita (ident. preliminar por fotografía F-01)</t>
        </is>
      </c>
      <c r="C29" s="56" t="inlineStr">
        <is>
          <t>Tillandsia sp.</t>
        </is>
      </c>
      <c r="D29" s="56" t="inlineStr">
        <is>
          <t>Bromeliaceae</t>
        </is>
      </c>
      <c r="E29" s="56" t="inlineStr">
        <is>
          <t>Epífito</t>
        </is>
      </c>
      <c r="F29" s="56" t="inlineStr">
        <is>
          <t>Nativa</t>
        </is>
      </c>
      <c r="G29" s="56" t="inlineStr">
        <is>
          <t>Frecuente (5-20%)</t>
        </is>
      </c>
      <c r="H29" s="56" t="n"/>
      <c r="I29" s="56" t="n"/>
    </row>
    <row r="31">
      <c r="A31" s="54" t="inlineStr">
        <is>
          <t>F-DT-03 · ESPECIES CLAVE GEORREFERENCIADAS</t>
        </is>
      </c>
    </row>
    <row r="32">
      <c r="A32" s="55" t="inlineStr">
        <is>
          <t>N.o</t>
        </is>
      </c>
      <c r="B32" s="55" t="inlineStr">
        <is>
          <t>Especie</t>
        </is>
      </c>
      <c r="C32" s="55" t="inlineStr">
        <is>
          <t>Categoría</t>
        </is>
      </c>
      <c r="D32" s="55" t="inlineStr">
        <is>
          <t>Estado UICN</t>
        </is>
      </c>
      <c r="E32" s="55" t="inlineStr">
        <is>
          <t>UTM ESTE</t>
        </is>
      </c>
      <c r="F32" s="55" t="inlineStr">
        <is>
          <t>UTM NORTE</t>
        </is>
      </c>
      <c r="G32" s="55" t="inlineStr">
        <is>
          <t>N.° individuos</t>
        </is>
      </c>
      <c r="H32" s="55" t="inlineStr">
        <is>
          <t>Observación</t>
        </is>
      </c>
    </row>
    <row r="33">
      <c r="A33" s="56" t="inlineStr">
        <is>
          <t>1</t>
        </is>
      </c>
      <c r="B33" s="56" t="inlineStr">
        <is>
          <t>Loxopterygium huasango - "hualtaco"</t>
        </is>
      </c>
      <c r="C33" s="56" t="inlineStr">
        <is>
          <t>Amenazada (D.S. 043-2006-AG)</t>
        </is>
      </c>
      <c r="D33" s="56" t="inlineStr">
        <is>
          <t>CR — En Peligro Crítico</t>
        </is>
      </c>
      <c r="E33" s="61" t="n">
        <v>605885</v>
      </c>
      <c r="F33" s="61" t="n">
        <v>9445824</v>
      </c>
      <c r="G33" s="56" t="n"/>
      <c r="H33" s="56" t="inlineStr">
        <is>
          <t>Peligro Crítico (CR) D.S. 043-2006-AG. Individuos dispersos en ladera; presión potencial por madera.</t>
        </is>
      </c>
    </row>
    <row r="34">
      <c r="A34" s="57" t="inlineStr">
        <is>
          <t>2</t>
        </is>
      </c>
      <c r="B34" s="57" t="inlineStr">
        <is>
          <t>Bursera graveolens - "palo santo"</t>
        </is>
      </c>
      <c r="C34" s="57" t="inlineStr">
        <is>
          <t>Amenazada (D.S. 043-2006-AG)</t>
        </is>
      </c>
      <c r="D34" s="57" t="inlineStr">
        <is>
          <t>CR — En Peligro Crítico</t>
        </is>
      </c>
      <c r="E34" s="62" t="n">
        <v>605663</v>
      </c>
      <c r="F34" s="62" t="n">
        <v>9445732</v>
      </c>
      <c r="G34" s="57" t="n"/>
      <c r="H34" s="57" t="inlineStr">
        <is>
          <t>Peligro Crítico (CR) D.S. 043-2006-AG. Presente en el corredor vial y en ladera media.</t>
        </is>
      </c>
    </row>
    <row r="35">
      <c r="A35" s="56" t="inlineStr">
        <is>
          <t>3</t>
        </is>
      </c>
      <c r="B35" s="56" t="inlineStr">
        <is>
          <t>Colicodendron scabridum - "sapote"</t>
        </is>
      </c>
      <c r="C35" s="56" t="inlineStr">
        <is>
          <t>Amenazada (D.S. 043-2006-AG)</t>
        </is>
      </c>
      <c r="D35" s="56" t="inlineStr">
        <is>
          <t>CR — En Peligro Crítico</t>
        </is>
      </c>
      <c r="E35" s="56" t="n"/>
      <c r="F35" s="56" t="n"/>
      <c r="G35" s="56" t="n"/>
      <c r="H35" s="56" t="inlineStr">
        <is>
          <t>Peligro Crítico (CR) D.S. 043-2006-AG. Reportado por la brigada; ubicación puntual por levantar.</t>
        </is>
      </c>
    </row>
    <row r="36">
      <c r="A36" s="57" t="inlineStr">
        <is>
          <t>4</t>
        </is>
      </c>
      <c r="B36" s="57" t="inlineStr">
        <is>
          <t>Neltuma pallida - "algarrobo"</t>
        </is>
      </c>
      <c r="C36" s="57" t="inlineStr">
        <is>
          <t>Amenazada (D.S. 043-2006-AG)</t>
        </is>
      </c>
      <c r="D36" s="57" t="inlineStr">
        <is>
          <t>VU — Vulnerable</t>
        </is>
      </c>
      <c r="E36" s="57" t="n"/>
      <c r="F36" s="57" t="n"/>
      <c r="G36" s="57" t="n"/>
      <c r="H36" s="57" t="inlineStr">
        <is>
          <t>Vulnerable (VU) D.S. 043-2006-AG. Reportado por la brigada; ubicación puntual por levantar.</t>
        </is>
      </c>
    </row>
    <row r="37">
      <c r="A37" s="56" t="inlineStr">
        <is>
          <t>5</t>
        </is>
      </c>
      <c r="B37" s="56" t="inlineStr">
        <is>
          <t>Vachellia macracantha - "faique"</t>
        </is>
      </c>
      <c r="C37" s="56" t="inlineStr">
        <is>
          <t>Amenazada (D.S. 043-2006-AG)</t>
        </is>
      </c>
      <c r="D37" s="56" t="inlineStr">
        <is>
          <t>NT — Casi Amenazado</t>
        </is>
      </c>
      <c r="E37" s="56" t="n"/>
      <c r="F37" s="56" t="n"/>
      <c r="G37" s="56" t="n"/>
      <c r="H37" s="56" t="inlineStr">
        <is>
          <t>Casi Amenazado (NT) D.S. 043-2006-AG.</t>
        </is>
      </c>
    </row>
    <row r="38">
      <c r="A38" s="57" t="inlineStr">
        <is>
          <t>6</t>
        </is>
      </c>
      <c r="B38" s="57" t="inlineStr">
        <is>
          <t>Caesalpinia paipai - "charán"</t>
        </is>
      </c>
      <c r="C38" s="57" t="inlineStr">
        <is>
          <t>Endémica del Perú</t>
        </is>
      </c>
      <c r="D38" s="57" t="inlineStr">
        <is>
          <t>No aplica</t>
        </is>
      </c>
      <c r="E38" s="57" t="n"/>
      <c r="F38" s="57" t="n"/>
      <c r="G38" s="57" t="n"/>
      <c r="H38" s="57" t="inlineStr">
        <is>
          <t>Endemismo del bosque seco del noroeste peruano; sin categoría en D.S. 043-2006-AG.</t>
        </is>
      </c>
    </row>
    <row r="39">
      <c r="A39" s="56" t="inlineStr">
        <is>
          <t>7</t>
        </is>
      </c>
      <c r="B39" s="56" t="inlineStr">
        <is>
          <t>Ceiba trichistandra - "ceibo"</t>
        </is>
      </c>
      <c r="C39" s="56" t="inlineStr">
        <is>
          <t>Indicadora de buen estado</t>
        </is>
      </c>
      <c r="D39" s="56" t="inlineStr">
        <is>
          <t>NE — No Evaluado</t>
        </is>
      </c>
      <c r="E39" s="61" t="n">
        <v>605710</v>
      </c>
      <c r="F39" s="61" t="n">
        <v>9445765</v>
      </c>
      <c r="G39" s="56" t="n"/>
      <c r="H39" s="56" t="inlineStr">
        <is>
          <t>Emergente del dosel; indicador de bosque seco en buen estado estructural. Sin categoría nacional.</t>
        </is>
      </c>
    </row>
    <row r="40">
      <c r="A40" s="57" t="inlineStr">
        <is>
          <t>8</t>
        </is>
      </c>
      <c r="B40" s="57" t="inlineStr">
        <is>
          <t>Tillandsia sp. - bromelias epífitas</t>
        </is>
      </c>
      <c r="C40" s="57" t="inlineStr">
        <is>
          <t>Indicadora de buen estado</t>
        </is>
      </c>
      <c r="D40" s="57" t="inlineStr">
        <is>
          <t>NE — No Evaluado</t>
        </is>
      </c>
      <c r="E40" s="62" t="n">
        <v>605663</v>
      </c>
      <c r="F40" s="62" t="n">
        <v>9445732</v>
      </c>
      <c r="G40" s="57" t="n"/>
      <c r="H40" s="57" t="inlineStr">
        <is>
          <t>Carga epifítica sobre ramas; indicador de humedad atmosférica y baja perturbación del dosel.</t>
        </is>
      </c>
    </row>
    <row r="41">
      <c r="A41" s="56" t="inlineStr">
        <is>
          <t>9</t>
        </is>
      </c>
      <c r="B41" s="56" t="inlineStr">
        <is>
          <t>Erythrina edulis - "pajuro / basul"</t>
        </is>
      </c>
      <c r="C41" s="56" t="inlineStr">
        <is>
          <t>Clave cultural</t>
        </is>
      </c>
      <c r="D41" s="56" t="inlineStr">
        <is>
          <t>NE — No Evaluado</t>
        </is>
      </c>
      <c r="E41" s="56" t="n"/>
      <c r="F41" s="56" t="n"/>
      <c r="G41" s="56" t="n"/>
      <c r="H41" s="56" t="inlineStr">
        <is>
          <t>Reportada por la brigada. Rango altitudinal típico 1 500-2 800 msnm: identificación por confirmar (posible confusión con Erythrina smithiana o E. velutina, propias del bosque seco).</t>
        </is>
      </c>
    </row>
    <row r="42">
      <c r="A42" s="57" t="inlineStr">
        <is>
          <t>10</t>
        </is>
      </c>
      <c r="B42" s="57" t="inlineStr">
        <is>
          <t>Agave americana - "penca"</t>
        </is>
      </c>
      <c r="C42" s="57" t="inlineStr">
        <is>
          <t>Indicadora de perturbación</t>
        </is>
      </c>
      <c r="D42" s="57" t="inlineStr">
        <is>
          <t>No aplica</t>
        </is>
      </c>
      <c r="E42" s="57" t="n"/>
      <c r="F42" s="57" t="n"/>
      <c r="G42" s="57" t="n"/>
      <c r="H42" s="57" t="inlineStr">
        <is>
          <t>Naturalizada en bordes de vía y linderos; indicador de intervención antrópica del borde.</t>
        </is>
      </c>
    </row>
    <row r="44">
      <c r="A44" s="54" t="inlineStr">
        <is>
          <t>F-DT-04 · MATRIZ DE CAUSAS DE DEGRADACIÓN</t>
        </is>
      </c>
    </row>
    <row r="45">
      <c r="A45" s="55" t="inlineStr">
        <is>
          <t>N.o</t>
        </is>
      </c>
      <c r="B45" s="55" t="inlineStr">
        <is>
          <t>Causa</t>
        </is>
      </c>
      <c r="C45" s="55" t="inlineStr">
        <is>
          <t>Presencia</t>
        </is>
      </c>
      <c r="D45" s="55" t="inlineStr">
        <is>
          <t>Intensidad</t>
        </is>
      </c>
      <c r="E45" s="55" t="inlineStr">
        <is>
          <t>Extensión</t>
        </is>
      </c>
      <c r="F45" s="55" t="inlineStr">
        <is>
          <t>Antigüedad</t>
        </is>
      </c>
      <c r="G45" s="55" t="inlineStr">
        <is>
          <t>Evidencia</t>
        </is>
      </c>
    </row>
    <row r="46">
      <c r="A46" s="56" t="inlineStr">
        <is>
          <t>1</t>
        </is>
      </c>
      <c r="B46" s="56" t="inlineStr">
        <is>
          <t>Sobrepastoreo (caprino/vacuno)</t>
        </is>
      </c>
      <c r="C46" s="56" t="inlineStr">
        <is>
          <t>Sí</t>
        </is>
      </c>
      <c r="D46" s="56" t="inlineStr">
        <is>
          <t>Ligera</t>
        </is>
      </c>
      <c r="E46" s="56" t="inlineStr">
        <is>
          <t>10</t>
        </is>
      </c>
      <c r="F46" s="56" t="inlineStr">
        <is>
          <t>Por determinar</t>
        </is>
      </c>
      <c r="G46" s="56" t="inlineStr">
        <is>
          <t>Senderos y huellas de tránsito con suelo desnudo en ladera (605 885 E / 9 445 824 N, F-06). No se observó ganado durante la visita; inferencia por huellas.</t>
        </is>
      </c>
    </row>
    <row r="47">
      <c r="A47" s="57" t="inlineStr">
        <is>
          <t>2</t>
        </is>
      </c>
      <c r="B47" s="57" t="inlineStr">
        <is>
          <t>Tala para leña</t>
        </is>
      </c>
      <c r="C47" s="57" t="inlineStr">
        <is>
          <t>No</t>
        </is>
      </c>
      <c r="D47" s="57" t="inlineStr">
        <is>
          <t>Nula</t>
        </is>
      </c>
      <c r="E47" s="57" t="inlineStr"/>
      <c r="F47" s="57" t="inlineStr"/>
      <c r="G47" s="57" t="inlineStr">
        <is>
          <t>Sin evidencia observable desde los puntos de reconocimiento externo.</t>
        </is>
      </c>
    </row>
    <row r="48">
      <c r="A48" s="56" t="inlineStr">
        <is>
          <t>3</t>
        </is>
      </c>
      <c r="B48" s="56" t="inlineStr">
        <is>
          <t>Tala para carbón</t>
        </is>
      </c>
      <c r="C48" s="56" t="inlineStr">
        <is>
          <t>No</t>
        </is>
      </c>
      <c r="D48" s="56" t="inlineStr">
        <is>
          <t>Nula</t>
        </is>
      </c>
      <c r="E48" s="56" t="inlineStr"/>
      <c r="F48" s="56" t="inlineStr"/>
      <c r="G48" s="56" t="inlineStr">
        <is>
          <t>Sin evidencia observable (no se detectaron hornos ni pilas de carbonización).</t>
        </is>
      </c>
    </row>
    <row r="49">
      <c r="A49" s="57" t="inlineStr">
        <is>
          <t>4</t>
        </is>
      </c>
      <c r="B49" s="57" t="inlineStr">
        <is>
          <t>Tala para madera</t>
        </is>
      </c>
      <c r="C49" s="57" t="inlineStr">
        <is>
          <t>No</t>
        </is>
      </c>
      <c r="D49" s="57" t="inlineStr">
        <is>
          <t>Nula</t>
        </is>
      </c>
      <c r="E49" s="57" t="inlineStr"/>
      <c r="F49" s="57" t="inlineStr"/>
      <c r="G49" s="57" t="inlineStr">
        <is>
          <t>Sin tocones visibles desde la vía. Presencia de hualtaco, palo santo y sapote (CR) implica presión potencial: verificar en travesía interna.</t>
        </is>
      </c>
    </row>
    <row r="50">
      <c r="A50" s="56" t="inlineStr">
        <is>
          <t>5</t>
        </is>
      </c>
      <c r="B50" s="56" t="inlineStr">
        <is>
          <t>Quema (renovación de pastos)</t>
        </is>
      </c>
      <c r="C50" s="56" t="inlineStr">
        <is>
          <t>No</t>
        </is>
      </c>
      <c r="D50" s="56" t="inlineStr">
        <is>
          <t>Nula</t>
        </is>
      </c>
      <c r="E50" s="56" t="inlineStr"/>
      <c r="F50" s="56" t="inlineStr"/>
      <c r="G50" s="56" t="inlineStr">
        <is>
          <t>Sin cicatrices de quema visibles en las vistas panorámicas (F-03, F-04, F-07, F-08).</t>
        </is>
      </c>
    </row>
    <row r="51">
      <c r="A51" s="57" t="inlineStr">
        <is>
          <t>6</t>
        </is>
      </c>
      <c r="B51" s="57" t="inlineStr">
        <is>
          <t>Quema accidental / Incendio</t>
        </is>
      </c>
      <c r="C51" s="57" t="inlineStr">
        <is>
          <t>No</t>
        </is>
      </c>
      <c r="D51" s="57" t="inlineStr">
        <is>
          <t>Nula</t>
        </is>
      </c>
      <c r="E51" s="57" t="inlineStr"/>
      <c r="F51" s="57" t="inlineStr"/>
      <c r="G51" s="57" t="inlineStr">
        <is>
          <t>Sin evidencia observable.</t>
        </is>
      </c>
    </row>
    <row r="52">
      <c r="A52" s="56" t="inlineStr">
        <is>
          <t>7</t>
        </is>
      </c>
      <c r="B52" s="56" t="inlineStr">
        <is>
          <t>Cambio de uso a agricultura</t>
        </is>
      </c>
      <c r="C52" s="56" t="inlineStr">
        <is>
          <t>Sí</t>
        </is>
      </c>
      <c r="D52" s="56" t="inlineStr">
        <is>
          <t>Ligera</t>
        </is>
      </c>
      <c r="E52" s="56" t="inlineStr">
        <is>
          <t>8</t>
        </is>
      </c>
      <c r="F52" s="56" t="inlineStr">
        <is>
          <t>Por determinar</t>
        </is>
      </c>
      <c r="G52" s="56" t="inlineStr">
        <is>
          <t>Mosaico agropecuario (pastizal cultivado, frutales) en el fondo de valle colindante al límite SO del bloque (605 682 E / 9 445 753 N, F-03).</t>
        </is>
      </c>
    </row>
    <row r="53">
      <c r="A53" s="57" t="inlineStr">
        <is>
          <t>8</t>
        </is>
      </c>
      <c r="B53" s="57" t="inlineStr">
        <is>
          <t>Cambio de uso a pastoreo</t>
        </is>
      </c>
      <c r="C53" s="57" t="inlineStr">
        <is>
          <t>Sí</t>
        </is>
      </c>
      <c r="D53" s="57" t="inlineStr">
        <is>
          <t>Ligera</t>
        </is>
      </c>
      <c r="E53" s="57" t="inlineStr">
        <is>
          <t>8</t>
        </is>
      </c>
      <c r="F53" s="57" t="inlineStr">
        <is>
          <t>Por determinar</t>
        </is>
      </c>
      <c r="G53" s="57" t="inlineStr">
        <is>
          <t>Pastizal cultivado en fondo de valle contiguo; presión de borde sobre el límite inferior del bloque.</t>
        </is>
      </c>
    </row>
    <row r="54">
      <c r="A54" s="56" t="inlineStr">
        <is>
          <t>9</t>
        </is>
      </c>
      <c r="B54" s="56" t="inlineStr">
        <is>
          <t>Expansión urbana / vial</t>
        </is>
      </c>
      <c r="C54" s="56" t="inlineStr">
        <is>
          <t>Sí</t>
        </is>
      </c>
      <c r="D54" s="56" t="inlineStr">
        <is>
          <t>Moderada</t>
        </is>
      </c>
      <c r="E54" s="56" t="inlineStr">
        <is>
          <t>5</t>
        </is>
      </c>
      <c r="F54" s="56" t="inlineStr">
        <is>
          <t>2</t>
        </is>
      </c>
      <c r="G54" s="56" t="inlineStr">
        <is>
          <t>Corte y ensanche de la carretera Chulucanas-Frías sobre el límite NO: taludes de 4 a 8 m con raíces expuestas, acanaladuras y desprendimientos (605 663-605 885 E, F-01, F-02, F-05, F-06).</t>
        </is>
      </c>
    </row>
    <row r="55">
      <c r="A55" s="57" t="inlineStr">
        <is>
          <t>10</t>
        </is>
      </c>
      <c r="B55" s="57" t="inlineStr">
        <is>
          <t>Minería informal</t>
        </is>
      </c>
      <c r="C55" s="57" t="inlineStr">
        <is>
          <t>No</t>
        </is>
      </c>
      <c r="D55" s="57" t="inlineStr">
        <is>
          <t>Nula</t>
        </is>
      </c>
      <c r="E55" s="57" t="inlineStr"/>
      <c r="F55" s="57" t="inlineStr"/>
      <c r="G55" s="57" t="inlineStr">
        <is>
          <t>Sin evidencia observable; verificar superposición con concesiones INGEMMET en gabinete.</t>
        </is>
      </c>
    </row>
    <row r="56">
      <c r="A56" s="56" t="inlineStr">
        <is>
          <t>11</t>
        </is>
      </c>
      <c r="B56" s="56" t="inlineStr">
        <is>
          <t>Extracción de áridos (cauces)</t>
        </is>
      </c>
      <c r="C56" s="56" t="inlineStr">
        <is>
          <t>No</t>
        </is>
      </c>
      <c r="D56" s="56" t="inlineStr">
        <is>
          <t>Nula</t>
        </is>
      </c>
      <c r="E56" s="56" t="inlineStr"/>
      <c r="F56" s="56" t="inlineStr"/>
      <c r="G56" s="56" t="inlineStr">
        <is>
          <t>El material suelto al pie de los taludes procede del corte vial, no de extracción de áridos.</t>
        </is>
      </c>
    </row>
    <row r="57">
      <c r="A57" s="57" t="inlineStr">
        <is>
          <t>12</t>
        </is>
      </c>
      <c r="B57" s="57" t="inlineStr">
        <is>
          <t>Especies invasoras</t>
        </is>
      </c>
      <c r="C57" s="57" t="inlineStr">
        <is>
          <t>Sí</t>
        </is>
      </c>
      <c r="D57" s="57" t="inlineStr">
        <is>
          <t>Ligera</t>
        </is>
      </c>
      <c r="E57" s="57" t="inlineStr">
        <is>
          <t>3</t>
        </is>
      </c>
      <c r="F57" s="57" t="inlineStr">
        <is>
          <t>Por determinar</t>
        </is>
      </c>
      <c r="G57" s="57" t="inlineStr">
        <is>
          <t>Agave americana naturalizada en bordes de vía y linderos (F-04, F-07).</t>
        </is>
      </c>
    </row>
    <row r="58">
      <c r="A58" s="56" t="inlineStr">
        <is>
          <t>13</t>
        </is>
      </c>
      <c r="B58" s="56" t="inlineStr">
        <is>
          <t>Erosión natural severa</t>
        </is>
      </c>
      <c r="C58" s="56" t="inlineStr">
        <is>
          <t>Sí</t>
        </is>
      </c>
      <c r="D58" s="56" t="inlineStr">
        <is>
          <t>Moderada</t>
        </is>
      </c>
      <c r="E58" s="56" t="inlineStr">
        <is>
          <t>5</t>
        </is>
      </c>
      <c r="F58" s="56" t="inlineStr">
        <is>
          <t>Por determinar</t>
        </is>
      </c>
      <c r="G58" s="56" t="inlineStr">
        <is>
          <t>Canal de escorrentía concentrada y superficie desnuda en ladera de exposición NO (605 885 E / 9 445 824 N, F-06).</t>
        </is>
      </c>
    </row>
    <row r="59">
      <c r="A59" s="57" t="inlineStr">
        <is>
          <t>14</t>
        </is>
      </c>
      <c r="B59" s="57" t="inlineStr">
        <is>
          <t>Sequía prolongada / CC</t>
        </is>
      </c>
      <c r="C59" s="57" t="inlineStr">
        <is>
          <t>Sí</t>
        </is>
      </c>
      <c r="D59" s="57" t="inlineStr">
        <is>
          <t>Moderada</t>
        </is>
      </c>
      <c r="E59" s="57" t="inlineStr">
        <is>
          <t>100</t>
        </is>
      </c>
      <c r="F59" s="57" t="inlineStr">
        <is>
          <t>Por determinar</t>
        </is>
      </c>
      <c r="G59" s="57" t="inlineStr">
        <is>
          <t>Déficit hídrico futuro proyectado para el ámbito (MPI-ESM1-2HR, SSP5-8.5, 2021-2040); fenología caducifolia marcada en el estrato arbóreo al 14/07/2026.</t>
        </is>
      </c>
    </row>
    <row r="60">
      <c r="A60" s="56" t="inlineStr">
        <is>
          <t>15</t>
        </is>
      </c>
      <c r="B60" s="56" t="inlineStr">
        <is>
          <t>Plagas o enfermedades forestales</t>
        </is>
      </c>
      <c r="C60" s="56" t="inlineStr">
        <is>
          <t>No</t>
        </is>
      </c>
      <c r="D60" s="56" t="inlineStr">
        <is>
          <t>Nula</t>
        </is>
      </c>
      <c r="E60" s="56" t="inlineStr"/>
      <c r="F60" s="56" t="inlineStr"/>
      <c r="G60" s="56" t="inlineStr">
        <is>
          <t>Dosel sin síntomas visibles de plaga o enfermedad (estado sanitario general: sano).</t>
        </is>
      </c>
    </row>
    <row r="61">
      <c r="A61" s="57" t="inlineStr">
        <is>
          <t>16</t>
        </is>
      </c>
      <c r="B61" s="57" t="inlineStr">
        <is>
          <t>Otro</t>
        </is>
      </c>
      <c r="C61" s="57" t="inlineStr">
        <is>
          <t>Sí</t>
        </is>
      </c>
      <c r="D61" s="57" t="inlineStr">
        <is>
          <t>Ligera</t>
        </is>
      </c>
      <c r="E61" s="57" t="inlineStr">
        <is>
          <t>2</t>
        </is>
      </c>
      <c r="F61" s="57" t="inlineStr">
        <is>
          <t>Por determinar</t>
        </is>
      </c>
      <c r="G61" s="57" t="inlineStr">
        <is>
          <t>Otro: tendido eléctrico aéreo sobre el corredor vial del límite NO (visible en F-01 y F-02). Verificar buffer de exclusión OSINERGMIN (10 m) en el tamizaje cartográfico.</t>
        </is>
      </c>
    </row>
    <row r="63">
      <c r="A63" s="54" t="inlineStr">
        <is>
          <t>F-DT-04 · INDICADORES CUANTITATIVOS</t>
        </is>
      </c>
    </row>
    <row r="64">
      <c r="A64" s="55" t="inlineStr">
        <is>
          <t>N.o</t>
        </is>
      </c>
      <c r="B64" s="55" t="inlineStr">
        <is>
          <t>Indicador</t>
        </is>
      </c>
      <c r="C64" s="55" t="inlineStr">
        <is>
          <t>Unidad</t>
        </is>
      </c>
      <c r="D64" s="55" t="inlineStr">
        <is>
          <t>Valor</t>
        </is>
      </c>
      <c r="E64" s="55" t="inlineStr">
        <is>
          <t>Fuente</t>
        </is>
      </c>
      <c r="F64" s="55" t="inlineStr">
        <is>
          <t>Umbral</t>
        </is>
      </c>
      <c r="G64" s="55" t="inlineStr">
        <is>
          <t>Nivel</t>
        </is>
      </c>
    </row>
    <row r="65">
      <c r="A65" s="56" t="inlineStr">
        <is>
          <t>1</t>
        </is>
      </c>
      <c r="B65" s="56" t="inlineStr">
        <is>
          <t>Cobertura vegetal total</t>
        </is>
      </c>
      <c r="C65" s="56" t="inlineStr">
        <is>
          <t>%</t>
        </is>
      </c>
      <c r="D65" s="56" t="inlineStr">
        <is>
          <t>70</t>
        </is>
      </c>
      <c r="E65" s="56" t="inlineStr">
        <is>
          <t>Estimación visual externa + NDVI mediana 2025 (Sentinel-2)</t>
        </is>
      </c>
      <c r="F65" s="56" t="inlineStr">
        <is>
          <t>&gt;60% bueno; 30-60% medio; &lt;30% malo</t>
        </is>
      </c>
      <c r="G65" s="56" t="inlineStr">
        <is>
          <t>Bajo</t>
        </is>
      </c>
    </row>
    <row r="66">
      <c r="A66" s="57" t="inlineStr">
        <is>
          <t>2</t>
        </is>
      </c>
      <c r="B66" s="57" t="inlineStr">
        <is>
          <t>Porcentaje de suelo desnudo</t>
        </is>
      </c>
      <c r="C66" s="57" t="inlineStr">
        <is>
          <t>%</t>
        </is>
      </c>
      <c r="D66" s="57" t="inlineStr">
        <is>
          <t>15</t>
        </is>
      </c>
      <c r="E66" s="57" t="inlineStr">
        <is>
          <t>Estimación visual externa (registro fotográfico F-01 a F-08)</t>
        </is>
      </c>
      <c r="F66" s="57" t="inlineStr">
        <is>
          <t>&lt;10% bueno; 10-30% medio; &gt;30% malo</t>
        </is>
      </c>
      <c r="G66" s="57" t="inlineStr">
        <is>
          <t>Medio</t>
        </is>
      </c>
    </row>
    <row r="67">
      <c r="A67" s="56" t="inlineStr">
        <is>
          <t>3</t>
        </is>
      </c>
      <c r="B67" s="56" t="inlineStr">
        <is>
          <t>Densidad de cárcavas</t>
        </is>
      </c>
      <c r="C67" s="56" t="inlineStr">
        <is>
          <t>N°/ha</t>
        </is>
      </c>
      <c r="D67" s="56" t="inlineStr">
        <is>
          <t>0.03</t>
        </is>
      </c>
      <c r="E67" s="56" t="inlineStr">
        <is>
          <t>Inventario F-DT-02 (3 registros / 106.54 ha) - reconocimiento externo</t>
        </is>
      </c>
      <c r="F67" s="56" t="inlineStr">
        <is>
          <t>0 nulo; 1-3 medio; &gt;3 alto</t>
        </is>
      </c>
      <c r="G67" s="56" t="inlineStr">
        <is>
          <t>Bajo</t>
        </is>
      </c>
    </row>
    <row r="68">
      <c r="A68" s="57" t="inlineStr">
        <is>
          <t>4</t>
        </is>
      </c>
      <c r="B68" s="57" t="inlineStr">
        <is>
          <t>Presencia de especies invasoras</t>
        </is>
      </c>
      <c r="C68" s="57" t="inlineStr">
        <is>
          <t>% área</t>
        </is>
      </c>
      <c r="D68" s="57" t="inlineStr">
        <is>
          <t>3</t>
        </is>
      </c>
      <c r="E68" s="57" t="inlineStr">
        <is>
          <t>Observación de Agave americana en bordes</t>
        </is>
      </c>
      <c r="F68" s="57" t="inlineStr">
        <is>
          <t>&lt;5% bueno; 5-20% medio; &gt;20% alto</t>
        </is>
      </c>
      <c r="G68" s="57" t="inlineStr">
        <is>
          <t>Bajo</t>
        </is>
      </c>
    </row>
    <row r="69">
      <c r="A69" s="56" t="inlineStr">
        <is>
          <t>5</t>
        </is>
      </c>
      <c r="B69" s="56" t="inlineStr">
        <is>
          <t>Carga ganadera estimada</t>
        </is>
      </c>
      <c r="C69" s="56" t="inlineStr">
        <is>
          <t>UA/ha</t>
        </is>
      </c>
      <c r="D69" s="56" t="inlineStr">
        <is>
          <t>Por determinar</t>
        </is>
      </c>
      <c r="E69" s="56" t="inlineStr">
        <is>
          <t>Requiere entrevista a poseedores y conteo de hato</t>
        </is>
      </c>
      <c r="F69" s="56" t="inlineStr">
        <is>
          <t>Según tipo de ecosistema</t>
        </is>
      </c>
      <c r="G69" s="56" t="inlineStr"/>
    </row>
    <row r="70">
      <c r="A70" s="57" t="inlineStr">
        <is>
          <t>6</t>
        </is>
      </c>
      <c r="B70" s="57" t="inlineStr">
        <is>
          <t>Frecuencia de quemas últimos 5 años</t>
        </is>
      </c>
      <c r="C70" s="57" t="inlineStr">
        <is>
          <t>N°</t>
        </is>
      </c>
      <c r="D70" s="57" t="inlineStr">
        <is>
          <t>Por determinar</t>
        </is>
      </c>
      <c r="E70" s="57" t="inlineStr">
        <is>
          <t>Requiere serie de cicatrices de quema (Sentinel-2 / MODIS) y entrevistas</t>
        </is>
      </c>
      <c r="F70" s="57" t="inlineStr">
        <is>
          <t>0 nulo; 1-2 medio; &gt;2 alto</t>
        </is>
      </c>
      <c r="G70" s="57" t="inlineStr"/>
    </row>
    <row r="71">
      <c r="A71" s="56" t="inlineStr">
        <is>
          <t>7</t>
        </is>
      </c>
      <c r="B71" s="56" t="inlineStr">
        <is>
          <t>% área con pendiente &gt;50%</t>
        </is>
      </c>
      <c r="C71" s="56" t="inlineStr">
        <is>
          <t>%</t>
        </is>
      </c>
      <c r="D71" s="56" t="inlineStr">
        <is>
          <t>Por determinar</t>
        </is>
      </c>
      <c r="E71" s="56" t="inlineStr">
        <is>
          <t>MDE 12.5 m - pendiente promedio del bloque: 23.42 %</t>
        </is>
      </c>
      <c r="F71" s="56" t="inlineStr">
        <is>
          <t>Factor de susceptibilidad</t>
        </is>
      </c>
      <c r="G71" s="56" t="inlineStr">
        <is>
          <t>Bajo</t>
        </is>
      </c>
    </row>
    <row r="72">
      <c r="A72" s="57" t="inlineStr">
        <is>
          <t>8</t>
        </is>
      </c>
      <c r="B72" s="57" t="inlineStr">
        <is>
          <t>Distancia a vía vecinal más cercana</t>
        </is>
      </c>
      <c r="C72" s="57" t="inlineStr">
        <is>
          <t>m</t>
        </is>
      </c>
      <c r="D72" s="57" t="inlineStr">
        <is>
          <t>0</t>
        </is>
      </c>
      <c r="E72" s="57" t="inlineStr">
        <is>
          <t>La carretera Chulucanas-Frías coincide con el límite NO del bloque</t>
        </is>
      </c>
      <c r="F72" s="57" t="inlineStr">
        <is>
          <t>A menor distancia → mayor presión</t>
        </is>
      </c>
      <c r="G72" s="57" t="inlineStr">
        <is>
          <t>Alto</t>
        </is>
      </c>
    </row>
    <row r="74">
      <c r="A74" s="54" t="inlineStr">
        <is>
          <t>F-DT-05 · FUENTES DE AGUA INVENTARIADAS</t>
        </is>
      </c>
    </row>
    <row r="75">
      <c r="A75" s="55" t="inlineStr">
        <is>
          <t>N.o</t>
        </is>
      </c>
      <c r="B75" s="55" t="inlineStr">
        <is>
          <t>Tipo de fuente</t>
        </is>
      </c>
      <c r="C75" s="55" t="inlineStr">
        <is>
          <t>UTM ESTE</t>
        </is>
      </c>
      <c r="D75" s="55" t="inlineStr">
        <is>
          <t>UTM NORTE</t>
        </is>
      </c>
      <c r="E75" s="55" t="inlineStr">
        <is>
          <t>Régimen</t>
        </is>
      </c>
      <c r="F75" s="55" t="inlineStr">
        <is>
          <t>Calidad</t>
        </is>
      </c>
      <c r="G75" s="55" t="inlineStr">
        <is>
          <t>Distancia (m)</t>
        </is>
      </c>
      <c r="H75" s="55" t="inlineStr">
        <is>
          <t>Uso / observación</t>
        </is>
      </c>
    </row>
    <row r="76">
      <c r="A76" s="56" t="inlineStr">
        <is>
          <t>1</t>
        </is>
      </c>
      <c r="B76" s="56" t="inlineStr">
        <is>
          <t>Quebrada estacional</t>
        </is>
      </c>
      <c r="C76" s="61" t="n">
        <v>605710</v>
      </c>
      <c r="D76" s="61" t="n">
        <v>9445765</v>
      </c>
      <c r="E76" s="56" t="inlineStr">
        <is>
          <t>Estacional (lluvias)</t>
        </is>
      </c>
      <c r="F76" s="56" t="inlineStr">
        <is>
          <t>No evaluable</t>
        </is>
      </c>
      <c r="G76" s="63" t="n">
        <v>0</v>
      </c>
      <c r="H76" s="56" t="inlineStr">
        <is>
          <t>Quebrada tributaria cruzada por la vía en el límite NO. Cauce seco al 14/07/2026, con bolonería granítica expuesta y márgenes descubiertos (F-02). Drena hacia el eje Platanal Alto - El Guabo.</t>
        </is>
      </c>
    </row>
    <row r="77">
      <c r="A77" s="57" t="inlineStr">
        <is>
          <t>2</t>
        </is>
      </c>
      <c r="B77" s="57" t="inlineStr">
        <is>
          <t>Otro</t>
        </is>
      </c>
      <c r="C77" s="57" t="n"/>
      <c r="D77" s="57" t="n"/>
      <c r="E77" s="57" t="inlineStr">
        <is>
          <t>Estacional (lluvias)</t>
        </is>
      </c>
      <c r="F77" s="57" t="inlineStr">
        <is>
          <t>No evaluable</t>
        </is>
      </c>
      <c r="G77" s="57" t="n"/>
      <c r="H77" s="57" t="inlineStr">
        <is>
          <t>Catarata El Guabo: referencia cartográfica (Google Earth) en el sector oriental colindante. No verificada en campo; coordenadas por levantar.</t>
        </is>
      </c>
    </row>
    <row r="78">
      <c r="A78" s="56" t="inlineStr">
        <is>
          <t>3</t>
        </is>
      </c>
      <c r="B78" s="56" t="inlineStr">
        <is>
          <t>Laguna / Humedal</t>
        </is>
      </c>
      <c r="C78" s="56" t="n"/>
      <c r="D78" s="56" t="n"/>
      <c r="E78" s="56" t="inlineStr">
        <is>
          <t>Permanente</t>
        </is>
      </c>
      <c r="F78" s="56" t="inlineStr">
        <is>
          <t>No evaluable</t>
        </is>
      </c>
      <c r="G78" s="56" t="n"/>
      <c r="H78" s="56" t="inlineStr">
        <is>
          <t>Laguna del Amor El Huabo: referencia cartográfica (Google Earth) al sur del bloque. No verificada en campo.</t>
        </is>
      </c>
    </row>
    <row r="79">
      <c r="A79" s="57" t="inlineStr">
        <is>
          <t>4</t>
        </is>
      </c>
      <c r="B79" s="57" t="inlineStr">
        <is>
          <t>Laguna / Humedal</t>
        </is>
      </c>
      <c r="C79" s="57" t="n"/>
      <c r="D79" s="57" t="n"/>
      <c r="E79" s="57" t="inlineStr">
        <is>
          <t>Permanente</t>
        </is>
      </c>
      <c r="F79" s="57" t="inlineStr">
        <is>
          <t>No evaluable</t>
        </is>
      </c>
      <c r="G79" s="57" t="n"/>
      <c r="H79" s="57" t="inlineStr">
        <is>
          <t>Laguna El Checo, Chililique Alto: referencia cartográfica (Google Earth) al SO, fuera del bloque. No verificada en campo.</t>
        </is>
      </c>
    </row>
    <row r="82">
      <c r="A82" s="54" t="inlineStr">
        <is>
          <t>OBSERVACIONES DEL EVALUADOR POR FICHA</t>
        </is>
      </c>
    </row>
    <row r="83">
      <c r="A83" s="55" t="inlineStr">
        <is>
          <t>Ficha</t>
        </is>
      </c>
      <c r="B83" s="55" t="inlineStr">
        <is>
          <t>Observación registrada en campo</t>
        </is>
      </c>
    </row>
    <row r="84">
      <c r="A84" s="56" t="inlineStr">
        <is>
          <t>F-DT-01</t>
        </is>
      </c>
      <c r="B84" s="56" t="inlineStr">
        <is>
          <t>MODALIDAD: reconocimiento externo desde la carretera Chulucanas-Frías (14/07/2026, 13:09-13:13 h). No se realizó travesía por el interior del bloque; completitud física estimada aprox. 10 %. Los seis puntos de observación se sitúan entre 605 663-605 885 E / 9 445 732-9 445 824 N (UTM WGS84 17S), sobre el límite NO del lóbulo occidental del bloque, a 1.3-1.6 km del centroide de catálogo. ESCARPES ACTIVOS (B27 = Sí): corresponden a taludes de corte de la vía, de 4 a 8 m de altura, con retroceso activo, raíces colgantes y desprendimientos al pie (F-01 en 605 663/9 445 732; F-05 en 605 811/9 445 811). No se verificaron escarpes de origen natural en el interior del bloque. REPTACIÓN (B28 = No) y DESLIZAMIENTOS ANTIGUOS (B29 = No): no observados desde los puntos accesibles; la ausencia de evidencia no equivale a verificación de ausencia en el interior del bloque. REMOCIONES ACTIVAS (B30 = Sí): caída de bloques y derrumbes de talud sobre la plataforma vial (F-02 en 605 710/9 445 765; F-06 en 605 885/9 445 824). ALTITUD GPS: el aplicativo de campo no consignó cota; el valor indicado deriva del MDE. Rango altitudinal del bloque según catálogo: 403-1 049 msnm; pendiente promedio 23.42 %.</t>
        </is>
      </c>
    </row>
    <row r="85">
      <c r="A85" s="57" t="inlineStr">
        <is>
          <t>F-DT-02</t>
        </is>
      </c>
      <c r="B85" s="57" t="inlineStr">
        <is>
          <t>DIFERENCIACIÓN NIVEL PUNTUAL vs. NIVEL DE BLOQUE. El nivel de erosión del punto de muestreo (D17 = Fuerte, cárcavas incipientes) describe el corredor vial del límite NO, donde el corte de talud ha expuesto un perfil areno-limoso de 4 a 8 m con acanaladuras verticales continuas, raíces descalzadas y material suelto acumulado al pie. La síntesis de bloque (D34 = Moderada, surcos) pondera ese corredor con el interior del bloque, que presenta cobertura vegetal media a alta según NDVI mediana 2025 y no muestra procesos erosivos generalizados en las vistas panorámicas (F-03, F-04). INVENTARIO DE CÁRCAVAS: los tres registros provienen de reconocimiento externo; no se midieron longitud, profundidad ni ancho, ni se levantaron coordenadas de cierre. Las columnas correspondientes quedan como "Por determinar" y constituyen pendiente de verificación de campo. CAUSA de C-01 y C-02 = "Otro": corte y ensanche de la plataforma vial (Chulucanas-Frías), causa antrópica no tipificada en la lista. SOCAVAMIENTO DE CAUCE (D38 = Sí): quebrada tributaria estacional cruzada por la vía en 605 710 / 9 445 765, con bolonería granítica expuesta y márgenes descubiertos (F-02); sin flujo al momento de la visita. COMPACTACIÓN POR PISOTEO (D15 = Sí): inferida por senderos y huellas con suelo desnudo en la ladera de 605 885 / 9 445 824 (F-06); no se observó ganado durante la visita.</t>
        </is>
      </c>
    </row>
    <row r="86">
      <c r="A86" s="56" t="inlineStr">
        <is>
          <t>F-DT-03</t>
        </is>
      </c>
      <c r="B86" s="56" t="inlineStr">
        <is>
          <t>BASE DEL REGISTRO FLORÍSTICO: las trece primeras especies corresponden al listado reportado por la brigada de campo para el bloque M17B6; las dos últimas (Bougainvillea sp. y Tillandsia sp.) provienen de identificación preliminar sobre el registro fotográfico georreferenciado y requieren confirmación. No se instaló parcela de muestreo ni se realizaron mediciones dendrométricas: DAP, cobertura de hojarasca y pendiente de parcela quedan como "Por determinar". Las coberturas y alturas consignadas son estimaciones visuales desde los puntos de observación externos. ESTADO DE CONSERVACIÓN (C18 = Levemente alterado): la NDVI mediana 2025 clasifica la práctica totalidad del bloque como vegetación media a alta, sin clases de tierra desnuda ni no vegetal significativas; el sector oriental y de mayor cota (750-1 049 msnm) concentra los rodales de vegetación alta. Este resultado, junto con la presencia de emergentes maduros de Ceiba trichistandra y de carga epifítica de Tillandsia, sustenta una calificación de alteración leve y motiva la observación de tipología elevada a la Subdirección (ver informe técnico, secciones 7 y 9). CAVEAT MSAVI: el MSAVI 2024 de catálogo (0.4464) subestima la cobertura leñosa real por tratarse de un bosque caducifolio (Bes-cm) capturado fuera de la temporada húmeda (enero-abril). PENDIENTES: inventario florístico con parcelas, censo de individuos de hualtaco, palo santo y sapote (las tres en CR), y confirmación taxonómica de Erythrina spp., Ipomoea carnea y de las cactáceas.</t>
        </is>
      </c>
    </row>
    <row r="87">
      <c r="A87" s="57" t="inlineStr">
        <is>
          <t>F-DT-04</t>
        </is>
      </c>
      <c r="B87" s="57" t="inlineStr">
        <is>
          <t>CRITERIO DE REGISTRO. Los valores "No" de la columna Presencia expresan ausencia de evidencia observable desde los puntos de reconocimiento externo (corredor vial del límite NO) y NO constituyen verificación de ausencia en el interior del bloque, no recorrido. Deben reevaluarse en la travesía interna prevista. INDICADOR 8 (distancia a vía): el valor 0 m refleja que la carretera Chulucanas-Frías se superpone al límite NO del bloque, lo que sitúa la presión de acceso en nivel Alto pese a que el resto de indicadores arroja niveles Bajo o Medio. LECTURA DE CONJUNTO: el bloque M17B6 se comporta como un remanente de Bes-cm en estado de alteración leve con degradación concentrada en su franja perimetral noroeste. La velocidad de degradación es lenta y el proceso es técnicamente reversible, lo que orienta la intervención hacia conservación, enriquecimiento y estabilización del corredor vial antes que hacia restauración activa extensiva.</t>
        </is>
      </c>
    </row>
    <row r="88">
      <c r="A88" s="56" t="inlineStr">
        <is>
          <t>F-DT-05</t>
        </is>
      </c>
      <c r="B88" s="56" t="inlineStr">
        <is>
          <t>ACCESIBILIDAD: el bloque es directamente accesible en vehículo por la carretera Chulucanas-Frías, que discurre sobre su límite NO. La transitabilidad en época seca es alta (plataforma afirmada reciente); en época lluviosa se califica Baja por el riesgo de derrumbes desde taludes de corte sin estabilizar (F-01, F-05, F-06) y por el cruce de la quebrada estacional sin obra de arte verificada. RECURSOS HÍDRICOS: la fuente 1 es la única verificada en campo; las fuentes 2 a 4 son referencias cartográficas de Google Earth pendientes de verificación y georreferenciación. ZONA DE RECARGA (C27 = Sí): el bloque ocupa la ladera de exposición NO que alimenta la quebrada tributaria; las cotas superiores (750-1 049 msnm) con vegetación alta cumplen función de interceptación e infiltración. HUMEDAD PERSISTENTE (C28 = Sí): pastizal de fondo de valle con verdor pleno en plena época seca (F-03, F-08), indicio de humedad edáfica persistente o de riego; requiere verificación. PENDIENTES DE VERIFICACIÓN: distancia y ubicación de la captación poblacional más cercana, existencia y directiva de la JASS, tiempos de desplazamiento desde Frías y desde Ayabaca, señal y operador celular, disponibilidad de alojamiento rural, y contacto formal de la Ronda Campesina. Estos campos se dejan en blanco o como "Por determinar" por no haber sido levantados en el reconocimiento externo.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M17B6</t>
        </is>
      </c>
    </row>
    <row r="7">
      <c r="A7" s="54" t="inlineStr">
        <is>
          <t>Hechos declarados por fuente</t>
        </is>
      </c>
    </row>
    <row r="8">
      <c r="A8" s="55" t="inlineStr">
        <is>
          <t>Fuente</t>
        </is>
      </c>
      <c r="B8" s="55" t="inlineStr">
        <is>
          <t>Hechos</t>
        </is>
      </c>
    </row>
    <row r="9">
      <c r="A9" s="56" t="inlineStr">
        <is>
          <t>Dato de campo</t>
        </is>
      </c>
      <c r="B9" s="56" t="n">
        <v>62</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96</v>
      </c>
    </row>
    <row r="29">
      <c r="A29" s="57" t="inlineStr">
        <is>
          <t>COMPLEMENTADO</t>
        </is>
      </c>
      <c r="B29" s="57" t="n">
        <v>0</v>
      </c>
    </row>
    <row r="30">
      <c r="A30" s="56" t="inlineStr">
        <is>
          <t>ACTUALIZADO</t>
        </is>
      </c>
      <c r="B30" s="56" t="n">
        <v>2</v>
      </c>
    </row>
    <row r="31">
      <c r="A31" s="57" t="inlineStr">
        <is>
          <t>DISCREPANTE</t>
        </is>
      </c>
      <c r="B31" s="57" t="n">
        <v>0</v>
      </c>
    </row>
    <row r="32">
      <c r="A32" s="56" t="inlineStr">
        <is>
          <t>PENDIENTE</t>
        </is>
      </c>
      <c r="B32" s="56" t="n">
        <v>16</v>
      </c>
    </row>
    <row r="45">
      <c r="A45" s="54" t="inlineStr">
        <is>
          <t>Cobertura por estrato — campo (%)</t>
        </is>
      </c>
    </row>
    <row r="46">
      <c r="A46" s="55" t="inlineStr">
        <is>
          <t>Estrato</t>
        </is>
      </c>
      <c r="B46" s="55" t="inlineStr">
        <is>
          <t>% del área</t>
        </is>
      </c>
    </row>
    <row r="47">
      <c r="A47" s="56" t="inlineStr">
        <is>
          <t>Dosel</t>
        </is>
      </c>
      <c r="B47" s="61" t="n">
        <v>60</v>
      </c>
    </row>
    <row r="48">
      <c r="A48" s="57" t="inlineStr">
        <is>
          <t>Arbustiva</t>
        </is>
      </c>
      <c r="B48" s="62" t="n">
        <v>25</v>
      </c>
    </row>
    <row r="49">
      <c r="A49" s="56" t="inlineStr">
        <is>
          <t>Herbácea</t>
        </is>
      </c>
      <c r="B49" s="61" t="n">
        <v>20</v>
      </c>
    </row>
    <row r="50">
      <c r="A50" s="57" t="inlineStr">
        <is>
          <t>Suelo desnudo</t>
        </is>
      </c>
      <c r="B50" s="62" t="n">
        <v>15</v>
      </c>
    </row>
    <row r="64">
      <c r="A64" s="54" t="inlineStr">
        <is>
          <t>Causas activas de degradación (F-DT-04)</t>
        </is>
      </c>
    </row>
    <row r="65">
      <c r="A65" s="55" t="inlineStr">
        <is>
          <t>Causa</t>
        </is>
      </c>
      <c r="B65" s="55" t="inlineStr">
        <is>
          <t>Intensidad (1 ligera - 4 muy fuerte)</t>
        </is>
      </c>
    </row>
    <row r="66">
      <c r="A66" s="56" t="inlineStr">
        <is>
          <t>Erosión natural severa</t>
        </is>
      </c>
      <c r="B66" s="56" t="n">
        <v>2</v>
      </c>
    </row>
    <row r="67">
      <c r="A67" s="57" t="inlineStr">
        <is>
          <t>Expansión urbana / vial</t>
        </is>
      </c>
      <c r="B67" s="57" t="n">
        <v>2</v>
      </c>
    </row>
    <row r="68">
      <c r="A68" s="56" t="inlineStr">
        <is>
          <t>Sequía prolongada / CC</t>
        </is>
      </c>
      <c r="B68" s="56" t="n">
        <v>2</v>
      </c>
    </row>
    <row r="69">
      <c r="A69" s="57" t="inlineStr">
        <is>
          <t>Cambio de uso a agricultura</t>
        </is>
      </c>
      <c r="B69" s="57" t="n">
        <v>1</v>
      </c>
    </row>
    <row r="70">
      <c r="A70" s="56" t="inlineStr">
        <is>
          <t>Cambio de uso a pastoreo</t>
        </is>
      </c>
      <c r="B70" s="56" t="n">
        <v>1</v>
      </c>
    </row>
    <row r="71">
      <c r="A71" s="57" t="inlineStr">
        <is>
          <t>Especies invasoras</t>
        </is>
      </c>
      <c r="B71" s="57" t="n">
        <v>1</v>
      </c>
    </row>
    <row r="72">
      <c r="A72" s="56" t="inlineStr">
        <is>
          <t>Otro</t>
        </is>
      </c>
      <c r="B72" s="56" t="n">
        <v>1</v>
      </c>
    </row>
    <row r="73">
      <c r="A73" s="57" t="inlineStr">
        <is>
          <t>Sobrepastoreo (caprino/vacuno)</t>
        </is>
      </c>
      <c r="B73" s="57" t="n">
        <v>1</v>
      </c>
    </row>
    <row r="83">
      <c r="A83" s="54" t="inlineStr">
        <is>
          <t>Control de consistencia por calificación</t>
        </is>
      </c>
    </row>
    <row r="84">
      <c r="A84" s="55" t="inlineStr">
        <is>
          <t>Calificación</t>
        </is>
      </c>
      <c r="B84" s="55" t="inlineStr">
        <is>
          <t>Verificaciones</t>
        </is>
      </c>
    </row>
    <row r="85">
      <c r="A85" s="56" t="inlineStr">
        <is>
          <t>SUSTANTIVA</t>
        </is>
      </c>
      <c r="B85" s="56" t="n">
        <v>5</v>
      </c>
    </row>
    <row r="86">
      <c r="A86" s="57" t="inlineStr">
        <is>
          <t>NO SUSTANTIVA</t>
        </is>
      </c>
      <c r="B86" s="57" t="n">
        <v>5</v>
      </c>
    </row>
    <row r="87">
      <c r="A87" s="56" t="inlineStr">
        <is>
          <t>CORREGIDO</t>
        </is>
      </c>
      <c r="B87" s="56" t="n">
        <v>2</v>
      </c>
    </row>
    <row r="88">
      <c r="A88" s="57" t="inlineStr">
        <is>
          <t>CONFORME</t>
        </is>
      </c>
      <c r="B88"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M17B6 — IN Piura</dc:title>
  <dc:subject>Diagnóstico Territorial por bloque de intervención</dc:subject>
  <dcterms:created xsi:type="dcterms:W3CDTF">2026-09-08T03:39:57Z</dcterms:created>
  <dcterms:modified xsi:type="dcterms:W3CDTF">2026-09-11T21:26:33Z</dcterms:modified>
</cp:coreProperties>
</file>