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integración'!$A$66:$A$69</f>
            </numRef>
          </cat>
          <val>
            <numRef>
              <f>'Gráficos de integración'!$B$66:$B$69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60</t>
        </is>
      </c>
    </row>
    <row r="6" ht="24" customHeight="1">
      <c r="A6" s="4" t="inlineStr">
        <is>
          <t>Diagnóstico Territorial — Plantilla DT Campo Check Validada V5 | Sistema de referencia: UTM WGS 84 Zona 17S (EPSG:32717) · Integrado con la ficha de campo F-DT vigente (Plantilla_DT_Campo_Check_Validada_V5_Bloque60.xlsx) — V7 - resumen V6 + campo F-DT integrado</t>
        </is>
      </c>
    </row>
    <row r="7"/>
    <row r="8" ht="18" customHeight="1">
      <c r="A8" s="5" t="inlineStr">
        <is>
          <t>1. IDENTIFICACIÓN Y LOCALIZACIÓN</t>
        </is>
      </c>
    </row>
    <row r="9">
      <c r="A9" s="6" t="inlineStr">
        <is>
          <t>Código del bloque</t>
        </is>
      </c>
      <c r="B9" s="7" t="inlineStr">
        <is>
          <t>60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50" t="inlineStr">
        <is>
          <t>Flor de Café (Canchaque) — 1.06 km al NNO</t>
        </is>
      </c>
      <c r="C13" s="6" t="inlineStr">
        <is>
          <t>Comunidad campesina</t>
        </is>
      </c>
      <c r="D13" s="7" t="inlineStr">
        <is>
          <t>Por verificar en gabinete social (F-DS-01)</t>
        </is>
      </c>
      <c r="E13" s="8" t="n"/>
      <c r="F13" s="8" t="n"/>
    </row>
    <row r="14">
      <c r="A14" s="6" t="inlineStr">
        <is>
          <t>Superficie de catálogo (V5/V6), ha</t>
        </is>
      </c>
      <c r="B14" s="7" t="n">
        <v>40.13</v>
      </c>
      <c r="C14" s="6" t="inlineStr">
        <is>
          <t>Fuente de superficie</t>
        </is>
      </c>
      <c r="D14" s="7" t="inlineStr">
        <is>
          <t>Catálogo maestro Bloques V5/V6</t>
        </is>
      </c>
      <c r="E14" s="8" t="n"/>
      <c r="F14" s="8" t="n"/>
    </row>
    <row r="15">
      <c r="A15" s="6" t="inlineStr">
        <is>
          <t>Centroide UTM ESTE (m)</t>
        </is>
      </c>
      <c r="B15" s="7" t="n">
        <v>653850</v>
      </c>
      <c r="C15" s="6" t="inlineStr">
        <is>
          <t>Centroide UTM NORTE (m)</t>
        </is>
      </c>
      <c r="D15" s="7" t="n">
        <v>9426236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1638</v>
      </c>
      <c r="C19" s="6" t="inlineStr">
        <is>
          <t>Altitud máxima (msnm)</t>
        </is>
      </c>
      <c r="D19" s="7" t="n">
        <v>2073</v>
      </c>
      <c r="E19" s="8" t="n"/>
      <c r="F19" s="8" t="n"/>
    </row>
    <row r="20">
      <c r="A20" s="6" t="inlineStr">
        <is>
          <t>Amplitud altitudinal (m)</t>
        </is>
      </c>
      <c r="B20" s="7" t="n">
        <v>435</v>
      </c>
      <c r="C20" s="6" t="inlineStr">
        <is>
          <t>Piso altitudinal dominante</t>
        </is>
      </c>
      <c r="D20" s="7" t="inlineStr">
        <is>
          <t>1500-2000 m (Quechua media)</t>
        </is>
      </c>
      <c r="E20" s="8" t="n"/>
      <c r="F20" s="8" t="n"/>
    </row>
    <row r="21">
      <c r="A21" s="6" t="inlineStr">
        <is>
          <t>Pendiente promedio (%)</t>
        </is>
      </c>
      <c r="B21" s="7" t="n">
        <v>32.67</v>
      </c>
      <c r="C21" s="6" t="inlineStr">
        <is>
          <t>Pendiente promedio (grados)</t>
        </is>
      </c>
      <c r="D21" s="7" t="n">
        <v>18.1</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0.6745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(99.90 %)</t>
        </is>
      </c>
      <c r="E29" s="8" t="n"/>
      <c r="F29" s="8" t="n"/>
    </row>
    <row r="30">
      <c r="A30" s="6" t="inlineStr">
        <is>
          <t>Superficie clasificada NDVI 2025 (ha)</t>
        </is>
      </c>
      <c r="B30" s="7" t="n">
        <v>40.14</v>
      </c>
      <c r="C30" s="6" t="inlineStr">
        <is>
          <t>Desviación frente al catálogo (%)</t>
        </is>
      </c>
      <c r="D30" s="7" t="n">
        <v>0.03</v>
      </c>
      <c r="E30" s="8" t="n"/>
      <c r="F30" s="8" t="n"/>
    </row>
    <row r="31">
      <c r="A31" s="6" t="inlineStr">
        <is>
          <t>Superficie clasificada MSAVI 2024 (ha)</t>
        </is>
      </c>
      <c r="B31" s="38" t="n">
        <v>40.132</v>
      </c>
      <c r="C31" s="6" t="inlineStr">
        <is>
          <t>Desviación MSAVI frente al catálogo (%)</t>
        </is>
      </c>
      <c r="D31" s="39" t="n">
        <v>0</v>
      </c>
      <c r="E31" s="8" t="n"/>
      <c r="F31" s="8" t="n"/>
    </row>
    <row r="32">
      <c r="A32" s="6" t="inlineStr">
        <is>
          <t>Superficie bajo umbral MSAVI 0.4976 (ha)</t>
        </is>
      </c>
      <c r="B32" s="38" t="n">
        <v>0.245</v>
      </c>
      <c r="C32" s="6" t="inlineStr">
        <is>
          <t>% del bloque bajo umbral (brecha espectral)</t>
        </is>
      </c>
      <c r="D32" s="39" t="n">
        <v>0.61</v>
      </c>
      <c r="E32" s="8" t="n"/>
      <c r="F32" s="8" t="n"/>
    </row>
    <row r="33">
      <c r="A33" s="6" t="inlineStr">
        <is>
          <t>Clase DN dominante (MSAVI 2024)</t>
        </is>
      </c>
      <c r="B33" s="7" t="inlineStr">
        <is>
          <t>DN 5 · &gt; 0.6139 (Vigor alto)</t>
        </is>
      </c>
      <c r="C33" s="6" t="inlineStr">
        <is>
          <t>N.° de polígonos MSAVI del bloque</t>
        </is>
      </c>
      <c r="D33" s="40" t="n">
        <v>78</v>
      </c>
      <c r="E33" s="8" t="n"/>
      <c r="F33" s="8" t="n"/>
    </row>
    <row r="34"/>
    <row r="35" ht="18" customHeight="1">
      <c r="A35" s="5" t="inlineStr">
        <is>
          <t>4. ECOSISTEMA Y ESTADO DE CONSERVACIÓN</t>
        </is>
      </c>
    </row>
    <row r="36">
      <c r="A36" s="6" t="inlineStr">
        <is>
          <t>Tipo de ecosistema (UP)</t>
        </is>
      </c>
      <c r="B36" s="7" t="inlineStr">
        <is>
          <t>Matorral Andino subhúmedo (preliminar; reconciliar con el Mapa Nacional de Ecosistemas)</t>
        </is>
      </c>
      <c r="C36" s="6" t="inlineStr">
        <is>
          <t>Superficie de ecosistema (ha)</t>
        </is>
      </c>
      <c r="D36" s="7" t="inlineStr">
        <is>
          <t>40.13 ha (100%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0 = no inventariadas</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 Especialista en Infraestructura Verde, ANIN/DIME-SESDI</t>
        </is>
      </c>
      <c r="C44" s="6" t="inlineStr">
        <is>
          <t>Fecha de evaluación</t>
        </is>
      </c>
      <c r="D44" s="7" t="inlineStr">
        <is>
          <t>2026-08-13</t>
        </is>
      </c>
      <c r="E44" s="8" t="n"/>
      <c r="F44" s="8" t="n"/>
    </row>
    <row r="45">
      <c r="A45" s="6" t="inlineStr">
        <is>
          <t>Hora de registro</t>
        </is>
      </c>
      <c r="B45" s="7" t="inlineStr">
        <is>
          <t>13:02 - 13:06 h</t>
        </is>
      </c>
      <c r="C45" s="6" t="inlineStr">
        <is>
          <t>Correlativo de ficha</t>
        </is>
      </c>
      <c r="D45" s="50" t="inlineStr">
        <is>
          <t>F-DT-01..05/B60/2026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Sin parcela instalada — evaluación por recorrido perimetral y fotointerpretación de dron</t>
        </is>
      </c>
      <c r="E47" s="8" t="n"/>
      <c r="F47" s="8" t="n"/>
    </row>
    <row r="48">
      <c r="A48" s="6" t="inlineStr">
        <is>
          <t>Estaciones fotográficas georreferenciadas</t>
        </is>
      </c>
      <c r="B48" s="7" t="n">
        <v>5</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33.9012</v>
      </c>
      <c r="C10" s="31">
        <f>ROUND(B10/$B$15*100,2)</f>
        <v/>
      </c>
      <c r="D10" s="12" t="inlineStr">
        <is>
          <t>Vigor alto</t>
        </is>
      </c>
      <c r="E10" s="12" t="inlineStr">
        <is>
          <t>Sobre umbral</t>
        </is>
      </c>
    </row>
    <row r="11">
      <c r="A11" s="13" t="inlineStr">
        <is>
          <t>0.4976 - 0.6139 · DN 4</t>
        </is>
      </c>
      <c r="B11" s="20" t="n">
        <v>5.9858</v>
      </c>
      <c r="C11" s="21">
        <f>ROUND(B11/$B$15*100,2)</f>
        <v/>
      </c>
      <c r="D11" s="14" t="inlineStr">
        <is>
          <t>Vigor moderado</t>
        </is>
      </c>
      <c r="E11" s="14" t="inlineStr">
        <is>
          <t>Sobre umbral</t>
        </is>
      </c>
    </row>
    <row r="12">
      <c r="A12" s="7" t="inlineStr">
        <is>
          <t>0.3813 - 0.4976 · DN 3</t>
        </is>
      </c>
      <c r="B12" s="18" t="n">
        <v>0.2447</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78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40.13</v>
      </c>
      <c r="C18" s="49" t="inlineStr">
        <is>
          <t>—</t>
        </is>
      </c>
      <c r="D18" s="46" t="inlineStr">
        <is>
          <t>Desviación planimétrica frente al catálogo</t>
        </is>
      </c>
      <c r="E18" s="46" t="inlineStr">
        <is>
          <t>+0.00 %</t>
        </is>
      </c>
    </row>
    <row r="19">
      <c r="A19" s="16" t="inlineStr">
        <is>
          <t>MSAVI 2024 — MEDIA DEL BLOQUE</t>
        </is>
      </c>
      <c r="B19" s="17" t="n">
        <v>0.67447</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(0.6745)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40.0998</v>
      </c>
      <c r="C25" s="19" t="n">
        <v>99.90000000000001</v>
      </c>
      <c r="D25" s="15" t="inlineStr">
        <is>
          <t>Dosel continuo, matorral denso o mosaico agroforestal</t>
        </is>
      </c>
      <c r="E25" s="15" t="inlineStr"/>
    </row>
    <row r="26">
      <c r="A26" s="13" t="inlineStr">
        <is>
          <t>Vegetación mediana</t>
        </is>
      </c>
      <c r="B26" s="20" t="n">
        <v>0.0405</v>
      </c>
      <c r="C26" s="21" t="n">
        <v>0.1</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40.13</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99.90 % del polígono clasificado como «Vegetación alta» por el NDVI 2025; la observación de campo corresponde a una parcela o recorrido puntual y no es estadísticamente representativa de las 40.130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60</t>
        </is>
      </c>
    </row>
    <row r="6" ht="24" customHeight="1">
      <c r="A6" s="4" t="inlineStr">
        <is>
          <t>Levantamiento del 2026-08-13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653616</v>
      </c>
      <c r="D10" s="26" t="n">
        <v>9426278</v>
      </c>
      <c r="E10" s="15" t="n">
        <v>237.7</v>
      </c>
      <c r="F10" s="15" t="inlineStr"/>
      <c r="G10" s="15" t="inlineStr">
        <is>
          <t>Coordenada consignada en F-DT-01</t>
        </is>
      </c>
    </row>
    <row r="11">
      <c r="A11" s="13" t="inlineStr">
        <is>
          <t>F-01</t>
        </is>
      </c>
      <c r="B11" s="14" t="inlineStr">
        <is>
          <t>Estación fotográfica</t>
        </is>
      </c>
      <c r="C11" s="27" t="n">
        <v>653616</v>
      </c>
      <c r="D11" s="27" t="n">
        <v>9426278</v>
      </c>
      <c r="E11" s="14" t="n">
        <v>237.7</v>
      </c>
      <c r="F11" s="14" t="inlineStr"/>
      <c r="G11" s="14" t="inlineStr">
        <is>
          <t>Registro fotográfico georreferenciado</t>
        </is>
      </c>
    </row>
    <row r="12">
      <c r="A12" s="7" t="inlineStr">
        <is>
          <t>F-02</t>
        </is>
      </c>
      <c r="B12" s="15" t="inlineStr">
        <is>
          <t>Estación fotográfica</t>
        </is>
      </c>
      <c r="C12" s="26" t="n">
        <v>653619</v>
      </c>
      <c r="D12" s="26" t="n">
        <v>9426255</v>
      </c>
      <c r="E12" s="15" t="n">
        <v>231.8</v>
      </c>
      <c r="F12" s="15" t="inlineStr"/>
      <c r="G12" s="15" t="inlineStr">
        <is>
          <t>Registro fotográfico georreferenciado</t>
        </is>
      </c>
    </row>
    <row r="13">
      <c r="A13" s="13" t="inlineStr">
        <is>
          <t>F-03</t>
        </is>
      </c>
      <c r="B13" s="14" t="inlineStr">
        <is>
          <t>Estación fotográfica</t>
        </is>
      </c>
      <c r="C13" s="27" t="n">
        <v>653589</v>
      </c>
      <c r="D13" s="27" t="n">
        <v>9426303</v>
      </c>
      <c r="E13" s="14" t="n">
        <v>269.5</v>
      </c>
      <c r="F13" s="14" t="inlineStr"/>
      <c r="G13" s="14" t="inlineStr">
        <is>
          <t>Registro fotográfico georreferenciado</t>
        </is>
      </c>
    </row>
    <row r="14">
      <c r="A14" s="7" t="inlineStr">
        <is>
          <t>F-04</t>
        </is>
      </c>
      <c r="B14" s="15" t="inlineStr">
        <is>
          <t>Estación fotográfica</t>
        </is>
      </c>
      <c r="C14" s="26" t="n">
        <v>653587</v>
      </c>
      <c r="D14" s="26" t="n">
        <v>9426301</v>
      </c>
      <c r="E14" s="15" t="n">
        <v>270.9</v>
      </c>
      <c r="F14" s="15" t="inlineStr"/>
      <c r="G14" s="15" t="inlineStr">
        <is>
          <t>Registro fotográfico georreferenciado</t>
        </is>
      </c>
    </row>
    <row r="15">
      <c r="A15" s="13" t="inlineStr">
        <is>
          <t>F-05</t>
        </is>
      </c>
      <c r="B15" s="14" t="inlineStr">
        <is>
          <t>Estación fotográfica</t>
        </is>
      </c>
      <c r="C15" s="27" t="n">
        <v>653602</v>
      </c>
      <c r="D15" s="27" t="n">
        <v>9426294</v>
      </c>
      <c r="E15" s="14" t="n">
        <v>254.7</v>
      </c>
      <c r="F15" s="14" t="inlineStr"/>
      <c r="G15" s="14" t="inlineStr">
        <is>
          <t>Registro fotográfico georreferenciado</t>
        </is>
      </c>
    </row>
    <row r="16">
      <c r="A16" s="7" t="inlineStr">
        <is>
          <t>H-01</t>
        </is>
      </c>
      <c r="B16" s="15" t="inlineStr">
        <is>
          <t>Fuente de agua — Quebrada estacional</t>
        </is>
      </c>
      <c r="C16" s="26" t="n">
        <v>653619</v>
      </c>
      <c r="D16" s="26" t="n">
        <v>9426255</v>
      </c>
      <c r="E16" s="15" t="n">
        <v>231.8</v>
      </c>
      <c r="F16" s="15" t="inlineStr">
        <is>
          <t>Estacional</t>
        </is>
      </c>
      <c r="G16" s="15" t="inlineStr">
        <is>
          <t>Cauce que limita el bloque por el norte</t>
        </is>
      </c>
    </row>
    <row r="17">
      <c r="A17" s="13" t="inlineStr">
        <is>
          <t>H-02</t>
        </is>
      </c>
      <c r="B17" s="14" t="inlineStr">
        <is>
          <t>Fuente de agua — Quebrada estacional</t>
        </is>
      </c>
      <c r="C17" s="27" t="n">
        <v>653602</v>
      </c>
      <c r="D17" s="27" t="n">
        <v>9426294</v>
      </c>
      <c r="E17" s="14" t="n">
        <v>254.7</v>
      </c>
      <c r="F17" s="14" t="inlineStr">
        <is>
          <t>Estacional</t>
        </is>
      </c>
      <c r="G17" s="14" t="inlineStr">
        <is>
          <t>Cauce secundario tributario</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653850</v>
      </c>
      <c r="C20" s="6" t="inlineStr">
        <is>
          <t>Centroide del bloque — UTM NORTE (m)</t>
        </is>
      </c>
      <c r="D20" s="7" t="n">
        <v>9426236</v>
      </c>
      <c r="E20" s="8" t="n"/>
      <c r="F20" s="8" t="n"/>
      <c r="G20" s="8" t="n"/>
      <c r="H20" s="8" t="n"/>
    </row>
    <row r="21">
      <c r="A21" s="6" t="inlineStr">
        <is>
          <t>N.° de estaciones fotográficas declaradas</t>
        </is>
      </c>
      <c r="B21" s="7" t="n">
        <v>5</v>
      </c>
      <c r="C21" s="6" t="inlineStr">
        <is>
          <t>Estaciones dentro del polígono</t>
        </is>
      </c>
      <c r="D21" s="7" t="n">
        <v>0</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13-08-2026 con dron DJI Phantom 4 Pro V2 (vuelo fotogramétrico y video oblicuo/cenital) y GPS Garmin GPSMAP 66sr. Puntos GPS del recorrido: 653 616/9 426 278 (1 668.9 msnm); 653 619/9 426 255 (1 678.7); 653 589/9 426 303 (1 675.0); 653 587/9 426 301 (1 674.3); 653 602/9 426 294 (1 670.9). TODOS los puntos se ubican sobre la trocha carrozable que corre al oeste del bloque, entre 15 y 30 m de su límite occidental; el interior se cubrió con vuelo de dron. PENDIENTE: estimada en gabinete sobre curvas de nivel (equidistancia 50 m) por método de Wentworth: 63.9% ≈ 32.6° (transectos E-O directos: 61.5%). ALTITUD: rango real del bloque estimado en 1 660-2 120 msnm (desnivel ≈450 m); atraviesa las clases 1500-2000 y 2000-2500; se consigna la clase dominante. INDICIOS DE REMOCIÓN EN MASA: escarpes activos en taludes de corte de la trocha y cabecera de quebrada; bloques rocosos métricos desprendidos sobre la plataforma vial; cauce con acumulación de bloques angulosos frescos (flujo de detritos reciente); terracetas y sendas de ganado (reptación).</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60</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1" t="inlineStr">
        <is>
          <t>► 60</t>
        </is>
      </c>
      <c r="B15" s="30" t="n">
        <v>40.13</v>
      </c>
      <c r="C15" s="31" t="n">
        <v>7.27</v>
      </c>
      <c r="D15" s="12" t="inlineStr">
        <is>
          <t>1638 – 2073</t>
        </is>
      </c>
      <c r="E15" s="12" t="n">
        <v>435</v>
      </c>
      <c r="F15" s="12" t="n">
        <v>32.67</v>
      </c>
      <c r="G15" s="32" t="n">
        <v>0.6745</v>
      </c>
      <c r="H15" s="31" t="n">
        <v>99.90000000000001</v>
      </c>
      <c r="I15" s="3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60 ocupa el puesto 6 de 10 por superficie dentro de la microcuenca C1081-Q9591 (7.27 % de las 552.18 ha preliminares de la microcuenca). Su pendiente promedio (32.67 %, clase «25-50% (Mod. escarpado)») es la 10.ª más baja de 10 y se sitúa por encima del promedio de la microcuenca (29.09 %). Su MSAVI 2024 (0.6745) es el 1.º de 10 y queda por encima del promedio local (0.6292). Amplitud altitudinal del bloque: 435 m (1638–2073 msnm). El cuadro conserva todos los bloques catalogados en la microcuenca, incluidos los descartados en el tamizaje, para referencia del conjunto. Los bloques sin ficha DT figuran con sus parámetros de gabinete. BRECHA ESPECTRAL. El 0.61 % de la superficie del bloque (0.245 ha de 40.132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60</t>
        </is>
      </c>
    </row>
    <row r="6">
      <c r="A6" s="52" t="inlineStr">
        <is>
          <t>Cruce de la ficha de campo F-DT vigente con la ficha de resumen de gabinete y el catálogo maestro. Integración 2026-09-11 21:26:28.</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237.7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(1669 msnm) cae dentro del rango altitudinal del bloque (1638 - 2073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(40.140 ha) se desvía 0.02 % de la superficie de catálogo (40.13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(40.132 ha) se desvía 0.00 % de la superficie de catálogo (40.13 ha).</t>
        </is>
      </c>
      <c r="D14" s="57" t="inlineStr">
        <is>
          <t>CONFORME</t>
        </is>
      </c>
      <c r="E14" s="57" t="inlineStr">
        <is>
          <t>Sin acción: la segmentación valida la geometría del bloque.</t>
        </is>
      </c>
    </row>
    <row r="15">
      <c r="A15" s="56" t="inlineStr">
        <is>
          <t>G-07</t>
        </is>
      </c>
      <c r="B15" s="56" t="inlineStr">
        <is>
          <t>Brecha espectral MSAVI</t>
        </is>
      </c>
      <c r="C15" s="56" t="inlineStr">
        <is>
          <t>El 0.61 % del bloque queda bajo el umbral 0.4976; superficie de brecha 0.2447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40.13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(0.6745)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Centro poblado asociado</t>
        </is>
      </c>
      <c r="C19" s="56" t="inlineStr">
        <is>
          <t>El libro de resumen V6 consignaba «Flor de Café (Canchaque; 111 hab., 41 viviendas, INEI) — a 1.06 km al NNO del punto de verificación»; la ficha de campo vigente declara «Flor de Café (Canchaque) — 1.06 km al NNO».</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Parcela de muestreo</t>
        </is>
      </c>
      <c r="C20" s="57" t="inlineStr">
        <is>
          <t>El libro de resumen V6 consignaba «Sin parcela instalada — recorrido perimetral y fotointerpretación de dron»; la ficha de campo vigente declara «Sin parcela instalada — evaluación por recorrido perimetral y fotointerpretación de dron».</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96.4 % de los campos esperados).</t>
        </is>
      </c>
      <c r="D21" s="56" t="inlineStr">
        <is>
          <t>CONFORME</t>
        </is>
      </c>
      <c r="E21" s="56" t="inlineStr">
        <is>
          <t>Sin acción.</t>
        </is>
      </c>
    </row>
    <row r="22">
      <c r="A22" s="57" t="inlineStr">
        <is>
          <t>F-02</t>
        </is>
      </c>
      <c r="B22" s="57" t="inlineStr">
        <is>
          <t>Cobertura de la integración</t>
        </is>
      </c>
      <c r="C22" s="57" t="inlineStr">
        <is>
          <t>Se declararon 94 de 114 hechos integrados (82.5 %); 20 quedan sin dato en ninguna fuente.</t>
        </is>
      </c>
      <c r="D22" s="57" t="inlineStr">
        <is>
          <t>CONFORME</t>
        </is>
      </c>
      <c r="E22" s="57" t="inlineStr">
        <is>
          <t>Sin acción.</t>
        </is>
      </c>
    </row>
    <row r="23">
      <c r="A23" s="56" t="inlineStr">
        <is>
          <t>H-01</t>
        </is>
      </c>
      <c r="B23" s="56" t="inlineStr">
        <is>
          <t>Rango de pendiente dominante</t>
        </is>
      </c>
      <c r="C23" s="56" t="inlineStr">
        <is>
          <t>La ficha DT declara «50-75% (Escarpado)»; la estadística zonal sobre el MDE arroja una pendiente promedio de 32.67 %, que corresponde a la clase «25-50% (Mod. escarpado)»</t>
        </is>
      </c>
      <c r="D23" s="56" t="inlineStr">
        <is>
          <t>NO SUSTANTIVA</t>
        </is>
      </c>
      <c r="E23"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7" t="inlineStr">
        <is>
          <t>H-02</t>
        </is>
      </c>
      <c r="B24" s="57" t="inlineStr">
        <is>
          <t>Dimensiones del inventario de cárcavas</t>
        </is>
      </c>
      <c r="C24" s="57" t="inlineStr">
        <is>
          <t>Se registran 0 = no inventariadas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H-03</t>
        </is>
      </c>
      <c r="B25" s="56" t="inlineStr">
        <is>
          <t>Representatividad del levantamiento</t>
        </is>
      </c>
      <c r="C25" s="56" t="inlineStr">
        <is>
          <t>Ninguna de las estaciones fotográficas georreferenciadas se localiza dentro del polígono del bloque</t>
        </is>
      </c>
      <c r="D25" s="56" t="inlineStr">
        <is>
          <t>SUSTANTIVA</t>
        </is>
      </c>
      <c r="E25" s="56" t="inlineStr">
        <is>
          <t>La verificación documenta el perímetro y la vista panorámica del bloque, no su interior. Los parámetros que exigen recorrido interno se consignan «Por determinar». (Verificación heredada de la ficha de resumen V6.)</t>
        </is>
      </c>
    </row>
    <row r="26">
      <c r="A26" s="57" t="inlineStr">
        <is>
          <t>H-04</t>
        </is>
      </c>
      <c r="B26" s="57" t="inlineStr">
        <is>
          <t>F-DT-01</t>
        </is>
      </c>
      <c r="C26" s="57" t="inlineStr">
        <is>
          <t>Rango altitudinal real del bloque (≈1660-2120 msnm) atraviesa dos clases altitudinales; la ficha consigna solo la clase dominante 1500-2000 m</t>
        </is>
      </c>
      <c r="D26" s="57" t="inlineStr">
        <is>
          <t>NO SUSTANTIVA</t>
        </is>
      </c>
      <c r="E26" s="57" t="inlineStr">
        <is>
          <t>Declarado en la propia ficha (Verificación heredada de la ficha de resumen V6.)</t>
        </is>
      </c>
    </row>
    <row r="27">
      <c r="A27" s="56" t="inlineStr">
        <is>
          <t>H-05</t>
        </is>
      </c>
      <c r="B27" s="56" t="inlineStr">
        <is>
          <t>F-DT-02</t>
        </is>
      </c>
      <c r="C27" s="56" t="inlineStr">
        <is>
          <t>N.° de cárcavas = 0 significa NO INVENTARIADAS, no ausencia verificada</t>
        </is>
      </c>
      <c r="D27" s="56" t="inlineStr">
        <is>
          <t>SUSTANTIVA</t>
        </is>
      </c>
      <c r="E27" s="56" t="inlineStr">
        <is>
          <t>No usar el valor 0 para calcular densidad por hectárea; pendiente del procesamiento del MDS del vuelo de dron (Verificación heredada de la ficha de resumen V6.)</t>
        </is>
      </c>
    </row>
    <row r="28">
      <c r="A28" s="57" t="inlineStr">
        <is>
          <t>H-06</t>
        </is>
      </c>
      <c r="B28" s="57" t="inlineStr">
        <is>
          <t>F-DT-03</t>
        </is>
      </c>
      <c r="C28" s="57" t="inlineStr">
        <is>
          <t>Tipo de ecosistema MINAM «Matorral Andino subhúmedo» es preliminar</t>
        </is>
      </c>
      <c r="D28" s="57" t="inlineStr">
        <is>
          <t>NO SUSTANTIVA</t>
        </is>
      </c>
      <c r="E28" s="57" t="inlineStr">
        <is>
          <t>Reconciliar con la capa oficial del Mapa Nacional de Ecosistemas (Verificación heredada de la ficha de resumen V6.)</t>
        </is>
      </c>
    </row>
    <row r="29">
      <c r="A29" s="56" t="inlineStr">
        <is>
          <t>H-07</t>
        </is>
      </c>
      <c r="B29" s="56" t="inlineStr">
        <is>
          <t>F-DT-05</t>
        </is>
      </c>
      <c r="C29" s="56" t="inlineStr">
        <is>
          <t>Requerimiento de autorización de Ronda Campesina sin dato — campo obligatorio</t>
        </is>
      </c>
      <c r="D29" s="56" t="inlineStr">
        <is>
          <t>SUSTANTIVA</t>
        </is>
      </c>
      <c r="E29" s="56" t="inlineStr">
        <is>
          <t>Cerrar con el equipo social antes de la carga definitiva al aplicativo (Verificación heredada de la ficha de resumen V6.)</t>
        </is>
      </c>
    </row>
    <row r="31">
      <c r="A31" s="58" t="inlineStr">
        <is>
          <t>RESUMEN</t>
        </is>
      </c>
      <c r="B31" s="59" t="inlineStr">
        <is>
          <t>21 verificaciones</t>
        </is>
      </c>
      <c r="C31" s="59" t="inlineStr">
        <is>
          <t>SUSTANTIVA: 4 · NO SUSTANTIVA: 4 · CORREGIDO: 2 · CONFORME: 11</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60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Centro poblado asociado</t>
        </is>
      </c>
      <c r="C9" s="56" t="inlineStr">
        <is>
          <t>Flor de Café (Canchaque; 111 hab., 41 viviendas, INEI) — a 1.06 km al NNO del punto de verificación</t>
        </is>
      </c>
      <c r="D9" s="56" t="inlineStr">
        <is>
          <t>Flor de Café (Canchaque) — 1.06 km al NNO</t>
        </is>
      </c>
      <c r="E9" s="56" t="inlineStr">
        <is>
          <t>Dato de campo</t>
        </is>
      </c>
    </row>
    <row r="10">
      <c r="A10" s="57" t="inlineStr">
        <is>
          <t>5. Ecosistema, cobertura y flora (F-DT-03)</t>
        </is>
      </c>
      <c r="B10" s="57" t="inlineStr">
        <is>
          <t>Parcela de muestreo</t>
        </is>
      </c>
      <c r="C10" s="57" t="inlineStr">
        <is>
          <t>Sin parcela instalada — recorrido perimetral y fotointerpretación de dron</t>
        </is>
      </c>
      <c r="D10" s="57" t="inlineStr">
        <is>
          <t>Sin parcela instalada — evaluación por recorrido perimetral y fotointerpretación de dron</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653616</t>
        </is>
      </c>
      <c r="D14" s="56" t="inlineStr">
        <is>
          <t>m</t>
        </is>
      </c>
    </row>
    <row r="15">
      <c r="A15" s="57" t="inlineStr">
        <is>
          <t>1. Identificación y localización</t>
        </is>
      </c>
      <c r="B15" s="57" t="inlineStr">
        <is>
          <t>UTM NORTE del punto de muestreo (m)</t>
        </is>
      </c>
      <c r="C15" s="57" t="inlineStr">
        <is>
          <t>9426278</t>
        </is>
      </c>
      <c r="D15" s="57" t="inlineStr">
        <is>
          <t>m</t>
        </is>
      </c>
    </row>
    <row r="16">
      <c r="A16" s="56" t="inlineStr">
        <is>
          <t>2. Parámetros físicos del terreno</t>
        </is>
      </c>
      <c r="B16" s="56" t="inlineStr">
        <is>
          <t>Altitud GPS del punto de muestreo (msnm)</t>
        </is>
      </c>
      <c r="C16" s="56" t="inlineStr">
        <is>
          <t>1668.9</t>
        </is>
      </c>
      <c r="D16" s="56" t="inlineStr">
        <is>
          <t>msnm</t>
        </is>
      </c>
    </row>
    <row r="17">
      <c r="A17" s="57" t="inlineStr">
        <is>
          <t>2. Parámetros físicos del terreno</t>
        </is>
      </c>
      <c r="B17" s="57" t="inlineStr">
        <is>
          <t>Piso altitudinal del punto de muestreo</t>
        </is>
      </c>
      <c r="C17" s="57" t="inlineStr">
        <is>
          <t>1500-2000 m (Quechua media)</t>
        </is>
      </c>
      <c r="D17" s="57" t="inlineStr"/>
    </row>
    <row r="18">
      <c r="A18" s="56" t="inlineStr">
        <is>
          <t>2. Parámetros físicos del terreno</t>
        </is>
      </c>
      <c r="B18" s="56" t="inlineStr">
        <is>
          <t>Paisaje dominante descrito en campo</t>
        </is>
      </c>
      <c r="C18" s="56" t="inlineStr">
        <is>
          <t>Ladera de montaña de exposición oeste, disectada por quebradas de régimen estacional, con mosaico de matorral denso, relictos arbóreos y parcelas agroforestales (plátano, café, caña) en fondos de quebrada y rellanos. Afloramientos rocosos y bloques métricos dispersos en superficie.</t>
        </is>
      </c>
      <c r="D18" s="56" t="inlineStr"/>
    </row>
    <row r="19">
      <c r="A19" s="57" t="inlineStr">
        <is>
          <t>2. Parámetros físicos del terreno</t>
        </is>
      </c>
      <c r="B19" s="57" t="inlineStr">
        <is>
          <t>Reptación de suelo</t>
        </is>
      </c>
      <c r="C19" s="57" t="inlineStr">
        <is>
          <t>Sí</t>
        </is>
      </c>
      <c r="D19" s="57" t="inlineStr"/>
    </row>
    <row r="20">
      <c r="A20" s="56" t="inlineStr">
        <is>
          <t>2. Parámetros físicos del terreno</t>
        </is>
      </c>
      <c r="B20" s="56" t="inlineStr">
        <is>
          <t>Deslizamientos antiguos</t>
        </is>
      </c>
      <c r="C20" s="56" t="inlineStr">
        <is>
          <t>Sí</t>
        </is>
      </c>
      <c r="D20" s="56" t="inlineStr"/>
    </row>
    <row r="21">
      <c r="A21" s="57" t="inlineStr">
        <is>
          <t>4. Suelos y erosión (F-DT-02)</t>
        </is>
      </c>
      <c r="B21" s="57" t="inlineStr">
        <is>
          <t>Nivel de erosión - síntesis de campo</t>
        </is>
      </c>
      <c r="C21" s="57" t="inlineStr">
        <is>
          <t>Moderada (surcos)</t>
        </is>
      </c>
      <c r="D21" s="57" t="inlineStr"/>
    </row>
    <row r="22">
      <c r="A22" s="56" t="inlineStr">
        <is>
          <t>4. Suelos y erosión (F-DT-02)</t>
        </is>
      </c>
      <c r="B22" s="56" t="inlineStr">
        <is>
          <t>Compactación por pisoteo</t>
        </is>
      </c>
      <c r="C22" s="56" t="inlineStr">
        <is>
          <t>Sí</t>
        </is>
      </c>
      <c r="D22" s="56" t="inlineStr"/>
    </row>
    <row r="23">
      <c r="A23" s="57" t="inlineStr">
        <is>
          <t>4. Suelos y erosión (F-DT-02)</t>
        </is>
      </c>
      <c r="B23" s="57" t="inlineStr">
        <is>
          <t>Socavamiento de cauce</t>
        </is>
      </c>
      <c r="C23" s="57" t="inlineStr">
        <is>
          <t>Sí</t>
        </is>
      </c>
      <c r="D23" s="57" t="inlineStr"/>
    </row>
    <row r="24">
      <c r="A24" s="56" t="inlineStr">
        <is>
          <t>5. Ecosistema, cobertura y flora (F-DT-03)</t>
        </is>
      </c>
      <c r="B24" s="56" t="inlineStr">
        <is>
          <t>Cobertura del dosel (%)</t>
        </is>
      </c>
      <c r="C24" s="56" t="inlineStr">
        <is>
          <t>25</t>
        </is>
      </c>
      <c r="D24" s="56" t="inlineStr">
        <is>
          <t>%</t>
        </is>
      </c>
    </row>
    <row r="25">
      <c r="A25" s="57" t="inlineStr">
        <is>
          <t>5. Ecosistema, cobertura y flora (F-DT-03)</t>
        </is>
      </c>
      <c r="B25" s="57" t="inlineStr">
        <is>
          <t>Cobertura arbustiva (%)</t>
        </is>
      </c>
      <c r="C25" s="57" t="inlineStr">
        <is>
          <t>45</t>
        </is>
      </c>
      <c r="D25" s="57" t="inlineStr">
        <is>
          <t>%</t>
        </is>
      </c>
    </row>
    <row r="26">
      <c r="A26" s="56" t="inlineStr">
        <is>
          <t>5. Ecosistema, cobertura y flora (F-DT-03)</t>
        </is>
      </c>
      <c r="B26" s="56" t="inlineStr">
        <is>
          <t>Cobertura herbácea (%)</t>
        </is>
      </c>
      <c r="C26" s="56" t="inlineStr">
        <is>
          <t>25</t>
        </is>
      </c>
      <c r="D26" s="56" t="inlineStr">
        <is>
          <t>%</t>
        </is>
      </c>
    </row>
    <row r="27">
      <c r="A27" s="57" t="inlineStr">
        <is>
          <t>5. Ecosistema, cobertura y flora (F-DT-03)</t>
        </is>
      </c>
      <c r="B27" s="57" t="inlineStr">
        <is>
          <t>Altura del estrato dominante (m)</t>
        </is>
      </c>
      <c r="C27" s="57" t="inlineStr">
        <is>
          <t>3</t>
        </is>
      </c>
      <c r="D27" s="57" t="inlineStr">
        <is>
          <t>m</t>
        </is>
      </c>
    </row>
    <row r="28">
      <c r="A28" s="56" t="inlineStr">
        <is>
          <t>5. Ecosistema, cobertura y flora (F-DT-03)</t>
        </is>
      </c>
      <c r="B28" s="56" t="inlineStr">
        <is>
          <t>Altura máxima registrada (m)</t>
        </is>
      </c>
      <c r="C28" s="56" t="inlineStr">
        <is>
          <t>18</t>
        </is>
      </c>
      <c r="D28" s="56" t="inlineStr">
        <is>
          <t>m</t>
        </is>
      </c>
    </row>
    <row r="29">
      <c r="A29" s="57" t="inlineStr">
        <is>
          <t>5. Ecosistema, cobertura y flora (F-DT-03)</t>
        </is>
      </c>
      <c r="B29" s="57" t="inlineStr">
        <is>
          <t>Presencia de epífitas</t>
        </is>
      </c>
      <c r="C29" s="57" t="inlineStr">
        <is>
          <t>Presencia moderada de musgos, líquenes y helechos sobre taludes, rocas y ramas bajas</t>
        </is>
      </c>
      <c r="D29" s="57" t="inlineStr"/>
    </row>
    <row r="30">
      <c r="A30" s="56" t="inlineStr">
        <is>
          <t>5. Ecosistema, cobertura y flora (F-DT-03)</t>
        </is>
      </c>
      <c r="B30" s="56" t="inlineStr">
        <is>
          <t>Fenología dominante</t>
        </is>
      </c>
      <c r="C30" s="56" t="inlineStr">
        <is>
          <t>Floración</t>
        </is>
      </c>
      <c r="D30" s="56" t="inlineStr"/>
    </row>
    <row r="31">
      <c r="A31" s="57" t="inlineStr">
        <is>
          <t>5. Ecosistema, cobertura y flora (F-DT-03)</t>
        </is>
      </c>
      <c r="B31" s="57" t="inlineStr">
        <is>
          <t>Pendiente de la parcela (%)</t>
        </is>
      </c>
      <c r="C31" s="57" t="inlineStr">
        <is>
          <t>63.9</t>
        </is>
      </c>
      <c r="D31" s="57" t="inlineStr">
        <is>
          <t>%</t>
        </is>
      </c>
    </row>
    <row r="32">
      <c r="A32" s="56" t="inlineStr">
        <is>
          <t>5. Ecosistema, cobertura y flora (F-DT-03)</t>
        </is>
      </c>
      <c r="B32" s="56" t="inlineStr">
        <is>
          <t>Especies clave georreferenciadas</t>
        </is>
      </c>
      <c r="C32" s="56" t="inlineStr">
        <is>
          <t>4</t>
        </is>
      </c>
      <c r="D32" s="56" t="inlineStr"/>
    </row>
    <row r="33">
      <c r="A33" s="57" t="inlineStr">
        <is>
          <t>6. Degradación, causas y urgencia (F-DT-04)</t>
        </is>
      </c>
      <c r="B33" s="57" t="inlineStr">
        <is>
          <t>Causas directas de la degradación</t>
        </is>
      </c>
      <c r="C33" s="57" t="inlineStr">
        <is>
          <t>(i) Presión vial: la trocha carrozable colindante genera taludes inestables, desprendimientos y facilita el acceso extractivo; (ii) avance del mosaico agrícola (plátano, café, caña) sobre fondos de quebrada y rellanos; (iii) pastoreo extensivo con terracetas y compactación en ladera media; (iv) erosión natural severa asociada al socavamiento del cauce de la quebrada en un relieve de pendiente media 63.9% (32.6°).</t>
        </is>
      </c>
      <c r="D33" s="57" t="inlineStr"/>
    </row>
    <row r="34">
      <c r="A34" s="56" t="inlineStr">
        <is>
          <t>6. Degradación, causas y urgencia (F-DT-04)</t>
        </is>
      </c>
      <c r="B34" s="56" t="inlineStr">
        <is>
          <t>N.° de causas activas en la matriz F-DT-04</t>
        </is>
      </c>
      <c r="C34" s="56" t="inlineStr">
        <is>
          <t>4</t>
        </is>
      </c>
      <c r="D34" s="56" t="inlineStr"/>
    </row>
    <row r="35">
      <c r="A35" s="57" t="inlineStr">
        <is>
          <t>7. Hidrología, acceso y logística (F-DT-05)</t>
        </is>
      </c>
      <c r="B35" s="57" t="inlineStr">
        <is>
          <t>Escorrentía concentrada</t>
        </is>
      </c>
      <c r="C35" s="57" t="inlineStr">
        <is>
          <t>Sí</t>
        </is>
      </c>
      <c r="D35" s="57" t="inlineStr"/>
    </row>
    <row r="36">
      <c r="A36" s="56" t="inlineStr">
        <is>
          <t>7. Hidrología, acceso y logística (F-DT-05)</t>
        </is>
      </c>
      <c r="B36" s="56" t="inlineStr">
        <is>
          <t>Fuentes de agua inventariadas</t>
        </is>
      </c>
      <c r="C36" s="56" t="inlineStr">
        <is>
          <t>2</t>
        </is>
      </c>
      <c r="D36" s="56" t="inlineStr"/>
    </row>
    <row r="37">
      <c r="A37" s="57" t="inlineStr">
        <is>
          <t>7. Hidrología, acceso y logística (F-DT-05)</t>
        </is>
      </c>
      <c r="B37" s="57" t="inlineStr">
        <is>
          <t>Interferencia con riego</t>
        </is>
      </c>
      <c r="C37" s="57" t="inlineStr">
        <is>
          <t>No</t>
        </is>
      </c>
      <c r="D37" s="57" t="inlineStr"/>
    </row>
    <row r="38">
      <c r="A38" s="56" t="inlineStr">
        <is>
          <t>7. Hidrología, acceso y logística (F-DT-05)</t>
        </is>
      </c>
      <c r="B38" s="56" t="inlineStr">
        <is>
          <t>Vía principal de acceso</t>
        </is>
      </c>
      <c r="C38" s="56" t="inlineStr">
        <is>
          <t>Trocha carrozable Canchaque – Flor de Café / Pariamarca (código de ruta por verificar con MTC)</t>
        </is>
      </c>
      <c r="D38" s="56" t="inlineStr"/>
    </row>
    <row r="39">
      <c r="A39" s="57" t="inlineStr">
        <is>
          <t>7. Hidrología, acceso y logística (F-DT-05)</t>
        </is>
      </c>
      <c r="B39" s="57" t="inlineStr">
        <is>
          <t>Tipo de vía del tramo final</t>
        </is>
      </c>
      <c r="C39" s="57" t="inlineStr">
        <is>
          <t>Trocha carrozable</t>
        </is>
      </c>
      <c r="D39" s="57" t="inlineStr"/>
    </row>
    <row r="40">
      <c r="A40" s="56" t="inlineStr">
        <is>
          <t>7. Hidrología, acceso y logística (F-DT-05)</t>
        </is>
      </c>
      <c r="B40" s="56" t="inlineStr">
        <is>
          <t>Transitabilidad en época seca</t>
        </is>
      </c>
      <c r="C40" s="56" t="inlineStr">
        <is>
          <t>Medio</t>
        </is>
      </c>
      <c r="D40" s="56" t="inlineStr"/>
    </row>
    <row r="41">
      <c r="A41" s="57" t="inlineStr">
        <is>
          <t>7. Hidrología, acceso y logística (F-DT-05)</t>
        </is>
      </c>
      <c r="B41" s="57" t="inlineStr">
        <is>
          <t>Transitabilidad en época lluviosa</t>
        </is>
      </c>
      <c r="C41" s="57" t="inlineStr">
        <is>
          <t>Bajo</t>
        </is>
      </c>
      <c r="D41" s="57" t="inlineStr"/>
    </row>
    <row r="43">
      <c r="A43" s="54" t="inlineStr">
        <is>
          <t>C. PROCEDENCIA DE LOS HECHOS DECLARADOS</t>
        </is>
      </c>
    </row>
    <row r="44">
      <c r="A44" s="55" t="inlineStr">
        <is>
          <t>Fuente</t>
        </is>
      </c>
      <c r="B44" s="55" t="inlineStr">
        <is>
          <t>Hechos</t>
        </is>
      </c>
      <c r="C44" s="55" t="inlineStr">
        <is>
          <t>Alcance de la fuente</t>
        </is>
      </c>
    </row>
    <row r="45">
      <c r="A45" s="56" t="inlineStr">
        <is>
          <t>Dato de campo</t>
        </is>
      </c>
      <c r="B45" s="56" t="n">
        <v>57</v>
      </c>
      <c r="C45" s="56" t="inlineStr">
        <is>
          <t>Verificación en campo. Fichas F-DT-01 a F-DT-05 de la Plantilla DT Campo Check Validada V5, suscritas por el evaluador.</t>
        </is>
      </c>
    </row>
    <row r="46">
      <c r="A46" s="57" t="inlineStr">
        <is>
          <t>Gabinete (GIS / teledetección)</t>
        </is>
      </c>
      <c r="B46" s="57" t="n">
        <v>23</v>
      </c>
      <c r="C46" s="57" t="inlineStr">
        <is>
          <t>Gabinete. Estadística zonal sobre el MDE y compuestos Sentinel-2 (NDVI mediana 2025, MSAVI 2024 por clase DN).</t>
        </is>
      </c>
    </row>
    <row r="47">
      <c r="A47" s="56" t="inlineStr">
        <is>
          <t>Fuente oficial</t>
        </is>
      </c>
      <c r="B47" s="56" t="n">
        <v>14</v>
      </c>
      <c r="C47" s="56" t="inlineStr">
        <is>
          <t>Fuente oficial. Catálogo maestro Bloques V5/V6, división política INEI y codificación de microcuencas de la ANA.</t>
        </is>
      </c>
    </row>
    <row r="49">
      <c r="A49" s="54" t="inlineStr">
        <is>
          <t>D. ESTADO DEL CRUCE ENTRE FUENTES</t>
        </is>
      </c>
    </row>
    <row r="50">
      <c r="A50" s="55" t="inlineStr">
        <is>
          <t>Estado</t>
        </is>
      </c>
      <c r="B50" s="55" t="inlineStr">
        <is>
          <t>Hechos</t>
        </is>
      </c>
      <c r="C50" s="55" t="inlineStr">
        <is>
          <t>Significado</t>
        </is>
      </c>
    </row>
    <row r="51">
      <c r="A51" s="56" t="inlineStr">
        <is>
          <t>CONFORME</t>
        </is>
      </c>
      <c r="B51" s="56" t="n">
        <v>91</v>
      </c>
      <c r="C51" s="56" t="inlineStr">
        <is>
          <t>Las dos fuentes declaran lo mismo, o solo la fuente que manda sobre el hecho lo declara.</t>
        </is>
      </c>
    </row>
    <row r="52">
      <c r="A52" s="57" t="inlineStr">
        <is>
          <t>COMPLEMENTADO</t>
        </is>
      </c>
      <c r="B52" s="57" t="n">
        <v>1</v>
      </c>
      <c r="C52" s="57" t="inlineStr">
        <is>
          <t>Solo una de las fuentes lo declara y se adopta ese valor.</t>
        </is>
      </c>
    </row>
    <row r="53">
      <c r="A53" s="56" t="inlineStr">
        <is>
          <t>ACTUALIZADO</t>
        </is>
      </c>
      <c r="B53" s="56" t="n">
        <v>2</v>
      </c>
      <c r="C53" s="56" t="inlineStr">
        <is>
          <t>La verificación de campo vigente corrige lo que traía el libro de resumen.</t>
        </is>
      </c>
    </row>
    <row r="54">
      <c r="A54" s="57" t="inlineStr">
        <is>
          <t>DISCREPANTE</t>
        </is>
      </c>
      <c r="B54" s="57" t="n">
        <v>0</v>
      </c>
      <c r="C54" s="57" t="inlineStr">
        <is>
          <t>Las fuentes se contradicen; prevalece la que manda sobre el hecho y la otra queda declarada.</t>
        </is>
      </c>
    </row>
    <row r="55">
      <c r="A55" s="56" t="inlineStr">
        <is>
          <t>PENDIENTE</t>
        </is>
      </c>
      <c r="B55" s="56" t="n">
        <v>20</v>
      </c>
      <c r="C5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60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Eucalipto</t>
        </is>
      </c>
      <c r="C13" s="56" t="inlineStr">
        <is>
          <t>Eucalyptus globulus</t>
        </is>
      </c>
      <c r="D13" s="56" t="inlineStr">
        <is>
          <t>Myrtaceae</t>
        </is>
      </c>
      <c r="E13" s="56" t="inlineStr">
        <is>
          <t>Arbóreo superior (&gt;15 m)</t>
        </is>
      </c>
      <c r="F13" s="56" t="inlineStr">
        <is>
          <t>Introducida</t>
        </is>
      </c>
      <c r="G13" s="56" t="inlineStr">
        <is>
          <t>Frecuente (5-20%)</t>
        </is>
      </c>
      <c r="H13" s="56" t="n"/>
      <c r="I13" s="61" t="n">
        <v>18</v>
      </c>
    </row>
    <row r="14">
      <c r="A14" s="57" t="inlineStr">
        <is>
          <t>2</t>
        </is>
      </c>
      <c r="B14" s="57" t="inlineStr">
        <is>
          <t>Grevilea</t>
        </is>
      </c>
      <c r="C14" s="57" t="inlineStr">
        <is>
          <t>Grevillea robusta</t>
        </is>
      </c>
      <c r="D14" s="57" t="inlineStr">
        <is>
          <t>Proteaceae</t>
        </is>
      </c>
      <c r="E14" s="57" t="inlineStr">
        <is>
          <t>Arbóreo medio (8-15 m)</t>
        </is>
      </c>
      <c r="F14" s="57" t="inlineStr">
        <is>
          <t>Introducida</t>
        </is>
      </c>
      <c r="G14" s="57" t="inlineStr">
        <is>
          <t>Ocasional (1-5%)</t>
        </is>
      </c>
      <c r="H14" s="57" t="n"/>
      <c r="I14" s="62" t="n">
        <v>10</v>
      </c>
    </row>
    <row r="15">
      <c r="A15" s="56" t="inlineStr">
        <is>
          <t>3</t>
        </is>
      </c>
      <c r="B15" s="56" t="inlineStr">
        <is>
          <t>Sauce</t>
        </is>
      </c>
      <c r="C15" s="56" t="inlineStr">
        <is>
          <t>Salix humboldtiana</t>
        </is>
      </c>
      <c r="D15" s="56" t="inlineStr">
        <is>
          <t>Salicaceae</t>
        </is>
      </c>
      <c r="E15" s="56" t="inlineStr">
        <is>
          <t>Arbóreo medio (8-15 m)</t>
        </is>
      </c>
      <c r="F15" s="56" t="inlineStr">
        <is>
          <t>Nativa</t>
        </is>
      </c>
      <c r="G15" s="56" t="inlineStr">
        <is>
          <t>Ocasional (1-5%)</t>
        </is>
      </c>
      <c r="H15" s="56" t="n"/>
      <c r="I15" s="63" t="n">
        <v>9</v>
      </c>
    </row>
    <row r="16">
      <c r="A16" s="57" t="inlineStr">
        <is>
          <t>4</t>
        </is>
      </c>
      <c r="B16" s="57" t="inlineStr">
        <is>
          <t>Pacae</t>
        </is>
      </c>
      <c r="C16" s="57" t="inlineStr">
        <is>
          <t>Inga feuillei</t>
        </is>
      </c>
      <c r="D16" s="57" t="inlineStr">
        <is>
          <t>Fabaceae</t>
        </is>
      </c>
      <c r="E16" s="57" t="inlineStr">
        <is>
          <t>Arbóreo medio (8-15 m)</t>
        </is>
      </c>
      <c r="F16" s="57" t="inlineStr">
        <is>
          <t>Nativa</t>
        </is>
      </c>
      <c r="G16" s="57" t="inlineStr">
        <is>
          <t>Ocasional (1-5%)</t>
        </is>
      </c>
      <c r="H16" s="57" t="n"/>
      <c r="I16" s="64" t="n">
        <v>9</v>
      </c>
    </row>
    <row r="17">
      <c r="A17" s="56" t="inlineStr">
        <is>
          <t>5</t>
        </is>
      </c>
      <c r="B17" s="56" t="inlineStr">
        <is>
          <t>Caña guayaquil</t>
        </is>
      </c>
      <c r="C17" s="56" t="inlineStr">
        <is>
          <t>Guadua angustifolia</t>
        </is>
      </c>
      <c r="D17" s="56" t="inlineStr">
        <is>
          <t>Poaceae</t>
        </is>
      </c>
      <c r="E17" s="56" t="inlineStr">
        <is>
          <t>Arbóreo medio (8-15 m)</t>
        </is>
      </c>
      <c r="F17" s="56" t="inlineStr">
        <is>
          <t>Nativa</t>
        </is>
      </c>
      <c r="G17" s="56" t="inlineStr">
        <is>
          <t>Ocasional (1-5%)</t>
        </is>
      </c>
      <c r="H17" s="56" t="n"/>
      <c r="I17" s="61" t="n">
        <v>10</v>
      </c>
    </row>
    <row r="18">
      <c r="A18" s="57" t="inlineStr">
        <is>
          <t>6</t>
        </is>
      </c>
      <c r="B18" s="57" t="inlineStr">
        <is>
          <t>Lúcuma</t>
        </is>
      </c>
      <c r="C18" s="57" t="inlineStr">
        <is>
          <t>Pouteria lucuma</t>
        </is>
      </c>
      <c r="D18" s="57" t="inlineStr">
        <is>
          <t>Sapotaceae</t>
        </is>
      </c>
      <c r="E18" s="57" t="inlineStr">
        <is>
          <t>Arbóreo bajo (4-8 m)</t>
        </is>
      </c>
      <c r="F18" s="57" t="inlineStr">
        <is>
          <t>Nativa</t>
        </is>
      </c>
      <c r="G18" s="57" t="inlineStr">
        <is>
          <t>Rara (&lt;1%)</t>
        </is>
      </c>
      <c r="H18" s="57" t="n"/>
      <c r="I18" s="64" t="n">
        <v>6</v>
      </c>
    </row>
    <row r="19">
      <c r="A19" s="56" t="inlineStr">
        <is>
          <t>7</t>
        </is>
      </c>
      <c r="B19" s="56" t="inlineStr">
        <is>
          <t>Chirimoya silvestre</t>
        </is>
      </c>
      <c r="C19" s="56" t="inlineStr">
        <is>
          <t>Annona cherimola</t>
        </is>
      </c>
      <c r="D19" s="56" t="inlineStr">
        <is>
          <t>Annonaceae</t>
        </is>
      </c>
      <c r="E19" s="56" t="inlineStr">
        <is>
          <t>Arbóreo bajo (4-8 m)</t>
        </is>
      </c>
      <c r="F19" s="56" t="inlineStr">
        <is>
          <t>Nativa</t>
        </is>
      </c>
      <c r="G19" s="56" t="inlineStr">
        <is>
          <t>Rara (&lt;1%)</t>
        </is>
      </c>
      <c r="H19" s="56" t="n"/>
      <c r="I19" s="63" t="n">
        <v>5</v>
      </c>
    </row>
    <row r="20">
      <c r="A20" s="57" t="inlineStr">
        <is>
          <t>8</t>
        </is>
      </c>
      <c r="B20" s="57" t="inlineStr">
        <is>
          <t>Faique</t>
        </is>
      </c>
      <c r="C20" s="57" t="inlineStr">
        <is>
          <t>Vachellia macracantha (=Acacia macracantha)</t>
        </is>
      </c>
      <c r="D20" s="57" t="inlineStr">
        <is>
          <t>Fabaceae</t>
        </is>
      </c>
      <c r="E20" s="57" t="inlineStr">
        <is>
          <t>Arbóreo bajo (4-8 m)</t>
        </is>
      </c>
      <c r="F20" s="57" t="inlineStr">
        <is>
          <t>Nativa</t>
        </is>
      </c>
      <c r="G20" s="57" t="inlineStr">
        <is>
          <t>Ocasional (1-5%)</t>
        </is>
      </c>
      <c r="H20" s="57" t="n"/>
      <c r="I20" s="64" t="n">
        <v>6</v>
      </c>
    </row>
    <row r="21">
      <c r="A21" s="56" t="inlineStr">
        <is>
          <t>9</t>
        </is>
      </c>
      <c r="B21" s="56" t="inlineStr">
        <is>
          <t>Chilca</t>
        </is>
      </c>
      <c r="C21" s="56" t="inlineStr">
        <is>
          <t>Baccharis latifolia</t>
        </is>
      </c>
      <c r="D21" s="56" t="inlineStr">
        <is>
          <t>Asteraceae</t>
        </is>
      </c>
      <c r="E21" s="56" t="inlineStr">
        <is>
          <t>Arbustivo alto (1.5-4 m)</t>
        </is>
      </c>
      <c r="F21" s="56" t="inlineStr">
        <is>
          <t>Nativa</t>
        </is>
      </c>
      <c r="G21" s="56" t="inlineStr">
        <is>
          <t>Abundante (20-40%)</t>
        </is>
      </c>
      <c r="H21" s="56" t="n"/>
      <c r="I21" s="63" t="n">
        <v>2.5</v>
      </c>
    </row>
    <row r="22">
      <c r="A22" s="57" t="inlineStr">
        <is>
          <t>10</t>
        </is>
      </c>
      <c r="B22" s="57" t="inlineStr">
        <is>
          <t>Higuerilla</t>
        </is>
      </c>
      <c r="C22" s="57" t="inlineStr">
        <is>
          <t>Ricinus communis</t>
        </is>
      </c>
      <c r="D22" s="57" t="inlineStr">
        <is>
          <t>Euphorbiaceae</t>
        </is>
      </c>
      <c r="E22" s="57" t="inlineStr">
        <is>
          <t>Arbustivo alto (1.5-4 m)</t>
        </is>
      </c>
      <c r="F22" s="57" t="inlineStr">
        <is>
          <t>Invasora</t>
        </is>
      </c>
      <c r="G22" s="57" t="inlineStr">
        <is>
          <t>Frecuente (5-20%)</t>
        </is>
      </c>
      <c r="H22" s="57" t="n"/>
      <c r="I22" s="64" t="n">
        <v>2.5</v>
      </c>
    </row>
    <row r="23">
      <c r="A23" s="56" t="inlineStr">
        <is>
          <t>11</t>
        </is>
      </c>
      <c r="B23" s="56" t="inlineStr">
        <is>
          <t>Agave / Penca</t>
        </is>
      </c>
      <c r="C23" s="56" t="inlineStr">
        <is>
          <t>Agave americana</t>
        </is>
      </c>
      <c r="D23" s="56" t="inlineStr">
        <is>
          <t>Asparagaceae</t>
        </is>
      </c>
      <c r="E23" s="56" t="inlineStr">
        <is>
          <t>Arbustivo alto (1.5-4 m)</t>
        </is>
      </c>
      <c r="F23" s="56" t="inlineStr">
        <is>
          <t>Introducida</t>
        </is>
      </c>
      <c r="G23" s="56" t="inlineStr">
        <is>
          <t>Ocasional (1-5%)</t>
        </is>
      </c>
      <c r="H23" s="56" t="n"/>
      <c r="I23" s="63" t="n">
        <v>2</v>
      </c>
    </row>
    <row r="24">
      <c r="A24" s="57" t="inlineStr">
        <is>
          <t>12</t>
        </is>
      </c>
      <c r="B24" s="57" t="inlineStr">
        <is>
          <t>Falsa yuca</t>
        </is>
      </c>
      <c r="C24" s="57" t="inlineStr">
        <is>
          <t>Por determinar (colecta pendiente)</t>
        </is>
      </c>
      <c r="D24" s="57" t="inlineStr">
        <is>
          <t>Por determinar</t>
        </is>
      </c>
      <c r="E24" s="57" t="inlineStr">
        <is>
          <t>Arbustivo alto (1.5-4 m)</t>
        </is>
      </c>
      <c r="F24" s="57" t="inlineStr"/>
      <c r="G24" s="57" t="inlineStr">
        <is>
          <t>Ocasional (1-5%)</t>
        </is>
      </c>
      <c r="H24" s="57" t="n"/>
      <c r="I24" s="64" t="n">
        <v>2</v>
      </c>
    </row>
    <row r="25">
      <c r="A25" s="56" t="inlineStr">
        <is>
          <t>13</t>
        </is>
      </c>
      <c r="B25" s="56" t="inlineStr">
        <is>
          <t>Plátano (cultivo)</t>
        </is>
      </c>
      <c r="C25" s="56" t="inlineStr">
        <is>
          <t>Musa × paradisiaca</t>
        </is>
      </c>
      <c r="D25" s="56" t="inlineStr">
        <is>
          <t>Musaceae</t>
        </is>
      </c>
      <c r="E25" s="56" t="inlineStr">
        <is>
          <t>Arbustivo alto (1.5-4 m)</t>
        </is>
      </c>
      <c r="F25" s="56" t="inlineStr">
        <is>
          <t>Introducida</t>
        </is>
      </c>
      <c r="G25" s="56" t="inlineStr">
        <is>
          <t>Frecuente (5-20%)</t>
        </is>
      </c>
      <c r="H25" s="56" t="n"/>
      <c r="I25" s="63" t="n">
        <v>3.5</v>
      </c>
    </row>
    <row r="26">
      <c r="A26" s="57" t="inlineStr">
        <is>
          <t>14</t>
        </is>
      </c>
      <c r="B26" s="57" t="inlineStr">
        <is>
          <t>Café (cultivo)</t>
        </is>
      </c>
      <c r="C26" s="57" t="inlineStr">
        <is>
          <t>Coffea arabica</t>
        </is>
      </c>
      <c r="D26" s="57" t="inlineStr">
        <is>
          <t>Rubiaceae</t>
        </is>
      </c>
      <c r="E26" s="57" t="inlineStr">
        <is>
          <t>Arbustivo alto (1.5-4 m)</t>
        </is>
      </c>
      <c r="F26" s="57" t="inlineStr">
        <is>
          <t>Introducida</t>
        </is>
      </c>
      <c r="G26" s="57" t="inlineStr">
        <is>
          <t>Frecuente (5-20%)</t>
        </is>
      </c>
      <c r="H26" s="57" t="n"/>
      <c r="I26" s="64" t="n">
        <v>2</v>
      </c>
    </row>
    <row r="27">
      <c r="A27" s="56" t="inlineStr">
        <is>
          <t>15</t>
        </is>
      </c>
      <c r="B27" s="56" t="inlineStr">
        <is>
          <t>Caña de azúcar (cultivo)</t>
        </is>
      </c>
      <c r="C27" s="56" t="inlineStr">
        <is>
          <t>Saccharum officinarum</t>
        </is>
      </c>
      <c r="D27" s="56" t="inlineStr">
        <is>
          <t>Poaceae</t>
        </is>
      </c>
      <c r="E27" s="56" t="inlineStr">
        <is>
          <t>Arbustivo alto (1.5-4 m)</t>
        </is>
      </c>
      <c r="F27" s="56" t="inlineStr">
        <is>
          <t>Introducida</t>
        </is>
      </c>
      <c r="G27" s="56" t="inlineStr">
        <is>
          <t>Ocasional (1-5%)</t>
        </is>
      </c>
      <c r="H27" s="56" t="n"/>
      <c r="I27" s="63" t="n">
        <v>3</v>
      </c>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Ricinus communis (Higuerilla)</t>
        </is>
      </c>
      <c r="C31" s="56" t="inlineStr">
        <is>
          <t>Indicadora de perturbación</t>
        </is>
      </c>
      <c r="D31" s="56" t="inlineStr">
        <is>
          <t>NE — No Evaluado</t>
        </is>
      </c>
      <c r="E31" s="61" t="n">
        <v>653616</v>
      </c>
      <c r="F31" s="61" t="n">
        <v>9426278</v>
      </c>
      <c r="G31" s="56" t="n"/>
      <c r="H31" s="56" t="inlineStr">
        <is>
          <t>Coloniza taludes de corte de la trocha y bordes de vía; indicador de disturbio antrópico reciente</t>
        </is>
      </c>
    </row>
    <row r="32">
      <c r="A32" s="57" t="inlineStr">
        <is>
          <t>2</t>
        </is>
      </c>
      <c r="B32" s="57" t="inlineStr">
        <is>
          <t>Baccharis latifolia (Chilca)</t>
        </is>
      </c>
      <c r="C32" s="57" t="inlineStr">
        <is>
          <t>Indicadora de perturbación</t>
        </is>
      </c>
      <c r="D32" s="57" t="inlineStr">
        <is>
          <t>NE — No Evaluado</t>
        </is>
      </c>
      <c r="E32" s="62" t="n">
        <v>653589</v>
      </c>
      <c r="F32" s="62" t="n">
        <v>9426303</v>
      </c>
      <c r="G32" s="57" t="n"/>
      <c r="H32" s="57" t="inlineStr">
        <is>
          <t>Dominante en taludes y áreas con suelo removido; especie clave para barreras vivas y estabilización</t>
        </is>
      </c>
    </row>
    <row r="33">
      <c r="A33" s="56" t="inlineStr">
        <is>
          <t>3</t>
        </is>
      </c>
      <c r="B33" s="56" t="inlineStr">
        <is>
          <t>Salix humboldtiana (Sauce)</t>
        </is>
      </c>
      <c r="C33" s="56" t="inlineStr">
        <is>
          <t>Indicadora de buen estado</t>
        </is>
      </c>
      <c r="D33" s="56" t="inlineStr">
        <is>
          <t>NE — No Evaluado</t>
        </is>
      </c>
      <c r="E33" s="61" t="n">
        <v>653619</v>
      </c>
      <c r="F33" s="61" t="n">
        <v>9426255</v>
      </c>
      <c r="G33" s="56" t="n"/>
      <c r="H33" s="56" t="inlineStr">
        <is>
          <t>Asociada al cauce de quebrada; candidata para revegetación de fajas marginales</t>
        </is>
      </c>
    </row>
    <row r="34">
      <c r="A34" s="57" t="inlineStr">
        <is>
          <t>4</t>
        </is>
      </c>
      <c r="B34" s="57" t="inlineStr">
        <is>
          <t>Guadua angustifolia (Caña guayaquil)</t>
        </is>
      </c>
      <c r="C34" s="57" t="inlineStr">
        <is>
          <t>Clave cultural</t>
        </is>
      </c>
      <c r="D34" s="57" t="inlineStr">
        <is>
          <t>NE — No Evaluado</t>
        </is>
      </c>
      <c r="E34" s="62" t="n">
        <v>653619</v>
      </c>
      <c r="F34" s="62" t="n">
        <v>9426255</v>
      </c>
      <c r="G34" s="57" t="n"/>
      <c r="H34" s="57" t="inlineStr">
        <is>
          <t>Uso local en construcción y cercos; presente en fondo de quebrada</t>
        </is>
      </c>
    </row>
    <row r="36">
      <c r="A36" s="54" t="inlineStr">
        <is>
          <t>F-DT-04 · MATRIZ DE CAUSAS DE DEGRADACIÓN</t>
        </is>
      </c>
    </row>
    <row r="37">
      <c r="A37" s="55" t="inlineStr">
        <is>
          <t>N.o</t>
        </is>
      </c>
      <c r="B37" s="55" t="inlineStr">
        <is>
          <t>Causa</t>
        </is>
      </c>
      <c r="C37" s="55" t="inlineStr">
        <is>
          <t>Presencia</t>
        </is>
      </c>
      <c r="D37" s="55" t="inlineStr">
        <is>
          <t>Intensidad</t>
        </is>
      </c>
      <c r="E37" s="55" t="inlineStr">
        <is>
          <t>Extensión</t>
        </is>
      </c>
      <c r="F37" s="55" t="inlineStr">
        <is>
          <t>Antigüedad</t>
        </is>
      </c>
      <c r="G37" s="55" t="inlineStr">
        <is>
          <t>Evidencia</t>
        </is>
      </c>
    </row>
    <row r="38">
      <c r="A38" s="56" t="inlineStr">
        <is>
          <t>1</t>
        </is>
      </c>
      <c r="B38" s="56" t="inlineStr">
        <is>
          <t>Sobrepastoreo (caprino/vacuno)</t>
        </is>
      </c>
      <c r="C38" s="56" t="inlineStr">
        <is>
          <t>Sí</t>
        </is>
      </c>
      <c r="D38" s="56" t="inlineStr">
        <is>
          <t>Moderada</t>
        </is>
      </c>
      <c r="E38" s="56" t="inlineStr">
        <is>
          <t>20</t>
        </is>
      </c>
      <c r="F38" s="56" t="inlineStr"/>
      <c r="G38" s="56" t="inlineStr">
        <is>
          <t>Terracetas y sendas de ganado visibles en ortofoto de dron en ladera media; compactación superficial</t>
        </is>
      </c>
    </row>
    <row r="39">
      <c r="A39" s="57" t="inlineStr">
        <is>
          <t>2</t>
        </is>
      </c>
      <c r="B39" s="57" t="inlineStr">
        <is>
          <t>Tala para leña</t>
        </is>
      </c>
      <c r="C39" s="57" t="inlineStr"/>
      <c r="D39" s="57" t="inlineStr"/>
      <c r="E39" s="57" t="inlineStr"/>
      <c r="F39" s="57" t="inlineStr"/>
      <c r="G39" s="57" t="inlineStr"/>
    </row>
    <row r="40">
      <c r="A40" s="56" t="inlineStr">
        <is>
          <t>3</t>
        </is>
      </c>
      <c r="B40" s="56" t="inlineStr">
        <is>
          <t>Tala para carbón</t>
        </is>
      </c>
      <c r="C40" s="56" t="inlineStr"/>
      <c r="D40" s="56" t="inlineStr"/>
      <c r="E40" s="56" t="inlineStr"/>
      <c r="F40" s="56" t="inlineStr"/>
      <c r="G40" s="56" t="inlineStr"/>
    </row>
    <row r="41">
      <c r="A41" s="57" t="inlineStr">
        <is>
          <t>4</t>
        </is>
      </c>
      <c r="B41" s="57" t="inlineStr">
        <is>
          <t>Tala para madera</t>
        </is>
      </c>
      <c r="C41" s="57" t="inlineStr"/>
      <c r="D41" s="57" t="inlineStr"/>
      <c r="E41" s="57" t="inlineStr"/>
      <c r="F41" s="57" t="inlineStr"/>
      <c r="G41" s="57" t="inlineStr"/>
    </row>
    <row r="42">
      <c r="A42" s="56" t="inlineStr">
        <is>
          <t>5</t>
        </is>
      </c>
      <c r="B42" s="56" t="inlineStr">
        <is>
          <t>Quema (renovación de pastos)</t>
        </is>
      </c>
      <c r="C42" s="56" t="inlineStr"/>
      <c r="D42" s="56" t="inlineStr"/>
      <c r="E42" s="56" t="inlineStr"/>
      <c r="F42" s="56" t="inlineStr"/>
      <c r="G42" s="56" t="inlineStr"/>
    </row>
    <row r="43">
      <c r="A43" s="57" t="inlineStr">
        <is>
          <t>6</t>
        </is>
      </c>
      <c r="B43" s="57" t="inlineStr">
        <is>
          <t>Quema accidental / Incendio</t>
        </is>
      </c>
      <c r="C43" s="57" t="inlineStr"/>
      <c r="D43" s="57" t="inlineStr"/>
      <c r="E43" s="57" t="inlineStr"/>
      <c r="F43" s="57" t="inlineStr"/>
      <c r="G43" s="57" t="inlineStr"/>
    </row>
    <row r="44">
      <c r="A44" s="56" t="inlineStr">
        <is>
          <t>7</t>
        </is>
      </c>
      <c r="B44" s="56" t="inlineStr">
        <is>
          <t>Cambio de uso a agricultura</t>
        </is>
      </c>
      <c r="C44" s="56" t="inlineStr">
        <is>
          <t>Sí</t>
        </is>
      </c>
      <c r="D44" s="56" t="inlineStr">
        <is>
          <t>Moderada</t>
        </is>
      </c>
      <c r="E44" s="56" t="inlineStr">
        <is>
          <t>25</t>
        </is>
      </c>
      <c r="F44" s="56" t="inlineStr"/>
      <c r="G44" s="56" t="inlineStr">
        <is>
          <t>Parcelas de plátano, café y caña de azúcar en fondos de quebrada, rellanos y borde de vía</t>
        </is>
      </c>
    </row>
    <row r="45">
      <c r="A45" s="57" t="inlineStr">
        <is>
          <t>8</t>
        </is>
      </c>
      <c r="B45" s="57" t="inlineStr">
        <is>
          <t>Cambio de uso a pastoreo</t>
        </is>
      </c>
      <c r="C45" s="57" t="inlineStr"/>
      <c r="D45" s="57" t="inlineStr"/>
      <c r="E45" s="57" t="inlineStr"/>
      <c r="F45" s="57" t="inlineStr"/>
      <c r="G45" s="57" t="inlineStr"/>
    </row>
    <row r="46">
      <c r="A46" s="56" t="inlineStr">
        <is>
          <t>9</t>
        </is>
      </c>
      <c r="B46" s="56" t="inlineStr">
        <is>
          <t>Expansión urbana / vial</t>
        </is>
      </c>
      <c r="C46" s="56" t="inlineStr">
        <is>
          <t>Sí</t>
        </is>
      </c>
      <c r="D46" s="56" t="inlineStr">
        <is>
          <t>Moderada</t>
        </is>
      </c>
      <c r="E46" s="56" t="inlineStr">
        <is>
          <t>5</t>
        </is>
      </c>
      <c r="F46" s="56" t="inlineStr"/>
      <c r="G46" s="56" t="inlineStr">
        <is>
          <t>Trocha carrozable en el límite oeste del bloque, con taludes de corte inestables y desprendimiento de bloques</t>
        </is>
      </c>
    </row>
    <row r="47">
      <c r="A47" s="57" t="inlineStr">
        <is>
          <t>10</t>
        </is>
      </c>
      <c r="B47" s="57" t="inlineStr">
        <is>
          <t>Minería informal</t>
        </is>
      </c>
      <c r="C47" s="57" t="inlineStr"/>
      <c r="D47" s="57" t="inlineStr"/>
      <c r="E47" s="57" t="inlineStr"/>
      <c r="F47" s="57" t="inlineStr"/>
      <c r="G47" s="57" t="inlineStr"/>
    </row>
    <row r="48">
      <c r="A48" s="56" t="inlineStr">
        <is>
          <t>11</t>
        </is>
      </c>
      <c r="B48" s="56" t="inlineStr">
        <is>
          <t>Extracción de áridos (cauces)</t>
        </is>
      </c>
      <c r="C48" s="56" t="inlineStr"/>
      <c r="D48" s="56" t="inlineStr"/>
      <c r="E48" s="56" t="inlineStr"/>
      <c r="F48" s="56" t="inlineStr"/>
      <c r="G48" s="56" t="inlineStr"/>
    </row>
    <row r="49">
      <c r="A49" s="57" t="inlineStr">
        <is>
          <t>12</t>
        </is>
      </c>
      <c r="B49" s="57" t="inlineStr">
        <is>
          <t>Especies invasoras</t>
        </is>
      </c>
      <c r="C49" s="57" t="inlineStr"/>
      <c r="D49" s="57" t="inlineStr"/>
      <c r="E49" s="57" t="inlineStr"/>
      <c r="F49" s="57" t="inlineStr"/>
      <c r="G49" s="57" t="inlineStr"/>
    </row>
    <row r="50">
      <c r="A50" s="56" t="inlineStr">
        <is>
          <t>13</t>
        </is>
      </c>
      <c r="B50" s="56" t="inlineStr">
        <is>
          <t>Erosión natural severa</t>
        </is>
      </c>
      <c r="C50" s="56" t="inlineStr">
        <is>
          <t>Sí</t>
        </is>
      </c>
      <c r="D50" s="56" t="inlineStr">
        <is>
          <t>Fuerte</t>
        </is>
      </c>
      <c r="E50" s="56" t="inlineStr">
        <is>
          <t>10</t>
        </is>
      </c>
      <c r="F50" s="56" t="inlineStr"/>
      <c r="G50" s="56" t="inlineStr">
        <is>
          <t>Cauce de quebrada con socavamiento activo y depósito de bloques angulosos frescos (flujo de detritos)</t>
        </is>
      </c>
    </row>
    <row r="51">
      <c r="A51" s="57" t="inlineStr">
        <is>
          <t>14</t>
        </is>
      </c>
      <c r="B51" s="57" t="inlineStr">
        <is>
          <t>Sequía prolongada / CC</t>
        </is>
      </c>
      <c r="C51" s="57" t="inlineStr"/>
      <c r="D51" s="57" t="inlineStr"/>
      <c r="E51" s="57" t="inlineStr"/>
      <c r="F51" s="57" t="inlineStr"/>
      <c r="G51" s="57" t="inlineStr"/>
    </row>
    <row r="52">
      <c r="A52" s="56" t="inlineStr">
        <is>
          <t>15</t>
        </is>
      </c>
      <c r="B52" s="56" t="inlineStr">
        <is>
          <t>Plagas o enfermedades forestales</t>
        </is>
      </c>
      <c r="C52" s="56" t="inlineStr"/>
      <c r="D52" s="56" t="inlineStr"/>
      <c r="E52" s="56" t="inlineStr"/>
      <c r="F52" s="56" t="inlineStr"/>
      <c r="G52" s="56" t="inlineStr"/>
    </row>
    <row r="53">
      <c r="A53" s="57" t="inlineStr">
        <is>
          <t>16</t>
        </is>
      </c>
      <c r="B53" s="57" t="inlineStr">
        <is>
          <t>Otro</t>
        </is>
      </c>
      <c r="C53" s="57" t="inlineStr"/>
      <c r="D53" s="57" t="inlineStr"/>
      <c r="E53" s="57" t="inlineStr"/>
      <c r="F53" s="57" t="inlineStr"/>
      <c r="G53" s="57" t="inlineStr"/>
    </row>
    <row r="55">
      <c r="A55" s="54" t="inlineStr">
        <is>
          <t>F-DT-04 · INDICADORES CUANTITATIVOS</t>
        </is>
      </c>
    </row>
    <row r="56">
      <c r="A56" s="55" t="inlineStr">
        <is>
          <t>N.o</t>
        </is>
      </c>
      <c r="B56" s="55" t="inlineStr">
        <is>
          <t>Indicador</t>
        </is>
      </c>
      <c r="C56" s="55" t="inlineStr">
        <is>
          <t>Unidad</t>
        </is>
      </c>
      <c r="D56" s="55" t="inlineStr">
        <is>
          <t>Valor</t>
        </is>
      </c>
      <c r="E56" s="55" t="inlineStr">
        <is>
          <t>Fuente</t>
        </is>
      </c>
      <c r="F56" s="55" t="inlineStr">
        <is>
          <t>Umbral</t>
        </is>
      </c>
      <c r="G56" s="55" t="inlineStr">
        <is>
          <t>Nivel</t>
        </is>
      </c>
    </row>
    <row r="57">
      <c r="A57" s="56" t="inlineStr">
        <is>
          <t>1</t>
        </is>
      </c>
      <c r="B57" s="56" t="inlineStr">
        <is>
          <t>Cobertura vegetal total</t>
        </is>
      </c>
      <c r="C57" s="56" t="inlineStr">
        <is>
          <t>%</t>
        </is>
      </c>
      <c r="D57" s="56" t="inlineStr">
        <is>
          <t>85</t>
        </is>
      </c>
      <c r="E57" s="56" t="inlineStr">
        <is>
          <t>Estimación de campo 13-08-2026 + MSAVI 2024 (Sentinel-2)</t>
        </is>
      </c>
      <c r="F57" s="56" t="inlineStr">
        <is>
          <t>&gt;60% bueno; 30-60% medio; &lt;30% malo</t>
        </is>
      </c>
      <c r="G57" s="56" t="inlineStr">
        <is>
          <t>Bajo</t>
        </is>
      </c>
    </row>
    <row r="58">
      <c r="A58" s="57" t="inlineStr">
        <is>
          <t>2</t>
        </is>
      </c>
      <c r="B58" s="57" t="inlineStr">
        <is>
          <t>Porcentaje de suelo desnudo</t>
        </is>
      </c>
      <c r="C58" s="57" t="inlineStr">
        <is>
          <t>%</t>
        </is>
      </c>
      <c r="D58" s="57" t="inlineStr">
        <is>
          <t>5</t>
        </is>
      </c>
      <c r="E58" s="57" t="inlineStr">
        <is>
          <t>Estimación visual de campo y ortofoto de dron</t>
        </is>
      </c>
      <c r="F58" s="57" t="inlineStr">
        <is>
          <t>&lt;10% bueno; 10-30% medio; &gt;30% malo</t>
        </is>
      </c>
      <c r="G58" s="57" t="inlineStr">
        <is>
          <t>Bajo</t>
        </is>
      </c>
    </row>
    <row r="59">
      <c r="A59" s="56" t="inlineStr">
        <is>
          <t>3</t>
        </is>
      </c>
      <c r="B59" s="56" t="inlineStr">
        <is>
          <t>Densidad de cárcavas</t>
        </is>
      </c>
      <c r="C59" s="56" t="inlineStr">
        <is>
          <t>N°/ha</t>
        </is>
      </c>
      <c r="D59" s="56" t="inlineStr"/>
      <c r="E59" s="56" t="inlineStr"/>
      <c r="F59" s="56" t="inlineStr">
        <is>
          <t>0 nulo; 1-3 medio; &gt;3 alto</t>
        </is>
      </c>
      <c r="G59" s="56" t="inlineStr"/>
    </row>
    <row r="60">
      <c r="A60" s="57" t="inlineStr">
        <is>
          <t>4</t>
        </is>
      </c>
      <c r="B60" s="57" t="inlineStr">
        <is>
          <t>Presencia de especies invasoras</t>
        </is>
      </c>
      <c r="C60" s="57" t="inlineStr">
        <is>
          <t>% área</t>
        </is>
      </c>
      <c r="D60" s="57" t="inlineStr">
        <is>
          <t>5</t>
        </is>
      </c>
      <c r="E60" s="57" t="inlineStr">
        <is>
          <t>Registro de campo (Ricinus communis en taludes y bordes)</t>
        </is>
      </c>
      <c r="F60" s="57" t="inlineStr">
        <is>
          <t>&lt;5% bueno; 5-20% medio; &gt;20% alto</t>
        </is>
      </c>
      <c r="G60" s="57" t="inlineStr">
        <is>
          <t>Bajo</t>
        </is>
      </c>
    </row>
    <row r="61">
      <c r="A61" s="56" t="inlineStr">
        <is>
          <t>5</t>
        </is>
      </c>
      <c r="B61" s="56" t="inlineStr">
        <is>
          <t>Carga ganadera estimada</t>
        </is>
      </c>
      <c r="C61" s="56" t="inlineStr">
        <is>
          <t>UA/ha</t>
        </is>
      </c>
      <c r="D61" s="56" t="inlineStr"/>
      <c r="E61" s="56" t="inlineStr"/>
      <c r="F61" s="56" t="inlineStr">
        <is>
          <t>Según tipo de ecosistema</t>
        </is>
      </c>
      <c r="G61" s="56" t="inlineStr"/>
    </row>
    <row r="62">
      <c r="A62" s="57" t="inlineStr">
        <is>
          <t>6</t>
        </is>
      </c>
      <c r="B62" s="57" t="inlineStr">
        <is>
          <t>Frecuencia de quemas últimos 5 años</t>
        </is>
      </c>
      <c r="C62" s="57" t="inlineStr">
        <is>
          <t>N°</t>
        </is>
      </c>
      <c r="D62" s="57" t="inlineStr">
        <is>
          <t>0</t>
        </is>
      </c>
      <c r="E62" s="57" t="inlineStr">
        <is>
          <t>Sin evidencia de quemas recientes en el recorrido ni en la ortofoto</t>
        </is>
      </c>
      <c r="F62" s="57" t="inlineStr">
        <is>
          <t>0 nulo; 1-2 medio; &gt;2 alto</t>
        </is>
      </c>
      <c r="G62" s="57" t="inlineStr">
        <is>
          <t>Bajo</t>
        </is>
      </c>
    </row>
    <row r="63">
      <c r="A63" s="56" t="inlineStr">
        <is>
          <t>7</t>
        </is>
      </c>
      <c r="B63" s="56" t="inlineStr">
        <is>
          <t>% área con pendiente &gt;50%</t>
        </is>
      </c>
      <c r="C63" s="56" t="inlineStr">
        <is>
          <t>%</t>
        </is>
      </c>
      <c r="D63" s="56" t="inlineStr"/>
      <c r="E63" s="56" t="inlineStr"/>
      <c r="F63" s="56" t="inlineStr">
        <is>
          <t>Factor de susceptibilidad</t>
        </is>
      </c>
      <c r="G63" s="56" t="inlineStr"/>
    </row>
    <row r="64">
      <c r="A64" s="57" t="inlineStr">
        <is>
          <t>8</t>
        </is>
      </c>
      <c r="B64" s="57" t="inlineStr">
        <is>
          <t>Distancia a vía vecinal más cercana</t>
        </is>
      </c>
      <c r="C64" s="57" t="inlineStr">
        <is>
          <t>m</t>
        </is>
      </c>
      <c r="D64" s="57" t="inlineStr">
        <is>
          <t>20</t>
        </is>
      </c>
      <c r="E64" s="57" t="inlineStr">
        <is>
          <t>GPS Garmin GPSMAP 66sr: la trocha carrozable colinda con el límite oeste (15–30 m)</t>
        </is>
      </c>
      <c r="F64" s="57" t="inlineStr">
        <is>
          <t>A menor distancia → mayor presión</t>
        </is>
      </c>
      <c r="G64" s="57" t="inlineStr">
        <is>
          <t>Alto</t>
        </is>
      </c>
    </row>
    <row r="66">
      <c r="A66" s="54" t="inlineStr">
        <is>
          <t>F-DT-05 · FUENTES DE AGUA INVENTARIADAS</t>
        </is>
      </c>
    </row>
    <row r="67">
      <c r="A67" s="55" t="inlineStr">
        <is>
          <t>N.o</t>
        </is>
      </c>
      <c r="B67" s="55" t="inlineStr">
        <is>
          <t>Tipo de fuente</t>
        </is>
      </c>
      <c r="C67" s="55" t="inlineStr">
        <is>
          <t>UTM ESTE</t>
        </is>
      </c>
      <c r="D67" s="55" t="inlineStr">
        <is>
          <t>UTM NORTE</t>
        </is>
      </c>
      <c r="E67" s="55" t="inlineStr">
        <is>
          <t>Régimen</t>
        </is>
      </c>
      <c r="F67" s="55" t="inlineStr">
        <is>
          <t>Calidad</t>
        </is>
      </c>
      <c r="G67" s="55" t="inlineStr">
        <is>
          <t>Distancia (m)</t>
        </is>
      </c>
      <c r="H67" s="55" t="inlineStr">
        <is>
          <t>Uso / observación</t>
        </is>
      </c>
    </row>
    <row r="68">
      <c r="A68" s="56" t="inlineStr">
        <is>
          <t>1</t>
        </is>
      </c>
      <c r="B68" s="56" t="inlineStr">
        <is>
          <t>Quebrada estacional</t>
        </is>
      </c>
      <c r="C68" s="61" t="n">
        <v>653619</v>
      </c>
      <c r="D68" s="61" t="n">
        <v>9426255</v>
      </c>
      <c r="E68" s="56" t="inlineStr">
        <is>
          <t>Estacional (lluvias)</t>
        </is>
      </c>
      <c r="F68" s="56" t="inlineStr">
        <is>
          <t>No evaluable</t>
        </is>
      </c>
      <c r="G68" s="63" t="n">
        <v>0</v>
      </c>
      <c r="H68" s="56" t="inlineStr">
        <is>
          <t>Cauce que limita el bloque por el flanco norte-oeste; seco al momento de la visita, con lecho de bloques angulosos y evidencia de flujo de detritos. Sin uso captado observado.</t>
        </is>
      </c>
    </row>
    <row r="69">
      <c r="A69" s="57" t="inlineStr">
        <is>
          <t>2</t>
        </is>
      </c>
      <c r="B69" s="57" t="inlineStr">
        <is>
          <t>Quebrada estacional</t>
        </is>
      </c>
      <c r="C69" s="62" t="n">
        <v>653602</v>
      </c>
      <c r="D69" s="62" t="n">
        <v>9426294</v>
      </c>
      <c r="E69" s="57" t="inlineStr">
        <is>
          <t>Estacional (lluvias)</t>
        </is>
      </c>
      <c r="F69" s="57" t="inlineStr">
        <is>
          <t>No evaluable</t>
        </is>
      </c>
      <c r="G69" s="64" t="n">
        <v>0</v>
      </c>
      <c r="H69" s="57" t="inlineStr">
        <is>
          <t>Cauce secundario tributario, cruzado por la trocha carrozable; conduce escorrentía concentrada de la ladera hacia el colector principal.</t>
        </is>
      </c>
    </row>
    <row r="72">
      <c r="A72" s="54" t="inlineStr">
        <is>
          <t>OBSERVACIONES DEL EVALUADOR POR FICHA</t>
        </is>
      </c>
    </row>
    <row r="73">
      <c r="A73" s="55" t="inlineStr">
        <is>
          <t>Ficha</t>
        </is>
      </c>
      <c r="B73" s="55" t="inlineStr">
        <is>
          <t>Observación registrada en campo</t>
        </is>
      </c>
    </row>
    <row r="74">
      <c r="A74" s="56" t="inlineStr">
        <is>
          <t>F-DT-01</t>
        </is>
      </c>
      <c r="B74" s="56" t="inlineStr">
        <is>
          <t>VERIFICACIÓN DE CAMPO 13-08-2026 (13:02–13:06 h). Equipo: dron DJI Phantom 4 Pro V2 (vuelo fotogramétrico y video oblicuo/cenital) y GPS Garmin GPSMAP 66sr. Puntos GPS del recorrido: 653616/9426278 (1668.9 msnm, az. 160°S); 653619/9426255 (1678.7 msnm, az. 260°W); 653589/9426303 (1675.0 msnm, az. 91°E y 144°SE); 653587/9426301 (1674.3 msnm, az. 353°N); 653602/9426294 (1670.9 msnm, az. 122°SE). Todos los puntos se ubican sobre la trocha carrozable que corre inmediatamente al oeste del bloque, entre 15 y 30 m de su límite occidental; el interior se cubrió con vuelo de dron. | PENDIENTE: la pendiente media del bloque se estimó en gabinete sobre el plano de curvas de nivel (equidistancia 50 m) por el método de Wentworth: 63.9% ≡ 32.6° (transectos E-O directos: 61.5% ≡ 31.6°). Se consigna en el desplegable el rango 50-75% (Escarpado). | ALTITUD: rango altitudinal real del bloque estimado en 1,660–2,120 msnm (desnivel ≈450 m), es decir, atraviesa las clases 1500-2000 y 2000-2500; se consigna la clase dominante. | INDICIOS DE REMOCIÓN EN MASA: escarpes activos en taludes de corte de la trocha y cabecera de quebrada; bloques rocosos métricos desprendidos sobre la plataforma vial; cauce de quebrada con acumulación de bloques angulosos frescos (flujo de detritos reciente); terracetas y sendas de ganado visibles en la ortofoto (reptación). | Campos marcados 'Por verificar' requieren confirmación antes de la carga definitiva al aplicativo.</t>
        </is>
      </c>
    </row>
    <row r="75">
      <c r="A75" s="57" t="inlineStr">
        <is>
          <t>F-DT-02</t>
        </is>
      </c>
      <c r="B75" s="57" t="inlineStr">
        <is>
          <t>No se ejecutó inventario georreferenciado de cárcavas en esta verificación: el recorrido se realizó sobre la vía de acceso y el interior se cubrió con vuelo de dron DJI Phantom 4 Pro V2, cuyo producto fotogramétrico (ortomosaico y MDS) será el insumo para el inventario de cárcavas y del sector de infraestructura marrón. Por ello el conteo de cárcavas se consigna en 0 = 'no inventariadas', no como ausencia verificada. | EVIDENCIA OBSERVADA: compactación y terracetas por pisoteo de ganado en la ladera media (ortofoto); erosión laminar y en surcos incipientes en áreas de suelo desnudo entre matorral; socavamiento activo del cauce de la quebrada que limita el bloque por el norte, con arrastre y depósito de bloques angulosos (punto 653619/9426255, 1678.7 msnm); erosión acelerada en los taludes de corte de la trocha carrozable, con desprendimiento de bloques sobre la plataforma. | Los campos de sellamiento superficial, raíces expuestas, patrón de cárcavas, porcentaje de bloque afectado y erosión laminar porcentual se dejan en blanco por no contarse con medición directa.</t>
        </is>
      </c>
    </row>
    <row r="76">
      <c r="A76" s="56" t="inlineStr">
        <is>
          <t>F-DT-03</t>
        </is>
      </c>
      <c r="B76" s="56" t="inlineStr">
        <is>
          <t>Composición florística levantada por observación directa desde el eje vial y por fotointerpretación del vuelo de dron (DJI Phantom 4 Pro V2); no se instaló parcela de muestreo, por lo que no se reportan DAP ni densidades. Las 15 especies corresponden al registro de campo del 13-08-2026 y su determinación es preliminar a nivel de nombre común; requiere confirmación taxonómica con colecta botánica en la campaña complementaria (especialmente 'falsa yuca', cuyo binomio queda por determinar). | Las coberturas por estrato y la abundancia son estimaciones visuales rápidas y deben validarse. | La cobertura vegetal total (85%) es consistente con el MSAVI 2024: 84.6% de la superficie del bloque con MSAVI &gt; 0.6139 y 14.7% entre 0.4976 y 0.6139; solo 0.7% por debajo de 0.4976 y ninguna superficie en la clase crítica (≤ 0.2650). | La pendiente consignada (63.9%) es la pendiente media del bloque calculada por el método de Wentworth sobre curvas de nivel de 50 m, equivalente a 32.6°. | El tipo de ecosistema MINAM consignado (Matorral Andino subhúmedo) es preliminar y debe reconciliarse con la capa oficial del Mapa Nacional de Ecosistemas; la fisonomía observada corresponde a matorral denso con relictos arbóreos y mosaico agroforestal.</t>
        </is>
      </c>
    </row>
    <row r="77">
      <c r="A77" s="57" t="inlineStr">
        <is>
          <t>F-DT-04</t>
        </is>
      </c>
      <c r="B77" s="57" t="inlineStr">
        <is>
          <t>CONVENCIÓN: la columna 'Nivel' de los indicadores cuantitativos se consigna como NIVEL DE DEGRADACIÓN (Alto = condición desfavorable), conforme a los umbrales de la propia ficha. | Las causas sin registro se dejan en blanco porque no se observó evidencia directa durante la verificación; ello NO equivale a ausencia confirmada y debe cerrarse con el diagnóstico social (F-DS-01/F-DS-03) y la campaña complementaria. | Indicadores no consignados: densidad de cárcavas en N° por ha y porcentaje de área con pendiente mayor a 50%, ambos dependientes del procesamiento del MDS del vuelo de dron; carga ganadera en UA por ha, dependiente del diagnóstico social. | El bloque presenta el mejor estado de cobertura de su serie: ninguna superficie en clase MSAVI crítica; la degradación es incipiente y localizada en la franja vial, los fondos de quebrada y los sectores de pastoreo.</t>
        </is>
      </c>
    </row>
    <row r="78">
      <c r="A78" s="56" t="inlineStr">
        <is>
          <t>F-DT-05</t>
        </is>
      </c>
      <c r="B78" s="56" t="inlineStr">
        <is>
          <t>ACCESO: la trocha carrozable llega hasta el límite occidental del bloque (15–30 m); el ingreso al interior requiere caminata en pendiente escarpada. Se verificó el acceso con camioneta 4x4 hasta el punto 653602/9426294 (1670.9 msnm). En época de lluvias la transitabilidad se reduce por escorrentía concentrada en los cruces de quebrada y por desprendimiento de bloques desde los taludes de corte (se registró un bloque métrico sobre la plataforma en el punto 653616/9426278). | HIDROLOGÍA: el bloque se ubica en la cabecera de la microcuenca C1081-Q9591 y funciona como zona de generación de escorrentía (peligro generador de inundaciones, PGI) hacia el eje Canchaque; se observaron zonas de humedad persistente (musgos, helechos) en la ladera de exposición oeste. | Campos sin dato: distancia a captación poblacional, JASS asociada, tiempos desde capital distrital y provincial, señal celular, alojamiento rural y requerimiento de autorización de Ronda Campesina — este último es campo obligatorio y debe cerrarse con el equipo social antes de la carga definitiva. | Centro poblado asociado (INEI): Flor de Café, distrito Canchaque, 111 habitantes, 41 viviendas particulares, a 1.06 km al NNO del punto de verificación.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60</t>
        </is>
      </c>
    </row>
    <row r="7">
      <c r="A7" s="54" t="inlineStr">
        <is>
          <t>Hechos declarados por fuente</t>
        </is>
      </c>
    </row>
    <row r="8">
      <c r="A8" s="55" t="inlineStr">
        <is>
          <t>Fuente</t>
        </is>
      </c>
      <c r="B8" s="55" t="inlineStr">
        <is>
          <t>Hechos</t>
        </is>
      </c>
    </row>
    <row r="9">
      <c r="A9" s="56" t="inlineStr">
        <is>
          <t>Dato de campo</t>
        </is>
      </c>
      <c r="B9" s="56" t="n">
        <v>57</v>
      </c>
    </row>
    <row r="10">
      <c r="A10" s="57" t="inlineStr">
        <is>
          <t>Gabinete (GIS / teledetección)</t>
        </is>
      </c>
      <c r="B10" s="57" t="n">
        <v>23</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91</v>
      </c>
    </row>
    <row r="29">
      <c r="A29" s="57" t="inlineStr">
        <is>
          <t>COMPLEMENTADO</t>
        </is>
      </c>
      <c r="B29" s="57" t="n">
        <v>1</v>
      </c>
    </row>
    <row r="30">
      <c r="A30" s="56" t="inlineStr">
        <is>
          <t>ACTUALIZADO</t>
        </is>
      </c>
      <c r="B30" s="56" t="n">
        <v>2</v>
      </c>
    </row>
    <row r="31">
      <c r="A31" s="57" t="inlineStr">
        <is>
          <t>DISCREPANTE</t>
        </is>
      </c>
      <c r="B31" s="57" t="n">
        <v>0</v>
      </c>
    </row>
    <row r="32">
      <c r="A32" s="56" t="inlineStr">
        <is>
          <t>PENDIENTE</t>
        </is>
      </c>
      <c r="B32" s="56" t="n">
        <v>20</v>
      </c>
    </row>
    <row r="45">
      <c r="A45" s="54" t="inlineStr">
        <is>
          <t>Cobertura por estrato — campo (%)</t>
        </is>
      </c>
    </row>
    <row r="46">
      <c r="A46" s="55" t="inlineStr">
        <is>
          <t>Estrato</t>
        </is>
      </c>
      <c r="B46" s="55" t="inlineStr">
        <is>
          <t>% del área</t>
        </is>
      </c>
    </row>
    <row r="47">
      <c r="A47" s="56" t="inlineStr">
        <is>
          <t>Dosel</t>
        </is>
      </c>
      <c r="B47" s="61" t="n">
        <v>25</v>
      </c>
    </row>
    <row r="48">
      <c r="A48" s="57" t="inlineStr">
        <is>
          <t>Arbustiva</t>
        </is>
      </c>
      <c r="B48" s="62" t="n">
        <v>45</v>
      </c>
    </row>
    <row r="49">
      <c r="A49" s="56" t="inlineStr">
        <is>
          <t>Herbácea</t>
        </is>
      </c>
      <c r="B49" s="61" t="n">
        <v>25</v>
      </c>
    </row>
    <row r="50">
      <c r="A50" s="57" t="inlineStr">
        <is>
          <t>Suelo desnudo</t>
        </is>
      </c>
      <c r="B50" s="64" t="n">
        <v>5</v>
      </c>
    </row>
    <row r="64">
      <c r="A64" s="54" t="inlineStr">
        <is>
          <t>Causas activas de degradación (F-DT-04)</t>
        </is>
      </c>
    </row>
    <row r="65">
      <c r="A65" s="55" t="inlineStr">
        <is>
          <t>Causa</t>
        </is>
      </c>
      <c r="B65" s="55" t="inlineStr">
        <is>
          <t>Intensidad (1 ligera - 4 muy fuerte)</t>
        </is>
      </c>
    </row>
    <row r="66">
      <c r="A66" s="56" t="inlineStr">
        <is>
          <t>Erosión natural severa</t>
        </is>
      </c>
      <c r="B66" s="56" t="n">
        <v>3</v>
      </c>
    </row>
    <row r="67">
      <c r="A67" s="57" t="inlineStr">
        <is>
          <t>Cambio de uso a agricultura</t>
        </is>
      </c>
      <c r="B67" s="57" t="n">
        <v>2</v>
      </c>
    </row>
    <row r="68">
      <c r="A68" s="56" t="inlineStr">
        <is>
          <t>Expansión urbana / vial</t>
        </is>
      </c>
      <c r="B68" s="56" t="n">
        <v>2</v>
      </c>
    </row>
    <row r="69">
      <c r="A69" s="57" t="inlineStr">
        <is>
          <t>Sobrepastoreo (caprino/vacuno)</t>
        </is>
      </c>
      <c r="B69" s="57" t="n">
        <v>2</v>
      </c>
    </row>
    <row r="83">
      <c r="A83" s="54" t="inlineStr">
        <is>
          <t>Control de consistencia por calificación</t>
        </is>
      </c>
    </row>
    <row r="84">
      <c r="A84" s="55" t="inlineStr">
        <is>
          <t>Calificación</t>
        </is>
      </c>
      <c r="B84" s="55" t="inlineStr">
        <is>
          <t>Verificaciones</t>
        </is>
      </c>
    </row>
    <row r="85">
      <c r="A85" s="56" t="inlineStr">
        <is>
          <t>SUSTANTIVA</t>
        </is>
      </c>
      <c r="B85" s="56" t="n">
        <v>4</v>
      </c>
    </row>
    <row r="86">
      <c r="A86" s="57" t="inlineStr">
        <is>
          <t>NO SUSTANTIVA</t>
        </is>
      </c>
      <c r="B86" s="57" t="n">
        <v>4</v>
      </c>
    </row>
    <row r="87">
      <c r="A87" s="56" t="inlineStr">
        <is>
          <t>CORREGIDO</t>
        </is>
      </c>
      <c r="B87" s="56" t="n">
        <v>2</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60 — IN Piura</dc:title>
  <dc:subject>Diagnóstico Territorial por bloque de intervención</dc:subject>
  <dcterms:created xsi:type="dcterms:W3CDTF">2026-09-08T03:39:54Z</dcterms:created>
  <dcterms:modified xsi:type="dcterms:W3CDTF">2026-09-11T21:26:28Z</dcterms:modified>
</cp:coreProperties>
</file>