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integración'!$A$47:$A$50</f>
            </numRef>
          </cat>
          <val>
            <numRef>
              <f>'Gráficos de integración'!$B$47:$B$50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integración'!$A$66:$A$71</f>
            </numRef>
          </cat>
          <val>
            <numRef>
              <f>'Gráficos de integración'!$B$66:$B$71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M3B5</t>
        </is>
      </c>
    </row>
    <row r="6" ht="24" customHeight="1">
      <c r="A6" s="4" t="inlineStr">
        <is>
          <t>Diagnóstico Territorial — Plantilla DT Campo Check Validada V5 | Sistema de referencia: UTM WGS 84 Zona 17S (EPSG:32717) · Integrado con la ficha de campo F-DT vigente (Plantilla_DT_Campo_Check_Validada_V5_M3B5.xlsx) — V7 - resumen V6 + campo F-DT integrado</t>
        </is>
      </c>
    </row>
    <row r="7"/>
    <row r="8" ht="18" customHeight="1">
      <c r="A8" s="5" t="inlineStr">
        <is>
          <t>1. IDENTIFICACIÓN Y LOCALIZACIÓN</t>
        </is>
      </c>
    </row>
    <row r="9">
      <c r="A9" s="6" t="inlineStr">
        <is>
          <t>Código del bloque</t>
        </is>
      </c>
      <c r="B9" s="7" t="inlineStr">
        <is>
          <t>M3B5</t>
        </is>
      </c>
      <c r="C9" s="6" t="inlineStr">
        <is>
          <t>Microcuenca (catálogo)</t>
        </is>
      </c>
      <c r="D9" s="7" t="inlineStr">
        <is>
          <t>C1081-Q9582</t>
        </is>
      </c>
      <c r="E9" s="8" t="n"/>
      <c r="F9" s="8" t="n"/>
    </row>
    <row r="10">
      <c r="A10" s="6" t="inlineStr">
        <is>
          <t>Zona de planificación</t>
        </is>
      </c>
      <c r="B10" s="7" t="inlineStr">
        <is>
          <t>Z08</t>
        </is>
      </c>
      <c r="C10" s="6" t="inlineStr">
        <is>
          <t>Microcuenca declarada en ficha DT</t>
        </is>
      </c>
      <c r="D10" s="7" t="inlineStr">
        <is>
          <t>C1081-Q9582</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CP San Juan Bautista</t>
        </is>
      </c>
      <c r="C13" s="6" t="inlineStr">
        <is>
          <t>Comunidad campesina</t>
        </is>
      </c>
      <c r="D13" s="51" t="inlineStr">
        <is>
          <t>C.C. San Juan de Bigote</t>
        </is>
      </c>
      <c r="E13" s="8" t="n"/>
      <c r="F13" s="8" t="n"/>
    </row>
    <row r="14">
      <c r="A14" s="6" t="inlineStr">
        <is>
          <t>Superficie de catálogo (V5/V6), ha</t>
        </is>
      </c>
      <c r="B14" s="7" t="n">
        <v>52.74</v>
      </c>
      <c r="C14" s="6" t="inlineStr">
        <is>
          <t>Fuente de superficie</t>
        </is>
      </c>
      <c r="D14" s="7" t="inlineStr">
        <is>
          <t>Catálogo maestro Bloques V5/V6</t>
        </is>
      </c>
      <c r="E14" s="8" t="n"/>
      <c r="F14" s="8" t="n"/>
    </row>
    <row r="15">
      <c r="A15" s="6" t="inlineStr">
        <is>
          <t>Centroide UTM ESTE (m)</t>
        </is>
      </c>
      <c r="B15" s="7" t="n">
        <v>635887</v>
      </c>
      <c r="C15" s="6" t="inlineStr">
        <is>
          <t>Centroide UTM NORTE (m)</t>
        </is>
      </c>
      <c r="D15" s="7" t="n">
        <v>9411738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221</v>
      </c>
      <c r="C19" s="6" t="inlineStr">
        <is>
          <t>Altitud máxima (msnm)</t>
        </is>
      </c>
      <c r="D19" s="7" t="n">
        <v>401</v>
      </c>
      <c r="E19" s="8" t="n"/>
      <c r="F19" s="8" t="n"/>
    </row>
    <row r="20">
      <c r="A20" s="6" t="inlineStr">
        <is>
          <t>Amplitud altitudinal (m)</t>
        </is>
      </c>
      <c r="B20" s="7" t="n">
        <v>180</v>
      </c>
      <c r="C20" s="6" t="inlineStr">
        <is>
          <t>Piso altitudinal dominante</t>
        </is>
      </c>
      <c r="D20" s="7" t="inlineStr">
        <is>
          <t>&lt;1000 m (Yunga)</t>
        </is>
      </c>
      <c r="E20" s="8" t="n"/>
      <c r="F20" s="8" t="n"/>
    </row>
    <row r="21">
      <c r="A21" s="6" t="inlineStr">
        <is>
          <t>Pendiente promedio (%)</t>
        </is>
      </c>
      <c r="B21" s="7" t="n">
        <v>18.94</v>
      </c>
      <c r="C21" s="6" t="inlineStr">
        <is>
          <t>Pendiente promedio (grados)</t>
        </is>
      </c>
      <c r="D21" s="7" t="n">
        <v>10.7</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0.283</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(78.78 %)</t>
        </is>
      </c>
      <c r="E29" s="8" t="n"/>
      <c r="F29" s="8" t="n"/>
    </row>
    <row r="30">
      <c r="A30" s="6" t="inlineStr">
        <is>
          <t>Superficie clasificada NDVI 2025 (ha)</t>
        </is>
      </c>
      <c r="B30" s="7" t="n">
        <v>52.761</v>
      </c>
      <c r="C30" s="6" t="inlineStr">
        <is>
          <t>Desviación frente al catálogo (%)</t>
        </is>
      </c>
      <c r="D30" s="7" t="n">
        <v>0.04</v>
      </c>
      <c r="E30" s="8" t="n"/>
      <c r="F30" s="8" t="n"/>
    </row>
    <row r="31">
      <c r="A31" s="6" t="inlineStr">
        <is>
          <t>Superficie clasificada MSAVI 2024 (ha)</t>
        </is>
      </c>
      <c r="B31" s="39" t="n">
        <v>52.743</v>
      </c>
      <c r="C31" s="6" t="inlineStr">
        <is>
          <t>Desviación MSAVI frente al catálogo (%)</t>
        </is>
      </c>
      <c r="D31" s="40" t="n">
        <v>0.01</v>
      </c>
      <c r="E31" s="8" t="n"/>
      <c r="F31" s="8" t="n"/>
    </row>
    <row r="32">
      <c r="A32" s="6" t="inlineStr">
        <is>
          <t>Superficie bajo umbral MSAVI 0.4976 (ha)</t>
        </is>
      </c>
      <c r="B32" s="39" t="n">
        <v>52.684</v>
      </c>
      <c r="C32" s="6" t="inlineStr">
        <is>
          <t>% del bloque bajo umbral (brecha espectral)</t>
        </is>
      </c>
      <c r="D32" s="40" t="n">
        <v>99.89</v>
      </c>
      <c r="E32" s="8" t="n"/>
      <c r="F32" s="8" t="n"/>
    </row>
    <row r="33">
      <c r="A33" s="6" t="inlineStr">
        <is>
          <t>Clase DN dominante (MSAVI 2024)</t>
        </is>
      </c>
      <c r="B33" s="7" t="inlineStr">
        <is>
          <t>DN 2 · 0.2650 - 0.3813 (Vigor muy bajo)</t>
        </is>
      </c>
      <c r="C33" s="6" t="inlineStr">
        <is>
          <t>N.° de polígonos MSAVI del bloque</t>
        </is>
      </c>
      <c r="D33" s="41" t="n">
        <v>152</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52.74 ha (100% del bloque)</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Matorral ralo</t>
        </is>
      </c>
      <c r="C38" s="6" t="inlineStr">
        <is>
          <t>Cobertura vegetal total — campo (%)</t>
        </is>
      </c>
      <c r="D38" s="7" t="n">
        <v>20</v>
      </c>
      <c r="E38" s="8" t="n"/>
      <c r="F38" s="8" t="n"/>
    </row>
    <row r="39">
      <c r="A39" s="6" t="inlineStr">
        <is>
          <t>Suelo desnudo — campo (%)</t>
        </is>
      </c>
      <c r="B39" s="7" t="n">
        <v>80</v>
      </c>
      <c r="C39" s="6" t="inlineStr">
        <is>
          <t>Regeneración natural</t>
        </is>
      </c>
      <c r="D39" s="7" t="inlineStr">
        <is>
          <t>Escasa (&lt;10 pl./100m²)</t>
        </is>
      </c>
      <c r="E39" s="8" t="n"/>
      <c r="F39" s="8" t="n"/>
    </row>
    <row r="40">
      <c r="A40" s="6" t="inlineStr">
        <is>
          <t>Nivel general de erosión</t>
        </is>
      </c>
      <c r="B40" s="7" t="inlineStr">
        <is>
          <t>Fuerte (cárcavas incipientes)</t>
        </is>
      </c>
      <c r="C40" s="6" t="inlineStr">
        <is>
          <t>N.° de cárcavas registradas</t>
        </is>
      </c>
      <c r="D40" s="51" t="inlineStr">
        <is>
          <t>No inventariadas</t>
        </is>
      </c>
      <c r="E40" s="8" t="n"/>
      <c r="F40" s="8" t="n"/>
    </row>
    <row r="41">
      <c r="A41" s="6" t="inlineStr">
        <is>
          <t>Elenco florístico (n.° de taxones)</t>
        </is>
      </c>
      <c r="B41" s="7" t="n">
        <v>6</v>
      </c>
      <c r="C41" s="6" t="inlineStr">
        <is>
          <t>Estado sanitario</t>
        </is>
      </c>
      <c r="D41" s="7" t="inlineStr">
        <is>
          <t>Daño mecánico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2026-05-07</t>
        </is>
      </c>
      <c r="E44" s="8" t="n"/>
      <c r="F44" s="8" t="n"/>
    </row>
    <row r="45">
      <c r="A45" s="6" t="inlineStr">
        <is>
          <t>Hora de registro</t>
        </is>
      </c>
      <c r="B45" s="51" t="inlineStr">
        <is>
          <t>16:17 h</t>
        </is>
      </c>
      <c r="C45" s="6" t="inlineStr">
        <is>
          <t>Correlativo de ficha</t>
        </is>
      </c>
      <c r="D45" s="51" t="inlineStr">
        <is>
          <t>F-DT/M3B5/2026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1" t="inlineStr">
        <is>
          <t>Sin registro en ficha</t>
        </is>
      </c>
      <c r="E47" s="8" t="n"/>
      <c r="F47" s="8" t="n"/>
    </row>
    <row r="48">
      <c r="A48" s="6" t="inlineStr">
        <is>
          <t>Estaciones fotográficas georreferenciadas</t>
        </is>
      </c>
      <c r="B48" s="7" t="n">
        <v>0</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Crecimiento poblacional y Asociación de Ganaderos local que opera en la zona (presión socio-territorial)</t>
        </is>
      </c>
      <c r="C51" s="6" t="inlineStr">
        <is>
          <t>Velocidad de degradación</t>
        </is>
      </c>
      <c r="D51" s="7" t="inlineStr">
        <is>
          <t>Rápida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51" t="inlineStr">
        <is>
          <t>Sin registro en ficha</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M3B5</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0.0594</v>
      </c>
      <c r="C11" s="21">
        <f>ROUND(B11/$B$15*100,2)</f>
        <v/>
      </c>
      <c r="D11" s="13" t="inlineStr">
        <is>
          <t>Vigor moderado</t>
        </is>
      </c>
      <c r="E11" s="13" t="inlineStr">
        <is>
          <t>Sobre umbral</t>
        </is>
      </c>
    </row>
    <row r="12">
      <c r="A12" s="7" t="inlineStr">
        <is>
          <t>0.3813 - 0.4976 · DN 3</t>
        </is>
      </c>
      <c r="B12" s="18" t="n">
        <v>2.1888</v>
      </c>
      <c r="C12" s="19">
        <f>ROUND(B12/$B$15*100,2)</f>
        <v/>
      </c>
      <c r="D12" s="11" t="inlineStr">
        <is>
          <t>Vigor bajo</t>
        </is>
      </c>
      <c r="E12" s="11" t="inlineStr">
        <is>
          <t>BAJO umbral 0.4976</t>
        </is>
      </c>
    </row>
    <row r="13">
      <c r="A13" s="14" t="inlineStr">
        <is>
          <t>0.2650 - 0.3813 · DN 2</t>
        </is>
      </c>
      <c r="B13" s="32" t="n">
        <v>28.9353</v>
      </c>
      <c r="C13" s="31">
        <f>ROUND(B13/$B$15*100,2)</f>
        <v/>
      </c>
      <c r="D13" s="15" t="inlineStr">
        <is>
          <t>Vigor muy bajo</t>
        </is>
      </c>
      <c r="E13" s="15" t="inlineStr">
        <is>
          <t>BAJO umbral 0.4976</t>
        </is>
      </c>
    </row>
    <row r="14">
      <c r="A14" s="7" t="inlineStr">
        <is>
          <t>&lt;= 0.2650 · DN 1</t>
        </is>
      </c>
      <c r="B14" s="18" t="n">
        <v>21.5596</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152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52.74</v>
      </c>
      <c r="C18" s="50" t="inlineStr">
        <is>
          <t>—</t>
        </is>
      </c>
      <c r="D18" s="47" t="inlineStr">
        <is>
          <t>Desviación planimétrica frente al catálogo</t>
        </is>
      </c>
      <c r="E18" s="47" t="inlineStr">
        <is>
          <t>+0.01 %</t>
        </is>
      </c>
    </row>
    <row r="19">
      <c r="A19" s="16" t="inlineStr">
        <is>
          <t>MSAVI 2024 — MEDIA DEL BLOQUE</t>
        </is>
      </c>
      <c r="B19" s="17" t="n">
        <v>0.283016</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152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(0.2830)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0.07049999999999999</v>
      </c>
      <c r="C25" s="19" t="n">
        <v>0.13</v>
      </c>
      <c r="D25" s="11" t="inlineStr">
        <is>
          <t>Dosel continuo, matorral denso o mosaico agroforestal</t>
        </is>
      </c>
      <c r="E25" s="11" t="inlineStr"/>
    </row>
    <row r="26">
      <c r="A26" s="12" t="inlineStr">
        <is>
          <t>Vegetación mediana</t>
        </is>
      </c>
      <c r="B26" s="20" t="n">
        <v>6.7144</v>
      </c>
      <c r="C26" s="21" t="n">
        <v>12.73</v>
      </c>
      <c r="D26" s="13" t="inlineStr">
        <is>
          <t>Pastizal cultivado, matorral ralo, parcelas agrícolas</t>
        </is>
      </c>
      <c r="E26" s="13" t="inlineStr"/>
    </row>
    <row r="27">
      <c r="A27" s="7" t="inlineStr">
        <is>
          <t>Vegetación ligera</t>
        </is>
      </c>
      <c r="B27" s="18" t="n">
        <v>41.5638</v>
      </c>
      <c r="C27" s="19" t="n">
        <v>78.78</v>
      </c>
      <c r="D27" s="11" t="inlineStr">
        <is>
          <t>Cobertura discontinua, suelo parcialmente expuesto</t>
        </is>
      </c>
      <c r="E27" s="11" t="inlineStr"/>
    </row>
    <row r="28">
      <c r="A28" s="12" t="inlineStr">
        <is>
          <t>Tierra desnuda</t>
        </is>
      </c>
      <c r="B28" s="20" t="n">
        <v>4.4123</v>
      </c>
      <c r="C28" s="21" t="n">
        <v>8.359999999999999</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52.74</v>
      </c>
      <c r="C30" s="25" t="inlineStr">
        <is>
          <t>—</t>
        </is>
      </c>
      <c r="D30" s="25" t="inlineStr">
        <is>
          <t>Desviación planimétrica frente al catálogo</t>
        </is>
      </c>
      <c r="E30" s="25" t="inlineStr">
        <is>
          <t>+0.04 %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20 % frente a un 0.13 % del polígono clasificado como «Vegetación alta» por el NDVI 2025; la observación de campo corresponde a una parcela o recorrido puntual y no es estadísticamente representativa de las 52.740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M3B5</t>
        </is>
      </c>
    </row>
    <row r="6" ht="24" customHeight="1">
      <c r="A6" s="4" t="inlineStr">
        <is>
          <t>Levantamiento del 2026-05-07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635887</v>
      </c>
      <c r="D10" s="26" t="n">
        <v>9411740</v>
      </c>
      <c r="E10" s="11" t="n">
        <v>2</v>
      </c>
      <c r="F10" s="11" t="inlineStr"/>
      <c r="G10" s="11" t="inlineStr">
        <is>
          <t>Coordenada consignada en F-DT-01</t>
        </is>
      </c>
    </row>
    <row r="11">
      <c r="A11" s="12" t="inlineStr">
        <is>
          <t>H-01</t>
        </is>
      </c>
      <c r="B11" s="13" t="inlineStr">
        <is>
          <t>Fuente de agua — Quebrada estacional</t>
        </is>
      </c>
      <c r="C11" s="27" t="n">
        <v>636554</v>
      </c>
      <c r="D11" s="27" t="n">
        <v>9411842</v>
      </c>
      <c r="E11" s="13" t="n">
        <v>675.1</v>
      </c>
      <c r="F11" s="13" t="inlineStr">
        <is>
          <t>Estacional</t>
        </is>
      </c>
      <c r="G11" s="13" t="inlineStr">
        <is>
          <t>Arrastre de piedras y sedimentos</t>
        </is>
      </c>
    </row>
    <row r="12">
      <c r="A12" s="7" t="inlineStr">
        <is>
          <t>H-02</t>
        </is>
      </c>
      <c r="B12" s="11" t="inlineStr">
        <is>
          <t>Fuente de agua — Quebrada estacional</t>
        </is>
      </c>
      <c r="C12" s="26" t="n">
        <v>636325</v>
      </c>
      <c r="D12" s="26" t="n">
        <v>9411906</v>
      </c>
      <c r="E12" s="11" t="n">
        <v>469.1</v>
      </c>
      <c r="F12" s="11" t="inlineStr">
        <is>
          <t>Estacional</t>
        </is>
      </c>
      <c r="G12" s="11" t="inlineStr">
        <is>
          <t>Arrastre de piedras y sedimentos</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635887</v>
      </c>
      <c r="C15" s="6" t="inlineStr">
        <is>
          <t>Centroide del bloque — UTM NORTE (m)</t>
        </is>
      </c>
      <c r="D15" s="7" t="n">
        <v>9411738</v>
      </c>
      <c r="E15" s="8" t="n"/>
      <c r="F15" s="8" t="n"/>
      <c r="G15" s="8" t="n"/>
      <c r="H15" s="8" t="n"/>
    </row>
    <row r="16">
      <c r="A16" s="6" t="inlineStr">
        <is>
          <t>N.° de estaciones fotográficas declaradas</t>
        </is>
      </c>
      <c r="B16" s="7" t="n">
        <v>0</v>
      </c>
      <c r="C16" s="6" t="inlineStr">
        <is>
          <t>Estaciones dentro del polígono</t>
        </is>
      </c>
      <c r="D16" s="7" t="n">
        <v>0</v>
      </c>
      <c r="E16" s="8" t="n"/>
      <c r="F16" s="8" t="n"/>
      <c r="G16" s="8" t="n"/>
      <c r="H16" s="8" t="n"/>
    </row>
    <row r="18" ht="108"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con EVIDENTES SIGNOS DE DEGRADACIÓN por factores diversos (tala, ganadería, cambio de uso). Afloramientos rocosos en zonas medias y altas. SUSCEPTIBILIDAD MUY ALTA A EROSIÓN HÍDRICA SUPERFICIAL Y A MOVIMIENTOS EN MASA SUPERFICIALES en el sector occidental (pendiente máx. 58.6%). SE RECOMIENDA DIAGNÓSTICO SOCIAL Y EVALUACIÓN PRELIMINAR DE TENENCIA DEL ÁREA.</t>
        </is>
      </c>
      <c r="B18" s="42" t="n"/>
      <c r="C18" s="42" t="n"/>
      <c r="D18" s="42" t="n"/>
      <c r="E18" s="42" t="n"/>
      <c r="F18" s="42" t="n"/>
      <c r="G18" s="43"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C1081-Q9582 — BLOQUE M3B5</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M3B8</t>
        </is>
      </c>
      <c r="B10" s="28" t="n">
        <v>565.58</v>
      </c>
      <c r="C10" s="19" t="n">
        <v>44.83</v>
      </c>
      <c r="D10" s="11" t="inlineStr">
        <is>
          <t>195 – 562</t>
        </is>
      </c>
      <c r="E10" s="11" t="n">
        <v>367</v>
      </c>
      <c r="F10" s="11" t="n">
        <v>13.65</v>
      </c>
      <c r="G10" s="18" t="n">
        <v>0.2934</v>
      </c>
      <c r="H10" s="19" t="n">
        <v>3.19</v>
      </c>
      <c r="I10" s="19" t="n">
        <v>99.40000000000001</v>
      </c>
    </row>
    <row r="11">
      <c r="A11" s="12" t="inlineStr">
        <is>
          <t>M3B9</t>
        </is>
      </c>
      <c r="B11" s="29" t="n">
        <v>294.2</v>
      </c>
      <c r="C11" s="21" t="n">
        <v>23.32</v>
      </c>
      <c r="D11" s="13" t="inlineStr">
        <is>
          <t>189 – 497</t>
        </is>
      </c>
      <c r="E11" s="13" t="n">
        <v>308</v>
      </c>
      <c r="F11" s="13" t="n">
        <v>17.69</v>
      </c>
      <c r="G11" s="20" t="n">
        <v>0.3214</v>
      </c>
      <c r="H11" s="21" t="n">
        <v>3.14</v>
      </c>
      <c r="I11" s="21" t="n">
        <v>99.40000000000001</v>
      </c>
    </row>
    <row r="12">
      <c r="A12" s="7" t="inlineStr">
        <is>
          <t>M3B7</t>
        </is>
      </c>
      <c r="B12" s="28" t="n">
        <v>122.95</v>
      </c>
      <c r="C12" s="19" t="n">
        <v>9.75</v>
      </c>
      <c r="D12" s="11" t="inlineStr">
        <is>
          <t>238 – 447</t>
        </is>
      </c>
      <c r="E12" s="11" t="n">
        <v>209</v>
      </c>
      <c r="F12" s="11" t="n">
        <v>18.21</v>
      </c>
      <c r="G12" s="18" t="n">
        <v>0.3707</v>
      </c>
      <c r="H12" s="19" t="n">
        <v>8</v>
      </c>
      <c r="I12" s="19" t="n">
        <v>95.93000000000001</v>
      </c>
    </row>
    <row r="13">
      <c r="A13" s="12" t="inlineStr">
        <is>
          <t>M3B3</t>
        </is>
      </c>
      <c r="B13" s="29" t="n">
        <v>84.81999999999999</v>
      </c>
      <c r="C13" s="21" t="n">
        <v>6.72</v>
      </c>
      <c r="D13" s="13" t="inlineStr">
        <is>
          <t>194 – 375</t>
        </is>
      </c>
      <c r="E13" s="13" t="n">
        <v>181</v>
      </c>
      <c r="F13" s="13" t="n">
        <v>18.87</v>
      </c>
      <c r="G13" s="20" t="n">
        <v>0.2985</v>
      </c>
      <c r="H13" s="21" t="n">
        <v>0.59</v>
      </c>
      <c r="I13" s="21" t="n">
        <v>99.89</v>
      </c>
    </row>
    <row r="14">
      <c r="A14" s="7" t="inlineStr">
        <is>
          <t>M3B1</t>
        </is>
      </c>
      <c r="B14" s="28" t="n">
        <v>80.98</v>
      </c>
      <c r="C14" s="19" t="n">
        <v>6.42</v>
      </c>
      <c r="D14" s="11" t="inlineStr">
        <is>
          <t>184 – 395</t>
        </is>
      </c>
      <c r="E14" s="11" t="n">
        <v>211</v>
      </c>
      <c r="F14" s="11" t="n">
        <v>19.4</v>
      </c>
      <c r="G14" s="18" t="n">
        <v>0.3239</v>
      </c>
      <c r="H14" s="19" t="n">
        <v>1.37</v>
      </c>
      <c r="I14" s="19" t="n">
        <v>99.83</v>
      </c>
    </row>
    <row r="15">
      <c r="A15" s="12" t="inlineStr">
        <is>
          <t>M3B6</t>
        </is>
      </c>
      <c r="B15" s="29" t="n">
        <v>60.35</v>
      </c>
      <c r="C15" s="21" t="n">
        <v>4.78</v>
      </c>
      <c r="D15" s="13" t="inlineStr">
        <is>
          <t>235 – 499</t>
        </is>
      </c>
      <c r="E15" s="13" t="n">
        <v>264</v>
      </c>
      <c r="F15" s="13" t="n">
        <v>23.39</v>
      </c>
      <c r="G15" s="20" t="n">
        <v>0.3425</v>
      </c>
      <c r="H15" s="21" t="n">
        <v>1.08</v>
      </c>
      <c r="I15" s="21" t="n">
        <v>99.73999999999999</v>
      </c>
    </row>
    <row r="16">
      <c r="A16" s="14" t="inlineStr">
        <is>
          <t>► M3B5</t>
        </is>
      </c>
      <c r="B16" s="30" t="n">
        <v>52.74</v>
      </c>
      <c r="C16" s="31" t="n">
        <v>4.18</v>
      </c>
      <c r="D16" s="15" t="inlineStr">
        <is>
          <t>221 – 401</t>
        </is>
      </c>
      <c r="E16" s="15" t="n">
        <v>180</v>
      </c>
      <c r="F16" s="15" t="n">
        <v>18.94</v>
      </c>
      <c r="G16" s="32" t="n">
        <v>0.283</v>
      </c>
      <c r="H16" s="31" t="n">
        <v>0.13</v>
      </c>
      <c r="I16" s="31" t="n">
        <v>99.89</v>
      </c>
    </row>
    <row r="17">
      <c r="A17" s="16" t="inlineStr">
        <is>
          <t>TOTAL / PROMEDIO</t>
        </is>
      </c>
      <c r="B17" s="33">
        <f>SUM(B10:B16)</f>
        <v/>
      </c>
      <c r="C17" s="23">
        <f>SUM(C10:C16)</f>
        <v/>
      </c>
      <c r="D17" s="17" t="inlineStr">
        <is>
          <t>184 – 562</t>
        </is>
      </c>
      <c r="E17" s="17" t="inlineStr"/>
      <c r="F17" s="17">
        <f>ROUND(AVERAGE(F10:F16),2)</f>
        <v/>
      </c>
      <c r="G17" s="22">
        <f>ROUND(AVERAGE(G10:G16),4)</f>
        <v/>
      </c>
      <c r="H17" s="23">
        <f>ROUND(AVERAGE(H10:H16),2)</f>
        <v/>
      </c>
      <c r="I17" s="23">
        <f>ROUND(AVERAGE(I10:I16),2)</f>
        <v/>
      </c>
    </row>
    <row r="19" ht="84" customHeight="1">
      <c r="A19" s="9" t="inlineStr">
        <is>
          <t>LECTURA INTRAMICROCUENCA. El bloque M3B5 ocupa el puesto 7 de 7 por superficie dentro de la microcuenca C1081-Q9582 (4.18 % de las 1261.62 ha preliminares de la microcuenca). Su pendiente promedio (18.94 %, clase «15-25% (Fuert. inclinado)») es la 5.ª más baja de 7 y se sitúa por encima del promedio de la microcuenca (18.59 %). Su MSAVI 2024 (0.2830) es el 7.º de 7 y queda por debajo del promedio local (0.3190). Amplitud altitudinal del bloque: 180 m (221–401 msnm). El cuadro conserva todos los bloques catalogados en la microcuenca, incluidos los descartados en el tamizaje, para referencia del conjunto. Los bloques sin ficha DT figuran con sus parámetros de gabinete. BRECHA ESPECTRAL. El 99.89 % de la superficie del bloque (52.684 ha de 52.743 ha) se sitúa bajo el umbral MSAVI 0.4976, por encima del promedio local de la microcuenca (99.15 %) calculado sobre los bloques con dato MSAVI disponible.</t>
        </is>
      </c>
      <c r="B19" s="42" t="n"/>
      <c r="C19" s="42" t="n"/>
      <c r="D19" s="42" t="n"/>
      <c r="E19" s="42" t="n"/>
      <c r="F19" s="42" t="n"/>
      <c r="G19" s="42" t="n"/>
      <c r="H19" s="42" t="n"/>
      <c r="I19" s="43" t="n"/>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2" t="n"/>
      <c r="C21" s="42" t="n"/>
      <c r="D21" s="42" t="n"/>
      <c r="E21" s="42" t="n"/>
      <c r="F21" s="42" t="n"/>
      <c r="G21" s="42" t="n"/>
      <c r="H21" s="42" t="n"/>
      <c r="I21" s="43" t="n"/>
    </row>
  </sheetData>
  <mergeCells count="9">
    <mergeCell ref="A19:I19"/>
    <mergeCell ref="A2:I2"/>
    <mergeCell ref="A5:I5"/>
    <mergeCell ref="A1:I1"/>
    <mergeCell ref="A8:I8"/>
    <mergeCell ref="A3:I3"/>
    <mergeCell ref="A6:I6"/>
    <mergeCell ref="A4:I4"/>
    <mergeCell ref="A21:I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M3B5</t>
        </is>
      </c>
    </row>
    <row r="6">
      <c r="A6" s="53" t="inlineStr">
        <is>
          <t>Cruce de la ficha de campo F-DT vigente con la ficha de resumen de gabinete y el catálogo maestro. Integración 2026-09-11 21:26:36.</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«C1081-Q9582».</t>
        </is>
      </c>
      <c r="D9" s="57" t="inlineStr">
        <is>
          <t>CONFORME</t>
        </is>
      </c>
      <c r="E9" s="57" t="inlineStr">
        <is>
          <t>Sin acción.</t>
        </is>
      </c>
    </row>
    <row r="10">
      <c r="A10" s="58" t="inlineStr">
        <is>
          <t>G-02</t>
        </is>
      </c>
      <c r="B10" s="58" t="inlineStr">
        <is>
          <t>UTM del punto de muestreo</t>
        </is>
      </c>
      <c r="C10" s="58" t="inlineStr">
        <is>
          <t>El punto de muestreo declarado dista 2.0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(216 msnm) cae dentro del rango altitudinal del bloque (221 - 401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(52.761 ha) se desvía 0.04 % de la superficie de catálogo (52.74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(52.743 ha) se desvía 0.01 % de la superficie de catálogo (52.74 ha).</t>
        </is>
      </c>
      <c r="D14" s="58" t="inlineStr">
        <is>
          <t>CONFORME</t>
        </is>
      </c>
      <c r="E14" s="58" t="inlineStr">
        <is>
          <t>Sin acción: la segmentación valida la geometría del bloque.</t>
        </is>
      </c>
    </row>
    <row r="15">
      <c r="A15" s="57" t="inlineStr">
        <is>
          <t>G-07</t>
        </is>
      </c>
      <c r="B15" s="57" t="inlineStr">
        <is>
          <t>Brecha espectral MSAVI</t>
        </is>
      </c>
      <c r="C15" s="57" t="inlineStr">
        <is>
          <t>El 99.89 % del bloque queda bajo el umbral 0.4976; superficie de brecha 52.68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52.74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(0.2830) cae en la clase «0.2650 - 0.3813 (Vigor muy bajo)» y la clase DN dominante por superficie es «DN 2 · 0.2650 - 0.3813 (Vigor muy bajo)».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F-01</t>
        </is>
      </c>
      <c r="B19" s="57" t="inlineStr">
        <is>
          <t>Fichas F-DT levantadas</t>
        </is>
      </c>
      <c r="C19" s="57" t="inlineStr">
        <is>
          <t>La plantilla de campo trae las cinco fichas F-DT-01 a F-DT-05 (completitud 96.4 % de los campos esperados).</t>
        </is>
      </c>
      <c r="D19" s="57" t="inlineStr">
        <is>
          <t>CONFORME</t>
        </is>
      </c>
      <c r="E19" s="57" t="inlineStr">
        <is>
          <t>Sin acción.</t>
        </is>
      </c>
    </row>
    <row r="20">
      <c r="A20" s="58" t="inlineStr">
        <is>
          <t>F-02</t>
        </is>
      </c>
      <c r="B20" s="58" t="inlineStr">
        <is>
          <t>Cobertura de la integración</t>
        </is>
      </c>
      <c r="C20" s="58" t="inlineStr">
        <is>
          <t>Se declararon 97 de 114 hechos integrados (85.1 %); 17 quedan sin dato en ninguna fuente.</t>
        </is>
      </c>
      <c r="D20" s="58" t="inlineStr">
        <is>
          <t>CONFORME</t>
        </is>
      </c>
      <c r="E20" s="58" t="inlineStr">
        <is>
          <t>Sin acción.</t>
        </is>
      </c>
    </row>
    <row r="21">
      <c r="A21" s="57" t="inlineStr">
        <is>
          <t>H-01</t>
        </is>
      </c>
      <c r="B21" s="57" t="inlineStr">
        <is>
          <t>Rango de pendiente dominante</t>
        </is>
      </c>
      <c r="C21" s="57" t="inlineStr">
        <is>
          <t>La ficha DT declara «25-50% (Mod. escarpado)»; la estadística zonal sobre el MDE arroja una pendiente promedio de 18.94 %, que corresponde a la clase «15-25% (Fuert. inclinado)»</t>
        </is>
      </c>
      <c r="D21" s="57" t="inlineStr">
        <is>
          <t>NO SUSTANTIVA</t>
        </is>
      </c>
      <c r="E21" s="5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
      <c r="A22" s="58" t="inlineStr">
        <is>
          <t>H-02</t>
        </is>
      </c>
      <c r="B22" s="58" t="inlineStr">
        <is>
          <t>Cobertura vegetal total</t>
        </is>
      </c>
      <c r="C22" s="58" t="inlineStr">
        <is>
          <t>La ficha DT estima 20 % de cobertura vegetal en campo; el NDVI mediana 2025 clasifica 91.64 % del polígono en clases de vegetación</t>
        </is>
      </c>
      <c r="D22" s="58" t="inlineStr">
        <is>
          <t>NO SUSTANTIVA</t>
        </is>
      </c>
      <c r="E22" s="58"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
      <c r="A23" s="57" t="inlineStr">
        <is>
          <t>H-03</t>
        </is>
      </c>
      <c r="B23" s="57" t="inlineStr">
        <is>
          <t>Dimensiones del inventario de cárcavas</t>
        </is>
      </c>
      <c r="C23" s="57" t="inlineStr">
        <is>
          <t>Se registran No inventariadas rasgos erosivos, pero longitud, profundidad y ancho no fueron medidos instrumentalmente</t>
        </is>
      </c>
      <c r="D23" s="57" t="inlineStr">
        <is>
          <t>NO SUSTANTIVA</t>
        </is>
      </c>
      <c r="E23" s="57" t="inlineStr">
        <is>
          <t>El conteo registrado no debe usarse para calcular densidad de cárcavas por hectárea. Pendiente de levantamiento con GPS submétrico. (Verificación heredada de la ficha de resumen V6.)</t>
        </is>
      </c>
    </row>
    <row r="24">
      <c r="A24" s="58" t="inlineStr">
        <is>
          <t>H-04</t>
        </is>
      </c>
      <c r="B24" s="58" t="inlineStr">
        <is>
          <t>Elenco florístico</t>
        </is>
      </c>
      <c r="C24" s="58" t="inlineStr">
        <is>
          <t>La ficha registra 6 taxones, por debajo del mínimo de 15 que exige el formato V5</t>
        </is>
      </c>
      <c r="D24" s="58" t="inlineStr">
        <is>
          <t>SUSTANTIVA</t>
        </is>
      </c>
      <c r="E24" s="58" t="inlineStr">
        <is>
          <t>Registro florístico preliminar, sin colecta ni determinación botánica formal. Debe cerrarse con colecta botánica en la siguiente campaña. (Verificación heredada de la ficha de resumen V6.)</t>
        </is>
      </c>
    </row>
    <row r="25">
      <c r="A25" s="57" t="inlineStr">
        <is>
          <t>H-05</t>
        </is>
      </c>
      <c r="B25" s="57" t="inlineStr">
        <is>
          <t>Representatividad del levantamiento</t>
        </is>
      </c>
      <c r="C25" s="57" t="inlineStr">
        <is>
          <t>Ninguna de las estaciones fotográficas georreferenciadas se localiza dentro del polígono del bloque</t>
        </is>
      </c>
      <c r="D25" s="57" t="inlineStr">
        <is>
          <t>SUSTANTIVA</t>
        </is>
      </c>
      <c r="E25" s="57" t="inlineStr">
        <is>
          <t>La verificación documenta el perímetro y la vista panorámica del bloque, no su interior. Los parámetros que exigen recorrido interno se consignan «Por determinar». (Verificación heredada de la ficha de resumen V6.)</t>
        </is>
      </c>
    </row>
    <row r="26">
      <c r="A26" s="58" t="inlineStr">
        <is>
          <t>H-06</t>
        </is>
      </c>
      <c r="B26" s="58" t="inlineStr">
        <is>
          <t>Centro poblado asociado</t>
        </is>
      </c>
      <c r="C26" s="58" t="inlineStr">
        <is>
          <t>La ficha DT declara «CP San Juan Bautista»; el cruce INEI-Bloques V5 identifica 1 centro(s) poblado(s) en el bloque: SAN JUAN BAUTISTA</t>
        </is>
      </c>
      <c r="D26" s="58" t="inlineStr">
        <is>
          <t>CONFORME</t>
        </is>
      </c>
      <c r="E26" s="58" t="inlineStr">
        <is>
          <t>Se conserva el registro de campo como referencia y se adopta el listado INEI para el diagnóstico social y el cálculo de población beneficiaria. (Verificación heredada de la ficha de resumen V6.)</t>
        </is>
      </c>
    </row>
    <row r="27">
      <c r="A27" s="57" t="inlineStr">
        <is>
          <t>H-07</t>
        </is>
      </c>
      <c r="B27" s="57" t="inlineStr">
        <is>
          <t>Plan de Ingreso</t>
        </is>
      </c>
      <c r="C27" s="57" t="inlineStr">
        <is>
          <t>Altitud = 0 msnm (captura por defecto del aplicativo)</t>
        </is>
      </c>
      <c r="D27" s="57" t="inlineStr">
        <is>
          <t>CORREGIDO</t>
        </is>
      </c>
      <c r="E27" s="57" t="inlineStr">
        <is>
          <t>Se reemplaza por la altitud GPS de campo (216 msnm) (Verificación heredada de la ficha de resumen V6.)</t>
        </is>
      </c>
    </row>
    <row r="28">
      <c r="A28" s="58" t="inlineStr">
        <is>
          <t>H-08</t>
        </is>
      </c>
      <c r="B28" s="58" t="inlineStr">
        <is>
          <t>F-DT-02</t>
        </is>
      </c>
      <c r="C28" s="58" t="inlineStr">
        <is>
          <t>Inventario georreferenciado de cárcavas pendiente pese a calificar la erosión como Fuerte y la urgencia Alta</t>
        </is>
      </c>
      <c r="D28" s="58" t="inlineStr">
        <is>
          <t>SUSTANTIVA</t>
        </is>
      </c>
      <c r="E28" s="58" t="inlineStr">
        <is>
          <t>Levantamiento prioritario (Verificación heredada de la ficha de resumen V6.)</t>
        </is>
      </c>
    </row>
    <row r="29">
      <c r="A29" s="57" t="inlineStr">
        <is>
          <t>H-09</t>
        </is>
      </c>
      <c r="B29" s="57" t="inlineStr">
        <is>
          <t>F-DT-03</t>
        </is>
      </c>
      <c r="C29" s="57" t="inlineStr">
        <is>
          <t>Solo 6 taxones registrados frente al mínimo de 15 exigido</t>
        </is>
      </c>
      <c r="D29" s="57" t="inlineStr">
        <is>
          <t>SUSTANTIVA</t>
        </is>
      </c>
      <c r="E29" s="57" t="inlineStr">
        <is>
          <t>Inventario florístico incompleto (Verificación heredada de la ficha de resumen V6.)</t>
        </is>
      </c>
    </row>
    <row r="30">
      <c r="A30" s="58" t="inlineStr">
        <is>
          <t>H-10</t>
        </is>
      </c>
      <c r="B30" s="58" t="inlineStr">
        <is>
          <t>F-DT-04</t>
        </is>
      </c>
      <c r="C30" s="58" t="inlineStr">
        <is>
          <t>Cinco de los ocho indicadores cuantitativos sin valor; extensión y antigüedad de las causas no cuantificadas</t>
        </is>
      </c>
      <c r="D30" s="58" t="inlineStr">
        <is>
          <t>SUSTANTIVA</t>
        </is>
      </c>
      <c r="E30" s="58" t="inlineStr">
        <is>
          <t>Cuantificación pendiente (Verificación heredada de la ficha de resumen V6.)</t>
        </is>
      </c>
    </row>
    <row r="31">
      <c r="A31" s="57" t="inlineStr">
        <is>
          <t>H-11</t>
        </is>
      </c>
      <c r="B31" s="57" t="inlineStr">
        <is>
          <t>F-DT-05</t>
        </is>
      </c>
      <c r="C31" s="57" t="inlineStr">
        <is>
          <t>Inventario de fuentes vacío; las 3 microquebradas internas no fueron georreferenciadas</t>
        </is>
      </c>
      <c r="D31" s="57" t="inlineStr">
        <is>
          <t>SUSTANTIVA</t>
        </is>
      </c>
      <c r="E31" s="57" t="inlineStr">
        <is>
          <t>Las dos quebradas registradas se ubican fuera del centroide declarado (Verificación heredada de la ficha de resumen V6.)</t>
        </is>
      </c>
    </row>
    <row r="33">
      <c r="A33" s="59" t="inlineStr">
        <is>
          <t>RESUMEN</t>
        </is>
      </c>
      <c r="B33" s="60" t="inlineStr">
        <is>
          <t>23 verificaciones</t>
        </is>
      </c>
      <c r="C33" s="60" t="inlineStr">
        <is>
          <t>SUSTANTIVA: 7 · NO SUSTANTIVA: 3 · CORREGIDO: 1 · CONFORME: 12</t>
        </is>
      </c>
    </row>
    <row r="35">
      <c r="A35"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5:E35"/>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M3B5</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t>
        </is>
      </c>
      <c r="B9" s="57" t="inlineStr">
        <is>
          <t>Sin cambios: la ficha de campo confirma el libro V6</t>
        </is>
      </c>
      <c r="C9" s="57" t="inlineStr"/>
      <c r="D9" s="57" t="inlineStr"/>
      <c r="E9" s="57" t="inlineStr"/>
    </row>
    <row r="11">
      <c r="A11" s="55" t="inlineStr">
        <is>
          <t>B. HECHOS APORTADOS ÚNICAMENTE POR LA FICHA DE CAMPO</t>
        </is>
      </c>
    </row>
    <row r="12">
      <c r="A12" s="56" t="inlineStr">
        <is>
          <t>Sección</t>
        </is>
      </c>
      <c r="B12" s="56" t="inlineStr">
        <is>
          <t>Hecho</t>
        </is>
      </c>
      <c r="C12" s="56" t="inlineStr">
        <is>
          <t>Valor</t>
        </is>
      </c>
      <c r="D12" s="56" t="inlineStr">
        <is>
          <t>Unidad</t>
        </is>
      </c>
    </row>
    <row r="13">
      <c r="A13" s="57" t="inlineStr">
        <is>
          <t>1. Identificación y localización</t>
        </is>
      </c>
      <c r="B13" s="57" t="inlineStr">
        <is>
          <t>UTM ESTE del punto de muestreo (m)</t>
        </is>
      </c>
      <c r="C13" s="57" t="inlineStr">
        <is>
          <t>635887</t>
        </is>
      </c>
      <c r="D13" s="57" t="inlineStr">
        <is>
          <t>m</t>
        </is>
      </c>
    </row>
    <row r="14">
      <c r="A14" s="58" t="inlineStr">
        <is>
          <t>1. Identificación y localización</t>
        </is>
      </c>
      <c r="B14" s="58" t="inlineStr">
        <is>
          <t>UTM NORTE del punto de muestreo (m)</t>
        </is>
      </c>
      <c r="C14" s="58" t="inlineStr">
        <is>
          <t>9411740</t>
        </is>
      </c>
      <c r="D14" s="58" t="inlineStr">
        <is>
          <t>m</t>
        </is>
      </c>
    </row>
    <row r="15">
      <c r="A15" s="57" t="inlineStr">
        <is>
          <t>2. Parámetros físicos del terreno</t>
        </is>
      </c>
      <c r="B15" s="57" t="inlineStr">
        <is>
          <t>Altitud GPS del punto de muestreo (msnm)</t>
        </is>
      </c>
      <c r="C15" s="57" t="inlineStr">
        <is>
          <t>216</t>
        </is>
      </c>
      <c r="D15" s="57" t="inlineStr">
        <is>
          <t>msnm</t>
        </is>
      </c>
    </row>
    <row r="16">
      <c r="A16" s="58" t="inlineStr">
        <is>
          <t>2. Parámetros físicos del terreno</t>
        </is>
      </c>
      <c r="B16" s="58" t="inlineStr">
        <is>
          <t>Piso altitudinal del punto de muestreo</t>
        </is>
      </c>
      <c r="C16" s="58" t="inlineStr">
        <is>
          <t>&lt;1000 m (Yunga)</t>
        </is>
      </c>
      <c r="D16" s="58" t="inlineStr"/>
    </row>
    <row r="17">
      <c r="A17" s="57" t="inlineStr">
        <is>
          <t>2. Parámetros físicos del terreno</t>
        </is>
      </c>
      <c r="B17" s="57" t="inlineStr">
        <is>
          <t>Paisaje dominante descrito en campo</t>
        </is>
      </c>
      <c r="C17" s="57" t="inlineStr">
        <is>
          <t>Colinas medias fuertemente escarpadas con escasa cobertura arbórea y signos de degradación; ladera de exposición N-NE que asciende desde la planicie aluvial del río Bigote (216 msnm) hacia el divortium aquarum sur (400 msnm).</t>
        </is>
      </c>
      <c r="D17" s="57" t="inlineStr"/>
    </row>
    <row r="18">
      <c r="A18" s="58" t="inlineStr">
        <is>
          <t>2. Parámetros físicos del terreno</t>
        </is>
      </c>
      <c r="B18" s="58" t="inlineStr">
        <is>
          <t>Reptación de suelo</t>
        </is>
      </c>
      <c r="C18" s="58" t="inlineStr">
        <is>
          <t>Sí</t>
        </is>
      </c>
      <c r="D18" s="58" t="inlineStr"/>
    </row>
    <row r="19">
      <c r="A19" s="57" t="inlineStr">
        <is>
          <t>2. Parámetros físicos del terreno</t>
        </is>
      </c>
      <c r="B19" s="57" t="inlineStr">
        <is>
          <t>Deslizamientos antiguos</t>
        </is>
      </c>
      <c r="C19" s="57" t="inlineStr">
        <is>
          <t>No</t>
        </is>
      </c>
      <c r="D19" s="57" t="inlineStr"/>
    </row>
    <row r="20">
      <c r="A20" s="58" t="inlineStr">
        <is>
          <t>4. Suelos y erosión (F-DT-02)</t>
        </is>
      </c>
      <c r="B20" s="58" t="inlineStr">
        <is>
          <t>Nivel de erosión - síntesis de campo</t>
        </is>
      </c>
      <c r="C20" s="58" t="inlineStr">
        <is>
          <t>Fuerte (cárcavas incipientes)</t>
        </is>
      </c>
      <c r="D20" s="58" t="inlineStr"/>
    </row>
    <row r="21">
      <c r="A21" s="57" t="inlineStr">
        <is>
          <t>4. Suelos y erosión (F-DT-02)</t>
        </is>
      </c>
      <c r="B21" s="57" t="inlineStr">
        <is>
          <t>Sellamiento / costra superficial</t>
        </is>
      </c>
      <c r="C21" s="57" t="inlineStr">
        <is>
          <t>Sí</t>
        </is>
      </c>
      <c r="D21" s="57" t="inlineStr"/>
    </row>
    <row r="22">
      <c r="A22" s="58" t="inlineStr">
        <is>
          <t>4. Suelos y erosión (F-DT-02)</t>
        </is>
      </c>
      <c r="B22" s="58" t="inlineStr">
        <is>
          <t>Compactación por pisoteo</t>
        </is>
      </c>
      <c r="C22" s="58" t="inlineStr">
        <is>
          <t>Sí</t>
        </is>
      </c>
      <c r="D22" s="58" t="inlineStr"/>
    </row>
    <row r="23">
      <c r="A23" s="57" t="inlineStr">
        <is>
          <t>4. Suelos y erosión (F-DT-02)</t>
        </is>
      </c>
      <c r="B23" s="57" t="inlineStr">
        <is>
          <t>Raíces expuestas</t>
        </is>
      </c>
      <c r="C23" s="57" t="inlineStr">
        <is>
          <t>Sí</t>
        </is>
      </c>
      <c r="D23" s="57" t="inlineStr"/>
    </row>
    <row r="24">
      <c r="A24" s="58" t="inlineStr">
        <is>
          <t>5. Ecosistema, cobertura y flora (F-DT-03)</t>
        </is>
      </c>
      <c r="B24" s="58" t="inlineStr">
        <is>
          <t>Cobertura del dosel (%)</t>
        </is>
      </c>
      <c r="C24" s="58" t="inlineStr">
        <is>
          <t>10</t>
        </is>
      </c>
      <c r="D24" s="58" t="inlineStr">
        <is>
          <t>%</t>
        </is>
      </c>
    </row>
    <row r="25">
      <c r="A25" s="57" t="inlineStr">
        <is>
          <t>5. Ecosistema, cobertura y flora (F-DT-03)</t>
        </is>
      </c>
      <c r="B25" s="57" t="inlineStr">
        <is>
          <t>Cobertura arbustiva (%)</t>
        </is>
      </c>
      <c r="C25" s="57" t="inlineStr">
        <is>
          <t>10</t>
        </is>
      </c>
      <c r="D25" s="57" t="inlineStr">
        <is>
          <t>%</t>
        </is>
      </c>
    </row>
    <row r="26">
      <c r="A26" s="58" t="inlineStr">
        <is>
          <t>5. Ecosistema, cobertura y flora (F-DT-03)</t>
        </is>
      </c>
      <c r="B26" s="58" t="inlineStr">
        <is>
          <t>Cobertura herbácea (%)</t>
        </is>
      </c>
      <c r="C26" s="58" t="inlineStr">
        <is>
          <t>0</t>
        </is>
      </c>
      <c r="D26" s="58" t="inlineStr">
        <is>
          <t>%</t>
        </is>
      </c>
    </row>
    <row r="27">
      <c r="A27" s="57" t="inlineStr">
        <is>
          <t>5. Ecosistema, cobertura y flora (F-DT-03)</t>
        </is>
      </c>
      <c r="B27" s="57" t="inlineStr">
        <is>
          <t>Altura del estrato dominante (m)</t>
        </is>
      </c>
      <c r="C27" s="57" t="inlineStr">
        <is>
          <t>5</t>
        </is>
      </c>
      <c r="D27" s="57" t="inlineStr">
        <is>
          <t>m</t>
        </is>
      </c>
    </row>
    <row r="28">
      <c r="A28" s="58" t="inlineStr">
        <is>
          <t>5. Ecosistema, cobertura y flora (F-DT-03)</t>
        </is>
      </c>
      <c r="B28" s="58" t="inlineStr">
        <is>
          <t>Altura máxima registrada (m)</t>
        </is>
      </c>
      <c r="C28" s="58" t="inlineStr">
        <is>
          <t>8</t>
        </is>
      </c>
      <c r="D28" s="58" t="inlineStr">
        <is>
          <t>m</t>
        </is>
      </c>
    </row>
    <row r="29">
      <c r="A29" s="57" t="inlineStr">
        <is>
          <t>5. Ecosistema, cobertura y flora (F-DT-03)</t>
        </is>
      </c>
      <c r="B29" s="57" t="inlineStr">
        <is>
          <t>DAP promedio (cm)</t>
        </is>
      </c>
      <c r="C29" s="57" t="inlineStr">
        <is>
          <t>20</t>
        </is>
      </c>
      <c r="D29" s="57" t="inlineStr">
        <is>
          <t>cm</t>
        </is>
      </c>
    </row>
    <row r="30">
      <c r="A30" s="58" t="inlineStr">
        <is>
          <t>6. Degradación, causas y urgencia (F-DT-04)</t>
        </is>
      </c>
      <c r="B30" s="58" t="inlineStr">
        <is>
          <t>Causas directas de la degradación</t>
        </is>
      </c>
      <c r="C30" s="58" t="inlineStr">
        <is>
          <t>Sobrepastoreo caprino/vacuno, tala para leña y cambio de uso a pastoreo (intensidad fuerte); erosión natural severa y sequía/cambio climático como causas modificadoras.</t>
        </is>
      </c>
      <c r="D30" s="58" t="inlineStr"/>
    </row>
    <row r="31">
      <c r="A31" s="57" t="inlineStr">
        <is>
          <t>6. Degradación, causas y urgencia (F-DT-04)</t>
        </is>
      </c>
      <c r="B31" s="57" t="inlineStr">
        <is>
          <t>N.° de causas activas en la matriz F-DT-04</t>
        </is>
      </c>
      <c r="C31" s="57" t="inlineStr">
        <is>
          <t>6</t>
        </is>
      </c>
      <c r="D31" s="57" t="inlineStr"/>
    </row>
    <row r="32">
      <c r="A32" s="58" t="inlineStr">
        <is>
          <t>7. Hidrología, acceso y logística (F-DT-05)</t>
        </is>
      </c>
      <c r="B32" s="58" t="inlineStr">
        <is>
          <t>Escorrentía concentrada</t>
        </is>
      </c>
      <c r="C32" s="58" t="inlineStr">
        <is>
          <t>Sí</t>
        </is>
      </c>
      <c r="D32" s="58" t="inlineStr"/>
    </row>
    <row r="33">
      <c r="A33" s="57" t="inlineStr">
        <is>
          <t>7. Hidrología, acceso y logística (F-DT-05)</t>
        </is>
      </c>
      <c r="B33" s="57" t="inlineStr">
        <is>
          <t>Fuentes de agua inventariadas</t>
        </is>
      </c>
      <c r="C33" s="57" t="inlineStr">
        <is>
          <t>2</t>
        </is>
      </c>
      <c r="D33" s="57" t="inlineStr"/>
    </row>
    <row r="34">
      <c r="A34" s="58" t="inlineStr">
        <is>
          <t>7. Hidrología, acceso y logística (F-DT-05)</t>
        </is>
      </c>
      <c r="B34" s="58" t="inlineStr">
        <is>
          <t>Vía principal de acceso</t>
        </is>
      </c>
      <c r="C34" s="58" t="inlineStr">
        <is>
          <t>PE-1NR (departamental asfaltada, corredor Buenos Aires–Bigote)</t>
        </is>
      </c>
      <c r="D34" s="58" t="inlineStr"/>
    </row>
    <row r="35">
      <c r="A35" s="57" t="inlineStr">
        <is>
          <t>7. Hidrología, acceso y logística (F-DT-05)</t>
        </is>
      </c>
      <c r="B35" s="57" t="inlineStr">
        <is>
          <t>Tipo de vía del tramo final</t>
        </is>
      </c>
      <c r="C35" s="57" t="inlineStr">
        <is>
          <t>Camino de herradura</t>
        </is>
      </c>
      <c r="D35" s="57" t="inlineStr"/>
    </row>
    <row r="36">
      <c r="A36" s="58" t="inlineStr">
        <is>
          <t>7. Hidrología, acceso y logística (F-DT-05)</t>
        </is>
      </c>
      <c r="B36" s="58" t="inlineStr">
        <is>
          <t>Transitabilidad en época seca</t>
        </is>
      </c>
      <c r="C36" s="58" t="inlineStr">
        <is>
          <t>Alto</t>
        </is>
      </c>
      <c r="D36" s="58" t="inlineStr"/>
    </row>
    <row r="37">
      <c r="A37" s="57" t="inlineStr">
        <is>
          <t>7. Hidrología, acceso y logística (F-DT-05)</t>
        </is>
      </c>
      <c r="B37" s="57" t="inlineStr">
        <is>
          <t>Transitabilidad en época lluviosa</t>
        </is>
      </c>
      <c r="C37" s="57" t="inlineStr">
        <is>
          <t>Medio</t>
        </is>
      </c>
      <c r="D37" s="57" t="inlineStr"/>
    </row>
    <row r="38">
      <c r="A38" s="58" t="inlineStr">
        <is>
          <t>7. Hidrología, acceso y logística (F-DT-05)</t>
        </is>
      </c>
      <c r="B38" s="58" t="inlineStr">
        <is>
          <t>Tiempo a la capital distrital (min)</t>
        </is>
      </c>
      <c r="C38" s="58" t="inlineStr">
        <is>
          <t>5</t>
        </is>
      </c>
      <c r="D38" s="58" t="inlineStr">
        <is>
          <t>min</t>
        </is>
      </c>
    </row>
    <row r="39">
      <c r="A39" s="57" t="inlineStr">
        <is>
          <t>7. Hidrología, acceso y logística (F-DT-05)</t>
        </is>
      </c>
      <c r="B39" s="57" t="inlineStr">
        <is>
          <t>Señal celular</t>
        </is>
      </c>
      <c r="C39" s="57" t="inlineStr">
        <is>
          <t>Completa</t>
        </is>
      </c>
      <c r="D39" s="57" t="inlineStr"/>
    </row>
    <row r="40">
      <c r="A40" s="58" t="inlineStr">
        <is>
          <t>7. Hidrología, acceso y logística (F-DT-05)</t>
        </is>
      </c>
      <c r="B40" s="58" t="inlineStr">
        <is>
          <t>Operador con cobertura</t>
        </is>
      </c>
      <c r="C40" s="58" t="inlineStr">
        <is>
          <t>Bitel</t>
        </is>
      </c>
      <c r="D40" s="58" t="inlineStr"/>
    </row>
    <row r="41">
      <c r="A41" s="57" t="inlineStr">
        <is>
          <t>7. Hidrología, acceso y logística (F-DT-05)</t>
        </is>
      </c>
      <c r="B41" s="57" t="inlineStr">
        <is>
          <t>Alojamiento disponible en la zona</t>
        </is>
      </c>
      <c r="C41" s="57" t="inlineStr">
        <is>
          <t>Sí</t>
        </is>
      </c>
      <c r="D41" s="57" t="inlineStr"/>
    </row>
    <row r="42">
      <c r="A42" s="58" t="inlineStr">
        <is>
          <t>7. Hidrología, acceso y logística (F-DT-05)</t>
        </is>
      </c>
      <c r="B42" s="58" t="inlineStr">
        <is>
          <t>Requiere coordinación con ronda / comunidad</t>
        </is>
      </c>
      <c r="C42" s="58" t="inlineStr">
        <is>
          <t>Sí</t>
        </is>
      </c>
      <c r="D42" s="58" t="inlineStr"/>
    </row>
    <row r="44">
      <c r="A44" s="55" t="inlineStr">
        <is>
          <t>C. PROCEDENCIA DE LOS HECHOS DECLARADOS</t>
        </is>
      </c>
    </row>
    <row r="45">
      <c r="A45" s="56" t="inlineStr">
        <is>
          <t>Fuente</t>
        </is>
      </c>
      <c r="B45" s="56" t="inlineStr">
        <is>
          <t>Hechos</t>
        </is>
      </c>
      <c r="C45" s="56" t="inlineStr">
        <is>
          <t>Alcance de la fuente</t>
        </is>
      </c>
    </row>
    <row r="46">
      <c r="A46" s="57" t="inlineStr">
        <is>
          <t>Dato de campo</t>
        </is>
      </c>
      <c r="B46" s="57" t="n">
        <v>56</v>
      </c>
      <c r="C46" s="57" t="inlineStr">
        <is>
          <t>Verificación en campo. Fichas F-DT-01 a F-DT-05 de la Plantilla DT Campo Check Validada V5, suscritas por el evaluador.</t>
        </is>
      </c>
    </row>
    <row r="47">
      <c r="A47" s="58" t="inlineStr">
        <is>
          <t>Gabinete (GIS / teledetección)</t>
        </is>
      </c>
      <c r="B47" s="58" t="n">
        <v>27</v>
      </c>
      <c r="C47" s="58" t="inlineStr">
        <is>
          <t>Gabinete. Estadística zonal sobre el MDE y compuestos Sentinel-2 (NDVI mediana 2025, MSAVI 2024 por clase DN).</t>
        </is>
      </c>
    </row>
    <row r="48">
      <c r="A48" s="57" t="inlineStr">
        <is>
          <t>Fuente oficial</t>
        </is>
      </c>
      <c r="B48" s="57" t="n">
        <v>14</v>
      </c>
      <c r="C48" s="57" t="inlineStr">
        <is>
          <t>Fuente oficial. Catálogo maestro Bloques V5/V6, división política INEI y codificación de microcuencas de la ANA.</t>
        </is>
      </c>
    </row>
    <row r="50">
      <c r="A50" s="55" t="inlineStr">
        <is>
          <t>D. ESTADO DEL CRUCE ENTRE FUENTES</t>
        </is>
      </c>
    </row>
    <row r="51">
      <c r="A51" s="56" t="inlineStr">
        <is>
          <t>Estado</t>
        </is>
      </c>
      <c r="B51" s="56" t="inlineStr">
        <is>
          <t>Hechos</t>
        </is>
      </c>
      <c r="C51" s="56" t="inlineStr">
        <is>
          <t>Significado</t>
        </is>
      </c>
    </row>
    <row r="52">
      <c r="A52" s="57" t="inlineStr">
        <is>
          <t>CONFORME</t>
        </is>
      </c>
      <c r="B52" s="57" t="n">
        <v>91</v>
      </c>
      <c r="C52" s="57" t="inlineStr">
        <is>
          <t>Las dos fuentes declaran lo mismo, o solo la fuente que manda sobre el hecho lo declara.</t>
        </is>
      </c>
    </row>
    <row r="53">
      <c r="A53" s="58" t="inlineStr">
        <is>
          <t>COMPLEMENTADO</t>
        </is>
      </c>
      <c r="B53" s="58" t="n">
        <v>6</v>
      </c>
      <c r="C53" s="58" t="inlineStr">
        <is>
          <t>Solo una de las fuentes lo declara y se adopta ese valor.</t>
        </is>
      </c>
    </row>
    <row r="54">
      <c r="A54" s="57" t="inlineStr">
        <is>
          <t>ACTUALIZADO</t>
        </is>
      </c>
      <c r="B54" s="57" t="n">
        <v>0</v>
      </c>
      <c r="C54" s="57" t="inlineStr">
        <is>
          <t>La verificación de campo vigente corrige lo que traía el libro de resumen.</t>
        </is>
      </c>
    </row>
    <row r="55">
      <c r="A55" s="58" t="inlineStr">
        <is>
          <t>DISCREPANTE</t>
        </is>
      </c>
      <c r="B55" s="58" t="n">
        <v>0</v>
      </c>
      <c r="C55" s="58" t="inlineStr">
        <is>
          <t>Las fuentes se contradicen; prevalece la que manda sobre el hecho y la otra queda declarada.</t>
        </is>
      </c>
    </row>
    <row r="56">
      <c r="A56" s="57" t="inlineStr">
        <is>
          <t>PENDIENTE</t>
        </is>
      </c>
      <c r="B56" s="57" t="n">
        <v>17</v>
      </c>
      <c r="C56"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M3B5</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Sin cárcavas inventariadas en el tramo verificado</t>
        </is>
      </c>
      <c r="B9" s="57" t="inlineStr"/>
      <c r="C9" s="57" t="inlineStr"/>
      <c r="D9" s="57" t="inlineStr"/>
      <c r="E9" s="57" t="inlineStr"/>
      <c r="F9" s="57" t="inlineStr"/>
      <c r="G9" s="57" t="inlineStr"/>
      <c r="H9" s="57" t="inlineStr"/>
      <c r="I9" s="57" t="inlineStr"/>
    </row>
    <row r="11">
      <c r="A11" s="55" t="inlineStr">
        <is>
          <t>F-DT-03 · ELENCO FLORÍSTICO</t>
        </is>
      </c>
    </row>
    <row r="12">
      <c r="A12" s="56" t="inlineStr">
        <is>
          <t>N.o</t>
        </is>
      </c>
      <c r="B12" s="56" t="inlineStr">
        <is>
          <t>Nombre común</t>
        </is>
      </c>
      <c r="C12" s="56" t="inlineStr">
        <is>
          <t>Nombre científico</t>
        </is>
      </c>
      <c r="D12" s="56" t="inlineStr">
        <is>
          <t>Familia</t>
        </is>
      </c>
      <c r="E12" s="56" t="inlineStr">
        <is>
          <t>Estrato</t>
        </is>
      </c>
      <c r="F12" s="56" t="inlineStr">
        <is>
          <t>Origen</t>
        </is>
      </c>
      <c r="G12" s="56" t="inlineStr">
        <is>
          <t>Abundancia</t>
        </is>
      </c>
      <c r="H12" s="56" t="inlineStr">
        <is>
          <t>DAP (cm)</t>
        </is>
      </c>
      <c r="I12" s="56" t="inlineStr">
        <is>
          <t>Altura (m)</t>
        </is>
      </c>
    </row>
    <row r="13">
      <c r="A13" s="57" t="inlineStr">
        <is>
          <t>1</t>
        </is>
      </c>
      <c r="B13" s="57" t="inlineStr">
        <is>
          <t>Overo</t>
        </is>
      </c>
      <c r="C13" s="57" t="inlineStr">
        <is>
          <t>Cordia lutea</t>
        </is>
      </c>
      <c r="D13" s="57" t="inlineStr">
        <is>
          <t>Boraginaceae</t>
        </is>
      </c>
      <c r="E13" s="57" t="inlineStr">
        <is>
          <t>Arbustivo alto (1.5-4 m)</t>
        </is>
      </c>
      <c r="F13" s="57" t="inlineStr">
        <is>
          <t>Nativa</t>
        </is>
      </c>
      <c r="G13" s="57" t="inlineStr">
        <is>
          <t>Abundante (20-40%)</t>
        </is>
      </c>
      <c r="H13" s="57" t="n"/>
      <c r="I13" s="57" t="n"/>
    </row>
    <row r="14">
      <c r="A14" s="58" t="inlineStr">
        <is>
          <t>2</t>
        </is>
      </c>
      <c r="B14" s="58" t="inlineStr">
        <is>
          <t>Cactáceas (varias)</t>
        </is>
      </c>
      <c r="C14" s="58" t="inlineStr">
        <is>
          <t>Cactaceae spp.</t>
        </is>
      </c>
      <c r="D14" s="58" t="inlineStr">
        <is>
          <t>Cactaceae</t>
        </is>
      </c>
      <c r="E14" s="58" t="inlineStr"/>
      <c r="F14" s="58" t="inlineStr">
        <is>
          <t>Nativa</t>
        </is>
      </c>
      <c r="G14" s="58" t="inlineStr">
        <is>
          <t>Abundante (20-40%)</t>
        </is>
      </c>
      <c r="H14" s="58" t="n"/>
      <c r="I14" s="58" t="n"/>
    </row>
    <row r="15">
      <c r="A15" s="57" t="inlineStr">
        <is>
          <t>3</t>
        </is>
      </c>
      <c r="B15" s="57" t="inlineStr">
        <is>
          <t>Faique</t>
        </is>
      </c>
      <c r="C15" s="57" t="inlineStr">
        <is>
          <t>Acacia macracantha</t>
        </is>
      </c>
      <c r="D15" s="57" t="inlineStr">
        <is>
          <t>Fabaceae</t>
        </is>
      </c>
      <c r="E15" s="57" t="inlineStr">
        <is>
          <t>Arbóreo bajo (4-8 m)</t>
        </is>
      </c>
      <c r="F15" s="57" t="inlineStr">
        <is>
          <t>Nativa</t>
        </is>
      </c>
      <c r="G15" s="57" t="inlineStr">
        <is>
          <t>Frecuente (5-20%)</t>
        </is>
      </c>
      <c r="H15" s="57" t="n"/>
      <c r="I15" s="57" t="n"/>
    </row>
    <row r="16">
      <c r="A16" s="58" t="inlineStr">
        <is>
          <t>4</t>
        </is>
      </c>
      <c r="B16" s="58" t="inlineStr">
        <is>
          <t>Charán</t>
        </is>
      </c>
      <c r="C16" s="58" t="inlineStr">
        <is>
          <t>Caesalpinia paipai</t>
        </is>
      </c>
      <c r="D16" s="58" t="inlineStr">
        <is>
          <t>Fabaceae</t>
        </is>
      </c>
      <c r="E16" s="58" t="inlineStr">
        <is>
          <t>Arbóreo bajo (4-8 m)</t>
        </is>
      </c>
      <c r="F16" s="58" t="inlineStr">
        <is>
          <t>Nativa</t>
        </is>
      </c>
      <c r="G16" s="58" t="inlineStr">
        <is>
          <t>Ocasional (1-5%)</t>
        </is>
      </c>
      <c r="H16" s="58" t="n"/>
      <c r="I16" s="58" t="n"/>
    </row>
    <row r="17">
      <c r="A17" s="57" t="inlineStr">
        <is>
          <t>5</t>
        </is>
      </c>
      <c r="B17" s="57" t="inlineStr">
        <is>
          <t>Hualtaco</t>
        </is>
      </c>
      <c r="C17" s="57" t="inlineStr">
        <is>
          <t>Loxopterygium huasango</t>
        </is>
      </c>
      <c r="D17" s="57" t="inlineStr">
        <is>
          <t>Anacardiaceae</t>
        </is>
      </c>
      <c r="E17" s="57" t="inlineStr">
        <is>
          <t>Arbóreo bajo (4-8 m)</t>
        </is>
      </c>
      <c r="F17" s="57" t="inlineStr">
        <is>
          <t>Nativa</t>
        </is>
      </c>
      <c r="G17" s="57" t="inlineStr">
        <is>
          <t>Ocasional (1-5%)</t>
        </is>
      </c>
      <c r="H17" s="57" t="n"/>
      <c r="I17" s="57" t="n"/>
    </row>
    <row r="18">
      <c r="A18" s="58" t="inlineStr">
        <is>
          <t>6</t>
        </is>
      </c>
      <c r="B18" s="58" t="inlineStr">
        <is>
          <t>Pasallo</t>
        </is>
      </c>
      <c r="C18" s="58" t="inlineStr">
        <is>
          <t>Eriotheca ruizii</t>
        </is>
      </c>
      <c r="D18" s="58" t="inlineStr">
        <is>
          <t>Malvaceae</t>
        </is>
      </c>
      <c r="E18" s="58" t="inlineStr">
        <is>
          <t>Arbóreo bajo (4-8 m)</t>
        </is>
      </c>
      <c r="F18" s="58" t="inlineStr">
        <is>
          <t>Nativa</t>
        </is>
      </c>
      <c r="G18" s="58" t="inlineStr">
        <is>
          <t>Ocasional (1-5%)</t>
        </is>
      </c>
      <c r="H18" s="58" t="n"/>
      <c r="I18" s="58" t="n"/>
    </row>
    <row r="20">
      <c r="A20" s="55" t="inlineStr">
        <is>
          <t>F-DT-03 · ESPECIES CLAVE GEORREFERENCIADAS</t>
        </is>
      </c>
    </row>
    <row r="21">
      <c r="A21" s="56" t="inlineStr">
        <is>
          <t>N.o</t>
        </is>
      </c>
      <c r="B21" s="56" t="inlineStr">
        <is>
          <t>Especie</t>
        </is>
      </c>
      <c r="C21" s="56" t="inlineStr">
        <is>
          <t>Categoría</t>
        </is>
      </c>
      <c r="D21" s="56" t="inlineStr">
        <is>
          <t>Estado UICN</t>
        </is>
      </c>
      <c r="E21" s="56" t="inlineStr">
        <is>
          <t>UTM ESTE</t>
        </is>
      </c>
      <c r="F21" s="56" t="inlineStr">
        <is>
          <t>UTM NORTE</t>
        </is>
      </c>
      <c r="G21" s="56" t="inlineStr">
        <is>
          <t>N.° individuos</t>
        </is>
      </c>
      <c r="H21" s="56" t="inlineStr">
        <is>
          <t>Observación</t>
        </is>
      </c>
    </row>
    <row r="23">
      <c r="A23" s="55" t="inlineStr">
        <is>
          <t>F-DT-04 · MATRIZ DE CAUSAS DE DEGRADACIÓN</t>
        </is>
      </c>
    </row>
    <row r="24">
      <c r="A24" s="56" t="inlineStr">
        <is>
          <t>N.o</t>
        </is>
      </c>
      <c r="B24" s="56" t="inlineStr">
        <is>
          <t>Causa</t>
        </is>
      </c>
      <c r="C24" s="56" t="inlineStr">
        <is>
          <t>Presencia</t>
        </is>
      </c>
      <c r="D24" s="56" t="inlineStr">
        <is>
          <t>Intensidad</t>
        </is>
      </c>
      <c r="E24" s="56" t="inlineStr">
        <is>
          <t>Extensión</t>
        </is>
      </c>
      <c r="F24" s="56" t="inlineStr">
        <is>
          <t>Antigüedad</t>
        </is>
      </c>
      <c r="G24" s="56" t="inlineStr">
        <is>
          <t>Evidencia</t>
        </is>
      </c>
    </row>
    <row r="25">
      <c r="A25" s="57" t="inlineStr">
        <is>
          <t>1</t>
        </is>
      </c>
      <c r="B25" s="57" t="inlineStr">
        <is>
          <t>Sobrepastoreo (caprino/vacuno)</t>
        </is>
      </c>
      <c r="C25" s="57" t="inlineStr">
        <is>
          <t>Sí</t>
        </is>
      </c>
      <c r="D25" s="57" t="inlineStr">
        <is>
          <t>Fuerte</t>
        </is>
      </c>
      <c r="E25" s="57" t="inlineStr"/>
      <c r="F25" s="57" t="inlineStr"/>
      <c r="G25" s="57" t="inlineStr">
        <is>
          <t>Cabras pastando directamente en el bloque (documentado fotográficamente); senderos de ganado caprino que ascienden por la ladera.</t>
        </is>
      </c>
    </row>
    <row r="26">
      <c r="A26" s="58" t="inlineStr">
        <is>
          <t>2</t>
        </is>
      </c>
      <c r="B26" s="58" t="inlineStr">
        <is>
          <t>Tala para leña</t>
        </is>
      </c>
      <c r="C26" s="58" t="inlineStr">
        <is>
          <t>Sí</t>
        </is>
      </c>
      <c r="D26" s="58" t="inlineStr">
        <is>
          <t>Fuerte</t>
        </is>
      </c>
      <c r="E26" s="58" t="inlineStr"/>
      <c r="F26" s="58" t="inlineStr"/>
      <c r="G26" s="58" t="inlineStr">
        <is>
          <t>Tala para leña facilitada por la proximidad a la vía PE-1NR y al CP San Juan Bautista.</t>
        </is>
      </c>
    </row>
    <row r="27">
      <c r="A27" s="57" t="inlineStr">
        <is>
          <t>3</t>
        </is>
      </c>
      <c r="B27" s="57" t="inlineStr">
        <is>
          <t>Tala para carbón</t>
        </is>
      </c>
      <c r="C27" s="57" t="inlineStr"/>
      <c r="D27" s="57" t="inlineStr"/>
      <c r="E27" s="57" t="inlineStr"/>
      <c r="F27" s="57" t="inlineStr"/>
      <c r="G27" s="57" t="inlineStr"/>
    </row>
    <row r="28">
      <c r="A28" s="58" t="inlineStr">
        <is>
          <t>4</t>
        </is>
      </c>
      <c r="B28" s="58" t="inlineStr">
        <is>
          <t>Tala para madera</t>
        </is>
      </c>
      <c r="C28" s="58" t="inlineStr"/>
      <c r="D28" s="58" t="inlineStr"/>
      <c r="E28" s="58" t="inlineStr"/>
      <c r="F28" s="58" t="inlineStr"/>
      <c r="G28" s="58" t="inlineStr"/>
    </row>
    <row r="29">
      <c r="A29" s="57" t="inlineStr">
        <is>
          <t>5</t>
        </is>
      </c>
      <c r="B29" s="57" t="inlineStr">
        <is>
          <t>Quema (renovación de pastos)</t>
        </is>
      </c>
      <c r="C29" s="57" t="inlineStr"/>
      <c r="D29" s="57" t="inlineStr"/>
      <c r="E29" s="57" t="inlineStr"/>
      <c r="F29" s="57" t="inlineStr"/>
      <c r="G29" s="57" t="inlineStr"/>
    </row>
    <row r="30">
      <c r="A30" s="58" t="inlineStr">
        <is>
          <t>6</t>
        </is>
      </c>
      <c r="B30" s="58" t="inlineStr">
        <is>
          <t>Quema accidental / Incendio</t>
        </is>
      </c>
      <c r="C30" s="58" t="inlineStr"/>
      <c r="D30" s="58" t="inlineStr"/>
      <c r="E30" s="58" t="inlineStr"/>
      <c r="F30" s="58" t="inlineStr"/>
      <c r="G30" s="58" t="inlineStr"/>
    </row>
    <row r="31">
      <c r="A31" s="57" t="inlineStr">
        <is>
          <t>7</t>
        </is>
      </c>
      <c r="B31" s="57" t="inlineStr">
        <is>
          <t>Cambio de uso a agricultura</t>
        </is>
      </c>
      <c r="C31" s="57" t="inlineStr"/>
      <c r="D31" s="57" t="inlineStr"/>
      <c r="E31" s="57" t="inlineStr"/>
      <c r="F31" s="57" t="inlineStr"/>
      <c r="G31" s="57" t="inlineStr"/>
    </row>
    <row r="32">
      <c r="A32" s="58" t="inlineStr">
        <is>
          <t>8</t>
        </is>
      </c>
      <c r="B32" s="58" t="inlineStr">
        <is>
          <t>Cambio de uso a pastoreo</t>
        </is>
      </c>
      <c r="C32" s="58" t="inlineStr">
        <is>
          <t>Sí</t>
        </is>
      </c>
      <c r="D32" s="58" t="inlineStr">
        <is>
          <t>Fuerte</t>
        </is>
      </c>
      <c r="E32" s="58" t="inlineStr"/>
      <c r="F32" s="58" t="inlineStr"/>
      <c r="G32" s="58" t="inlineStr">
        <is>
          <t>Conversión de bosque seco a áreas de pastoreo caprino/vacuno.</t>
        </is>
      </c>
    </row>
    <row r="33">
      <c r="A33" s="57" t="inlineStr">
        <is>
          <t>9</t>
        </is>
      </c>
      <c r="B33" s="57" t="inlineStr">
        <is>
          <t>Expansión urbana / vial</t>
        </is>
      </c>
      <c r="C33" s="57" t="inlineStr"/>
      <c r="D33" s="57" t="inlineStr"/>
      <c r="E33" s="57" t="inlineStr"/>
      <c r="F33" s="57" t="inlineStr"/>
      <c r="G33" s="57" t="inlineStr"/>
    </row>
    <row r="34">
      <c r="A34" s="58" t="inlineStr">
        <is>
          <t>10</t>
        </is>
      </c>
      <c r="B34" s="58" t="inlineStr">
        <is>
          <t>Minería informal</t>
        </is>
      </c>
      <c r="C34" s="58" t="inlineStr"/>
      <c r="D34" s="58" t="inlineStr"/>
      <c r="E34" s="58" t="inlineStr"/>
      <c r="F34" s="58" t="inlineStr"/>
      <c r="G34" s="58" t="inlineStr"/>
    </row>
    <row r="35">
      <c r="A35" s="57" t="inlineStr">
        <is>
          <t>11</t>
        </is>
      </c>
      <c r="B35" s="57" t="inlineStr">
        <is>
          <t>Extracción de áridos (cauces)</t>
        </is>
      </c>
      <c r="C35" s="57" t="inlineStr"/>
      <c r="D35" s="57" t="inlineStr"/>
      <c r="E35" s="57" t="inlineStr"/>
      <c r="F35" s="57" t="inlineStr"/>
      <c r="G35" s="57" t="inlineStr"/>
    </row>
    <row r="36">
      <c r="A36" s="58" t="inlineStr">
        <is>
          <t>12</t>
        </is>
      </c>
      <c r="B36" s="58" t="inlineStr">
        <is>
          <t>Especies invasoras</t>
        </is>
      </c>
      <c r="C36" s="58" t="inlineStr">
        <is>
          <t>Sí</t>
        </is>
      </c>
      <c r="D36" s="58" t="inlineStr"/>
      <c r="E36" s="58" t="inlineStr"/>
      <c r="F36" s="58" t="inlineStr"/>
      <c r="G36" s="58" t="inlineStr">
        <is>
          <t>Ipomaea carnea (borrachera) y otras pioneras colonizan áreas degradadas (parte de la cobertura arbustiva).</t>
        </is>
      </c>
    </row>
    <row r="37">
      <c r="A37" s="57" t="inlineStr">
        <is>
          <t>13</t>
        </is>
      </c>
      <c r="B37" s="57" t="inlineStr">
        <is>
          <t>Erosión natural severa</t>
        </is>
      </c>
      <c r="C37" s="57" t="inlineStr">
        <is>
          <t>Sí</t>
        </is>
      </c>
      <c r="D37" s="57" t="inlineStr">
        <is>
          <t>Fuerte</t>
        </is>
      </c>
      <c r="E37" s="57" t="inlineStr"/>
      <c r="F37" s="57" t="inlineStr"/>
      <c r="G37" s="57" t="inlineStr">
        <is>
          <t>Erosión laminar y retrogresiva en microquebradas; pendientes hasta 58.6% con cobertura de solo 20%.</t>
        </is>
      </c>
    </row>
    <row r="38">
      <c r="A38" s="58" t="inlineStr">
        <is>
          <t>14</t>
        </is>
      </c>
      <c r="B38" s="58" t="inlineStr">
        <is>
          <t>Sequía prolongada / CC</t>
        </is>
      </c>
      <c r="C38" s="58" t="inlineStr">
        <is>
          <t>Sí</t>
        </is>
      </c>
      <c r="D38" s="58" t="inlineStr">
        <is>
          <t>Moderada</t>
        </is>
      </c>
      <c r="E38" s="58" t="inlineStr"/>
      <c r="F38" s="58" t="inlineStr"/>
      <c r="G38" s="58" t="inlineStr">
        <is>
          <t>Sequía prolongada vinculada a cambio climático; ecosistema árido con déficit hídrico futuro.</t>
        </is>
      </c>
    </row>
    <row r="39">
      <c r="A39" s="57" t="inlineStr">
        <is>
          <t>15</t>
        </is>
      </c>
      <c r="B39" s="57" t="inlineStr">
        <is>
          <t>Plagas o enfermedades forestales</t>
        </is>
      </c>
      <c r="C39" s="57" t="inlineStr"/>
      <c r="D39" s="57" t="inlineStr"/>
      <c r="E39" s="57" t="inlineStr"/>
      <c r="F39" s="57" t="inlineStr"/>
      <c r="G39" s="57" t="inlineStr"/>
    </row>
    <row r="40">
      <c r="A40" s="58" t="inlineStr">
        <is>
          <t>16</t>
        </is>
      </c>
      <c r="B40" s="58" t="inlineStr">
        <is>
          <t>Otro</t>
        </is>
      </c>
      <c r="C40" s="58" t="inlineStr"/>
      <c r="D40" s="58" t="inlineStr"/>
      <c r="E40" s="58" t="inlineStr"/>
      <c r="F40" s="58" t="inlineStr"/>
      <c r="G40" s="58" t="inlineStr"/>
    </row>
    <row r="42">
      <c r="A42" s="55" t="inlineStr">
        <is>
          <t>F-DT-04 · INDICADORES CUANTITATIVOS</t>
        </is>
      </c>
    </row>
    <row r="43">
      <c r="A43" s="56" t="inlineStr">
        <is>
          <t>N.o</t>
        </is>
      </c>
      <c r="B43" s="56" t="inlineStr">
        <is>
          <t>Indicador</t>
        </is>
      </c>
      <c r="C43" s="56" t="inlineStr">
        <is>
          <t>Unidad</t>
        </is>
      </c>
      <c r="D43" s="56" t="inlineStr">
        <is>
          <t>Valor</t>
        </is>
      </c>
      <c r="E43" s="56" t="inlineStr">
        <is>
          <t>Fuente</t>
        </is>
      </c>
      <c r="F43" s="56" t="inlineStr">
        <is>
          <t>Umbral</t>
        </is>
      </c>
      <c r="G43" s="56" t="inlineStr">
        <is>
          <t>Nivel</t>
        </is>
      </c>
    </row>
    <row r="44">
      <c r="A44" s="57" t="inlineStr">
        <is>
          <t>1</t>
        </is>
      </c>
      <c r="B44" s="57" t="inlineStr">
        <is>
          <t>Cobertura vegetal total</t>
        </is>
      </c>
      <c r="C44" s="57" t="inlineStr">
        <is>
          <t>%</t>
        </is>
      </c>
      <c r="D44" s="57" t="inlineStr">
        <is>
          <t>20</t>
        </is>
      </c>
      <c r="E44" s="57" t="inlineStr">
        <is>
          <t>Verificación de campo F-DT-03 (07/05/2026)</t>
        </is>
      </c>
      <c r="F44" s="57" t="inlineStr">
        <is>
          <t>&gt;60% bueno; 30-60% medio; &lt;30% malo</t>
        </is>
      </c>
      <c r="G44" s="57" t="inlineStr">
        <is>
          <t>Bajo</t>
        </is>
      </c>
    </row>
    <row r="45">
      <c r="A45" s="58" t="inlineStr">
        <is>
          <t>2</t>
        </is>
      </c>
      <c r="B45" s="58" t="inlineStr">
        <is>
          <t>Porcentaje de suelo desnudo</t>
        </is>
      </c>
      <c r="C45" s="58" t="inlineStr">
        <is>
          <t>%</t>
        </is>
      </c>
      <c r="D45" s="58" t="inlineStr">
        <is>
          <t>80</t>
        </is>
      </c>
      <c r="E45" s="58" t="inlineStr">
        <is>
          <t>Verificación de campo F-DT-03 (07/05/2026)</t>
        </is>
      </c>
      <c r="F45" s="58" t="inlineStr">
        <is>
          <t>&lt;10% bueno; 10-30% medio; &gt;30% malo</t>
        </is>
      </c>
      <c r="G45" s="58" t="inlineStr">
        <is>
          <t>Alto</t>
        </is>
      </c>
    </row>
    <row r="46">
      <c r="A46" s="57" t="inlineStr">
        <is>
          <t>3</t>
        </is>
      </c>
      <c r="B46" s="57" t="inlineStr">
        <is>
          <t>Densidad de cárcavas</t>
        </is>
      </c>
      <c r="C46" s="57" t="inlineStr">
        <is>
          <t>N°/ha</t>
        </is>
      </c>
      <c r="D46" s="57" t="inlineStr"/>
      <c r="E46" s="57" t="inlineStr"/>
      <c r="F46" s="57" t="inlineStr">
        <is>
          <t>0 nulo; 1-3 medio; &gt;3 alto</t>
        </is>
      </c>
      <c r="G46" s="57" t="inlineStr"/>
    </row>
    <row r="47">
      <c r="A47" s="58" t="inlineStr">
        <is>
          <t>4</t>
        </is>
      </c>
      <c r="B47" s="58" t="inlineStr">
        <is>
          <t>Presencia de especies invasoras</t>
        </is>
      </c>
      <c r="C47" s="58" t="inlineStr">
        <is>
          <t>% área</t>
        </is>
      </c>
      <c r="D47" s="58" t="inlineStr"/>
      <c r="E47" s="58" t="inlineStr"/>
      <c r="F47" s="58" t="inlineStr">
        <is>
          <t>&lt;5% bueno; 5-20% medio; &gt;20% alto</t>
        </is>
      </c>
      <c r="G47" s="58" t="inlineStr"/>
    </row>
    <row r="48">
      <c r="A48" s="57" t="inlineStr">
        <is>
          <t>5</t>
        </is>
      </c>
      <c r="B48" s="57" t="inlineStr">
        <is>
          <t>Carga ganadera estimada</t>
        </is>
      </c>
      <c r="C48" s="57" t="inlineStr">
        <is>
          <t>UA/ha</t>
        </is>
      </c>
      <c r="D48" s="57" t="inlineStr"/>
      <c r="E48" s="57" t="inlineStr">
        <is>
          <t>Estimación de campo</t>
        </is>
      </c>
      <c r="F48" s="57" t="inlineStr">
        <is>
          <t>Según tipo de ecosistema</t>
        </is>
      </c>
      <c r="G48" s="57" t="inlineStr">
        <is>
          <t>Alto</t>
        </is>
      </c>
    </row>
    <row r="49">
      <c r="A49" s="58" t="inlineStr">
        <is>
          <t>6</t>
        </is>
      </c>
      <c r="B49" s="58" t="inlineStr">
        <is>
          <t>Frecuencia de quemas últimos 5 años</t>
        </is>
      </c>
      <c r="C49" s="58" t="inlineStr">
        <is>
          <t>N°</t>
        </is>
      </c>
      <c r="D49" s="58" t="inlineStr"/>
      <c r="E49" s="58" t="inlineStr"/>
      <c r="F49" s="58" t="inlineStr">
        <is>
          <t>0 nulo; 1-2 medio; &gt;2 alto</t>
        </is>
      </c>
      <c r="G49" s="58" t="inlineStr"/>
    </row>
    <row r="50">
      <c r="A50" s="57" t="inlineStr">
        <is>
          <t>7</t>
        </is>
      </c>
      <c r="B50" s="57" t="inlineStr">
        <is>
          <t>% área con pendiente &gt;50%</t>
        </is>
      </c>
      <c r="C50" s="57" t="inlineStr">
        <is>
          <t>%</t>
        </is>
      </c>
      <c r="D50" s="57" t="inlineStr"/>
      <c r="E50" s="57" t="inlineStr"/>
      <c r="F50" s="57" t="inlineStr">
        <is>
          <t>Factor de susceptibilidad</t>
        </is>
      </c>
      <c r="G50" s="57" t="inlineStr"/>
    </row>
    <row r="51">
      <c r="A51" s="58" t="inlineStr">
        <is>
          <t>8</t>
        </is>
      </c>
      <c r="B51" s="58" t="inlineStr">
        <is>
          <t>Distancia a vía vecinal más cercana</t>
        </is>
      </c>
      <c r="C51" s="58" t="inlineStr">
        <is>
          <t>m</t>
        </is>
      </c>
      <c r="D51" s="58" t="inlineStr">
        <is>
          <t>150</t>
        </is>
      </c>
      <c r="E51" s="58" t="inlineStr">
        <is>
          <t>Medición de campo / Google Earth</t>
        </is>
      </c>
      <c r="F51" s="58" t="inlineStr">
        <is>
          <t>A menor distancia → mayor presión</t>
        </is>
      </c>
      <c r="G51" s="58" t="inlineStr">
        <is>
          <t>Alto</t>
        </is>
      </c>
    </row>
    <row r="53">
      <c r="A53" s="55" t="inlineStr">
        <is>
          <t>F-DT-05 · FUENTES DE AGUA INVENTARIADAS</t>
        </is>
      </c>
    </row>
    <row r="54">
      <c r="A54" s="56" t="inlineStr">
        <is>
          <t>N.o</t>
        </is>
      </c>
      <c r="B54" s="56" t="inlineStr">
        <is>
          <t>Tipo de fuente</t>
        </is>
      </c>
      <c r="C54" s="56" t="inlineStr">
        <is>
          <t>UTM ESTE</t>
        </is>
      </c>
      <c r="D54" s="56" t="inlineStr">
        <is>
          <t>UTM NORTE</t>
        </is>
      </c>
      <c r="E54" s="56" t="inlineStr">
        <is>
          <t>Régimen</t>
        </is>
      </c>
      <c r="F54" s="56" t="inlineStr">
        <is>
          <t>Calidad</t>
        </is>
      </c>
      <c r="G54" s="56" t="inlineStr">
        <is>
          <t>Distancia (m)</t>
        </is>
      </c>
      <c r="H54" s="56" t="inlineStr">
        <is>
          <t>Uso / observación</t>
        </is>
      </c>
    </row>
    <row r="55">
      <c r="A55" s="57" t="inlineStr">
        <is>
          <t>1</t>
        </is>
      </c>
      <c r="B55" s="57" t="inlineStr">
        <is>
          <t>Quebrada estacional</t>
        </is>
      </c>
      <c r="C55" s="62" t="n">
        <v>636554</v>
      </c>
      <c r="D55" s="62" t="n">
        <v>9411842</v>
      </c>
      <c r="E55" s="57" t="inlineStr">
        <is>
          <t>Estacional (lluvias)</t>
        </is>
      </c>
      <c r="F55" s="57" t="inlineStr">
        <is>
          <t>No evaluable</t>
        </is>
      </c>
      <c r="G55" s="57" t="n"/>
      <c r="H55" s="57" t="inlineStr">
        <is>
          <t>Arrastre de piedras y rocas en epoca de crecida</t>
        </is>
      </c>
    </row>
    <row r="56">
      <c r="A56" s="58" t="inlineStr">
        <is>
          <t>2</t>
        </is>
      </c>
      <c r="B56" s="58" t="inlineStr">
        <is>
          <t>Quebrada estacional</t>
        </is>
      </c>
      <c r="C56" s="63" t="n">
        <v>636325</v>
      </c>
      <c r="D56" s="63" t="n">
        <v>9411906</v>
      </c>
      <c r="E56" s="58" t="inlineStr">
        <is>
          <t>Estacional (lluvias)</t>
        </is>
      </c>
      <c r="F56" s="58" t="inlineStr">
        <is>
          <t>No evaluable</t>
        </is>
      </c>
      <c r="G56" s="58" t="n"/>
      <c r="H56" s="58" t="inlineStr">
        <is>
          <t>Arrastre de piedras y rocas en epoca de crecida</t>
        </is>
      </c>
    </row>
    <row r="59">
      <c r="A59" s="55" t="inlineStr">
        <is>
          <t>OBSERVACIONES DEL EVALUADOR POR FICHA</t>
        </is>
      </c>
    </row>
    <row r="60">
      <c r="A60" s="56" t="inlineStr">
        <is>
          <t>Ficha</t>
        </is>
      </c>
      <c r="B60" s="56" t="inlineStr">
        <is>
          <t>Observación registrada en campo</t>
        </is>
      </c>
    </row>
    <row r="61">
      <c r="A61" s="57" t="inlineStr">
        <is>
          <t>F-DT-01</t>
        </is>
      </c>
      <c r="B61" s="57" t="inlineStr">
        <is>
          <t>Bloque con evidentes signos de degradación por factores diversos (tala, ganadería, cambio de uso). Afloramientos rocosos en zonas medias y altas. Susceptibilidad muy alta a erosión hídrica superficial y a movimientos en masa superficiales en el sector occidental (pendiente máx. 58.6%). Se recomienda diagnóstico social y evaluación preliminar de tenencia del área.</t>
        </is>
      </c>
    </row>
    <row r="62">
      <c r="A62" s="58" t="inlineStr">
        <is>
          <t>F-DT-02</t>
        </is>
      </c>
      <c r="B62" s="58" t="inlineStr">
        <is>
          <t>Erosión dominada por procesos laminares en laderas con ~80% de suelo desnudo y erosión retrogresiva activa en las 3 microquebradas estacionales que disectan el bloque y drenan al río Bigote. Compactación por pisoteo de ganado caprino confirmada. Inventario georreferenciado de cárcavas pendiente para la fase de campo profundizada.</t>
        </is>
      </c>
    </row>
    <row r="63">
      <c r="A63" s="57" t="inlineStr">
        <is>
          <t>F-DT-03</t>
        </is>
      </c>
      <c r="B63" s="57" t="inlineStr">
        <is>
          <t>Ecosistema de bosque estacionalmente seco de colina/montaña severamente alterado: cobertura total 20%, suelo desnudo 80%. Seis especies nativas presentes en baja densidad (overo, cactáceas, faique, charán, hualtaco, pasallo) que constituyen banco genético para restauración. Daño mecánico por ramoneo. Ausencia de bosque relicto (MSAVI &gt; 0.55 inexistente).</t>
        </is>
      </c>
    </row>
    <row r="64">
      <c r="A64" s="58" t="inlineStr">
        <is>
          <t>F-DT-04</t>
        </is>
      </c>
      <c r="B64" s="58" t="inlineStr">
        <is>
          <t>Potencial de recuperación MODERADO, condicionado a exclusión ganadera efectiva. Toda intervención técnica (zanjas, plantación, terrazas) es insostenible sin acuerdos de exclusión con la CC San Juan de Bigote y la Asociación de Ganaderos.</t>
        </is>
      </c>
    </row>
    <row r="65">
      <c r="A65" s="57" t="inlineStr">
        <is>
          <t>F-DT-05</t>
        </is>
      </c>
      <c r="B65" s="57" t="inlineStr">
        <is>
          <t>Inventario de fuentes de agua vacío en la verificación preliminar; pendiente georreferenciar las 3 microquebradas internas y verificar existencia de reservorios JASS en la fase de campo profundizada. El río Bigote discurre al norte, fuera del polígono (~200 m), con el CP San Juan Bautista al noreste. Requiere coordinación con la CC San Juan de Bigote y la Asociación de Ganaderos.</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M3B5</t>
        </is>
      </c>
    </row>
    <row r="7">
      <c r="A7" s="55" t="inlineStr">
        <is>
          <t>Hechos declarados por fuente</t>
        </is>
      </c>
    </row>
    <row r="8">
      <c r="A8" s="56" t="inlineStr">
        <is>
          <t>Fuente</t>
        </is>
      </c>
      <c r="B8" s="56" t="inlineStr">
        <is>
          <t>Hechos</t>
        </is>
      </c>
    </row>
    <row r="9">
      <c r="A9" s="57" t="inlineStr">
        <is>
          <t>Dato de campo</t>
        </is>
      </c>
      <c r="B9" s="57" t="n">
        <v>56</v>
      </c>
    </row>
    <row r="10">
      <c r="A10" s="58" t="inlineStr">
        <is>
          <t>Gabinete (GIS / teledetección)</t>
        </is>
      </c>
      <c r="B10" s="58" t="n">
        <v>27</v>
      </c>
    </row>
    <row r="11">
      <c r="A11" s="57" t="inlineStr">
        <is>
          <t>Fuente oficial</t>
        </is>
      </c>
      <c r="B11" s="57" t="n">
        <v>14</v>
      </c>
    </row>
    <row r="26">
      <c r="A26" s="55" t="inlineStr">
        <is>
          <t>Estado del cruce entre fuentes</t>
        </is>
      </c>
    </row>
    <row r="27">
      <c r="A27" s="56" t="inlineStr">
        <is>
          <t>Estado</t>
        </is>
      </c>
      <c r="B27" s="56" t="inlineStr">
        <is>
          <t>Hechos</t>
        </is>
      </c>
    </row>
    <row r="28">
      <c r="A28" s="57" t="inlineStr">
        <is>
          <t>CONFORME</t>
        </is>
      </c>
      <c r="B28" s="57" t="n">
        <v>91</v>
      </c>
    </row>
    <row r="29">
      <c r="A29" s="58" t="inlineStr">
        <is>
          <t>COMPLEMENTADO</t>
        </is>
      </c>
      <c r="B29" s="58" t="n">
        <v>6</v>
      </c>
    </row>
    <row r="30">
      <c r="A30" s="57" t="inlineStr">
        <is>
          <t>ACTUALIZADO</t>
        </is>
      </c>
      <c r="B30" s="57" t="n">
        <v>0</v>
      </c>
    </row>
    <row r="31">
      <c r="A31" s="58" t="inlineStr">
        <is>
          <t>DISCREPANTE</t>
        </is>
      </c>
      <c r="B31" s="58" t="n">
        <v>0</v>
      </c>
    </row>
    <row r="32">
      <c r="A32" s="57" t="inlineStr">
        <is>
          <t>PENDIENTE</t>
        </is>
      </c>
      <c r="B32" s="57" t="n">
        <v>17</v>
      </c>
    </row>
    <row r="45">
      <c r="A45" s="55" t="inlineStr">
        <is>
          <t>Cobertura por estrato — campo (%)</t>
        </is>
      </c>
    </row>
    <row r="46">
      <c r="A46" s="56" t="inlineStr">
        <is>
          <t>Estrato</t>
        </is>
      </c>
      <c r="B46" s="56" t="inlineStr">
        <is>
          <t>% del área</t>
        </is>
      </c>
    </row>
    <row r="47">
      <c r="A47" s="57" t="inlineStr">
        <is>
          <t>Dosel</t>
        </is>
      </c>
      <c r="B47" s="62" t="n">
        <v>10</v>
      </c>
    </row>
    <row r="48">
      <c r="A48" s="58" t="inlineStr">
        <is>
          <t>Arbustiva</t>
        </is>
      </c>
      <c r="B48" s="63" t="n">
        <v>10</v>
      </c>
    </row>
    <row r="49">
      <c r="A49" s="57" t="inlineStr">
        <is>
          <t>Herbácea</t>
        </is>
      </c>
      <c r="B49" s="64" t="n">
        <v>0</v>
      </c>
    </row>
    <row r="50">
      <c r="A50" s="58" t="inlineStr">
        <is>
          <t>Suelo desnudo</t>
        </is>
      </c>
      <c r="B50" s="63" t="n">
        <v>80</v>
      </c>
    </row>
    <row r="64">
      <c r="A64" s="55" t="inlineStr">
        <is>
          <t>Causas activas de degradación (F-DT-04)</t>
        </is>
      </c>
    </row>
    <row r="65">
      <c r="A65" s="56" t="inlineStr">
        <is>
          <t>Causa</t>
        </is>
      </c>
      <c r="B65" s="56" t="inlineStr">
        <is>
          <t>Intensidad (1 ligera - 4 muy fuerte)</t>
        </is>
      </c>
    </row>
    <row r="66">
      <c r="A66" s="57" t="inlineStr">
        <is>
          <t>Cambio de uso a pastoreo</t>
        </is>
      </c>
      <c r="B66" s="57" t="n">
        <v>3</v>
      </c>
    </row>
    <row r="67">
      <c r="A67" s="58" t="inlineStr">
        <is>
          <t>Erosión natural severa</t>
        </is>
      </c>
      <c r="B67" s="58" t="n">
        <v>3</v>
      </c>
    </row>
    <row r="68">
      <c r="A68" s="57" t="inlineStr">
        <is>
          <t>Sobrepastoreo (caprino/vacuno)</t>
        </is>
      </c>
      <c r="B68" s="57" t="n">
        <v>3</v>
      </c>
    </row>
    <row r="69">
      <c r="A69" s="58" t="inlineStr">
        <is>
          <t>Tala para leña</t>
        </is>
      </c>
      <c r="B69" s="58" t="n">
        <v>3</v>
      </c>
    </row>
    <row r="70">
      <c r="A70" s="57" t="inlineStr">
        <is>
          <t>Sequía prolongada / CC</t>
        </is>
      </c>
      <c r="B70" s="57" t="n">
        <v>2</v>
      </c>
    </row>
    <row r="71">
      <c r="A71" s="58" t="inlineStr">
        <is>
          <t>Especies invasoras</t>
        </is>
      </c>
      <c r="B71" s="58" t="n">
        <v>1</v>
      </c>
    </row>
    <row r="83">
      <c r="A83" s="55" t="inlineStr">
        <is>
          <t>Control de consistencia por calificación</t>
        </is>
      </c>
    </row>
    <row r="84">
      <c r="A84" s="56" t="inlineStr">
        <is>
          <t>Calificación</t>
        </is>
      </c>
      <c r="B84" s="56" t="inlineStr">
        <is>
          <t>Verificaciones</t>
        </is>
      </c>
    </row>
    <row r="85">
      <c r="A85" s="57" t="inlineStr">
        <is>
          <t>SUSTANTIVA</t>
        </is>
      </c>
      <c r="B85" s="57" t="n">
        <v>7</v>
      </c>
    </row>
    <row r="86">
      <c r="A86" s="58" t="inlineStr">
        <is>
          <t>NO SUSTANTIVA</t>
        </is>
      </c>
      <c r="B86" s="58" t="n">
        <v>3</v>
      </c>
    </row>
    <row r="87">
      <c r="A87" s="57" t="inlineStr">
        <is>
          <t>CORREGIDO</t>
        </is>
      </c>
      <c r="B87" s="57" t="n">
        <v>1</v>
      </c>
    </row>
    <row r="88">
      <c r="A88" s="58" t="inlineStr">
        <is>
          <t>CONFORME</t>
        </is>
      </c>
      <c r="B88" s="58"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M3B5 — IN Piura</dc:title>
  <dc:subject>Diagnóstico Territorial por bloque de intervención</dc:subject>
  <dcterms:created xsi:type="dcterms:W3CDTF">2026-09-08T03:39:58Z</dcterms:created>
  <dcterms:modified xsi:type="dcterms:W3CDTF">2026-09-11T21:26:36Z</dcterms:modified>
</cp:coreProperties>
</file>