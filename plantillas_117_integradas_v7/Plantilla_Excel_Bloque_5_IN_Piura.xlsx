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integración'!$A$76:$A$82</f>
            </numRef>
          </cat>
          <val>
            <numRef>
              <f>'Gráficos de integración'!$B$76:$B$82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integración'!B100</f>
            </strRef>
          </tx>
          <spPr>
            <a:ln>
              <a:prstDash val="solid"/>
            </a:ln>
          </spPr>
          <cat>
            <numRef>
              <f>'Gráficos de integración'!$A$101:$A$104</f>
            </numRef>
          </cat>
          <val>
            <numRef>
              <f>'Gráficos de integración'!$B$101:$B$104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99</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t>
        </is>
      </c>
    </row>
    <row r="6" ht="24" customHeight="1">
      <c r="A6" s="4" t="inlineStr">
        <is>
          <t>Diagnóstico Territorial — Plantilla DT Campo Check Validada V5 | Sistema de referencia: UTM WGS 84 Zona 17S (EPSG:32717) · Integrado con la ficha de campo F-DT vigente (Plantilla_DT_M_C1077Q9566_B5_Buenos_Aires.xlsx) — V7 - resumen V6 + campo F-DT integrado</t>
        </is>
      </c>
    </row>
    <row r="7"/>
    <row r="8" ht="18" customHeight="1">
      <c r="A8" s="5" t="inlineStr">
        <is>
          <t>1. IDENTIFICACIÓN Y LOCALIZACIÓN</t>
        </is>
      </c>
    </row>
    <row r="9">
      <c r="A9" s="6" t="inlineStr">
        <is>
          <t>Código del bloque</t>
        </is>
      </c>
      <c r="B9" s="7" t="inlineStr">
        <is>
          <t>5</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El Ala (~250 m al norte del límite)</t>
        </is>
      </c>
      <c r="C13" s="6" t="inlineStr">
        <is>
          <t>Comunidad campesina</t>
        </is>
      </c>
      <c r="D13" s="7" t="inlineStr">
        <is>
          <t>Hualas (referencial - por confirmar con Ronda Campesina)</t>
        </is>
      </c>
      <c r="E13" s="8" t="n"/>
      <c r="F13" s="8" t="n"/>
    </row>
    <row r="14">
      <c r="A14" s="6" t="inlineStr">
        <is>
          <t>Superficie de catálogo (V5/V6), ha</t>
        </is>
      </c>
      <c r="B14" s="7" t="n">
        <v>295.73</v>
      </c>
      <c r="C14" s="6" t="inlineStr">
        <is>
          <t>Fuente de superficie</t>
        </is>
      </c>
      <c r="D14" s="7" t="inlineStr">
        <is>
          <t>Catálogo maestro Bloques V5/V6</t>
        </is>
      </c>
      <c r="E14" s="8" t="n"/>
      <c r="F14" s="8" t="n"/>
    </row>
    <row r="15">
      <c r="A15" s="6" t="inlineStr">
        <is>
          <t>Centroide UTM ESTE (m)</t>
        </is>
      </c>
      <c r="B15" s="7" t="n">
        <v>617860</v>
      </c>
      <c r="C15" s="6" t="inlineStr">
        <is>
          <t>Centroide UTM NORTE (m)</t>
        </is>
      </c>
      <c r="D15" s="7" t="n">
        <v>9413182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v>
      </c>
      <c r="C19" s="6" t="inlineStr">
        <is>
          <t>Altitud máxima (msnm)</t>
        </is>
      </c>
      <c r="D19" s="7" t="n">
        <v>377</v>
      </c>
      <c r="E19" s="8" t="n"/>
      <c r="F19" s="8" t="n"/>
    </row>
    <row r="20">
      <c r="A20" s="6" t="inlineStr">
        <is>
          <t>Amplitud altitudinal (m)</t>
        </is>
      </c>
      <c r="B20" s="7" t="n">
        <v>227</v>
      </c>
      <c r="C20" s="6" t="inlineStr">
        <is>
          <t>Piso altitudinal dominante</t>
        </is>
      </c>
      <c r="D20" s="7" t="inlineStr">
        <is>
          <t>&lt;1000 m (Yunga)</t>
        </is>
      </c>
      <c r="E20" s="8" t="n"/>
      <c r="F20" s="8" t="n"/>
    </row>
    <row r="21">
      <c r="A21" s="6" t="inlineStr">
        <is>
          <t>Pendiente promedio (%)</t>
        </is>
      </c>
      <c r="B21" s="7" t="n">
        <v>18.57</v>
      </c>
      <c r="C21" s="6" t="inlineStr">
        <is>
          <t>Pendiente promedio (grados)</t>
        </is>
      </c>
      <c r="D21" s="7" t="n">
        <v>10.5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0.3394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(64.60 %)</t>
        </is>
      </c>
      <c r="E29" s="8" t="n"/>
      <c r="F29" s="8" t="n"/>
    </row>
    <row r="30">
      <c r="A30" s="6" t="inlineStr">
        <is>
          <t>Superficie clasificada NDVI 2025 (ha)</t>
        </is>
      </c>
      <c r="B30" s="7" t="n">
        <v>295.861</v>
      </c>
      <c r="C30" s="6" t="inlineStr">
        <is>
          <t>Desviación frente al catálogo (%)</t>
        </is>
      </c>
      <c r="D30" s="7" t="n">
        <v>0.04</v>
      </c>
      <c r="E30" s="8" t="n"/>
      <c r="F30" s="8" t="n"/>
    </row>
    <row r="31">
      <c r="A31" s="6" t="inlineStr">
        <is>
          <t>Superficie clasificada MSAVI 2024 (ha)</t>
        </is>
      </c>
      <c r="B31" s="38" t="n">
        <v>295.726</v>
      </c>
      <c r="C31" s="6" t="inlineStr">
        <is>
          <t>Desviación MSAVI frente al catálogo (%)</t>
        </is>
      </c>
      <c r="D31" s="39" t="n">
        <v>0</v>
      </c>
      <c r="E31" s="8" t="n"/>
      <c r="F31" s="8" t="n"/>
    </row>
    <row r="32">
      <c r="A32" s="6" t="inlineStr">
        <is>
          <t>Superficie bajo umbral MSAVI 0.4976 (ha)</t>
        </is>
      </c>
      <c r="B32" s="38" t="n">
        <v>295.281</v>
      </c>
      <c r="C32" s="6" t="inlineStr">
        <is>
          <t>% del bloque bajo umbral (brecha espectral)</t>
        </is>
      </c>
      <c r="D32" s="39" t="n">
        <v>99.84999999999999</v>
      </c>
      <c r="E32" s="8" t="n"/>
      <c r="F32" s="8" t="n"/>
    </row>
    <row r="33">
      <c r="A33" s="6" t="inlineStr">
        <is>
          <t>Clase DN dominante (MSAVI 2024)</t>
        </is>
      </c>
      <c r="B33" s="7" t="inlineStr">
        <is>
          <t>DN 2 · 0.2650 - 0.3813 (Vigor muy bajo)</t>
        </is>
      </c>
      <c r="C33" s="6" t="inlineStr">
        <is>
          <t>N.° de polígonos MSAVI del bloque</t>
        </is>
      </c>
      <c r="D33" s="40" t="n">
        <v>901</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295.73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13</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t>
        </is>
      </c>
      <c r="C44" s="6" t="inlineStr">
        <is>
          <t>Fecha de evaluación</t>
        </is>
      </c>
      <c r="D44" s="7" t="inlineStr">
        <is>
          <t>2026-05-14</t>
        </is>
      </c>
      <c r="E44" s="8" t="n"/>
      <c r="F44" s="8" t="n"/>
    </row>
    <row r="45">
      <c r="A45" s="6" t="inlineStr">
        <is>
          <t>Hora de registro</t>
        </is>
      </c>
      <c r="B45" s="7" t="inlineStr">
        <is>
          <t>10:05 a.m.</t>
        </is>
      </c>
      <c r="C45" s="6" t="inlineStr">
        <is>
          <t>Correlativo de ficha</t>
        </is>
      </c>
      <c r="D45" s="7" t="inlineStr">
        <is>
          <t>F-DT-2026-B5-001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P-B5-01</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 ausencia de planes comunitarios de manejo silvopastoril + tenencia difusa de la tierra + baja adopción de prácticas de conservación</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0.4454</v>
      </c>
      <c r="C11" s="21">
        <f>ROUND(B11/$B$15*100,2)</f>
        <v/>
      </c>
      <c r="D11" s="13" t="inlineStr">
        <is>
          <t>Vigor moderado</t>
        </is>
      </c>
      <c r="E11" s="13" t="inlineStr">
        <is>
          <t>Sobre umbral</t>
        </is>
      </c>
    </row>
    <row r="12">
      <c r="A12" s="7" t="inlineStr">
        <is>
          <t>0.3813 - 0.4976 · DN 3</t>
        </is>
      </c>
      <c r="B12" s="18" t="n">
        <v>74.8554</v>
      </c>
      <c r="C12" s="19">
        <f>ROUND(B12/$B$15*100,2)</f>
        <v/>
      </c>
      <c r="D12" s="11" t="inlineStr">
        <is>
          <t>Vigor bajo</t>
        </is>
      </c>
      <c r="E12" s="11" t="inlineStr">
        <is>
          <t>BAJO umbral 0.4976</t>
        </is>
      </c>
    </row>
    <row r="13">
      <c r="A13" s="14" t="inlineStr">
        <is>
          <t>0.2650 - 0.3813 · DN 2</t>
        </is>
      </c>
      <c r="B13" s="32" t="n">
        <v>186.949</v>
      </c>
      <c r="C13" s="31">
        <f>ROUND(B13/$B$15*100,2)</f>
        <v/>
      </c>
      <c r="D13" s="15" t="inlineStr">
        <is>
          <t>Vigor muy bajo</t>
        </is>
      </c>
      <c r="E13" s="15" t="inlineStr">
        <is>
          <t>BAJO umbral 0.4976</t>
        </is>
      </c>
    </row>
    <row r="14">
      <c r="A14" s="7" t="inlineStr">
        <is>
          <t>&lt;= 0.2650 · DN 1</t>
        </is>
      </c>
      <c r="B14" s="18" t="n">
        <v>33.4763</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901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295.73</v>
      </c>
      <c r="C18" s="49" t="inlineStr">
        <is>
          <t>—</t>
        </is>
      </c>
      <c r="D18" s="46" t="inlineStr">
        <is>
          <t>Desviación planimétrica frente al catálogo</t>
        </is>
      </c>
      <c r="E18" s="46" t="inlineStr">
        <is>
          <t>+0.00 %</t>
        </is>
      </c>
    </row>
    <row r="19">
      <c r="A19" s="16" t="inlineStr">
        <is>
          <t>MSAVI 2024 — MEDIA DEL BLOQUE</t>
        </is>
      </c>
      <c r="B19" s="17" t="n">
        <v>0.3394</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901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(0.3394)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16.5447</v>
      </c>
      <c r="C25" s="19" t="n">
        <v>5.59</v>
      </c>
      <c r="D25" s="11" t="inlineStr">
        <is>
          <t>Dosel continuo, matorral denso o mosaico agroforestal</t>
        </is>
      </c>
      <c r="E25" s="11" t="inlineStr"/>
    </row>
    <row r="26">
      <c r="A26" s="12" t="inlineStr">
        <is>
          <t>Vegetación mediana</t>
        </is>
      </c>
      <c r="B26" s="20" t="n">
        <v>191.1145</v>
      </c>
      <c r="C26" s="21" t="n">
        <v>64.59999999999999</v>
      </c>
      <c r="D26" s="13" t="inlineStr">
        <is>
          <t>Pastizal cultivado, matorral ralo, parcelas agrícolas</t>
        </is>
      </c>
      <c r="E26" s="13" t="inlineStr"/>
    </row>
    <row r="27">
      <c r="A27" s="7" t="inlineStr">
        <is>
          <t>Vegetación ligera</t>
        </is>
      </c>
      <c r="B27" s="18" t="n">
        <v>82.94370000000001</v>
      </c>
      <c r="C27" s="19" t="n">
        <v>28.03</v>
      </c>
      <c r="D27" s="11" t="inlineStr">
        <is>
          <t>Cobertura discontinua, suelo parcialmente expuesto</t>
        </is>
      </c>
      <c r="E27" s="11" t="inlineStr"/>
    </row>
    <row r="28">
      <c r="A28" s="12" t="inlineStr">
        <is>
          <t>Tierra desnuda</t>
        </is>
      </c>
      <c r="B28" s="20" t="n">
        <v>5.258</v>
      </c>
      <c r="C28" s="21" t="n">
        <v>1.78</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295.73</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5.59 % del polígono clasificado como «Vegetación alta» por el NDVI 2025; la observación de campo corresponde a una parcela o recorrido puntual y no es estadísticamente representativa de las 295.730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618722</v>
      </c>
      <c r="D10" s="26" t="n">
        <v>9413102</v>
      </c>
      <c r="E10" s="11" t="n">
        <v>865.7</v>
      </c>
      <c r="F10" s="11" t="inlineStr"/>
      <c r="G10" s="11" t="inlineStr">
        <is>
          <t>Coordenada consignada en F-DT-01</t>
        </is>
      </c>
    </row>
    <row r="11">
      <c r="A11" s="12" t="inlineStr">
        <is>
          <t>C-01</t>
        </is>
      </c>
      <c r="B11" s="13" t="inlineStr">
        <is>
          <t>Rasgo erosivo — Cárcava incipiente (30-50 cm)</t>
        </is>
      </c>
      <c r="C11" s="27" t="n">
        <v>618650</v>
      </c>
      <c r="D11" s="27" t="n">
        <v>9413100</v>
      </c>
      <c r="E11" s="13" t="n">
        <v>794.2</v>
      </c>
      <c r="F11" s="13" t="inlineStr">
        <is>
          <t>Semi-activa</t>
        </is>
      </c>
      <c r="G11" s="13" t="inlineStr">
        <is>
          <t>Concentración natural de escorrentía</t>
        </is>
      </c>
    </row>
    <row r="12">
      <c r="A12" s="7" t="inlineStr">
        <is>
          <t>C-02</t>
        </is>
      </c>
      <c r="B12" s="11" t="inlineStr">
        <is>
          <t>Rasgo erosivo — Cárcava somera (0.5-2 m)</t>
        </is>
      </c>
      <c r="C12" s="26" t="n">
        <v>618620</v>
      </c>
      <c r="D12" s="26" t="n">
        <v>9413110</v>
      </c>
      <c r="E12" s="11" t="n">
        <v>763.4</v>
      </c>
      <c r="F12" s="11" t="inlineStr">
        <is>
          <t>Activa</t>
        </is>
      </c>
      <c r="G12" s="11" t="inlineStr">
        <is>
          <t>Socavamiento de cauce</t>
        </is>
      </c>
    </row>
    <row r="13">
      <c r="A13" s="12" t="inlineStr">
        <is>
          <t>C-03</t>
        </is>
      </c>
      <c r="B13" s="13" t="inlineStr">
        <is>
          <t>Rasgo erosivo — Surco (&lt;30 cm)</t>
        </is>
      </c>
      <c r="C13" s="27" t="n">
        <v>618700</v>
      </c>
      <c r="D13" s="27" t="n">
        <v>9413105</v>
      </c>
      <c r="E13" s="13" t="n">
        <v>843.5</v>
      </c>
      <c r="F13" s="13" t="inlineStr">
        <is>
          <t>Activa</t>
        </is>
      </c>
      <c r="G13" s="13" t="inlineStr">
        <is>
          <t>Caminos / huellas de ganado</t>
        </is>
      </c>
    </row>
    <row r="14">
      <c r="A14" s="7" t="inlineStr">
        <is>
          <t>C-04</t>
        </is>
      </c>
      <c r="B14" s="11" t="inlineStr">
        <is>
          <t>Rasgo erosivo — Surco (&lt;30 cm)</t>
        </is>
      </c>
      <c r="C14" s="26" t="n">
        <v>618680</v>
      </c>
      <c r="D14" s="26" t="n">
        <v>9413090</v>
      </c>
      <c r="E14" s="11" t="n">
        <v>825.1</v>
      </c>
      <c r="F14" s="11" t="inlineStr">
        <is>
          <t>Activa</t>
        </is>
      </c>
      <c r="G14" s="11" t="inlineStr">
        <is>
          <t>Caminos / huellas de ganado</t>
        </is>
      </c>
    </row>
    <row r="15">
      <c r="A15" s="12" t="inlineStr">
        <is>
          <t>H-01</t>
        </is>
      </c>
      <c r="B15" s="13" t="inlineStr">
        <is>
          <t>Fuente de agua — Quebrada estacional</t>
        </is>
      </c>
      <c r="C15" s="27" t="n">
        <v>614511</v>
      </c>
      <c r="D15" s="27" t="n">
        <v>9414400</v>
      </c>
      <c r="E15" s="13" t="n">
        <v>3563.6</v>
      </c>
      <c r="F15" s="13" t="inlineStr"/>
      <c r="G15" s="13" t="inlineStr">
        <is>
          <t>Quebrada s/n - drenaje</t>
        </is>
      </c>
    </row>
    <row r="16">
      <c r="A16" s="7" t="inlineStr">
        <is>
          <t>H-02</t>
        </is>
      </c>
      <c r="B16" s="11" t="inlineStr">
        <is>
          <t>Fuente de agua — Reservorio / Represa</t>
        </is>
      </c>
      <c r="C16" s="26" t="n">
        <v>613891</v>
      </c>
      <c r="D16" s="26" t="n">
        <v>9415280</v>
      </c>
      <c r="E16" s="11" t="n">
        <v>4489.4</v>
      </c>
      <c r="F16" s="11" t="inlineStr">
        <is>
          <t>Permanente</t>
        </is>
      </c>
      <c r="G16" s="11" t="inlineStr">
        <is>
          <t>Tanque / mini-reservorio</t>
        </is>
      </c>
    </row>
    <row r="17">
      <c r="A17" s="12" t="inlineStr">
        <is>
          <t>H-03</t>
        </is>
      </c>
      <c r="B17" s="13" t="inlineStr">
        <is>
          <t>Fuente de agua — Río</t>
        </is>
      </c>
      <c r="C17" s="27" t="n">
        <v>615000</v>
      </c>
      <c r="D17" s="27" t="n">
        <v>9414500</v>
      </c>
      <c r="E17" s="13" t="n">
        <v>3149.1</v>
      </c>
      <c r="F17" s="13" t="inlineStr">
        <is>
          <t>Permanente</t>
        </is>
      </c>
      <c r="G17" s="13" t="inlineStr">
        <is>
          <t>Río Piura - uso doméstico</t>
        </is>
      </c>
    </row>
    <row r="18">
      <c r="A18" s="7" t="inlineStr">
        <is>
          <t>H-04</t>
        </is>
      </c>
      <c r="B18" s="11" t="inlineStr">
        <is>
          <t>Fuente de agua — Otro</t>
        </is>
      </c>
      <c r="C18" s="26" t="n">
        <v>617500</v>
      </c>
      <c r="D18" s="26" t="n">
        <v>9413600</v>
      </c>
      <c r="E18" s="11" t="n">
        <v>551.7</v>
      </c>
      <c r="F18" s="11" t="inlineStr"/>
      <c r="G18" s="11" t="inlineStr">
        <is>
          <t>Punto interno CT1</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617860</v>
      </c>
      <c r="C21" s="6" t="inlineStr">
        <is>
          <t>Centroide del bloque — UTM NORTE (m)</t>
        </is>
      </c>
      <c r="D21" s="7" t="n">
        <v>9413182</v>
      </c>
      <c r="E21" s="8" t="n"/>
      <c r="F21" s="8" t="n"/>
      <c r="G21" s="8" t="n"/>
      <c r="H21" s="8" t="n"/>
    </row>
    <row r="22">
      <c r="A22" s="6" t="inlineStr">
        <is>
          <t>N.° de estaciones fotográficas declaradas</t>
        </is>
      </c>
      <c r="B22" s="7" t="inlineStr">
        <is>
          <t>Sin registro en la ficha DT</t>
        </is>
      </c>
      <c r="C22" s="6" t="inlineStr">
        <is>
          <t>Estaciones dentro del polígono</t>
        </is>
      </c>
      <c r="D22" s="7" t="inlineStr">
        <is>
          <t>Por determinar</t>
        </is>
      </c>
      <c r="E22" s="8" t="n"/>
      <c r="F22" s="8" t="n"/>
      <c r="G22" s="8" t="n"/>
      <c r="H22" s="8" t="n"/>
    </row>
    <row r="24" ht="120"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Aunque no se evidencian movimientos en masa activos a escala de polígono, la combinación de pendientes 25-50% con cobertura discontinua, suelos delgados sobre material parental rocoso y precipitaciones erráticas de alta intensidad (ENSO costero) configura susceptibilidad media-alta a generación de escorrentía y arrastre de sedimentos. El bloque actúa como zona de ORIGEN del peligro de inundación que afecta aguas abajo a Buenos Aires, Bigote y Salitral.</t>
        </is>
      </c>
      <c r="B24" s="41" t="n"/>
      <c r="C24" s="41" t="n"/>
      <c r="D24" s="41" t="n"/>
      <c r="E24" s="41" t="n"/>
      <c r="F24" s="41" t="n"/>
      <c r="G24" s="42"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5</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2" t="inlineStr">
        <is>
          <t>M6B2-2</t>
        </is>
      </c>
      <c r="B11" s="29" t="n">
        <v>333.01</v>
      </c>
      <c r="C11" s="21" t="n">
        <v>21.43</v>
      </c>
      <c r="D11" s="13" t="inlineStr">
        <is>
          <t>195 – 440</t>
        </is>
      </c>
      <c r="E11" s="13" t="n">
        <v>245</v>
      </c>
      <c r="F11" s="13" t="n">
        <v>14.33</v>
      </c>
      <c r="G11" s="20" t="n">
        <v>0.3026</v>
      </c>
      <c r="H11" s="21" t="n">
        <v>0.68</v>
      </c>
      <c r="I11" s="21" t="n">
        <v>99</v>
      </c>
    </row>
    <row r="12">
      <c r="A12" s="14" t="inlineStr">
        <is>
          <t>► 5</t>
        </is>
      </c>
      <c r="B12" s="30" t="n">
        <v>295.73</v>
      </c>
      <c r="C12" s="31" t="n">
        <v>19.03</v>
      </c>
      <c r="D12" s="15" t="inlineStr">
        <is>
          <t>150 – 377</t>
        </is>
      </c>
      <c r="E12" s="15" t="n">
        <v>227</v>
      </c>
      <c r="F12" s="15" t="n">
        <v>18.57</v>
      </c>
      <c r="G12" s="32" t="n">
        <v>0.3394</v>
      </c>
      <c r="H12" s="31" t="n">
        <v>5.59</v>
      </c>
      <c r="I12" s="31" t="n">
        <v>99.84999999999999</v>
      </c>
    </row>
    <row r="13">
      <c r="A13" s="12" t="inlineStr">
        <is>
          <t>M6B10</t>
        </is>
      </c>
      <c r="B13" s="29" t="n">
        <v>249.89</v>
      </c>
      <c r="C13" s="21" t="n">
        <v>16.08</v>
      </c>
      <c r="D13" s="13" t="inlineStr">
        <is>
          <t>158 – 537</t>
        </is>
      </c>
      <c r="E13" s="13" t="n">
        <v>379</v>
      </c>
      <c r="F13" s="13" t="n">
        <v>20.6</v>
      </c>
      <c r="G13" s="20" t="n">
        <v>0.3099</v>
      </c>
      <c r="H13" s="21" t="n">
        <v>0.08</v>
      </c>
      <c r="I13" s="21" t="n">
        <v>99.83</v>
      </c>
    </row>
    <row r="14">
      <c r="A14" s="7" t="inlineStr">
        <is>
          <t>M6B2-3</t>
        </is>
      </c>
      <c r="B14" s="28" t="n">
        <v>160.98</v>
      </c>
      <c r="C14" s="19" t="n">
        <v>10.36</v>
      </c>
      <c r="D14" s="11" t="inlineStr">
        <is>
          <t>166 – 557</t>
        </is>
      </c>
      <c r="E14" s="11" t="n">
        <v>391</v>
      </c>
      <c r="F14" s="11" t="n">
        <v>19.78</v>
      </c>
      <c r="G14" s="18" t="n">
        <v>0.4063</v>
      </c>
      <c r="H14" s="19" t="n">
        <v>4.92</v>
      </c>
      <c r="I14" s="19" t="n">
        <v>90.48999999999999</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c r="I15" s="23">
        <f>ROUND(AVERAGE(I10:I14),2)</f>
        <v/>
      </c>
    </row>
    <row r="17" ht="84" customHeight="1">
      <c r="A17" s="9" t="inlineStr">
        <is>
          <t>LECTURA INTRAMICROCUENCA. El bloque 5 ocupa el puesto 3 de 5 por superficie dentro de la microcuenca C1077-Q9566 (19.03 % de las 1553.97 ha preliminares de la microcuenca). Su pendiente promedio (18.57 %, clase «15-25% (Fuert. inclinado)») es la 3.ª más baja de 5 y se sitúa por encima del promedio de la microcuenca (18.02 %). Su MSAVI 2024 (0.3394) es el 2.º de 5 y queda por encima del promedio local (0.3393). Amplitud altitudinal del bloque: 227 m (150–377 msnm). El cuadro conserva todos los bloques catalogados en la microcuenca, incluidos los descartados en el tamizaje, para referencia del conjunto. Los bloques sin ficha DT figuran con sus parámetros de gabinete. BRECHA ESPECTRAL. El 99.85 % de la superficie del bloque (295.281 ha de 295.726 ha) se sitúa bajo el umbral MSAVI 0.4976, por encima del promedio local de la microcuenca (97.63 %) calculado sobre los bloques con dato MSAVI disponible.</t>
        </is>
      </c>
      <c r="B17" s="41" t="n"/>
      <c r="C17" s="41" t="n"/>
      <c r="D17" s="41" t="n"/>
      <c r="E17" s="41" t="n"/>
      <c r="F17" s="41" t="n"/>
      <c r="G17" s="41" t="n"/>
      <c r="H17" s="41" t="n"/>
      <c r="I17" s="42"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1" t="n"/>
      <c r="I19" s="42" t="n"/>
    </row>
  </sheetData>
  <mergeCells count="9">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5</t>
        </is>
      </c>
    </row>
    <row r="6">
      <c r="A6" s="51" t="inlineStr">
        <is>
          <t>Cruce de la ficha de campo F-DT vigente con la ficha de resumen de gabinete y el catálogo maestro. Integración 2026-09-11 20:22:30.</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«C1077-Q9566».</t>
        </is>
      </c>
      <c r="D9" s="55" t="inlineStr">
        <is>
          <t>CONFORME</t>
        </is>
      </c>
      <c r="E9" s="55" t="inlineStr">
        <is>
          <t>Sin acción.</t>
        </is>
      </c>
    </row>
    <row r="10">
      <c r="A10" s="56" t="inlineStr">
        <is>
          <t>G-02</t>
        </is>
      </c>
      <c r="B10" s="56" t="inlineStr">
        <is>
          <t>UTM del punto de muestreo</t>
        </is>
      </c>
      <c r="C10" s="56" t="inlineStr">
        <is>
          <t>El punto de muestreo declarado dista 865.7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(215 msnm) cae dentro del rango altitudinal del bloque (150 - 377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(295.861 ha) se desvía 0.04 % de la superficie de catálogo (295.73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(295.726 ha) se desvía -0.00 % de la superficie de catálogo (295.73 ha).</t>
        </is>
      </c>
      <c r="D14" s="56" t="inlineStr">
        <is>
          <t>CONFORME</t>
        </is>
      </c>
      <c r="E14" s="56" t="inlineStr">
        <is>
          <t>Sin acción: la segmentación valida la geometría del bloque.</t>
        </is>
      </c>
    </row>
    <row r="15">
      <c r="A15" s="55" t="inlineStr">
        <is>
          <t>G-07</t>
        </is>
      </c>
      <c r="B15" s="55" t="inlineStr">
        <is>
          <t>Brecha espectral MSAVI</t>
        </is>
      </c>
      <c r="C15" s="55" t="inlineStr">
        <is>
          <t>El 99.85 % del bloque queda bajo el umbral 0.4976; superficie de brecha 295.28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295.73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(0.3394)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100.0 % de los campos esperados).</t>
        </is>
      </c>
      <c r="D19" s="55" t="inlineStr">
        <is>
          <t>CONFORME</t>
        </is>
      </c>
      <c r="E19" s="55" t="inlineStr">
        <is>
          <t>Sin acción.</t>
        </is>
      </c>
    </row>
    <row r="20">
      <c r="A20" s="56" t="inlineStr">
        <is>
          <t>F-02</t>
        </is>
      </c>
      <c r="B20" s="56" t="inlineStr">
        <is>
          <t>Cobertura de la integración</t>
        </is>
      </c>
      <c r="C20" s="56" t="inlineStr">
        <is>
          <t>Se declararon 110 de 114 hechos integrados (96.5 %); 4 quedan sin dato en ninguna fuente.</t>
        </is>
      </c>
      <c r="D20" s="56" t="inlineStr">
        <is>
          <t>CONFORME</t>
        </is>
      </c>
      <c r="E20" s="56" t="inlineStr">
        <is>
          <t>Sin acción.</t>
        </is>
      </c>
    </row>
    <row r="21">
      <c r="A21" s="55" t="inlineStr">
        <is>
          <t>H-01</t>
        </is>
      </c>
      <c r="B21" s="55" t="inlineStr">
        <is>
          <t>Rango de pendiente dominante</t>
        </is>
      </c>
      <c r="C21" s="55" t="inlineStr">
        <is>
          <t>La ficha DT declara «25-50% (Mod. escarpado)»; la estadística zonal sobre el MDE arroja una pendiente promedio de 18.57 %, que corresponde a la clase «15-25% (Fuert. inclinado)»</t>
        </is>
      </c>
      <c r="D21" s="55" t="inlineStr">
        <is>
          <t>NO SUSTANTIVA</t>
        </is>
      </c>
      <c r="E21"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6" t="inlineStr">
        <is>
          <t>H-02</t>
        </is>
      </c>
      <c r="B22" s="56" t="inlineStr">
        <is>
          <t>Cobertura vegetal total</t>
        </is>
      </c>
      <c r="C22" s="56" t="inlineStr">
        <is>
          <t>La ficha DT estima 70 % de cobertura vegetal en campo; el NDVI mediana 2025 clasifica 98.22 % del polígono en clases de vegetación</t>
        </is>
      </c>
      <c r="D22" s="56" t="inlineStr">
        <is>
          <t>NO SUSTANTIVA</t>
        </is>
      </c>
      <c r="E22"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5" t="inlineStr">
        <is>
          <t>H-03</t>
        </is>
      </c>
      <c r="B23" s="55" t="inlineStr">
        <is>
          <t>Elenco florístico</t>
        </is>
      </c>
      <c r="C23" s="55" t="inlineStr">
        <is>
          <t>La ficha registra 14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H-04</t>
        </is>
      </c>
      <c r="B24" s="56" t="inlineStr">
        <is>
          <t>Centro poblado asociado</t>
        </is>
      </c>
      <c r="C24" s="56" t="inlineStr">
        <is>
          <t>La ficha DT declara «Caserío El Ala (~250 m al norte del límite)»; el cruce INEI-Bloques V5 identifica 3 centro(s) poblado(s) en el bloque: EL ALA, JUAN VELASCO, LINDEROS DEL ALA</t>
        </is>
      </c>
      <c r="D24" s="56" t="inlineStr">
        <is>
          <t>CONFORME</t>
        </is>
      </c>
      <c r="E24" s="56" t="inlineStr">
        <is>
          <t>Se conserva el registro de campo como referencia y se adopta el listado INEI para el diagnóstico social y el cálculo de población beneficiaria. (Verificación heredada de la ficha de resumen V6.)</t>
        </is>
      </c>
    </row>
    <row r="26">
      <c r="A26" s="57" t="inlineStr">
        <is>
          <t>RESUMEN</t>
        </is>
      </c>
      <c r="B26" s="58" t="inlineStr">
        <is>
          <t>16 verificaciones</t>
        </is>
      </c>
      <c r="C26" s="58" t="inlineStr">
        <is>
          <t>SUSTANTIVA: 2 · NO SUSTANTIVA: 2 · CONFORME: 12</t>
        </is>
      </c>
    </row>
    <row r="28">
      <c r="A28"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5</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618722</t>
        </is>
      </c>
      <c r="D13" s="55" t="inlineStr">
        <is>
          <t>m</t>
        </is>
      </c>
    </row>
    <row r="14">
      <c r="A14" s="56" t="inlineStr">
        <is>
          <t>1. Identificación y localización</t>
        </is>
      </c>
      <c r="B14" s="56" t="inlineStr">
        <is>
          <t>UTM NORTE del punto de muestreo (m)</t>
        </is>
      </c>
      <c r="C14" s="56" t="inlineStr">
        <is>
          <t>9413102</t>
        </is>
      </c>
      <c r="D14" s="56" t="inlineStr">
        <is>
          <t>m</t>
        </is>
      </c>
    </row>
    <row r="15">
      <c r="A15" s="55" t="inlineStr">
        <is>
          <t>2. Parámetros físicos del terreno</t>
        </is>
      </c>
      <c r="B15" s="55" t="inlineStr">
        <is>
          <t>Altitud GPS del punto de muestreo (msnm)</t>
        </is>
      </c>
      <c r="C15" s="55" t="inlineStr">
        <is>
          <t>215</t>
        </is>
      </c>
      <c r="D15" s="55" t="inlineStr">
        <is>
          <t>msnm</t>
        </is>
      </c>
    </row>
    <row r="16">
      <c r="A16" s="56" t="inlineStr">
        <is>
          <t>2. Parámetros físicos del terreno</t>
        </is>
      </c>
      <c r="B16" s="56" t="inlineStr">
        <is>
          <t>Piso altitudinal del punto de muestreo</t>
        </is>
      </c>
      <c r="C16" s="56" t="inlineStr">
        <is>
          <t>&lt;1000 m (Yunga)</t>
        </is>
      </c>
      <c r="D16" s="56" t="inlineStr"/>
    </row>
    <row r="17">
      <c r="A17" s="55" t="inlineStr">
        <is>
          <t>2. Parámetros físicos del terreno</t>
        </is>
      </c>
      <c r="B17" s="55" t="inlineStr">
        <is>
          <t>Paisaje dominante descrito en campo</t>
        </is>
      </c>
      <c r="C17" s="55" t="inlineStr">
        <is>
          <t>Colinas y montañas bajas vestidas por bosque seco estacional dominado por Charán, Pasallo, Hualtaco, Algarrobo y cardones columnares; cobertura discontinua con afloramientos rocosos y suelo desnudo en sectores de cresta. Vegetación trepadora estacional (Ipomoea / Merremia) en floración al momento de la visita.</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Sí</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Longitud total de cárcavas (m)</t>
        </is>
      </c>
      <c r="C24" s="56" t="inlineStr">
        <is>
          <t>92</t>
        </is>
      </c>
      <c r="D24" s="56" t="inlineStr">
        <is>
          <t>m</t>
        </is>
      </c>
    </row>
    <row r="25">
      <c r="A25" s="55" t="inlineStr">
        <is>
          <t>4. Suelos y erosión (F-DT-02)</t>
        </is>
      </c>
      <c r="B25" s="55" t="inlineStr">
        <is>
          <t>% del bloque afectado por cárcavas</t>
        </is>
      </c>
      <c r="C25" s="55" t="inlineStr">
        <is>
          <t>5</t>
        </is>
      </c>
      <c r="D25" s="55" t="inlineStr">
        <is>
          <t>%</t>
        </is>
      </c>
    </row>
    <row r="26">
      <c r="A26" s="56" t="inlineStr">
        <is>
          <t>4. Suelos y erosión (F-DT-02)</t>
        </is>
      </c>
      <c r="B26" s="56" t="inlineStr">
        <is>
          <t>Erosión laminar (% del bloque)</t>
        </is>
      </c>
      <c r="C26" s="56" t="inlineStr">
        <is>
          <t>35</t>
        </is>
      </c>
      <c r="D26" s="56" t="inlineStr">
        <is>
          <t>%</t>
        </is>
      </c>
    </row>
    <row r="27">
      <c r="A27" s="55" t="inlineStr">
        <is>
          <t>4. Suelos y erosión (F-DT-02)</t>
        </is>
      </c>
      <c r="B27" s="55" t="inlineStr">
        <is>
          <t>Patrón de cárcavas</t>
        </is>
      </c>
      <c r="C27" s="55" t="inlineStr">
        <is>
          <t>Lineal</t>
        </is>
      </c>
      <c r="D27" s="55" t="inlineStr"/>
    </row>
    <row r="28">
      <c r="A28" s="56" t="inlineStr">
        <is>
          <t>4. Suelos y erosión (F-DT-02)</t>
        </is>
      </c>
      <c r="B28" s="56" t="inlineStr">
        <is>
          <t>Socavamiento de cauce</t>
        </is>
      </c>
      <c r="C28" s="56" t="inlineStr">
        <is>
          <t>F-06</t>
        </is>
      </c>
      <c r="D28" s="56" t="inlineStr"/>
    </row>
    <row r="29">
      <c r="A29" s="55" t="inlineStr">
        <is>
          <t>5. Ecosistema, cobertura y flora (F-DT-03)</t>
        </is>
      </c>
      <c r="B29" s="55" t="inlineStr">
        <is>
          <t>Cobertura del dosel (%)</t>
        </is>
      </c>
      <c r="C29" s="55" t="inlineStr">
        <is>
          <t>30</t>
        </is>
      </c>
      <c r="D29" s="55" t="inlineStr">
        <is>
          <t>%</t>
        </is>
      </c>
    </row>
    <row r="30">
      <c r="A30" s="56" t="inlineStr">
        <is>
          <t>5. Ecosistema, cobertura y flora (F-DT-03)</t>
        </is>
      </c>
      <c r="B30" s="56" t="inlineStr">
        <is>
          <t>Cobertura arbustiva (%)</t>
        </is>
      </c>
      <c r="C30" s="56" t="inlineStr">
        <is>
          <t>35</t>
        </is>
      </c>
      <c r="D30" s="56" t="inlineStr">
        <is>
          <t>%</t>
        </is>
      </c>
    </row>
    <row r="31">
      <c r="A31" s="55" t="inlineStr">
        <is>
          <t>5. Ecosistema, cobertura y flora (F-DT-03)</t>
        </is>
      </c>
      <c r="B31" s="55" t="inlineStr">
        <is>
          <t>Cobertura herbácea (%)</t>
        </is>
      </c>
      <c r="C31" s="55" t="inlineStr">
        <is>
          <t>45</t>
        </is>
      </c>
      <c r="D31" s="55" t="inlineStr">
        <is>
          <t>%</t>
        </is>
      </c>
    </row>
    <row r="32">
      <c r="A32" s="56" t="inlineStr">
        <is>
          <t>5. Ecosistema, cobertura y flora (F-DT-03)</t>
        </is>
      </c>
      <c r="B32" s="56" t="inlineStr">
        <is>
          <t>Cobertura de hojarasca (%)</t>
        </is>
      </c>
      <c r="C32" s="56" t="inlineStr">
        <is>
          <t>12</t>
        </is>
      </c>
      <c r="D32" s="56" t="inlineStr">
        <is>
          <t>%</t>
        </is>
      </c>
    </row>
    <row r="33">
      <c r="A33" s="55" t="inlineStr">
        <is>
          <t>5. Ecosistema, cobertura y flora (F-DT-03)</t>
        </is>
      </c>
      <c r="B33" s="55" t="inlineStr">
        <is>
          <t>Altura del estrato dominante (m)</t>
        </is>
      </c>
      <c r="C33" s="55" t="inlineStr">
        <is>
          <t>6</t>
        </is>
      </c>
      <c r="D33" s="55" t="inlineStr">
        <is>
          <t>m</t>
        </is>
      </c>
    </row>
    <row r="34">
      <c r="A34" s="56" t="inlineStr">
        <is>
          <t>5. Ecosistema, cobertura y flora (F-DT-03)</t>
        </is>
      </c>
      <c r="B34" s="56" t="inlineStr">
        <is>
          <t>Altura máxima registrada (m)</t>
        </is>
      </c>
      <c r="C34" s="56" t="inlineStr">
        <is>
          <t>12</t>
        </is>
      </c>
      <c r="D34" s="56" t="inlineStr">
        <is>
          <t>m</t>
        </is>
      </c>
    </row>
    <row r="35">
      <c r="A35" s="55" t="inlineStr">
        <is>
          <t>5. Ecosistema, cobertura y flora (F-DT-03)</t>
        </is>
      </c>
      <c r="B35" s="55" t="inlineStr">
        <is>
          <t>DAP promedio (cm)</t>
        </is>
      </c>
      <c r="C35" s="55" t="inlineStr">
        <is>
          <t>20</t>
        </is>
      </c>
      <c r="D35" s="55" t="inlineStr">
        <is>
          <t>cm</t>
        </is>
      </c>
    </row>
    <row r="36">
      <c r="A36" s="56" t="inlineStr">
        <is>
          <t>5. Ecosistema, cobertura y flora (F-DT-03)</t>
        </is>
      </c>
      <c r="B36" s="56" t="inlineStr">
        <is>
          <t>Presencia de epífitas</t>
        </is>
      </c>
      <c r="C36" s="56" t="inlineStr">
        <is>
          <t>No</t>
        </is>
      </c>
      <c r="D36" s="56" t="inlineStr"/>
    </row>
    <row r="37">
      <c r="A37" s="55" t="inlineStr">
        <is>
          <t>5. Ecosistema, cobertura y flora (F-DT-03)</t>
        </is>
      </c>
      <c r="B37" s="55" t="inlineStr">
        <is>
          <t>Fenología dominante</t>
        </is>
      </c>
      <c r="C37" s="55" t="inlineStr">
        <is>
          <t>Floración</t>
        </is>
      </c>
      <c r="D37" s="55" t="inlineStr"/>
    </row>
    <row r="38">
      <c r="A38" s="56" t="inlineStr">
        <is>
          <t>5. Ecosistema, cobertura y flora (F-DT-03)</t>
        </is>
      </c>
      <c r="B38" s="56" t="inlineStr">
        <is>
          <t>Dimensiones de la parcela (m)</t>
        </is>
      </c>
      <c r="C38" s="56" t="inlineStr">
        <is>
          <t>25 x 25</t>
        </is>
      </c>
      <c r="D38" s="56" t="inlineStr"/>
    </row>
    <row r="39">
      <c r="A39" s="55" t="inlineStr">
        <is>
          <t>5. Ecosistema, cobertura y flora (F-DT-03)</t>
        </is>
      </c>
      <c r="B39" s="55" t="inlineStr">
        <is>
          <t>Pendiente de la parcela (%)</t>
        </is>
      </c>
      <c r="C39" s="55" t="inlineStr">
        <is>
          <t>35</t>
        </is>
      </c>
      <c r="D39" s="55" t="inlineStr">
        <is>
          <t>%</t>
        </is>
      </c>
    </row>
    <row r="40">
      <c r="A40" s="56" t="inlineStr">
        <is>
          <t>5. Ecosistema, cobertura y flora (F-DT-03)</t>
        </is>
      </c>
      <c r="B40" s="56" t="inlineStr">
        <is>
          <t>Especies clave georreferenciadas</t>
        </is>
      </c>
      <c r="C40" s="56" t="inlineStr">
        <is>
          <t>5</t>
        </is>
      </c>
      <c r="D40" s="56" t="inlineStr"/>
    </row>
    <row r="41">
      <c r="A41" s="55" t="inlineStr">
        <is>
          <t>6. Degradación, causas y urgencia (F-DT-04)</t>
        </is>
      </c>
      <c r="B41" s="55" t="inlineStr">
        <is>
          <t>Causas directas de la degradación</t>
        </is>
      </c>
      <c r="C41" s="55" t="inlineStr">
        <is>
          <t>(1) Sobrepastoreo caprino y vacuno extensivo; (2) Tala selectiva para leña y carbón; (3) Quemas estacionales de renovación de pastos; (4) Estrés hídrico recurrente (CC).</t>
        </is>
      </c>
      <c r="D41" s="55" t="inlineStr"/>
    </row>
    <row r="42">
      <c r="A42" s="56" t="inlineStr">
        <is>
          <t>6. Degradación, causas y urgencia (F-DT-04)</t>
        </is>
      </c>
      <c r="B42" s="56" t="inlineStr">
        <is>
          <t>N.° de causas activas en la matriz F-DT-04</t>
        </is>
      </c>
      <c r="C42" s="56" t="inlineStr">
        <is>
          <t>7</t>
        </is>
      </c>
      <c r="D42" s="56" t="inlineStr"/>
    </row>
    <row r="43">
      <c r="A43" s="55" t="inlineStr">
        <is>
          <t>7. Hidrología, acceso y logística (F-DT-05)</t>
        </is>
      </c>
      <c r="B43" s="55" t="inlineStr">
        <is>
          <t>Escorrentía concentrada</t>
        </is>
      </c>
      <c r="C43" s="55" t="inlineStr">
        <is>
          <t>Sí</t>
        </is>
      </c>
      <c r="D43" s="55" t="inlineStr"/>
    </row>
    <row r="44">
      <c r="A44" s="56" t="inlineStr">
        <is>
          <t>7. Hidrología, acceso y logística (F-DT-05)</t>
        </is>
      </c>
      <c r="B44" s="56" t="inlineStr">
        <is>
          <t>Fuentes de agua inventariadas</t>
        </is>
      </c>
      <c r="C44" s="56" t="inlineStr">
        <is>
          <t>4</t>
        </is>
      </c>
      <c r="D44" s="56" t="inlineStr"/>
    </row>
    <row r="45">
      <c r="A45" s="55" t="inlineStr">
        <is>
          <t>7. Hidrología, acceso y logística (F-DT-05)</t>
        </is>
      </c>
      <c r="B45" s="55" t="inlineStr">
        <is>
          <t>Distancia a captación (m)</t>
        </is>
      </c>
      <c r="C45" s="55" t="inlineStr">
        <is>
          <t>600</t>
        </is>
      </c>
      <c r="D45" s="55" t="inlineStr">
        <is>
          <t>m</t>
        </is>
      </c>
    </row>
    <row r="46">
      <c r="A46" s="56" t="inlineStr">
        <is>
          <t>7. Hidrología, acceso y logística (F-DT-05)</t>
        </is>
      </c>
      <c r="B46" s="56" t="inlineStr">
        <is>
          <t>Interferencia con riego</t>
        </is>
      </c>
      <c r="C46" s="56" t="inlineStr">
        <is>
          <t>No</t>
        </is>
      </c>
      <c r="D46" s="56" t="inlineStr"/>
    </row>
    <row r="47">
      <c r="A47" s="55" t="inlineStr">
        <is>
          <t>7. Hidrología, acceso y logística (F-DT-05)</t>
        </is>
      </c>
      <c r="B47" s="55" t="inlineStr">
        <is>
          <t>Vía principal de acceso</t>
        </is>
      </c>
      <c r="C47" s="55" t="inlineStr">
        <is>
          <t>PE-2A (Chulucanas — Buenos Aires — Canchaque)</t>
        </is>
      </c>
      <c r="D47" s="55" t="inlineStr"/>
    </row>
    <row r="48">
      <c r="A48" s="56" t="inlineStr">
        <is>
          <t>7. Hidrología, acceso y logística (F-DT-05)</t>
        </is>
      </c>
      <c r="B48" s="56" t="inlineStr">
        <is>
          <t>Tipo de vía del tramo final</t>
        </is>
      </c>
      <c r="C48" s="56" t="inlineStr">
        <is>
          <t>Trocha carrozable</t>
        </is>
      </c>
      <c r="D48" s="56" t="inlineStr"/>
    </row>
    <row r="49">
      <c r="A49" s="55" t="inlineStr">
        <is>
          <t>7. Hidrología, acceso y logística (F-DT-05)</t>
        </is>
      </c>
      <c r="B49" s="55" t="inlineStr">
        <is>
          <t>Transitabilidad en época seca</t>
        </is>
      </c>
      <c r="C49" s="55" t="inlineStr">
        <is>
          <t>Alto</t>
        </is>
      </c>
      <c r="D49" s="55" t="inlineStr"/>
    </row>
    <row r="50">
      <c r="A50" s="56" t="inlineStr">
        <is>
          <t>7. Hidrología, acceso y logística (F-DT-05)</t>
        </is>
      </c>
      <c r="B50" s="56" t="inlineStr">
        <is>
          <t>Transitabilidad en época lluviosa</t>
        </is>
      </c>
      <c r="C50" s="56" t="inlineStr">
        <is>
          <t>Medio</t>
        </is>
      </c>
      <c r="D50" s="56" t="inlineStr"/>
    </row>
    <row r="51">
      <c r="A51" s="55" t="inlineStr">
        <is>
          <t>7. Hidrología, acceso y logística (F-DT-05)</t>
        </is>
      </c>
      <c r="B51" s="55" t="inlineStr">
        <is>
          <t>Tiempo a la capital distrital (min)</t>
        </is>
      </c>
      <c r="C51" s="55" t="inlineStr">
        <is>
          <t>35</t>
        </is>
      </c>
      <c r="D51" s="55" t="inlineStr">
        <is>
          <t>min</t>
        </is>
      </c>
    </row>
    <row r="52">
      <c r="A52" s="56" t="inlineStr">
        <is>
          <t>7. Hidrología, acceso y logística (F-DT-05)</t>
        </is>
      </c>
      <c r="B52" s="56" t="inlineStr">
        <is>
          <t>Señal celular</t>
        </is>
      </c>
      <c r="C52" s="56" t="inlineStr">
        <is>
          <t>Parcial</t>
        </is>
      </c>
      <c r="D52" s="56" t="inlineStr"/>
    </row>
    <row r="53">
      <c r="A53" s="55" t="inlineStr">
        <is>
          <t>7. Hidrología, acceso y logística (F-DT-05)</t>
        </is>
      </c>
      <c r="B53" s="55" t="inlineStr">
        <is>
          <t>Operador con cobertura</t>
        </is>
      </c>
      <c r="C53" s="55" t="inlineStr">
        <is>
          <t>Claro</t>
        </is>
      </c>
      <c r="D53" s="55" t="inlineStr"/>
    </row>
    <row r="54">
      <c r="A54" s="56" t="inlineStr">
        <is>
          <t>7. Hidrología, acceso y logística (F-DT-05)</t>
        </is>
      </c>
      <c r="B54" s="56" t="inlineStr">
        <is>
          <t>Alojamiento disponible en la zona</t>
        </is>
      </c>
      <c r="C54" s="56" t="inlineStr">
        <is>
          <t>No</t>
        </is>
      </c>
      <c r="D54" s="56" t="inlineStr"/>
    </row>
    <row r="55">
      <c r="A55" s="55" t="inlineStr">
        <is>
          <t>7. Hidrología, acceso y logística (F-DT-05)</t>
        </is>
      </c>
      <c r="B55" s="55" t="inlineStr">
        <is>
          <t>Requiere coordinación con ronda / comunidad</t>
        </is>
      </c>
      <c r="C55" s="55" t="inlineStr">
        <is>
          <t>Sí</t>
        </is>
      </c>
      <c r="D55" s="55" t="inlineStr"/>
    </row>
    <row r="57">
      <c r="A57" s="53" t="inlineStr">
        <is>
          <t>C. PROCEDENCIA DE LOS HECHOS DECLARADOS</t>
        </is>
      </c>
    </row>
    <row r="58">
      <c r="A58" s="54" t="inlineStr">
        <is>
          <t>Fuente</t>
        </is>
      </c>
      <c r="B58" s="54" t="inlineStr">
        <is>
          <t>Hechos</t>
        </is>
      </c>
      <c r="C58" s="54" t="inlineStr">
        <is>
          <t>Alcance de la fuente</t>
        </is>
      </c>
    </row>
    <row r="59">
      <c r="A59" s="55" t="inlineStr">
        <is>
          <t>Dato de campo</t>
        </is>
      </c>
      <c r="B59" s="55" t="n">
        <v>75</v>
      </c>
      <c r="C59" s="55" t="inlineStr">
        <is>
          <t>Verificación en campo. Fichas F-DT-01 a F-DT-05 de la Plantilla DT Campo Check Validada V5, suscritas por el evaluador.</t>
        </is>
      </c>
    </row>
    <row r="60">
      <c r="A60" s="56" t="inlineStr">
        <is>
          <t>Gabinete (GIS / teledetección)</t>
        </is>
      </c>
      <c r="B60" s="56" t="n">
        <v>21</v>
      </c>
      <c r="C60" s="56" t="inlineStr">
        <is>
          <t>Gabinete. Estadística zonal sobre el MDE y compuestos Sentinel-2 (NDVI mediana 2025, MSAVI 2024 por clase DN).</t>
        </is>
      </c>
    </row>
    <row r="61">
      <c r="A61" s="55" t="inlineStr">
        <is>
          <t>Fuente oficial</t>
        </is>
      </c>
      <c r="B61" s="55" t="n">
        <v>14</v>
      </c>
      <c r="C61" s="55" t="inlineStr">
        <is>
          <t>Fuente oficial. Catálogo maestro Bloques V5/V6, división política INEI y codificación de microcuencas de la ANA.</t>
        </is>
      </c>
    </row>
    <row r="63">
      <c r="A63" s="53" t="inlineStr">
        <is>
          <t>D. ESTADO DEL CRUCE ENTRE FUENTES</t>
        </is>
      </c>
    </row>
    <row r="64">
      <c r="A64" s="54" t="inlineStr">
        <is>
          <t>Estado</t>
        </is>
      </c>
      <c r="B64" s="54" t="inlineStr">
        <is>
          <t>Hechos</t>
        </is>
      </c>
      <c r="C64" s="54" t="inlineStr">
        <is>
          <t>Significado</t>
        </is>
      </c>
    </row>
    <row r="65">
      <c r="A65" s="55" t="inlineStr">
        <is>
          <t>CONFORME</t>
        </is>
      </c>
      <c r="B65" s="55" t="n">
        <v>110</v>
      </c>
      <c r="C65" s="55" t="inlineStr">
        <is>
          <t>Las dos fuentes declaran lo mismo, o solo la fuente que manda sobre el hecho lo declara.</t>
        </is>
      </c>
    </row>
    <row r="66">
      <c r="A66" s="56" t="inlineStr">
        <is>
          <t>COMPLEMENTADO</t>
        </is>
      </c>
      <c r="B66" s="56" t="n">
        <v>0</v>
      </c>
      <c r="C66" s="56" t="inlineStr">
        <is>
          <t>Solo una de las fuentes lo declara y se adopta ese valor.</t>
        </is>
      </c>
    </row>
    <row r="67">
      <c r="A67" s="55" t="inlineStr">
        <is>
          <t>ACTUALIZADO</t>
        </is>
      </c>
      <c r="B67" s="55" t="n">
        <v>0</v>
      </c>
      <c r="C67" s="55" t="inlineStr">
        <is>
          <t>La verificación de campo vigente corrige lo que traía el libro de resumen.</t>
        </is>
      </c>
    </row>
    <row r="68">
      <c r="A68" s="56" t="inlineStr">
        <is>
          <t>DISCREPANTE</t>
        </is>
      </c>
      <c r="B68" s="56" t="n">
        <v>0</v>
      </c>
      <c r="C68" s="56" t="inlineStr">
        <is>
          <t>Las fuentes se contradicen; prevalece la que manda sobre el hecho y la otra queda declarada.</t>
        </is>
      </c>
    </row>
    <row r="69">
      <c r="A69" s="55" t="inlineStr">
        <is>
          <t>PENDIENTE</t>
        </is>
      </c>
      <c r="B69" s="55" t="n">
        <v>4</v>
      </c>
      <c r="C69"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5</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C-01</t>
        </is>
      </c>
      <c r="B9" s="55" t="inlineStr">
        <is>
          <t>Cárcava incipiente (30-50 cm)</t>
        </is>
      </c>
      <c r="C9" s="60" t="n">
        <v>618650</v>
      </c>
      <c r="D9" s="60" t="n">
        <v>9413100</v>
      </c>
      <c r="E9" s="60" t="n">
        <v>25</v>
      </c>
      <c r="F9" s="61" t="n">
        <v>0.35</v>
      </c>
      <c r="G9" s="61" t="n">
        <v>0.45</v>
      </c>
      <c r="H9" s="55" t="inlineStr">
        <is>
          <t>Semi-activa</t>
        </is>
      </c>
      <c r="I9" s="55" t="inlineStr">
        <is>
          <t>Concentración natural de escorrentía</t>
        </is>
      </c>
    </row>
    <row r="10">
      <c r="A10" s="56" t="inlineStr">
        <is>
          <t>C-02</t>
        </is>
      </c>
      <c r="B10" s="56" t="inlineStr">
        <is>
          <t>Cárcava somera (0.5-2 m)</t>
        </is>
      </c>
      <c r="C10" s="62" t="n">
        <v>618620</v>
      </c>
      <c r="D10" s="62" t="n">
        <v>9413110</v>
      </c>
      <c r="E10" s="62" t="n">
        <v>40</v>
      </c>
      <c r="F10" s="63" t="n">
        <v>0.9</v>
      </c>
      <c r="G10" s="63" t="n">
        <v>1.2</v>
      </c>
      <c r="H10" s="56" t="inlineStr">
        <is>
          <t>Activa</t>
        </is>
      </c>
      <c r="I10" s="56" t="inlineStr">
        <is>
          <t>Socavamiento de cauce</t>
        </is>
      </c>
    </row>
    <row r="11">
      <c r="A11" s="55" t="inlineStr">
        <is>
          <t>C-03</t>
        </is>
      </c>
      <c r="B11" s="55" t="inlineStr">
        <is>
          <t>Surco (&lt;30 cm)</t>
        </is>
      </c>
      <c r="C11" s="60" t="n">
        <v>618700</v>
      </c>
      <c r="D11" s="60" t="n">
        <v>9413105</v>
      </c>
      <c r="E11" s="60" t="n">
        <v>15</v>
      </c>
      <c r="F11" s="61" t="n">
        <v>0.2</v>
      </c>
      <c r="G11" s="61" t="n">
        <v>0.3</v>
      </c>
      <c r="H11" s="55" t="inlineStr">
        <is>
          <t>Activa</t>
        </is>
      </c>
      <c r="I11" s="55" t="inlineStr">
        <is>
          <t>Caminos / huellas de ganado</t>
        </is>
      </c>
    </row>
    <row r="12">
      <c r="A12" s="56" t="inlineStr">
        <is>
          <t>C-04</t>
        </is>
      </c>
      <c r="B12" s="56" t="inlineStr">
        <is>
          <t>Surco (&lt;30 cm)</t>
        </is>
      </c>
      <c r="C12" s="62" t="n">
        <v>618680</v>
      </c>
      <c r="D12" s="62" t="n">
        <v>9413090</v>
      </c>
      <c r="E12" s="62" t="n">
        <v>12</v>
      </c>
      <c r="F12" s="63" t="n">
        <v>0.18</v>
      </c>
      <c r="G12" s="63" t="n">
        <v>0.25</v>
      </c>
      <c r="H12" s="56" t="inlineStr">
        <is>
          <t>Activa</t>
        </is>
      </c>
      <c r="I12" s="56" t="inlineStr">
        <is>
          <t>Caminos / huellas de ganado</t>
        </is>
      </c>
    </row>
    <row r="14">
      <c r="A14" s="53" t="inlineStr">
        <is>
          <t>F-DT-03 · ELENCO FLORÍSTICO</t>
        </is>
      </c>
    </row>
    <row r="15">
      <c r="A15" s="54" t="inlineStr">
        <is>
          <t>N.o</t>
        </is>
      </c>
      <c r="B15" s="54" t="inlineStr">
        <is>
          <t>Nombre común</t>
        </is>
      </c>
      <c r="C15" s="54" t="inlineStr">
        <is>
          <t>Nombre científico</t>
        </is>
      </c>
      <c r="D15" s="54" t="inlineStr">
        <is>
          <t>Familia</t>
        </is>
      </c>
      <c r="E15" s="54" t="inlineStr">
        <is>
          <t>Estrato</t>
        </is>
      </c>
      <c r="F15" s="54" t="inlineStr">
        <is>
          <t>Origen</t>
        </is>
      </c>
      <c r="G15" s="54" t="inlineStr">
        <is>
          <t>Abundancia</t>
        </is>
      </c>
      <c r="H15" s="54" t="inlineStr">
        <is>
          <t>DAP (cm)</t>
        </is>
      </c>
      <c r="I15" s="54" t="inlineStr">
        <is>
          <t>Altura (m)</t>
        </is>
      </c>
    </row>
    <row r="16">
      <c r="A16" s="55" t="inlineStr">
        <is>
          <t>1</t>
        </is>
      </c>
      <c r="B16" s="55" t="inlineStr">
        <is>
          <t>Charán</t>
        </is>
      </c>
      <c r="C16" s="55" t="inlineStr">
        <is>
          <t>Caesalpinia paipai</t>
        </is>
      </c>
      <c r="D16" s="55" t="inlineStr">
        <is>
          <t>Fabaceae</t>
        </is>
      </c>
      <c r="E16" s="55" t="inlineStr">
        <is>
          <t>Arbóreo medio (8-15 m)</t>
        </is>
      </c>
      <c r="F16" s="55" t="inlineStr">
        <is>
          <t>Nativa</t>
        </is>
      </c>
      <c r="G16" s="55" t="inlineStr">
        <is>
          <t>Frecuente (5-20%)</t>
        </is>
      </c>
      <c r="H16" s="60" t="n">
        <v>20</v>
      </c>
      <c r="I16" s="61" t="n">
        <v>9</v>
      </c>
    </row>
    <row r="17">
      <c r="A17" s="56" t="inlineStr">
        <is>
          <t>2</t>
        </is>
      </c>
      <c r="B17" s="56" t="inlineStr">
        <is>
          <t>Pasallo / Polo polo</t>
        </is>
      </c>
      <c r="C17" s="56" t="inlineStr">
        <is>
          <t>Eriotheca ruizii</t>
        </is>
      </c>
      <c r="D17" s="56" t="inlineStr">
        <is>
          <t>Malvaceae</t>
        </is>
      </c>
      <c r="E17" s="56" t="inlineStr">
        <is>
          <t>Arbóreo medio (8-15 m)</t>
        </is>
      </c>
      <c r="F17" s="56" t="inlineStr">
        <is>
          <t>Nativa</t>
        </is>
      </c>
      <c r="G17" s="56" t="inlineStr">
        <is>
          <t>Frecuente (5-20%)</t>
        </is>
      </c>
      <c r="H17" s="62" t="n">
        <v>25</v>
      </c>
      <c r="I17" s="62" t="n">
        <v>10</v>
      </c>
    </row>
    <row r="18">
      <c r="A18" s="55" t="inlineStr">
        <is>
          <t>3</t>
        </is>
      </c>
      <c r="B18" s="55" t="inlineStr">
        <is>
          <t>Algarrobo</t>
        </is>
      </c>
      <c r="C18" s="55" t="inlineStr">
        <is>
          <t>Prosopis pallida</t>
        </is>
      </c>
      <c r="D18" s="55" t="inlineStr">
        <is>
          <t>Fabaceae</t>
        </is>
      </c>
      <c r="E18" s="55" t="inlineStr">
        <is>
          <t>Arbóreo medio (8-15 m)</t>
        </is>
      </c>
      <c r="F18" s="55" t="inlineStr">
        <is>
          <t>Nativa</t>
        </is>
      </c>
      <c r="G18" s="55" t="inlineStr">
        <is>
          <t>Frecuente (5-20%)</t>
        </is>
      </c>
      <c r="H18" s="60" t="n">
        <v>22</v>
      </c>
      <c r="I18" s="61" t="n">
        <v>8</v>
      </c>
    </row>
    <row r="19">
      <c r="A19" s="56" t="inlineStr">
        <is>
          <t>4</t>
        </is>
      </c>
      <c r="B19" s="56" t="inlineStr">
        <is>
          <t>Hualtaco</t>
        </is>
      </c>
      <c r="C19" s="56" t="inlineStr">
        <is>
          <t>Loxopterygium huasango</t>
        </is>
      </c>
      <c r="D19" s="56" t="inlineStr">
        <is>
          <t>Anacardiaceae</t>
        </is>
      </c>
      <c r="E19" s="56" t="inlineStr">
        <is>
          <t>Arbóreo medio (8-15 m)</t>
        </is>
      </c>
      <c r="F19" s="56" t="inlineStr">
        <is>
          <t>Nativa</t>
        </is>
      </c>
      <c r="G19" s="56" t="inlineStr">
        <is>
          <t>Ocasional (1-5%)</t>
        </is>
      </c>
      <c r="H19" s="62" t="n">
        <v>30</v>
      </c>
      <c r="I19" s="62" t="n">
        <v>12</v>
      </c>
    </row>
    <row r="20">
      <c r="A20" s="55" t="inlineStr">
        <is>
          <t>5</t>
        </is>
      </c>
      <c r="B20" s="55" t="inlineStr">
        <is>
          <t>Faique</t>
        </is>
      </c>
      <c r="C20" s="55" t="inlineStr">
        <is>
          <t>Vachellia macracantha</t>
        </is>
      </c>
      <c r="D20" s="55" t="inlineStr">
        <is>
          <t>Fabaceae</t>
        </is>
      </c>
      <c r="E20" s="55" t="inlineStr">
        <is>
          <t>Arbóreo bajo (4-8 m)</t>
        </is>
      </c>
      <c r="F20" s="55" t="inlineStr">
        <is>
          <t>Nativa</t>
        </is>
      </c>
      <c r="G20" s="55" t="inlineStr">
        <is>
          <t>Ocasional (1-5%)</t>
        </is>
      </c>
      <c r="H20" s="60" t="n">
        <v>15</v>
      </c>
      <c r="I20" s="61" t="n">
        <v>6</v>
      </c>
    </row>
    <row r="21">
      <c r="A21" s="56" t="inlineStr">
        <is>
          <t>6</t>
        </is>
      </c>
      <c r="B21" s="56" t="inlineStr">
        <is>
          <t>Pájaro bobo</t>
        </is>
      </c>
      <c r="C21" s="56" t="inlineStr">
        <is>
          <t>Tecoma castaneifolia</t>
        </is>
      </c>
      <c r="D21" s="56" t="inlineStr">
        <is>
          <t>Bignoniaceae</t>
        </is>
      </c>
      <c r="E21" s="56" t="inlineStr">
        <is>
          <t>Arbóreo bajo (4-8 m)</t>
        </is>
      </c>
      <c r="F21" s="56" t="inlineStr">
        <is>
          <t>Nativa</t>
        </is>
      </c>
      <c r="G21" s="56" t="inlineStr">
        <is>
          <t>Ocasional (1-5%)</t>
        </is>
      </c>
      <c r="H21" s="62" t="n">
        <v>12</v>
      </c>
      <c r="I21" s="63" t="n">
        <v>5</v>
      </c>
    </row>
    <row r="22">
      <c r="A22" s="55" t="inlineStr">
        <is>
          <t>7</t>
        </is>
      </c>
      <c r="B22" s="55" t="inlineStr">
        <is>
          <t>Cardón / Gigantón</t>
        </is>
      </c>
      <c r="C22" s="55" t="inlineStr">
        <is>
          <t>Armatocereus cartwrightianus</t>
        </is>
      </c>
      <c r="D22" s="55" t="inlineStr">
        <is>
          <t>Cactaceae</t>
        </is>
      </c>
      <c r="E22" s="55" t="inlineStr">
        <is>
          <t>Arbustivo alto (1.5-4 m)</t>
        </is>
      </c>
      <c r="F22" s="55" t="inlineStr">
        <is>
          <t>Nativa</t>
        </is>
      </c>
      <c r="G22" s="55" t="inlineStr">
        <is>
          <t>Abundante (20-40%)</t>
        </is>
      </c>
      <c r="H22" s="55" t="n"/>
      <c r="I22" s="61" t="n">
        <v>3</v>
      </c>
    </row>
    <row r="23">
      <c r="A23" s="56" t="inlineStr">
        <is>
          <t>8</t>
        </is>
      </c>
      <c r="B23" s="56" t="inlineStr">
        <is>
          <t>Cardón columnar</t>
        </is>
      </c>
      <c r="C23" s="56" t="inlineStr">
        <is>
          <t>Neoraimondia arequipensis</t>
        </is>
      </c>
      <c r="D23" s="56" t="inlineStr">
        <is>
          <t>Cactaceae</t>
        </is>
      </c>
      <c r="E23" s="56" t="inlineStr">
        <is>
          <t>Arbóreo bajo (4-8 m)</t>
        </is>
      </c>
      <c r="F23" s="56" t="inlineStr">
        <is>
          <t>Nativa</t>
        </is>
      </c>
      <c r="G23" s="56" t="inlineStr">
        <is>
          <t>Frecuente (5-20%)</t>
        </is>
      </c>
      <c r="H23" s="56" t="n"/>
      <c r="I23" s="63" t="n">
        <v>6</v>
      </c>
    </row>
    <row r="24">
      <c r="A24" s="55" t="inlineStr">
        <is>
          <t>9</t>
        </is>
      </c>
      <c r="B24" s="55" t="inlineStr">
        <is>
          <t>Overo</t>
        </is>
      </c>
      <c r="C24" s="55" t="inlineStr">
        <is>
          <t>Cordia lutea</t>
        </is>
      </c>
      <c r="D24" s="55" t="inlineStr">
        <is>
          <t>Boraginaceae</t>
        </is>
      </c>
      <c r="E24" s="55" t="inlineStr">
        <is>
          <t>Arbustivo alto (1.5-4 m)</t>
        </is>
      </c>
      <c r="F24" s="55" t="inlineStr">
        <is>
          <t>Nativa</t>
        </is>
      </c>
      <c r="G24" s="55" t="inlineStr">
        <is>
          <t>Frecuente (5-20%)</t>
        </is>
      </c>
      <c r="H24" s="55" t="n"/>
      <c r="I24" s="61" t="n">
        <v>2.5</v>
      </c>
    </row>
    <row r="25">
      <c r="A25" s="56" t="inlineStr">
        <is>
          <t>10</t>
        </is>
      </c>
      <c r="B25" s="56" t="inlineStr">
        <is>
          <t>Vichayo</t>
        </is>
      </c>
      <c r="C25" s="56" t="inlineStr">
        <is>
          <t>Capparis avicennifolia</t>
        </is>
      </c>
      <c r="D25" s="56" t="inlineStr">
        <is>
          <t>Capparaceae</t>
        </is>
      </c>
      <c r="E25" s="56" t="inlineStr">
        <is>
          <t>Arbustivo alto (1.5-4 m)</t>
        </is>
      </c>
      <c r="F25" s="56" t="inlineStr">
        <is>
          <t>Nativa</t>
        </is>
      </c>
      <c r="G25" s="56" t="inlineStr">
        <is>
          <t>Ocasional (1-5%)</t>
        </is>
      </c>
      <c r="H25" s="56" t="n"/>
      <c r="I25" s="63" t="n">
        <v>2</v>
      </c>
    </row>
    <row r="26">
      <c r="A26" s="55" t="inlineStr">
        <is>
          <t>11</t>
        </is>
      </c>
      <c r="B26" s="55" t="inlineStr">
        <is>
          <t>Frejolillo / Sapote</t>
        </is>
      </c>
      <c r="C26" s="55" t="inlineStr">
        <is>
          <t>Cynophalla mollis</t>
        </is>
      </c>
      <c r="D26" s="55" t="inlineStr">
        <is>
          <t>Capparaceae</t>
        </is>
      </c>
      <c r="E26" s="55" t="inlineStr">
        <is>
          <t>Arbustivo bajo (0.5-1.5 m)</t>
        </is>
      </c>
      <c r="F26" s="55" t="inlineStr">
        <is>
          <t>Nativa</t>
        </is>
      </c>
      <c r="G26" s="55" t="inlineStr">
        <is>
          <t>Ocasional (1-5%)</t>
        </is>
      </c>
      <c r="H26" s="55" t="n"/>
      <c r="I26" s="61" t="n">
        <v>1.2</v>
      </c>
    </row>
    <row r="27">
      <c r="A27" s="56" t="inlineStr">
        <is>
          <t>12</t>
        </is>
      </c>
      <c r="B27" s="56" t="inlineStr">
        <is>
          <t>Porotillo / Pajul</t>
        </is>
      </c>
      <c r="C27" s="56" t="inlineStr">
        <is>
          <t>Erythrina smithiana</t>
        </is>
      </c>
      <c r="D27" s="56" t="inlineStr">
        <is>
          <t>Fabaceae</t>
        </is>
      </c>
      <c r="E27" s="56" t="inlineStr">
        <is>
          <t>Arbóreo bajo (4-8 m)</t>
        </is>
      </c>
      <c r="F27" s="56" t="inlineStr">
        <is>
          <t>Nativa</t>
        </is>
      </c>
      <c r="G27" s="56" t="inlineStr">
        <is>
          <t>Rara (&lt;1%)</t>
        </is>
      </c>
      <c r="H27" s="56" t="n"/>
      <c r="I27" s="63" t="n">
        <v>5</v>
      </c>
    </row>
    <row r="28">
      <c r="A28" s="55" t="inlineStr">
        <is>
          <t>13</t>
        </is>
      </c>
      <c r="B28" s="55" t="inlineStr">
        <is>
          <t>Soguilla / Bejuco rosa</t>
        </is>
      </c>
      <c r="C28" s="55" t="inlineStr">
        <is>
          <t>Ipomoea carnea</t>
        </is>
      </c>
      <c r="D28" s="55" t="inlineStr">
        <is>
          <t>Convolvulaceae</t>
        </is>
      </c>
      <c r="E28" s="55" t="inlineStr">
        <is>
          <t>Trepador</t>
        </is>
      </c>
      <c r="F28" s="55" t="inlineStr">
        <is>
          <t>Nativa</t>
        </is>
      </c>
      <c r="G28" s="55" t="inlineStr">
        <is>
          <t>Dominante (&gt;40%)</t>
        </is>
      </c>
      <c r="H28" s="55" t="n"/>
      <c r="I28" s="61" t="n">
        <v>0.5</v>
      </c>
    </row>
    <row r="29">
      <c r="A29" s="56" t="inlineStr">
        <is>
          <t>14</t>
        </is>
      </c>
      <c r="B29" s="56" t="inlineStr">
        <is>
          <t>Frejolillo trepador</t>
        </is>
      </c>
      <c r="C29" s="56" t="inlineStr">
        <is>
          <t>Merremia spp.</t>
        </is>
      </c>
      <c r="D29" s="56" t="inlineStr">
        <is>
          <t>Convolvulaceae</t>
        </is>
      </c>
      <c r="E29" s="56" t="inlineStr">
        <is>
          <t>Trepador</t>
        </is>
      </c>
      <c r="F29" s="56" t="inlineStr">
        <is>
          <t>Nativa</t>
        </is>
      </c>
      <c r="G29" s="56" t="inlineStr">
        <is>
          <t>Frecuente (5-20%)</t>
        </is>
      </c>
      <c r="H29" s="56" t="n"/>
      <c r="I29" s="63" t="n">
        <v>0.3</v>
      </c>
    </row>
    <row r="31">
      <c r="A31" s="53" t="inlineStr">
        <is>
          <t>F-DT-03 · ESPECIES CLAVE GEORREFERENCIADAS</t>
        </is>
      </c>
    </row>
    <row r="32">
      <c r="A32" s="54" t="inlineStr">
        <is>
          <t>N.o</t>
        </is>
      </c>
      <c r="B32" s="54" t="inlineStr">
        <is>
          <t>Especie</t>
        </is>
      </c>
      <c r="C32" s="54" t="inlineStr">
        <is>
          <t>Categoría</t>
        </is>
      </c>
      <c r="D32" s="54" t="inlineStr">
        <is>
          <t>Estado UICN</t>
        </is>
      </c>
      <c r="E32" s="54" t="inlineStr">
        <is>
          <t>UTM ESTE</t>
        </is>
      </c>
      <c r="F32" s="54" t="inlineStr">
        <is>
          <t>UTM NORTE</t>
        </is>
      </c>
      <c r="G32" s="54" t="inlineStr">
        <is>
          <t>N.° individuos</t>
        </is>
      </c>
      <c r="H32" s="54" t="inlineStr">
        <is>
          <t>Observación</t>
        </is>
      </c>
    </row>
    <row r="33">
      <c r="A33" s="55" t="inlineStr">
        <is>
          <t>1</t>
        </is>
      </c>
      <c r="B33" s="55" t="inlineStr">
        <is>
          <t>Loxopterygium huasango (Hualtaco)</t>
        </is>
      </c>
      <c r="C33" s="55" t="inlineStr">
        <is>
          <t>Amenazada (D.S. 043-2006-AG)</t>
        </is>
      </c>
      <c r="D33" s="55" t="inlineStr">
        <is>
          <t>CR — En Peligro Crítico</t>
        </is>
      </c>
      <c r="E33" s="60" t="n">
        <v>618716</v>
      </c>
      <c r="F33" s="60" t="n">
        <v>9413106</v>
      </c>
      <c r="G33" s="61" t="n">
        <v>1</v>
      </c>
      <c r="H33" s="55" t="inlineStr">
        <is>
          <t>Individuo adulto fenotípicamente sano - fuente semillera estricta.</t>
        </is>
      </c>
    </row>
    <row r="34">
      <c r="A34" s="56" t="inlineStr">
        <is>
          <t>2</t>
        </is>
      </c>
      <c r="B34" s="56" t="inlineStr">
        <is>
          <t>Eriotheca ruizii (Pasallo)</t>
        </is>
      </c>
      <c r="C34" s="56" t="inlineStr">
        <is>
          <t>Amenazada (D.S. 043-2006-AG)</t>
        </is>
      </c>
      <c r="D34" s="56" t="inlineStr">
        <is>
          <t>VU — Vulnerable</t>
        </is>
      </c>
      <c r="E34" s="62" t="n">
        <v>618697</v>
      </c>
      <c r="F34" s="62" t="n">
        <v>9413110</v>
      </c>
      <c r="G34" s="63" t="n">
        <v>3</v>
      </c>
      <c r="H34" s="56" t="inlineStr">
        <is>
          <t>Núcleo poblacional en sector medio del bloque.</t>
        </is>
      </c>
    </row>
    <row r="35">
      <c r="A35" s="55" t="inlineStr">
        <is>
          <t>3</t>
        </is>
      </c>
      <c r="B35" s="55" t="inlineStr">
        <is>
          <t>Caesalpinia paipai (Charán)</t>
        </is>
      </c>
      <c r="C35" s="55" t="inlineStr">
        <is>
          <t>Indicadora de buen estado</t>
        </is>
      </c>
      <c r="D35" s="55" t="inlineStr">
        <is>
          <t>LC — Preocupación Menor</t>
        </is>
      </c>
      <c r="E35" s="60" t="n">
        <v>617950</v>
      </c>
      <c r="F35" s="60" t="n">
        <v>9414350</v>
      </c>
      <c r="G35" s="61" t="n">
        <v>2</v>
      </c>
      <c r="H35" s="55" t="inlineStr">
        <is>
          <t>Árbol semillero en floración — fuente de germoplasma.</t>
        </is>
      </c>
    </row>
    <row r="36">
      <c r="A36" s="56" t="inlineStr">
        <is>
          <t>4</t>
        </is>
      </c>
      <c r="B36" s="56" t="inlineStr">
        <is>
          <t>Armatocereus cartwrightianus (Cardón)</t>
        </is>
      </c>
      <c r="C36" s="56" t="inlineStr">
        <is>
          <t>Indicadora de buen estado</t>
        </is>
      </c>
      <c r="D36" s="56" t="inlineStr">
        <is>
          <t>LC — Preocupación Menor</t>
        </is>
      </c>
      <c r="E36" s="62" t="n">
        <v>618716</v>
      </c>
      <c r="F36" s="62" t="n">
        <v>9413106</v>
      </c>
      <c r="G36" s="62" t="n">
        <v>20</v>
      </c>
      <c r="H36" s="56" t="inlineStr">
        <is>
          <t>Población abundante en buen estado fenológico.</t>
        </is>
      </c>
    </row>
    <row r="37">
      <c r="A37" s="55" t="inlineStr">
        <is>
          <t>5</t>
        </is>
      </c>
      <c r="B37" s="55" t="inlineStr">
        <is>
          <t>Prosopis pallida (Algarrobo)</t>
        </is>
      </c>
      <c r="C37" s="55" t="inlineStr">
        <is>
          <t>Clave cultural</t>
        </is>
      </c>
      <c r="D37" s="55" t="inlineStr">
        <is>
          <t>LC — Preocupación Menor</t>
        </is>
      </c>
      <c r="E37" s="60" t="n">
        <v>618666</v>
      </c>
      <c r="F37" s="60" t="n">
        <v>9413105</v>
      </c>
      <c r="G37" s="61" t="n">
        <v>5</v>
      </c>
      <c r="H37" s="55" t="inlineStr">
        <is>
          <t>Individuo adulto en buen estado - servicio MERESE.</t>
        </is>
      </c>
    </row>
    <row r="39">
      <c r="A39" s="53" t="inlineStr">
        <is>
          <t>F-DT-04 · MATRIZ DE CAUSAS DE DEGRADACIÓN</t>
        </is>
      </c>
    </row>
    <row r="40">
      <c r="A40" s="54" t="inlineStr">
        <is>
          <t>N.o</t>
        </is>
      </c>
      <c r="B40" s="54" t="inlineStr">
        <is>
          <t>Causa</t>
        </is>
      </c>
      <c r="C40" s="54" t="inlineStr">
        <is>
          <t>Presencia</t>
        </is>
      </c>
      <c r="D40" s="54" t="inlineStr">
        <is>
          <t>Intensidad</t>
        </is>
      </c>
      <c r="E40" s="54" t="inlineStr">
        <is>
          <t>Extensión</t>
        </is>
      </c>
      <c r="F40" s="54" t="inlineStr">
        <is>
          <t>Antigüedad</t>
        </is>
      </c>
      <c r="G40" s="54" t="inlineStr">
        <is>
          <t>Evidencia</t>
        </is>
      </c>
    </row>
    <row r="41">
      <c r="A41" s="55" t="inlineStr">
        <is>
          <t>1</t>
        </is>
      </c>
      <c r="B41" s="55" t="inlineStr">
        <is>
          <t>Sobrepastoreo (caprino/vacuno)</t>
        </is>
      </c>
      <c r="C41" s="55" t="inlineStr">
        <is>
          <t>Sí</t>
        </is>
      </c>
      <c r="D41" s="55" t="inlineStr">
        <is>
          <t>Fuerte</t>
        </is>
      </c>
      <c r="E41" s="55" t="inlineStr">
        <is>
          <t>70</t>
        </is>
      </c>
      <c r="F41" s="55" t="inlineStr">
        <is>
          <t>50</t>
        </is>
      </c>
      <c r="G41" s="55" t="inlineStr">
        <is>
          <t>Tránsito libre de caprinos; senderos paralelos; ausencia de plántulas y latizales bajos por ramoneo.</t>
        </is>
      </c>
    </row>
    <row r="42">
      <c r="A42" s="56" t="inlineStr">
        <is>
          <t>2</t>
        </is>
      </c>
      <c r="B42" s="56" t="inlineStr">
        <is>
          <t>Tala para leña</t>
        </is>
      </c>
      <c r="C42" s="56" t="inlineStr">
        <is>
          <t>Sí</t>
        </is>
      </c>
      <c r="D42" s="56" t="inlineStr">
        <is>
          <t>Moderada</t>
        </is>
      </c>
      <c r="E42" s="56" t="inlineStr">
        <is>
          <t>50</t>
        </is>
      </c>
      <c r="F42" s="56" t="inlineStr">
        <is>
          <t>30</t>
        </is>
      </c>
      <c r="G42" s="56" t="inlineStr">
        <is>
          <t>Tocones aislados; ausencia de individuos arbóreos jóvenes; señales de poda selectiva.</t>
        </is>
      </c>
    </row>
    <row r="43">
      <c r="A43" s="55" t="inlineStr">
        <is>
          <t>3</t>
        </is>
      </c>
      <c r="B43" s="55" t="inlineStr">
        <is>
          <t>Tala para carbón</t>
        </is>
      </c>
      <c r="C43" s="55" t="inlineStr">
        <is>
          <t>Sí</t>
        </is>
      </c>
      <c r="D43" s="55" t="inlineStr">
        <is>
          <t>Ligera</t>
        </is>
      </c>
      <c r="E43" s="55" t="inlineStr">
        <is>
          <t>20</t>
        </is>
      </c>
      <c r="F43" s="55" t="inlineStr">
        <is>
          <t>30</t>
        </is>
      </c>
      <c r="G43" s="55" t="inlineStr">
        <is>
          <t>Tocones aislados de algarrobo y hualtaco; evidencia de elaboración de carbón antigua.</t>
        </is>
      </c>
    </row>
    <row r="44">
      <c r="A44" s="56" t="inlineStr">
        <is>
          <t>4</t>
        </is>
      </c>
      <c r="B44" s="56" t="inlineStr">
        <is>
          <t>Tala para madera</t>
        </is>
      </c>
      <c r="C44" s="56" t="inlineStr">
        <is>
          <t>No</t>
        </is>
      </c>
      <c r="D44" s="56" t="inlineStr">
        <is>
          <t>Nula</t>
        </is>
      </c>
      <c r="E44" s="56" t="inlineStr">
        <is>
          <t>0</t>
        </is>
      </c>
      <c r="F44" s="56" t="inlineStr">
        <is>
          <t>0</t>
        </is>
      </c>
      <c r="G44" s="56" t="inlineStr">
        <is>
          <t>No se observan signos de tala selectiva para madera de uso comercial.</t>
        </is>
      </c>
    </row>
    <row r="45">
      <c r="A45" s="55" t="inlineStr">
        <is>
          <t>5</t>
        </is>
      </c>
      <c r="B45" s="55" t="inlineStr">
        <is>
          <t>Quema (renovación de pastos)</t>
        </is>
      </c>
      <c r="C45" s="55" t="inlineStr">
        <is>
          <t>Sí</t>
        </is>
      </c>
      <c r="D45" s="55" t="inlineStr">
        <is>
          <t>Ligera</t>
        </is>
      </c>
      <c r="E45" s="55" t="inlineStr">
        <is>
          <t>30</t>
        </is>
      </c>
      <c r="F45" s="55" t="inlineStr">
        <is>
          <t>3</t>
        </is>
      </c>
      <c r="G45" s="55" t="inlineStr">
        <is>
          <t>Tocones carbonizados ocasionales; vegetación con rebrotes basales (quemas cada 2-3 años).</t>
        </is>
      </c>
    </row>
    <row r="46">
      <c r="A46" s="56" t="inlineStr">
        <is>
          <t>6</t>
        </is>
      </c>
      <c r="B46" s="56" t="inlineStr">
        <is>
          <t>Quema accidental / Incendio</t>
        </is>
      </c>
      <c r="C46" s="56" t="inlineStr">
        <is>
          <t>No</t>
        </is>
      </c>
      <c r="D46" s="56" t="inlineStr">
        <is>
          <t>Nula</t>
        </is>
      </c>
      <c r="E46" s="56" t="inlineStr">
        <is>
          <t>0</t>
        </is>
      </c>
      <c r="F46" s="56" t="inlineStr">
        <is>
          <t>0</t>
        </is>
      </c>
      <c r="G46" s="56" t="inlineStr">
        <is>
          <t>Sin evidencia de incendio masivo reciente.</t>
        </is>
      </c>
    </row>
    <row r="47">
      <c r="A47" s="55" t="inlineStr">
        <is>
          <t>7</t>
        </is>
      </c>
      <c r="B47" s="55" t="inlineStr">
        <is>
          <t>Cambio de uso a agricultura</t>
        </is>
      </c>
      <c r="C47" s="55" t="inlineStr">
        <is>
          <t>No</t>
        </is>
      </c>
      <c r="D47" s="55" t="inlineStr">
        <is>
          <t>Nula</t>
        </is>
      </c>
      <c r="E47" s="55" t="inlineStr">
        <is>
          <t>0</t>
        </is>
      </c>
      <c r="F47" s="55" t="inlineStr">
        <is>
          <t>0</t>
        </is>
      </c>
      <c r="G47" s="55" t="inlineStr">
        <is>
          <t>No se observa conversión a agricultura dentro del polígono.</t>
        </is>
      </c>
    </row>
    <row r="48">
      <c r="A48" s="56" t="inlineStr">
        <is>
          <t>8</t>
        </is>
      </c>
      <c r="B48" s="56" t="inlineStr">
        <is>
          <t>Cambio de uso a pastoreo</t>
        </is>
      </c>
      <c r="C48" s="56" t="inlineStr">
        <is>
          <t>Sí</t>
        </is>
      </c>
      <c r="D48" s="56" t="inlineStr">
        <is>
          <t>Fuerte</t>
        </is>
      </c>
      <c r="E48" s="56" t="inlineStr">
        <is>
          <t>70</t>
        </is>
      </c>
      <c r="F48" s="56" t="inlineStr">
        <is>
          <t>50</t>
        </is>
      </c>
      <c r="G48" s="56" t="inlineStr">
        <is>
          <t>Conversión histórica del bosque a sistema silvopastoril de baja productividad.</t>
        </is>
      </c>
    </row>
    <row r="49">
      <c r="A49" s="55" t="inlineStr">
        <is>
          <t>9</t>
        </is>
      </c>
      <c r="B49" s="55" t="inlineStr">
        <is>
          <t>Expansión urbana / vial</t>
        </is>
      </c>
      <c r="C49" s="55" t="inlineStr">
        <is>
          <t>No</t>
        </is>
      </c>
      <c r="D49" s="55" t="inlineStr">
        <is>
          <t>Nula</t>
        </is>
      </c>
      <c r="E49" s="55" t="inlineStr">
        <is>
          <t>0</t>
        </is>
      </c>
      <c r="F49" s="55" t="inlineStr">
        <is>
          <t>0</t>
        </is>
      </c>
      <c r="G49" s="55" t="inlineStr">
        <is>
          <t>Sin evidencia de expansión urbana o vial dentro del polígono.</t>
        </is>
      </c>
    </row>
    <row r="50">
      <c r="A50" s="56" t="inlineStr">
        <is>
          <t>10</t>
        </is>
      </c>
      <c r="B50" s="56" t="inlineStr">
        <is>
          <t>Minería informal</t>
        </is>
      </c>
      <c r="C50" s="56" t="inlineStr">
        <is>
          <t>No</t>
        </is>
      </c>
      <c r="D50" s="56" t="inlineStr">
        <is>
          <t>Nula</t>
        </is>
      </c>
      <c r="E50" s="56" t="inlineStr">
        <is>
          <t>0</t>
        </is>
      </c>
      <c r="F50" s="56" t="inlineStr">
        <is>
          <t>0</t>
        </is>
      </c>
      <c r="G50" s="56" t="inlineStr">
        <is>
          <t>Sin minería informal observada.</t>
        </is>
      </c>
    </row>
    <row r="51">
      <c r="A51" s="55" t="inlineStr">
        <is>
          <t>11</t>
        </is>
      </c>
      <c r="B51" s="55" t="inlineStr">
        <is>
          <t>Extracción de áridos (cauces)</t>
        </is>
      </c>
      <c r="C51" s="55" t="inlineStr">
        <is>
          <t>No</t>
        </is>
      </c>
      <c r="D51" s="55" t="inlineStr">
        <is>
          <t>Nula</t>
        </is>
      </c>
      <c r="E51" s="55" t="inlineStr">
        <is>
          <t>0</t>
        </is>
      </c>
      <c r="F51" s="55" t="inlineStr">
        <is>
          <t>0</t>
        </is>
      </c>
      <c r="G51" s="55" t="inlineStr">
        <is>
          <t>Sin extracción de áridos al interior del bloque.</t>
        </is>
      </c>
    </row>
    <row r="52">
      <c r="A52" s="56" t="inlineStr">
        <is>
          <t>12</t>
        </is>
      </c>
      <c r="B52" s="56" t="inlineStr">
        <is>
          <t>Especies invasoras</t>
        </is>
      </c>
      <c r="C52" s="56" t="inlineStr">
        <is>
          <t>No</t>
        </is>
      </c>
      <c r="D52" s="56" t="inlineStr">
        <is>
          <t>Ligera</t>
        </is>
      </c>
      <c r="E52" s="56" t="inlineStr">
        <is>
          <t>1</t>
        </is>
      </c>
      <c r="F52" s="56" t="inlineStr">
        <is>
          <t>0</t>
        </is>
      </c>
      <c r="G52" s="56" t="inlineStr">
        <is>
          <t>Sin presencia significativa de invasoras agresivas durante la visita.</t>
        </is>
      </c>
    </row>
    <row r="53">
      <c r="A53" s="55" t="inlineStr">
        <is>
          <t>13</t>
        </is>
      </c>
      <c r="B53" s="55" t="inlineStr">
        <is>
          <t>Erosión natural severa</t>
        </is>
      </c>
      <c r="C53" s="55" t="inlineStr">
        <is>
          <t>Sí</t>
        </is>
      </c>
      <c r="D53" s="55" t="inlineStr">
        <is>
          <t>Ligera</t>
        </is>
      </c>
      <c r="E53" s="55" t="inlineStr">
        <is>
          <t>10</t>
        </is>
      </c>
      <c r="F53" s="55" t="inlineStr">
        <is>
          <t>20</t>
        </is>
      </c>
      <c r="G53" s="55" t="inlineStr">
        <is>
          <t>Erosión laminar y carcavamiento incipiente asociado a la quebrada s/n.</t>
        </is>
      </c>
    </row>
    <row r="54">
      <c r="A54" s="56" t="inlineStr">
        <is>
          <t>14</t>
        </is>
      </c>
      <c r="B54" s="56" t="inlineStr">
        <is>
          <t>Sequía prolongada / CC</t>
        </is>
      </c>
      <c r="C54" s="56" t="inlineStr">
        <is>
          <t>Sí</t>
        </is>
      </c>
      <c r="D54" s="56" t="inlineStr">
        <is>
          <t>Fuerte</t>
        </is>
      </c>
      <c r="E54" s="56" t="inlineStr">
        <is>
          <t>100</t>
        </is>
      </c>
      <c r="F54" s="56" t="inlineStr">
        <is>
          <t>20</t>
        </is>
      </c>
      <c r="G54" s="56" t="inlineStr">
        <is>
          <t>Individuos muertos en pie (cactáceas y Eriotheca); periodos secos prolongados.</t>
        </is>
      </c>
    </row>
    <row r="55">
      <c r="A55" s="55" t="inlineStr">
        <is>
          <t>15</t>
        </is>
      </c>
      <c r="B55" s="55" t="inlineStr">
        <is>
          <t>Plagas o enfermedades forestales</t>
        </is>
      </c>
      <c r="C55" s="55" t="inlineStr">
        <is>
          <t>No</t>
        </is>
      </c>
      <c r="D55" s="55" t="inlineStr">
        <is>
          <t>Nula</t>
        </is>
      </c>
      <c r="E55" s="55" t="inlineStr">
        <is>
          <t>0</t>
        </is>
      </c>
      <c r="F55" s="55" t="inlineStr">
        <is>
          <t>0</t>
        </is>
      </c>
      <c r="G55" s="55" t="inlineStr">
        <is>
          <t>Estado sanitario general bueno; sin focos de plaga.</t>
        </is>
      </c>
    </row>
    <row r="56">
      <c r="A56" s="56" t="inlineStr">
        <is>
          <t>16</t>
        </is>
      </c>
      <c r="B56" s="56" t="inlineStr">
        <is>
          <t>Otro</t>
        </is>
      </c>
      <c r="C56" s="56" t="inlineStr">
        <is>
          <t>No</t>
        </is>
      </c>
      <c r="D56" s="56" t="inlineStr">
        <is>
          <t>Nula</t>
        </is>
      </c>
      <c r="E56" s="56" t="inlineStr">
        <is>
          <t>0</t>
        </is>
      </c>
      <c r="F56" s="56" t="inlineStr">
        <is>
          <t>0</t>
        </is>
      </c>
      <c r="G56" s="56" t="inlineStr">
        <is>
          <t>—</t>
        </is>
      </c>
    </row>
    <row r="58">
      <c r="A58" s="53" t="inlineStr">
        <is>
          <t>F-DT-04 · INDICADORES CUANTITATIVOS</t>
        </is>
      </c>
    </row>
    <row r="59">
      <c r="A59" s="54" t="inlineStr">
        <is>
          <t>N.o</t>
        </is>
      </c>
      <c r="B59" s="54" t="inlineStr">
        <is>
          <t>Indicador</t>
        </is>
      </c>
      <c r="C59" s="54" t="inlineStr">
        <is>
          <t>Unidad</t>
        </is>
      </c>
      <c r="D59" s="54" t="inlineStr">
        <is>
          <t>Valor</t>
        </is>
      </c>
      <c r="E59" s="54" t="inlineStr">
        <is>
          <t>Fuente</t>
        </is>
      </c>
      <c r="F59" s="54" t="inlineStr">
        <is>
          <t>Umbral</t>
        </is>
      </c>
      <c r="G59" s="54" t="inlineStr">
        <is>
          <t>Nivel</t>
        </is>
      </c>
    </row>
    <row r="60">
      <c r="A60" s="55" t="inlineStr">
        <is>
          <t>1</t>
        </is>
      </c>
      <c r="B60" s="55" t="inlineStr">
        <is>
          <t>Cobertura vegetal total</t>
        </is>
      </c>
      <c r="C60" s="55" t="inlineStr">
        <is>
          <t>%</t>
        </is>
      </c>
      <c r="D60" s="55" t="inlineStr">
        <is>
          <t>70</t>
        </is>
      </c>
      <c r="E60" s="55" t="inlineStr">
        <is>
          <t>Observación directa + MSAVI (60-75% promedio)</t>
        </is>
      </c>
      <c r="F60" s="55" t="inlineStr">
        <is>
          <t>&gt;60% bueno; 30-60% medio; &lt;30% malo</t>
        </is>
      </c>
      <c r="G60" s="55" t="inlineStr">
        <is>
          <t>Medio</t>
        </is>
      </c>
    </row>
    <row r="61">
      <c r="A61" s="56" t="inlineStr">
        <is>
          <t>2</t>
        </is>
      </c>
      <c r="B61" s="56" t="inlineStr">
        <is>
          <t>Porcentaje de suelo desnudo</t>
        </is>
      </c>
      <c r="C61" s="56" t="inlineStr">
        <is>
          <t>%</t>
        </is>
      </c>
      <c r="D61" s="56" t="inlineStr">
        <is>
          <t>13</t>
        </is>
      </c>
      <c r="E61" s="56" t="inlineStr">
        <is>
          <t>Observación directa (10-15% promedio)</t>
        </is>
      </c>
      <c r="F61" s="56" t="inlineStr">
        <is>
          <t>&lt;10% bueno; 10-30% medio; &gt;30% malo</t>
        </is>
      </c>
      <c r="G61" s="56" t="inlineStr">
        <is>
          <t>Medio</t>
        </is>
      </c>
    </row>
    <row r="62">
      <c r="A62" s="55" t="inlineStr">
        <is>
          <t>3</t>
        </is>
      </c>
      <c r="B62" s="55" t="inlineStr">
        <is>
          <t>Densidad de cárcavas</t>
        </is>
      </c>
      <c r="C62" s="55" t="inlineStr">
        <is>
          <t>N°/ha</t>
        </is>
      </c>
      <c r="D62" s="55" t="inlineStr">
        <is>
          <t>0.8</t>
        </is>
      </c>
      <c r="E62" s="55" t="inlineStr">
        <is>
          <t>Inventario preliminar (0.5-1 N°/ha)</t>
        </is>
      </c>
      <c r="F62" s="55" t="inlineStr">
        <is>
          <t>0 nulo; 1-3 medio; &gt;3 alto</t>
        </is>
      </c>
      <c r="G62" s="55" t="inlineStr">
        <is>
          <t>Bajo</t>
        </is>
      </c>
    </row>
    <row r="63">
      <c r="A63" s="56" t="inlineStr">
        <is>
          <t>4</t>
        </is>
      </c>
      <c r="B63" s="56" t="inlineStr">
        <is>
          <t>Presencia de especies invasoras</t>
        </is>
      </c>
      <c r="C63" s="56" t="inlineStr">
        <is>
          <t>% área</t>
        </is>
      </c>
      <c r="D63" s="56" t="inlineStr">
        <is>
          <t>1</t>
        </is>
      </c>
      <c r="E63" s="56" t="inlineStr">
        <is>
          <t>Observación directa (&lt;1%)</t>
        </is>
      </c>
      <c r="F63" s="56" t="inlineStr">
        <is>
          <t>&lt;5% bueno; 5-20% medio; &gt;20% alto</t>
        </is>
      </c>
      <c r="G63" s="56" t="inlineStr">
        <is>
          <t>Bajo</t>
        </is>
      </c>
    </row>
    <row r="64">
      <c r="A64" s="55" t="inlineStr">
        <is>
          <t>5</t>
        </is>
      </c>
      <c r="B64" s="55" t="inlineStr">
        <is>
          <t>Carga ganadera estimada</t>
        </is>
      </c>
      <c r="C64" s="55" t="inlineStr">
        <is>
          <t>UA/ha</t>
        </is>
      </c>
      <c r="D64" s="55" t="inlineStr">
        <is>
          <t>2.5</t>
        </is>
      </c>
      <c r="E64" s="55" t="inlineStr">
        <is>
          <t>Observación + entrevistas (2-3 UA/ha)</t>
        </is>
      </c>
      <c r="F64" s="55" t="inlineStr">
        <is>
          <t>Según tipo de ecosistema</t>
        </is>
      </c>
      <c r="G64" s="55" t="inlineStr">
        <is>
          <t>Alto</t>
        </is>
      </c>
    </row>
    <row r="65">
      <c r="A65" s="56" t="inlineStr">
        <is>
          <t>6</t>
        </is>
      </c>
      <c r="B65" s="56" t="inlineStr">
        <is>
          <t>Frecuencia de quemas últimos 5 años</t>
        </is>
      </c>
      <c r="C65" s="56" t="inlineStr">
        <is>
          <t>N°</t>
        </is>
      </c>
      <c r="D65" s="56" t="inlineStr">
        <is>
          <t>1.5</t>
        </is>
      </c>
      <c r="E65" s="56" t="inlineStr">
        <is>
          <t>Entrevistas locales (1-2 quemas en 5 años)</t>
        </is>
      </c>
      <c r="F65" s="56" t="inlineStr">
        <is>
          <t>0 nulo; 1-2 medio; &gt;2 alto</t>
        </is>
      </c>
      <c r="G65" s="56" t="inlineStr">
        <is>
          <t>Medio</t>
        </is>
      </c>
    </row>
    <row r="66">
      <c r="A66" s="55" t="inlineStr">
        <is>
          <t>7</t>
        </is>
      </c>
      <c r="B66" s="55" t="inlineStr">
        <is>
          <t>% área con pendiente &gt;50%</t>
        </is>
      </c>
      <c r="C66" s="55" t="inlineStr">
        <is>
          <t>%</t>
        </is>
      </c>
      <c r="D66" s="55" t="inlineStr">
        <is>
          <t>40</t>
        </is>
      </c>
      <c r="E66" s="55" t="inlineStr">
        <is>
          <t>DEM del proyecto</t>
        </is>
      </c>
      <c r="F66" s="55" t="inlineStr">
        <is>
          <t>Factor de susceptibilidad</t>
        </is>
      </c>
      <c r="G66" s="55" t="inlineStr">
        <is>
          <t>Alto</t>
        </is>
      </c>
    </row>
    <row r="67">
      <c r="A67" s="56" t="inlineStr">
        <is>
          <t>8</t>
        </is>
      </c>
      <c r="B67" s="56" t="inlineStr">
        <is>
          <t>Distancia a vía vecinal más cercana</t>
        </is>
      </c>
      <c r="C67" s="56" t="inlineStr">
        <is>
          <t>m</t>
        </is>
      </c>
      <c r="D67" s="56" t="inlineStr">
        <is>
          <t>250</t>
        </is>
      </c>
      <c r="E67" s="56" t="inlineStr">
        <is>
          <t>Cartografía PE-2A</t>
        </is>
      </c>
      <c r="F67" s="56" t="inlineStr">
        <is>
          <t>A menor distancia → mayor presión</t>
        </is>
      </c>
      <c r="G67" s="56" t="inlineStr">
        <is>
          <t>Alto</t>
        </is>
      </c>
    </row>
    <row r="69">
      <c r="A69" s="53" t="inlineStr">
        <is>
          <t>F-DT-05 · FUENTES DE AGUA INVENTARIADAS</t>
        </is>
      </c>
    </row>
    <row r="70">
      <c r="A70" s="54" t="inlineStr">
        <is>
          <t>N.o</t>
        </is>
      </c>
      <c r="B70" s="54" t="inlineStr">
        <is>
          <t>Tipo de fuente</t>
        </is>
      </c>
      <c r="C70" s="54" t="inlineStr">
        <is>
          <t>UTM ESTE</t>
        </is>
      </c>
      <c r="D70" s="54" t="inlineStr">
        <is>
          <t>UTM NORTE</t>
        </is>
      </c>
      <c r="E70" s="54" t="inlineStr">
        <is>
          <t>Régimen</t>
        </is>
      </c>
      <c r="F70" s="54" t="inlineStr">
        <is>
          <t>Calidad</t>
        </is>
      </c>
      <c r="G70" s="54" t="inlineStr">
        <is>
          <t>Distancia (m)</t>
        </is>
      </c>
      <c r="H70" s="54" t="inlineStr">
        <is>
          <t>Uso / observación</t>
        </is>
      </c>
    </row>
    <row r="71">
      <c r="A71" s="55" t="inlineStr">
        <is>
          <t>1</t>
        </is>
      </c>
      <c r="B71" s="55" t="inlineStr">
        <is>
          <t>Quebrada estacional</t>
        </is>
      </c>
      <c r="C71" s="60" t="n">
        <v>614511</v>
      </c>
      <c r="D71" s="60" t="n">
        <v>9414400</v>
      </c>
      <c r="E71" s="55" t="inlineStr">
        <is>
          <t>Estacional (lluvias)</t>
        </is>
      </c>
      <c r="F71" s="55" t="inlineStr">
        <is>
          <t>No evaluable</t>
        </is>
      </c>
      <c r="G71" s="61" t="n">
        <v>0</v>
      </c>
      <c r="H71" s="55" t="inlineStr">
        <is>
          <t>Quebrada s/n — drenaje natural dentro del bloque; sin captación poblacional visible.</t>
        </is>
      </c>
    </row>
    <row r="72">
      <c r="A72" s="56" t="inlineStr">
        <is>
          <t>2</t>
        </is>
      </c>
      <c r="B72" s="56" t="inlineStr">
        <is>
          <t>Reservorio / Represa</t>
        </is>
      </c>
      <c r="C72" s="62" t="n">
        <v>613891</v>
      </c>
      <c r="D72" s="62" t="n">
        <v>9415280</v>
      </c>
      <c r="E72" s="56" t="inlineStr">
        <is>
          <t>Permanente</t>
        </is>
      </c>
      <c r="F72" s="56" t="inlineStr">
        <is>
          <t>Regular (ligeramente turbia o con sedimentos)</t>
        </is>
      </c>
      <c r="G72" s="62" t="n">
        <v>200</v>
      </c>
      <c r="H72" s="56" t="inlineStr">
        <is>
          <t>Tanque / mini-reservorio para riego de parcelas adyacentes a CP El Ala.</t>
        </is>
      </c>
    </row>
    <row r="73">
      <c r="A73" s="55" t="inlineStr">
        <is>
          <t>3</t>
        </is>
      </c>
      <c r="B73" s="55" t="inlineStr">
        <is>
          <t>Río</t>
        </is>
      </c>
      <c r="C73" s="60" t="n">
        <v>615000</v>
      </c>
      <c r="D73" s="60" t="n">
        <v>9414500</v>
      </c>
      <c r="E73" s="55" t="inlineStr">
        <is>
          <t>Permanente</t>
        </is>
      </c>
      <c r="F73" s="55" t="inlineStr">
        <is>
          <t>Regular (ligeramente turbia o con sedimentos)</t>
        </is>
      </c>
      <c r="G73" s="60" t="n">
        <v>300</v>
      </c>
      <c r="H73" s="55" t="inlineStr">
        <is>
          <t>Río Piura — uso doméstico y riego aguas abajo (margen derecha).</t>
        </is>
      </c>
    </row>
    <row r="74">
      <c r="A74" s="56" t="inlineStr">
        <is>
          <t>4</t>
        </is>
      </c>
      <c r="B74" s="56" t="inlineStr">
        <is>
          <t>Otro</t>
        </is>
      </c>
      <c r="C74" s="62" t="n">
        <v>617500</v>
      </c>
      <c r="D74" s="62" t="n">
        <v>9413600</v>
      </c>
      <c r="E74" s="56" t="inlineStr">
        <is>
          <t>Estacional (lluvias)</t>
        </is>
      </c>
      <c r="F74" s="56" t="inlineStr">
        <is>
          <t>No evaluable</t>
        </is>
      </c>
      <c r="G74" s="63" t="n">
        <v>0</v>
      </c>
      <c r="H74" s="56" t="inlineStr">
        <is>
          <t>Punto interno CT1 a confirmar — posible captación menor o punto de control GPS.</t>
        </is>
      </c>
    </row>
    <row r="77">
      <c r="A77" s="53" t="inlineStr">
        <is>
          <t>OBSERVACIONES DEL EVALUADOR POR FICHA</t>
        </is>
      </c>
    </row>
    <row r="78">
      <c r="A78" s="54" t="inlineStr">
        <is>
          <t>Ficha</t>
        </is>
      </c>
      <c r="B78" s="54" t="inlineStr">
        <is>
          <t>Observación registrada en campo</t>
        </is>
      </c>
    </row>
    <row r="79">
      <c r="A79" s="55" t="inlineStr">
        <is>
          <t>F-DT-01</t>
        </is>
      </c>
      <c r="B79" s="55" t="inlineStr">
        <is>
          <t>OBSERVACIONES: Aunque no se evidencian movimientos en masa activos a la escala del polígono, la combinación de pendientes 25–50% con cobertura discontinua, suelos delgados sobre material parental rocoso y precipitaciones erráticas de alta intensidad (eventos ENSO costero) configura una susceptibilidad media-alta a procesos de generación de escorrentía y arrastre de sedimentos hacia el cauce del río Piura. El bloque actúa fundamentalmente como zona de origen del peligro de inundación que afecta aguas abajo a Buenos Aires, Bigote y Salitral.</t>
        </is>
      </c>
    </row>
    <row r="80">
      <c r="A80" s="56" t="inlineStr">
        <is>
          <t>F-DT-02</t>
        </is>
      </c>
      <c r="B80" s="56" t="inlineStr">
        <is>
          <t>OBSERVACIONES: El inventario detallado de cárcavas con georreferenciación de inicio/fin y secciones medidas se completará en la fase de microlocalización mediante un barrido sistemático con dron y GPS sub-métrico. La erosión laminar generalizada (30-40% del bloque) y el carcavamiento incipiente asociado al cauce de la quebrada s/n configuran el principal foco de intervención prioritaria con obras de control de erosión (zanjas de infiltración, terrazas de formación lenta, barreras vivas).</t>
        </is>
      </c>
    </row>
    <row r="81">
      <c r="A81" s="55" t="inlineStr">
        <is>
          <t>F-DT-03</t>
        </is>
      </c>
      <c r="B81" s="55" t="inlineStr">
        <is>
          <t>OBSERVACIONES: El bloque conserva fragmentos de comunidad arbórea de buen valor ecológico, con presencia de especies amenazadas (Hualtaco CR, Pasallo VU) y poblaciones funcionales de algarrobo, cardones y árboles emblemáticos como el Charán semillero. La regeneración natural escasa indica una baja tasa de reposición que justifica intervenciones activas de revegetación (siembra directa, enriquecimiento, protección de regeneración natural) y pasivas (clausura temporal, manejo silvopastoril rotativo). El inventario florístico cuantitativo se complementará en la fase de microlocalización con parcelas sistemáticas representativas de las tres unidades fisiográficas del bloque.</t>
        </is>
      </c>
    </row>
    <row r="82">
      <c r="A82" s="56" t="inlineStr">
        <is>
          <t>F-DT-04</t>
        </is>
      </c>
      <c r="B82" s="56" t="inlineStr">
        <is>
          <t>OBSERVACIONES: La combinación sobrepastoreo + estrés hídrico configura una degradación lenta pero acumulativa con pérdida progresiva de la capacidad de regeneración natural del Bes-cm. La intervención debe integrar medidas de infraestructura natural (revegetación, zanjas, terrazas) con gobernanza comunitaria (clausura temporal, manejo silvopastoril rotativo, prevención de quemas) y articulación con MERESE para sostener resultados en el horizonte 5-10 años.</t>
        </is>
      </c>
    </row>
    <row r="83">
      <c r="A83" s="55" t="inlineStr">
        <is>
          <t>F-DT-05</t>
        </is>
      </c>
      <c r="B83" s="55" t="inlineStr">
        <is>
          <t>OBSERVACIONES: La accesibilidad en época seca (mayo-octubre) es adecuada para campañas de campo, supervisión y traslado de plantines/insumos. Durante la temporada lluviosa intensa (enero-abril) algunas trochas internas pueden quedar intransitables, por lo que se recomienda programar las intervenciones de plantación al inicio de la temporada de lluvias (diciembre-enero) y las labores de mantenimiento durante la época seca. La coordinación previa con la Ronda Campesina y la JASS local es indispensable antes de cualquier campaña operativa.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5</t>
        </is>
      </c>
    </row>
    <row r="7">
      <c r="A7" s="53" t="inlineStr">
        <is>
          <t>Hechos declarados por fuente</t>
        </is>
      </c>
    </row>
    <row r="8">
      <c r="A8" s="54" t="inlineStr">
        <is>
          <t>Fuente</t>
        </is>
      </c>
      <c r="B8" s="54" t="inlineStr">
        <is>
          <t>Hechos</t>
        </is>
      </c>
    </row>
    <row r="9">
      <c r="A9" s="55" t="inlineStr">
        <is>
          <t>Dato de campo</t>
        </is>
      </c>
      <c r="B9" s="55" t="n">
        <v>75</v>
      </c>
    </row>
    <row r="10">
      <c r="A10" s="56" t="inlineStr">
        <is>
          <t>Gabinete (GIS / teledetección)</t>
        </is>
      </c>
      <c r="B10" s="56" t="n">
        <v>21</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110</v>
      </c>
    </row>
    <row r="31">
      <c r="A31" s="56" t="inlineStr">
        <is>
          <t>COMPLEMENTADO</t>
        </is>
      </c>
      <c r="B31" s="56" t="n">
        <v>0</v>
      </c>
    </row>
    <row r="32">
      <c r="A32" s="55" t="inlineStr">
        <is>
          <t>ACTUALIZADO</t>
        </is>
      </c>
      <c r="B32" s="55" t="n">
        <v>0</v>
      </c>
    </row>
    <row r="33">
      <c r="A33" s="56" t="inlineStr">
        <is>
          <t>DISCREPANTE</t>
        </is>
      </c>
      <c r="B33" s="56" t="n">
        <v>0</v>
      </c>
    </row>
    <row r="34">
      <c r="A34" s="55" t="inlineStr">
        <is>
          <t>PENDIENTE</t>
        </is>
      </c>
      <c r="B34" s="55" t="n">
        <v>4</v>
      </c>
    </row>
    <row r="51">
      <c r="A51" s="53" t="inlineStr">
        <is>
          <t>Cobertura por estrato — campo (%)</t>
        </is>
      </c>
    </row>
    <row r="52">
      <c r="A52" s="54" t="inlineStr">
        <is>
          <t>Estrato</t>
        </is>
      </c>
      <c r="B52" s="54" t="inlineStr">
        <is>
          <t>% del área</t>
        </is>
      </c>
    </row>
    <row r="53">
      <c r="A53" s="55" t="inlineStr">
        <is>
          <t>Dosel</t>
        </is>
      </c>
      <c r="B53" s="60" t="n">
        <v>30</v>
      </c>
    </row>
    <row r="54">
      <c r="A54" s="56" t="inlineStr">
        <is>
          <t>Arbustiva</t>
        </is>
      </c>
      <c r="B54" s="62" t="n">
        <v>35</v>
      </c>
    </row>
    <row r="55">
      <c r="A55" s="55" t="inlineStr">
        <is>
          <t>Herbácea</t>
        </is>
      </c>
      <c r="B55" s="60" t="n">
        <v>45</v>
      </c>
    </row>
    <row r="56">
      <c r="A56" s="56" t="inlineStr">
        <is>
          <t>Hojarasca</t>
        </is>
      </c>
      <c r="B56" s="62" t="n">
        <v>12</v>
      </c>
    </row>
    <row r="57">
      <c r="A57" s="55" t="inlineStr">
        <is>
          <t>Suelo desnudo</t>
        </is>
      </c>
      <c r="B57" s="60" t="n">
        <v>13</v>
      </c>
    </row>
    <row r="74">
      <c r="A74" s="53" t="inlineStr">
        <is>
          <t>Causas activas de degradación (F-DT-04)</t>
        </is>
      </c>
    </row>
    <row r="75">
      <c r="A75" s="54" t="inlineStr">
        <is>
          <t>Causa</t>
        </is>
      </c>
      <c r="B75" s="54" t="inlineStr">
        <is>
          <t>Intensidad (1 ligera - 4 muy fuerte)</t>
        </is>
      </c>
    </row>
    <row r="76">
      <c r="A76" s="55" t="inlineStr">
        <is>
          <t>Cambio de uso a pastoreo</t>
        </is>
      </c>
      <c r="B76" s="55" t="n">
        <v>3</v>
      </c>
    </row>
    <row r="77">
      <c r="A77" s="56" t="inlineStr">
        <is>
          <t>Sequía prolongada / CC</t>
        </is>
      </c>
      <c r="B77" s="56" t="n">
        <v>3</v>
      </c>
    </row>
    <row r="78">
      <c r="A78" s="55" t="inlineStr">
        <is>
          <t>Sobrepastoreo (caprino/vacuno)</t>
        </is>
      </c>
      <c r="B78" s="55" t="n">
        <v>3</v>
      </c>
    </row>
    <row r="79">
      <c r="A79" s="56" t="inlineStr">
        <is>
          <t>Tala para leña</t>
        </is>
      </c>
      <c r="B79" s="56" t="n">
        <v>2</v>
      </c>
    </row>
    <row r="80">
      <c r="A80" s="55" t="inlineStr">
        <is>
          <t>Erosión natural severa</t>
        </is>
      </c>
      <c r="B80" s="55" t="n">
        <v>1</v>
      </c>
    </row>
    <row r="81">
      <c r="A81" s="56" t="inlineStr">
        <is>
          <t>Quema (renovación de pastos)</t>
        </is>
      </c>
      <c r="B81" s="56" t="n">
        <v>1</v>
      </c>
    </row>
    <row r="82">
      <c r="A82" s="55" t="inlineStr">
        <is>
          <t>Tala para carbón</t>
        </is>
      </c>
      <c r="B82" s="55" t="n">
        <v>1</v>
      </c>
    </row>
    <row r="99">
      <c r="A99" s="53" t="inlineStr">
        <is>
          <t>Control de consistencia por calificación</t>
        </is>
      </c>
    </row>
    <row r="100">
      <c r="A100" s="54" t="inlineStr">
        <is>
          <t>Calificación</t>
        </is>
      </c>
      <c r="B100" s="54" t="inlineStr">
        <is>
          <t>Verificaciones</t>
        </is>
      </c>
    </row>
    <row r="101">
      <c r="A101" s="55" t="inlineStr">
        <is>
          <t>SUSTANTIVA</t>
        </is>
      </c>
      <c r="B101" s="55" t="n">
        <v>2</v>
      </c>
    </row>
    <row r="102">
      <c r="A102" s="56" t="inlineStr">
        <is>
          <t>NO SUSTANTIVA</t>
        </is>
      </c>
      <c r="B102" s="56" t="n">
        <v>2</v>
      </c>
    </row>
    <row r="103">
      <c r="A103" s="55" t="inlineStr">
        <is>
          <t>CORREGIDO</t>
        </is>
      </c>
      <c r="B103" s="55" t="n">
        <v>0</v>
      </c>
    </row>
    <row r="104">
      <c r="A104" s="56" t="inlineStr">
        <is>
          <t>CONFORME</t>
        </is>
      </c>
      <c r="B104"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 — IN Piura</dc:title>
  <dc:subject>Diagnóstico Territorial por bloque de intervención</dc:subject>
  <dcterms:created xsi:type="dcterms:W3CDTF">2026-09-08T03:39:55Z</dcterms:created>
  <dcterms:modified xsi:type="dcterms:W3CDTF">2026-09-11T20:22:30Z</dcterms:modified>
</cp:coreProperties>
</file>