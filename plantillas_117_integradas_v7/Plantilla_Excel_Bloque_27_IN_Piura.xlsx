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integración'!$A$47:$A$50</f>
            </numRef>
          </cat>
          <val>
            <numRef>
              <f>'Gráficos de integración'!$B$47:$B$50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integración'!$A$66:$A$71</f>
            </numRef>
          </cat>
          <val>
            <numRef>
              <f>'Gráficos de integración'!$B$66:$B$71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27</t>
        </is>
      </c>
    </row>
    <row r="6" ht="24" customHeight="1">
      <c r="A6" s="4" t="inlineStr">
        <is>
          <t>Diagnóstico Territorial — Plantilla DT Campo Check Validada V5 | Sistema de referencia: UTM WGS 84 Zona 17S (EPSG:32717) · Integrado con la ficha de campo F-DT vigente (Plantilla_DT_Campo_Check_V5_Bloque27_IN_Piura.xlsx) — V7 - resumen V6 + campo F-DT integrado</t>
        </is>
      </c>
    </row>
    <row r="7"/>
    <row r="8" ht="18" customHeight="1">
      <c r="A8" s="5" t="inlineStr">
        <is>
          <t>1. IDENTIFICACIÓN Y LOCALIZACIÓN</t>
        </is>
      </c>
    </row>
    <row r="9">
      <c r="A9" s="6" t="inlineStr">
        <is>
          <t>Código del bloque</t>
        </is>
      </c>
      <c r="B9" s="7" t="inlineStr">
        <is>
          <t>27</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Nueva Esperanza de Misquis (83 hab.) · Linderos de Misquis (28 hab.)</t>
        </is>
      </c>
      <c r="C13" s="6" t="inlineStr">
        <is>
          <t>Comunidad campesina</t>
        </is>
      </c>
      <c r="D13" s="7" t="inlineStr">
        <is>
          <t>Por determinar</t>
        </is>
      </c>
      <c r="E13" s="8" t="n"/>
      <c r="F13" s="8" t="n"/>
    </row>
    <row r="14">
      <c r="A14" s="6" t="inlineStr">
        <is>
          <t>Superficie de catálogo (V5/V6), ha</t>
        </is>
      </c>
      <c r="B14" s="7" t="n">
        <v>78.15000000000001</v>
      </c>
      <c r="C14" s="6" t="inlineStr">
        <is>
          <t>Fuente de superficie</t>
        </is>
      </c>
      <c r="D14" s="7" t="inlineStr">
        <is>
          <t>Catálogo maestro Bloques V5/V6</t>
        </is>
      </c>
      <c r="E14" s="8" t="n"/>
      <c r="F14" s="8" t="n"/>
    </row>
    <row r="15">
      <c r="A15" s="6" t="inlineStr">
        <is>
          <t>Centroide UTM ESTE (m)</t>
        </is>
      </c>
      <c r="B15" s="7" t="n">
        <v>613302</v>
      </c>
      <c r="C15" s="6" t="inlineStr">
        <is>
          <t>Centroide UTM NORTE (m)</t>
        </is>
      </c>
      <c r="D15" s="7" t="n">
        <v>9450231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1518</v>
      </c>
      <c r="C19" s="6" t="inlineStr">
        <is>
          <t>Altitud máxima (msnm)</t>
        </is>
      </c>
      <c r="D19" s="7" t="n">
        <v>1895</v>
      </c>
      <c r="E19" s="8" t="n"/>
      <c r="F19" s="8" t="n"/>
    </row>
    <row r="20">
      <c r="A20" s="6" t="inlineStr">
        <is>
          <t>Amplitud altitudinal (m)</t>
        </is>
      </c>
      <c r="B20" s="7" t="n">
        <v>377</v>
      </c>
      <c r="C20" s="6" t="inlineStr">
        <is>
          <t>Piso altitudinal dominante</t>
        </is>
      </c>
      <c r="D20" s="7" t="inlineStr">
        <is>
          <t>1500-2000 m (Quechua media)</t>
        </is>
      </c>
      <c r="E20" s="8" t="n"/>
      <c r="F20" s="8" t="n"/>
    </row>
    <row r="21">
      <c r="A21" s="6" t="inlineStr">
        <is>
          <t>Pendiente promedio (%)</t>
        </is>
      </c>
      <c r="B21" s="7" t="n">
        <v>30.25</v>
      </c>
      <c r="C21" s="6" t="inlineStr">
        <is>
          <t>Pendiente promedio (grados)</t>
        </is>
      </c>
      <c r="D21" s="7" t="n">
        <v>16.8</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0.5323</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(64.75 %)</t>
        </is>
      </c>
      <c r="E29" s="8" t="n"/>
      <c r="F29" s="8" t="n"/>
    </row>
    <row r="30">
      <c r="A30" s="6" t="inlineStr">
        <is>
          <t>Superficie clasificada NDVI 2025 (ha)</t>
        </is>
      </c>
      <c r="B30" s="7" t="n">
        <v>78.19199999999999</v>
      </c>
      <c r="C30" s="6" t="inlineStr">
        <is>
          <t>Desviación frente al catálogo (%)</t>
        </is>
      </c>
      <c r="D30" s="7" t="n">
        <v>0.05</v>
      </c>
      <c r="E30" s="8" t="n"/>
      <c r="F30" s="8" t="n"/>
    </row>
    <row r="31">
      <c r="A31" s="6" t="inlineStr">
        <is>
          <t>Superficie clasificada MSAVI 2024 (ha)</t>
        </is>
      </c>
      <c r="B31" s="38" t="n">
        <v>78.154</v>
      </c>
      <c r="C31" s="6" t="inlineStr">
        <is>
          <t>Desviación MSAVI frente al catálogo (%)</t>
        </is>
      </c>
      <c r="D31" s="39" t="n">
        <v>0.01</v>
      </c>
      <c r="E31" s="8" t="n"/>
      <c r="F31" s="8" t="n"/>
    </row>
    <row r="32">
      <c r="A32" s="6" t="inlineStr">
        <is>
          <t>Superficie bajo umbral MSAVI 0.4976 (ha)</t>
        </is>
      </c>
      <c r="B32" s="38" t="n">
        <v>29.306</v>
      </c>
      <c r="C32" s="6" t="inlineStr">
        <is>
          <t>% del bloque bajo umbral (brecha espectral)</t>
        </is>
      </c>
      <c r="D32" s="39" t="n">
        <v>37.5</v>
      </c>
      <c r="E32" s="8" t="n"/>
      <c r="F32" s="8" t="n"/>
    </row>
    <row r="33">
      <c r="A33" s="6" t="inlineStr">
        <is>
          <t>Clase DN dominante (MSAVI 2024)</t>
        </is>
      </c>
      <c r="B33" s="7" t="inlineStr">
        <is>
          <t>DN 4 · 0.4976 - 0.6139 (Vigor moderado)</t>
        </is>
      </c>
      <c r="C33" s="6" t="inlineStr">
        <is>
          <t>N.° de polígonos MSAVI del bloque</t>
        </is>
      </c>
      <c r="D33" s="40" t="n">
        <v>308</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78.15 ha (MINAM: Zona agrícola 100%)</t>
        </is>
      </c>
      <c r="E36" s="8" t="n"/>
      <c r="F36" s="8" t="n"/>
    </row>
    <row r="37">
      <c r="A37" s="6" t="inlineStr">
        <is>
          <t>Estado de conservación</t>
        </is>
      </c>
      <c r="B37" s="7" t="inlineStr">
        <is>
          <t>Muy alterado / Degradado</t>
        </is>
      </c>
      <c r="C37" s="6" t="inlineStr">
        <is>
          <t>Uso actual dominante del suelo</t>
        </is>
      </c>
      <c r="D37" s="7" t="inlineStr">
        <is>
          <t>Agricultura secano</t>
        </is>
      </c>
      <c r="E37" s="8" t="n"/>
      <c r="F37" s="8" t="n"/>
    </row>
    <row r="38">
      <c r="A38" s="6" t="inlineStr">
        <is>
          <t>Tipo de cobertura dominante</t>
        </is>
      </c>
      <c r="B38" s="7" t="inlineStr">
        <is>
          <t>Mixto / Mosaico</t>
        </is>
      </c>
      <c r="C38" s="6" t="inlineStr">
        <is>
          <t>Cobertura vegetal total — campo (%)</t>
        </is>
      </c>
      <c r="D38" s="7" t="n">
        <v>70</v>
      </c>
      <c r="E38" s="8" t="n"/>
      <c r="F38" s="8" t="n"/>
    </row>
    <row r="39">
      <c r="A39" s="6" t="inlineStr">
        <is>
          <t>Suelo desnudo — campo (%)</t>
        </is>
      </c>
      <c r="B39" s="7" t="n">
        <v>30</v>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n">
        <v>2</v>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ANIN/DIME-SESDI</t>
        </is>
      </c>
      <c r="C44" s="6" t="inlineStr">
        <is>
          <t>Fecha de evaluación</t>
        </is>
      </c>
      <c r="D44" s="7" t="inlineStr">
        <is>
          <t>2026-07-15</t>
        </is>
      </c>
      <c r="E44" s="8" t="n"/>
      <c r="F44" s="8" t="n"/>
    </row>
    <row r="45">
      <c r="A45" s="6" t="inlineStr">
        <is>
          <t>Hora de registro</t>
        </is>
      </c>
      <c r="B45" s="7" t="inlineStr">
        <is>
          <t>12:11 - 13:05 h</t>
        </is>
      </c>
      <c r="C45" s="6" t="inlineStr">
        <is>
          <t>Correlativo de ficha</t>
        </is>
      </c>
      <c r="D45" s="7" t="inlineStr">
        <is>
          <t>F-DT-01/B27/2026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n">
        <v>11</v>
      </c>
      <c r="C48" s="6" t="inlineStr">
        <is>
          <t>Modalidad de acceso</t>
        </is>
      </c>
      <c r="D48" s="50"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por subsistencia agrícola sobre laderas de fuerte pendiente en ausencia de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Por determinar</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12.3693</v>
      </c>
      <c r="C10" s="19">
        <f>ROUND(B10/$B$15*100,2)</f>
        <v/>
      </c>
      <c r="D10" s="11" t="inlineStr">
        <is>
          <t>Vigor alto</t>
        </is>
      </c>
      <c r="E10" s="11" t="inlineStr">
        <is>
          <t>Sobre umbral</t>
        </is>
      </c>
    </row>
    <row r="11">
      <c r="A11" s="12" t="inlineStr">
        <is>
          <t>0.4976 - 0.6139 · DN 4</t>
        </is>
      </c>
      <c r="B11" s="32" t="n">
        <v>36.4791</v>
      </c>
      <c r="C11" s="31">
        <f>ROUND(B11/$B$15*100,2)</f>
        <v/>
      </c>
      <c r="D11" s="13" t="inlineStr">
        <is>
          <t>Vigor moderado</t>
        </is>
      </c>
      <c r="E11" s="13" t="inlineStr">
        <is>
          <t>Sobre umbral</t>
        </is>
      </c>
    </row>
    <row r="12">
      <c r="A12" s="7" t="inlineStr">
        <is>
          <t>0.3813 - 0.4976 · DN 3</t>
        </is>
      </c>
      <c r="B12" s="18" t="n">
        <v>28.5017</v>
      </c>
      <c r="C12" s="19">
        <f>ROUND(B12/$B$15*100,2)</f>
        <v/>
      </c>
      <c r="D12" s="11" t="inlineStr">
        <is>
          <t>Vigor bajo</t>
        </is>
      </c>
      <c r="E12" s="11" t="inlineStr">
        <is>
          <t>BAJO umbral 0.4976</t>
        </is>
      </c>
    </row>
    <row r="13">
      <c r="A13" s="14" t="inlineStr">
        <is>
          <t>0.2650 - 0.3813 · DN 2</t>
        </is>
      </c>
      <c r="B13" s="20" t="n">
        <v>0.8038999999999999</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308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78.15000000000001</v>
      </c>
      <c r="C18" s="49" t="inlineStr">
        <is>
          <t>—</t>
        </is>
      </c>
      <c r="D18" s="46" t="inlineStr">
        <is>
          <t>Desviación planimétrica frente al catálogo</t>
        </is>
      </c>
      <c r="E18" s="46" t="inlineStr">
        <is>
          <t>+0.01 %</t>
        </is>
      </c>
    </row>
    <row r="19">
      <c r="A19" s="16" t="inlineStr">
        <is>
          <t>MSAVI 2024 — MEDIA DEL BLOQUE</t>
        </is>
      </c>
      <c r="B19" s="17" t="n">
        <v>0.53228</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308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(0.5323)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50.633</v>
      </c>
      <c r="C25" s="19" t="n">
        <v>64.75</v>
      </c>
      <c r="D25" s="11" t="inlineStr">
        <is>
          <t>Dosel continuo, matorral denso o mosaico agroforestal</t>
        </is>
      </c>
      <c r="E25" s="11" t="inlineStr"/>
    </row>
    <row r="26">
      <c r="A26" s="14" t="inlineStr">
        <is>
          <t>Vegetación mediana</t>
        </is>
      </c>
      <c r="B26" s="20" t="n">
        <v>27.4158</v>
      </c>
      <c r="C26" s="21" t="n">
        <v>35.06</v>
      </c>
      <c r="D26" s="15" t="inlineStr">
        <is>
          <t>Pastizal cultivado, matorral ralo, parcelas agrícolas</t>
        </is>
      </c>
      <c r="E26" s="15" t="inlineStr"/>
    </row>
    <row r="27">
      <c r="A27" s="7" t="inlineStr">
        <is>
          <t>Vegetación ligera</t>
        </is>
      </c>
      <c r="B27" s="18" t="n">
        <v>0.1429</v>
      </c>
      <c r="C27" s="19" t="n">
        <v>0.18</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78.15000000000001</v>
      </c>
      <c r="C29" s="25" t="inlineStr">
        <is>
          <t>—</t>
        </is>
      </c>
      <c r="D29" s="25" t="inlineStr">
        <is>
          <t>Desviación planimétrica frente al catálogo</t>
        </is>
      </c>
      <c r="E29" s="25" t="inlineStr">
        <is>
          <t>+0.05 %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64.75 % del polígono clasificado como «Vegetación alta» por el NDVI 2025; la observación de campo corresponde a una parcela o recorrido puntual y no es estadísticamente representativa de las 78.150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27</t>
        </is>
      </c>
    </row>
    <row r="6" ht="24" customHeight="1">
      <c r="A6" s="4" t="inlineStr">
        <is>
          <t>Levantamiento del 2026-07-15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613107</v>
      </c>
      <c r="D10" s="26" t="n">
        <v>9449781</v>
      </c>
      <c r="E10" s="11" t="n">
        <v>490.4</v>
      </c>
      <c r="F10" s="11" t="inlineStr"/>
      <c r="G10" s="11" t="inlineStr">
        <is>
          <t>Coordenada consignada en F-DT-01</t>
        </is>
      </c>
    </row>
    <row r="11">
      <c r="A11" s="14" t="inlineStr">
        <is>
          <t>CAR-01</t>
        </is>
      </c>
      <c r="B11" s="15" t="inlineStr">
        <is>
          <t>Rasgo erosivo — Por determinar</t>
        </is>
      </c>
      <c r="C11" s="27" t="n">
        <v>613133</v>
      </c>
      <c r="D11" s="27" t="n">
        <v>9449805</v>
      </c>
      <c r="E11" s="15" t="n">
        <v>458.3</v>
      </c>
      <c r="F11" s="15" t="inlineStr">
        <is>
          <t>Semi-activa</t>
        </is>
      </c>
      <c r="G11" s="15" t="inlineStr">
        <is>
          <t>Cambio de uso del suelo</t>
        </is>
      </c>
    </row>
    <row r="12">
      <c r="A12" s="7" t="inlineStr">
        <is>
          <t>CAR-02</t>
        </is>
      </c>
      <c r="B12" s="11" t="inlineStr">
        <is>
          <t>Rasgo erosivo — Por determinar</t>
        </is>
      </c>
      <c r="C12" s="26" t="n">
        <v>612473</v>
      </c>
      <c r="D12" s="26" t="n">
        <v>9449785</v>
      </c>
      <c r="E12" s="11" t="n">
        <v>941.4</v>
      </c>
      <c r="F12" s="11" t="inlineStr">
        <is>
          <t>Activa</t>
        </is>
      </c>
      <c r="G12" s="11" t="inlineStr">
        <is>
          <t>Caminos / huellas de ganado</t>
        </is>
      </c>
    </row>
    <row r="13">
      <c r="A13" s="14" t="inlineStr">
        <is>
          <t>B-02</t>
        </is>
      </c>
      <c r="B13" s="15" t="inlineStr">
        <is>
          <t>Especie clave — Salix sp. (Sauce)</t>
        </is>
      </c>
      <c r="C13" s="27" t="n">
        <v>612845</v>
      </c>
      <c r="D13" s="27" t="n">
        <v>9449778</v>
      </c>
      <c r="E13" s="15" t="n">
        <v>643.5</v>
      </c>
      <c r="F13" s="15" t="inlineStr">
        <is>
          <t>Indicadora de buen estado</t>
        </is>
      </c>
      <c r="G13" s="15" t="inlineStr">
        <is>
          <t>No aplica</t>
        </is>
      </c>
    </row>
    <row r="14">
      <c r="A14" s="7" t="inlineStr">
        <is>
          <t>B-03</t>
        </is>
      </c>
      <c r="B14" s="11" t="inlineStr">
        <is>
          <t>Especie clave — Rumex crispus (Lengua de vaca)</t>
        </is>
      </c>
      <c r="C14" s="26" t="n">
        <v>613111</v>
      </c>
      <c r="D14" s="26" t="n">
        <v>9449787</v>
      </c>
      <c r="E14" s="11" t="n">
        <v>483.3</v>
      </c>
      <c r="F14" s="11" t="inlineStr">
        <is>
          <t>Indicadora de perturbación</t>
        </is>
      </c>
      <c r="G14" s="11" t="inlineStr">
        <is>
          <t>No aplica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613302</v>
      </c>
      <c r="C17" s="6" t="inlineStr">
        <is>
          <t>Centroide del bloque — UTM NORTE (m)</t>
        </is>
      </c>
      <c r="D17" s="7" t="n">
        <v>9450231</v>
      </c>
      <c r="E17" s="8" t="n"/>
      <c r="F17" s="8" t="n"/>
      <c r="G17" s="8" t="n"/>
      <c r="H17" s="8" t="n"/>
    </row>
    <row r="18">
      <c r="A18" s="6" t="inlineStr">
        <is>
          <t>N.° de estaciones fotográficas declaradas</t>
        </is>
      </c>
      <c r="B18" s="7" t="n">
        <v>11</v>
      </c>
      <c r="C18" s="6" t="inlineStr">
        <is>
          <t>Estaciones dentro del polígono</t>
        </is>
      </c>
      <c r="D18" s="7" t="inlineStr">
        <is>
          <t>Por determinar</t>
        </is>
      </c>
      <c r="E18" s="8" t="n"/>
      <c r="F18" s="8" t="n"/>
      <c r="G18" s="8" t="n"/>
      <c r="H18" s="8" t="n"/>
    </row>
    <row r="20" ht="108"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Altitud GPS no registrada; el rango altitudinal se sustenta en el perfil Google Earth del acceso (1519-1805 msnm; media 1628 m; pendiente media 26.9%, máxima 52.2% sobre 1.04 km). Recorrido de reconocimiento de ~700 m en sentido E-O, no cubre la totalidad del polígono (78.15 ha). Los escarpes registrados corresponden a taludes de corte de camino y a cabeceras de cárcava.</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27</t>
        </is>
      </c>
    </row>
    <row r="6" ht="24" customHeight="1">
      <c r="A6" s="4" t="inlineStr">
        <is>
          <t>Distrito de Frias · Provincia de Ayabaca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8" t="n">
        <v>258.84</v>
      </c>
      <c r="C10" s="19" t="n">
        <v>29.57</v>
      </c>
      <c r="D10" s="11" t="inlineStr">
        <is>
          <t>553 – 1517</t>
        </is>
      </c>
      <c r="E10" s="11" t="n">
        <v>964</v>
      </c>
      <c r="F10" s="11" t="n">
        <v>29.82</v>
      </c>
      <c r="G10" s="18" t="n">
        <v>0.5087</v>
      </c>
      <c r="H10" s="19" t="n">
        <v>58.63</v>
      </c>
      <c r="I10" s="19" t="n">
        <v>48.4</v>
      </c>
    </row>
    <row r="11">
      <c r="A11" s="14" t="inlineStr">
        <is>
          <t>M17B4</t>
        </is>
      </c>
      <c r="B11" s="29" t="n">
        <v>124.71</v>
      </c>
      <c r="C11" s="21" t="n">
        <v>14.25</v>
      </c>
      <c r="D11" s="15" t="inlineStr">
        <is>
          <t>294 – 629</t>
        </is>
      </c>
      <c r="E11" s="15" t="n">
        <v>335</v>
      </c>
      <c r="F11" s="15" t="n">
        <v>18.69</v>
      </c>
      <c r="G11" s="20" t="n">
        <v>0.4235</v>
      </c>
      <c r="H11" s="21" t="n">
        <v>3.97</v>
      </c>
      <c r="I11" s="21" t="n">
        <v>91.94</v>
      </c>
    </row>
    <row r="12">
      <c r="A12" s="7" t="inlineStr">
        <is>
          <t>M17B6</t>
        </is>
      </c>
      <c r="B12" s="28" t="n">
        <v>106.54</v>
      </c>
      <c r="C12" s="19" t="n">
        <v>12.17</v>
      </c>
      <c r="D12" s="11" t="inlineStr">
        <is>
          <t>403 – 1049</t>
        </is>
      </c>
      <c r="E12" s="11" t="n">
        <v>646</v>
      </c>
      <c r="F12" s="11" t="n">
        <v>23.42</v>
      </c>
      <c r="G12" s="18" t="n">
        <v>0.4464</v>
      </c>
      <c r="H12" s="19" t="n">
        <v>18.53</v>
      </c>
      <c r="I12" s="19" t="n">
        <v>81.81999999999999</v>
      </c>
    </row>
    <row r="13">
      <c r="A13" s="14" t="inlineStr">
        <is>
          <t>22</t>
        </is>
      </c>
      <c r="B13" s="29" t="n">
        <v>79.33</v>
      </c>
      <c r="C13" s="21" t="n">
        <v>9.06</v>
      </c>
      <c r="D13" s="15" t="inlineStr">
        <is>
          <t>235 – 596</t>
        </is>
      </c>
      <c r="E13" s="15" t="n">
        <v>361</v>
      </c>
      <c r="F13" s="15" t="n">
        <v>22.51</v>
      </c>
      <c r="G13" s="20" t="n">
        <v>0.4232</v>
      </c>
      <c r="H13" s="21" t="n">
        <v>0.32</v>
      </c>
      <c r="I13" s="21" t="n">
        <v>93.29000000000001</v>
      </c>
    </row>
    <row r="14">
      <c r="A14" s="12" t="inlineStr">
        <is>
          <t>► 27</t>
        </is>
      </c>
      <c r="B14" s="30" t="n">
        <v>78.15000000000001</v>
      </c>
      <c r="C14" s="31" t="n">
        <v>8.93</v>
      </c>
      <c r="D14" s="13" t="inlineStr">
        <is>
          <t>1518 – 1895</t>
        </is>
      </c>
      <c r="E14" s="13" t="n">
        <v>377</v>
      </c>
      <c r="F14" s="13" t="n">
        <v>30.25</v>
      </c>
      <c r="G14" s="32" t="n">
        <v>0.5323</v>
      </c>
      <c r="H14" s="31" t="n">
        <v>64.75</v>
      </c>
      <c r="I14" s="31" t="n">
        <v>37.5</v>
      </c>
    </row>
    <row r="15">
      <c r="A15" s="14" t="inlineStr">
        <is>
          <t>M17B10</t>
        </is>
      </c>
      <c r="B15" s="29" t="n">
        <v>75.36</v>
      </c>
      <c r="C15" s="21" t="n">
        <v>8.609999999999999</v>
      </c>
      <c r="D15" s="15" t="inlineStr">
        <is>
          <t>466 – 902</t>
        </is>
      </c>
      <c r="E15" s="15" t="n">
        <v>436</v>
      </c>
      <c r="F15" s="15" t="n">
        <v>25.94</v>
      </c>
      <c r="G15" s="20" t="n">
        <v>0.4725</v>
      </c>
      <c r="H15" s="21" t="n">
        <v>29.2</v>
      </c>
      <c r="I15" s="21" t="n">
        <v>73.33</v>
      </c>
    </row>
    <row r="16">
      <c r="A16" s="7" t="inlineStr">
        <is>
          <t>M17B5</t>
        </is>
      </c>
      <c r="B16" s="28" t="n">
        <v>74.03</v>
      </c>
      <c r="C16" s="19" t="n">
        <v>8.460000000000001</v>
      </c>
      <c r="D16" s="11" t="inlineStr">
        <is>
          <t>794 – 1317</t>
        </is>
      </c>
      <c r="E16" s="11" t="n">
        <v>523</v>
      </c>
      <c r="F16" s="11" t="n">
        <v>27.42</v>
      </c>
      <c r="G16" s="18" t="n">
        <v>0.5482</v>
      </c>
      <c r="H16" s="19" t="n">
        <v>61.34</v>
      </c>
      <c r="I16" s="19" t="n">
        <v>28.94</v>
      </c>
    </row>
    <row r="17">
      <c r="A17" s="14" t="inlineStr">
        <is>
          <t>M17B1</t>
        </is>
      </c>
      <c r="B17" s="29" t="n">
        <v>42.45</v>
      </c>
      <c r="C17" s="21" t="n">
        <v>4.85</v>
      </c>
      <c r="D17" s="15" t="inlineStr">
        <is>
          <t>177 – 313</t>
        </is>
      </c>
      <c r="E17" s="15" t="n">
        <v>136</v>
      </c>
      <c r="F17" s="15" t="n">
        <v>14.73</v>
      </c>
      <c r="G17" s="20" t="n">
        <v>0.3323</v>
      </c>
      <c r="H17" s="21" t="n">
        <v>0</v>
      </c>
      <c r="I17" s="21" t="n">
        <v>99.84</v>
      </c>
    </row>
    <row r="18">
      <c r="A18" s="7" t="inlineStr">
        <is>
          <t>32</t>
        </is>
      </c>
      <c r="B18" s="28"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1" t="n"/>
      <c r="C20" s="41" t="n"/>
      <c r="D20" s="41" t="n"/>
      <c r="E20" s="41" t="n"/>
      <c r="F20" s="41" t="n"/>
      <c r="G20" s="41" t="n"/>
      <c r="H20" s="41" t="n"/>
      <c r="I20" s="42" t="n"/>
    </row>
    <row r="22" ht="84" customHeight="1">
      <c r="A22" s="9" t="inlineStr">
        <is>
          <t>LECTURA INTRAMICROCUENCA. El bloque 27 ocupa el puesto 5 de 9 por superficie dentro de la microcuenca C1096-Q9556 (8.93 % de las 875.24 ha preliminares de la microcuenca). Su pendiente promedio (30.25 %, clase «25-50% (Mod. escarpado)») es la 9.ª más baja de 9 y se sitúa por encima del promedio de la microcuenca (22.85 %). Su MSAVI 2024 (0.5323) es el 2.º de 9 y queda por encima del promedio local (0.4510). Amplitud altitudinal del bloque: 377 m (1518–1895 msnm). El cuadro conserva todos los bloques catalogados en la microcuenca, incluidos los descartados en el tamizaje, para referencia del conjunto. Los bloques sin ficha DT figuran con sus parámetros de gabinete. BRECHA ESPECTRAL. El 37.50 % de la superficie del bloque (29.306 ha de 78.154 ha) se sitúa bajo el umbral MSAVI 0.4976, por debajo del promedio local de la microcuenca (69.38 %)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27</t>
        </is>
      </c>
    </row>
    <row r="6">
      <c r="A6" s="52" t="inlineStr">
        <is>
          <t>Cruce de la ficha de campo F-DT vigente con la ficha de resumen de gabinete y el catálogo maestro. Integración 2026-09-11 21:26:24.</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«C1096-Q9556».</t>
        </is>
      </c>
      <c r="D9" s="56" t="inlineStr">
        <is>
          <t>CONFORME</t>
        </is>
      </c>
      <c r="E9" s="56" t="inlineStr">
        <is>
          <t>Sin acción.</t>
        </is>
      </c>
    </row>
    <row r="10">
      <c r="A10" s="57" t="inlineStr">
        <is>
          <t>G-02</t>
        </is>
      </c>
      <c r="B10" s="57" t="inlineStr">
        <is>
          <t>UTM del punto de muestreo</t>
        </is>
      </c>
      <c r="C10" s="57" t="inlineStr">
        <is>
          <t>El punto de muestreo declarado dista 490.4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(78.192 ha) se desvía 0.05 % de la superficie de catálogo (78.15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(78.154 ha) se desvía 0.01 % de la superficie de catálogo (78.15 ha).</t>
        </is>
      </c>
      <c r="D14" s="57" t="inlineStr">
        <is>
          <t>CONFORME</t>
        </is>
      </c>
      <c r="E14" s="57" t="inlineStr">
        <is>
          <t>Sin acción: la segmentación valida la geometría del bloque.</t>
        </is>
      </c>
    </row>
    <row r="15">
      <c r="A15" s="56" t="inlineStr">
        <is>
          <t>G-07</t>
        </is>
      </c>
      <c r="B15" s="56" t="inlineStr">
        <is>
          <t>Brecha espectral MSAVI</t>
        </is>
      </c>
      <c r="C15" s="56" t="inlineStr">
        <is>
          <t>El 37.50 % del bloque queda bajo el umbral 0.4976; superficie de brecha 29.31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78.15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(0.5323)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85.7 % de los campos esperados).</t>
        </is>
      </c>
      <c r="D19" s="56" t="inlineStr">
        <is>
          <t>CONFORME</t>
        </is>
      </c>
      <c r="E19" s="56" t="inlineStr">
        <is>
          <t>Sin acción.</t>
        </is>
      </c>
    </row>
    <row r="20">
      <c r="A20" s="57" t="inlineStr">
        <is>
          <t>F-02</t>
        </is>
      </c>
      <c r="B20" s="57" t="inlineStr">
        <is>
          <t>Cobertura de la integración</t>
        </is>
      </c>
      <c r="C20" s="57" t="inlineStr">
        <is>
          <t>Se declararon 88 de 114 hechos integrados (77.2 %); 26 quedan sin dato en ninguna fuente.</t>
        </is>
      </c>
      <c r="D20" s="57" t="inlineStr">
        <is>
          <t>CONFORME</t>
        </is>
      </c>
      <c r="E20" s="57" t="inlineStr">
        <is>
          <t>Sin acción.</t>
        </is>
      </c>
    </row>
    <row r="21">
      <c r="A21" s="56" t="inlineStr">
        <is>
          <t>H-01</t>
        </is>
      </c>
      <c r="B21" s="56" t="inlineStr">
        <is>
          <t>Cobertura vegetal total</t>
        </is>
      </c>
      <c r="C21" s="56" t="inlineStr">
        <is>
          <t>La ficha DT estima 70 % de cobertura vegetal en campo; el NDVI mediana 2025 clasifica 99.99 % del polígono en clases de vegetación</t>
        </is>
      </c>
      <c r="D21" s="56" t="inlineStr">
        <is>
          <t>NO SUSTANTIVA</t>
        </is>
      </c>
      <c r="E21"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2">
      <c r="A22" s="57" t="inlineStr">
        <is>
          <t>H-02</t>
        </is>
      </c>
      <c r="B22" s="57" t="inlineStr">
        <is>
          <t>Dimensiones del inventario de cárcavas</t>
        </is>
      </c>
      <c r="C22" s="57" t="inlineStr">
        <is>
          <t>Se registran 2 rasgos erosivos, pero longitud, profundidad y ancho no fueron medidos instrumentalmente</t>
        </is>
      </c>
      <c r="D22" s="57" t="inlineStr">
        <is>
          <t>NO SUSTANTIVA</t>
        </is>
      </c>
      <c r="E22" s="57" t="inlineStr">
        <is>
          <t>El conteo registrado no debe usarse para calcular densidad de cárcavas por hectárea. Pendiente de levantamiento con GPS submétrico. (Verificación heredada de la ficha de resumen V6.)</t>
        </is>
      </c>
    </row>
    <row r="23">
      <c r="A23" s="56" t="inlineStr">
        <is>
          <t>H-03</t>
        </is>
      </c>
      <c r="B23" s="56" t="inlineStr">
        <is>
          <t>Elenco florístico</t>
        </is>
      </c>
      <c r="C23" s="56" t="inlineStr">
        <is>
          <t>La ficha registra 12 taxones, por debajo del mínimo de 15 que exige el formato V5</t>
        </is>
      </c>
      <c r="D23" s="56" t="inlineStr">
        <is>
          <t>SUSTANTIVA</t>
        </is>
      </c>
      <c r="E23" s="56" t="inlineStr">
        <is>
          <t>Registro florístico preliminar, sin colecta ni determinación botánica formal. Debe cerrarse con colecta botánica en la siguiente campaña. (Verificación heredada de la ficha de resumen V6.)</t>
        </is>
      </c>
    </row>
    <row r="24">
      <c r="A24" s="57" t="inlineStr">
        <is>
          <t>H-04</t>
        </is>
      </c>
      <c r="B24" s="57" t="inlineStr">
        <is>
          <t>Centro poblado asociado</t>
        </is>
      </c>
      <c r="C24" s="57" t="inlineStr">
        <is>
          <t>La ficha DT declara «Nueva Esperanza de Misquis (83 hab.) · Linderos de Misquis (28 hab.)»; el cruce INEI-Bloques V5 identifica 2 centro(s) poblado(s) en el bloque: LINDEROS DE MISQUIS, NUEVA ESPERANZA DE MISQUIS</t>
        </is>
      </c>
      <c r="D24" s="57" t="inlineStr">
        <is>
          <t>CONFORME</t>
        </is>
      </c>
      <c r="E24" s="57" t="inlineStr">
        <is>
          <t>Se conserva el registro de campo como referencia y se adopta el listado INEI para el diagnóstico social y el cálculo de población beneficiaria. (Verificación heredada de la ficha de resumen V6.)</t>
        </is>
      </c>
    </row>
    <row r="26">
      <c r="A26" s="58" t="inlineStr">
        <is>
          <t>RESUMEN</t>
        </is>
      </c>
      <c r="B26" s="59" t="inlineStr">
        <is>
          <t>16 verificaciones</t>
        </is>
      </c>
      <c r="C26" s="59" t="inlineStr">
        <is>
          <t>SUSTANTIVA: 2 · NO SUSTANTIVA: 3 · CONFORME: 11</t>
        </is>
      </c>
    </row>
    <row r="28">
      <c r="A28"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27</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613107</t>
        </is>
      </c>
      <c r="D13" s="56" t="inlineStr">
        <is>
          <t>m</t>
        </is>
      </c>
    </row>
    <row r="14">
      <c r="A14" s="57" t="inlineStr">
        <is>
          <t>1. Identificación y localización</t>
        </is>
      </c>
      <c r="B14" s="57" t="inlineStr">
        <is>
          <t>UTM NORTE del punto de muestreo (m)</t>
        </is>
      </c>
      <c r="C14" s="57" t="inlineStr">
        <is>
          <t>9449781</t>
        </is>
      </c>
      <c r="D14" s="57" t="inlineStr">
        <is>
          <t>m</t>
        </is>
      </c>
    </row>
    <row r="15">
      <c r="A15" s="56" t="inlineStr">
        <is>
          <t>2. Parámetros físicos del terreno</t>
        </is>
      </c>
      <c r="B15" s="56" t="inlineStr">
        <is>
          <t>Piso altitudinal del punto de muestreo</t>
        </is>
      </c>
      <c r="C15" s="56" t="inlineStr">
        <is>
          <t>1500-2000 m (Quechua media)</t>
        </is>
      </c>
      <c r="D15" s="56" t="inlineStr"/>
    </row>
    <row r="16">
      <c r="A16" s="57" t="inlineStr">
        <is>
          <t>2. Parámetros físicos del terreno</t>
        </is>
      </c>
      <c r="B16" s="57" t="inlineStr">
        <is>
          <t>Paisaje dominante descrito en campo</t>
        </is>
      </c>
      <c r="C16" s="57" t="inlineStr">
        <is>
          <t>Ladera montañosa de exposición NO que desciende hacia el fondo de valle de la quebrada tributaria de la microcuenca C1096-Q9556 (sector Misquis – Chucapiz). Mosaico agrícola-matorral: parcelas de maíz en secano intercaladas con matorral secundario y arbustos dispersos; la ladera está disectada por cárcavas de orientación general NO-SE que drenan hacia la quebrada. Registro efectuado bajo neblina densa (garúa de altura).</t>
        </is>
      </c>
      <c r="D16" s="57" t="inlineStr"/>
    </row>
    <row r="17">
      <c r="A17" s="56" t="inlineStr">
        <is>
          <t>2. Parámetros físicos del terreno</t>
        </is>
      </c>
      <c r="B17" s="56" t="inlineStr">
        <is>
          <t>Reptación de suelo</t>
        </is>
      </c>
      <c r="C17" s="56" t="inlineStr">
        <is>
          <t>No</t>
        </is>
      </c>
      <c r="D17" s="56" t="inlineStr"/>
    </row>
    <row r="18">
      <c r="A18" s="57" t="inlineStr">
        <is>
          <t>2. Parámetros físicos del terreno</t>
        </is>
      </c>
      <c r="B18" s="57" t="inlineStr">
        <is>
          <t>Deslizamientos antiguos</t>
        </is>
      </c>
      <c r="C18" s="57" t="inlineStr">
        <is>
          <t>No</t>
        </is>
      </c>
      <c r="D18" s="57" t="inlineStr"/>
    </row>
    <row r="19">
      <c r="A19" s="56" t="inlineStr">
        <is>
          <t>4. Suelos y erosión (F-DT-02)</t>
        </is>
      </c>
      <c r="B19" s="56" t="inlineStr">
        <is>
          <t>Nivel de erosión - síntesis de campo</t>
        </is>
      </c>
      <c r="C19" s="56" t="inlineStr">
        <is>
          <t>Fuerte (cárcavas incipientes)</t>
        </is>
      </c>
      <c r="D19" s="56" t="inlineStr"/>
    </row>
    <row r="20">
      <c r="A20" s="57" t="inlineStr">
        <is>
          <t>4. Suelos y erosión (F-DT-02)</t>
        </is>
      </c>
      <c r="B20" s="57" t="inlineStr">
        <is>
          <t>Sellamiento / costra superficial</t>
        </is>
      </c>
      <c r="C20" s="57" t="inlineStr">
        <is>
          <t>No</t>
        </is>
      </c>
      <c r="D20" s="57" t="inlineStr"/>
    </row>
    <row r="21">
      <c r="A21" s="56" t="inlineStr">
        <is>
          <t>4. Suelos y erosión (F-DT-02)</t>
        </is>
      </c>
      <c r="B21" s="56" t="inlineStr">
        <is>
          <t>Compactación por pisoteo</t>
        </is>
      </c>
      <c r="C21" s="56" t="inlineStr">
        <is>
          <t>No</t>
        </is>
      </c>
      <c r="D21" s="56" t="inlineStr"/>
    </row>
    <row r="22">
      <c r="A22" s="57" t="inlineStr">
        <is>
          <t>4. Suelos y erosión (F-DT-02)</t>
        </is>
      </c>
      <c r="B22" s="57" t="inlineStr">
        <is>
          <t>Raíces expuestas</t>
        </is>
      </c>
      <c r="C22" s="57" t="inlineStr">
        <is>
          <t>Sí</t>
        </is>
      </c>
      <c r="D22" s="57" t="inlineStr"/>
    </row>
    <row r="23">
      <c r="A23" s="56" t="inlineStr">
        <is>
          <t>4. Suelos y erosión (F-DT-02)</t>
        </is>
      </c>
      <c r="B23" s="56" t="inlineStr">
        <is>
          <t>Patrón de cárcavas</t>
        </is>
      </c>
      <c r="C23" s="56" t="inlineStr">
        <is>
          <t>Paralelo</t>
        </is>
      </c>
      <c r="D23" s="56" t="inlineStr"/>
    </row>
    <row r="24">
      <c r="A24" s="57" t="inlineStr">
        <is>
          <t>4. Suelos y erosión (F-DT-02)</t>
        </is>
      </c>
      <c r="B24" s="57" t="inlineStr">
        <is>
          <t>Socavamiento de cauce</t>
        </is>
      </c>
      <c r="C24" s="57" t="inlineStr">
        <is>
          <t>No</t>
        </is>
      </c>
      <c r="D24" s="57" t="inlineStr"/>
    </row>
    <row r="25">
      <c r="A25" s="56" t="inlineStr">
        <is>
          <t>5. Ecosistema, cobertura y flora (F-DT-03)</t>
        </is>
      </c>
      <c r="B25" s="56" t="inlineStr">
        <is>
          <t>Cobertura del dosel (%)</t>
        </is>
      </c>
      <c r="C25" s="56" t="inlineStr">
        <is>
          <t>5</t>
        </is>
      </c>
      <c r="D25" s="56" t="inlineStr">
        <is>
          <t>%</t>
        </is>
      </c>
    </row>
    <row r="26">
      <c r="A26" s="57" t="inlineStr">
        <is>
          <t>5. Ecosistema, cobertura y flora (F-DT-03)</t>
        </is>
      </c>
      <c r="B26" s="57" t="inlineStr">
        <is>
          <t>Cobertura arbustiva (%)</t>
        </is>
      </c>
      <c r="C26" s="57" t="inlineStr">
        <is>
          <t>35</t>
        </is>
      </c>
      <c r="D26" s="57" t="inlineStr">
        <is>
          <t>%</t>
        </is>
      </c>
    </row>
    <row r="27">
      <c r="A27" s="56" t="inlineStr">
        <is>
          <t>5. Ecosistema, cobertura y flora (F-DT-03)</t>
        </is>
      </c>
      <c r="B27" s="56" t="inlineStr">
        <is>
          <t>Cobertura herbácea (%)</t>
        </is>
      </c>
      <c r="C27" s="56" t="inlineStr">
        <is>
          <t>35</t>
        </is>
      </c>
      <c r="D27" s="56" t="inlineStr">
        <is>
          <t>%</t>
        </is>
      </c>
    </row>
    <row r="28">
      <c r="A28" s="57" t="inlineStr">
        <is>
          <t>5. Ecosistema, cobertura y flora (F-DT-03)</t>
        </is>
      </c>
      <c r="B28" s="57" t="inlineStr">
        <is>
          <t>Presencia de epífitas</t>
        </is>
      </c>
      <c r="C28" s="57" t="inlineStr">
        <is>
          <t>Sí</t>
        </is>
      </c>
      <c r="D28" s="57" t="inlineStr"/>
    </row>
    <row r="29">
      <c r="A29" s="56" t="inlineStr">
        <is>
          <t>5. Ecosistema, cobertura y flora (F-DT-03)</t>
        </is>
      </c>
      <c r="B29" s="56" t="inlineStr">
        <is>
          <t>Fenología dominante</t>
        </is>
      </c>
      <c r="C29" s="56" t="inlineStr">
        <is>
          <t>Fructificación</t>
        </is>
      </c>
      <c r="D29" s="56" t="inlineStr"/>
    </row>
    <row r="30">
      <c r="A30" s="57" t="inlineStr">
        <is>
          <t>5. Ecosistema, cobertura y flora (F-DT-03)</t>
        </is>
      </c>
      <c r="B30" s="57" t="inlineStr">
        <is>
          <t>Especies clave georreferenciadas</t>
        </is>
      </c>
      <c r="C30" s="57" t="inlineStr">
        <is>
          <t>3</t>
        </is>
      </c>
      <c r="D30" s="57" t="inlineStr"/>
    </row>
    <row r="31">
      <c r="A31" s="56" t="inlineStr">
        <is>
          <t>6. Degradación, causas y urgencia (F-DT-04)</t>
        </is>
      </c>
      <c r="B31" s="56" t="inlineStr">
        <is>
          <t>Causas directas de la degradación</t>
        </is>
      </c>
      <c r="C31" s="56" t="inlineStr">
        <is>
          <t>(1) Cambio de uso del suelo a agricultura de secano en ladera: causa directa dominante; el 100 % del bloque está clasificado como Zona agrícola (MINAM) y la campaña de maíz ocupa las laderas hasta los bordes de las cárcavas. (2) Erosión hídrica concentrada: cárcavas sobre suelo de labranza (CAR-01) e incisión activa en talud de corte de camino (CAR-02). (3) Pérdida de cobertura permanente y regeneración natural escasa, con el ecosistema original reducido a árboles aislados (Sauce, Faique) y matorral relictual de borde. (4) Expansión vial menor y presencia incipiente de especie ruderal introducida (Rumex crispus) como factores secundarios.</t>
        </is>
      </c>
      <c r="D31" s="56" t="inlineStr"/>
    </row>
    <row r="32">
      <c r="A32" s="57" t="inlineStr">
        <is>
          <t>6. Degradación, causas y urgencia (F-DT-04)</t>
        </is>
      </c>
      <c r="B32" s="57" t="inlineStr">
        <is>
          <t>N.° de causas activas en la matriz F-DT-04</t>
        </is>
      </c>
      <c r="C32" s="57" t="inlineStr">
        <is>
          <t>6</t>
        </is>
      </c>
      <c r="D32" s="57" t="inlineStr"/>
    </row>
    <row r="33">
      <c r="A33" s="56" t="inlineStr">
        <is>
          <t>7. Hidrología, acceso y logística (F-DT-05)</t>
        </is>
      </c>
      <c r="B33" s="56" t="inlineStr">
        <is>
          <t>Escorrentía concentrada</t>
        </is>
      </c>
      <c r="C33" s="56" t="inlineStr">
        <is>
          <t>Sí</t>
        </is>
      </c>
      <c r="D33" s="56" t="inlineStr"/>
    </row>
    <row r="34">
      <c r="A34" s="57" t="inlineStr">
        <is>
          <t>7. Hidrología, acceso y logística (F-DT-05)</t>
        </is>
      </c>
      <c r="B34" s="57" t="inlineStr">
        <is>
          <t>Interferencia con riego</t>
        </is>
      </c>
      <c r="C34" s="57" t="inlineStr">
        <is>
          <t>No</t>
        </is>
      </c>
      <c r="D34" s="57" t="inlineStr"/>
    </row>
    <row r="35">
      <c r="A35" s="56" t="inlineStr">
        <is>
          <t>7. Hidrología, acceso y logística (F-DT-05)</t>
        </is>
      </c>
      <c r="B35" s="56" t="inlineStr">
        <is>
          <t>Tipo de vía del tramo final</t>
        </is>
      </c>
      <c r="C35" s="56" t="inlineStr">
        <is>
          <t>Trocha carrozable</t>
        </is>
      </c>
      <c r="D35" s="56" t="inlineStr"/>
    </row>
    <row r="37">
      <c r="A37" s="54" t="inlineStr">
        <is>
          <t>C. PROCEDENCIA DE LOS HECHOS DECLARADOS</t>
        </is>
      </c>
    </row>
    <row r="38">
      <c r="A38" s="55" t="inlineStr">
        <is>
          <t>Fuente</t>
        </is>
      </c>
      <c r="B38" s="55" t="inlineStr">
        <is>
          <t>Hechos</t>
        </is>
      </c>
      <c r="C38" s="55" t="inlineStr">
        <is>
          <t>Alcance de la fuente</t>
        </is>
      </c>
    </row>
    <row r="39">
      <c r="A39" s="56" t="inlineStr">
        <is>
          <t>Dato de campo</t>
        </is>
      </c>
      <c r="B39" s="56" t="n">
        <v>52</v>
      </c>
      <c r="C39" s="56" t="inlineStr">
        <is>
          <t>Verificación en campo. Fichas F-DT-01 a F-DT-05 de la Plantilla DT Campo Check Validada V5, suscritas por el evaluador.</t>
        </is>
      </c>
    </row>
    <row r="40">
      <c r="A40" s="57" t="inlineStr">
        <is>
          <t>Gabinete (GIS / teledetección)</t>
        </is>
      </c>
      <c r="B40" s="57" t="n">
        <v>22</v>
      </c>
      <c r="C40" s="57" t="inlineStr">
        <is>
          <t>Gabinete. Estadística zonal sobre el MDE y compuestos Sentinel-2 (NDVI mediana 2025, MSAVI 2024 por clase DN).</t>
        </is>
      </c>
    </row>
    <row r="41">
      <c r="A41" s="56" t="inlineStr">
        <is>
          <t>Fuente oficial</t>
        </is>
      </c>
      <c r="B41" s="56" t="n">
        <v>14</v>
      </c>
      <c r="C41" s="56" t="inlineStr">
        <is>
          <t>Fuente oficial. Catálogo maestro Bloques V5/V6, división política INEI y codificación de microcuencas de la ANA.</t>
        </is>
      </c>
    </row>
    <row r="43">
      <c r="A43" s="54" t="inlineStr">
        <is>
          <t>D. ESTADO DEL CRUCE ENTRE FUENTES</t>
        </is>
      </c>
    </row>
    <row r="44">
      <c r="A44" s="55" t="inlineStr">
        <is>
          <t>Estado</t>
        </is>
      </c>
      <c r="B44" s="55" t="inlineStr">
        <is>
          <t>Hechos</t>
        </is>
      </c>
      <c r="C44" s="55" t="inlineStr">
        <is>
          <t>Significado</t>
        </is>
      </c>
    </row>
    <row r="45">
      <c r="A45" s="56" t="inlineStr">
        <is>
          <t>CONFORME</t>
        </is>
      </c>
      <c r="B45" s="56" t="n">
        <v>87</v>
      </c>
      <c r="C45" s="56" t="inlineStr">
        <is>
          <t>Las dos fuentes declaran lo mismo, o solo la fuente que manda sobre el hecho lo declara.</t>
        </is>
      </c>
    </row>
    <row r="46">
      <c r="A46" s="57" t="inlineStr">
        <is>
          <t>COMPLEMENTADO</t>
        </is>
      </c>
      <c r="B46" s="57" t="n">
        <v>1</v>
      </c>
      <c r="C46" s="57" t="inlineStr">
        <is>
          <t>Solo una de las fuentes lo declara y se adopta ese valor.</t>
        </is>
      </c>
    </row>
    <row r="47">
      <c r="A47" s="56" t="inlineStr">
        <is>
          <t>ACTUALIZADO</t>
        </is>
      </c>
      <c r="B47" s="56" t="n">
        <v>0</v>
      </c>
      <c r="C47" s="56" t="inlineStr">
        <is>
          <t>La verificación de campo vigente corrige lo que traía el libro de resumen.</t>
        </is>
      </c>
    </row>
    <row r="48">
      <c r="A48" s="57" t="inlineStr">
        <is>
          <t>DISCREPANTE</t>
        </is>
      </c>
      <c r="B48" s="57" t="n">
        <v>0</v>
      </c>
      <c r="C48" s="57" t="inlineStr">
        <is>
          <t>Las fuentes se contradicen; prevalece la que manda sobre el hecho y la otra queda declarada.</t>
        </is>
      </c>
    </row>
    <row r="49">
      <c r="A49" s="56" t="inlineStr">
        <is>
          <t>PENDIENTE</t>
        </is>
      </c>
      <c r="B49" s="56" t="n">
        <v>26</v>
      </c>
      <c r="C49"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27</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CAR-01</t>
        </is>
      </c>
      <c r="B9" s="56" t="inlineStr"/>
      <c r="C9" s="61" t="n">
        <v>613133</v>
      </c>
      <c r="D9" s="61" t="n">
        <v>9449805</v>
      </c>
      <c r="E9" s="56" t="n"/>
      <c r="F9" s="56" t="n"/>
      <c r="G9" s="56" t="n"/>
      <c r="H9" s="56" t="inlineStr">
        <is>
          <t>Semi-activa</t>
        </is>
      </c>
      <c r="I9" s="56" t="inlineStr">
        <is>
          <t>Cambio de uso del suelo</t>
        </is>
      </c>
    </row>
    <row r="10">
      <c r="A10" s="57" t="inlineStr">
        <is>
          <t>CAR-02</t>
        </is>
      </c>
      <c r="B10" s="57" t="inlineStr"/>
      <c r="C10" s="62" t="n">
        <v>612473</v>
      </c>
      <c r="D10" s="62" t="n">
        <v>9449785</v>
      </c>
      <c r="E10" s="57" t="n"/>
      <c r="F10" s="57" t="n"/>
      <c r="G10" s="57" t="n"/>
      <c r="H10" s="57" t="inlineStr">
        <is>
          <t>Activa</t>
        </is>
      </c>
      <c r="I10" s="57" t="inlineStr">
        <is>
          <t>Caminos / huellas de ganado</t>
        </is>
      </c>
    </row>
    <row r="12">
      <c r="A12" s="54" t="inlineStr">
        <is>
          <t>F-DT-03 · ELENCO FLORÍSTICO</t>
        </is>
      </c>
    </row>
    <row r="13">
      <c r="A13" s="55" t="inlineStr">
        <is>
          <t>N.o</t>
        </is>
      </c>
      <c r="B13" s="55" t="inlineStr">
        <is>
          <t>Nombre común</t>
        </is>
      </c>
      <c r="C13" s="55" t="inlineStr">
        <is>
          <t>Nombre científico</t>
        </is>
      </c>
      <c r="D13" s="55" t="inlineStr">
        <is>
          <t>Familia</t>
        </is>
      </c>
      <c r="E13" s="55" t="inlineStr">
        <is>
          <t>Estrato</t>
        </is>
      </c>
      <c r="F13" s="55" t="inlineStr">
        <is>
          <t>Origen</t>
        </is>
      </c>
      <c r="G13" s="55" t="inlineStr">
        <is>
          <t>Abundancia</t>
        </is>
      </c>
      <c r="H13" s="55" t="inlineStr">
        <is>
          <t>DAP (cm)</t>
        </is>
      </c>
      <c r="I13" s="55" t="inlineStr">
        <is>
          <t>Altura (m)</t>
        </is>
      </c>
    </row>
    <row r="14">
      <c r="A14" s="56" t="inlineStr">
        <is>
          <t>1</t>
        </is>
      </c>
      <c r="B14" s="56" t="inlineStr">
        <is>
          <t>Sauce</t>
        </is>
      </c>
      <c r="C14" s="56" t="inlineStr">
        <is>
          <t>Salix sp.</t>
        </is>
      </c>
      <c r="D14" s="56" t="inlineStr">
        <is>
          <t>Salicaceae</t>
        </is>
      </c>
      <c r="E14" s="56" t="inlineStr">
        <is>
          <t>Arbóreo bajo (4-8 m)</t>
        </is>
      </c>
      <c r="F14" s="56" t="inlineStr"/>
      <c r="G14" s="56" t="inlineStr">
        <is>
          <t>Ocasional (1-5%)</t>
        </is>
      </c>
      <c r="H14" s="56" t="n"/>
      <c r="I14" s="56" t="n"/>
    </row>
    <row r="15">
      <c r="A15" s="57" t="inlineStr">
        <is>
          <t>2</t>
        </is>
      </c>
      <c r="B15" s="57" t="inlineStr">
        <is>
          <t>Faique</t>
        </is>
      </c>
      <c r="C15" s="57" t="inlineStr">
        <is>
          <t>Vachellia macracantha</t>
        </is>
      </c>
      <c r="D15" s="57" t="inlineStr">
        <is>
          <t>Fabaceae</t>
        </is>
      </c>
      <c r="E15" s="57" t="inlineStr"/>
      <c r="F15" s="57" t="inlineStr">
        <is>
          <t>Nativa</t>
        </is>
      </c>
      <c r="G15" s="57" t="inlineStr">
        <is>
          <t>Ocasional (1-5%)</t>
        </is>
      </c>
      <c r="H15" s="57" t="n"/>
      <c r="I15" s="57" t="n"/>
    </row>
    <row r="16">
      <c r="A16" s="56" t="inlineStr">
        <is>
          <t>3</t>
        </is>
      </c>
      <c r="B16" s="56" t="inlineStr">
        <is>
          <t>Chilca</t>
        </is>
      </c>
      <c r="C16" s="56" t="inlineStr">
        <is>
          <t>Baccharis sp.</t>
        </is>
      </c>
      <c r="D16" s="56" t="inlineStr">
        <is>
          <t>Asteraceae</t>
        </is>
      </c>
      <c r="E16" s="56" t="inlineStr"/>
      <c r="F16" s="56" t="inlineStr">
        <is>
          <t>Nativa</t>
        </is>
      </c>
      <c r="G16" s="56" t="inlineStr">
        <is>
          <t>Frecuente (5-20%)</t>
        </is>
      </c>
      <c r="H16" s="56" t="n"/>
      <c r="I16" s="56" t="n"/>
    </row>
    <row r="17">
      <c r="A17" s="57" t="inlineStr">
        <is>
          <t>4</t>
        </is>
      </c>
      <c r="B17" s="57" t="inlineStr">
        <is>
          <t>Mutisia</t>
        </is>
      </c>
      <c r="C17" s="57" t="inlineStr">
        <is>
          <t>Mutisia sp.</t>
        </is>
      </c>
      <c r="D17" s="57" t="inlineStr">
        <is>
          <t>Asteraceae</t>
        </is>
      </c>
      <c r="E17" s="57" t="inlineStr">
        <is>
          <t>Trepador</t>
        </is>
      </c>
      <c r="F17" s="57" t="inlineStr">
        <is>
          <t>Nativa</t>
        </is>
      </c>
      <c r="G17" s="57" t="inlineStr">
        <is>
          <t>Frecuente (5-20%)</t>
        </is>
      </c>
      <c r="H17" s="57" t="n"/>
      <c r="I17" s="57" t="n"/>
    </row>
    <row r="18">
      <c r="A18" s="56" t="inlineStr">
        <is>
          <t>5</t>
        </is>
      </c>
      <c r="B18" s="56" t="inlineStr">
        <is>
          <t>Agave / Penca</t>
        </is>
      </c>
      <c r="C18" s="56" t="inlineStr">
        <is>
          <t>Agave sp.</t>
        </is>
      </c>
      <c r="D18" s="56" t="inlineStr">
        <is>
          <t>Asparagaceae</t>
        </is>
      </c>
      <c r="E18" s="56" t="inlineStr"/>
      <c r="F18" s="56" t="inlineStr"/>
      <c r="G18" s="56" t="inlineStr">
        <is>
          <t>Abundante (20-40%)</t>
        </is>
      </c>
      <c r="H18" s="56" t="n"/>
      <c r="I18" s="56" t="n"/>
    </row>
    <row r="19">
      <c r="A19" s="57" t="inlineStr">
        <is>
          <t>6</t>
        </is>
      </c>
      <c r="B19" s="57" t="inlineStr">
        <is>
          <t>Lengua de vaca</t>
        </is>
      </c>
      <c r="C19" s="57" t="inlineStr">
        <is>
          <t>Rumex crispus</t>
        </is>
      </c>
      <c r="D19" s="57" t="inlineStr">
        <is>
          <t>Polygonaceae</t>
        </is>
      </c>
      <c r="E19" s="57" t="inlineStr"/>
      <c r="F19" s="57" t="inlineStr">
        <is>
          <t>Introducida</t>
        </is>
      </c>
      <c r="G19" s="57" t="inlineStr">
        <is>
          <t>Frecuente (5-20%)</t>
        </is>
      </c>
      <c r="H19" s="57" t="n"/>
      <c r="I19" s="57" t="n"/>
    </row>
    <row r="20">
      <c r="A20" s="56" t="inlineStr">
        <is>
          <t>7</t>
        </is>
      </c>
      <c r="B20" s="56" t="inlineStr">
        <is>
          <t>Ortiga (no determinada)</t>
        </is>
      </c>
      <c r="C20" s="56" t="inlineStr">
        <is>
          <t>Urticaceae indet.</t>
        </is>
      </c>
      <c r="D20" s="56" t="inlineStr">
        <is>
          <t>Urticaceae</t>
        </is>
      </c>
      <c r="E20" s="56" t="inlineStr"/>
      <c r="F20" s="56" t="inlineStr"/>
      <c r="G20" s="56" t="inlineStr">
        <is>
          <t>Frecuente (5-20%)</t>
        </is>
      </c>
      <c r="H20" s="56" t="n"/>
      <c r="I20" s="56" t="n"/>
    </row>
    <row r="21">
      <c r="A21" s="57" t="inlineStr">
        <is>
          <t>8</t>
        </is>
      </c>
      <c r="B21" s="57" t="inlineStr">
        <is>
          <t>Melastomatácea (no determinada)</t>
        </is>
      </c>
      <c r="C21" s="57" t="inlineStr">
        <is>
          <t>Melastomataceae indet.</t>
        </is>
      </c>
      <c r="D21" s="57" t="inlineStr">
        <is>
          <t>Melastomataceae</t>
        </is>
      </c>
      <c r="E21" s="57" t="inlineStr"/>
      <c r="F21" s="57" t="inlineStr"/>
      <c r="G21" s="57" t="inlineStr">
        <is>
          <t>Abundante (20-40%)</t>
        </is>
      </c>
      <c r="H21" s="57" t="n"/>
      <c r="I21" s="57" t="n"/>
    </row>
    <row r="22">
      <c r="A22" s="56" t="inlineStr">
        <is>
          <t>9</t>
        </is>
      </c>
      <c r="B22" s="56" t="inlineStr">
        <is>
          <t>Verbenácea (no determinada)</t>
        </is>
      </c>
      <c r="C22" s="56" t="inlineStr">
        <is>
          <t>Verbenaceae indet.</t>
        </is>
      </c>
      <c r="D22" s="56" t="inlineStr">
        <is>
          <t>Verbenaceae</t>
        </is>
      </c>
      <c r="E22" s="56" t="inlineStr"/>
      <c r="F22" s="56" t="inlineStr"/>
      <c r="G22" s="56" t="inlineStr">
        <is>
          <t>Frecuente (5-20%)</t>
        </is>
      </c>
      <c r="H22" s="56" t="n"/>
      <c r="I22" s="56" t="n"/>
    </row>
    <row r="23">
      <c r="A23" s="57" t="inlineStr">
        <is>
          <t>10</t>
        </is>
      </c>
      <c r="B23" s="57" t="inlineStr">
        <is>
          <t>Achupalla / bromelia epífita</t>
        </is>
      </c>
      <c r="C23" s="57" t="inlineStr">
        <is>
          <t>Bromeliaceae indet.</t>
        </is>
      </c>
      <c r="D23" s="57" t="inlineStr">
        <is>
          <t>Bromeliaceae</t>
        </is>
      </c>
      <c r="E23" s="57" t="inlineStr">
        <is>
          <t>Epífito</t>
        </is>
      </c>
      <c r="F23" s="57" t="inlineStr"/>
      <c r="G23" s="57" t="inlineStr">
        <is>
          <t>Abundante (20-40%)</t>
        </is>
      </c>
      <c r="H23" s="57" t="n"/>
      <c r="I23" s="57" t="n"/>
    </row>
    <row r="24">
      <c r="A24" s="56" t="inlineStr">
        <is>
          <t>11</t>
        </is>
      </c>
      <c r="B24" s="56" t="inlineStr">
        <is>
          <t>Helecho (no determinado)</t>
        </is>
      </c>
      <c r="C24" s="56" t="inlineStr">
        <is>
          <t>Pteridophyta indet.</t>
        </is>
      </c>
      <c r="D24" s="56" t="inlineStr">
        <is>
          <t>Por determinar</t>
        </is>
      </c>
      <c r="E24" s="56" t="inlineStr"/>
      <c r="F24" s="56" t="inlineStr"/>
      <c r="G24" s="56" t="inlineStr">
        <is>
          <t>Abundante (20-40%)</t>
        </is>
      </c>
      <c r="H24" s="56" t="n"/>
      <c r="I24" s="56" t="n"/>
    </row>
    <row r="25">
      <c r="A25" s="57" t="inlineStr">
        <is>
          <t>12</t>
        </is>
      </c>
      <c r="B25" s="57" t="inlineStr">
        <is>
          <t>Bambú/Caña Guayaquil</t>
        </is>
      </c>
      <c r="C25" s="57" t="inlineStr">
        <is>
          <t>Guadua angustifolia</t>
        </is>
      </c>
      <c r="D25" s="57" t="inlineStr">
        <is>
          <t>Poaceae</t>
        </is>
      </c>
      <c r="E25" s="57" t="inlineStr"/>
      <c r="F25" s="57" t="inlineStr"/>
      <c r="G25" s="57" t="inlineStr">
        <is>
          <t>Frecuente (5-20%)</t>
        </is>
      </c>
      <c r="H25" s="57" t="n"/>
      <c r="I25" s="57" t="n"/>
    </row>
    <row r="27">
      <c r="A27" s="54" t="inlineStr">
        <is>
          <t>F-DT-03 · ESPECIES CLAVE GEORREFERENCIADAS</t>
        </is>
      </c>
    </row>
    <row r="28">
      <c r="A28" s="55" t="inlineStr">
        <is>
          <t>N.o</t>
        </is>
      </c>
      <c r="B28" s="55" t="inlineStr">
        <is>
          <t>Especie</t>
        </is>
      </c>
      <c r="C28" s="55" t="inlineStr">
        <is>
          <t>Categoría</t>
        </is>
      </c>
      <c r="D28" s="55" t="inlineStr">
        <is>
          <t>Estado UICN</t>
        </is>
      </c>
      <c r="E28" s="55" t="inlineStr">
        <is>
          <t>UTM ESTE</t>
        </is>
      </c>
      <c r="F28" s="55" t="inlineStr">
        <is>
          <t>UTM NORTE</t>
        </is>
      </c>
      <c r="G28" s="55" t="inlineStr">
        <is>
          <t>N.° individuos</t>
        </is>
      </c>
      <c r="H28" s="55" t="inlineStr">
        <is>
          <t>Observación</t>
        </is>
      </c>
    </row>
    <row r="29">
      <c r="A29" s="56" t="inlineStr">
        <is>
          <t>1</t>
        </is>
      </c>
      <c r="B29" s="56" t="inlineStr">
        <is>
          <t>Vachellia macracantha (Faique)</t>
        </is>
      </c>
      <c r="C29" s="56" t="inlineStr">
        <is>
          <t>Amenazada (D.S. 043-2006-AG)</t>
        </is>
      </c>
      <c r="D29" s="56" t="inlineStr">
        <is>
          <t>NT — Casi Amenazado</t>
        </is>
      </c>
      <c r="E29" s="56" t="n"/>
      <c r="F29" s="56" t="n"/>
      <c r="G29" s="56" t="n"/>
      <c r="H29" s="56" t="inlineStr">
        <is>
          <t>Categoría NT según D.S. 043-2006-AG. Reportada por la brigada; coordenadas y N° de individuos por determinar.</t>
        </is>
      </c>
    </row>
    <row r="30">
      <c r="A30" s="57" t="inlineStr">
        <is>
          <t>2</t>
        </is>
      </c>
      <c r="B30" s="57" t="inlineStr">
        <is>
          <t>Salix sp. (Sauce)</t>
        </is>
      </c>
      <c r="C30" s="57" t="inlineStr">
        <is>
          <t>Indicadora de buen estado</t>
        </is>
      </c>
      <c r="D30" s="57" t="inlineStr">
        <is>
          <t>No aplica</t>
        </is>
      </c>
      <c r="E30" s="62" t="n">
        <v>612845</v>
      </c>
      <c r="F30" s="62" t="n">
        <v>9449778</v>
      </c>
      <c r="G30" s="63" t="n">
        <v>1</v>
      </c>
      <c r="H30" s="57" t="inlineStr">
        <is>
          <t>Individuo aislado (~6 m) sobre ladera; indicador de humedad edáfica. Determinación específica pendiente.</t>
        </is>
      </c>
    </row>
    <row r="31">
      <c r="A31" s="56" t="inlineStr">
        <is>
          <t>3</t>
        </is>
      </c>
      <c r="B31" s="56" t="inlineStr">
        <is>
          <t>Rumex crispus (Lengua de vaca)</t>
        </is>
      </c>
      <c r="C31" s="56" t="inlineStr">
        <is>
          <t>Indicadora de perturbación</t>
        </is>
      </c>
      <c r="D31" s="56" t="inlineStr">
        <is>
          <t>No aplica</t>
        </is>
      </c>
      <c r="E31" s="61" t="n">
        <v>613111</v>
      </c>
      <c r="F31" s="61" t="n">
        <v>9449787</v>
      </c>
      <c r="G31" s="56" t="n"/>
      <c r="H31" s="56" t="inlineStr">
        <is>
          <t>Especie introducida/naturalizada, ruderal; su presencia indica suelo removido y perturbación antrópica.</t>
        </is>
      </c>
    </row>
    <row r="33">
      <c r="A33" s="54" t="inlineStr">
        <is>
          <t>F-DT-04 · MATRIZ DE CAUSAS DE DEGRADACIÓN</t>
        </is>
      </c>
    </row>
    <row r="34">
      <c r="A34" s="55" t="inlineStr">
        <is>
          <t>N.o</t>
        </is>
      </c>
      <c r="B34" s="55" t="inlineStr">
        <is>
          <t>Causa</t>
        </is>
      </c>
      <c r="C34" s="55" t="inlineStr">
        <is>
          <t>Presencia</t>
        </is>
      </c>
      <c r="D34" s="55" t="inlineStr">
        <is>
          <t>Intensidad</t>
        </is>
      </c>
      <c r="E34" s="55" t="inlineStr">
        <is>
          <t>Extensión</t>
        </is>
      </c>
      <c r="F34" s="55" t="inlineStr">
        <is>
          <t>Antigüedad</t>
        </is>
      </c>
      <c r="G34" s="55" t="inlineStr">
        <is>
          <t>Evidencia</t>
        </is>
      </c>
    </row>
    <row r="35">
      <c r="A35" s="56" t="inlineStr">
        <is>
          <t>1</t>
        </is>
      </c>
      <c r="B35" s="56" t="inlineStr">
        <is>
          <t>Sobrepastoreo (caprino/vacuno)</t>
        </is>
      </c>
      <c r="C35" s="56" t="inlineStr">
        <is>
          <t>No</t>
        </is>
      </c>
      <c r="D35" s="56" t="inlineStr"/>
      <c r="E35" s="56" t="inlineStr"/>
      <c r="F35" s="56" t="inlineStr"/>
      <c r="G35" s="56" t="inlineStr">
        <is>
          <t>No se observó ganado ni evidencia directa de pisoteo en el tramo recorrido. Por verificar en el resto del bloque.</t>
        </is>
      </c>
    </row>
    <row r="36">
      <c r="A36" s="57" t="inlineStr">
        <is>
          <t>2</t>
        </is>
      </c>
      <c r="B36" s="57" t="inlineStr">
        <is>
          <t>Tala para leña</t>
        </is>
      </c>
      <c r="C36" s="57" t="inlineStr">
        <is>
          <t>Sí</t>
        </is>
      </c>
      <c r="D36" s="57" t="inlineStr">
        <is>
          <t>Ligera</t>
        </is>
      </c>
      <c r="E36" s="57" t="inlineStr"/>
      <c r="F36" s="57" t="inlineStr"/>
      <c r="G36" s="57" t="inlineStr">
        <is>
          <t>Cortes de ramas y tocones aislados en matorral de borde de parcela. Extensión y antigüedad por determinar.</t>
        </is>
      </c>
    </row>
    <row r="37">
      <c r="A37" s="56" t="inlineStr">
        <is>
          <t>3</t>
        </is>
      </c>
      <c r="B37" s="56" t="inlineStr">
        <is>
          <t>Tala para carbón</t>
        </is>
      </c>
      <c r="C37" s="56" t="inlineStr">
        <is>
          <t>No</t>
        </is>
      </c>
      <c r="D37" s="56" t="inlineStr"/>
      <c r="E37" s="56" t="inlineStr"/>
      <c r="F37" s="56" t="inlineStr"/>
      <c r="G37" s="56" t="inlineStr">
        <is>
          <t>Sin evidencia de hornos ni residuos de carboneo en el tramo recorrido.</t>
        </is>
      </c>
    </row>
    <row r="38">
      <c r="A38" s="57" t="inlineStr">
        <is>
          <t>4</t>
        </is>
      </c>
      <c r="B38" s="57" t="inlineStr">
        <is>
          <t>Tala para madera</t>
        </is>
      </c>
      <c r="C38" s="57" t="inlineStr">
        <is>
          <t>No</t>
        </is>
      </c>
      <c r="D38" s="57" t="inlineStr"/>
      <c r="E38" s="57" t="inlineStr"/>
      <c r="F38" s="57" t="inlineStr"/>
      <c r="G38" s="57" t="inlineStr">
        <is>
          <t>Sin evidencia de aprovechamiento maderable.</t>
        </is>
      </c>
    </row>
    <row r="39">
      <c r="A39" s="56" t="inlineStr">
        <is>
          <t>5</t>
        </is>
      </c>
      <c r="B39" s="56" t="inlineStr">
        <is>
          <t>Quema (renovación de pastos)</t>
        </is>
      </c>
      <c r="C39" s="56" t="inlineStr">
        <is>
          <t>No</t>
        </is>
      </c>
      <c r="D39" s="56" t="inlineStr"/>
      <c r="E39" s="56" t="inlineStr"/>
      <c r="F39" s="56" t="inlineStr"/>
      <c r="G39" s="56" t="inlineStr">
        <is>
          <t>Sin evidencia de quemas para renovación de pastos en el tramo recorrido.</t>
        </is>
      </c>
    </row>
    <row r="40">
      <c r="A40" s="57" t="inlineStr">
        <is>
          <t>6</t>
        </is>
      </c>
      <c r="B40" s="57" t="inlineStr">
        <is>
          <t>Quema accidental / Incendio</t>
        </is>
      </c>
      <c r="C40" s="57" t="inlineStr">
        <is>
          <t>No</t>
        </is>
      </c>
      <c r="D40" s="57" t="inlineStr"/>
      <c r="E40" s="57" t="inlineStr"/>
      <c r="F40" s="57" t="inlineStr"/>
      <c r="G40" s="57" t="inlineStr">
        <is>
          <t>Sin evidencia de incendios recientes.</t>
        </is>
      </c>
    </row>
    <row r="41">
      <c r="A41" s="56" t="inlineStr">
        <is>
          <t>7</t>
        </is>
      </c>
      <c r="B41" s="56" t="inlineStr">
        <is>
          <t>Cambio de uso a agricultura</t>
        </is>
      </c>
      <c r="C41" s="56" t="inlineStr">
        <is>
          <t>Sí</t>
        </is>
      </c>
      <c r="D41" s="56" t="inlineStr">
        <is>
          <t>Muy fuerte</t>
        </is>
      </c>
      <c r="E41" s="56" t="inlineStr">
        <is>
          <t>100</t>
        </is>
      </c>
      <c r="F41" s="56" t="inlineStr"/>
      <c r="G41" s="56" t="inlineStr">
        <is>
          <t>CAUSA PRINCIPAL. Conversión histórica del ecosistema a cultivo de maíz en secano sobre ladera; el reporte MINAM clasifica el 100 % del bloque (78,15 ha) como Zona agrícola. Parcelas cercadas con muros de piedra y portones (F-09). Antigüedad por determinar.</t>
        </is>
      </c>
    </row>
    <row r="42">
      <c r="A42" s="57" t="inlineStr">
        <is>
          <t>8</t>
        </is>
      </c>
      <c r="B42" s="57" t="inlineStr">
        <is>
          <t>Cambio de uso a pastoreo</t>
        </is>
      </c>
      <c r="C42" s="57" t="inlineStr">
        <is>
          <t>No</t>
        </is>
      </c>
      <c r="D42" s="57" t="inlineStr"/>
      <c r="E42" s="57" t="inlineStr"/>
      <c r="F42" s="57" t="inlineStr"/>
      <c r="G42" s="57" t="inlineStr">
        <is>
          <t>Sin evidencia de pastoreo como uso dominante.</t>
        </is>
      </c>
    </row>
    <row r="43">
      <c r="A43" s="56" t="inlineStr">
        <is>
          <t>9</t>
        </is>
      </c>
      <c r="B43" s="56" t="inlineStr">
        <is>
          <t>Expansión urbana / vial</t>
        </is>
      </c>
      <c r="C43" s="56" t="inlineStr">
        <is>
          <t>Sí</t>
        </is>
      </c>
      <c r="D43" s="56" t="inlineStr">
        <is>
          <t>Ligera</t>
        </is>
      </c>
      <c r="E43" s="56" t="inlineStr"/>
      <c r="F43" s="56" t="inlineStr"/>
      <c r="G43" s="56" t="inlineStr">
        <is>
          <t>Apertura de trocha/camino con talud de corte inestable que genera incisión activa (F-11). Extensión por determinar.</t>
        </is>
      </c>
    </row>
    <row r="44">
      <c r="A44" s="57" t="inlineStr">
        <is>
          <t>10</t>
        </is>
      </c>
      <c r="B44" s="57" t="inlineStr">
        <is>
          <t>Minería informal</t>
        </is>
      </c>
      <c r="C44" s="57" t="inlineStr">
        <is>
          <t>No</t>
        </is>
      </c>
      <c r="D44" s="57" t="inlineStr"/>
      <c r="E44" s="57" t="inlineStr"/>
      <c r="F44" s="57" t="inlineStr"/>
      <c r="G44" s="57" t="inlineStr">
        <is>
          <t>Sin evidencia de actividad minera en el tramo recorrido.</t>
        </is>
      </c>
    </row>
    <row r="45">
      <c r="A45" s="56" t="inlineStr">
        <is>
          <t>11</t>
        </is>
      </c>
      <c r="B45" s="56" t="inlineStr">
        <is>
          <t>Extracción de áridos (cauces)</t>
        </is>
      </c>
      <c r="C45" s="56" t="inlineStr">
        <is>
          <t>No</t>
        </is>
      </c>
      <c r="D45" s="56" t="inlineStr"/>
      <c r="E45" s="56" t="inlineStr"/>
      <c r="F45" s="56" t="inlineStr"/>
      <c r="G45" s="56" t="inlineStr">
        <is>
          <t>Sin evidencia de extracción de áridos.</t>
        </is>
      </c>
    </row>
    <row r="46">
      <c r="A46" s="57" t="inlineStr">
        <is>
          <t>12</t>
        </is>
      </c>
      <c r="B46" s="57" t="inlineStr">
        <is>
          <t>Especies invasoras</t>
        </is>
      </c>
      <c r="C46" s="57" t="inlineStr">
        <is>
          <t>Sí</t>
        </is>
      </c>
      <c r="D46" s="57" t="inlineStr">
        <is>
          <t>Ligera</t>
        </is>
      </c>
      <c r="E46" s="57" t="inlineStr"/>
      <c r="F46" s="57" t="inlineStr"/>
      <c r="G46" s="57" t="inlineStr">
        <is>
          <t>Presencia de Rumex crispus (introducida/naturalizada, ruderal) en bordes de cárcava y suelos removidos (F-07). Área afectada por determinar.</t>
        </is>
      </c>
    </row>
    <row r="47">
      <c r="A47" s="56" t="inlineStr">
        <is>
          <t>13</t>
        </is>
      </c>
      <c r="B47" s="56" t="inlineStr">
        <is>
          <t>Erosión natural severa</t>
        </is>
      </c>
      <c r="C47" s="56" t="inlineStr">
        <is>
          <t>Sí</t>
        </is>
      </c>
      <c r="D47" s="56" t="inlineStr">
        <is>
          <t>Moderada</t>
        </is>
      </c>
      <c r="E47" s="56" t="inlineStr"/>
      <c r="F47" s="56" t="inlineStr"/>
      <c r="G47" s="56" t="inlineStr">
        <is>
          <t>Cárcavas sobre ladera cultivada (CAR-01) e incisión en talud de camino (CAR-02); erosión hídrica concentrada asociada a labranza en pendiente y pérdida de cobertura permanente (F-04, F-05, F-11).</t>
        </is>
      </c>
    </row>
    <row r="48">
      <c r="A48" s="57" t="inlineStr">
        <is>
          <t>14</t>
        </is>
      </c>
      <c r="B48" s="57" t="inlineStr">
        <is>
          <t>Sequía prolongada / CC</t>
        </is>
      </c>
      <c r="C48" s="57" t="inlineStr">
        <is>
          <t>Sí</t>
        </is>
      </c>
      <c r="D48" s="57" t="inlineStr">
        <is>
          <t>Moderada</t>
        </is>
      </c>
      <c r="E48" s="57" t="inlineStr"/>
      <c r="F48" s="57" t="inlineStr"/>
      <c r="G48" s="57" t="inlineStr">
        <is>
          <t>Fenología de estrés hídrico en el maizal (senescencia generalizada al 15-07-2026, fin de campaña) y vegetación herbácea seca en cárcavas. La atribución a sequía prolongada / cambio climático requiere serie climática (SENAMHI): por verificar.</t>
        </is>
      </c>
    </row>
    <row r="49">
      <c r="A49" s="56" t="inlineStr">
        <is>
          <t>15</t>
        </is>
      </c>
      <c r="B49" s="56" t="inlineStr">
        <is>
          <t>Plagas o enfermedades forestales</t>
        </is>
      </c>
      <c r="C49" s="56" t="inlineStr">
        <is>
          <t>No</t>
        </is>
      </c>
      <c r="D49" s="56" t="inlineStr"/>
      <c r="E49" s="56" t="inlineStr"/>
      <c r="F49" s="56" t="inlineStr"/>
      <c r="G49" s="56" t="inlineStr">
        <is>
          <t>Sin evidencia de plagas o enfermedades forestales; estado sanitario del dosel observado: sano.</t>
        </is>
      </c>
    </row>
    <row r="50">
      <c r="A50" s="57" t="inlineStr">
        <is>
          <t>16</t>
        </is>
      </c>
      <c r="B50" s="57" t="inlineStr">
        <is>
          <t>Otro</t>
        </is>
      </c>
      <c r="C50" s="57" t="inlineStr">
        <is>
          <t>No</t>
        </is>
      </c>
      <c r="D50" s="57" t="inlineStr"/>
      <c r="E50" s="57" t="inlineStr"/>
      <c r="F50" s="57" t="inlineStr"/>
      <c r="G50" s="57" t="inlineStr">
        <is>
          <t>No aplica.</t>
        </is>
      </c>
    </row>
    <row r="52">
      <c r="A52" s="54" t="inlineStr">
        <is>
          <t>F-DT-04 · INDICADORES CUANTITATIVOS</t>
        </is>
      </c>
    </row>
    <row r="53">
      <c r="A53" s="55" t="inlineStr">
        <is>
          <t>N.o</t>
        </is>
      </c>
      <c r="B53" s="55" t="inlineStr">
        <is>
          <t>Indicador</t>
        </is>
      </c>
      <c r="C53" s="55" t="inlineStr">
        <is>
          <t>Unidad</t>
        </is>
      </c>
      <c r="D53" s="55" t="inlineStr">
        <is>
          <t>Valor</t>
        </is>
      </c>
      <c r="E53" s="55" t="inlineStr">
        <is>
          <t>Fuente</t>
        </is>
      </c>
      <c r="F53" s="55" t="inlineStr">
        <is>
          <t>Umbral</t>
        </is>
      </c>
      <c r="G53" s="55" t="inlineStr">
        <is>
          <t>Nivel</t>
        </is>
      </c>
    </row>
    <row r="54">
      <c r="A54" s="56" t="inlineStr">
        <is>
          <t>1</t>
        </is>
      </c>
      <c r="B54" s="56" t="inlineStr">
        <is>
          <t>Cobertura vegetal total</t>
        </is>
      </c>
      <c r="C54" s="56" t="inlineStr">
        <is>
          <t>%</t>
        </is>
      </c>
      <c r="D54" s="56" t="inlineStr">
        <is>
          <t>70</t>
        </is>
      </c>
      <c r="E54" s="56" t="inlineStr">
        <is>
          <t>Estimación ocular de campo (15-07-2026) apoyada en MSAVI 2024 (media del bloque 0,532)</t>
        </is>
      </c>
      <c r="F54" s="56" t="inlineStr">
        <is>
          <t>&gt;60% bueno; 30-60% medio; &lt;30% malo</t>
        </is>
      </c>
      <c r="G54" s="56" t="inlineStr">
        <is>
          <t>Alto</t>
        </is>
      </c>
    </row>
    <row r="55">
      <c r="A55" s="57" t="inlineStr">
        <is>
          <t>2</t>
        </is>
      </c>
      <c r="B55" s="57" t="inlineStr">
        <is>
          <t>Porcentaje de suelo desnudo</t>
        </is>
      </c>
      <c r="C55" s="57" t="inlineStr">
        <is>
          <t>%</t>
        </is>
      </c>
      <c r="D55" s="57" t="inlineStr">
        <is>
          <t>30</t>
        </is>
      </c>
      <c r="E55" s="57" t="inlineStr">
        <is>
          <t>Estimación ocular de campo (incluye rastrojo, cárcavas y suelo de labranza expuesto)</t>
        </is>
      </c>
      <c r="F55" s="57" t="inlineStr">
        <is>
          <t>&lt;10% bueno; 10-30% medio; &gt;30% malo</t>
        </is>
      </c>
      <c r="G55" s="57" t="inlineStr">
        <is>
          <t>Medio</t>
        </is>
      </c>
    </row>
    <row r="56">
      <c r="A56" s="56" t="inlineStr">
        <is>
          <t>3</t>
        </is>
      </c>
      <c r="B56" s="56" t="inlineStr">
        <is>
          <t>Densidad de cárcavas</t>
        </is>
      </c>
      <c r="C56" s="56" t="inlineStr">
        <is>
          <t>N°/ha</t>
        </is>
      </c>
      <c r="D56" s="56" t="inlineStr">
        <is>
          <t>Por determinar</t>
        </is>
      </c>
      <c r="E56" s="56" t="inlineStr">
        <is>
          <t>No cuantificado: el recorrido no constituye censo de cárcavas del bloque</t>
        </is>
      </c>
      <c r="F56" s="56" t="inlineStr">
        <is>
          <t>0 nulo; 1-3 medio; &gt;3 alto</t>
        </is>
      </c>
      <c r="G56" s="56" t="inlineStr"/>
    </row>
    <row r="57">
      <c r="A57" s="57" t="inlineStr">
        <is>
          <t>4</t>
        </is>
      </c>
      <c r="B57" s="57" t="inlineStr">
        <is>
          <t>Presencia de especies invasoras</t>
        </is>
      </c>
      <c r="C57" s="57" t="inlineStr">
        <is>
          <t>% área</t>
        </is>
      </c>
      <c r="D57" s="57" t="inlineStr">
        <is>
          <t>Por determinar</t>
        </is>
      </c>
      <c r="E57" s="57" t="inlineStr">
        <is>
          <t>No cuantificado: presencia de Rumex crispus registrada, área no delimitada</t>
        </is>
      </c>
      <c r="F57" s="57" t="inlineStr">
        <is>
          <t>&lt;5% bueno; 5-20% medio; &gt;20% alto</t>
        </is>
      </c>
      <c r="G57" s="57" t="inlineStr"/>
    </row>
    <row r="58">
      <c r="A58" s="56" t="inlineStr">
        <is>
          <t>5</t>
        </is>
      </c>
      <c r="B58" s="56" t="inlineStr">
        <is>
          <t>Carga ganadera estimada</t>
        </is>
      </c>
      <c r="C58" s="56" t="inlineStr">
        <is>
          <t>UA/ha</t>
        </is>
      </c>
      <c r="D58" s="56" t="inlineStr">
        <is>
          <t>Por determinar</t>
        </is>
      </c>
      <c r="E58" s="56" t="inlineStr">
        <is>
          <t>No cuantificada: no se observó ganado en el tramo recorrido</t>
        </is>
      </c>
      <c r="F58" s="56" t="inlineStr">
        <is>
          <t>Según tipo de ecosistema</t>
        </is>
      </c>
      <c r="G58" s="56" t="inlineStr"/>
    </row>
    <row r="59">
      <c r="A59" s="57" t="inlineStr">
        <is>
          <t>6</t>
        </is>
      </c>
      <c r="B59" s="57" t="inlineStr">
        <is>
          <t>Frecuencia de quemas últimos 5 años</t>
        </is>
      </c>
      <c r="C59" s="57" t="inlineStr">
        <is>
          <t>N°</t>
        </is>
      </c>
      <c r="D59" s="57" t="inlineStr">
        <is>
          <t>Por determinar</t>
        </is>
      </c>
      <c r="E59" s="57" t="inlineStr">
        <is>
          <t>No cuantificada: requiere consulta comunal y/o detección satelital de cicatrices de quema</t>
        </is>
      </c>
      <c r="F59" s="57" t="inlineStr">
        <is>
          <t>0 nulo; 1-2 medio; &gt;2 alto</t>
        </is>
      </c>
      <c r="G59" s="57" t="inlineStr"/>
    </row>
    <row r="60">
      <c r="A60" s="56" t="inlineStr">
        <is>
          <t>7</t>
        </is>
      </c>
      <c r="B60" s="56" t="inlineStr">
        <is>
          <t>% área con pendiente &gt;50%</t>
        </is>
      </c>
      <c r="C60" s="56" t="inlineStr">
        <is>
          <t>%</t>
        </is>
      </c>
      <c r="D60" s="56" t="inlineStr">
        <is>
          <t>Por determinar</t>
        </is>
      </c>
      <c r="E60" s="56" t="inlineStr">
        <is>
          <t>No cuantificado: requiere procesamiento DEM. Referencia disponible: perfil Google Earth del acceso registra pendiente media 26,9 % y máxima 52,2 %</t>
        </is>
      </c>
      <c r="F60" s="56" t="inlineStr">
        <is>
          <t>Factor de susceptibilidad</t>
        </is>
      </c>
      <c r="G60" s="56" t="inlineStr"/>
    </row>
    <row r="61">
      <c r="A61" s="57" t="inlineStr">
        <is>
          <t>8</t>
        </is>
      </c>
      <c r="B61" s="57" t="inlineStr">
        <is>
          <t>Distancia a vía vecinal más cercana</t>
        </is>
      </c>
      <c r="C61" s="57" t="inlineStr">
        <is>
          <t>m</t>
        </is>
      </c>
      <c r="D61" s="57" t="inlineStr">
        <is>
          <t>Por determinar</t>
        </is>
      </c>
      <c r="E61" s="57" t="inlineStr">
        <is>
          <t>No medida: existe camino/trocha dentro del sector (talud de corte, F-11); distancia por determinar con red vial MTC</t>
        </is>
      </c>
      <c r="F61" s="57" t="inlineStr">
        <is>
          <t>A menor distancia → mayor presión</t>
        </is>
      </c>
      <c r="G61" s="57" t="inlineStr"/>
    </row>
    <row r="63">
      <c r="A63" s="54" t="inlineStr">
        <is>
          <t>F-DT-05 · FUENTES DE AGUA INVENTARIADAS</t>
        </is>
      </c>
    </row>
    <row r="64">
      <c r="A64" s="55" t="inlineStr">
        <is>
          <t>N.o</t>
        </is>
      </c>
      <c r="B64" s="55" t="inlineStr">
        <is>
          <t>Tipo de fuente</t>
        </is>
      </c>
      <c r="C64" s="55" t="inlineStr">
        <is>
          <t>UTM ESTE</t>
        </is>
      </c>
      <c r="D64" s="55" t="inlineStr">
        <is>
          <t>UTM NORTE</t>
        </is>
      </c>
      <c r="E64" s="55" t="inlineStr">
        <is>
          <t>Régimen</t>
        </is>
      </c>
      <c r="F64" s="55" t="inlineStr">
        <is>
          <t>Calidad</t>
        </is>
      </c>
      <c r="G64" s="55" t="inlineStr">
        <is>
          <t>Distancia (m)</t>
        </is>
      </c>
      <c r="H64" s="55" t="inlineStr">
        <is>
          <t>Uso / observación</t>
        </is>
      </c>
    </row>
    <row r="67">
      <c r="A67" s="54" t="inlineStr">
        <is>
          <t>OBSERVACIONES DEL EVALUADOR POR FICHA</t>
        </is>
      </c>
    </row>
    <row r="68">
      <c r="A68" s="55" t="inlineStr">
        <is>
          <t>Ficha</t>
        </is>
      </c>
      <c r="B68" s="55" t="inlineStr">
        <is>
          <t>Observación registrada en campo</t>
        </is>
      </c>
    </row>
    <row r="69">
      <c r="A69" s="56" t="inlineStr">
        <is>
          <t>F-DT-01</t>
        </is>
      </c>
      <c r="B69" s="56" t="inlineStr">
        <is>
          <t>OBSERVACIONES: Altitud GPS no registrada por la aplicación de campo; el rango altitudinal consignado se sustenta en el perfil de elevación Google Earth del acceso al bloque (1 519 – 1 805 msnm; media 1 628 m; pendiente media 26,9 %; pendiente máxima 52,2 % sobre 1,04 km de recorrido). Rango de pendiente y forma del terreno son estimaciones apoyadas en dicho perfil y en observación directa; quedan sujetos a confirmación con DEM. No se observaron remociones en masa activas ni deslizamientos antiguos en el sector recorrido; los escarpes registrados corresponden a taludes de corte de camino y a cabeceras de cárcava. Recorrido de reconocimiento a lo largo de ~700 m en sentido E–O (612 473 – 613 168 E), no cubre la totalidad del polígono (78,15 ha). Centroide oficial del bloque: 613 302 E / 9 450 231 N (Centroides_Bloques_V5).</t>
        </is>
      </c>
    </row>
    <row r="70">
      <c r="A70" s="57" t="inlineStr">
        <is>
          <t>F-DT-02</t>
        </is>
      </c>
      <c r="B70" s="57" t="inlineStr">
        <is>
          <t>OBSERVACIONES: El recorrido fue de reconocimiento; NO se efectuaron mediciones instrumentales de cárcavas (longitud, profundidad, ancho) ni levantamiento de sus ejes. Las coordenadas consignadas corresponden al punto de toma fotográfica georreferenciada, no al eje de la cárcava. Las columnas Tipo, Long., Prof. y Ancho quedan POR DETERMINAR hasta el levantamiento detallado. El N° total de cárcavas (2) corresponde únicamente a las registradas en el tramo recorrido (~700 m en sentido E–O) y NO constituye un censo del bloque (78,15 ha); el % del bloque afectado y la longitud total quedan por determinar. CAR-01: cárcava sobre ladera de cultivo, cubierta por vegetación herbácea seca estacional, con maizales en ambos bordes y regeneración arbustiva incipiente en el fondo; se clasifica como SEMI-ACTIVA por presentar cobertura estacional pero paredes desprovistas y cabecera en contacto directo con la parcela de labranza (F-04, F-05). CAR-02: incisión activa asociada a talud de corte de camino, con material suelto, bloques desprendidos y ausencia de cobertura en la superficie de arrastre (F-11). La clasificación de estado y causa es interpretación técnica del especialista a partir de evidencia fotográfica georreferenciada, sujeta a verificación instrumental. Erosión laminar y % de bloque afectado: por determinar (no cuantificados en campo).</t>
        </is>
      </c>
    </row>
    <row r="71">
      <c r="A71" s="56" t="inlineStr">
        <is>
          <t>F-DT-05</t>
        </is>
      </c>
      <c r="B71" s="56" t="inlineStr">
        <is>
          <t>OBSERVACIONES: (1) INVENTARIO DE FUENTES DE AGUA: no se registraron fuentes de agua (manantiales, quebradas, captaciones) durante el recorrido del 15-07-2026; el inventario queda VACÍO Y PENDIENTE. La imagen satelital Google Earth muestra una red de quebradas al oeste y sur del polígono (tributarias de la microcuenca C1096-Q9556, sector Chucapiz – Nueva Esperanza), pero sus coordenadas, régimen, calidad y distancia al bloque NO fueron verificados en campo y no se consignan para no introducir datos sin respaldo. (2) ESCORRENTÍA CONCENTRADA: confirmada indirectamente por la presencia y morfología de las cárcavas CAR-01 y CAR-02, que canalizan el flujo superficial ladera abajo (F-04, F-05, F-11). (3) ZONA DE RECARGA HÍDRICA: por determinar; requiere análisis hidrogeológico. (4) JASS / captación poblacional: no consultada en campo; los C.P. de referencia son Nueva Esperanza de Misquis (83 hab.) y Linderos de Misquis (28 hab.). Nombre de JASS, distancia a captación y contacto: por determinar. (5) ACCESIBILIDAD: se confirma la existencia de vía de tipo TROCHA CARROZABLE en el sector por evidencia fotográfica directa (talud de corte con huellas de rodadura, F-11, 612 473 E / 9 449 785 N). La modalidad de acceso, la denominación de la vía principal (PE-/PI-), los estados de transitabilidad por estación y los tiempos de viaje desde las capitales distrital (Frías) y provincial (Ayabaca) NO fueron cronometrados ni verificados: quedan por determinar. (6) Señal celular, operador dominante y alojamiento rural: no verificados en campo. (7) RONDA CAMPESINA: no se consultó la necesidad de autorización ni se registraron contactos; por determinar. Se observó tenencia privada consolidada (cercos de piedra con portón metálico, F-09), lo que anticipa la necesidad de gestión de acuerdos con titulares prediales.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27</t>
        </is>
      </c>
    </row>
    <row r="7">
      <c r="A7" s="54" t="inlineStr">
        <is>
          <t>Hechos declarados por fuente</t>
        </is>
      </c>
    </row>
    <row r="8">
      <c r="A8" s="55" t="inlineStr">
        <is>
          <t>Fuente</t>
        </is>
      </c>
      <c r="B8" s="55" t="inlineStr">
        <is>
          <t>Hechos</t>
        </is>
      </c>
    </row>
    <row r="9">
      <c r="A9" s="56" t="inlineStr">
        <is>
          <t>Dato de campo</t>
        </is>
      </c>
      <c r="B9" s="56" t="n">
        <v>52</v>
      </c>
    </row>
    <row r="10">
      <c r="A10" s="57" t="inlineStr">
        <is>
          <t>Gabinete (GIS / teledetección)</t>
        </is>
      </c>
      <c r="B10" s="57" t="n">
        <v>22</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87</v>
      </c>
    </row>
    <row r="29">
      <c r="A29" s="57" t="inlineStr">
        <is>
          <t>COMPLEMENTADO</t>
        </is>
      </c>
      <c r="B29" s="57" t="n">
        <v>1</v>
      </c>
    </row>
    <row r="30">
      <c r="A30" s="56" t="inlineStr">
        <is>
          <t>ACTUALIZADO</t>
        </is>
      </c>
      <c r="B30" s="56" t="n">
        <v>0</v>
      </c>
    </row>
    <row r="31">
      <c r="A31" s="57" t="inlineStr">
        <is>
          <t>DISCREPANTE</t>
        </is>
      </c>
      <c r="B31" s="57" t="n">
        <v>0</v>
      </c>
    </row>
    <row r="32">
      <c r="A32" s="56" t="inlineStr">
        <is>
          <t>PENDIENTE</t>
        </is>
      </c>
      <c r="B32" s="56" t="n">
        <v>26</v>
      </c>
    </row>
    <row r="45">
      <c r="A45" s="54" t="inlineStr">
        <is>
          <t>Cobertura por estrato — campo (%)</t>
        </is>
      </c>
    </row>
    <row r="46">
      <c r="A46" s="55" t="inlineStr">
        <is>
          <t>Estrato</t>
        </is>
      </c>
      <c r="B46" s="55" t="inlineStr">
        <is>
          <t>% del área</t>
        </is>
      </c>
    </row>
    <row r="47">
      <c r="A47" s="56" t="inlineStr">
        <is>
          <t>Dosel</t>
        </is>
      </c>
      <c r="B47" s="64" t="n">
        <v>5</v>
      </c>
    </row>
    <row r="48">
      <c r="A48" s="57" t="inlineStr">
        <is>
          <t>Arbustiva</t>
        </is>
      </c>
      <c r="B48" s="62" t="n">
        <v>35</v>
      </c>
    </row>
    <row r="49">
      <c r="A49" s="56" t="inlineStr">
        <is>
          <t>Herbácea</t>
        </is>
      </c>
      <c r="B49" s="61" t="n">
        <v>35</v>
      </c>
    </row>
    <row r="50">
      <c r="A50" s="57" t="inlineStr">
        <is>
          <t>Suelo desnudo</t>
        </is>
      </c>
      <c r="B50" s="62" t="n">
        <v>30</v>
      </c>
    </row>
    <row r="64">
      <c r="A64" s="54" t="inlineStr">
        <is>
          <t>Causas activas de degradación (F-DT-04)</t>
        </is>
      </c>
    </row>
    <row r="65">
      <c r="A65" s="55" t="inlineStr">
        <is>
          <t>Causa</t>
        </is>
      </c>
      <c r="B65" s="55" t="inlineStr">
        <is>
          <t>Intensidad (1 ligera - 4 muy fuerte)</t>
        </is>
      </c>
    </row>
    <row r="66">
      <c r="A66" s="56" t="inlineStr">
        <is>
          <t>Cambio de uso a agricultura</t>
        </is>
      </c>
      <c r="B66" s="56" t="n">
        <v>4</v>
      </c>
    </row>
    <row r="67">
      <c r="A67" s="57" t="inlineStr">
        <is>
          <t>Erosión natural severa</t>
        </is>
      </c>
      <c r="B67" s="57" t="n">
        <v>2</v>
      </c>
    </row>
    <row r="68">
      <c r="A68" s="56" t="inlineStr">
        <is>
          <t>Sequía prolongada / CC</t>
        </is>
      </c>
      <c r="B68" s="56" t="n">
        <v>2</v>
      </c>
    </row>
    <row r="69">
      <c r="A69" s="57" t="inlineStr">
        <is>
          <t>Especies invasoras</t>
        </is>
      </c>
      <c r="B69" s="57" t="n">
        <v>1</v>
      </c>
    </row>
    <row r="70">
      <c r="A70" s="56" t="inlineStr">
        <is>
          <t>Expansión urbana / vial</t>
        </is>
      </c>
      <c r="B70" s="56" t="n">
        <v>1</v>
      </c>
    </row>
    <row r="71">
      <c r="A71" s="57" t="inlineStr">
        <is>
          <t>Tala para leña</t>
        </is>
      </c>
      <c r="B71" s="57" t="n">
        <v>1</v>
      </c>
    </row>
    <row r="83">
      <c r="A83" s="54" t="inlineStr">
        <is>
          <t>Control de consistencia por calificación</t>
        </is>
      </c>
    </row>
    <row r="84">
      <c r="A84" s="55" t="inlineStr">
        <is>
          <t>Calificación</t>
        </is>
      </c>
      <c r="B84" s="55" t="inlineStr">
        <is>
          <t>Verificaciones</t>
        </is>
      </c>
    </row>
    <row r="85">
      <c r="A85" s="56" t="inlineStr">
        <is>
          <t>SUSTANTIVA</t>
        </is>
      </c>
      <c r="B85" s="56" t="n">
        <v>2</v>
      </c>
    </row>
    <row r="86">
      <c r="A86" s="57" t="inlineStr">
        <is>
          <t>NO SUSTANTIVA</t>
        </is>
      </c>
      <c r="B86" s="57" t="n">
        <v>3</v>
      </c>
    </row>
    <row r="87">
      <c r="A87" s="56" t="inlineStr">
        <is>
          <t>CORREGIDO</t>
        </is>
      </c>
      <c r="B87" s="56" t="n">
        <v>0</v>
      </c>
    </row>
    <row r="88">
      <c r="A88" s="57" t="inlineStr">
        <is>
          <t>CONFORME</t>
        </is>
      </c>
      <c r="B88"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27 — IN Piura</dc:title>
  <dc:subject>Diagnóstico Territorial por bloque de intervención</dc:subject>
  <dcterms:created xsi:type="dcterms:W3CDTF">2026-09-08T03:39:56Z</dcterms:created>
  <dcterms:modified xsi:type="dcterms:W3CDTF">2026-09-11T21:26:24Z</dcterms:modified>
</cp:coreProperties>
</file>