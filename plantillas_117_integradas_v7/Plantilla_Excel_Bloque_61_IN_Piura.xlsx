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integración'!$A$66:$A$68</f>
            </numRef>
          </cat>
          <val>
            <numRef>
              <f>'Gráficos de integración'!$B$66:$B$68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61</t>
        </is>
      </c>
    </row>
    <row r="6" ht="24" customHeight="1">
      <c r="A6" s="4" t="inlineStr">
        <is>
          <t>Diagnóstico Territorial — Plantilla DT Campo Check Validada V5 | Sistema de referencia: UTM WGS 84 Zona 17S (EPSG:32717) · Integrado con la ficha de campo F-DT vigente (Plantilla_DT_Campo_Check_Validada_V5_Bloque61.xlsx) — V7 - resumen V6 + campo F-DT integrado</t>
        </is>
      </c>
    </row>
    <row r="7"/>
    <row r="8" ht="18" customHeight="1">
      <c r="A8" s="5" t="inlineStr">
        <is>
          <t>1. IDENTIFICACIÓN Y LOCALIZACIÓN</t>
        </is>
      </c>
    </row>
    <row r="9">
      <c r="A9" s="6" t="inlineStr">
        <is>
          <t>Código del bloque</t>
        </is>
      </c>
      <c r="B9" s="7" t="inlineStr">
        <is>
          <t>61</t>
        </is>
      </c>
      <c r="C9" s="6" t="inlineStr">
        <is>
          <t>Microcuenca (catálogo)</t>
        </is>
      </c>
      <c r="D9" s="7" t="inlineStr">
        <is>
          <t>C1081-Q9590</t>
        </is>
      </c>
      <c r="E9" s="8" t="n"/>
      <c r="F9" s="8" t="n"/>
    </row>
    <row r="10">
      <c r="A10" s="6" t="inlineStr">
        <is>
          <t>Zona de planificación</t>
        </is>
      </c>
      <c r="B10" s="7" t="inlineStr">
        <is>
          <t>Z10</t>
        </is>
      </c>
      <c r="C10" s="6" t="inlineStr">
        <is>
          <t>Microcuenca declarada en ficha DT</t>
        </is>
      </c>
      <c r="D10" s="7" t="inlineStr">
        <is>
          <t>C1076-Q9584 (según ficha — valor por defecto de plantilla; catálogo: C1081-Q9590)</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Pedregal</t>
        </is>
      </c>
      <c r="C13" s="6" t="inlineStr">
        <is>
          <t>Comunidad campesina</t>
        </is>
      </c>
      <c r="D13" s="49" t="inlineStr">
        <is>
          <t>No registrada en campo (por verificar)</t>
        </is>
      </c>
      <c r="E13" s="8" t="n"/>
      <c r="F13" s="8" t="n"/>
    </row>
    <row r="14">
      <c r="A14" s="6" t="inlineStr">
        <is>
          <t>Superficie de catálogo (V5/V6), ha</t>
        </is>
      </c>
      <c r="B14" s="7" t="n">
        <v>26.83</v>
      </c>
      <c r="C14" s="6" t="inlineStr">
        <is>
          <t>Fuente de superficie</t>
        </is>
      </c>
      <c r="D14" s="7" t="inlineStr">
        <is>
          <t>Catálogo maestro Bloques V5/V6</t>
        </is>
      </c>
      <c r="E14" s="8" t="n"/>
      <c r="F14" s="8" t="n"/>
    </row>
    <row r="15">
      <c r="A15" s="6" t="inlineStr">
        <is>
          <t>Centroide UTM ESTE (m)</t>
        </is>
      </c>
      <c r="B15" s="7" t="n">
        <v>646236</v>
      </c>
      <c r="C15" s="6" t="inlineStr">
        <is>
          <t>Centroide UTM NORTE (m)</t>
        </is>
      </c>
      <c r="D15" s="7" t="n">
        <v>9425052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1098</v>
      </c>
      <c r="C19" s="6" t="inlineStr">
        <is>
          <t>Altitud máxima (msnm)</t>
        </is>
      </c>
      <c r="D19" s="7" t="n">
        <v>1336</v>
      </c>
      <c r="E19" s="8" t="n"/>
      <c r="F19" s="8" t="n"/>
    </row>
    <row r="20">
      <c r="A20" s="6" t="inlineStr">
        <is>
          <t>Amplitud altitudinal (m)</t>
        </is>
      </c>
      <c r="B20" s="7" t="n">
        <v>238</v>
      </c>
      <c r="C20" s="6" t="inlineStr">
        <is>
          <t>Piso altitudinal dominante</t>
        </is>
      </c>
      <c r="D20" s="7" t="inlineStr">
        <is>
          <t>1000-1500 m (Quechua baja)</t>
        </is>
      </c>
      <c r="E20" s="8" t="n"/>
      <c r="F20" s="8" t="n"/>
    </row>
    <row r="21">
      <c r="A21" s="6" t="inlineStr">
        <is>
          <t>Pendiente promedio (%)</t>
        </is>
      </c>
      <c r="B21" s="7" t="n">
        <v>22.61</v>
      </c>
      <c r="C21" s="6" t="inlineStr">
        <is>
          <t>Pendiente promedio (grados)</t>
        </is>
      </c>
      <c r="D21" s="7" t="n">
        <v>12.7</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baja</t>
        </is>
      </c>
      <c r="E23" s="8" t="n"/>
      <c r="F23" s="8" t="n"/>
    </row>
    <row r="24">
      <c r="A24" s="6" t="inlineStr">
        <is>
          <t>Exposición / orientación</t>
        </is>
      </c>
      <c r="B24" s="7" t="inlineStr">
        <is>
          <t>Suroeste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0.6112</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(80.15 %)</t>
        </is>
      </c>
      <c r="E29" s="8" t="n"/>
      <c r="F29" s="8" t="n"/>
    </row>
    <row r="30">
      <c r="A30" s="6" t="inlineStr">
        <is>
          <t>Superficie clasificada NDVI 2025 (ha)</t>
        </is>
      </c>
      <c r="B30" s="7" t="n">
        <v>26.833</v>
      </c>
      <c r="C30" s="6" t="inlineStr">
        <is>
          <t>Desviación frente al catálogo (%)</t>
        </is>
      </c>
      <c r="D30" s="7" t="n">
        <v>0.01</v>
      </c>
      <c r="E30" s="8" t="n"/>
      <c r="F30" s="8" t="n"/>
    </row>
    <row r="31">
      <c r="A31" s="6" t="inlineStr">
        <is>
          <t>Superficie clasificada MSAVI 2024 (ha)</t>
        </is>
      </c>
      <c r="B31" s="37" t="n">
        <v>26.826</v>
      </c>
      <c r="C31" s="6" t="inlineStr">
        <is>
          <t>Desviación MSAVI frente al catálogo (%)</t>
        </is>
      </c>
      <c r="D31" s="38" t="n">
        <v>-0.02</v>
      </c>
      <c r="E31" s="8" t="n"/>
      <c r="F31" s="8" t="n"/>
    </row>
    <row r="32">
      <c r="A32" s="6" t="inlineStr">
        <is>
          <t>Superficie bajo umbral MSAVI 0.4976 (ha)</t>
        </is>
      </c>
      <c r="B32" s="37" t="n">
        <v>5.66</v>
      </c>
      <c r="C32" s="6" t="inlineStr">
        <is>
          <t>% del bloque bajo umbral (brecha espectral)</t>
        </is>
      </c>
      <c r="D32" s="38" t="n">
        <v>21.1</v>
      </c>
      <c r="E32" s="8" t="n"/>
      <c r="F32" s="8" t="n"/>
    </row>
    <row r="33">
      <c r="A33" s="6" t="inlineStr">
        <is>
          <t>Clase DN dominante (MSAVI 2024)</t>
        </is>
      </c>
      <c r="B33" s="7" t="inlineStr">
        <is>
          <t>DN 5 · &gt; 0.6139 (Vigor alto)</t>
        </is>
      </c>
      <c r="C33" s="6" t="inlineStr">
        <is>
          <t>N.° de polígonos MSAVI del bloque</t>
        </is>
      </c>
      <c r="D33" s="39" t="n">
        <v>62</v>
      </c>
      <c r="E33" s="8" t="n"/>
      <c r="F33" s="8" t="n"/>
    </row>
    <row r="34"/>
    <row r="35" ht="18" customHeight="1">
      <c r="A35" s="5" t="inlineStr">
        <is>
          <t>4. ECOSISTEMA Y ESTADO DE CONSERVACIÓN</t>
        </is>
      </c>
    </row>
    <row r="36">
      <c r="A36" s="6" t="inlineStr">
        <is>
          <t>Tipo de ecosistema (UP)</t>
        </is>
      </c>
      <c r="B36" s="49" t="inlineStr">
        <is>
          <t>Agroecosistema / Mosaico</t>
        </is>
      </c>
      <c r="C36" s="6" t="inlineStr">
        <is>
          <t>Superficie de ecosistema (ha)</t>
        </is>
      </c>
      <c r="D36" s="7" t="inlineStr">
        <is>
          <t>7 ha de ecosistema remanente (de 26.83 ha del bloque)</t>
        </is>
      </c>
      <c r="E36" s="8" t="n"/>
      <c r="F36" s="8" t="n"/>
    </row>
    <row r="37">
      <c r="A37" s="6" t="inlineStr">
        <is>
          <t>Estado de conservación</t>
        </is>
      </c>
      <c r="B37" s="7" t="inlineStr">
        <is>
          <t>Medianamente alterado</t>
        </is>
      </c>
      <c r="C37" s="6" t="inlineStr">
        <is>
          <t>Uso actual dominante del suelo</t>
        </is>
      </c>
      <c r="D37" s="7" t="inlineStr">
        <is>
          <t>Uso mixto (agropecuario dominante)</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n">
        <v>5</v>
      </c>
      <c r="C39" s="6" t="inlineStr">
        <is>
          <t>Regeneración natural</t>
        </is>
      </c>
      <c r="D39" s="7" t="inlineStr">
        <is>
          <t>Escasa (&lt;10 pl./100m²)</t>
        </is>
      </c>
      <c r="E39" s="8" t="n"/>
      <c r="F39" s="8" t="n"/>
    </row>
    <row r="40">
      <c r="A40" s="6" t="inlineStr">
        <is>
          <t>Nivel general de erosión</t>
        </is>
      </c>
      <c r="B40" s="49" t="inlineStr">
        <is>
          <t>Fuerte (cárcavas incipientes)</t>
        </is>
      </c>
      <c r="C40" s="6" t="inlineStr">
        <is>
          <t>N.° de cárcavas registradas</t>
        </is>
      </c>
      <c r="D40" s="49" t="inlineStr">
        <is>
          <t>4</t>
        </is>
      </c>
      <c r="E40" s="8" t="n"/>
      <c r="F40" s="8" t="n"/>
    </row>
    <row r="41">
      <c r="A41" s="6" t="inlineStr">
        <is>
          <t>Elenco florístico (n.° de taxones)</t>
        </is>
      </c>
      <c r="B41" s="49" t="inlineStr">
        <is>
          <t>9</t>
        </is>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49" t="inlineStr">
        <is>
          <t>Ing. Héctor Salomón Cahuas Miller</t>
        </is>
      </c>
      <c r="C44" s="6" t="inlineStr">
        <is>
          <t>Fecha de evaluación</t>
        </is>
      </c>
      <c r="D44" s="7" t="inlineStr">
        <is>
          <t>2026-07-07</t>
        </is>
      </c>
      <c r="E44" s="8" t="n"/>
      <c r="F44" s="8" t="n"/>
    </row>
    <row r="45">
      <c r="A45" s="6" t="inlineStr">
        <is>
          <t>Hora de registro</t>
        </is>
      </c>
      <c r="B45" s="7" t="inlineStr">
        <is>
          <t>14:30 h</t>
        </is>
      </c>
      <c r="C45" s="6" t="inlineStr">
        <is>
          <t>Correlativo de ficha</t>
        </is>
      </c>
      <c r="D45" s="49" t="inlineStr">
        <is>
          <t>F-DT-61/2026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No consignada</t>
        </is>
      </c>
      <c r="E47" s="8" t="n"/>
      <c r="F47" s="8" t="n"/>
    </row>
    <row r="48">
      <c r="A48" s="6" t="inlineStr">
        <is>
          <t>Estaciones fotográficas georreferenciadas</t>
        </is>
      </c>
      <c r="B48" s="7" t="n">
        <v>0</v>
      </c>
      <c r="C48" s="6" t="inlineStr">
        <is>
          <t>Modalidad de acceso</t>
        </is>
      </c>
      <c r="D48" s="49"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49" t="inlineStr">
        <is>
          <t>Presión económica de la actividad agropecuaria familiar de subsistencia, que amplía potreros y parcelas de maíz sobre laderas de fuerte pendiente sin prácticas de conservación de suelos, en un contexto de ausencia de asistencia técnica, de alternativas productivas y de instrumentos de ordenamiento del uso del suelo a escala comunal.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Por determinar</t>
        </is>
      </c>
      <c r="C53" s="6" t="inlineStr">
        <is>
          <t>Zona de recarga hídrica</t>
        </is>
      </c>
      <c r="D53" s="49"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12.3466</v>
      </c>
      <c r="C10" s="19">
        <f>ROUND(B10/$B$15*100,2)</f>
        <v/>
      </c>
      <c r="D10" s="11" t="inlineStr">
        <is>
          <t>Vigor alto</t>
        </is>
      </c>
      <c r="E10" s="11" t="inlineStr">
        <is>
          <t>Sobre umbral</t>
        </is>
      </c>
    </row>
    <row r="11">
      <c r="A11" s="12" t="inlineStr">
        <is>
          <t>0.4976 - 0.6139 · DN 4</t>
        </is>
      </c>
      <c r="B11" s="31" t="n">
        <v>8.8194</v>
      </c>
      <c r="C11" s="30">
        <f>ROUND(B11/$B$15*100,2)</f>
        <v/>
      </c>
      <c r="D11" s="13" t="inlineStr">
        <is>
          <t>Vigor moderado</t>
        </is>
      </c>
      <c r="E11" s="13" t="inlineStr">
        <is>
          <t>Sobre umbral</t>
        </is>
      </c>
    </row>
    <row r="12">
      <c r="A12" s="7" t="inlineStr">
        <is>
          <t>0.3813 - 0.4976 · DN 3</t>
        </is>
      </c>
      <c r="B12" s="18" t="n">
        <v>5.4416</v>
      </c>
      <c r="C12" s="19">
        <f>ROUND(B12/$B$15*100,2)</f>
        <v/>
      </c>
      <c r="D12" s="11" t="inlineStr">
        <is>
          <t>Vigor bajo</t>
        </is>
      </c>
      <c r="E12" s="11" t="inlineStr">
        <is>
          <t>BAJO umbral 0.4976</t>
        </is>
      </c>
    </row>
    <row r="13">
      <c r="A13" s="14" t="inlineStr">
        <is>
          <t>0.2650 - 0.3813 · DN 2</t>
        </is>
      </c>
      <c r="B13" s="20" t="n">
        <v>0.218</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62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26.83</v>
      </c>
      <c r="C18" s="48" t="inlineStr">
        <is>
          <t>—</t>
        </is>
      </c>
      <c r="D18" s="45" t="inlineStr">
        <is>
          <t>Desviación planimétrica frente al catálogo</t>
        </is>
      </c>
      <c r="E18" s="45" t="inlineStr">
        <is>
          <t>-0.02 %</t>
        </is>
      </c>
    </row>
    <row r="19">
      <c r="A19" s="16" t="inlineStr">
        <is>
          <t>MSAVI 2024 — MEDIA DEL BLOQUE</t>
        </is>
      </c>
      <c r="B19" s="17" t="n">
        <v>0.611186</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62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(0.6112)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21.5061</v>
      </c>
      <c r="C25" s="19" t="n">
        <v>80.15000000000001</v>
      </c>
      <c r="D25" s="11" t="inlineStr">
        <is>
          <t>Dosel continuo, matorral denso o mosaico agroforestal</t>
        </is>
      </c>
      <c r="E25" s="11" t="inlineStr"/>
    </row>
    <row r="26">
      <c r="A26" s="14" t="inlineStr">
        <is>
          <t>Vegetación mediana</t>
        </is>
      </c>
      <c r="B26" s="20" t="n">
        <v>5.3268</v>
      </c>
      <c r="C26" s="21" t="n">
        <v>19.85</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26.83</v>
      </c>
      <c r="C28" s="25" t="inlineStr">
        <is>
          <t>—</t>
        </is>
      </c>
      <c r="D28" s="25" t="inlineStr">
        <is>
          <t>Desviación planimétrica frente al catálogo</t>
        </is>
      </c>
      <c r="E28" s="25" t="inlineStr">
        <is>
          <t>+0.01 %</t>
        </is>
      </c>
    </row>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0" t="n"/>
      <c r="C30" s="40" t="n"/>
      <c r="D30" s="40" t="n"/>
      <c r="E30" s="41"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61</t>
        </is>
      </c>
    </row>
    <row r="6" ht="24" customHeight="1">
      <c r="A6" s="4" t="inlineStr">
        <is>
          <t>Levantamiento del 2026-07-07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31558.9</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646236</v>
      </c>
      <c r="C13" s="6" t="inlineStr">
        <is>
          <t>Centroide del bloque — UTM NORTE (m)</t>
        </is>
      </c>
      <c r="D13" s="7" t="n">
        <v>9425052</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8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asienta sobre ladera de montaña, con pendiente inferior al 30% y altitud de 1100 msnm. No se observan piedras de tamaño regular, salvo ejemplares medianos semienterrados y dispersos. El terreno se ubica POR ENCIMA DEL TALUD de una vía afirmada que conecta dos centros poblados del distrito; dicha vía presenta en varios tramos evidencias de derrumbes y procesos de erosión. Configuración fragmentada, en mosaico de parcelas de maíz y pastos; zona usada además para pastoreo de ganado vacuno, con notable deterioro del suelo por pisoteo continuo. Presencia de TOCONES (extracción previa de individuos arbóreos y arbustivos) y caminos de herradura en la ladera. Notable presencia de SURCOS, CÁRCAVAS DE TAMAÑO MEDIANO y otras en proceso de formación: alto nivel de impacto antrópico y ganadero que acelera la erosión hídrica. Zonas de reptación en áreas desprovistas de vegetación y derrumbes de menor extensión. NOTA DE CONSISTENCIA: el punto de registro (645 575 E / 9 393 500 N) difiere del centroide del bloque (646 236 E / 9 425 050 N) en ≈31 km en el eje norte; se transcribe tal como consta en el original.</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C1081-Q9590 — BLOQUE 61</t>
        </is>
      </c>
    </row>
    <row r="6" ht="24" customHeight="1">
      <c r="A6" s="4" t="inlineStr">
        <is>
          <t>Distrito de Lalaquiz · Provincia de Huancabamba · Comparación de los bloques preliminares de intervención de la misma microcuenca</t>
        </is>
      </c>
    </row>
    <row r="8" ht="18" customHeight="1">
      <c r="A8" s="5" t="inlineStr">
        <is>
          <t>BLOQUES DE LA MICROCUENCA C1081-Q9590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38</t>
        </is>
      </c>
      <c r="B10" s="27" t="n">
        <v>44.2</v>
      </c>
      <c r="C10" s="19" t="n">
        <v>29.78</v>
      </c>
      <c r="D10" s="11" t="inlineStr">
        <is>
          <t>1302 – 1533</t>
        </is>
      </c>
      <c r="E10" s="11" t="n">
        <v>231</v>
      </c>
      <c r="F10" s="11" t="n">
        <v>24.25</v>
      </c>
      <c r="G10" s="18" t="n">
        <v>0.6725</v>
      </c>
      <c r="H10" s="19" t="n">
        <v>99.3</v>
      </c>
      <c r="I10" s="19" t="n">
        <v>0.41</v>
      </c>
    </row>
    <row r="11">
      <c r="A11" s="14" t="inlineStr">
        <is>
          <t>33</t>
        </is>
      </c>
      <c r="B11" s="28" t="n">
        <v>29.68</v>
      </c>
      <c r="C11" s="21" t="n">
        <v>20</v>
      </c>
      <c r="D11" s="15" t="inlineStr">
        <is>
          <t>1841 – 2226</t>
        </is>
      </c>
      <c r="E11" s="15" t="n">
        <v>385</v>
      </c>
      <c r="F11" s="15" t="n">
        <v>36.6</v>
      </c>
      <c r="G11" s="20" t="n">
        <v>0.7192</v>
      </c>
      <c r="H11" s="21" t="inlineStr">
        <is>
          <t>Por determinar</t>
        </is>
      </c>
      <c r="I11" s="15" t="inlineStr">
        <is>
          <t>s/d</t>
        </is>
      </c>
    </row>
    <row r="12">
      <c r="A12" s="7" t="inlineStr">
        <is>
          <t>34</t>
        </is>
      </c>
      <c r="B12" s="27" t="n">
        <v>28.45</v>
      </c>
      <c r="C12" s="19" t="n">
        <v>19.17</v>
      </c>
      <c r="D12" s="11" t="inlineStr">
        <is>
          <t>1286 – 1514</t>
        </is>
      </c>
      <c r="E12" s="11" t="n">
        <v>228</v>
      </c>
      <c r="F12" s="11" t="n">
        <v>26.78</v>
      </c>
      <c r="G12" s="18" t="n">
        <v>0.649</v>
      </c>
      <c r="H12" s="19" t="n">
        <v>99.42</v>
      </c>
      <c r="I12" s="19" t="n">
        <v>0.17</v>
      </c>
    </row>
    <row r="13">
      <c r="A13" s="12" t="inlineStr">
        <is>
          <t>► 61</t>
        </is>
      </c>
      <c r="B13" s="29" t="n">
        <v>26.83</v>
      </c>
      <c r="C13" s="30" t="n">
        <v>18.08</v>
      </c>
      <c r="D13" s="13" t="inlineStr">
        <is>
          <t>1098 – 1336</t>
        </is>
      </c>
      <c r="E13" s="13" t="n">
        <v>238</v>
      </c>
      <c r="F13" s="13" t="n">
        <v>22.61</v>
      </c>
      <c r="G13" s="31" t="n">
        <v>0.6112</v>
      </c>
      <c r="H13" s="30" t="n">
        <v>80.15000000000001</v>
      </c>
      <c r="I13" s="30" t="n">
        <v>21.1</v>
      </c>
    </row>
    <row r="14">
      <c r="A14" s="7" t="inlineStr">
        <is>
          <t>50</t>
        </is>
      </c>
      <c r="B14" s="27" t="n">
        <v>19.27</v>
      </c>
      <c r="C14" s="19" t="n">
        <v>12.98</v>
      </c>
      <c r="D14" s="11" t="inlineStr">
        <is>
          <t>1468 – 1725</t>
        </is>
      </c>
      <c r="E14" s="11" t="n">
        <v>257</v>
      </c>
      <c r="F14" s="11" t="n">
        <v>30.47</v>
      </c>
      <c r="G14" s="18" t="n">
        <v>0.6831</v>
      </c>
      <c r="H14" s="19" t="n">
        <v>99.56999999999999</v>
      </c>
      <c r="I14" s="19" t="n">
        <v>0.36</v>
      </c>
    </row>
    <row r="15">
      <c r="A15" s="16" t="inlineStr">
        <is>
          <t>TOTAL / PROMEDIO</t>
        </is>
      </c>
      <c r="B15" s="32">
        <f>SUM(B10:B14)</f>
        <v/>
      </c>
      <c r="C15" s="23">
        <f>SUM(C10:C14)</f>
        <v/>
      </c>
      <c r="D15" s="17" t="inlineStr">
        <is>
          <t>1098 – 2226</t>
        </is>
      </c>
      <c r="E15" s="17" t="inlineStr"/>
      <c r="F15" s="17">
        <f>ROUND(AVERAGE(F10:F14),2)</f>
        <v/>
      </c>
      <c r="G15" s="22">
        <f>ROUND(AVERAGE(G10:G14),4)</f>
        <v/>
      </c>
      <c r="H15" s="23">
        <f>ROUND(AVERAGE(H10:H14),2)</f>
        <v/>
      </c>
      <c r="I15" s="23">
        <f>ROUND(AVERAGE(I10:I14),2)</f>
        <v/>
      </c>
    </row>
    <row r="16" ht="48" customHeight="1">
      <c r="A16" s="9" t="inlineStr">
        <is>
          <t>ALCANCE DE LOS PROMEDIOS. La fila TOTAL / PROMEDIO omite las celdas «Por determinar»: el promedio de VEGETACIÓN ALTA (NDVI 2025) se calcula sobre 4 de los 5 bloques; el bloque restante carece de estadística zonal de NDVI. Los totales de ÁREA y % de microcuenca sí comprenden la totalidad de los 5 bloques. No se estima ningún valor ausente.</t>
        </is>
      </c>
      <c r="B16" s="40" t="n"/>
      <c r="C16" s="40" t="n"/>
      <c r="D16" s="40" t="n"/>
      <c r="E16" s="40" t="n"/>
      <c r="F16" s="40" t="n"/>
      <c r="G16" s="40" t="n"/>
      <c r="H16" s="40" t="n"/>
      <c r="I16" s="41" t="n"/>
    </row>
    <row r="18" ht="84" customHeight="1">
      <c r="A18" s="9" t="inlineStr">
        <is>
          <t>LECTURA INTRAMICROCUENCA. El bloque 61 ocupa el puesto 4 de 5 por superficie dentro de la microcuenca C1081-Q9590 (18.08 % de las 148.43 ha preliminares de la microcuenca). Su pendiente promedio (22.61 %, clase «15-25% (Fuert. inclinado)») es la 1.ª más baja de 5 y se sitúa por debajo del promedio de la microcuenca (28.14 %). Su MSAVI 2024 (0.6112) es el 5.º de 5 y queda por debajo del promedio local (0.6670). Amplitud altitudinal del bloque: 238 m (1098–1336 msnm). El cuadro conserva todos los bloques catalogados en la microcuenca, incluidos los descartados en el tamizaje, para referencia del conjunto. Los bloques sin ficha DT figuran con sus parámetros de gabinete. BRECHA ESPECTRAL. El 21.10 % de la superficie del bloque (5.660 ha de 26.826 ha) se sitúa bajo el umbral MSAVI 0.4976, por encima del promedio local de la microcuenca (5.51 %) calculado sobre los bloques con dato MSAVI disponible.</t>
        </is>
      </c>
      <c r="B18" s="40" t="n"/>
      <c r="C18" s="40" t="n"/>
      <c r="D18" s="40" t="n"/>
      <c r="E18" s="40" t="n"/>
      <c r="F18" s="40" t="n"/>
      <c r="G18" s="40" t="n"/>
      <c r="H18" s="40" t="n"/>
      <c r="I18" s="41" t="n"/>
    </row>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0" t="n"/>
      <c r="C20" s="40" t="n"/>
      <c r="D20" s="40" t="n"/>
      <c r="E20" s="40" t="n"/>
      <c r="F20" s="40" t="n"/>
      <c r="G20" s="40" t="n"/>
      <c r="H20" s="40" t="n"/>
      <c r="I20" s="41" t="n"/>
    </row>
  </sheetData>
  <mergeCells count="10">
    <mergeCell ref="A2:I2"/>
    <mergeCell ref="A5:I5"/>
    <mergeCell ref="A1:I1"/>
    <mergeCell ref="A18:I18"/>
    <mergeCell ref="A8:I8"/>
    <mergeCell ref="A3:I3"/>
    <mergeCell ref="A6:I6"/>
    <mergeCell ref="A4:I4"/>
    <mergeCell ref="A20:I20"/>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2"/>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61</t>
        </is>
      </c>
    </row>
    <row r="6">
      <c r="A6" s="51" t="inlineStr">
        <is>
          <t>Cruce de la ficha de campo F-DT vigente con la ficha de resumen de gabinete y el catálogo maestro. Integración 2026-09-11 21:26:28.</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«C1081-Q9590».</t>
        </is>
      </c>
      <c r="D9" s="55" t="inlineStr">
        <is>
          <t>CONFORME</t>
        </is>
      </c>
      <c r="E9" s="55" t="inlineStr">
        <is>
          <t>Sin acción.</t>
        </is>
      </c>
    </row>
    <row r="10">
      <c r="A10" s="56" t="inlineStr">
        <is>
          <t>G-02</t>
        </is>
      </c>
      <c r="B10" s="56" t="inlineStr">
        <is>
          <t>UTM del punto de muestreo</t>
        </is>
      </c>
      <c r="C10" s="56" t="inlineStr">
        <is>
          <t>El punto de muestreo declarado dista 316.6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(1120 msnm) cae dentro del rango altitudinal del bloque (1098 - 1336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(26.833 ha) se desvía 0.01 % de la superficie de catálogo (26.83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(26.826 ha) se desvía -0.01 % de la superficie de catálogo (26.83 ha).</t>
        </is>
      </c>
      <c r="D14" s="56" t="inlineStr">
        <is>
          <t>CONFORME</t>
        </is>
      </c>
      <c r="E14" s="56" t="inlineStr">
        <is>
          <t>Sin acción: la segmentación valida la geometría del bloque.</t>
        </is>
      </c>
    </row>
    <row r="15">
      <c r="A15" s="55" t="inlineStr">
        <is>
          <t>G-07</t>
        </is>
      </c>
      <c r="B15" s="55" t="inlineStr">
        <is>
          <t>Brecha espectral MSAVI</t>
        </is>
      </c>
      <c r="C15" s="55" t="inlineStr">
        <is>
          <t>El 21.10 % del bloque queda bajo el umbral 0.4976; superficie de brecha 5.6596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26.83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(0.6112) cae en la clase «0.4976 - 0.6139 (Vigor moderado)» y la clase DN dominante por superficie es «DN 5 · &gt; 0.6139 (Vigor alto)».</t>
        </is>
      </c>
      <c r="D17" s="55" t="inlineStr">
        <is>
          <t>NO SUSTANTIVA</t>
        </is>
      </c>
      <c r="E17" s="55" t="inlineStr">
        <is>
          <t>Se declaran ambas lecturas: la media resume el bloque y la clase dominante su reparto areal.</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Comunidad campesina</t>
        </is>
      </c>
      <c r="C19" s="55" t="inlineStr">
        <is>
          <t>El libro de resumen V6 consignaba «No consignada»; la ficha de campo vigente declara «No registrada en campo (por verificar)».</t>
        </is>
      </c>
      <c r="D19" s="55" t="inlineStr">
        <is>
          <t>CORREGIDO</t>
        </is>
      </c>
      <c r="E19" s="55" t="inlineStr">
        <is>
          <t>Se adopta el valor de campo por ser la fuente que manda sobre el dato y la más reciente. El valor anterior queda declarado para trazabilidad.</t>
        </is>
      </c>
    </row>
    <row r="20">
      <c r="A20" s="56" t="inlineStr">
        <is>
          <t>I-02</t>
        </is>
      </c>
      <c r="B20" s="56" t="inlineStr">
        <is>
          <t>Nivel general de erosión</t>
        </is>
      </c>
      <c r="C20" s="56" t="inlineStr">
        <is>
          <t>El libro de resumen V6 consignaba «Ficha F-DT-02 SIN CONTENIDO en el documento de origen. Evidencia narrativa F-DT-01: surcos abundantes y cárcavas medianas y en formación (e…»; la ficha de campo vigente declara «Fuerte (cárcavas incipientes)».</t>
        </is>
      </c>
      <c r="D20" s="56" t="inlineStr">
        <is>
          <t>CORREGIDO</t>
        </is>
      </c>
      <c r="E20" s="56" t="inlineStr">
        <is>
          <t>Se adopta el valor de campo por ser la fuente que manda sobre el dato y la más reciente. El valor anterior queda declarado para trazabilidad.</t>
        </is>
      </c>
    </row>
    <row r="21">
      <c r="A21" s="55" t="inlineStr">
        <is>
          <t>I-03</t>
        </is>
      </c>
      <c r="B21" s="55" t="inlineStr">
        <is>
          <t>N.° de cárcavas registradas</t>
        </is>
      </c>
      <c r="C21" s="55" t="inlineStr">
        <is>
          <t>El libro de resumen V6 consignaba «No inventariadas (F-DT-02 sin contenido)»; la ficha de campo vigente declara «4».</t>
        </is>
      </c>
      <c r="D21" s="55" t="inlineStr">
        <is>
          <t>CORREGIDO</t>
        </is>
      </c>
      <c r="E21" s="55" t="inlineStr">
        <is>
          <t>Se adopta el valor de campo por ser la fuente que manda sobre el dato y la más reciente. El valor anterior queda declarado para trazabilidad.</t>
        </is>
      </c>
    </row>
    <row r="22">
      <c r="A22" s="56" t="inlineStr">
        <is>
          <t>I-04</t>
        </is>
      </c>
      <c r="B22" s="56" t="inlineStr">
        <is>
          <t>Tipo de ecosistema (UP)</t>
        </is>
      </c>
      <c r="C22" s="56" t="inlineStr">
        <is>
          <t>El libro de resumen V6 consignaba «Bosque seco / matorral remanente en mosaico agropecuario (tipo MINAM no consignado en ficha)»; la ficha de campo vigente declara «Agroecosistema / Mosaico».</t>
        </is>
      </c>
      <c r="D22" s="56" t="inlineStr">
        <is>
          <t>CORREGIDO</t>
        </is>
      </c>
      <c r="E22" s="56" t="inlineStr">
        <is>
          <t>Se adopta el valor de campo por ser la fuente que manda sobre el dato y la más reciente. El valor anterior queda declarado para trazabilidad.</t>
        </is>
      </c>
    </row>
    <row r="23">
      <c r="A23" s="55" t="inlineStr">
        <is>
          <t>I-05</t>
        </is>
      </c>
      <c r="B23" s="55" t="inlineStr">
        <is>
          <t>Elenco florístico (n.o de taxones)</t>
        </is>
      </c>
      <c r="C23" s="55" t="inlineStr">
        <is>
          <t>El libro de resumen V6 consignaba «6»; la ficha de campo vigente declara «9».</t>
        </is>
      </c>
      <c r="D23" s="55" t="inlineStr">
        <is>
          <t>CORREGIDO</t>
        </is>
      </c>
      <c r="E23" s="55" t="inlineStr">
        <is>
          <t>Se adopta el valor de campo por ser la fuente que manda sobre el dato y la más reciente. El valor anterior queda declarado para trazabilidad.</t>
        </is>
      </c>
    </row>
    <row r="24">
      <c r="A24" s="56" t="inlineStr">
        <is>
          <t>I-06</t>
        </is>
      </c>
      <c r="B24" s="56" t="inlineStr">
        <is>
          <t>Causa subyacente principal</t>
        </is>
      </c>
      <c r="C24" s="56" t="inlineStr">
        <is>
          <t>El libro de resumen V6 consignaba «No consignada en la ficha»; la ficha de campo vigente declara «Presión económica de la actividad agropecuaria familiar de subsistencia, que amplía potreros y parcelas de maíz sobre laderas de fuerte pen…».</t>
        </is>
      </c>
      <c r="D24" s="56" t="inlineStr">
        <is>
          <t>CORREGIDO</t>
        </is>
      </c>
      <c r="E24" s="56" t="inlineStr">
        <is>
          <t>Se adopta el valor de campo por ser la fuente que manda sobre el dato y la más reciente. El valor anterior queda declarado para trazabilidad.</t>
        </is>
      </c>
    </row>
    <row r="25">
      <c r="A25" s="55" t="inlineStr">
        <is>
          <t>I-07</t>
        </is>
      </c>
      <c r="B25" s="55" t="inlineStr">
        <is>
          <t>Zona de recarga hídrica</t>
        </is>
      </c>
      <c r="C25" s="55" t="inlineStr">
        <is>
          <t>El libro de resumen V6 consignaba «Sin registro en ficha»; la ficha de campo vigente declara «No».</t>
        </is>
      </c>
      <c r="D25" s="55" t="inlineStr">
        <is>
          <t>CORREGIDO</t>
        </is>
      </c>
      <c r="E25" s="55" t="inlineStr">
        <is>
          <t>Se adopta el valor de campo por ser la fuente que manda sobre el dato y la más reciente. El valor anterior queda declarado para trazabilidad.</t>
        </is>
      </c>
    </row>
    <row r="26">
      <c r="A26" s="56" t="inlineStr">
        <is>
          <t>I-08</t>
        </is>
      </c>
      <c r="B26" s="56" t="inlineStr">
        <is>
          <t>Modalidad de acceso</t>
        </is>
      </c>
      <c r="C26" s="56" t="inlineStr">
        <is>
          <t>El libro de resumen V6 consignaba «Sin registro en ficha»; la ficha de campo vigente declara «Vehicular + caminata &lt;30 min».</t>
        </is>
      </c>
      <c r="D26" s="56" t="inlineStr">
        <is>
          <t>CORREGIDO</t>
        </is>
      </c>
      <c r="E26" s="56" t="inlineStr">
        <is>
          <t>Se adopta el valor de campo por ser la fuente que manda sobre el dato y la más reciente. El valor anterior queda declarado para trazabilidad.</t>
        </is>
      </c>
    </row>
    <row r="27">
      <c r="A27" s="55" t="inlineStr">
        <is>
          <t>I-09</t>
        </is>
      </c>
      <c r="B27" s="55" t="inlineStr">
        <is>
          <t>Responsable de la evaluación</t>
        </is>
      </c>
      <c r="C27" s="55" t="inlineStr">
        <is>
          <t>El libro de resumen V6 consignaba «Juan Domínguez»; la ficha de campo vigente declara «Ing. Héctor Salomón Cahuas Miller».</t>
        </is>
      </c>
      <c r="D27" s="55" t="inlineStr">
        <is>
          <t>CORREGIDO</t>
        </is>
      </c>
      <c r="E27" s="55" t="inlineStr">
        <is>
          <t>Se adopta el valor de campo por ser la fuente que manda sobre el dato y la más reciente. El valor anterior queda declarado para trazabilidad.</t>
        </is>
      </c>
    </row>
    <row r="28">
      <c r="A28" s="56" t="inlineStr">
        <is>
          <t>I-10</t>
        </is>
      </c>
      <c r="B28" s="56" t="inlineStr">
        <is>
          <t>Correlativo de ficha</t>
        </is>
      </c>
      <c r="C28" s="56" t="inlineStr">
        <is>
          <t>El libro de resumen V6 consignaba «F-DT/B61/2026»; la ficha de campo vigente declara «F-DT-61/2026».</t>
        </is>
      </c>
      <c r="D28" s="56" t="inlineStr">
        <is>
          <t>CORREGIDO</t>
        </is>
      </c>
      <c r="E28" s="56" t="inlineStr">
        <is>
          <t>Se adopta el valor de campo por ser la fuente que manda sobre el dato y la más reciente. El valor anterior queda declarado para trazabilidad.</t>
        </is>
      </c>
    </row>
    <row r="29">
      <c r="A29" s="55" t="inlineStr">
        <is>
          <t>F-01</t>
        </is>
      </c>
      <c r="B29" s="55" t="inlineStr">
        <is>
          <t>Fichas F-DT levantadas</t>
        </is>
      </c>
      <c r="C29" s="55" t="inlineStr">
        <is>
          <t>La plantilla de campo trae las cinco fichas F-DT-01 a F-DT-05 (completitud 96.4 % de los campos esperados).</t>
        </is>
      </c>
      <c r="D29" s="55" t="inlineStr">
        <is>
          <t>CONFORME</t>
        </is>
      </c>
      <c r="E29" s="55" t="inlineStr">
        <is>
          <t>Sin acción.</t>
        </is>
      </c>
    </row>
    <row r="30">
      <c r="A30" s="56" t="inlineStr">
        <is>
          <t>F-02</t>
        </is>
      </c>
      <c r="B30" s="56" t="inlineStr">
        <is>
          <t>Cobertura de la integración</t>
        </is>
      </c>
      <c r="C30" s="56" t="inlineStr">
        <is>
          <t>Se declararon 104 de 114 hechos integrados (91.2 %); 10 quedan sin dato en ninguna fuente.</t>
        </is>
      </c>
      <c r="D30" s="56" t="inlineStr">
        <is>
          <t>CONFORME</t>
        </is>
      </c>
      <c r="E30" s="56" t="inlineStr">
        <is>
          <t>Sin acción.</t>
        </is>
      </c>
    </row>
    <row r="31">
      <c r="A31" s="55" t="inlineStr">
        <is>
          <t>H-01</t>
        </is>
      </c>
      <c r="B31" s="55" t="inlineStr">
        <is>
          <t>Dimensiones del inventario de cárcavas</t>
        </is>
      </c>
      <c r="C31" s="55" t="inlineStr">
        <is>
          <t>Se registran No inventariadas (F-DT-02 sin contenido) rasgos erosivos, pero longitud, profundidad y ancho no fueron medidos instrumentalmente</t>
        </is>
      </c>
      <c r="D31" s="55" t="inlineStr">
        <is>
          <t>NO SUSTANTIVA</t>
        </is>
      </c>
      <c r="E31" s="55" t="inlineStr">
        <is>
          <t>El conteo registrado no debe usarse para calcular densidad de cárcavas por hectárea. Pendiente de levantamiento con GPS submétrico. (Verificación heredada de la ficha de resumen V6.)</t>
        </is>
      </c>
    </row>
    <row r="32">
      <c r="A32" s="56" t="inlineStr">
        <is>
          <t>H-02</t>
        </is>
      </c>
      <c r="B32" s="56" t="inlineStr">
        <is>
          <t>Representatividad del levantamiento</t>
        </is>
      </c>
      <c r="C32" s="56" t="inlineStr">
        <is>
          <t>Ninguna de las estaciones fotográficas georreferenciadas se localiza dentro del polígono del bloque</t>
        </is>
      </c>
      <c r="D32" s="56" t="inlineStr">
        <is>
          <t>SUSTANTIVA</t>
        </is>
      </c>
      <c r="E32" s="56" t="inlineStr">
        <is>
          <t>La verificación documenta el perímetro y la vista panorámica del bloque, no su interior. Los parámetros que exigen recorrido interno se consignan «Por determinar». (Verificación heredada de la ficha de resumen V6.)</t>
        </is>
      </c>
    </row>
    <row r="33">
      <c r="A33" s="55" t="inlineStr">
        <is>
          <t>H-03</t>
        </is>
      </c>
      <c r="B33" s="55" t="inlineStr">
        <is>
          <t>Centro poblado asociado</t>
        </is>
      </c>
      <c r="C33" s="55" t="inlineStr">
        <is>
          <t>La ficha DT declara «Pedregal»; el cruce INEI-Bloques V5 identifica 1 centro(s) poblado(s) en el bloque: PEDREGAL</t>
        </is>
      </c>
      <c r="D33" s="55" t="inlineStr">
        <is>
          <t>CONFORME</t>
        </is>
      </c>
      <c r="E33" s="55" t="inlineStr">
        <is>
          <t>Se conserva el registro de campo como referencia y se adopta el listado INEI para el diagnóstico social y el cálculo de población beneficiaria. (Verificación heredada de la ficha de resumen V6.)</t>
        </is>
      </c>
    </row>
    <row r="34">
      <c r="A34" s="56" t="inlineStr">
        <is>
          <t>H-04</t>
        </is>
      </c>
      <c r="B34" s="56" t="inlineStr">
        <is>
          <t>Ficha DT</t>
        </is>
      </c>
      <c r="C34" s="56" t="inlineStr">
        <is>
          <t>La ficha consigna microcuenca C1076-Q9584; el catálogo maestro asigna al bloque 61 la microcuenca C1081-Q9590</t>
        </is>
      </c>
      <c r="D34" s="56" t="inlineStr">
        <is>
          <t>SUSTANTIVA</t>
        </is>
      </c>
      <c r="E34" s="56" t="inlineStr">
        <is>
          <t>Valor por defecto de la plantilla; se conserva el del catálogo (Verificación heredada de la ficha de resumen V6.)</t>
        </is>
      </c>
    </row>
    <row r="35">
      <c r="A35" s="55" t="inlineStr">
        <is>
          <t>H-05</t>
        </is>
      </c>
      <c r="B35" s="55" t="inlineStr">
        <is>
          <t>F-DT-02</t>
        </is>
      </c>
      <c r="C35" s="55" t="inlineStr">
        <is>
          <t>Sección SIN CONTENIDO en el PDF de origen</t>
        </is>
      </c>
      <c r="D35" s="55" t="inlineStr">
        <is>
          <t>SUSTANTIVA</t>
        </is>
      </c>
      <c r="E35" s="55" t="inlineStr">
        <is>
          <t>Levantamiento de suelo y procesos erosivos pendiente en su totalidad (Verificación heredada de la ficha de resumen V6.)</t>
        </is>
      </c>
    </row>
    <row r="36">
      <c r="A36" s="56" t="inlineStr">
        <is>
          <t>H-06</t>
        </is>
      </c>
      <c r="B36" s="56" t="inlineStr">
        <is>
          <t>F-DT-04</t>
        </is>
      </c>
      <c r="C36" s="56" t="inlineStr">
        <is>
          <t>Ningún indicador cuantitativo de degradación fue diligenciado (8/8 vacíos)</t>
        </is>
      </c>
      <c r="D36" s="56" t="inlineStr">
        <is>
          <t>SUSTANTIVA</t>
        </is>
      </c>
      <c r="E36" s="56" t="inlineStr">
        <is>
          <t>Cuantificación pendiente (Verificación heredada de la ficha de resumen V6.)</t>
        </is>
      </c>
    </row>
    <row r="37">
      <c r="A37" s="55" t="inlineStr">
        <is>
          <t>H-07</t>
        </is>
      </c>
      <c r="B37" s="55" t="inlineStr">
        <is>
          <t>F-DT-05</t>
        </is>
      </c>
      <c r="C37" s="55" t="inlineStr">
        <is>
          <t>Sección SIN REGISTROS en el PDF de origen</t>
        </is>
      </c>
      <c r="D37" s="55" t="inlineStr">
        <is>
          <t>SUSTANTIVA</t>
        </is>
      </c>
      <c r="E37" s="55" t="inlineStr">
        <is>
          <t>Recursos hídricos y accesibilidad pendientes en su totalidad (Verificación heredada de la ficha de resumen V6.)</t>
        </is>
      </c>
    </row>
    <row r="38">
      <c r="A38" s="56" t="inlineStr">
        <is>
          <t>H-08</t>
        </is>
      </c>
      <c r="B38" s="56" t="inlineStr">
        <is>
          <t>F-DT-03</t>
        </is>
      </c>
      <c r="C38" s="56" t="inlineStr">
        <is>
          <t>Nombres científicos y familias no consignados para los 6 taxones registrados</t>
        </is>
      </c>
      <c r="D38" s="56" t="inlineStr">
        <is>
          <t>NO SUSTANTIVA</t>
        </is>
      </c>
      <c r="E38" s="56" t="inlineStr">
        <is>
          <t>Determinación botánica pendiente (Verificación heredada de la ficha de resumen V6.)</t>
        </is>
      </c>
    </row>
    <row r="40">
      <c r="A40" s="57" t="inlineStr">
        <is>
          <t>RESUMEN</t>
        </is>
      </c>
      <c r="B40" s="58" t="inlineStr">
        <is>
          <t>30 verificaciones</t>
        </is>
      </c>
      <c r="C40" s="58" t="inlineStr">
        <is>
          <t>SUSTANTIVA: 6 · NO SUSTANTIVA: 3 · CORREGIDO: 10 · CONFORME: 11</t>
        </is>
      </c>
    </row>
    <row r="42">
      <c r="A42"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42:E4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61</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1. Identificación y localización</t>
        </is>
      </c>
      <c r="B9" s="55" t="inlineStr">
        <is>
          <t>Comunidad campesina</t>
        </is>
      </c>
      <c r="C9" s="55" t="inlineStr">
        <is>
          <t>No consignada</t>
        </is>
      </c>
      <c r="D9" s="55" t="inlineStr">
        <is>
          <t>No registrada en campo (por verificar)</t>
        </is>
      </c>
      <c r="E9" s="55" t="inlineStr">
        <is>
          <t>Dato de campo</t>
        </is>
      </c>
    </row>
    <row r="10">
      <c r="A10" s="56" t="inlineStr">
        <is>
          <t>4. Suelos y erosión (F-DT-02)</t>
        </is>
      </c>
      <c r="B10" s="56" t="inlineStr">
        <is>
          <t>Nivel general de erosión</t>
        </is>
      </c>
      <c r="C10" s="56" t="inlineStr">
        <is>
          <t>Ficha F-DT-02 SIN CONTENIDO en el documento de origen. Evidencia narrativa F-DT-01: surcos abundantes y cárcavas medianas y en formación (erosión hídrica activa)</t>
        </is>
      </c>
      <c r="D10" s="56" t="inlineStr">
        <is>
          <t>Fuerte (cárcavas incipientes)</t>
        </is>
      </c>
      <c r="E10" s="56" t="inlineStr">
        <is>
          <t>Dato de campo</t>
        </is>
      </c>
    </row>
    <row r="11">
      <c r="A11" s="55" t="inlineStr">
        <is>
          <t>4. Suelos y erosión (F-DT-02)</t>
        </is>
      </c>
      <c r="B11" s="55" t="inlineStr">
        <is>
          <t>N.° de cárcavas registradas</t>
        </is>
      </c>
      <c r="C11" s="55" t="inlineStr">
        <is>
          <t>No inventariadas (F-DT-02 sin contenido)</t>
        </is>
      </c>
      <c r="D11" s="55" t="inlineStr">
        <is>
          <t>4</t>
        </is>
      </c>
      <c r="E11" s="55" t="inlineStr">
        <is>
          <t>Dato de campo</t>
        </is>
      </c>
    </row>
    <row r="12">
      <c r="A12" s="56" t="inlineStr">
        <is>
          <t>5. Ecosistema, cobertura y flora (F-DT-03)</t>
        </is>
      </c>
      <c r="B12" s="56" t="inlineStr">
        <is>
          <t>Tipo de ecosistema (UP)</t>
        </is>
      </c>
      <c r="C12" s="56" t="inlineStr">
        <is>
          <t>Bosque seco / matorral remanente en mosaico agropecuario (tipo MINAM no consignado en ficha)</t>
        </is>
      </c>
      <c r="D12" s="56" t="inlineStr">
        <is>
          <t>Agroecosistema / Mosaico</t>
        </is>
      </c>
      <c r="E12" s="56" t="inlineStr">
        <is>
          <t>Dato de campo</t>
        </is>
      </c>
    </row>
    <row r="13">
      <c r="A13" s="55" t="inlineStr">
        <is>
          <t>5. Ecosistema, cobertura y flora (F-DT-03)</t>
        </is>
      </c>
      <c r="B13" s="55" t="inlineStr">
        <is>
          <t>Elenco florístico (n.o de taxones)</t>
        </is>
      </c>
      <c r="C13" s="55" t="inlineStr">
        <is>
          <t>6</t>
        </is>
      </c>
      <c r="D13" s="55" t="inlineStr">
        <is>
          <t>9</t>
        </is>
      </c>
      <c r="E13" s="55" t="inlineStr">
        <is>
          <t>Dato de campo</t>
        </is>
      </c>
    </row>
    <row r="14">
      <c r="A14" s="56" t="inlineStr">
        <is>
          <t>6. Degradación, causas y urgencia (F-DT-04)</t>
        </is>
      </c>
      <c r="B14" s="56" t="inlineStr">
        <is>
          <t>Causa subyacente principal</t>
        </is>
      </c>
      <c r="C14" s="56" t="inlineStr">
        <is>
          <t>No consignada en la ficha</t>
        </is>
      </c>
      <c r="D14" s="56" t="inlineStr">
        <is>
          <t>Presión económica de la actividad agropecuaria familiar de subsistencia, que amplía potreros y parcelas de maíz sobre laderas de fuerte pendiente sin prácticas de conservación de suelos, en un contexto de ausencia de asistencia técnica, de alternativas productivas y de instrumentos de ordenamiento del uso del suelo a escala comunal.</t>
        </is>
      </c>
      <c r="E14" s="56" t="inlineStr">
        <is>
          <t>Dato de campo</t>
        </is>
      </c>
    </row>
    <row r="15">
      <c r="A15" s="55" t="inlineStr">
        <is>
          <t>7. Hidrología, acceso y logística (F-DT-05)</t>
        </is>
      </c>
      <c r="B15" s="55" t="inlineStr">
        <is>
          <t>Zona de recarga hídrica</t>
        </is>
      </c>
      <c r="C15" s="55" t="inlineStr">
        <is>
          <t>Sin registro en ficha</t>
        </is>
      </c>
      <c r="D15" s="55" t="inlineStr">
        <is>
          <t>No</t>
        </is>
      </c>
      <c r="E15" s="55" t="inlineStr">
        <is>
          <t>Dato de campo</t>
        </is>
      </c>
    </row>
    <row r="16">
      <c r="A16" s="56" t="inlineStr">
        <is>
          <t>7. Hidrología, acceso y logística (F-DT-05)</t>
        </is>
      </c>
      <c r="B16" s="56" t="inlineStr">
        <is>
          <t>Modalidad de acceso</t>
        </is>
      </c>
      <c r="C16" s="56" t="inlineStr">
        <is>
          <t>Sin registro en ficha</t>
        </is>
      </c>
      <c r="D16" s="56" t="inlineStr">
        <is>
          <t>Vehicular + caminata &lt;30 min</t>
        </is>
      </c>
      <c r="E16" s="56" t="inlineStr">
        <is>
          <t>Dato de campo</t>
        </is>
      </c>
    </row>
    <row r="17">
      <c r="A17" s="55" t="inlineStr">
        <is>
          <t>8. Responsable y modalidad de la evaluación</t>
        </is>
      </c>
      <c r="B17" s="55" t="inlineStr">
        <is>
          <t>Responsable de la evaluación</t>
        </is>
      </c>
      <c r="C17" s="55" t="inlineStr">
        <is>
          <t>Juan Domínguez</t>
        </is>
      </c>
      <c r="D17" s="55" t="inlineStr">
        <is>
          <t>Ing. Héctor Salomón Cahuas Miller</t>
        </is>
      </c>
      <c r="E17" s="55" t="inlineStr">
        <is>
          <t>Dato de campo</t>
        </is>
      </c>
    </row>
    <row r="18">
      <c r="A18" s="56" t="inlineStr">
        <is>
          <t>8. Responsable y modalidad de la evaluación</t>
        </is>
      </c>
      <c r="B18" s="56" t="inlineStr">
        <is>
          <t>Correlativo de ficha</t>
        </is>
      </c>
      <c r="C18" s="56" t="inlineStr">
        <is>
          <t>F-DT/B61/2026</t>
        </is>
      </c>
      <c r="D18" s="56" t="inlineStr">
        <is>
          <t>F-DT-61/2026</t>
        </is>
      </c>
      <c r="E18" s="56" t="inlineStr">
        <is>
          <t>Dato de campo</t>
        </is>
      </c>
    </row>
    <row r="20">
      <c r="A20" s="53" t="inlineStr">
        <is>
          <t>B. HECHOS APORTADOS ÚNICAMENTE POR LA FICHA DE CAMPO</t>
        </is>
      </c>
    </row>
    <row r="21">
      <c r="A21" s="54" t="inlineStr">
        <is>
          <t>Sección</t>
        </is>
      </c>
      <c r="B21" s="54" t="inlineStr">
        <is>
          <t>Hecho</t>
        </is>
      </c>
      <c r="C21" s="54" t="inlineStr">
        <is>
          <t>Valor</t>
        </is>
      </c>
      <c r="D21" s="54" t="inlineStr">
        <is>
          <t>Unidad</t>
        </is>
      </c>
    </row>
    <row r="22">
      <c r="A22" s="55" t="inlineStr">
        <is>
          <t>1. Identificación y localización</t>
        </is>
      </c>
      <c r="B22" s="55" t="inlineStr">
        <is>
          <t>UTM ESTE del punto de muestreo (m)</t>
        </is>
      </c>
      <c r="C22" s="55" t="inlineStr">
        <is>
          <t>646000</t>
        </is>
      </c>
      <c r="D22" s="55" t="inlineStr">
        <is>
          <t>m</t>
        </is>
      </c>
    </row>
    <row r="23">
      <c r="A23" s="56" t="inlineStr">
        <is>
          <t>1. Identificación y localización</t>
        </is>
      </c>
      <c r="B23" s="56" t="inlineStr">
        <is>
          <t>UTM NORTE del punto de muestreo (m)</t>
        </is>
      </c>
      <c r="C23" s="56" t="inlineStr">
        <is>
          <t>9424841</t>
        </is>
      </c>
      <c r="D23" s="56" t="inlineStr">
        <is>
          <t>m</t>
        </is>
      </c>
    </row>
    <row r="24">
      <c r="A24" s="55" t="inlineStr">
        <is>
          <t>2. Parámetros físicos del terreno</t>
        </is>
      </c>
      <c r="B24" s="55" t="inlineStr">
        <is>
          <t>Altitud GPS del punto de muestreo (msnm)</t>
        </is>
      </c>
      <c r="C24" s="55" t="inlineStr">
        <is>
          <t>1120</t>
        </is>
      </c>
      <c r="D24" s="55" t="inlineStr">
        <is>
          <t>msnm</t>
        </is>
      </c>
    </row>
    <row r="25">
      <c r="A25" s="56" t="inlineStr">
        <is>
          <t>2. Parámetros físicos del terreno</t>
        </is>
      </c>
      <c r="B25" s="56" t="inlineStr">
        <is>
          <t>Piso altitudinal del punto de muestreo</t>
        </is>
      </c>
      <c r="C25" s="56" t="inlineStr">
        <is>
          <t>1000-1500 m (Quechua baja)</t>
        </is>
      </c>
      <c r="D25" s="56" t="inlineStr"/>
    </row>
    <row r="26">
      <c r="A26" s="55" t="inlineStr">
        <is>
          <t>2. Parámetros físicos del terreno</t>
        </is>
      </c>
      <c r="B26" s="55" t="inlineStr">
        <is>
          <t>Paisaje dominante descrito en campo</t>
        </is>
      </c>
      <c r="C26" s="55" t="inlineStr">
        <is>
          <t>Sistema de laderas convexo-cóncavas tributarias de la quebrada Q9590 (microcuenca C1081-Q9590), con altitudes de 1,080 a 1,320 m s. n. m. y desniveles internos. Paisaje de montaña dominado por un mosaico de Matorral andino (Ma) y Zona agrícola (Agri), sobre el talud superior de una vía vecinal afirmada que interconecta centros poblados del distrito de Lalaquiz.</t>
        </is>
      </c>
      <c r="D26" s="55" t="inlineStr"/>
    </row>
    <row r="27">
      <c r="A27" s="56" t="inlineStr">
        <is>
          <t>2. Parámetros físicos del terreno</t>
        </is>
      </c>
      <c r="B27" s="56" t="inlineStr">
        <is>
          <t>Reptación de suelo</t>
        </is>
      </c>
      <c r="C27" s="56" t="inlineStr">
        <is>
          <t>Sí</t>
        </is>
      </c>
      <c r="D27" s="56" t="inlineStr"/>
    </row>
    <row r="28">
      <c r="A28" s="55" t="inlineStr">
        <is>
          <t>2. Parámetros físicos del terreno</t>
        </is>
      </c>
      <c r="B28" s="55" t="inlineStr">
        <is>
          <t>Deslizamientos antiguos</t>
        </is>
      </c>
      <c r="C28" s="55" t="inlineStr">
        <is>
          <t>Sí</t>
        </is>
      </c>
      <c r="D28" s="55" t="inlineStr"/>
    </row>
    <row r="29">
      <c r="A29" s="56" t="inlineStr">
        <is>
          <t>4. Suelos y erosión (F-DT-02)</t>
        </is>
      </c>
      <c r="B29" s="56" t="inlineStr">
        <is>
          <t>Nivel de erosión - síntesis de campo</t>
        </is>
      </c>
      <c r="C29" s="56" t="inlineStr">
        <is>
          <t>Fuerte (cárcavas incipientes)</t>
        </is>
      </c>
      <c r="D29" s="56" t="inlineStr"/>
    </row>
    <row r="30">
      <c r="A30" s="55" t="inlineStr">
        <is>
          <t>4. Suelos y erosión (F-DT-02)</t>
        </is>
      </c>
      <c r="B30" s="55" t="inlineStr">
        <is>
          <t>Sellamiento / costra superficial</t>
        </is>
      </c>
      <c r="C30" s="55" t="inlineStr">
        <is>
          <t>Sí</t>
        </is>
      </c>
      <c r="D30" s="55" t="inlineStr"/>
    </row>
    <row r="31">
      <c r="A31" s="56" t="inlineStr">
        <is>
          <t>4. Suelos y erosión (F-DT-02)</t>
        </is>
      </c>
      <c r="B31" s="56" t="inlineStr">
        <is>
          <t>Compactación por pisoteo</t>
        </is>
      </c>
      <c r="C31" s="56" t="inlineStr">
        <is>
          <t>Sí</t>
        </is>
      </c>
      <c r="D31" s="56" t="inlineStr"/>
    </row>
    <row r="32">
      <c r="A32" s="55" t="inlineStr">
        <is>
          <t>4. Suelos y erosión (F-DT-02)</t>
        </is>
      </c>
      <c r="B32" s="55" t="inlineStr">
        <is>
          <t>Raíces expuestas</t>
        </is>
      </c>
      <c r="C32" s="55" t="inlineStr">
        <is>
          <t>Sí</t>
        </is>
      </c>
      <c r="D32" s="55" t="inlineStr"/>
    </row>
    <row r="33">
      <c r="A33" s="56" t="inlineStr">
        <is>
          <t>4. Suelos y erosión (F-DT-02)</t>
        </is>
      </c>
      <c r="B33" s="56" t="inlineStr">
        <is>
          <t>% del bloque afectado por cárcavas</t>
        </is>
      </c>
      <c r="C33" s="56" t="inlineStr">
        <is>
          <t>15</t>
        </is>
      </c>
      <c r="D33" s="56" t="inlineStr">
        <is>
          <t>%</t>
        </is>
      </c>
    </row>
    <row r="34">
      <c r="A34" s="55" t="inlineStr">
        <is>
          <t>4. Suelos y erosión (F-DT-02)</t>
        </is>
      </c>
      <c r="B34" s="55" t="inlineStr">
        <is>
          <t>Erosión laminar (% del bloque)</t>
        </is>
      </c>
      <c r="C34" s="55" t="inlineStr">
        <is>
          <t>25</t>
        </is>
      </c>
      <c r="D34" s="55" t="inlineStr">
        <is>
          <t>%</t>
        </is>
      </c>
    </row>
    <row r="35">
      <c r="A35" s="56" t="inlineStr">
        <is>
          <t>4. Suelos y erosión (F-DT-02)</t>
        </is>
      </c>
      <c r="B35" s="56" t="inlineStr">
        <is>
          <t>Patrón de cárcavas</t>
        </is>
      </c>
      <c r="C35" s="56" t="inlineStr">
        <is>
          <t>Mixto</t>
        </is>
      </c>
      <c r="D35" s="56" t="inlineStr"/>
    </row>
    <row r="36">
      <c r="A36" s="55" t="inlineStr">
        <is>
          <t>4. Suelos y erosión (F-DT-02)</t>
        </is>
      </c>
      <c r="B36" s="55" t="inlineStr">
        <is>
          <t>Socavamiento de cauce</t>
        </is>
      </c>
      <c r="C36" s="55" t="inlineStr">
        <is>
          <t>No</t>
        </is>
      </c>
      <c r="D36" s="55" t="inlineStr"/>
    </row>
    <row r="37">
      <c r="A37" s="56" t="inlineStr">
        <is>
          <t>5. Ecosistema, cobertura y flora (F-DT-03)</t>
        </is>
      </c>
      <c r="B37" s="56" t="inlineStr">
        <is>
          <t>Cobertura del dosel (%)</t>
        </is>
      </c>
      <c r="C37" s="56" t="inlineStr">
        <is>
          <t>25</t>
        </is>
      </c>
      <c r="D37" s="56" t="inlineStr">
        <is>
          <t>%</t>
        </is>
      </c>
    </row>
    <row r="38">
      <c r="A38" s="55" t="inlineStr">
        <is>
          <t>5. Ecosistema, cobertura y flora (F-DT-03)</t>
        </is>
      </c>
      <c r="B38" s="55" t="inlineStr">
        <is>
          <t>Cobertura arbustiva (%)</t>
        </is>
      </c>
      <c r="C38" s="55" t="inlineStr">
        <is>
          <t>10</t>
        </is>
      </c>
      <c r="D38" s="55" t="inlineStr">
        <is>
          <t>%</t>
        </is>
      </c>
    </row>
    <row r="39">
      <c r="A39" s="56" t="inlineStr">
        <is>
          <t>5. Ecosistema, cobertura y flora (F-DT-03)</t>
        </is>
      </c>
      <c r="B39" s="56" t="inlineStr">
        <is>
          <t>Cobertura herbácea (%)</t>
        </is>
      </c>
      <c r="C39" s="56" t="inlineStr">
        <is>
          <t>15</t>
        </is>
      </c>
      <c r="D39" s="56" t="inlineStr">
        <is>
          <t>%</t>
        </is>
      </c>
    </row>
    <row r="40">
      <c r="A40" s="55" t="inlineStr">
        <is>
          <t>5. Ecosistema, cobertura y flora (F-DT-03)</t>
        </is>
      </c>
      <c r="B40" s="55" t="inlineStr">
        <is>
          <t>Cobertura de hojarasca (%)</t>
        </is>
      </c>
      <c r="C40" s="55" t="inlineStr">
        <is>
          <t>5</t>
        </is>
      </c>
      <c r="D40" s="55" t="inlineStr">
        <is>
          <t>%</t>
        </is>
      </c>
    </row>
    <row r="41">
      <c r="A41" s="56" t="inlineStr">
        <is>
          <t>5. Ecosistema, cobertura y flora (F-DT-03)</t>
        </is>
      </c>
      <c r="B41" s="56" t="inlineStr">
        <is>
          <t>Altura del estrato dominante (m)</t>
        </is>
      </c>
      <c r="C41" s="56" t="inlineStr">
        <is>
          <t>8</t>
        </is>
      </c>
      <c r="D41" s="56" t="inlineStr">
        <is>
          <t>m</t>
        </is>
      </c>
    </row>
    <row r="42">
      <c r="A42" s="55" t="inlineStr">
        <is>
          <t>5. Ecosistema, cobertura y flora (F-DT-03)</t>
        </is>
      </c>
      <c r="B42" s="55" t="inlineStr">
        <is>
          <t>Altura máxima registrada (m)</t>
        </is>
      </c>
      <c r="C42" s="55" t="inlineStr">
        <is>
          <t>8</t>
        </is>
      </c>
      <c r="D42" s="55" t="inlineStr">
        <is>
          <t>m</t>
        </is>
      </c>
    </row>
    <row r="43">
      <c r="A43" s="56" t="inlineStr">
        <is>
          <t>5. Ecosistema, cobertura y flora (F-DT-03)</t>
        </is>
      </c>
      <c r="B43" s="56" t="inlineStr">
        <is>
          <t>DAP promedio (cm)</t>
        </is>
      </c>
      <c r="C43" s="56" t="inlineStr">
        <is>
          <t>20</t>
        </is>
      </c>
      <c r="D43" s="56" t="inlineStr">
        <is>
          <t>cm</t>
        </is>
      </c>
    </row>
    <row r="44">
      <c r="A44" s="55" t="inlineStr">
        <is>
          <t>5. Ecosistema, cobertura y flora (F-DT-03)</t>
        </is>
      </c>
      <c r="B44" s="55" t="inlineStr">
        <is>
          <t>Presencia de epífitas</t>
        </is>
      </c>
      <c r="C44" s="55" t="inlineStr">
        <is>
          <t>No</t>
        </is>
      </c>
      <c r="D44" s="55" t="inlineStr"/>
    </row>
    <row r="45">
      <c r="A45" s="56" t="inlineStr">
        <is>
          <t>5. Ecosistema, cobertura y flora (F-DT-03)</t>
        </is>
      </c>
      <c r="B45" s="56" t="inlineStr">
        <is>
          <t>Fenología dominante</t>
        </is>
      </c>
      <c r="C45" s="56" t="inlineStr">
        <is>
          <t>Vegetativo</t>
        </is>
      </c>
      <c r="D45" s="56" t="inlineStr"/>
    </row>
    <row r="46">
      <c r="A46" s="55" t="inlineStr">
        <is>
          <t>5. Ecosistema, cobertura y flora (F-DT-03)</t>
        </is>
      </c>
      <c r="B46" s="55" t="inlineStr">
        <is>
          <t>Dimensiones de la parcela (m)</t>
        </is>
      </c>
      <c r="C46" s="55" t="inlineStr">
        <is>
          <t>No aplica</t>
        </is>
      </c>
      <c r="D46" s="55" t="inlineStr"/>
    </row>
    <row r="47">
      <c r="A47" s="56" t="inlineStr">
        <is>
          <t>5. Ecosistema, cobertura y flora (F-DT-03)</t>
        </is>
      </c>
      <c r="B47" s="56" t="inlineStr">
        <is>
          <t>Pendiente de la parcela (%)</t>
        </is>
      </c>
      <c r="C47" s="56" t="inlineStr">
        <is>
          <t>20</t>
        </is>
      </c>
      <c r="D47" s="56" t="inlineStr">
        <is>
          <t>%</t>
        </is>
      </c>
    </row>
    <row r="48">
      <c r="A48" s="55" t="inlineStr">
        <is>
          <t>5. Ecosistema, cobertura y flora (F-DT-03)</t>
        </is>
      </c>
      <c r="B48" s="55" t="inlineStr">
        <is>
          <t>Especies clave georreferenciadas</t>
        </is>
      </c>
      <c r="C48" s="55" t="inlineStr">
        <is>
          <t>4</t>
        </is>
      </c>
      <c r="D48" s="55" t="inlineStr"/>
    </row>
    <row r="49">
      <c r="A49" s="56" t="inlineStr">
        <is>
          <t>6. Degradación, causas y urgencia (F-DT-04)</t>
        </is>
      </c>
      <c r="B49" s="56" t="inlineStr">
        <is>
          <t>Causas directas de la degradación</t>
        </is>
      </c>
      <c r="C49" s="56" t="inlineStr">
        <is>
          <t>Cambio en el uso del suelo: conversión del matorral andino en zona agrícola de pastos cultivados y cultivo de maíz, acompañada de la remoción de la cobertura arbórea (tocones) y del sobrepastoreo de ganado vacuno en pastoreo libre, con la consiguiente compactación del suelo y aceleración de la erosión hídrica en surcos y cárcavas.</t>
        </is>
      </c>
      <c r="D49" s="56" t="inlineStr"/>
    </row>
    <row r="50">
      <c r="A50" s="55" t="inlineStr">
        <is>
          <t>6. Degradación, causas y urgencia (F-DT-04)</t>
        </is>
      </c>
      <c r="B50" s="55" t="inlineStr">
        <is>
          <t>N.° de causas activas en la matriz F-DT-04</t>
        </is>
      </c>
      <c r="C50" s="55" t="inlineStr">
        <is>
          <t>3</t>
        </is>
      </c>
      <c r="D50" s="55" t="inlineStr"/>
    </row>
    <row r="51">
      <c r="A51" s="56" t="inlineStr">
        <is>
          <t>7. Hidrología, acceso y logística (F-DT-05)</t>
        </is>
      </c>
      <c r="B51" s="56" t="inlineStr">
        <is>
          <t>Escorrentía concentrada</t>
        </is>
      </c>
      <c r="C51" s="56" t="inlineStr">
        <is>
          <t>No</t>
        </is>
      </c>
      <c r="D51" s="56" t="inlineStr"/>
    </row>
    <row r="52">
      <c r="A52" s="55" t="inlineStr">
        <is>
          <t>7. Hidrología, acceso y logística (F-DT-05)</t>
        </is>
      </c>
      <c r="B52" s="55" t="inlineStr">
        <is>
          <t>Fuentes de agua inventariadas</t>
        </is>
      </c>
      <c r="C52" s="55" t="inlineStr">
        <is>
          <t>1</t>
        </is>
      </c>
      <c r="D52" s="55" t="inlineStr"/>
    </row>
    <row r="53">
      <c r="A53" s="56" t="inlineStr">
        <is>
          <t>7. Hidrología, acceso y logística (F-DT-05)</t>
        </is>
      </c>
      <c r="B53" s="56" t="inlineStr">
        <is>
          <t>Interferencia con riego</t>
        </is>
      </c>
      <c r="C53" s="56" t="inlineStr">
        <is>
          <t>No</t>
        </is>
      </c>
      <c r="D53" s="56" t="inlineStr"/>
    </row>
    <row r="54">
      <c r="A54" s="55" t="inlineStr">
        <is>
          <t>7. Hidrología, acceso y logística (F-DT-05)</t>
        </is>
      </c>
      <c r="B54" s="55" t="inlineStr">
        <is>
          <t>Vía principal de acceso</t>
        </is>
      </c>
      <c r="C54" s="55" t="inlineStr">
        <is>
          <t>Vía vecinal afirmada que interconecta centros poblados del distrito de Lalaquiz, colindante al límite inferior del bloque (acceso desde el C.P. Pedregal). Presenta derrumbes en varios tramos.</t>
        </is>
      </c>
      <c r="D54" s="55" t="inlineStr"/>
    </row>
    <row r="55">
      <c r="A55" s="56" t="inlineStr">
        <is>
          <t>7. Hidrología, acceso y logística (F-DT-05)</t>
        </is>
      </c>
      <c r="B55" s="56" t="inlineStr">
        <is>
          <t>Tipo de vía del tramo final</t>
        </is>
      </c>
      <c r="C55" s="56" t="inlineStr">
        <is>
          <t>Vecinal afirmada</t>
        </is>
      </c>
      <c r="D55" s="56" t="inlineStr"/>
    </row>
    <row r="56">
      <c r="A56" s="55" t="inlineStr">
        <is>
          <t>7. Hidrología, acceso y logística (F-DT-05)</t>
        </is>
      </c>
      <c r="B56" s="55" t="inlineStr">
        <is>
          <t>Transitabilidad en época seca</t>
        </is>
      </c>
      <c r="C56" s="55" t="inlineStr">
        <is>
          <t>Medio</t>
        </is>
      </c>
      <c r="D56" s="55" t="inlineStr"/>
    </row>
    <row r="57">
      <c r="A57" s="56" t="inlineStr">
        <is>
          <t>7. Hidrología, acceso y logística (F-DT-05)</t>
        </is>
      </c>
      <c r="B57" s="56" t="inlineStr">
        <is>
          <t>Transitabilidad en época lluviosa</t>
        </is>
      </c>
      <c r="C57" s="56" t="inlineStr">
        <is>
          <t>Bajo</t>
        </is>
      </c>
      <c r="D57" s="56" t="inlineStr"/>
    </row>
    <row r="58">
      <c r="A58" s="55" t="inlineStr">
        <is>
          <t>7. Hidrología, acceso y logística (F-DT-05)</t>
        </is>
      </c>
      <c r="B58" s="55" t="inlineStr">
        <is>
          <t>Requiere coordinación con ronda / comunidad</t>
        </is>
      </c>
      <c r="C58" s="55" t="inlineStr">
        <is>
          <t>Sí</t>
        </is>
      </c>
      <c r="D58" s="55" t="inlineStr"/>
    </row>
    <row r="60">
      <c r="A60" s="53" t="inlineStr">
        <is>
          <t>C. PROCEDENCIA DE LOS HECHOS DECLARADOS</t>
        </is>
      </c>
    </row>
    <row r="61">
      <c r="A61" s="54" t="inlineStr">
        <is>
          <t>Fuente</t>
        </is>
      </c>
      <c r="B61" s="54" t="inlineStr">
        <is>
          <t>Hechos</t>
        </is>
      </c>
      <c r="C61" s="54" t="inlineStr">
        <is>
          <t>Alcance de la fuente</t>
        </is>
      </c>
    </row>
    <row r="62">
      <c r="A62" s="55" t="inlineStr">
        <is>
          <t>Dato de campo</t>
        </is>
      </c>
      <c r="B62" s="55" t="n">
        <v>66</v>
      </c>
      <c r="C62" s="55" t="inlineStr">
        <is>
          <t>Verificación en campo. Fichas F-DT-01 a F-DT-05 de la Plantilla DT Campo Check Validada V5, suscritas por el evaluador.</t>
        </is>
      </c>
    </row>
    <row r="63">
      <c r="A63" s="56" t="inlineStr">
        <is>
          <t>Gabinete (GIS / teledetección)</t>
        </is>
      </c>
      <c r="B63" s="56" t="n">
        <v>24</v>
      </c>
      <c r="C63" s="56" t="inlineStr">
        <is>
          <t>Gabinete. Estadística zonal sobre el MDE y compuestos Sentinel-2 (NDVI mediana 2025, MSAVI 2024 por clase DN).</t>
        </is>
      </c>
    </row>
    <row r="64">
      <c r="A64" s="55" t="inlineStr">
        <is>
          <t>Fuente oficial</t>
        </is>
      </c>
      <c r="B64" s="55" t="n">
        <v>14</v>
      </c>
      <c r="C64" s="55" t="inlineStr">
        <is>
          <t>Fuente oficial. Catálogo maestro Bloques V5/V6, división política INEI y codificación de microcuencas de la ANA.</t>
        </is>
      </c>
    </row>
    <row r="66">
      <c r="A66" s="53" t="inlineStr">
        <is>
          <t>D. ESTADO DEL CRUCE ENTRE FUENTES</t>
        </is>
      </c>
    </row>
    <row r="67">
      <c r="A67" s="54" t="inlineStr">
        <is>
          <t>Estado</t>
        </is>
      </c>
      <c r="B67" s="54" t="inlineStr">
        <is>
          <t>Hechos</t>
        </is>
      </c>
      <c r="C67" s="54" t="inlineStr">
        <is>
          <t>Significado</t>
        </is>
      </c>
    </row>
    <row r="68">
      <c r="A68" s="55" t="inlineStr">
        <is>
          <t>CONFORME</t>
        </is>
      </c>
      <c r="B68" s="55" t="n">
        <v>93</v>
      </c>
      <c r="C68" s="55" t="inlineStr">
        <is>
          <t>Las dos fuentes declaran lo mismo, o solo la fuente que manda sobre el hecho lo declara.</t>
        </is>
      </c>
    </row>
    <row r="69">
      <c r="A69" s="56" t="inlineStr">
        <is>
          <t>COMPLEMENTADO</t>
        </is>
      </c>
      <c r="B69" s="56" t="n">
        <v>1</v>
      </c>
      <c r="C69" s="56" t="inlineStr">
        <is>
          <t>Solo una de las fuentes lo declara y se adopta ese valor.</t>
        </is>
      </c>
    </row>
    <row r="70">
      <c r="A70" s="55" t="inlineStr">
        <is>
          <t>ACTUALIZADO</t>
        </is>
      </c>
      <c r="B70" s="55" t="n">
        <v>10</v>
      </c>
      <c r="C70" s="55" t="inlineStr">
        <is>
          <t>La verificación de campo vigente corrige lo que traía el libro de resumen.</t>
        </is>
      </c>
    </row>
    <row r="71">
      <c r="A71" s="56" t="inlineStr">
        <is>
          <t>DISCREPANTE</t>
        </is>
      </c>
      <c r="B71" s="56" t="n">
        <v>0</v>
      </c>
      <c r="C71" s="56" t="inlineStr">
        <is>
          <t>Las fuentes se contradicen; prevalece la que manda sobre el hecho y la otra queda declarada.</t>
        </is>
      </c>
    </row>
    <row r="72">
      <c r="A72" s="55" t="inlineStr">
        <is>
          <t>PENDIENTE</t>
        </is>
      </c>
      <c r="B72" s="55" t="n">
        <v>10</v>
      </c>
      <c r="C72"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61</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S-61-01</t>
        </is>
      </c>
      <c r="B9" s="55" t="inlineStr">
        <is>
          <t>Surco (&lt;30 cm)</t>
        </is>
      </c>
      <c r="C9" s="60" t="n">
        <v>646004</v>
      </c>
      <c r="D9" s="60" t="n">
        <v>9424921</v>
      </c>
      <c r="E9" s="55" t="n"/>
      <c r="F9" s="55" t="n"/>
      <c r="G9" s="55" t="n"/>
      <c r="H9" s="55" t="inlineStr">
        <is>
          <t>Activa</t>
        </is>
      </c>
      <c r="I9" s="55" t="inlineStr">
        <is>
          <t>Caminos / huellas de ganado</t>
        </is>
      </c>
    </row>
    <row r="10">
      <c r="A10" s="56" t="inlineStr">
        <is>
          <t>S-61-02</t>
        </is>
      </c>
      <c r="B10" s="56" t="inlineStr">
        <is>
          <t>Surco (&lt;30 cm)</t>
        </is>
      </c>
      <c r="C10" s="61" t="n">
        <v>645946</v>
      </c>
      <c r="D10" s="61" t="n">
        <v>9424911</v>
      </c>
      <c r="E10" s="56" t="n"/>
      <c r="F10" s="56" t="n"/>
      <c r="G10" s="56" t="n"/>
      <c r="H10" s="56" t="inlineStr">
        <is>
          <t>Activa</t>
        </is>
      </c>
      <c r="I10" s="56" t="inlineStr">
        <is>
          <t>Sobrepastoreo</t>
        </is>
      </c>
    </row>
    <row r="11">
      <c r="A11" s="55" t="inlineStr">
        <is>
          <t>C-61-03</t>
        </is>
      </c>
      <c r="B11" s="55" t="inlineStr">
        <is>
          <t>Cárcava incipiente (30-50 cm)</t>
        </is>
      </c>
      <c r="C11" s="60" t="n">
        <v>646067</v>
      </c>
      <c r="D11" s="60" t="n">
        <v>9424801</v>
      </c>
      <c r="E11" s="55" t="n"/>
      <c r="F11" s="55" t="n"/>
      <c r="G11" s="55" t="n"/>
      <c r="H11" s="55" t="inlineStr">
        <is>
          <t>Activa</t>
        </is>
      </c>
      <c r="I11" s="55" t="inlineStr">
        <is>
          <t>Concentración natural de escorrentía</t>
        </is>
      </c>
    </row>
    <row r="12">
      <c r="A12" s="56" t="inlineStr">
        <is>
          <t>C-61-04</t>
        </is>
      </c>
      <c r="B12" s="56" t="inlineStr">
        <is>
          <t>Cárcava incipiente (30-50 cm)</t>
        </is>
      </c>
      <c r="C12" s="61" t="n">
        <v>645929</v>
      </c>
      <c r="D12" s="61" t="n">
        <v>9424907</v>
      </c>
      <c r="E12" s="56" t="n"/>
      <c r="F12" s="56" t="n"/>
      <c r="G12" s="56" t="n"/>
      <c r="H12" s="56" t="inlineStr">
        <is>
          <t>Semi-activa</t>
        </is>
      </c>
      <c r="I12" s="56" t="inlineStr">
        <is>
          <t>Cambio de uso del suelo</t>
        </is>
      </c>
    </row>
    <row r="14">
      <c r="A14" s="53" t="inlineStr">
        <is>
          <t>F-DT-03 · ELENCO FLORÍSTICO</t>
        </is>
      </c>
    </row>
    <row r="15">
      <c r="A15" s="54" t="inlineStr">
        <is>
          <t>N.o</t>
        </is>
      </c>
      <c r="B15" s="54" t="inlineStr">
        <is>
          <t>Nombre común</t>
        </is>
      </c>
      <c r="C15" s="54" t="inlineStr">
        <is>
          <t>Nombre científico</t>
        </is>
      </c>
      <c r="D15" s="54" t="inlineStr">
        <is>
          <t>Familia</t>
        </is>
      </c>
      <c r="E15" s="54" t="inlineStr">
        <is>
          <t>Estrato</t>
        </is>
      </c>
      <c r="F15" s="54" t="inlineStr">
        <is>
          <t>Origen</t>
        </is>
      </c>
      <c r="G15" s="54" t="inlineStr">
        <is>
          <t>Abundancia</t>
        </is>
      </c>
      <c r="H15" s="54" t="inlineStr">
        <is>
          <t>DAP (cm)</t>
        </is>
      </c>
      <c r="I15" s="54" t="inlineStr">
        <is>
          <t>Altura (m)</t>
        </is>
      </c>
    </row>
    <row r="16">
      <c r="A16" s="55" t="inlineStr">
        <is>
          <t>1</t>
        </is>
      </c>
      <c r="B16" s="55" t="inlineStr">
        <is>
          <t>Higuerón</t>
        </is>
      </c>
      <c r="C16" s="55" t="inlineStr">
        <is>
          <t>Ficus sp.</t>
        </is>
      </c>
      <c r="D16" s="55" t="inlineStr">
        <is>
          <t>Moraceae</t>
        </is>
      </c>
      <c r="E16" s="55" t="inlineStr">
        <is>
          <t>Arbóreo medio (8-15 m)</t>
        </is>
      </c>
      <c r="F16" s="55" t="inlineStr">
        <is>
          <t>Nativa</t>
        </is>
      </c>
      <c r="G16" s="55" t="inlineStr">
        <is>
          <t>Ocasional (1-5%)</t>
        </is>
      </c>
      <c r="H16" s="55" t="n"/>
      <c r="I16" s="55" t="n"/>
    </row>
    <row r="17">
      <c r="A17" s="56" t="inlineStr">
        <is>
          <t>2</t>
        </is>
      </c>
      <c r="B17" s="56" t="inlineStr">
        <is>
          <t>Faique</t>
        </is>
      </c>
      <c r="C17" s="56" t="inlineStr">
        <is>
          <t>Vachellia macracantha</t>
        </is>
      </c>
      <c r="D17" s="56" t="inlineStr">
        <is>
          <t>Fabaceae</t>
        </is>
      </c>
      <c r="E17" s="56" t="inlineStr">
        <is>
          <t>Arbóreo bajo (4-8 m)</t>
        </is>
      </c>
      <c r="F17" s="56" t="inlineStr">
        <is>
          <t>Nativa</t>
        </is>
      </c>
      <c r="G17" s="56" t="inlineStr">
        <is>
          <t>Ocasional (1-5%)</t>
        </is>
      </c>
      <c r="H17" s="61" t="n">
        <v>20</v>
      </c>
      <c r="I17" s="62" t="n">
        <v>4</v>
      </c>
    </row>
    <row r="18">
      <c r="A18" s="55" t="inlineStr">
        <is>
          <t>3</t>
        </is>
      </c>
      <c r="B18" s="55" t="inlineStr">
        <is>
          <t>Palo blanco</t>
        </is>
      </c>
      <c r="C18" s="55" t="inlineStr">
        <is>
          <t>Celtis iguanaea</t>
        </is>
      </c>
      <c r="D18" s="55" t="inlineStr">
        <is>
          <t>Cannabaceae</t>
        </is>
      </c>
      <c r="E18" s="55" t="inlineStr">
        <is>
          <t>Arbóreo bajo (4-8 m)</t>
        </is>
      </c>
      <c r="F18" s="55" t="inlineStr">
        <is>
          <t>Nativa</t>
        </is>
      </c>
      <c r="G18" s="55" t="inlineStr">
        <is>
          <t>Ocasional (1-5%)</t>
        </is>
      </c>
      <c r="H18" s="55" t="n"/>
      <c r="I18" s="55" t="n"/>
    </row>
    <row r="19">
      <c r="A19" s="56" t="inlineStr">
        <is>
          <t>4</t>
        </is>
      </c>
      <c r="B19" s="56" t="inlineStr">
        <is>
          <t>Guaba o pacae</t>
        </is>
      </c>
      <c r="C19" s="56" t="inlineStr">
        <is>
          <t>Inga sp.</t>
        </is>
      </c>
      <c r="D19" s="56" t="inlineStr">
        <is>
          <t>Fabaceae</t>
        </is>
      </c>
      <c r="E19" s="56" t="inlineStr">
        <is>
          <t>Arbóreo bajo (4-8 m)</t>
        </is>
      </c>
      <c r="F19" s="56" t="inlineStr">
        <is>
          <t>Nativa</t>
        </is>
      </c>
      <c r="G19" s="56" t="inlineStr">
        <is>
          <t>Ocasional (1-5%)</t>
        </is>
      </c>
      <c r="H19" s="61" t="n">
        <v>25</v>
      </c>
      <c r="I19" s="62" t="n">
        <v>6</v>
      </c>
    </row>
    <row r="20">
      <c r="A20" s="55" t="inlineStr">
        <is>
          <t>5</t>
        </is>
      </c>
      <c r="B20" s="55" t="inlineStr">
        <is>
          <t>Cascarilla / quina</t>
        </is>
      </c>
      <c r="C20" s="55" t="inlineStr">
        <is>
          <t>Cinchona sp.</t>
        </is>
      </c>
      <c r="D20" s="55" t="inlineStr">
        <is>
          <t>Rubiaceae</t>
        </is>
      </c>
      <c r="E20" s="55" t="inlineStr">
        <is>
          <t>Arbóreo bajo (4-8 m)</t>
        </is>
      </c>
      <c r="F20" s="55" t="inlineStr">
        <is>
          <t>Nativa</t>
        </is>
      </c>
      <c r="G20" s="55" t="inlineStr">
        <is>
          <t>Rara (&lt;1%)</t>
        </is>
      </c>
      <c r="H20" s="55" t="n"/>
      <c r="I20" s="55" t="n"/>
    </row>
    <row r="21">
      <c r="A21" s="56" t="inlineStr">
        <is>
          <t>6</t>
        </is>
      </c>
      <c r="B21" s="56" t="inlineStr">
        <is>
          <t>Melastomatácea (por determinar)</t>
        </is>
      </c>
      <c r="C21" s="56" t="inlineStr">
        <is>
          <t>Miconia sp.</t>
        </is>
      </c>
      <c r="D21" s="56" t="inlineStr">
        <is>
          <t>Melastomataceae</t>
        </is>
      </c>
      <c r="E21" s="56" t="inlineStr">
        <is>
          <t>Arbustivo alto (1.5-4 m)</t>
        </is>
      </c>
      <c r="F21" s="56" t="inlineStr">
        <is>
          <t>Nativa</t>
        </is>
      </c>
      <c r="G21" s="56" t="inlineStr">
        <is>
          <t>Frecuente (5-20%)</t>
        </is>
      </c>
      <c r="H21" s="56" t="n"/>
      <c r="I21" s="56" t="n"/>
    </row>
    <row r="22">
      <c r="A22" s="55" t="inlineStr">
        <is>
          <t>7</t>
        </is>
      </c>
      <c r="B22" s="55" t="inlineStr">
        <is>
          <t>Matico / piperácea</t>
        </is>
      </c>
      <c r="C22" s="55" t="inlineStr">
        <is>
          <t>Piper sp.</t>
        </is>
      </c>
      <c r="D22" s="55" t="inlineStr">
        <is>
          <t>Piperaceae</t>
        </is>
      </c>
      <c r="E22" s="55" t="inlineStr">
        <is>
          <t>Arbustivo alto (1.5-4 m)</t>
        </is>
      </c>
      <c r="F22" s="55" t="inlineStr">
        <is>
          <t>Nativa</t>
        </is>
      </c>
      <c r="G22" s="55" t="inlineStr">
        <is>
          <t>Ocasional (1-5%)</t>
        </is>
      </c>
      <c r="H22" s="55" t="n"/>
      <c r="I22" s="55" t="n"/>
    </row>
    <row r="23">
      <c r="A23" s="56" t="inlineStr">
        <is>
          <t>8</t>
        </is>
      </c>
      <c r="B23" s="56" t="inlineStr">
        <is>
          <t>Agave / penca</t>
        </is>
      </c>
      <c r="C23" s="56" t="inlineStr">
        <is>
          <t>Agave americana</t>
        </is>
      </c>
      <c r="D23" s="56" t="inlineStr">
        <is>
          <t>Asparagaceae</t>
        </is>
      </c>
      <c r="E23" s="56" t="inlineStr">
        <is>
          <t>Arbustivo alto (1.5-4 m)</t>
        </is>
      </c>
      <c r="F23" s="56" t="inlineStr">
        <is>
          <t>Introducida</t>
        </is>
      </c>
      <c r="G23" s="56" t="inlineStr">
        <is>
          <t>Ocasional (1-5%)</t>
        </is>
      </c>
      <c r="H23" s="56" t="n"/>
      <c r="I23" s="56" t="n"/>
    </row>
    <row r="24">
      <c r="A24" s="55" t="inlineStr">
        <is>
          <t>9</t>
        </is>
      </c>
      <c r="B24" s="55" t="inlineStr">
        <is>
          <t>Pastos cultivados</t>
        </is>
      </c>
      <c r="C24" s="55" t="inlineStr">
        <is>
          <t>Poaceae (por determinar)</t>
        </is>
      </c>
      <c r="D24" s="55" t="inlineStr">
        <is>
          <t>Poaceae</t>
        </is>
      </c>
      <c r="E24" s="55" t="inlineStr">
        <is>
          <t>Herbáceo (&lt;0.5 m)</t>
        </is>
      </c>
      <c r="F24" s="55" t="inlineStr">
        <is>
          <t>Introducida</t>
        </is>
      </c>
      <c r="G24" s="55" t="inlineStr">
        <is>
          <t>Dominante (&gt;40%)</t>
        </is>
      </c>
      <c r="H24" s="55" t="n"/>
      <c r="I24" s="55" t="n"/>
    </row>
    <row r="26">
      <c r="A26" s="53" t="inlineStr">
        <is>
          <t>F-DT-03 · ESPECIES CLAVE GEORREFERENCIADAS</t>
        </is>
      </c>
    </row>
    <row r="27">
      <c r="A27" s="54" t="inlineStr">
        <is>
          <t>N.o</t>
        </is>
      </c>
      <c r="B27" s="54" t="inlineStr">
        <is>
          <t>Especie</t>
        </is>
      </c>
      <c r="C27" s="54" t="inlineStr">
        <is>
          <t>Categoría</t>
        </is>
      </c>
      <c r="D27" s="54" t="inlineStr">
        <is>
          <t>Estado UICN</t>
        </is>
      </c>
      <c r="E27" s="54" t="inlineStr">
        <is>
          <t>UTM ESTE</t>
        </is>
      </c>
      <c r="F27" s="54" t="inlineStr">
        <is>
          <t>UTM NORTE</t>
        </is>
      </c>
      <c r="G27" s="54" t="inlineStr">
        <is>
          <t>N.° individuos</t>
        </is>
      </c>
      <c r="H27" s="54" t="inlineStr">
        <is>
          <t>Observación</t>
        </is>
      </c>
    </row>
    <row r="28">
      <c r="A28" s="55" t="inlineStr">
        <is>
          <t>1</t>
        </is>
      </c>
      <c r="B28" s="55" t="inlineStr">
        <is>
          <t>Ficus sp. (higuerón)</t>
        </is>
      </c>
      <c r="C28" s="55" t="inlineStr">
        <is>
          <t>Indicadora de buen estado</t>
        </is>
      </c>
      <c r="D28" s="55" t="inlineStr">
        <is>
          <t>NE — No Evaluado</t>
        </is>
      </c>
      <c r="E28" s="60" t="n">
        <v>645955</v>
      </c>
      <c r="F28" s="60" t="n">
        <v>9424793</v>
      </c>
      <c r="G28" s="63" t="n">
        <v>1</v>
      </c>
      <c r="H28" s="55" t="inlineStr">
        <is>
          <t>Individuo emergente conservado, protegido con cerco de varas construido por los pobladores; proporciona sombra, refugio de fauna y aporte de hojarasca. Altura y DAP por medir.</t>
        </is>
      </c>
    </row>
    <row r="29">
      <c r="A29" s="56" t="inlineStr">
        <is>
          <t>2</t>
        </is>
      </c>
      <c r="B29" s="56" t="inlineStr">
        <is>
          <t>Cinchona sp. (cascarilla)</t>
        </is>
      </c>
      <c r="C29" s="56" t="inlineStr">
        <is>
          <t>Clave cultural</t>
        </is>
      </c>
      <c r="D29" s="56" t="inlineStr">
        <is>
          <t>NE — No Evaluado</t>
        </is>
      </c>
      <c r="E29" s="56" t="n"/>
      <c r="F29" s="56" t="n"/>
      <c r="G29" s="56" t="n"/>
      <c r="H29" s="56" t="inlineStr">
        <is>
          <t>Registro de importancia: género emblemático del Perú (árbol nacional), indicador de condiciones subhúmedas. Determinación a nivel específico pendiente mediante colecta botánica; varias especies del género figuran en el D.S. 043-2006-AG, por lo que su categoría de amenaza debe verificarse una vez determinada.</t>
        </is>
      </c>
    </row>
    <row r="30">
      <c r="A30" s="55" t="inlineStr">
        <is>
          <t>3</t>
        </is>
      </c>
      <c r="B30" s="55" t="inlineStr">
        <is>
          <t>Vachellia macracantha (faique)</t>
        </is>
      </c>
      <c r="C30" s="55" t="inlineStr">
        <is>
          <t>Indicadora de perturbación</t>
        </is>
      </c>
      <c r="D30" s="55" t="inlineStr">
        <is>
          <t>NE — No Evaluado</t>
        </is>
      </c>
      <c r="E30" s="60" t="n">
        <v>645967</v>
      </c>
      <c r="F30" s="60" t="n">
        <v>9424926</v>
      </c>
      <c r="G30" s="55" t="n"/>
      <c r="H30" s="55" t="inlineStr">
        <is>
          <t>Regeneración natural activa en borde de potrero; especie pionera indicadora de perturbación y de utilidad para restauración por su rusticidad y capacidad de fijación de nitrógeno.</t>
        </is>
      </c>
    </row>
    <row r="31">
      <c r="A31" s="56" t="inlineStr">
        <is>
          <t>4</t>
        </is>
      </c>
      <c r="B31" s="56" t="inlineStr">
        <is>
          <t>Miconia sp. (melastomatácea)</t>
        </is>
      </c>
      <c r="C31" s="56" t="inlineStr">
        <is>
          <t>Indicadora de buen estado</t>
        </is>
      </c>
      <c r="D31" s="56" t="inlineStr">
        <is>
          <t>NE — No Evaluado</t>
        </is>
      </c>
      <c r="E31" s="61" t="n">
        <v>646067</v>
      </c>
      <c r="F31" s="61" t="n">
        <v>9424760</v>
      </c>
      <c r="G31" s="56" t="n"/>
      <c r="H31" s="56" t="inlineStr">
        <is>
          <t>Arbusto de hojas con nervación acródroma marcada, presente en el talud y borde de vía; indicador de condiciones subhúmedas y de recolonización natural del talud.</t>
        </is>
      </c>
    </row>
    <row r="33">
      <c r="A33" s="53" t="inlineStr">
        <is>
          <t>F-DT-04 · MATRIZ DE CAUSAS DE DEGRADACIÓN</t>
        </is>
      </c>
    </row>
    <row r="34">
      <c r="A34" s="54" t="inlineStr">
        <is>
          <t>N.o</t>
        </is>
      </c>
      <c r="B34" s="54" t="inlineStr">
        <is>
          <t>Causa</t>
        </is>
      </c>
      <c r="C34" s="54" t="inlineStr">
        <is>
          <t>Presencia</t>
        </is>
      </c>
      <c r="D34" s="54" t="inlineStr">
        <is>
          <t>Intensidad</t>
        </is>
      </c>
      <c r="E34" s="54" t="inlineStr">
        <is>
          <t>Extensión</t>
        </is>
      </c>
      <c r="F34" s="54" t="inlineStr">
        <is>
          <t>Antigüedad</t>
        </is>
      </c>
      <c r="G34" s="54" t="inlineStr">
        <is>
          <t>Evidencia</t>
        </is>
      </c>
    </row>
    <row r="35">
      <c r="A35" s="55" t="inlineStr">
        <is>
          <t>1</t>
        </is>
      </c>
      <c r="B35" s="55" t="inlineStr">
        <is>
          <t>Sobrepastoreo (caprino/vacuno)</t>
        </is>
      </c>
      <c r="C35" s="55" t="inlineStr">
        <is>
          <t>Sí</t>
        </is>
      </c>
      <c r="D35" s="55" t="inlineStr">
        <is>
          <t>Moderada</t>
        </is>
      </c>
      <c r="E35" s="55" t="inlineStr">
        <is>
          <t>65</t>
        </is>
      </c>
      <c r="F35" s="55" t="inlineStr">
        <is>
          <t>30</t>
        </is>
      </c>
      <c r="G35" s="55" t="inlineStr">
        <is>
          <t>Se evidenció presencia de ganado vacuno en pastoreo libre, deterioro del suelo por pisoteo continuo, compactación superficial y huellas de ganado que actúan como líneas de concentración de escorrentía.</t>
        </is>
      </c>
    </row>
    <row r="36">
      <c r="A36" s="56" t="inlineStr">
        <is>
          <t>2</t>
        </is>
      </c>
      <c r="B36" s="56" t="inlineStr">
        <is>
          <t>Tala para leña</t>
        </is>
      </c>
      <c r="C36" s="56" t="inlineStr">
        <is>
          <t>No</t>
        </is>
      </c>
      <c r="D36" s="56" t="inlineStr"/>
      <c r="E36" s="56" t="inlineStr"/>
      <c r="F36" s="56" t="inlineStr"/>
      <c r="G36" s="56" t="inlineStr"/>
    </row>
    <row r="37">
      <c r="A37" s="55" t="inlineStr">
        <is>
          <t>3</t>
        </is>
      </c>
      <c r="B37" s="55" t="inlineStr">
        <is>
          <t>Tala para carbón</t>
        </is>
      </c>
      <c r="C37" s="55" t="inlineStr">
        <is>
          <t>No</t>
        </is>
      </c>
      <c r="D37" s="55" t="inlineStr"/>
      <c r="E37" s="55" t="inlineStr"/>
      <c r="F37" s="55" t="inlineStr"/>
      <c r="G37" s="55" t="inlineStr"/>
    </row>
    <row r="38">
      <c r="A38" s="56" t="inlineStr">
        <is>
          <t>4</t>
        </is>
      </c>
      <c r="B38" s="56" t="inlineStr">
        <is>
          <t>Tala para madera</t>
        </is>
      </c>
      <c r="C38" s="56" t="inlineStr">
        <is>
          <t>No</t>
        </is>
      </c>
      <c r="D38" s="56" t="inlineStr"/>
      <c r="E38" s="56" t="inlineStr"/>
      <c r="F38" s="56" t="inlineStr"/>
      <c r="G38" s="56" t="inlineStr"/>
    </row>
    <row r="39">
      <c r="A39" s="55" t="inlineStr">
        <is>
          <t>5</t>
        </is>
      </c>
      <c r="B39" s="55" t="inlineStr">
        <is>
          <t>Quema (renovación de pastos)</t>
        </is>
      </c>
      <c r="C39" s="55" t="inlineStr">
        <is>
          <t>No</t>
        </is>
      </c>
      <c r="D39" s="55" t="inlineStr"/>
      <c r="E39" s="55" t="inlineStr"/>
      <c r="F39" s="55" t="inlineStr"/>
      <c r="G39" s="55" t="inlineStr"/>
    </row>
    <row r="40">
      <c r="A40" s="56" t="inlineStr">
        <is>
          <t>6</t>
        </is>
      </c>
      <c r="B40" s="56" t="inlineStr">
        <is>
          <t>Quema accidental / Incendio</t>
        </is>
      </c>
      <c r="C40" s="56" t="inlineStr">
        <is>
          <t>No</t>
        </is>
      </c>
      <c r="D40" s="56" t="inlineStr"/>
      <c r="E40" s="56" t="inlineStr"/>
      <c r="F40" s="56" t="inlineStr"/>
      <c r="G40" s="56" t="inlineStr"/>
    </row>
    <row r="41">
      <c r="A41" s="55" t="inlineStr">
        <is>
          <t>7</t>
        </is>
      </c>
      <c r="B41" s="55" t="inlineStr">
        <is>
          <t>Cambio de uso a agricultura</t>
        </is>
      </c>
      <c r="C41" s="55" t="inlineStr">
        <is>
          <t>Sí</t>
        </is>
      </c>
      <c r="D41" s="55" t="inlineStr">
        <is>
          <t>Moderada</t>
        </is>
      </c>
      <c r="E41" s="55" t="inlineStr">
        <is>
          <t>15</t>
        </is>
      </c>
      <c r="F41" s="55" t="inlineStr">
        <is>
          <t>30</t>
        </is>
      </c>
      <c r="G41" s="55" t="inlineStr">
        <is>
          <t>Se evidenciaron parcelas destinadas al cultivo de maíz distribuidas en mosaico dentro del polígono, con labranza en pendiente y ausencia de prácticas de conservación de suelos.</t>
        </is>
      </c>
    </row>
    <row r="42">
      <c r="A42" s="56" t="inlineStr">
        <is>
          <t>8</t>
        </is>
      </c>
      <c r="B42" s="56" t="inlineStr">
        <is>
          <t>Cambio de uso a pastoreo</t>
        </is>
      </c>
      <c r="C42" s="56" t="inlineStr">
        <is>
          <t>Sí</t>
        </is>
      </c>
      <c r="D42" s="56" t="inlineStr">
        <is>
          <t>Moderada</t>
        </is>
      </c>
      <c r="E42" s="56" t="inlineStr">
        <is>
          <t>65</t>
        </is>
      </c>
      <c r="F42" s="56" t="inlineStr">
        <is>
          <t>30</t>
        </is>
      </c>
      <c r="G42" s="56" t="inlineStr">
        <is>
          <t>Se evidenció presencia de potreros cercados con alambre de púas y postes de madera, con tocones que acreditan la extracción previa de individuos arbóreos y arbustivos para la instalación de pastos cultivados.</t>
        </is>
      </c>
    </row>
    <row r="43">
      <c r="A43" s="55" t="inlineStr">
        <is>
          <t>9</t>
        </is>
      </c>
      <c r="B43" s="55" t="inlineStr">
        <is>
          <t>Expansión urbana / vial</t>
        </is>
      </c>
      <c r="C43" s="55" t="inlineStr">
        <is>
          <t>No</t>
        </is>
      </c>
      <c r="D43" s="55" t="inlineStr"/>
      <c r="E43" s="55" t="inlineStr"/>
      <c r="F43" s="55" t="inlineStr"/>
      <c r="G43" s="55" t="inlineStr"/>
    </row>
    <row r="44">
      <c r="A44" s="56" t="inlineStr">
        <is>
          <t>10</t>
        </is>
      </c>
      <c r="B44" s="56" t="inlineStr">
        <is>
          <t>Minería informal</t>
        </is>
      </c>
      <c r="C44" s="56" t="inlineStr">
        <is>
          <t>No</t>
        </is>
      </c>
      <c r="D44" s="56" t="inlineStr"/>
      <c r="E44" s="56" t="inlineStr"/>
      <c r="F44" s="56" t="inlineStr"/>
      <c r="G44" s="56" t="inlineStr"/>
    </row>
    <row r="45">
      <c r="A45" s="55" t="inlineStr">
        <is>
          <t>11</t>
        </is>
      </c>
      <c r="B45" s="55" t="inlineStr">
        <is>
          <t>Extracción de áridos (cauces)</t>
        </is>
      </c>
      <c r="C45" s="55" t="inlineStr">
        <is>
          <t>No</t>
        </is>
      </c>
      <c r="D45" s="55" t="inlineStr"/>
      <c r="E45" s="55" t="inlineStr"/>
      <c r="F45" s="55" t="inlineStr"/>
      <c r="G45" s="55" t="inlineStr"/>
    </row>
    <row r="46">
      <c r="A46" s="56" t="inlineStr">
        <is>
          <t>12</t>
        </is>
      </c>
      <c r="B46" s="56" t="inlineStr">
        <is>
          <t>Especies invasoras</t>
        </is>
      </c>
      <c r="C46" s="56" t="inlineStr">
        <is>
          <t>No</t>
        </is>
      </c>
      <c r="D46" s="56" t="inlineStr"/>
      <c r="E46" s="56" t="inlineStr"/>
      <c r="F46" s="56" t="inlineStr"/>
      <c r="G46" s="56" t="inlineStr"/>
    </row>
    <row r="47">
      <c r="A47" s="55" t="inlineStr">
        <is>
          <t>13</t>
        </is>
      </c>
      <c r="B47" s="55" t="inlineStr">
        <is>
          <t>Erosión natural severa</t>
        </is>
      </c>
      <c r="C47" s="55" t="inlineStr">
        <is>
          <t>No</t>
        </is>
      </c>
      <c r="D47" s="55" t="inlineStr"/>
      <c r="E47" s="55" t="inlineStr"/>
      <c r="F47" s="55" t="inlineStr"/>
      <c r="G47" s="55" t="inlineStr"/>
    </row>
    <row r="48">
      <c r="A48" s="56" t="inlineStr">
        <is>
          <t>14</t>
        </is>
      </c>
      <c r="B48" s="56" t="inlineStr">
        <is>
          <t>Sequía prolongada / CC</t>
        </is>
      </c>
      <c r="C48" s="56" t="inlineStr">
        <is>
          <t>No</t>
        </is>
      </c>
      <c r="D48" s="56" t="inlineStr"/>
      <c r="E48" s="56" t="inlineStr"/>
      <c r="F48" s="56" t="inlineStr"/>
      <c r="G48" s="56" t="inlineStr"/>
    </row>
    <row r="49">
      <c r="A49" s="55" t="inlineStr">
        <is>
          <t>15</t>
        </is>
      </c>
      <c r="B49" s="55" t="inlineStr">
        <is>
          <t>Plagas o enfermedades forestales</t>
        </is>
      </c>
      <c r="C49" s="55" t="inlineStr">
        <is>
          <t>No</t>
        </is>
      </c>
      <c r="D49" s="55" t="inlineStr"/>
      <c r="E49" s="55" t="inlineStr"/>
      <c r="F49" s="55" t="inlineStr"/>
      <c r="G49" s="55" t="inlineStr"/>
    </row>
    <row r="50">
      <c r="A50" s="56" t="inlineStr">
        <is>
          <t>16</t>
        </is>
      </c>
      <c r="B50" s="56" t="inlineStr">
        <is>
          <t>Otro</t>
        </is>
      </c>
      <c r="C50" s="56" t="inlineStr">
        <is>
          <t>No</t>
        </is>
      </c>
      <c r="D50" s="56" t="inlineStr"/>
      <c r="E50" s="56" t="inlineStr"/>
      <c r="F50" s="56" t="inlineStr"/>
      <c r="G50" s="56" t="inlineStr"/>
    </row>
    <row r="52">
      <c r="A52" s="53" t="inlineStr">
        <is>
          <t>F-DT-04 · INDICADORES CUANTITATIVOS</t>
        </is>
      </c>
    </row>
    <row r="53">
      <c r="A53" s="54" t="inlineStr">
        <is>
          <t>N.o</t>
        </is>
      </c>
      <c r="B53" s="54" t="inlineStr">
        <is>
          <t>Indicador</t>
        </is>
      </c>
      <c r="C53" s="54" t="inlineStr">
        <is>
          <t>Unidad</t>
        </is>
      </c>
      <c r="D53" s="54" t="inlineStr">
        <is>
          <t>Valor</t>
        </is>
      </c>
      <c r="E53" s="54" t="inlineStr">
        <is>
          <t>Fuente</t>
        </is>
      </c>
      <c r="F53" s="54" t="inlineStr">
        <is>
          <t>Umbral</t>
        </is>
      </c>
      <c r="G53" s="54" t="inlineStr">
        <is>
          <t>Nivel</t>
        </is>
      </c>
    </row>
    <row r="54">
      <c r="A54" s="55" t="inlineStr">
        <is>
          <t>1</t>
        </is>
      </c>
      <c r="B54" s="55" t="inlineStr">
        <is>
          <t>Cobertura vegetal total</t>
        </is>
      </c>
      <c r="C54" s="55" t="inlineStr">
        <is>
          <t>%</t>
        </is>
      </c>
      <c r="D54" s="55" t="inlineStr">
        <is>
          <t>50</t>
        </is>
      </c>
      <c r="E54" s="55" t="inlineStr">
        <is>
          <t>F-DT-03 — observación de campo 07/07/2026</t>
        </is>
      </c>
      <c r="F54" s="55" t="inlineStr">
        <is>
          <t>&gt;60% bueno; 30-60% medio; &lt;30% malo</t>
        </is>
      </c>
      <c r="G54" s="55" t="inlineStr">
        <is>
          <t>Medio</t>
        </is>
      </c>
    </row>
    <row r="55">
      <c r="A55" s="56" t="inlineStr">
        <is>
          <t>2</t>
        </is>
      </c>
      <c r="B55" s="56" t="inlineStr">
        <is>
          <t>Porcentaje de suelo desnudo</t>
        </is>
      </c>
      <c r="C55" s="56" t="inlineStr">
        <is>
          <t>%</t>
        </is>
      </c>
      <c r="D55" s="56" t="inlineStr">
        <is>
          <t>5</t>
        </is>
      </c>
      <c r="E55" s="56" t="inlineStr">
        <is>
          <t>F-DT-03 — observación de campo 07/07/2026</t>
        </is>
      </c>
      <c r="F55" s="56" t="inlineStr">
        <is>
          <t>&lt;10% bueno; 10-30% medio; &gt;30% malo</t>
        </is>
      </c>
      <c r="G55" s="56" t="inlineStr">
        <is>
          <t>Bajo</t>
        </is>
      </c>
    </row>
    <row r="56">
      <c r="A56" s="55" t="inlineStr">
        <is>
          <t>3</t>
        </is>
      </c>
      <c r="B56" s="55" t="inlineStr">
        <is>
          <t>Densidad de cárcavas</t>
        </is>
      </c>
      <c r="C56" s="55" t="inlineStr">
        <is>
          <t>N°/ha</t>
        </is>
      </c>
      <c r="D56" s="55" t="inlineStr"/>
      <c r="E56" s="55" t="inlineStr">
        <is>
          <t>F-DT-02 — inventario cualitativo; densidad por medir</t>
        </is>
      </c>
      <c r="F56" s="55" t="inlineStr">
        <is>
          <t>0 nulo; 1-3 medio; &gt;3 alto</t>
        </is>
      </c>
      <c r="G56" s="55" t="inlineStr"/>
    </row>
    <row r="57">
      <c r="A57" s="56" t="inlineStr">
        <is>
          <t>4</t>
        </is>
      </c>
      <c r="B57" s="56" t="inlineStr">
        <is>
          <t>Presencia de especies invasoras</t>
        </is>
      </c>
      <c r="C57" s="56" t="inlineStr">
        <is>
          <t>% área</t>
        </is>
      </c>
      <c r="D57" s="56" t="inlineStr">
        <is>
          <t>0</t>
        </is>
      </c>
      <c r="E57" s="56" t="inlineStr">
        <is>
          <t>Observación de campo 07/07/2026</t>
        </is>
      </c>
      <c r="F57" s="56" t="inlineStr">
        <is>
          <t>&lt;5% bueno; 5-20% medio; &gt;20% alto</t>
        </is>
      </c>
      <c r="G57" s="56" t="inlineStr">
        <is>
          <t>Bajo</t>
        </is>
      </c>
    </row>
    <row r="58">
      <c r="A58" s="55" t="inlineStr">
        <is>
          <t>5</t>
        </is>
      </c>
      <c r="B58" s="55" t="inlineStr">
        <is>
          <t>Carga ganadera estimada</t>
        </is>
      </c>
      <c r="C58" s="55" t="inlineStr">
        <is>
          <t>UA/ha</t>
        </is>
      </c>
      <c r="D58" s="55" t="inlineStr"/>
      <c r="E58" s="55" t="inlineStr">
        <is>
          <t>Por estimar — censo ganadero pendiente</t>
        </is>
      </c>
      <c r="F58" s="55" t="inlineStr">
        <is>
          <t>Según tipo de ecosistema</t>
        </is>
      </c>
      <c r="G58" s="55" t="inlineStr"/>
    </row>
    <row r="59">
      <c r="A59" s="56" t="inlineStr">
        <is>
          <t>6</t>
        </is>
      </c>
      <c r="B59" s="56" t="inlineStr">
        <is>
          <t>Frecuencia de quemas últimos 5 años</t>
        </is>
      </c>
      <c r="C59" s="56" t="inlineStr">
        <is>
          <t>N°</t>
        </is>
      </c>
      <c r="D59" s="56" t="inlineStr">
        <is>
          <t>0</t>
        </is>
      </c>
      <c r="E59" s="56" t="inlineStr">
        <is>
          <t>Observación de campo 07/07/2026</t>
        </is>
      </c>
      <c r="F59" s="56" t="inlineStr">
        <is>
          <t>0 nulo; 1-2 medio; &gt;2 alto</t>
        </is>
      </c>
      <c r="G59" s="56" t="inlineStr">
        <is>
          <t>Bajo</t>
        </is>
      </c>
    </row>
    <row r="60">
      <c r="A60" s="55" t="inlineStr">
        <is>
          <t>7</t>
        </is>
      </c>
      <c r="B60" s="55" t="inlineStr">
        <is>
          <t>% área con pendiente &gt;50%</t>
        </is>
      </c>
      <c r="C60" s="55" t="inlineStr">
        <is>
          <t>%</t>
        </is>
      </c>
      <c r="D60" s="55" t="inlineStr"/>
      <c r="E60" s="55" t="inlineStr">
        <is>
          <t>MDE — estadística zonal pendiente</t>
        </is>
      </c>
      <c r="F60" s="55" t="inlineStr">
        <is>
          <t>Factor de susceptibilidad</t>
        </is>
      </c>
      <c r="G60" s="55" t="inlineStr"/>
    </row>
    <row r="61">
      <c r="A61" s="56" t="inlineStr">
        <is>
          <t>8</t>
        </is>
      </c>
      <c r="B61" s="56" t="inlineStr">
        <is>
          <t>Distancia a vía vecinal más cercana</t>
        </is>
      </c>
      <c r="C61" s="56" t="inlineStr">
        <is>
          <t>m</t>
        </is>
      </c>
      <c r="D61" s="56" t="inlineStr">
        <is>
          <t>0</t>
        </is>
      </c>
      <c r="E61" s="56" t="inlineStr">
        <is>
          <t>Observación de campo: el bloque limita con vía vecinal afirmada</t>
        </is>
      </c>
      <c r="F61" s="56" t="inlineStr">
        <is>
          <t>A menor distancia → mayor presión</t>
        </is>
      </c>
      <c r="G61" s="56" t="inlineStr">
        <is>
          <t>Alto</t>
        </is>
      </c>
    </row>
    <row r="63">
      <c r="A63" s="53" t="inlineStr">
        <is>
          <t>F-DT-05 · FUENTES DE AGUA INVENTARIADAS</t>
        </is>
      </c>
    </row>
    <row r="64">
      <c r="A64" s="54" t="inlineStr">
        <is>
          <t>N.o</t>
        </is>
      </c>
      <c r="B64" s="54" t="inlineStr">
        <is>
          <t>Tipo de fuente</t>
        </is>
      </c>
      <c r="C64" s="54" t="inlineStr">
        <is>
          <t>UTM ESTE</t>
        </is>
      </c>
      <c r="D64" s="54" t="inlineStr">
        <is>
          <t>UTM NORTE</t>
        </is>
      </c>
      <c r="E64" s="54" t="inlineStr">
        <is>
          <t>Régimen</t>
        </is>
      </c>
      <c r="F64" s="54" t="inlineStr">
        <is>
          <t>Calidad</t>
        </is>
      </c>
      <c r="G64" s="54" t="inlineStr">
        <is>
          <t>Distancia (m)</t>
        </is>
      </c>
      <c r="H64" s="54" t="inlineStr">
        <is>
          <t>Uso / observación</t>
        </is>
      </c>
    </row>
    <row r="65">
      <c r="A65" s="55" t="inlineStr">
        <is>
          <t>1</t>
        </is>
      </c>
      <c r="B65" s="55" t="inlineStr">
        <is>
          <t>Quebrada estacional</t>
        </is>
      </c>
      <c r="C65" s="60" t="n">
        <v>646067</v>
      </c>
      <c r="D65" s="60" t="n">
        <v>9424801</v>
      </c>
      <c r="E65" s="55" t="inlineStr">
        <is>
          <t>Estacional (lluvias)</t>
        </is>
      </c>
      <c r="F65" s="55" t="inlineStr">
        <is>
          <t>No evaluable</t>
        </is>
      </c>
      <c r="G65" s="63" t="n">
        <v>0</v>
      </c>
      <c r="H65" s="55" t="inlineStr">
        <is>
          <t>Quebrada tributaria Q9590, sin caudal al momento de la visita (tiempo seco); se activa estacionalmente durante la temporada de lluvias (enero-abril). Coordenada referencial del cauce colindante al bloque.</t>
        </is>
      </c>
    </row>
    <row r="68">
      <c r="A68" s="53" t="inlineStr">
        <is>
          <t>OBSERVACIONES DEL EVALUADOR POR FICHA</t>
        </is>
      </c>
    </row>
    <row r="69">
      <c r="A69" s="54" t="inlineStr">
        <is>
          <t>Ficha</t>
        </is>
      </c>
      <c r="B69" s="54" t="inlineStr">
        <is>
          <t>Observación registrada en campo</t>
        </is>
      </c>
    </row>
    <row r="70">
      <c r="A70" s="55" t="inlineStr">
        <is>
          <t>F-DT-01</t>
        </is>
      </c>
      <c r="B70" s="55" t="inlineStr">
        <is>
          <t>El bloque se asienta sobre ladera de montaña, con pendiente dominante inferior al 30 % y altitud GPS de 1,120 m s. n. m. No se observan afloramientos rocosos ni piedras de tamaño regular u homogéneo, a excepción de algunos ejemplares medianos, semienterrados y dispersos a lo largo de la pendiente. El terreno se ubica por encima del talud de una vía afirmada que conecta dos centros poblados del distrito; dicha vía presenta, en varios tramos, evidencias de derrumbes y procesos de erosión. La configuración del bloque es fragmentada, organizada en un mosaico de parcelas destinadas al cultivo de maíz y pastos. La zona es utilizada además para el pastoreo de ganado vacuno, lo que ha ocasionado un notable deterioro del suelo por el pisoteo continuo de los animales. Se evidenció la presencia de tocones, indicativa de la extracción previa de individuos arbóreos y arbustivos. Existen asimismo caminos de herradura en la ladera. Se identificaron escarpes activos, zonas de reptación —particularmente en áreas desprovistas de vegetación— y deslizamientos antiguos, sin remociones en masa activas al momento de la verificación. NOTA DE TRAZABILIDAD: el reporte de campo consignó las coordenadas 645575 E / 9393500 N y la microcuenca C1076-Q9584, valores inconsistentes con el catálogo maestro del bloque 61 (C1081-Q9590; centroide 646236 E / 9425052 N) y con el sello UTM de las fotografías (645929-646067 E / 9424753-9424926 N). Se adopta como punto de muestreo el centroide de las nueve estaciones fotográficas (646000 E / 9424841 N) y se solicita corrección del registro original.</t>
        </is>
      </c>
    </row>
    <row r="71">
      <c r="A71" s="56" t="inlineStr">
        <is>
          <t>F-DT-02</t>
        </is>
      </c>
      <c r="B71" s="56" t="inlineStr">
        <is>
          <t>La ficha F-DT-02 no fue diligenciada durante la verificación de campo del 07/07/2026. Los valores consignados se derivan de la descripción cualitativa del reporte de campo y del registro fotográfico georreferenciado: presencia notable de surcos distribuidos en el terreno, cárcavas de tamaño mediano y otras en proceso de formación, compactación por pisoteo continuo de ganado vacuno y suelo desnudo expuesto en el talud de la vía. El inventario de cárcavas registra cuatro rasgos erosivos identificados sobre fotografía georreferenciada; sus dimensiones (longitud, profundidad y ancho medio) no fueron medidas en campo y quedan pendientes de levantamiento con cinta y GPS. En consecuencia, el nivel general de erosión se consigna de manera conservadora como «Fuerte (cárcavas incipientes)»; la mención de cárcavas de tamaño mediano en el reporte de campo sugiere que el nivel podría elevarse a «Severa (cárcavas activas)» una vez completado el inventario dimensional. La urgencia de control se mantiene ALTA.</t>
        </is>
      </c>
    </row>
    <row r="72">
      <c r="A72" s="55" t="inlineStr">
        <is>
          <t>F-DT-03</t>
        </is>
      </c>
      <c r="B72" s="55" t="inlineStr">
        <is>
          <t>El ecosistema corresponde a un mosaico de Matorral andino (Ma) y Zona agrícola (Agri) según la clasificación oficial del MINAM; el componente de matorral se asimila a Matorral Andino subhúmedo por la presencia de Melastomatáceas, Piperáceas y Cinchona sp. La superficie con vegetación remanente asciende a 7 ha de las 26.83 ha del bloque (26 %), correspondiendo el resto a parcelas de maíz, potreros de pastos cultivados y árboles dispersos. El área ha sido impactada por el retiro de la cobertura vegetal arbórea (presencia de tocones) para instalar potreros cercados destinados al pastoreo de ganado vacuno. En las zonas donde aún se conserva vegetación, la estructura del bosque presenta alturas promedio que no superan los 8 m y clases diamétricas que no exceden los 30 cm de DAP. COMPOSICIÓN FLORÍSTICA: el registro se actualiza respecto del reporte preliminar de campo por determinación del responsable de la evaluación. Las especies arbóreas representativas son higuerón (Ficus sp.), faique (Vachellia macracantha), palo blanco (Celtis iguanaea, por confirmar), guaba o pacae (Inga sp.) y Cinchona sp. (por determinar a nivel específico). El estrato arbustivo está representado por Melastomatáceas (Miconia sp.), Piperáceas (Piper sp.) y agave (Agave americana, introducida). El estrato herbáceo está dominado por pastos cultivados de la familia Poaceae. El cultivo de maíz (Zea mays) se registra como uso del suelo y no se incorpora al listado florístico. Se observó regeneración natural de faique en el borde de los potreros (estación fotográfica F-03); no obstante, la regeneración a escala de bloque se mantiene como ESCASA (&lt;10 plántulas/100 m²), lo que indica capacidad de recuperación pasiva limitada y justifica medidas de restauración activa. El higuerón registrado se encuentra protegido con un cerco de varas construido por los pobladores, lo que evidencia valoración local del individuo. Los nombres científicos consignados son preliminares y requieren confirmación mediante colecta botánica y determinación en herbario, en particular para Cinchona sp., Miconia sp. y las Poaceae cultivadas.</t>
        </is>
      </c>
    </row>
    <row r="73">
      <c r="A73" s="56" t="inlineStr">
        <is>
          <t>F-DT-04</t>
        </is>
      </c>
      <c r="B73" s="56" t="inlineStr">
        <is>
          <t>Una parte del área seleccionada como bloque se encuentra cercada con alambre de púas y postes de madera a manera de potrero para el pastoreo de ganado vacuno (estaciones fotográficas F-04 y F-06). Las tres causas activas de degradación —sobrepastoreo vacuno, cambio de uso a pastoreo y cambio de uso a agricultura— actúan de forma sinérgica: la remoción de la cobertura arbórea reduce la interceptación de la lluvia y el aporte de hojarasca, mientras el pisoteo continuo compacta el horizonte superficial y disminuye la infiltración, incrementando la escorrentía superficial y acelerando la erosión hídrica en surcos y cárcavas. Los indicadores 3 (densidad de cárcavas), 5 (carga ganadera) y 7 (% de área con pendiente &gt;50 %) quedan pendientes de cuantificación: los dos primeros requieren levantamiento de campo complementario y el tercero, estadística zonal sobre el MDE. No se registraron especies invasoras ni evidencias de quema en los últimos cinco años.</t>
        </is>
      </c>
    </row>
    <row r="74">
      <c r="A74" s="55" t="inlineStr">
        <is>
          <t>F-DT-05</t>
        </is>
      </c>
      <c r="B74" s="55" t="inlineStr">
        <is>
          <t>Al momento de la visita, en condiciones de tiempo seco, no se registraron fuentes de agua permanentes, zonas de recarga hídrica activa ni escorrentía concentrada dentro del bloque. No obstante, la configuración topográfica incluye una quebrada tributaria (Q9590) que conduce las aguas pluviales y se activa estacionalmente durante la temporada de lluvias (enero-abril). El acceso se realiza por vía vecinal afirmada que interconecta centros poblados del distrito de Lalaquiz, bordeando el límite inferior del bloque; desde la plataforma vial el ingreso al polígono es a pie por ladera, en menos de 30 minutos. La vía presenta en varios tramos evidencias de derrumbes, por lo que su transitabilidad se califica como MEDIA en época seca y BAJA en época de lluvias. Previamente a la verificación se realizó la liberación social del ámbito para garantizar el acceso y la aceptación del proyecto por parte de la población del centro poblado Pedregal. Los tiempos de desplazamiento desde las capitales distrital y provincial, la distancia a la captación poblacional más cercana, la JASS asociada y las condiciones de señal celular y alojamiento no fueron registrados en campo y quedan pendientes de verificación.</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61</t>
        </is>
      </c>
    </row>
    <row r="7">
      <c r="A7" s="53" t="inlineStr">
        <is>
          <t>Hechos declarados por fuente</t>
        </is>
      </c>
    </row>
    <row r="8">
      <c r="A8" s="54" t="inlineStr">
        <is>
          <t>Fuente</t>
        </is>
      </c>
      <c r="B8" s="54" t="inlineStr">
        <is>
          <t>Hechos</t>
        </is>
      </c>
    </row>
    <row r="9">
      <c r="A9" s="55" t="inlineStr">
        <is>
          <t>Dato de campo</t>
        </is>
      </c>
      <c r="B9" s="55" t="n">
        <v>66</v>
      </c>
    </row>
    <row r="10">
      <c r="A10" s="56" t="inlineStr">
        <is>
          <t>Gabinete (GIS / teledetección)</t>
        </is>
      </c>
      <c r="B10" s="56" t="n">
        <v>24</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93</v>
      </c>
    </row>
    <row r="29">
      <c r="A29" s="56" t="inlineStr">
        <is>
          <t>COMPLEMENTADO</t>
        </is>
      </c>
      <c r="B29" s="56" t="n">
        <v>1</v>
      </c>
    </row>
    <row r="30">
      <c r="A30" s="55" t="inlineStr">
        <is>
          <t>ACTUALIZADO</t>
        </is>
      </c>
      <c r="B30" s="55" t="n">
        <v>10</v>
      </c>
    </row>
    <row r="31">
      <c r="A31" s="56" t="inlineStr">
        <is>
          <t>DISCREPANTE</t>
        </is>
      </c>
      <c r="B31" s="56" t="n">
        <v>0</v>
      </c>
    </row>
    <row r="32">
      <c r="A32" s="55" t="inlineStr">
        <is>
          <t>PENDIENTE</t>
        </is>
      </c>
      <c r="B32" s="55" t="n">
        <v>10</v>
      </c>
    </row>
    <row r="45">
      <c r="A45" s="53" t="inlineStr">
        <is>
          <t>Cobertura por estrato — campo (%)</t>
        </is>
      </c>
    </row>
    <row r="46">
      <c r="A46" s="54" t="inlineStr">
        <is>
          <t>Estrato</t>
        </is>
      </c>
      <c r="B46" s="54" t="inlineStr">
        <is>
          <t>% del área</t>
        </is>
      </c>
    </row>
    <row r="47">
      <c r="A47" s="55" t="inlineStr">
        <is>
          <t>Dosel</t>
        </is>
      </c>
      <c r="B47" s="60" t="n">
        <v>25</v>
      </c>
    </row>
    <row r="48">
      <c r="A48" s="56" t="inlineStr">
        <is>
          <t>Arbustiva</t>
        </is>
      </c>
      <c r="B48" s="61" t="n">
        <v>10</v>
      </c>
    </row>
    <row r="49">
      <c r="A49" s="55" t="inlineStr">
        <is>
          <t>Herbácea</t>
        </is>
      </c>
      <c r="B49" s="60" t="n">
        <v>15</v>
      </c>
    </row>
    <row r="50">
      <c r="A50" s="56" t="inlineStr">
        <is>
          <t>Hojarasca</t>
        </is>
      </c>
      <c r="B50" s="62" t="n">
        <v>5</v>
      </c>
    </row>
    <row r="51">
      <c r="A51" s="55" t="inlineStr">
        <is>
          <t>Suelo desnudo</t>
        </is>
      </c>
      <c r="B51" s="63" t="n">
        <v>5</v>
      </c>
    </row>
    <row r="64">
      <c r="A64" s="53" t="inlineStr">
        <is>
          <t>Causas activas de degradación (F-DT-04)</t>
        </is>
      </c>
    </row>
    <row r="65">
      <c r="A65" s="54" t="inlineStr">
        <is>
          <t>Causa</t>
        </is>
      </c>
      <c r="B65" s="54" t="inlineStr">
        <is>
          <t>Intensidad (1 ligera - 4 muy fuerte)</t>
        </is>
      </c>
    </row>
    <row r="66">
      <c r="A66" s="55" t="inlineStr">
        <is>
          <t>Cambio de uso a agricultura</t>
        </is>
      </c>
      <c r="B66" s="55" t="n">
        <v>2</v>
      </c>
    </row>
    <row r="67">
      <c r="A67" s="56" t="inlineStr">
        <is>
          <t>Cambio de uso a pastoreo</t>
        </is>
      </c>
      <c r="B67" s="56" t="n">
        <v>2</v>
      </c>
    </row>
    <row r="68">
      <c r="A68" s="55" t="inlineStr">
        <is>
          <t>Sobrepastoreo (caprino/vacuno)</t>
        </is>
      </c>
      <c r="B68" s="55" t="n">
        <v>2</v>
      </c>
    </row>
    <row r="83">
      <c r="A83" s="53" t="inlineStr">
        <is>
          <t>Control de consistencia por calificación</t>
        </is>
      </c>
    </row>
    <row r="84">
      <c r="A84" s="54" t="inlineStr">
        <is>
          <t>Calificación</t>
        </is>
      </c>
      <c r="B84" s="54" t="inlineStr">
        <is>
          <t>Verificaciones</t>
        </is>
      </c>
    </row>
    <row r="85">
      <c r="A85" s="55" t="inlineStr">
        <is>
          <t>SUSTANTIVA</t>
        </is>
      </c>
      <c r="B85" s="55" t="n">
        <v>6</v>
      </c>
    </row>
    <row r="86">
      <c r="A86" s="56" t="inlineStr">
        <is>
          <t>NO SUSTANTIVA</t>
        </is>
      </c>
      <c r="B86" s="56" t="n">
        <v>3</v>
      </c>
    </row>
    <row r="87">
      <c r="A87" s="55" t="inlineStr">
        <is>
          <t>CORREGIDO</t>
        </is>
      </c>
      <c r="B87" s="55" t="n">
        <v>10</v>
      </c>
    </row>
    <row r="88">
      <c r="A88" s="56" t="inlineStr">
        <is>
          <t>CONFORME</t>
        </is>
      </c>
      <c r="B88"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61 — IN Piura</dc:title>
  <dc:subject>Diagnóstico Territorial por bloque de intervención</dc:subject>
  <dcterms:created xsi:type="dcterms:W3CDTF">2026-09-08T03:39:56Z</dcterms:created>
  <dcterms:modified xsi:type="dcterms:W3CDTF">2026-09-11T21:26:28Z</dcterms:modified>
</cp:coreProperties>
</file>