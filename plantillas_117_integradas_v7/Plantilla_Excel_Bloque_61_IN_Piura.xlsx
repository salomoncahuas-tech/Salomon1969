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Cobertura MSAVI-NDVI" sheetId="2" state="visible" r:id="rId2"/>
    <sheet name="Estaciones fotográficas" sheetId="3" state="visible" r:id="rId3"/>
    <sheet name="Microcuenca" sheetId="4" state="visible" r:id="rId4"/>
    <sheet name="Control de consistencia" sheetId="5" state="visible" r:id="rId5"/>
    <sheet name="Integración de campo" sheetId="6" state="visible" r:id="rId6"/>
    <sheet name="Registro de campo F-DT" sheetId="7" state="visible" r:id="rId7"/>
    <sheet name="Gráficos de integración" sheetId="8" state="visible" r:id="rId8"/>
  </sheets>
  <definedNames/>
  <calcPr calcId="124519" fullCalcOnLoad="1"/>
</workbook>
</file>

<file path=xl/styles.xml><?xml version="1.0" encoding="utf-8"?>
<styleSheet xmlns="http://schemas.openxmlformats.org/spreadsheetml/2006/main">
  <numFmts count="3">
    <numFmt numFmtId="164" formatCode="0.0000"/>
    <numFmt numFmtId="165" formatCode="0.000"/>
    <numFmt numFmtId="166" formatCode="#,##0.0000"/>
  </numFmts>
  <fonts count="14">
    <font>
      <name val="Calibri"/>
      <family val="2"/>
      <color theme="1"/>
      <sz val="11"/>
      <scheme val="minor"/>
    </font>
    <font>
      <name val="Arial"/>
      <b val="1"/>
      <color rgb="00FFFFFF"/>
      <sz val="10"/>
    </font>
    <font>
      <name val="Arial"/>
      <color rgb="00FFFFFF"/>
      <sz val="8"/>
    </font>
    <font>
      <name val="Arial"/>
      <b val="1"/>
      <color rgb="001B4D2E"/>
      <sz val="12"/>
    </font>
    <font>
      <name val="Arial"/>
      <i val="1"/>
      <color rgb="00555555"/>
      <sz val="8"/>
    </font>
    <font>
      <name val="Arial"/>
      <b val="1"/>
      <sz val="9"/>
    </font>
    <font>
      <name val="Arial"/>
      <sz val="9"/>
    </font>
    <font>
      <name val="Arial"/>
      <i val="1"/>
      <color rgb="00333333"/>
      <sz val="8"/>
    </font>
    <font>
      <name val="Arial"/>
      <b val="1"/>
      <color rgb="00FFFFFF"/>
      <sz val="9"/>
    </font>
    <font>
      <name val="Arial"/>
      <b val="1"/>
      <color rgb="001B4D2E"/>
      <sz val="9"/>
    </font>
    <font>
      <name val="Arial"/>
      <i val="1"/>
      <sz val="8"/>
    </font>
    <font>
      <name val="Arial"/>
      <b val="1"/>
      <color rgb="00FFFFFF"/>
      <sz val="12"/>
    </font>
    <font>
      <name val="Arial"/>
      <b val="1"/>
      <color rgb="001B4F72"/>
      <sz val="10"/>
    </font>
    <font>
      <name val="Arial"/>
      <i val="1"/>
      <sz val="7.5"/>
    </font>
  </fonts>
  <fills count="9">
    <fill>
      <patternFill/>
    </fill>
    <fill>
      <patternFill patternType="gray125"/>
    </fill>
    <fill>
      <patternFill patternType="solid">
        <fgColor rgb="001B4D2E"/>
      </patternFill>
    </fill>
    <fill>
      <patternFill patternType="solid">
        <fgColor rgb="001B4F72"/>
      </patternFill>
    </fill>
    <fill>
      <patternFill patternType="solid">
        <fgColor rgb="00E8F0EA"/>
      </patternFill>
    </fill>
    <fill>
      <patternFill patternType="solid">
        <fgColor rgb="00F2F2F2"/>
      </patternFill>
    </fill>
    <fill>
      <patternFill patternType="solid">
        <fgColor rgb="00FFF2CC"/>
      </patternFill>
    </fill>
    <fill>
      <patternFill patternType="solid">
        <fgColor rgb="00F8CBAD"/>
      </patternFill>
    </fill>
    <fill>
      <patternFill patternType="solid">
        <fgColor rgb="00D9E1F2"/>
      </patternFill>
    </fill>
  </fills>
  <borders count="8">
    <border>
      <left/>
      <right/>
      <top/>
      <bottom/>
      <diagonal/>
    </border>
    <border>
      <left style="thin">
        <color rgb="009C9C9C"/>
      </left>
      <right style="thin">
        <color rgb="009C9C9C"/>
      </right>
      <top style="thin">
        <color rgb="009C9C9C"/>
      </top>
      <bottom style="thin">
        <color rgb="009C9C9C"/>
      </bottom>
    </border>
    <border>
      <left/>
      <right/>
      <top style="thin">
        <color rgb="009C9C9C"/>
      </top>
      <bottom/>
      <diagonal/>
    </border>
    <border>
      <left/>
      <right style="thin">
        <color rgb="009C9C9C"/>
      </right>
      <top style="thin">
        <color rgb="009C9C9C"/>
      </top>
      <bottom/>
      <diagonal/>
    </border>
    <border>
      <left/>
      <right/>
      <top style="thin">
        <color rgb="009C9C9C"/>
      </top>
      <bottom style="thin">
        <color rgb="009C9C9C"/>
      </bottom>
      <diagonal/>
    </border>
    <border>
      <left/>
      <right style="thin">
        <color rgb="009C9C9C"/>
      </right>
      <top style="thin">
        <color rgb="009C9C9C"/>
      </top>
      <bottom style="thin">
        <color rgb="009C9C9C"/>
      </bottom>
      <diagonal/>
    </border>
    <border>
      <left style="thin">
        <color rgb="00B7C4BA"/>
      </left>
      <right style="thin">
        <color rgb="00B7C4BA"/>
      </right>
      <top style="thin">
        <color rgb="00B7C4BA"/>
      </top>
      <bottom style="thin">
        <color rgb="00B7C4BA"/>
      </bottom>
    </border>
    <border>
      <left style="thin">
        <color rgb="00BFBFBF"/>
      </left>
      <right style="thin">
        <color rgb="00BFBFBF"/>
      </right>
      <top style="thin">
        <color rgb="00BFBFBF"/>
      </top>
      <bottom style="thin">
        <color rgb="00BFBFBF"/>
      </bottom>
    </border>
  </borders>
  <cellStyleXfs count="1">
    <xf numFmtId="0" fontId="0" fillId="0" borderId="0"/>
  </cellStyleXfs>
  <cellXfs count="64">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xf>
    <xf numFmtId="0" fontId="4" fillId="0" borderId="0" applyAlignment="1" pivotButton="0" quotePrefix="0" xfId="0">
      <alignment horizontal="center" vertical="center" wrapText="1"/>
    </xf>
    <xf numFmtId="0" fontId="1" fillId="2" borderId="0" applyAlignment="1" pivotButton="0" quotePrefix="0" xfId="0">
      <alignment horizontal="left" vertical="center" indent="1"/>
    </xf>
    <xf numFmtId="0" fontId="5" fillId="5" borderId="1" applyAlignment="1" pivotButton="0" quotePrefix="0" xfId="0">
      <alignment horizontal="left" vertical="center" wrapText="1" indent="1"/>
    </xf>
    <xf numFmtId="0" fontId="6" fillId="0" borderId="1" applyAlignment="1" pivotButton="0" quotePrefix="0" xfId="0">
      <alignment horizontal="left" vertical="center" wrapText="1" indent="1"/>
    </xf>
    <xf numFmtId="0" fontId="0" fillId="0" borderId="1" pivotButton="0" quotePrefix="0" xfId="0"/>
    <xf numFmtId="0" fontId="7" fillId="0" borderId="1" applyAlignment="1" pivotButton="0" quotePrefix="0" xfId="0">
      <alignment horizontal="justify" vertical="top" wrapText="1"/>
    </xf>
    <xf numFmtId="0" fontId="8" fillId="2" borderId="1" applyAlignment="1" pivotButton="0" quotePrefix="0" xfId="0">
      <alignment horizontal="center" vertical="center" wrapText="1"/>
    </xf>
    <xf numFmtId="0" fontId="6" fillId="0" borderId="1" applyAlignment="1" pivotButton="0" quotePrefix="0" xfId="0">
      <alignment horizontal="center" vertical="center" wrapText="1"/>
    </xf>
    <xf numFmtId="0" fontId="5" fillId="6" borderId="1" applyAlignment="1" pivotButton="0" quotePrefix="0" xfId="0">
      <alignment horizontal="left" vertical="center" wrapText="1" indent="1"/>
    </xf>
    <xf numFmtId="0" fontId="5" fillId="6" borderId="1" applyAlignment="1" pivotButton="0" quotePrefix="0" xfId="0">
      <alignment horizontal="center" vertical="center" wrapText="1"/>
    </xf>
    <xf numFmtId="0" fontId="6" fillId="4" borderId="1" applyAlignment="1" pivotButton="0" quotePrefix="0" xfId="0">
      <alignment horizontal="left" vertical="center" wrapText="1" indent="1"/>
    </xf>
    <xf numFmtId="0" fontId="6" fillId="4" borderId="1" applyAlignment="1" pivotButton="0" quotePrefix="0" xfId="0">
      <alignment horizontal="center" vertical="center" wrapText="1"/>
    </xf>
    <xf numFmtId="0" fontId="5" fillId="4" borderId="1" applyAlignment="1" pivotButton="0" quotePrefix="0" xfId="0">
      <alignment horizontal="left" vertical="center" wrapText="1" indent="1"/>
    </xf>
    <xf numFmtId="0" fontId="5" fillId="4" borderId="1" applyAlignment="1" pivotButton="0" quotePrefix="0" xfId="0">
      <alignment horizontal="center" vertical="center" wrapText="1"/>
    </xf>
    <xf numFmtId="164"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4" fontId="6" fillId="4" borderId="1" applyAlignment="1" pivotButton="0" quotePrefix="0" xfId="0">
      <alignment horizontal="center" vertical="center" wrapText="1"/>
    </xf>
    <xf numFmtId="2" fontId="6" fillId="4" borderId="1" applyAlignment="1" pivotButton="0" quotePrefix="0" xfId="0">
      <alignment horizontal="center" vertical="center" wrapText="1"/>
    </xf>
    <xf numFmtId="164" fontId="5" fillId="4" borderId="1" applyAlignment="1" pivotButton="0" quotePrefix="0" xfId="0">
      <alignment horizontal="center" vertical="center" wrapText="1"/>
    </xf>
    <xf numFmtId="2" fontId="5" fillId="4" borderId="1" applyAlignment="1" pivotButton="0" quotePrefix="0" xfId="0">
      <alignment horizontal="center" vertical="center" wrapText="1"/>
    </xf>
    <xf numFmtId="0" fontId="5" fillId="0" borderId="1" applyAlignment="1" pivotButton="0" quotePrefix="0" xfId="0">
      <alignment horizontal="left" vertical="center" wrapText="1" indent="1"/>
    </xf>
    <xf numFmtId="0" fontId="5" fillId="0" borderId="1" applyAlignment="1" pivotButton="0" quotePrefix="0" xfId="0">
      <alignment horizontal="center" vertical="center" wrapText="1"/>
    </xf>
    <xf numFmtId="3" fontId="6" fillId="0" borderId="1" applyAlignment="1" pivotButton="0" quotePrefix="0" xfId="0">
      <alignment horizontal="center" vertical="center" wrapText="1"/>
    </xf>
    <xf numFmtId="165" fontId="6" fillId="0" borderId="1" applyAlignment="1" pivotButton="0" quotePrefix="0" xfId="0">
      <alignment horizontal="center" vertical="center" wrapText="1"/>
    </xf>
    <xf numFmtId="165" fontId="6" fillId="4" borderId="1" applyAlignment="1" pivotButton="0" quotePrefix="0" xfId="0">
      <alignment horizontal="center" vertical="center" wrapText="1"/>
    </xf>
    <xf numFmtId="165" fontId="5" fillId="6" borderId="1" applyAlignment="1" pivotButton="0" quotePrefix="0" xfId="0">
      <alignment horizontal="center" vertical="center" wrapText="1"/>
    </xf>
    <xf numFmtId="2"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5" fillId="4" borderId="1" applyAlignment="1" pivotButton="0" quotePrefix="0" xfId="0">
      <alignment horizontal="center" vertical="center" wrapText="1"/>
    </xf>
    <xf numFmtId="0" fontId="6" fillId="0" borderId="1" applyAlignment="1" pivotButton="0" quotePrefix="0" xfId="0">
      <alignment horizontal="left" vertical="top" wrapText="1" indent="1"/>
    </xf>
    <xf numFmtId="0" fontId="5" fillId="7" borderId="1" applyAlignment="1" pivotButton="0" quotePrefix="0" xfId="0">
      <alignment horizontal="center" vertical="center" wrapText="1"/>
    </xf>
    <xf numFmtId="0" fontId="6" fillId="4" borderId="1" applyAlignment="1" pivotButton="0" quotePrefix="0" xfId="0">
      <alignment horizontal="left" vertical="top" wrapText="1" indent="1"/>
    </xf>
    <xf numFmtId="0" fontId="5" fillId="8" borderId="1" applyAlignment="1" pivotButton="0" quotePrefix="0" xfId="0">
      <alignment horizontal="center" vertical="center" wrapText="1"/>
    </xf>
    <xf numFmtId="165" fontId="6" fillId="0" borderId="1" applyAlignment="1" pivotButton="0" quotePrefix="0" xfId="0">
      <alignment horizontal="left" vertical="center" wrapText="1" indent="1"/>
    </xf>
    <xf numFmtId="2" fontId="6" fillId="0" borderId="1" applyAlignment="1" pivotButton="0" quotePrefix="0" xfId="0">
      <alignment horizontal="left" vertical="center" wrapText="1" indent="1"/>
    </xf>
    <xf numFmtId="1" fontId="6" fillId="0" borderId="1" applyAlignment="1" pivotButton="0" quotePrefix="0" xfId="0">
      <alignment horizontal="left" vertical="center" wrapText="1" indent="1"/>
    </xf>
    <xf numFmtId="0" fontId="0" fillId="0" borderId="4" pivotButton="0" quotePrefix="0" xfId="0"/>
    <xf numFmtId="0" fontId="0" fillId="0" borderId="5" pivotButton="0" quotePrefix="0" xfId="0"/>
    <xf numFmtId="0" fontId="5" fillId="4" borderId="6" applyAlignment="1" pivotButton="0" quotePrefix="0" xfId="0">
      <alignment horizontal="left" vertical="center" wrapText="1"/>
    </xf>
    <xf numFmtId="164" fontId="5" fillId="4" borderId="6" applyAlignment="1" pivotButton="0" quotePrefix="0" xfId="0">
      <alignment horizontal="center" vertical="center" wrapText="1"/>
    </xf>
    <xf numFmtId="2" fontId="5" fillId="4" borderId="6" applyAlignment="1" pivotButton="0" quotePrefix="0" xfId="0">
      <alignment horizontal="center" vertical="center" wrapText="1"/>
    </xf>
    <xf numFmtId="0" fontId="6" fillId="0" borderId="6" applyAlignment="1" pivotButton="0" quotePrefix="0" xfId="0">
      <alignment horizontal="left" vertical="center" wrapText="1"/>
    </xf>
    <xf numFmtId="164" fontId="6" fillId="0" borderId="6" applyAlignment="1" pivotButton="0" quotePrefix="0" xfId="0">
      <alignment horizontal="center" vertical="center" wrapText="1"/>
    </xf>
    <xf numFmtId="2" fontId="6" fillId="0" borderId="6" applyAlignment="1" pivotButton="0" quotePrefix="0" xfId="0">
      <alignment horizontal="center" vertical="center" wrapText="1"/>
    </xf>
    <xf numFmtId="0" fontId="6" fillId="0" borderId="6" applyAlignment="1" pivotButton="0" quotePrefix="0" xfId="0">
      <alignment horizontal="center" vertical="center" wrapText="1"/>
    </xf>
    <xf numFmtId="0" fontId="6" fillId="0" borderId="1" applyAlignment="1" pivotButton="0" quotePrefix="0" xfId="0">
      <alignment vertical="top" wrapText="1"/>
    </xf>
    <xf numFmtId="0" fontId="9" fillId="0" borderId="0" pivotButton="0" quotePrefix="0" xfId="0"/>
    <xf numFmtId="0" fontId="10" fillId="0" borderId="0" pivotButton="0" quotePrefix="0" xfId="0"/>
    <xf numFmtId="0" fontId="11" fillId="2" borderId="0" applyAlignment="1" pivotButton="0" quotePrefix="0" xfId="0">
      <alignment horizontal="center" vertical="center"/>
    </xf>
    <xf numFmtId="0" fontId="12" fillId="0" borderId="0" pivotButton="0" quotePrefix="0" xfId="0"/>
    <xf numFmtId="0" fontId="8" fillId="2" borderId="7" applyAlignment="1" pivotButton="0" quotePrefix="0" xfId="0">
      <alignment horizontal="center" wrapText="1"/>
    </xf>
    <xf numFmtId="0" fontId="6" fillId="0" borderId="7" pivotButton="0" quotePrefix="0" xfId="0"/>
    <xf numFmtId="0" fontId="6" fillId="5" borderId="7" pivotButton="0" quotePrefix="0" xfId="0"/>
    <xf numFmtId="0" fontId="5" fillId="0" borderId="0" pivotButton="0" quotePrefix="0" xfId="0"/>
    <xf numFmtId="0" fontId="6" fillId="0" borderId="0" pivotButton="0" quotePrefix="0" xfId="0"/>
    <xf numFmtId="0" fontId="13" fillId="0" borderId="0" applyAlignment="1" pivotButton="0" quotePrefix="0" xfId="0">
      <alignment vertical="top" wrapText="1"/>
    </xf>
    <xf numFmtId="4" fontId="6" fillId="0" borderId="7" pivotButton="0" quotePrefix="0" xfId="0"/>
    <xf numFmtId="4" fontId="6" fillId="5" borderId="7" pivotButton="0" quotePrefix="0" xfId="0"/>
    <xf numFmtId="166" fontId="6" fillId="5" borderId="7" pivotButton="0" quotePrefix="0" xfId="0"/>
    <xf numFmtId="166" fontId="6" fillId="0" borderId="7"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charts/chart1.xml><?xml version="1.0" encoding="utf-8"?>
<chartSpace xmlns:a="http://schemas.openxmlformats.org/drawingml/2006/main" xmlns="http://schemas.openxmlformats.org/drawingml/2006/chart">
  <chart>
    <title>
      <tx>
        <rich>
          <a:bodyPr/>
          <a:p>
            <a:pPr>
              <a:defRPr/>
            </a:pPr>
            <a:r>
              <a:t>Procedencia de los hechos declarados</a:t>
            </a:r>
          </a:p>
        </rich>
      </tx>
    </title>
    <plotArea>
      <pieChart>
        <varyColors val="1"/>
        <ser>
          <idx val="0"/>
          <order val="0"/>
          <tx>
            <strRef>
              <f>'Gráficos de integración'!B8</f>
            </strRef>
          </tx>
          <spPr>
            <a:ln>
              <a:prstDash val="solid"/>
            </a:ln>
          </spPr>
          <cat>
            <numRef>
              <f>'Gráficos de integración'!$A$9:$A$11</f>
            </numRef>
          </cat>
          <val>
            <numRef>
              <f>'Gráficos de integración'!$B$9:$B$11</f>
            </numRef>
          </val>
        </ser>
        <firstSliceAng val="0"/>
      </pieChart>
    </plotArea>
    <legend>
      <legendPos val="r"/>
    </legend>
    <plotVisOnly val="1"/>
    <dispBlanksAs val="gap"/>
  </chart>
</chartSpace>
</file>

<file path=xl/charts/chart2.xml><?xml version="1.0" encoding="utf-8"?>
<chartSpace xmlns:a="http://schemas.openxmlformats.org/drawingml/2006/main" xmlns="http://schemas.openxmlformats.org/drawingml/2006/chart">
  <style val="10"/>
  <chart>
    <title>
      <tx>
        <rich>
          <a:bodyPr/>
          <a:p>
            <a:pPr>
              <a:defRPr/>
            </a:pPr>
            <a:r>
              <a:t>Estado del cruce entre fuentes</a:t>
            </a:r>
          </a:p>
        </rich>
      </tx>
    </title>
    <plotArea>
      <barChart>
        <barDir val="col"/>
        <grouping val="clustered"/>
        <ser>
          <idx val="0"/>
          <order val="0"/>
          <tx>
            <strRef>
              <f>'Gráficos de integración'!B29</f>
            </strRef>
          </tx>
          <spPr>
            <a:ln>
              <a:prstDash val="solid"/>
            </a:ln>
          </spPr>
          <cat>
            <numRef>
              <f>'Gráficos de integración'!$A$30:$A$34</f>
            </numRef>
          </cat>
          <val>
            <numRef>
              <f>'Gráficos de integración'!$B$30:$B$34</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Hechos</a:t>
                </a:r>
              </a:p>
            </rich>
          </tx>
        </title>
        <majorTickMark val="none"/>
        <minorTickMark val="none"/>
        <crossAx val="10"/>
      </valAx>
    </plotArea>
    <plotVisOnly val="1"/>
    <dispBlanksAs val="gap"/>
  </chart>
</chartSpace>
</file>

<file path=xl/charts/chart3.xml><?xml version="1.0" encoding="utf-8"?>
<chartSpace xmlns:a="http://schemas.openxmlformats.org/drawingml/2006/main" xmlns="http://schemas.openxmlformats.org/drawingml/2006/chart">
  <style val="10"/>
  <chart>
    <title>
      <tx>
        <rich>
          <a:bodyPr/>
          <a:p>
            <a:pPr>
              <a:defRPr/>
            </a:pPr>
            <a:r>
              <a:t>Cobertura por estrato (%)</a:t>
            </a:r>
          </a:p>
        </rich>
      </tx>
    </title>
    <plotArea>
      <barChart>
        <barDir val="col"/>
        <grouping val="clustered"/>
        <ser>
          <idx val="0"/>
          <order val="0"/>
          <tx>
            <strRef>
              <f>'Gráficos de integración'!B52</f>
            </strRef>
          </tx>
          <spPr>
            <a:ln>
              <a:prstDash val="solid"/>
            </a:ln>
          </spPr>
          <cat>
            <numRef>
              <f>'Gráficos de integración'!$A$53:$A$57</f>
            </numRef>
          </cat>
          <val>
            <numRef>
              <f>'Gráficos de integración'!$B$53:$B$57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a:t>
                </a:r>
              </a:p>
            </rich>
          </tx>
        </title>
        <majorTickMark val="none"/>
        <minorTickMark val="none"/>
        <crossAx val="10"/>
      </valAx>
    </plotArea>
    <plotVisOnly val="1"/>
    <dispBlanksAs val="gap"/>
  </chart>
</chartSpace>
</file>

<file path=xl/charts/chart4.xml><?xml version="1.0" encoding="utf-8"?>
<chartSpace xmlns:a="http://schemas.openxmlformats.org/drawingml/2006/main" xmlns="http://schemas.openxmlformats.org/drawingml/2006/chart">
  <style val="10"/>
  <chart>
    <title>
      <tx>
        <rich>
          <a:bodyPr/>
          <a:p>
            <a:pPr>
              <a:defRPr/>
            </a:pPr>
            <a:r>
              <a:t>Causas activas por intensidad</a:t>
            </a:r>
          </a:p>
        </rich>
      </tx>
    </title>
    <plotArea>
      <barChart>
        <barDir val="col"/>
        <grouping val="clustered"/>
        <ser>
          <idx val="0"/>
          <order val="0"/>
          <tx>
            <strRef>
              <f>'Gráficos de integración'!B75</f>
            </strRef>
          </tx>
          <spPr>
            <a:ln>
              <a:prstDash val="solid"/>
            </a:ln>
          </spPr>
          <cat>
            <numRef>
              <f>'Gráficos de integración'!$A$76:$A$78</f>
            </numRef>
          </cat>
          <val>
            <numRef>
              <f>'Gráficos de integración'!$B$76:$B$78</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Intensidad</a:t>
                </a:r>
              </a:p>
            </rich>
          </tx>
        </title>
        <majorTickMark val="none"/>
        <minorTickMark val="none"/>
        <crossAx val="10"/>
      </valAx>
    </plotArea>
    <plotVisOnly val="1"/>
    <dispBlanksAs val="gap"/>
  </chart>
</chartSpace>
</file>

<file path=xl/charts/chart5.xml><?xml version="1.0" encoding="utf-8"?>
<chartSpace xmlns:a="http://schemas.openxmlformats.org/drawingml/2006/main" xmlns="http://schemas.openxmlformats.org/drawingml/2006/chart">
  <chart>
    <title>
      <tx>
        <rich>
          <a:bodyPr/>
          <a:p>
            <a:pPr>
              <a:defRPr/>
            </a:pPr>
            <a:r>
              <a:t>Control de consistencia</a:t>
            </a:r>
          </a:p>
        </rich>
      </tx>
    </title>
    <plotArea>
      <pieChart>
        <varyColors val="1"/>
        <ser>
          <idx val="0"/>
          <order val="0"/>
          <tx>
            <strRef>
              <f>'Gráficos de integración'!B96</f>
            </strRef>
          </tx>
          <spPr>
            <a:ln>
              <a:prstDash val="solid"/>
            </a:ln>
          </spPr>
          <cat>
            <numRef>
              <f>'Gráficos de integración'!$A$97:$A$100</f>
            </numRef>
          </cat>
          <val>
            <numRef>
              <f>'Gráficos de integración'!$B$97:$B$100</f>
            </numRef>
          </val>
        </ser>
        <firstSliceAng val="0"/>
      </pieChart>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7</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oneCellAnchor>
    <from>
      <col>3</col>
      <colOff>0</colOff>
      <row>28</row>
      <rowOff>0</rowOff>
    </from>
    <ext cx="5760000" cy="2880000"/>
    <graphicFrame>
      <nvGraphicFramePr>
        <cNvPr id="2" name="Chart 2"/>
        <cNvGraphicFramePr/>
      </nvGraphicFramePr>
      <xfrm/>
      <a:graphic>
        <a:graphicData uri="http://schemas.openxmlformats.org/drawingml/2006/chart">
          <c:chart r:id="rId2"/>
        </a:graphicData>
      </a:graphic>
    </graphicFrame>
    <clientData/>
  </oneCellAnchor>
  <oneCellAnchor>
    <from>
      <col>3</col>
      <colOff>0</colOff>
      <row>51</row>
      <rowOff>0</rowOff>
    </from>
    <ext cx="5760000" cy="2880000"/>
    <graphicFrame>
      <nvGraphicFramePr>
        <cNvPr id="3" name="Chart 3"/>
        <cNvGraphicFramePr/>
      </nvGraphicFramePr>
      <xfrm/>
      <a:graphic>
        <a:graphicData uri="http://schemas.openxmlformats.org/drawingml/2006/chart">
          <c:chart r:id="rId3"/>
        </a:graphicData>
      </a:graphic>
    </graphicFrame>
    <clientData/>
  </oneCellAnchor>
  <oneCellAnchor>
    <from>
      <col>3</col>
      <colOff>0</colOff>
      <row>74</row>
      <rowOff>0</rowOff>
    </from>
    <ext cx="5760000" cy="2880000"/>
    <graphicFrame>
      <nvGraphicFramePr>
        <cNvPr id="4" name="Chart 4"/>
        <cNvGraphicFramePr/>
      </nvGraphicFramePr>
      <xfrm/>
      <a:graphic>
        <a:graphicData uri="http://schemas.openxmlformats.org/drawingml/2006/chart">
          <c:chart r:id="rId4"/>
        </a:graphicData>
      </a:graphic>
    </graphicFrame>
    <clientData/>
  </oneCellAnchor>
  <oneCellAnchor>
    <from>
      <col>3</col>
      <colOff>0</colOff>
      <row>95</row>
      <rowOff>0</rowOff>
    </from>
    <ext cx="4320000" cy="2880000"/>
    <graphicFrame>
      <nvGraphicFramePr>
        <cNvPr id="5" name="Chart 5"/>
        <cNvGraphicFramePr/>
      </nvGraphicFramePr>
      <xfrm/>
      <a:graphic>
        <a:graphicData uri="http://schemas.openxmlformats.org/drawingml/2006/chart">
          <c:chart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8.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F57"/>
  <sheetViews>
    <sheetView showGridLines="0" workbookViewId="0">
      <pane ySplit="6" topLeftCell="A7" activePane="bottomLeft" state="frozen"/>
      <selection pane="bottomLeft" activeCell="A1" sqref="A1"/>
    </sheetView>
  </sheetViews>
  <sheetFormatPr baseColWidth="8" defaultRowHeight="15"/>
  <cols>
    <col width="26" customWidth="1" min="1" max="1"/>
    <col width="30" customWidth="1" min="2" max="2"/>
    <col width="26" customWidth="1" min="3" max="3"/>
    <col width="30" customWidth="1" min="4" max="4"/>
    <col width="14" customWidth="1" min="5" max="5"/>
    <col width="14" customWidth="1" min="6" max="6"/>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FICHA RESUMEN — BLOQUE PRELIMINAR DE INTERVENCIÓN 61</t>
        </is>
      </c>
    </row>
    <row r="6" ht="24" customHeight="1">
      <c r="A6" s="4" t="inlineStr">
        <is>
          <t>Diagnóstico Territorial — Plantilla DT Campo Check Validada V5 | Sistema de referencia: UTM WGS 84 Zona 17S (EPSG:32717) · Integrado con la ficha de campo F-DT vigente (Plantilla_DT_Campo_Check_Validada_V5_Bloque61.xlsx) — V7 - resumen V6 + campo F-DT integrado</t>
        </is>
      </c>
    </row>
    <row r="7"/>
    <row r="8" ht="18" customHeight="1">
      <c r="A8" s="5" t="inlineStr">
        <is>
          <t>1. IDENTIFICACIÓN Y LOCALIZACIÓN</t>
        </is>
      </c>
    </row>
    <row r="9">
      <c r="A9" s="6" t="inlineStr">
        <is>
          <t>Código del bloque</t>
        </is>
      </c>
      <c r="B9" s="7" t="inlineStr">
        <is>
          <t>61</t>
        </is>
      </c>
      <c r="C9" s="6" t="inlineStr">
        <is>
          <t>Microcuenca (catálogo)</t>
        </is>
      </c>
      <c r="D9" s="7" t="inlineStr">
        <is>
          <t>C1081-Q9590</t>
        </is>
      </c>
      <c r="E9" s="8" t="n"/>
      <c r="F9" s="8" t="n"/>
    </row>
    <row r="10">
      <c r="A10" s="6" t="inlineStr">
        <is>
          <t>Zona de planificación</t>
        </is>
      </c>
      <c r="B10" s="7" t="inlineStr">
        <is>
          <t>Z10</t>
        </is>
      </c>
      <c r="C10" s="6" t="inlineStr">
        <is>
          <t>Microcuenca declarada en ficha DT</t>
        </is>
      </c>
      <c r="D10" s="7" t="inlineStr">
        <is>
          <t>C1076-Q9584 (según ficha — valor por defecto de plantilla; catálogo: C1081-Q9590)</t>
        </is>
      </c>
      <c r="E10" s="8" t="n"/>
      <c r="F10" s="8" t="n"/>
    </row>
    <row r="11">
      <c r="A11" s="6" t="inlineStr">
        <is>
          <t>Departamento</t>
        </is>
      </c>
      <c r="B11" s="7" t="inlineStr">
        <is>
          <t>Piura</t>
        </is>
      </c>
      <c r="C11" s="6" t="inlineStr">
        <is>
          <t>Provincia</t>
        </is>
      </c>
      <c r="D11" s="7" t="inlineStr">
        <is>
          <t>Huancabamba</t>
        </is>
      </c>
      <c r="E11" s="8" t="n"/>
      <c r="F11" s="8" t="n"/>
    </row>
    <row r="12">
      <c r="A12" s="6" t="inlineStr">
        <is>
          <t>Distrito</t>
        </is>
      </c>
      <c r="B12" s="7" t="inlineStr">
        <is>
          <t>Lalaquiz</t>
        </is>
      </c>
      <c r="C12" s="6" t="inlineStr">
        <is>
          <t>Capital distrital</t>
        </is>
      </c>
      <c r="D12" s="7" t="inlineStr">
        <is>
          <t>Lalaquiz</t>
        </is>
      </c>
      <c r="E12" s="8" t="n"/>
      <c r="F12" s="8" t="n"/>
    </row>
    <row r="13">
      <c r="A13" s="6" t="inlineStr">
        <is>
          <t>Centro poblado asociado</t>
        </is>
      </c>
      <c r="B13" s="7" t="inlineStr">
        <is>
          <t>Pedregal</t>
        </is>
      </c>
      <c r="C13" s="6" t="inlineStr">
        <is>
          <t>Comunidad campesina</t>
        </is>
      </c>
      <c r="D13" s="49" t="inlineStr">
        <is>
          <t>No registrada en campo (por verificar)</t>
        </is>
      </c>
      <c r="E13" s="8" t="n"/>
      <c r="F13" s="8" t="n"/>
    </row>
    <row r="14">
      <c r="A14" s="6" t="inlineStr">
        <is>
          <t>Superficie de catálogo (V5/V6), ha</t>
        </is>
      </c>
      <c r="B14" s="7" t="n">
        <v>26.83</v>
      </c>
      <c r="C14" s="6" t="inlineStr">
        <is>
          <t>Fuente de superficie</t>
        </is>
      </c>
      <c r="D14" s="7" t="inlineStr">
        <is>
          <t>Catálogo maestro Bloques V5/V6</t>
        </is>
      </c>
      <c r="E14" s="8" t="n"/>
      <c r="F14" s="8" t="n"/>
    </row>
    <row r="15">
      <c r="A15" s="6" t="inlineStr">
        <is>
          <t>Centroide UTM ESTE (m)</t>
        </is>
      </c>
      <c r="B15" s="7" t="n">
        <v>646236</v>
      </c>
      <c r="C15" s="6" t="inlineStr">
        <is>
          <t>Centroide UTM NORTE (m)</t>
        </is>
      </c>
      <c r="D15" s="7" t="n">
        <v>9425052</v>
      </c>
      <c r="E15" s="8" t="n"/>
      <c r="F15" s="8" t="n"/>
    </row>
    <row r="16">
      <c r="A16" s="6" t="inlineStr">
        <is>
          <t>Sistema de coordenadas</t>
        </is>
      </c>
      <c r="B16" s="7" t="inlineStr">
        <is>
          <t>UTM WGS 84 Zona 17S (EPSG:32717)</t>
        </is>
      </c>
      <c r="C16" s="6" t="inlineStr">
        <is>
          <t>Tipo de intervención</t>
        </is>
      </c>
      <c r="D16" s="7" t="inlineStr">
        <is>
          <t>Restauración</t>
        </is>
      </c>
      <c r="E16" s="8" t="n"/>
      <c r="F16" s="8" t="n"/>
    </row>
    <row r="17"/>
    <row r="18" ht="18" customHeight="1">
      <c r="A18" s="5" t="inlineStr">
        <is>
          <t>2. PARÁMETROS FÍSICOS (ESTADÍSTICA ZONAL SOBRE MDE)</t>
        </is>
      </c>
    </row>
    <row r="19">
      <c r="A19" s="6" t="inlineStr">
        <is>
          <t>Altitud mínima (msnm)</t>
        </is>
      </c>
      <c r="B19" s="7" t="n">
        <v>1098</v>
      </c>
      <c r="C19" s="6" t="inlineStr">
        <is>
          <t>Altitud máxima (msnm)</t>
        </is>
      </c>
      <c r="D19" s="7" t="n">
        <v>1336</v>
      </c>
      <c r="E19" s="8" t="n"/>
      <c r="F19" s="8" t="n"/>
    </row>
    <row r="20">
      <c r="A20" s="6" t="inlineStr">
        <is>
          <t>Amplitud altitudinal (m)</t>
        </is>
      </c>
      <c r="B20" s="7" t="n">
        <v>238</v>
      </c>
      <c r="C20" s="6" t="inlineStr">
        <is>
          <t>Piso altitudinal dominante</t>
        </is>
      </c>
      <c r="D20" s="7" t="inlineStr">
        <is>
          <t>1000-1500 m (Quechua baja)</t>
        </is>
      </c>
      <c r="E20" s="8" t="n"/>
      <c r="F20" s="8" t="n"/>
    </row>
    <row r="21">
      <c r="A21" s="6" t="inlineStr">
        <is>
          <t>Pendiente promedio (%)</t>
        </is>
      </c>
      <c r="B21" s="7" t="n">
        <v>22.61</v>
      </c>
      <c r="C21" s="6" t="inlineStr">
        <is>
          <t>Pendiente promedio (grados)</t>
        </is>
      </c>
      <c r="D21" s="7" t="n">
        <v>12.7</v>
      </c>
      <c r="E21" s="8" t="n"/>
      <c r="F21" s="8" t="n"/>
    </row>
    <row r="22">
      <c r="A22" s="6" t="inlineStr">
        <is>
          <t>Clase de pendiente equivalente</t>
        </is>
      </c>
      <c r="B22" s="7" t="inlineStr">
        <is>
          <t>15-25% (Fuert. inclinado)</t>
        </is>
      </c>
      <c r="C22" s="6" t="inlineStr">
        <is>
          <t>Rango de pendiente declarado en campo</t>
        </is>
      </c>
      <c r="D22" s="7" t="inlineStr">
        <is>
          <t>15-25% (Fuert. inclinado)</t>
        </is>
      </c>
      <c r="E22" s="8" t="n"/>
      <c r="F22" s="8" t="n"/>
    </row>
    <row r="23">
      <c r="A23" s="6" t="inlineStr">
        <is>
          <t>Forma predominante del terreno</t>
        </is>
      </c>
      <c r="B23" s="7" t="inlineStr">
        <is>
          <t>Montañoso</t>
        </is>
      </c>
      <c r="C23" s="6" t="inlineStr">
        <is>
          <t>Posición fisiográfica</t>
        </is>
      </c>
      <c r="D23" s="7" t="inlineStr">
        <is>
          <t>Ladera baja</t>
        </is>
      </c>
      <c r="E23" s="8" t="n"/>
      <c r="F23" s="8" t="n"/>
    </row>
    <row r="24">
      <c r="A24" s="6" t="inlineStr">
        <is>
          <t>Exposición / orientación</t>
        </is>
      </c>
      <c r="B24" s="7" t="inlineStr">
        <is>
          <t>Suroeste</t>
        </is>
      </c>
      <c r="C24" s="6" t="inlineStr">
        <is>
          <t>Afloramientos rocosos</t>
        </is>
      </c>
      <c r="D24" s="7" t="inlineStr">
        <is>
          <t>No</t>
        </is>
      </c>
      <c r="E24" s="8" t="n"/>
      <c r="F24" s="8" t="n"/>
    </row>
    <row r="25">
      <c r="A25" s="6" t="inlineStr">
        <is>
          <t>Escarpes activos</t>
        </is>
      </c>
      <c r="B25" s="7" t="inlineStr">
        <is>
          <t>Sí</t>
        </is>
      </c>
      <c r="C25" s="6" t="inlineStr">
        <is>
          <t>Remociones en masa activas</t>
        </is>
      </c>
      <c r="D25" s="7" t="inlineStr">
        <is>
          <t>No</t>
        </is>
      </c>
      <c r="E25" s="8" t="n"/>
      <c r="F25" s="8" t="n"/>
    </row>
    <row r="26"/>
    <row r="27" ht="18" customHeight="1">
      <c r="A27" s="5" t="inlineStr">
        <is>
          <t>3. ÍNDICES DE VEGETACIÓN (SENTINEL-2)</t>
        </is>
      </c>
    </row>
    <row r="28">
      <c r="A28" s="6" t="inlineStr">
        <is>
          <t>MSAVI 2024 — media del bloque</t>
        </is>
      </c>
      <c r="B28" s="7" t="n">
        <v>0.6112</v>
      </c>
      <c r="C28" s="6" t="inlineStr">
        <is>
          <t>MSAVI 2024 — clase de la media</t>
        </is>
      </c>
      <c r="D28" s="7" t="inlineStr">
        <is>
          <t>0.4976 - 0.6139 (Vigor moderado)</t>
        </is>
      </c>
      <c r="E28" s="8" t="n"/>
      <c r="F28" s="8" t="n"/>
    </row>
    <row r="29">
      <c r="A29" s="6" t="inlineStr">
        <is>
          <t>Condición frente al umbral 0.4976</t>
        </is>
      </c>
      <c r="B29" s="7" t="inlineStr">
        <is>
          <t>Sobre umbral</t>
        </is>
      </c>
      <c r="C29" s="6" t="inlineStr">
        <is>
          <t>NDVI mediana 2025 — clase modal</t>
        </is>
      </c>
      <c r="D29" s="7" t="inlineStr">
        <is>
          <t>Vegetación alta (80.15 %)</t>
        </is>
      </c>
      <c r="E29" s="8" t="n"/>
      <c r="F29" s="8" t="n"/>
    </row>
    <row r="30">
      <c r="A30" s="6" t="inlineStr">
        <is>
          <t>Superficie clasificada NDVI 2025 (ha)</t>
        </is>
      </c>
      <c r="B30" s="7" t="n">
        <v>26.833</v>
      </c>
      <c r="C30" s="6" t="inlineStr">
        <is>
          <t>Desviación frente al catálogo (%)</t>
        </is>
      </c>
      <c r="D30" s="7" t="n">
        <v>0.01</v>
      </c>
      <c r="E30" s="8" t="n"/>
      <c r="F30" s="8" t="n"/>
    </row>
    <row r="31">
      <c r="A31" s="6" t="inlineStr">
        <is>
          <t>Superficie clasificada MSAVI 2024 (ha)</t>
        </is>
      </c>
      <c r="B31" s="37" t="n">
        <v>26.826</v>
      </c>
      <c r="C31" s="6" t="inlineStr">
        <is>
          <t>Desviación MSAVI frente al catálogo (%)</t>
        </is>
      </c>
      <c r="D31" s="38" t="n">
        <v>-0.02</v>
      </c>
      <c r="E31" s="8" t="n"/>
      <c r="F31" s="8" t="n"/>
    </row>
    <row r="32">
      <c r="A32" s="6" t="inlineStr">
        <is>
          <t>Superficie bajo umbral MSAVI 0.4976 (ha)</t>
        </is>
      </c>
      <c r="B32" s="37" t="n">
        <v>5.66</v>
      </c>
      <c r="C32" s="6" t="inlineStr">
        <is>
          <t>% del bloque bajo umbral (brecha espectral)</t>
        </is>
      </c>
      <c r="D32" s="38" t="n">
        <v>21.1</v>
      </c>
      <c r="E32" s="8" t="n"/>
      <c r="F32" s="8" t="n"/>
    </row>
    <row r="33">
      <c r="A33" s="6" t="inlineStr">
        <is>
          <t>Clase DN dominante (MSAVI 2024)</t>
        </is>
      </c>
      <c r="B33" s="7" t="inlineStr">
        <is>
          <t>DN 5 · &gt; 0.6139 (Vigor alto)</t>
        </is>
      </c>
      <c r="C33" s="6" t="inlineStr">
        <is>
          <t>N.° de polígonos MSAVI del bloque</t>
        </is>
      </c>
      <c r="D33" s="39" t="n">
        <v>62</v>
      </c>
      <c r="E33" s="8" t="n"/>
      <c r="F33" s="8" t="n"/>
    </row>
    <row r="34"/>
    <row r="35" ht="18" customHeight="1">
      <c r="A35" s="5" t="inlineStr">
        <is>
          <t>4. ECOSISTEMA Y ESTADO DE CONSERVACIÓN</t>
        </is>
      </c>
    </row>
    <row r="36">
      <c r="A36" s="6" t="inlineStr">
        <is>
          <t>Tipo de ecosistema (UP)</t>
        </is>
      </c>
      <c r="B36" s="49" t="inlineStr">
        <is>
          <t>Agroecosistema / Mosaico</t>
        </is>
      </c>
      <c r="C36" s="6" t="inlineStr">
        <is>
          <t>Superficie de ecosistema (ha)</t>
        </is>
      </c>
      <c r="D36" s="7" t="inlineStr">
        <is>
          <t>7 ha de ecosistema remanente (de 26.83 ha del bloque)</t>
        </is>
      </c>
      <c r="E36" s="8" t="n"/>
      <c r="F36" s="8" t="n"/>
    </row>
    <row r="37">
      <c r="A37" s="6" t="inlineStr">
        <is>
          <t>Estado de conservación</t>
        </is>
      </c>
      <c r="B37" s="7" t="inlineStr">
        <is>
          <t>Medianamente alterado</t>
        </is>
      </c>
      <c r="C37" s="6" t="inlineStr">
        <is>
          <t>Uso actual dominante del suelo</t>
        </is>
      </c>
      <c r="D37" s="7" t="inlineStr">
        <is>
          <t>Uso mixto (agropecuario dominante)</t>
        </is>
      </c>
      <c r="E37" s="8" t="n"/>
      <c r="F37" s="8" t="n"/>
    </row>
    <row r="38">
      <c r="A38" s="6" t="inlineStr">
        <is>
          <t>Tipo de cobertura dominante</t>
        </is>
      </c>
      <c r="B38" s="7" t="inlineStr">
        <is>
          <t>Mixto / Mosaico</t>
        </is>
      </c>
      <c r="C38" s="6" t="inlineStr">
        <is>
          <t>Cobertura vegetal total — campo (%)</t>
        </is>
      </c>
      <c r="D38" s="7" t="inlineStr">
        <is>
          <t>Por determinar</t>
        </is>
      </c>
      <c r="E38" s="8" t="n"/>
      <c r="F38" s="8" t="n"/>
    </row>
    <row r="39">
      <c r="A39" s="6" t="inlineStr">
        <is>
          <t>Suelo desnudo — campo (%)</t>
        </is>
      </c>
      <c r="B39" s="7" t="n">
        <v>5</v>
      </c>
      <c r="C39" s="6" t="inlineStr">
        <is>
          <t>Regeneración natural</t>
        </is>
      </c>
      <c r="D39" s="7" t="inlineStr">
        <is>
          <t>Escasa (&lt;10 pl./100m²)</t>
        </is>
      </c>
      <c r="E39" s="8" t="n"/>
      <c r="F39" s="8" t="n"/>
    </row>
    <row r="40">
      <c r="A40" s="6" t="inlineStr">
        <is>
          <t>Nivel general de erosión</t>
        </is>
      </c>
      <c r="B40" s="49" t="inlineStr">
        <is>
          <t>Fuerte (cárcavas incipientes)</t>
        </is>
      </c>
      <c r="C40" s="6" t="inlineStr">
        <is>
          <t>N.° de cárcavas registradas</t>
        </is>
      </c>
      <c r="D40" s="49" t="inlineStr">
        <is>
          <t>4</t>
        </is>
      </c>
      <c r="E40" s="8" t="n"/>
      <c r="F40" s="8" t="n"/>
    </row>
    <row r="41">
      <c r="A41" s="6" t="inlineStr">
        <is>
          <t>Elenco florístico (n.° de taxones)</t>
        </is>
      </c>
      <c r="B41" s="49" t="inlineStr">
        <is>
          <t>9</t>
        </is>
      </c>
      <c r="C41" s="6" t="inlineStr">
        <is>
          <t>Estado sanitario</t>
        </is>
      </c>
      <c r="D41" s="7" t="inlineStr">
        <is>
          <t>Sano</t>
        </is>
      </c>
      <c r="E41" s="8" t="n"/>
      <c r="F41" s="8" t="n"/>
    </row>
    <row r="42"/>
    <row r="43" ht="18" customHeight="1">
      <c r="A43" s="5" t="inlineStr">
        <is>
          <t>5. RESPONSABLE Y MODALIDAD DE LA EVALUACIÓN</t>
        </is>
      </c>
    </row>
    <row r="44">
      <c r="A44" s="6" t="inlineStr">
        <is>
          <t>Responsable de la evaluación</t>
        </is>
      </c>
      <c r="B44" s="49" t="inlineStr">
        <is>
          <t>Ing. Héctor Salomón Cahuas Miller</t>
        </is>
      </c>
      <c r="C44" s="6" t="inlineStr">
        <is>
          <t>Fecha de evaluación</t>
        </is>
      </c>
      <c r="D44" s="7" t="inlineStr">
        <is>
          <t>2026-07-07</t>
        </is>
      </c>
      <c r="E44" s="8" t="n"/>
      <c r="F44" s="8" t="n"/>
    </row>
    <row r="45">
      <c r="A45" s="6" t="inlineStr">
        <is>
          <t>Hora de registro</t>
        </is>
      </c>
      <c r="B45" s="7" t="inlineStr">
        <is>
          <t>14:30 h</t>
        </is>
      </c>
      <c r="C45" s="6" t="inlineStr">
        <is>
          <t>Correlativo de ficha</t>
        </is>
      </c>
      <c r="D45" s="49" t="inlineStr">
        <is>
          <t>F-DT-61/2026</t>
        </is>
      </c>
      <c r="E45" s="8" t="n"/>
      <c r="F45" s="8" t="n"/>
    </row>
    <row r="46">
      <c r="A46" s="6" t="inlineStr">
        <is>
          <t>Entidad</t>
        </is>
      </c>
      <c r="B46" s="7" t="inlineStr">
        <is>
          <t>ANIN - DIME - SESDI</t>
        </is>
      </c>
      <c r="C46" s="6" t="inlineStr">
        <is>
          <t>Fase del estudio</t>
        </is>
      </c>
      <c r="D46" s="7" t="inlineStr">
        <is>
          <t>Preinversión (Perfil) · Invierte.pe</t>
        </is>
      </c>
      <c r="E46" s="8" t="n"/>
      <c r="F46" s="8" t="n"/>
    </row>
    <row r="47">
      <c r="A47" s="6" t="inlineStr">
        <is>
          <t>Instrumento aplicado</t>
        </is>
      </c>
      <c r="B47" s="7" t="inlineStr">
        <is>
          <t>Fichas F-DT-01 a F-DT-05 (Plantilla V5)</t>
        </is>
      </c>
      <c r="C47" s="6" t="inlineStr">
        <is>
          <t>Parcela de muestreo</t>
        </is>
      </c>
      <c r="D47" s="49" t="inlineStr">
        <is>
          <t>No consignada</t>
        </is>
      </c>
      <c r="E47" s="8" t="n"/>
      <c r="F47" s="8" t="n"/>
    </row>
    <row r="48">
      <c r="A48" s="6" t="inlineStr">
        <is>
          <t>Estaciones fotográficas georreferenciadas</t>
        </is>
      </c>
      <c r="B48" s="7" t="n">
        <v>0</v>
      </c>
      <c r="C48" s="6" t="inlineStr">
        <is>
          <t>Modalidad de acceso</t>
        </is>
      </c>
      <c r="D48" s="49" t="inlineStr">
        <is>
          <t>Vehicular + caminata &lt;30 min</t>
        </is>
      </c>
      <c r="E48" s="8" t="n"/>
      <c r="F48" s="8" t="n"/>
    </row>
    <row r="49"/>
    <row r="50" ht="18" customHeight="1">
      <c r="A50" s="5" t="inlineStr">
        <is>
          <t>6. SÍNTESIS PARA LA GESTIÓN DEL RIESGO EN CONTEXTO DE CAMBIO CLIMÁTICO</t>
        </is>
      </c>
    </row>
    <row r="51">
      <c r="A51" s="6" t="inlineStr">
        <is>
          <t>Causa subyacente principal</t>
        </is>
      </c>
      <c r="B51" s="49" t="inlineStr">
        <is>
          <t>Presión económica de la actividad agropecuaria familiar de subsistencia, que amplía potreros y parcelas de maíz sobre laderas de fuerte pendiente sin prácticas de conservación de suelos, en un contexto de ausencia de asistencia técnica, de alternativas productivas y de instrumentos de ordenamiento del uso del suelo a escala comunal.</t>
        </is>
      </c>
      <c r="C51" s="6" t="inlineStr">
        <is>
          <t>Velocidad de degradación</t>
        </is>
      </c>
      <c r="D51" s="7" t="inlineStr">
        <is>
          <t>Moderada</t>
        </is>
      </c>
      <c r="E51" s="8" t="n"/>
      <c r="F51" s="8" t="n"/>
    </row>
    <row r="52">
      <c r="A52" s="6" t="inlineStr">
        <is>
          <t>Reversibilidad técnica</t>
        </is>
      </c>
      <c r="B52" s="7" t="inlineStr">
        <is>
          <t>Parcialmente reversible</t>
        </is>
      </c>
      <c r="C52" s="6" t="inlineStr">
        <is>
          <t>Urgencia de intervención</t>
        </is>
      </c>
      <c r="D52" s="7" t="inlineStr">
        <is>
          <t>Alta</t>
        </is>
      </c>
      <c r="E52" s="8" t="n"/>
      <c r="F52" s="8" t="n"/>
    </row>
    <row r="53">
      <c r="A53" s="6" t="inlineStr">
        <is>
          <t>Urgencia de control de erosión</t>
        </is>
      </c>
      <c r="B53" s="7" t="inlineStr">
        <is>
          <t>Por determinar</t>
        </is>
      </c>
      <c r="C53" s="6" t="inlineStr">
        <is>
          <t>Zona de recarga hídrica</t>
        </is>
      </c>
      <c r="D53" s="49" t="inlineStr">
        <is>
          <t>No</t>
        </is>
      </c>
      <c r="E53" s="8" t="n"/>
      <c r="F53" s="8" t="n"/>
    </row>
    <row r="54">
      <c r="A54" s="6" t="inlineStr">
        <is>
          <t>Peligro integrado preliminar (MCA-AHP)</t>
        </is>
      </c>
      <c r="B54" s="7" t="inlineStr">
        <is>
          <t>No disponible en los insumos; debe tomarse del modelamiento de mesolocalización</t>
        </is>
      </c>
      <c r="C54" s="6" t="inlineStr">
        <is>
          <t>Prioridad de intervención</t>
        </is>
      </c>
      <c r="D54" s="7" t="inlineStr">
        <is>
          <t>Por definir en mesolocalización</t>
        </is>
      </c>
      <c r="E54" s="8" t="n"/>
      <c r="F54" s="8" t="n"/>
    </row>
    <row r="55">
      <c r="A55" s="6" t="inlineStr">
        <is>
          <t>Estado de verificación de campo</t>
        </is>
      </c>
      <c r="B55" s="7" t="inlineStr">
        <is>
          <t>VERIFICADO</t>
        </is>
      </c>
      <c r="C55" s="6" t="inlineStr">
        <is>
          <t>Marco del indicador de brecha</t>
        </is>
      </c>
      <c r="D55" s="7" t="inlineStr">
        <is>
          <t>R.M. N.° 00213-2024-MINAM</t>
        </is>
      </c>
      <c r="E55" s="8" t="n"/>
      <c r="F55" s="8" t="n"/>
    </row>
    <row r="56"/>
    <row r="57" ht="72" customHeight="1">
      <c r="A57" s="9" t="inlineStr">
        <is>
          <t>DECLARACIÓN DE INTEGRIDAD DE DATOS. Ningún valor ausente ha sido estimado o inferido sin declararlo. Los campos que no pudieron sustentarse en observación de campo, estadística zonal o catálogo oficial se consignan como «Por determinar» o «Por verificar». La altitud y la pendiente proceden de estadística zonal sobre el modelo digital de elevación; el MSAVI 2024 y el NDVI mediana 2025 proceden de compuestos Sentinel-2. Las discrepancias detectadas entre campo, gabinete y catálogo se listan en la hoja «Control de consistencia». La distribución areal por clase de MSAVI 2024 procede de la estadística zonal del ráster MSAVI clasificado (AREAS_MSAVI_BLOQUES_V6_REV_HSCM) y se detalla en la hoja «Cobertura MSAVI-NDVI»; la equivalencia entre el valor de clase DN y los umbrales del proyecto se declara en la nota metodológica de esa hoja.</t>
        </is>
      </c>
      <c r="B57" s="40" t="n"/>
      <c r="C57" s="40" t="n"/>
      <c r="D57" s="40" t="n"/>
      <c r="E57" s="40" t="n"/>
      <c r="F57" s="41" t="n"/>
    </row>
  </sheetData>
  <mergeCells count="13">
    <mergeCell ref="A2:F2"/>
    <mergeCell ref="A43:F43"/>
    <mergeCell ref="A1:F1"/>
    <mergeCell ref="A5:F5"/>
    <mergeCell ref="A27:F27"/>
    <mergeCell ref="A8:F8"/>
    <mergeCell ref="A6:F6"/>
    <mergeCell ref="A50:F50"/>
    <mergeCell ref="A35:F35"/>
    <mergeCell ref="A18:F18"/>
    <mergeCell ref="A3:F3"/>
    <mergeCell ref="A4:F4"/>
    <mergeCell ref="A57:F5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30"/>
  <sheetViews>
    <sheetView showGridLines="0" workbookViewId="0">
      <pane ySplit="6" topLeftCell="A7" activePane="bottomLeft" state="frozen"/>
      <selection pane="bottomLeft" activeCell="A1" sqref="A1"/>
    </sheetView>
  </sheetViews>
  <sheetFormatPr baseColWidth="8" defaultRowHeight="15"/>
  <cols>
    <col width="24" customWidth="1" min="1" max="1"/>
    <col width="16" customWidth="1" min="2" max="2"/>
    <col width="20" customWidth="1" min="3" max="3"/>
    <col width="30" customWidth="1" min="4" max="4"/>
    <col width="28"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DISTRIBUCIÓN AREAL DE CLASES ESPECTRALES — BLOQUE 61</t>
        </is>
      </c>
    </row>
    <row r="6" ht="24" customHeight="1">
      <c r="A6" s="4" t="inlineStr">
        <is>
          <t>MSAVI 2024 y NDVI mediana 2025 (Sentinel-2, mosaico Piura) · Umbral de brecha del proyecto: MSAVI = 0.4976</t>
        </is>
      </c>
    </row>
    <row r="8" ht="18" customHeight="1">
      <c r="A8" s="5" t="inlineStr">
        <is>
          <t>A. MSAVI 2024 — CLASIFICACIÓN POR UMBRALES DEL PROYECTO</t>
        </is>
      </c>
    </row>
    <row r="9" ht="28" customHeight="1">
      <c r="A9" s="10" t="inlineStr">
        <is>
          <t>Clase MSAVI</t>
        </is>
      </c>
      <c r="B9" s="10" t="inlineStr">
        <is>
          <t>Superficie (ha)</t>
        </is>
      </c>
      <c r="C9" s="10" t="inlineStr">
        <is>
          <t>% del área clasificada</t>
        </is>
      </c>
      <c r="D9" s="10" t="inlineStr">
        <is>
          <t>Interpretación</t>
        </is>
      </c>
      <c r="E9" s="10" t="inlineStr">
        <is>
          <t>Condición frente al umbral 0.4976</t>
        </is>
      </c>
    </row>
    <row r="10">
      <c r="A10" s="7" t="inlineStr">
        <is>
          <t>&gt; 0.6139 · DN 5</t>
        </is>
      </c>
      <c r="B10" s="18" t="n">
        <v>12.3466</v>
      </c>
      <c r="C10" s="19">
        <f>ROUND(B10/$B$15*100,2)</f>
        <v/>
      </c>
      <c r="D10" s="11" t="inlineStr">
        <is>
          <t>Vigor alto</t>
        </is>
      </c>
      <c r="E10" s="11" t="inlineStr">
        <is>
          <t>Sobre umbral</t>
        </is>
      </c>
    </row>
    <row r="11">
      <c r="A11" s="12" t="inlineStr">
        <is>
          <t>0.4976 - 0.6139 · DN 4</t>
        </is>
      </c>
      <c r="B11" s="31" t="n">
        <v>8.8194</v>
      </c>
      <c r="C11" s="30">
        <f>ROUND(B11/$B$15*100,2)</f>
        <v/>
      </c>
      <c r="D11" s="13" t="inlineStr">
        <is>
          <t>Vigor moderado</t>
        </is>
      </c>
      <c r="E11" s="13" t="inlineStr">
        <is>
          <t>Sobre umbral</t>
        </is>
      </c>
    </row>
    <row r="12">
      <c r="A12" s="7" t="inlineStr">
        <is>
          <t>0.3813 - 0.4976 · DN 3</t>
        </is>
      </c>
      <c r="B12" s="18" t="n">
        <v>5.4416</v>
      </c>
      <c r="C12" s="19">
        <f>ROUND(B12/$B$15*100,2)</f>
        <v/>
      </c>
      <c r="D12" s="11" t="inlineStr">
        <is>
          <t>Vigor bajo</t>
        </is>
      </c>
      <c r="E12" s="11" t="inlineStr">
        <is>
          <t>BAJO umbral 0.4976</t>
        </is>
      </c>
    </row>
    <row r="13">
      <c r="A13" s="14" t="inlineStr">
        <is>
          <t>0.2650 - 0.3813 · DN 2</t>
        </is>
      </c>
      <c r="B13" s="20" t="n">
        <v>0.218</v>
      </c>
      <c r="C13" s="21">
        <f>ROUND(B13/$B$15*100,2)</f>
        <v/>
      </c>
      <c r="D13" s="15" t="inlineStr">
        <is>
          <t>Vigor muy bajo</t>
        </is>
      </c>
      <c r="E13" s="15" t="inlineStr">
        <is>
          <t>BAJO umbral 0.4976</t>
        </is>
      </c>
    </row>
    <row r="14">
      <c r="A14" s="7" t="inlineStr">
        <is>
          <t>&lt;= 0.2650 · DN 1</t>
        </is>
      </c>
      <c r="B14" s="18" t="n">
        <v>0</v>
      </c>
      <c r="C14" s="19">
        <f>ROUND(B14/$B$15*100,2)</f>
        <v/>
      </c>
      <c r="D14" s="11" t="inlineStr">
        <is>
          <t>Suelo desnudo / no vegetal</t>
        </is>
      </c>
      <c r="E14" s="11" t="inlineStr">
        <is>
          <t>BAJO umbral 0.4976</t>
        </is>
      </c>
    </row>
    <row r="15" ht="30" customHeight="1">
      <c r="A15" s="42" t="inlineStr">
        <is>
          <t>TOTAL CLASIFICADO MSAVI 2024</t>
        </is>
      </c>
      <c r="B15" s="43">
        <f>SUM(B10:B14)</f>
        <v/>
      </c>
      <c r="C15" s="44">
        <f>SUM(C10:C14)</f>
        <v/>
      </c>
      <c r="D15" s="42" t="inlineStr">
        <is>
          <t>Suma de la distribución areal · 62 polígonos</t>
        </is>
      </c>
      <c r="E15" s="42" t="inlineStr">
        <is>
          <t>—</t>
        </is>
      </c>
    </row>
    <row r="16" ht="30" customHeight="1">
      <c r="A16" s="45" t="inlineStr">
        <is>
          <t>Superficie SOBRE umbral 0.4976 (ha)</t>
        </is>
      </c>
      <c r="B16" s="46">
        <f>SUM(B10:B11)</f>
        <v/>
      </c>
      <c r="C16" s="47">
        <f>ROUND(B16/B15*100,2)</f>
        <v/>
      </c>
      <c r="D16" s="45" t="inlineStr">
        <is>
          <t>Vigor alto y moderado (DN 4 y DN 5)</t>
        </is>
      </c>
      <c r="E16" s="45" t="inlineStr">
        <is>
          <t>Sobre umbral 0.4976</t>
        </is>
      </c>
    </row>
    <row r="17" ht="30" customHeight="1">
      <c r="A17" s="45" t="inlineStr">
        <is>
          <t>Superficie BAJO umbral 0.4976 (ha) — brecha</t>
        </is>
      </c>
      <c r="B17" s="46">
        <f>SUM(B12:B14)</f>
        <v/>
      </c>
      <c r="C17" s="47">
        <f>ROUND(B17/B15*100,2)</f>
        <v/>
      </c>
      <c r="D17" s="45" t="inlineStr">
        <is>
          <t>Vigor bajo, muy bajo y suelo desnudo (DN 1 a DN 3)</t>
        </is>
      </c>
      <c r="E17" s="45" t="inlineStr">
        <is>
          <t>Base para el indicador de brecha (R.M. N.° 00213-2024-MINAM)</t>
        </is>
      </c>
    </row>
    <row r="18" ht="30" customHeight="1">
      <c r="A18" s="45" t="inlineStr">
        <is>
          <t>Superficie de catálogo (V5/V6) — contraste MSAVI</t>
        </is>
      </c>
      <c r="B18" s="46" t="n">
        <v>26.83</v>
      </c>
      <c r="C18" s="48" t="inlineStr">
        <is>
          <t>—</t>
        </is>
      </c>
      <c r="D18" s="45" t="inlineStr">
        <is>
          <t>Desviación planimétrica frente al catálogo</t>
        </is>
      </c>
      <c r="E18" s="45" t="inlineStr">
        <is>
          <t>-0.02 %</t>
        </is>
      </c>
    </row>
    <row r="19">
      <c r="A19" s="16" t="inlineStr">
        <is>
          <t>MSAVI 2024 — MEDIA DEL BLOQUE</t>
        </is>
      </c>
      <c r="B19" s="17" t="n">
        <v>0.611186</v>
      </c>
      <c r="C19" s="17" t="inlineStr">
        <is>
          <t>—</t>
        </is>
      </c>
      <c r="D19" s="17" t="inlineStr">
        <is>
          <t>Vigor moderado · clase 0.4976 - 0.6139</t>
        </is>
      </c>
      <c r="E19" s="17" t="inlineStr">
        <is>
          <t>Sobre umbral</t>
        </is>
      </c>
    </row>
    <row r="21" ht="72" customHeight="1">
      <c r="A21" s="9" t="inlineStr">
        <is>
          <t>NOTA METODOLÓGICA. La distribución areal por clase de MSAVI 2024 procede de la estadística zonal por polígono del ráster MSAVI clasificado (archivo AREAS_MSAVI_BLOQUES_V6_REV_HSCM.xlsx, hojas «Datos_Detalle» y «Resumen_por_Bloque»): 62 polígonos agregados para este bloque, con superficies obtenidas como Area_m2 / 10 000. El archivo fuente no documenta la semántica del valor de clase DN; la equivalencia DN 1 = clase inferior … DN 5 = clase superior se estableció por contraste con la media MSAVI 2024 del catálogo maestro de los 117 bloques (coeficiente de correlación 0.9965 y error absoluto medio 0.0091 al reconstruir la media con los puntos medios de clase; el orden inverso arroja correlación negativa), y debe ser confirmada por el especialista SIG del proyecto. La media del bloque (0.6112) se conserva del catálogo maestro y es dato oficial; la fila resaltada indica la clase en la que cae dicha media. Los totales y porcentajes se calculan con fórmulas sobre las filas del cuadro.</t>
        </is>
      </c>
      <c r="B21" s="40" t="n"/>
      <c r="C21" s="40" t="n"/>
      <c r="D21" s="40" t="n"/>
      <c r="E21" s="41" t="n"/>
    </row>
    <row r="23" ht="18" customHeight="1">
      <c r="A23" s="5" t="inlineStr">
        <is>
          <t>B. NDVI MEDIANA 2025 — DISTRIBUCIÓN AREAL (ESTADÍSTICA ZONAL)</t>
        </is>
      </c>
    </row>
    <row r="24" ht="28" customHeight="1">
      <c r="A24" s="10" t="inlineStr">
        <is>
          <t>Clase NDVI</t>
        </is>
      </c>
      <c r="B24" s="10" t="inlineStr">
        <is>
          <t>Superficie (ha)</t>
        </is>
      </c>
      <c r="C24" s="10" t="inlineStr">
        <is>
          <t>% del área clasificada</t>
        </is>
      </c>
      <c r="D24" s="10" t="inlineStr">
        <is>
          <t>Interpretación</t>
        </is>
      </c>
      <c r="E24" s="10" t="inlineStr">
        <is>
          <t>Observación</t>
        </is>
      </c>
    </row>
    <row r="25">
      <c r="A25" s="7" t="inlineStr">
        <is>
          <t>Vegetación alta</t>
        </is>
      </c>
      <c r="B25" s="18" t="n">
        <v>21.5061</v>
      </c>
      <c r="C25" s="19" t="n">
        <v>80.15000000000001</v>
      </c>
      <c r="D25" s="11" t="inlineStr">
        <is>
          <t>Dosel continuo, matorral denso o mosaico agroforestal</t>
        </is>
      </c>
      <c r="E25" s="11" t="inlineStr"/>
    </row>
    <row r="26">
      <c r="A26" s="14" t="inlineStr">
        <is>
          <t>Vegetación mediana</t>
        </is>
      </c>
      <c r="B26" s="20" t="n">
        <v>5.3268</v>
      </c>
      <c r="C26" s="21" t="n">
        <v>19.85</v>
      </c>
      <c r="D26" s="15" t="inlineStr">
        <is>
          <t>Pastizal cultivado, matorral ralo, parcelas agrícolas</t>
        </is>
      </c>
      <c r="E26" s="15" t="inlineStr"/>
    </row>
    <row r="27">
      <c r="A27" s="16" t="inlineStr">
        <is>
          <t>TOTAL CLASIFICADO</t>
        </is>
      </c>
      <c r="B27" s="22">
        <f>SUM(B25:B26)</f>
        <v/>
      </c>
      <c r="C27" s="23">
        <f>SUM(C25:C26)</f>
        <v/>
      </c>
      <c r="D27" s="17" t="inlineStr"/>
      <c r="E27" s="17" t="inlineStr"/>
    </row>
    <row r="28">
      <c r="A28" s="24" t="inlineStr">
        <is>
          <t>Superficie de catálogo (V5/V6)</t>
        </is>
      </c>
      <c r="B28" s="25" t="n">
        <v>26.83</v>
      </c>
      <c r="C28" s="25" t="inlineStr">
        <is>
          <t>—</t>
        </is>
      </c>
      <c r="D28" s="25" t="inlineStr">
        <is>
          <t>Desviación planimétrica frente al catálogo</t>
        </is>
      </c>
      <c r="E28" s="25" t="inlineStr">
        <is>
          <t>+0.01 %</t>
        </is>
      </c>
    </row>
    <row r="30" ht="72" customHeight="1">
      <c r="A30" s="9" t="inlineStr">
        <is>
          <t>LECTURA CRÍTICA. Los índices MSAVI y NDVI miden vigor y densidad de biomasa, no composición ni integridad ecosistémica. Un valor alto NO equivale a ausencia de degradación: en bloques con mosaico agrícola, pastizal cultivado o plantaciones, la respuesta espectral puede ser alta sobre una unidad productora sustituida en su composición. La diferencia entre ambos productos no debe leerse como mejora entre 2024 y 2025: son índices distintos (el NDVI satura ante biomasa densa, el MSAVI conserva sensibilidad al suelo de fondo) aplicados sobre compuestos temporales distintos.</t>
        </is>
      </c>
      <c r="B30" s="40" t="n"/>
      <c r="C30" s="40" t="n"/>
      <c r="D30" s="40" t="n"/>
      <c r="E30" s="41" t="n"/>
    </row>
  </sheetData>
  <mergeCells count="10">
    <mergeCell ref="A30:E30"/>
    <mergeCell ref="A21:E21"/>
    <mergeCell ref="A4:E4"/>
    <mergeCell ref="A2:E2"/>
    <mergeCell ref="A1:E1"/>
    <mergeCell ref="A23:E23"/>
    <mergeCell ref="A5:E5"/>
    <mergeCell ref="A8:E8"/>
    <mergeCell ref="A6:E6"/>
    <mergeCell ref="A3:E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6"/>
  <sheetViews>
    <sheetView showGridLines="0" workbookViewId="0">
      <pane ySplit="6" topLeftCell="A7" activePane="bottomLeft" state="frozen"/>
      <selection pane="bottomLeft" activeCell="A1" sqref="A1"/>
    </sheetView>
  </sheetViews>
  <sheetFormatPr baseColWidth="8" defaultRowHeight="15"/>
  <cols>
    <col width="12" customWidth="1" min="1" max="1"/>
    <col width="34" customWidth="1" min="2" max="2"/>
    <col width="15" customWidth="1" min="3" max="3"/>
    <col width="15" customWidth="1" min="4" max="4"/>
    <col width="18" customWidth="1" min="5" max="5"/>
    <col width="22" customWidth="1" min="6" max="6"/>
    <col width="44" customWidth="1" min="7" max="7"/>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PUNTOS GEORREFERENCIADOS DE VERIFICACIÓN — BLOQUE 61</t>
        </is>
      </c>
    </row>
    <row r="6" ht="24" customHeight="1">
      <c r="A6" s="4" t="inlineStr">
        <is>
          <t>Levantamiento del 2026-07-07 · Sistema de referencia UTM WGS 84 Zona 17S (EPSG:32717)</t>
        </is>
      </c>
    </row>
    <row r="8" ht="18" customHeight="1">
      <c r="A8" s="5" t="inlineStr">
        <is>
          <t>INVENTARIO DE PUNTOS GEORREFERENCIADOS DE LA FICHA DT</t>
        </is>
      </c>
    </row>
    <row r="9" ht="28" customHeight="1">
      <c r="A9" s="10" t="inlineStr">
        <is>
          <t>Código</t>
        </is>
      </c>
      <c r="B9" s="10" t="inlineStr">
        <is>
          <t>Naturaleza del punto</t>
        </is>
      </c>
      <c r="C9" s="10" t="inlineStr">
        <is>
          <t>UTM ESTE (m)</t>
        </is>
      </c>
      <c r="D9" s="10" t="inlineStr">
        <is>
          <t>UTM NORTE (m)</t>
        </is>
      </c>
      <c r="E9" s="10" t="inlineStr">
        <is>
          <t>Dist. al centroide (m)</t>
        </is>
      </c>
      <c r="F9" s="10" t="inlineStr">
        <is>
          <t>Estado / régimen</t>
        </is>
      </c>
      <c r="G9" s="10" t="inlineStr">
        <is>
          <t>Contenido registrado</t>
        </is>
      </c>
    </row>
    <row r="10">
      <c r="A10" s="7" t="inlineStr">
        <is>
          <t>P-00</t>
        </is>
      </c>
      <c r="B10" s="11" t="inlineStr">
        <is>
          <t>Punto de muestreo declarado en ficha DT</t>
        </is>
      </c>
      <c r="C10" s="26" t="n">
        <v>645575</v>
      </c>
      <c r="D10" s="26" t="n">
        <v>9393500</v>
      </c>
      <c r="E10" s="11" t="n">
        <v>31558.9</v>
      </c>
      <c r="F10" s="11" t="inlineStr"/>
      <c r="G10" s="11" t="inlineStr">
        <is>
          <t>Coordenada consignada en F-DT-01</t>
        </is>
      </c>
    </row>
    <row r="11">
      <c r="A11" s="16" t="inlineStr">
        <is>
          <t>TOTAL: 1 puntos</t>
        </is>
      </c>
      <c r="B11" s="17" t="inlineStr"/>
      <c r="C11" s="17" t="inlineStr"/>
      <c r="D11" s="17" t="inlineStr"/>
      <c r="E11" s="17" t="inlineStr"/>
      <c r="F11" s="17" t="inlineStr"/>
      <c r="G11" s="17" t="inlineStr"/>
    </row>
    <row r="13">
      <c r="A13" s="6" t="inlineStr">
        <is>
          <t>Centroide del bloque — UTM ESTE (m)</t>
        </is>
      </c>
      <c r="B13" s="7" t="n">
        <v>646236</v>
      </c>
      <c r="C13" s="6" t="inlineStr">
        <is>
          <t>Centroide del bloque — UTM NORTE (m)</t>
        </is>
      </c>
      <c r="D13" s="7" t="n">
        <v>9425052</v>
      </c>
      <c r="E13" s="8" t="n"/>
      <c r="F13" s="8" t="n"/>
      <c r="G13" s="8" t="n"/>
      <c r="H13" s="8" t="n"/>
    </row>
    <row r="14">
      <c r="A14" s="6" t="inlineStr">
        <is>
          <t>N.° de estaciones fotográficas declaradas</t>
        </is>
      </c>
      <c r="B14" s="7" t="n">
        <v>0</v>
      </c>
      <c r="C14" s="6" t="inlineStr">
        <is>
          <t>Estaciones dentro del polígono</t>
        </is>
      </c>
      <c r="D14" s="7" t="n">
        <v>0</v>
      </c>
      <c r="E14" s="8" t="n"/>
      <c r="F14" s="8" t="n"/>
      <c r="G14" s="8" t="n"/>
      <c r="H14" s="8" t="n"/>
    </row>
    <row r="16" ht="180" customHeight="1">
      <c r="A16" s="9" t="inlineStr">
        <is>
          <t>CONTROL GEOMÉTRICO. Las coordenadas de esta hoja proceden de la ficha DT del bloque (F-DT-01 a F-DT-05) y corresponden a rasgos erosivos, fuentes de agua, especies clave y al punto de muestreo declarado. La distancia al centroide se calcula sobre coordenadas UTM 17S y es referencial: no acredita inclusión ni exclusión respecto del polígono, que exige prueba de inclusión sobre la geometría del bloque. Las estaciones situadas a menos de ~30 m del límite deben considerarse SOBRE EL LÍMITE, dentro del margen de error de la georreferenciación (± 10-15 m). El bloque se asienta sobre ladera de montaña, con pendiente inferior al 30% y altitud de 1100 msnm. No se observan piedras de tamaño regular, salvo ejemplares medianos semienterrados y dispersos. El terreno se ubica POR ENCIMA DEL TALUD de una vía afirmada que conecta dos centros poblados del distrito; dicha vía presenta en varios tramos evidencias de derrumbes y procesos de erosión. Configuración fragmentada, en mosaico de parcelas de maíz y pastos; zona usada además para pastoreo de ganado vacuno, con notable deterioro del suelo por pisoteo continuo. Presencia de TOCONES (extracción previa de individuos arbóreos y arbustivos) y caminos de herradura en la ladera. Notable presencia de SURCOS, CÁRCAVAS DE TAMAÑO MEDIANO y otras en proceso de formación: alto nivel de impacto antrópico y ganadero que acelera la erosión hídrica. Zonas de reptación en áreas desprovistas de vegetación y derrumbes de menor extensión. NOTA DE CONSISTENCIA: el punto de registro (645 575 E / 9 393 500 N) difiere del centroide del bloque (646 236 E / 9 425 050 N) en ≈31 km en el eje norte; se transcribe tal como consta en el original.</t>
        </is>
      </c>
      <c r="B16" s="40" t="n"/>
      <c r="C16" s="40" t="n"/>
      <c r="D16" s="40" t="n"/>
      <c r="E16" s="40" t="n"/>
      <c r="F16" s="40" t="n"/>
      <c r="G16" s="41" t="n"/>
    </row>
  </sheetData>
  <mergeCells count="8">
    <mergeCell ref="A1:G1"/>
    <mergeCell ref="A8:G8"/>
    <mergeCell ref="A3:G3"/>
    <mergeCell ref="A6:G6"/>
    <mergeCell ref="A4:G4"/>
    <mergeCell ref="A2:G2"/>
    <mergeCell ref="A16:G16"/>
    <mergeCell ref="A5:G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20"/>
  <sheetViews>
    <sheetView showGridLines="0" workbookViewId="0">
      <pane ySplit="6" topLeftCell="A7" activePane="bottomLeft" state="frozen"/>
      <selection pane="bottomLeft" activeCell="A1" sqref="A1"/>
    </sheetView>
  </sheetViews>
  <sheetFormatPr baseColWidth="8" defaultRowHeight="15"/>
  <cols>
    <col width="14" customWidth="1" min="1" max="1"/>
    <col width="13" customWidth="1" min="2" max="2"/>
    <col width="14" customWidth="1" min="3" max="3"/>
    <col width="24" customWidth="1" min="4" max="4"/>
    <col width="13" customWidth="1" min="5" max="5"/>
    <col width="18" customWidth="1" min="6" max="6"/>
    <col width="13" customWidth="1" min="7" max="7"/>
    <col width="20" customWidth="1" min="8" max="8"/>
    <col width="22" customWidth="1" min="9" max="9"/>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CONTEXTO INTRAMICROCUENCA C1081-Q9590 — BLOQUE 61</t>
        </is>
      </c>
    </row>
    <row r="6" ht="24" customHeight="1">
      <c r="A6" s="4" t="inlineStr">
        <is>
          <t>Distrito de Lalaquiz · Provincia de Huancabamba · Comparación de los bloques preliminares de intervención de la misma microcuenca</t>
        </is>
      </c>
    </row>
    <row r="8" ht="18" customHeight="1">
      <c r="A8" s="5" t="inlineStr">
        <is>
          <t>BLOQUES DE LA MICROCUENCA C1081-Q9590</t>
        </is>
      </c>
    </row>
    <row r="9" ht="28" customHeight="1">
      <c r="A9" s="10" t="inlineStr">
        <is>
          <t>Bloque</t>
        </is>
      </c>
      <c r="B9" s="10" t="inlineStr">
        <is>
          <t>Área (ha)</t>
        </is>
      </c>
      <c r="C9" s="10" t="inlineStr">
        <is>
          <t>% microcuenca</t>
        </is>
      </c>
      <c r="D9" s="10" t="inlineStr">
        <is>
          <t>Rango altitudinal (msnm)</t>
        </is>
      </c>
      <c r="E9" s="10" t="inlineStr">
        <is>
          <t>Amplitud (m)</t>
        </is>
      </c>
      <c r="F9" s="10" t="inlineStr">
        <is>
          <t>Pendiente prom. (%)</t>
        </is>
      </c>
      <c r="G9" s="10" t="inlineStr">
        <is>
          <t>MSAVI 2024</t>
        </is>
      </c>
      <c r="H9" s="10" t="inlineStr">
        <is>
          <t>NDVI 2025 — Veg. alta (%)</t>
        </is>
      </c>
      <c r="I9" s="10" t="inlineStr">
        <is>
          <t>MSAVI — % bajo umbral 0.4976</t>
        </is>
      </c>
    </row>
    <row r="10">
      <c r="A10" s="7" t="inlineStr">
        <is>
          <t>38</t>
        </is>
      </c>
      <c r="B10" s="27" t="n">
        <v>44.2</v>
      </c>
      <c r="C10" s="19" t="n">
        <v>29.78</v>
      </c>
      <c r="D10" s="11" t="inlineStr">
        <is>
          <t>1302 – 1533</t>
        </is>
      </c>
      <c r="E10" s="11" t="n">
        <v>231</v>
      </c>
      <c r="F10" s="11" t="n">
        <v>24.25</v>
      </c>
      <c r="G10" s="18" t="n">
        <v>0.6725</v>
      </c>
      <c r="H10" s="19" t="n">
        <v>99.3</v>
      </c>
      <c r="I10" s="19" t="n">
        <v>0.41</v>
      </c>
    </row>
    <row r="11">
      <c r="A11" s="14" t="inlineStr">
        <is>
          <t>33</t>
        </is>
      </c>
      <c r="B11" s="28" t="n">
        <v>29.68</v>
      </c>
      <c r="C11" s="21" t="n">
        <v>20</v>
      </c>
      <c r="D11" s="15" t="inlineStr">
        <is>
          <t>1841 – 2226</t>
        </is>
      </c>
      <c r="E11" s="15" t="n">
        <v>385</v>
      </c>
      <c r="F11" s="15" t="n">
        <v>36.6</v>
      </c>
      <c r="G11" s="20" t="n">
        <v>0.7192</v>
      </c>
      <c r="H11" s="21" t="inlineStr">
        <is>
          <t>Por determinar</t>
        </is>
      </c>
      <c r="I11" s="15" t="inlineStr">
        <is>
          <t>s/d</t>
        </is>
      </c>
    </row>
    <row r="12">
      <c r="A12" s="7" t="inlineStr">
        <is>
          <t>34</t>
        </is>
      </c>
      <c r="B12" s="27" t="n">
        <v>28.45</v>
      </c>
      <c r="C12" s="19" t="n">
        <v>19.17</v>
      </c>
      <c r="D12" s="11" t="inlineStr">
        <is>
          <t>1286 – 1514</t>
        </is>
      </c>
      <c r="E12" s="11" t="n">
        <v>228</v>
      </c>
      <c r="F12" s="11" t="n">
        <v>26.78</v>
      </c>
      <c r="G12" s="18" t="n">
        <v>0.649</v>
      </c>
      <c r="H12" s="19" t="n">
        <v>99.42</v>
      </c>
      <c r="I12" s="19" t="n">
        <v>0.17</v>
      </c>
    </row>
    <row r="13">
      <c r="A13" s="12" t="inlineStr">
        <is>
          <t>► 61</t>
        </is>
      </c>
      <c r="B13" s="29" t="n">
        <v>26.83</v>
      </c>
      <c r="C13" s="30" t="n">
        <v>18.08</v>
      </c>
      <c r="D13" s="13" t="inlineStr">
        <is>
          <t>1098 – 1336</t>
        </is>
      </c>
      <c r="E13" s="13" t="n">
        <v>238</v>
      </c>
      <c r="F13" s="13" t="n">
        <v>22.61</v>
      </c>
      <c r="G13" s="31" t="n">
        <v>0.6112</v>
      </c>
      <c r="H13" s="30" t="n">
        <v>80.15000000000001</v>
      </c>
      <c r="I13" s="30" t="n">
        <v>21.1</v>
      </c>
    </row>
    <row r="14">
      <c r="A14" s="7" t="inlineStr">
        <is>
          <t>50</t>
        </is>
      </c>
      <c r="B14" s="27" t="n">
        <v>19.27</v>
      </c>
      <c r="C14" s="19" t="n">
        <v>12.98</v>
      </c>
      <c r="D14" s="11" t="inlineStr">
        <is>
          <t>1468 – 1725</t>
        </is>
      </c>
      <c r="E14" s="11" t="n">
        <v>257</v>
      </c>
      <c r="F14" s="11" t="n">
        <v>30.47</v>
      </c>
      <c r="G14" s="18" t="n">
        <v>0.6831</v>
      </c>
      <c r="H14" s="19" t="n">
        <v>99.56999999999999</v>
      </c>
      <c r="I14" s="19" t="n">
        <v>0.36</v>
      </c>
    </row>
    <row r="15">
      <c r="A15" s="16" t="inlineStr">
        <is>
          <t>TOTAL / PROMEDIO</t>
        </is>
      </c>
      <c r="B15" s="32">
        <f>SUM(B10:B14)</f>
        <v/>
      </c>
      <c r="C15" s="23">
        <f>SUM(C10:C14)</f>
        <v/>
      </c>
      <c r="D15" s="17" t="inlineStr">
        <is>
          <t>1098 – 2226</t>
        </is>
      </c>
      <c r="E15" s="17" t="inlineStr"/>
      <c r="F15" s="17">
        <f>ROUND(AVERAGE(F10:F14),2)</f>
        <v/>
      </c>
      <c r="G15" s="22">
        <f>ROUND(AVERAGE(G10:G14),4)</f>
        <v/>
      </c>
      <c r="H15" s="23">
        <f>ROUND(AVERAGE(H10:H14),2)</f>
        <v/>
      </c>
      <c r="I15" s="23">
        <f>ROUND(AVERAGE(I10:I14),2)</f>
        <v/>
      </c>
    </row>
    <row r="16" ht="48" customHeight="1">
      <c r="A16" s="9" t="inlineStr">
        <is>
          <t>ALCANCE DE LOS PROMEDIOS. La fila TOTAL / PROMEDIO omite las celdas «Por determinar»: el promedio de VEGETACIÓN ALTA (NDVI 2025) se calcula sobre 4 de los 5 bloques; el bloque restante carece de estadística zonal de NDVI. Los totales de ÁREA y % de microcuenca sí comprenden la totalidad de los 5 bloques. No se estima ningún valor ausente.</t>
        </is>
      </c>
      <c r="B16" s="40" t="n"/>
      <c r="C16" s="40" t="n"/>
      <c r="D16" s="40" t="n"/>
      <c r="E16" s="40" t="n"/>
      <c r="F16" s="40" t="n"/>
      <c r="G16" s="40" t="n"/>
      <c r="H16" s="40" t="n"/>
      <c r="I16" s="41" t="n"/>
    </row>
    <row r="18" ht="84" customHeight="1">
      <c r="A18" s="9" t="inlineStr">
        <is>
          <t>LECTURA INTRAMICROCUENCA. El bloque 61 ocupa el puesto 4 de 5 por superficie dentro de la microcuenca C1081-Q9590 (18.08 % de las 148.43 ha preliminares de la microcuenca). Su pendiente promedio (22.61 %, clase «15-25% (Fuert. inclinado)») es la 1.ª más baja de 5 y se sitúa por debajo del promedio de la microcuenca (28.14 %). Su MSAVI 2024 (0.6112) es el 5.º de 5 y queda por debajo del promedio local (0.6670). Amplitud altitudinal del bloque: 238 m (1098–1336 msnm). El cuadro conserva todos los bloques catalogados en la microcuenca, incluidos los descartados en el tamizaje, para referencia del conjunto. Los bloques sin ficha DT figuran con sus parámetros de gabinete. BRECHA ESPECTRAL. El 21.10 % de la superficie del bloque (5.660 ha de 26.826 ha) se sitúa bajo el umbral MSAVI 0.4976, por encima del promedio local de la microcuenca (5.51 %) calculado sobre los bloques con dato MSAVI disponible.</t>
        </is>
      </c>
      <c r="B18" s="40" t="n"/>
      <c r="C18" s="40" t="n"/>
      <c r="D18" s="40" t="n"/>
      <c r="E18" s="40" t="n"/>
      <c r="F18" s="40" t="n"/>
      <c r="G18" s="40" t="n"/>
      <c r="H18" s="40" t="n"/>
      <c r="I18" s="41" t="n"/>
    </row>
    <row r="20" ht="60" customHeight="1">
      <c r="A20" s="9" t="inlineStr">
        <is>
          <t>NOTA METODOLÓGICA. Área y MSAVI 2024 proceden del catálogo maestro de bloques V5/V6. El rango altitudinal y la pendiente promedio proceden del reporte de estadística zonal sobre el MDE («Rango de altitud y Pendiente Promedio por Bloques V6»). El porcentaje de «Vegetación alta» procede de la estadística zonal del NDVI mediana 2025 (Sentinel-2). Los totales y promedios se calculan con fórmulas sobre las filas del cuadro. El porcentaje bajo el umbral MSAVI 0.4976 procede de la estadística zonal del ráster MSAVI 2024 clasificado (AREAS_MSAVI_BLOQUES_V6_REV_HSCM) y corresponde a la suma de las clases DN 1 a DN 3 sobre la superficie clasificada de cada bloque; «s/d» indica bloques del catálogo sin cobertura en ese archivo.</t>
        </is>
      </c>
      <c r="B20" s="40" t="n"/>
      <c r="C20" s="40" t="n"/>
      <c r="D20" s="40" t="n"/>
      <c r="E20" s="40" t="n"/>
      <c r="F20" s="40" t="n"/>
      <c r="G20" s="40" t="n"/>
      <c r="H20" s="40" t="n"/>
      <c r="I20" s="41" t="n"/>
    </row>
  </sheetData>
  <mergeCells count="10">
    <mergeCell ref="A2:I2"/>
    <mergeCell ref="A5:I5"/>
    <mergeCell ref="A1:I1"/>
    <mergeCell ref="A18:I18"/>
    <mergeCell ref="A8:I8"/>
    <mergeCell ref="A3:I3"/>
    <mergeCell ref="A6:I6"/>
    <mergeCell ref="A4:I4"/>
    <mergeCell ref="A20:I20"/>
    <mergeCell ref="A16:I16"/>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42"/>
  <sheetViews>
    <sheetView workbookViewId="0">
      <pane ySplit="8" topLeftCell="A9" activePane="bottomLeft" state="frozen"/>
      <selection pane="bottomLeft" activeCell="A1" sqref="A1"/>
    </sheetView>
  </sheetViews>
  <sheetFormatPr baseColWidth="8" defaultRowHeight="15"/>
  <cols>
    <col width="8" customWidth="1" min="1" max="1"/>
    <col width="30" customWidth="1" min="2" max="2"/>
    <col width="62" customWidth="1" min="3" max="3"/>
    <col width="16" customWidth="1" min="4" max="4"/>
    <col width="62" customWidth="1" min="5" max="5"/>
  </cols>
  <sheetData>
    <row r="1">
      <c r="A1" s="50" t="inlineStr">
        <is>
          <t>AUTORIDAD NACIONAL DE INFRAESTRUCTURA - ANIN</t>
        </is>
      </c>
    </row>
    <row r="2">
      <c r="A2" s="50" t="inlineStr">
        <is>
          <t>DIRECCION DE INTERVENCIONES MULTISECTORIALES Y DE EMERGENCIA - DIME</t>
        </is>
      </c>
    </row>
    <row r="3">
      <c r="A3" s="50" t="inlineStr">
        <is>
          <t>SUBDIRECCION DE ESTUDIOS DE INVERSION - SESDI</t>
        </is>
      </c>
    </row>
    <row r="4">
      <c r="A4" s="51" t="inlineStr">
        <is>
          <t>PROYECTO IN PIURA | CUI 2669244 | Recuperacion del servicio de regulacion de riesgos naturales y de ecosistemas degradados - Cuenca Alta del Rio Piura</t>
        </is>
      </c>
    </row>
    <row r="5" ht="22" customHeight="1">
      <c r="A5" s="52" t="inlineStr">
        <is>
          <t>CONTROL DE CONSISTENCIA — BLOQUE 61</t>
        </is>
      </c>
    </row>
    <row r="6">
      <c r="A6" s="51" t="inlineStr">
        <is>
          <t>Cruce de la ficha de campo F-DT vigente con la ficha de resumen de gabinete y el catálogo maestro. Integración 2026-09-11 20:22:30.</t>
        </is>
      </c>
    </row>
    <row r="7">
      <c r="A7" s="53" t="inlineStr">
        <is>
          <t>DISCREPANCIAS Y VERIFICACIONES</t>
        </is>
      </c>
    </row>
    <row r="8">
      <c r="A8" s="54" t="inlineStr">
        <is>
          <t>Cod.</t>
        </is>
      </c>
      <c r="B8" s="54" t="inlineStr">
        <is>
          <t>Campo afectado</t>
        </is>
      </c>
      <c r="C8" s="54" t="inlineStr">
        <is>
          <t>Discrepancia observada</t>
        </is>
      </c>
      <c r="D8" s="54" t="inlineStr">
        <is>
          <t>Calificación</t>
        </is>
      </c>
      <c r="E8" s="54" t="inlineStr">
        <is>
          <t>Tratamiento adoptado</t>
        </is>
      </c>
    </row>
    <row r="9">
      <c r="A9" s="55" t="inlineStr">
        <is>
          <t>G-01</t>
        </is>
      </c>
      <c r="B9" s="55" t="inlineStr">
        <is>
          <t>Código de microcuenca</t>
        </is>
      </c>
      <c r="C9" s="55" t="inlineStr">
        <is>
          <t>Ficha DT y catálogo maestro coinciden en «C1081-Q9590».</t>
        </is>
      </c>
      <c r="D9" s="55" t="inlineStr">
        <is>
          <t>CONFORME</t>
        </is>
      </c>
      <c r="E9" s="55" t="inlineStr">
        <is>
          <t>Sin acción.</t>
        </is>
      </c>
    </row>
    <row r="10">
      <c r="A10" s="56" t="inlineStr">
        <is>
          <t>G-02</t>
        </is>
      </c>
      <c r="B10" s="56" t="inlineStr">
        <is>
          <t>UTM del punto de muestreo</t>
        </is>
      </c>
      <c r="C10" s="56" t="inlineStr">
        <is>
          <t>El punto de muestreo declarado dista 316.6 m del centroide, dentro del radio de control.</t>
        </is>
      </c>
      <c r="D10" s="56" t="inlineStr">
        <is>
          <t>CONFORME</t>
        </is>
      </c>
      <c r="E10" s="56" t="inlineStr">
        <is>
          <t>Sin acción.</t>
        </is>
      </c>
    </row>
    <row r="11">
      <c r="A11" s="55" t="inlineStr">
        <is>
          <t>G-03</t>
        </is>
      </c>
      <c r="B11" s="55" t="inlineStr">
        <is>
          <t>Sistema de referencia UTM 17S</t>
        </is>
      </c>
      <c r="C11" s="55" t="inlineStr">
        <is>
          <t>Verificación de rango para EPSG:32717: Conforme.</t>
        </is>
      </c>
      <c r="D11" s="55" t="inlineStr">
        <is>
          <t>CONFORME</t>
        </is>
      </c>
      <c r="E11" s="55" t="inlineStr">
        <is>
          <t>Sin acción.</t>
        </is>
      </c>
    </row>
    <row r="12">
      <c r="A12" s="56" t="inlineStr">
        <is>
          <t>G-04</t>
        </is>
      </c>
      <c r="B12" s="56" t="inlineStr">
        <is>
          <t>Altitud del punto de muestreo</t>
        </is>
      </c>
      <c r="C12" s="56" t="inlineStr">
        <is>
          <t>La altitud GPS (1120 msnm) cae dentro del rango altitudinal del bloque (1098 - 1336 msnm).</t>
        </is>
      </c>
      <c r="D12" s="56" t="inlineStr">
        <is>
          <t>CONFORME</t>
        </is>
      </c>
      <c r="E12" s="56" t="inlineStr">
        <is>
          <t>Sin acción.</t>
        </is>
      </c>
    </row>
    <row r="13">
      <c r="A13" s="55" t="inlineStr">
        <is>
          <t>G-05</t>
        </is>
      </c>
      <c r="B13" s="55" t="inlineStr">
        <is>
          <t>Superficie NDVI vs. catálogo</t>
        </is>
      </c>
      <c r="C13" s="55" t="inlineStr">
        <is>
          <t>La superficie clasificada por el NDVI mediana 2025 (26.833 ha) se desvía 0.01 % de la superficie de catálogo (26.83 ha).</t>
        </is>
      </c>
      <c r="D13" s="55" t="inlineStr">
        <is>
          <t>CONFORME</t>
        </is>
      </c>
      <c r="E13" s="55" t="inlineStr">
        <is>
          <t>Sin acción: la segmentación valida la geometría del bloque.</t>
        </is>
      </c>
    </row>
    <row r="14">
      <c r="A14" s="56" t="inlineStr">
        <is>
          <t>G-06</t>
        </is>
      </c>
      <c r="B14" s="56" t="inlineStr">
        <is>
          <t>Superficie MSAVI vs. catálogo</t>
        </is>
      </c>
      <c r="C14" s="56" t="inlineStr">
        <is>
          <t>La superficie clasificada por el MSAVI 2024 (26.826 ha) se desvía -0.01 % de la superficie de catálogo (26.83 ha).</t>
        </is>
      </c>
      <c r="D14" s="56" t="inlineStr">
        <is>
          <t>CONFORME</t>
        </is>
      </c>
      <c r="E14" s="56" t="inlineStr">
        <is>
          <t>Sin acción: la segmentación valida la geometría del bloque.</t>
        </is>
      </c>
    </row>
    <row r="15">
      <c r="A15" s="55" t="inlineStr">
        <is>
          <t>G-07</t>
        </is>
      </c>
      <c r="B15" s="55" t="inlineStr">
        <is>
          <t>Brecha espectral MSAVI</t>
        </is>
      </c>
      <c r="C15" s="55" t="inlineStr">
        <is>
          <t>El 21.10 % del bloque queda bajo el umbral 0.4976; superficie de brecha 5.6596 ha.</t>
        </is>
      </c>
      <c r="D15" s="55" t="inlineStr">
        <is>
          <t>CONFORME</t>
        </is>
      </c>
      <c r="E15" s="55" t="inlineStr">
        <is>
          <t>Sin acción: alimenta el indicador de brecha del proyecto.</t>
        </is>
      </c>
    </row>
    <row r="16">
      <c r="A16" s="56" t="inlineStr">
        <is>
          <t>G-08</t>
        </is>
      </c>
      <c r="B16" s="56" t="inlineStr">
        <is>
          <t>Distribución areal MSAVI 2024</t>
        </is>
      </c>
      <c r="C16" s="56" t="inlineStr">
        <is>
          <t>La hoja de cobertura declara 5 clases DN con superficie, 26.83 ha clasificadas en total.</t>
        </is>
      </c>
      <c r="D16" s="56" t="inlineStr">
        <is>
          <t>CONFORME</t>
        </is>
      </c>
      <c r="E16" s="56" t="inlineStr">
        <is>
          <t>Sin acción: procede de la estadística zonal del raster MSAVI 2024 clasificado.</t>
        </is>
      </c>
    </row>
    <row r="17">
      <c r="A17" s="55" t="inlineStr">
        <is>
          <t>G-09</t>
        </is>
      </c>
      <c r="B17" s="55" t="inlineStr">
        <is>
          <t>Media MSAVI vs. clase DN dominante</t>
        </is>
      </c>
      <c r="C17" s="55" t="inlineStr">
        <is>
          <t>La media del bloque (0.6112) cae en la clase «0.4976 - 0.6139 (Vigor moderado)» y la clase DN dominante por superficie es «DN 5 · &gt; 0.6139 (Vigor alto)».</t>
        </is>
      </c>
      <c r="D17" s="55" t="inlineStr">
        <is>
          <t>NO SUSTANTIVA</t>
        </is>
      </c>
      <c r="E17" s="55" t="inlineStr">
        <is>
          <t>Se declaran ambas lecturas: la media resume el bloque y la clase dominante su reparto areal.</t>
        </is>
      </c>
    </row>
    <row r="18">
      <c r="A18" s="56" t="inlineStr">
        <is>
          <t>G-10</t>
        </is>
      </c>
      <c r="B18" s="56" t="inlineStr">
        <is>
          <t>Peligro integrado (MCA-AHP)</t>
        </is>
      </c>
      <c r="C18" s="56" t="inlineStr">
        <is>
          <t>El nivel de peligro integrado no está disponible en los insumos de este entregable.</t>
        </is>
      </c>
      <c r="D18" s="56" t="inlineStr">
        <is>
          <t>SUSTANTIVA</t>
        </is>
      </c>
      <c r="E18" s="56" t="inlineStr">
        <is>
          <t>Debe tomarse del modelamiento de mesolocalización (MCA-AHP de PMM, EPH y PGI) antes de cerrar el perfil.</t>
        </is>
      </c>
    </row>
    <row r="19">
      <c r="A19" s="55" t="inlineStr">
        <is>
          <t>I-01</t>
        </is>
      </c>
      <c r="B19" s="55" t="inlineStr">
        <is>
          <t>Comunidad campesina</t>
        </is>
      </c>
      <c r="C19" s="55" t="inlineStr">
        <is>
          <t>El libro de resumen V6 consignaba «No consignada»; la ficha de campo vigente declara «No registrada en campo (por verificar)».</t>
        </is>
      </c>
      <c r="D19" s="55" t="inlineStr">
        <is>
          <t>CORREGIDO</t>
        </is>
      </c>
      <c r="E19" s="55" t="inlineStr">
        <is>
          <t>Se adopta el valor de campo por ser la fuente que manda sobre el dato y la más reciente. El valor anterior queda declarado para trazabilidad.</t>
        </is>
      </c>
    </row>
    <row r="20">
      <c r="A20" s="56" t="inlineStr">
        <is>
          <t>I-02</t>
        </is>
      </c>
      <c r="B20" s="56" t="inlineStr">
        <is>
          <t>Nivel general de erosión</t>
        </is>
      </c>
      <c r="C20" s="56" t="inlineStr">
        <is>
          <t>El libro de resumen V6 consignaba «Ficha F-DT-02 SIN CONTENIDO en el documento de origen. Evidencia narrativa F-DT-01: surcos abundantes y cárcavas medianas y en formación (e…»; la ficha de campo vigente declara «Fuerte (cárcavas incipientes)».</t>
        </is>
      </c>
      <c r="D20" s="56" t="inlineStr">
        <is>
          <t>CORREGIDO</t>
        </is>
      </c>
      <c r="E20" s="56" t="inlineStr">
        <is>
          <t>Se adopta el valor de campo por ser la fuente que manda sobre el dato y la más reciente. El valor anterior queda declarado para trazabilidad.</t>
        </is>
      </c>
    </row>
    <row r="21">
      <c r="A21" s="55" t="inlineStr">
        <is>
          <t>I-03</t>
        </is>
      </c>
      <c r="B21" s="55" t="inlineStr">
        <is>
          <t>N.° de cárcavas registradas</t>
        </is>
      </c>
      <c r="C21" s="55" t="inlineStr">
        <is>
          <t>El libro de resumen V6 consignaba «No inventariadas (F-DT-02 sin contenido)»; la ficha de campo vigente declara «4».</t>
        </is>
      </c>
      <c r="D21" s="55" t="inlineStr">
        <is>
          <t>CORREGIDO</t>
        </is>
      </c>
      <c r="E21" s="55" t="inlineStr">
        <is>
          <t>Se adopta el valor de campo por ser la fuente que manda sobre el dato y la más reciente. El valor anterior queda declarado para trazabilidad.</t>
        </is>
      </c>
    </row>
    <row r="22">
      <c r="A22" s="56" t="inlineStr">
        <is>
          <t>I-04</t>
        </is>
      </c>
      <c r="B22" s="56" t="inlineStr">
        <is>
          <t>Tipo de ecosistema (UP)</t>
        </is>
      </c>
      <c r="C22" s="56" t="inlineStr">
        <is>
          <t>El libro de resumen V6 consignaba «Bosque seco / matorral remanente en mosaico agropecuario (tipo MINAM no consignado en ficha)»; la ficha de campo vigente declara «Agroecosistema / Mosaico».</t>
        </is>
      </c>
      <c r="D22" s="56" t="inlineStr">
        <is>
          <t>CORREGIDO</t>
        </is>
      </c>
      <c r="E22" s="56" t="inlineStr">
        <is>
          <t>Se adopta el valor de campo por ser la fuente que manda sobre el dato y la más reciente. El valor anterior queda declarado para trazabilidad.</t>
        </is>
      </c>
    </row>
    <row r="23">
      <c r="A23" s="55" t="inlineStr">
        <is>
          <t>I-05</t>
        </is>
      </c>
      <c r="B23" s="55" t="inlineStr">
        <is>
          <t>Elenco florístico (n.o de taxones)</t>
        </is>
      </c>
      <c r="C23" s="55" t="inlineStr">
        <is>
          <t>El libro de resumen V6 consignaba «6»; la ficha de campo vigente declara «9».</t>
        </is>
      </c>
      <c r="D23" s="55" t="inlineStr">
        <is>
          <t>CORREGIDO</t>
        </is>
      </c>
      <c r="E23" s="55" t="inlineStr">
        <is>
          <t>Se adopta el valor de campo por ser la fuente que manda sobre el dato y la más reciente. El valor anterior queda declarado para trazabilidad.</t>
        </is>
      </c>
    </row>
    <row r="24">
      <c r="A24" s="56" t="inlineStr">
        <is>
          <t>I-06</t>
        </is>
      </c>
      <c r="B24" s="56" t="inlineStr">
        <is>
          <t>Causa subyacente principal</t>
        </is>
      </c>
      <c r="C24" s="56" t="inlineStr">
        <is>
          <t>El libro de resumen V6 consignaba «No consignada en la ficha»; la ficha de campo vigente declara «Presión económica de la actividad agropecuaria familiar de subsistencia, que amplía potreros y parcelas de maíz sobre laderas de fuerte pen…».</t>
        </is>
      </c>
      <c r="D24" s="56" t="inlineStr">
        <is>
          <t>CORREGIDO</t>
        </is>
      </c>
      <c r="E24" s="56" t="inlineStr">
        <is>
          <t>Se adopta el valor de campo por ser la fuente que manda sobre el dato y la más reciente. El valor anterior queda declarado para trazabilidad.</t>
        </is>
      </c>
    </row>
    <row r="25">
      <c r="A25" s="55" t="inlineStr">
        <is>
          <t>I-07</t>
        </is>
      </c>
      <c r="B25" s="55" t="inlineStr">
        <is>
          <t>Zona de recarga hídrica</t>
        </is>
      </c>
      <c r="C25" s="55" t="inlineStr">
        <is>
          <t>El libro de resumen V6 consignaba «Sin registro en ficha»; la ficha de campo vigente declara «No».</t>
        </is>
      </c>
      <c r="D25" s="55" t="inlineStr">
        <is>
          <t>CORREGIDO</t>
        </is>
      </c>
      <c r="E25" s="55" t="inlineStr">
        <is>
          <t>Se adopta el valor de campo por ser la fuente que manda sobre el dato y la más reciente. El valor anterior queda declarado para trazabilidad.</t>
        </is>
      </c>
    </row>
    <row r="26">
      <c r="A26" s="56" t="inlineStr">
        <is>
          <t>I-08</t>
        </is>
      </c>
      <c r="B26" s="56" t="inlineStr">
        <is>
          <t>Modalidad de acceso</t>
        </is>
      </c>
      <c r="C26" s="56" t="inlineStr">
        <is>
          <t>El libro de resumen V6 consignaba «Sin registro en ficha»; la ficha de campo vigente declara «Vehicular + caminata &lt;30 min».</t>
        </is>
      </c>
      <c r="D26" s="56" t="inlineStr">
        <is>
          <t>CORREGIDO</t>
        </is>
      </c>
      <c r="E26" s="56" t="inlineStr">
        <is>
          <t>Se adopta el valor de campo por ser la fuente que manda sobre el dato y la más reciente. El valor anterior queda declarado para trazabilidad.</t>
        </is>
      </c>
    </row>
    <row r="27">
      <c r="A27" s="55" t="inlineStr">
        <is>
          <t>I-09</t>
        </is>
      </c>
      <c r="B27" s="55" t="inlineStr">
        <is>
          <t>Responsable de la evaluación</t>
        </is>
      </c>
      <c r="C27" s="55" t="inlineStr">
        <is>
          <t>El libro de resumen V6 consignaba «Juan Domínguez»; la ficha de campo vigente declara «Ing. Héctor Salomón Cahuas Miller».</t>
        </is>
      </c>
      <c r="D27" s="55" t="inlineStr">
        <is>
          <t>CORREGIDO</t>
        </is>
      </c>
      <c r="E27" s="55" t="inlineStr">
        <is>
          <t>Se adopta el valor de campo por ser la fuente que manda sobre el dato y la más reciente. El valor anterior queda declarado para trazabilidad.</t>
        </is>
      </c>
    </row>
    <row r="28">
      <c r="A28" s="56" t="inlineStr">
        <is>
          <t>I-10</t>
        </is>
      </c>
      <c r="B28" s="56" t="inlineStr">
        <is>
          <t>Correlativo de ficha</t>
        </is>
      </c>
      <c r="C28" s="56" t="inlineStr">
        <is>
          <t>El libro de resumen V6 consignaba «F-DT/B61/2026»; la ficha de campo vigente declara «F-DT-61/2026».</t>
        </is>
      </c>
      <c r="D28" s="56" t="inlineStr">
        <is>
          <t>CORREGIDO</t>
        </is>
      </c>
      <c r="E28" s="56" t="inlineStr">
        <is>
          <t>Se adopta el valor de campo por ser la fuente que manda sobre el dato y la más reciente. El valor anterior queda declarado para trazabilidad.</t>
        </is>
      </c>
    </row>
    <row r="29">
      <c r="A29" s="55" t="inlineStr">
        <is>
          <t>F-01</t>
        </is>
      </c>
      <c r="B29" s="55" t="inlineStr">
        <is>
          <t>Fichas F-DT levantadas</t>
        </is>
      </c>
      <c r="C29" s="55" t="inlineStr">
        <is>
          <t>La plantilla de campo trae las cinco fichas F-DT-01 a F-DT-05 (completitud 96.4 % de los campos esperados).</t>
        </is>
      </c>
      <c r="D29" s="55" t="inlineStr">
        <is>
          <t>CONFORME</t>
        </is>
      </c>
      <c r="E29" s="55" t="inlineStr">
        <is>
          <t>Sin acción.</t>
        </is>
      </c>
    </row>
    <row r="30">
      <c r="A30" s="56" t="inlineStr">
        <is>
          <t>F-02</t>
        </is>
      </c>
      <c r="B30" s="56" t="inlineStr">
        <is>
          <t>Cobertura de la integración</t>
        </is>
      </c>
      <c r="C30" s="56" t="inlineStr">
        <is>
          <t>Se declararon 104 de 114 hechos integrados (91.2 %); 10 quedan sin dato en ninguna fuente.</t>
        </is>
      </c>
      <c r="D30" s="56" t="inlineStr">
        <is>
          <t>CONFORME</t>
        </is>
      </c>
      <c r="E30" s="56" t="inlineStr">
        <is>
          <t>Sin acción.</t>
        </is>
      </c>
    </row>
    <row r="31">
      <c r="A31" s="55" t="inlineStr">
        <is>
          <t>H-01</t>
        </is>
      </c>
      <c r="B31" s="55" t="inlineStr">
        <is>
          <t>Dimensiones del inventario de cárcavas</t>
        </is>
      </c>
      <c r="C31" s="55" t="inlineStr">
        <is>
          <t>Se registran No inventariadas (F-DT-02 sin contenido) rasgos erosivos, pero longitud, profundidad y ancho no fueron medidos instrumentalmente</t>
        </is>
      </c>
      <c r="D31" s="55" t="inlineStr">
        <is>
          <t>NO SUSTANTIVA</t>
        </is>
      </c>
      <c r="E31" s="55" t="inlineStr">
        <is>
          <t>El conteo registrado no debe usarse para calcular densidad de cárcavas por hectárea. Pendiente de levantamiento con GPS submétrico. (Verificación heredada de la ficha de resumen V6.)</t>
        </is>
      </c>
    </row>
    <row r="32">
      <c r="A32" s="56" t="inlineStr">
        <is>
          <t>H-02</t>
        </is>
      </c>
      <c r="B32" s="56" t="inlineStr">
        <is>
          <t>Representatividad del levantamiento</t>
        </is>
      </c>
      <c r="C32" s="56" t="inlineStr">
        <is>
          <t>Ninguna de las estaciones fotográficas georreferenciadas se localiza dentro del polígono del bloque</t>
        </is>
      </c>
      <c r="D32" s="56" t="inlineStr">
        <is>
          <t>SUSTANTIVA</t>
        </is>
      </c>
      <c r="E32" s="56" t="inlineStr">
        <is>
          <t>La verificación documenta el perímetro y la vista panorámica del bloque, no su interior. Los parámetros que exigen recorrido interno se consignan «Por determinar». (Verificación heredada de la ficha de resumen V6.)</t>
        </is>
      </c>
    </row>
    <row r="33">
      <c r="A33" s="55" t="inlineStr">
        <is>
          <t>H-03</t>
        </is>
      </c>
      <c r="B33" s="55" t="inlineStr">
        <is>
          <t>Centro poblado asociado</t>
        </is>
      </c>
      <c r="C33" s="55" t="inlineStr">
        <is>
          <t>La ficha DT declara «Pedregal»; el cruce INEI-Bloques V5 identifica 1 centro(s) poblado(s) en el bloque: PEDREGAL</t>
        </is>
      </c>
      <c r="D33" s="55" t="inlineStr">
        <is>
          <t>CONFORME</t>
        </is>
      </c>
      <c r="E33" s="55" t="inlineStr">
        <is>
          <t>Se conserva el registro de campo como referencia y se adopta el listado INEI para el diagnóstico social y el cálculo de población beneficiaria. (Verificación heredada de la ficha de resumen V6.)</t>
        </is>
      </c>
    </row>
    <row r="34">
      <c r="A34" s="56" t="inlineStr">
        <is>
          <t>H-04</t>
        </is>
      </c>
      <c r="B34" s="56" t="inlineStr">
        <is>
          <t>Ficha DT</t>
        </is>
      </c>
      <c r="C34" s="56" t="inlineStr">
        <is>
          <t>La ficha consigna microcuenca C1076-Q9584; el catálogo maestro asigna al bloque 61 la microcuenca C1081-Q9590</t>
        </is>
      </c>
      <c r="D34" s="56" t="inlineStr">
        <is>
          <t>SUSTANTIVA</t>
        </is>
      </c>
      <c r="E34" s="56" t="inlineStr">
        <is>
          <t>Valor por defecto de la plantilla; se conserva el del catálogo (Verificación heredada de la ficha de resumen V6.)</t>
        </is>
      </c>
    </row>
    <row r="35">
      <c r="A35" s="55" t="inlineStr">
        <is>
          <t>H-05</t>
        </is>
      </c>
      <c r="B35" s="55" t="inlineStr">
        <is>
          <t>F-DT-02</t>
        </is>
      </c>
      <c r="C35" s="55" t="inlineStr">
        <is>
          <t>Sección SIN CONTENIDO en el PDF de origen</t>
        </is>
      </c>
      <c r="D35" s="55" t="inlineStr">
        <is>
          <t>SUSTANTIVA</t>
        </is>
      </c>
      <c r="E35" s="55" t="inlineStr">
        <is>
          <t>Levantamiento de suelo y procesos erosivos pendiente en su totalidad (Verificación heredada de la ficha de resumen V6.)</t>
        </is>
      </c>
    </row>
    <row r="36">
      <c r="A36" s="56" t="inlineStr">
        <is>
          <t>H-06</t>
        </is>
      </c>
      <c r="B36" s="56" t="inlineStr">
        <is>
          <t>F-DT-04</t>
        </is>
      </c>
      <c r="C36" s="56" t="inlineStr">
        <is>
          <t>Ningún indicador cuantitativo de degradación fue diligenciado (8/8 vacíos)</t>
        </is>
      </c>
      <c r="D36" s="56" t="inlineStr">
        <is>
          <t>SUSTANTIVA</t>
        </is>
      </c>
      <c r="E36" s="56" t="inlineStr">
        <is>
          <t>Cuantificación pendiente (Verificación heredada de la ficha de resumen V6.)</t>
        </is>
      </c>
    </row>
    <row r="37">
      <c r="A37" s="55" t="inlineStr">
        <is>
          <t>H-07</t>
        </is>
      </c>
      <c r="B37" s="55" t="inlineStr">
        <is>
          <t>F-DT-05</t>
        </is>
      </c>
      <c r="C37" s="55" t="inlineStr">
        <is>
          <t>Sección SIN REGISTROS en el PDF de origen</t>
        </is>
      </c>
      <c r="D37" s="55" t="inlineStr">
        <is>
          <t>SUSTANTIVA</t>
        </is>
      </c>
      <c r="E37" s="55" t="inlineStr">
        <is>
          <t>Recursos hídricos y accesibilidad pendientes en su totalidad (Verificación heredada de la ficha de resumen V6.)</t>
        </is>
      </c>
    </row>
    <row r="38">
      <c r="A38" s="56" t="inlineStr">
        <is>
          <t>H-08</t>
        </is>
      </c>
      <c r="B38" s="56" t="inlineStr">
        <is>
          <t>F-DT-03</t>
        </is>
      </c>
      <c r="C38" s="56" t="inlineStr">
        <is>
          <t>Nombres científicos y familias no consignados para los 6 taxones registrados</t>
        </is>
      </c>
      <c r="D38" s="56" t="inlineStr">
        <is>
          <t>NO SUSTANTIVA</t>
        </is>
      </c>
      <c r="E38" s="56" t="inlineStr">
        <is>
          <t>Determinación botánica pendiente (Verificación heredada de la ficha de resumen V6.)</t>
        </is>
      </c>
    </row>
    <row r="40">
      <c r="A40" s="57" t="inlineStr">
        <is>
          <t>RESUMEN</t>
        </is>
      </c>
      <c r="B40" s="58" t="inlineStr">
        <is>
          <t>30 verificaciones</t>
        </is>
      </c>
      <c r="C40" s="58" t="inlineStr">
        <is>
          <t>SUSTANTIVA: 6 · NO SUSTANTIVA: 3 · CORREGIDO: 10 · CONFORME: 11</t>
        </is>
      </c>
    </row>
    <row r="42">
      <c r="A42" s="59" t="inlineStr">
        <is>
          <t>NOTA METODOLÓGICA. Este control se genera del cruce automático entre la plantilla DT de campo vigente (fichas F-DT-01 a F-DT-05) y la ficha de resumen de gabinete. Cada hecho territorial se declara una sola vez, con la fuente que manda sobre el: campo para lo observado en terreno, gabinete para lo derivado del MDE y de los compuestos Sentinel-2, y fuente oficial para el catálogo maestro de bloques, la división política INEI y la codificación de microcuencas de la ANA. Ningún valor ausente se estima: lo que ninguna fuente declara se consigna como pendiente. Sistema de referencia UTM WGS 84 Zona 17S (EPSG:32717).</t>
        </is>
      </c>
    </row>
  </sheetData>
  <mergeCells count="7">
    <mergeCell ref="A4:E4"/>
    <mergeCell ref="A2:E2"/>
    <mergeCell ref="A42:E42"/>
    <mergeCell ref="A1:E1"/>
    <mergeCell ref="A5:E5"/>
    <mergeCell ref="A6:E6"/>
    <mergeCell ref="A3:E3"/>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72"/>
  <sheetViews>
    <sheetView workbookViewId="0">
      <selection activeCell="A1" sqref="A1"/>
    </sheetView>
  </sheetViews>
  <sheetFormatPr baseColWidth="8" defaultRowHeight="15"/>
  <cols>
    <col width="34" customWidth="1" min="1" max="1"/>
    <col width="38" customWidth="1" min="2" max="2"/>
    <col width="44" customWidth="1" min="3" max="3"/>
    <col width="44" customWidth="1" min="4" max="4"/>
    <col width="24" customWidth="1" min="5" max="5"/>
    <col width="18" customWidth="1" min="6" max="6"/>
  </cols>
  <sheetData>
    <row r="1">
      <c r="A1" s="50" t="inlineStr">
        <is>
          <t>AUTORIDAD NACIONAL DE INFRAESTRUCTURA - ANIN</t>
        </is>
      </c>
    </row>
    <row r="2">
      <c r="A2" s="50" t="inlineStr">
        <is>
          <t>DIRECCION DE INTERVENCIONES MULTISECTORIALES Y DE EMERGENCIA - DIME</t>
        </is>
      </c>
    </row>
    <row r="3">
      <c r="A3" s="50" t="inlineStr">
        <is>
          <t>SUBDIRECCION DE ESTUDIOS DE INVERSION - SESDI</t>
        </is>
      </c>
    </row>
    <row r="4">
      <c r="A4" s="51" t="inlineStr">
        <is>
          <t>PROYECTO IN PIURA | CUI 2669244 | Recuperacion del servicio de regulacion de riesgos naturales y de ecosistemas degradados - Cuenca Alta del Rio Piura</t>
        </is>
      </c>
    </row>
    <row r="5" ht="22" customHeight="1">
      <c r="A5" s="52" t="inlineStr">
        <is>
          <t>INTEGRACIÓN DE LA FICHA DE CAMPO — BLOQUE 61</t>
        </is>
      </c>
    </row>
    <row r="7">
      <c r="A7" s="53" t="inlineStr">
        <is>
          <t>A. HECHOS ACTUALIZADOS POR LA VERIFICACIÓN DE CAMPO</t>
        </is>
      </c>
    </row>
    <row r="8">
      <c r="A8" s="54" t="inlineStr">
        <is>
          <t>Sección</t>
        </is>
      </c>
      <c r="B8" s="54" t="inlineStr">
        <is>
          <t>Hecho</t>
        </is>
      </c>
      <c r="C8" s="54" t="inlineStr">
        <is>
          <t>Valor en la ficha V6</t>
        </is>
      </c>
      <c r="D8" s="54" t="inlineStr">
        <is>
          <t>Valor de campo vigente</t>
        </is>
      </c>
      <c r="E8" s="54" t="inlineStr">
        <is>
          <t>Fuente que manda</t>
        </is>
      </c>
    </row>
    <row r="9">
      <c r="A9" s="55" t="inlineStr">
        <is>
          <t>1. Identificación y localización</t>
        </is>
      </c>
      <c r="B9" s="55" t="inlineStr">
        <is>
          <t>Comunidad campesina</t>
        </is>
      </c>
      <c r="C9" s="55" t="inlineStr">
        <is>
          <t>No consignada</t>
        </is>
      </c>
      <c r="D9" s="55" t="inlineStr">
        <is>
          <t>No registrada en campo (por verificar)</t>
        </is>
      </c>
      <c r="E9" s="55" t="inlineStr">
        <is>
          <t>Dato de campo</t>
        </is>
      </c>
    </row>
    <row r="10">
      <c r="A10" s="56" t="inlineStr">
        <is>
          <t>4. Suelos y erosión (F-DT-02)</t>
        </is>
      </c>
      <c r="B10" s="56" t="inlineStr">
        <is>
          <t>Nivel general de erosión</t>
        </is>
      </c>
      <c r="C10" s="56" t="inlineStr">
        <is>
          <t>Ficha F-DT-02 SIN CONTENIDO en el documento de origen. Evidencia narrativa F-DT-01: surcos abundantes y cárcavas medianas y en formación (erosión hídrica activa)</t>
        </is>
      </c>
      <c r="D10" s="56" t="inlineStr">
        <is>
          <t>Fuerte (cárcavas incipientes)</t>
        </is>
      </c>
      <c r="E10" s="56" t="inlineStr">
        <is>
          <t>Dato de campo</t>
        </is>
      </c>
    </row>
    <row r="11">
      <c r="A11" s="55" t="inlineStr">
        <is>
          <t>4. Suelos y erosión (F-DT-02)</t>
        </is>
      </c>
      <c r="B11" s="55" t="inlineStr">
        <is>
          <t>N.° de cárcavas registradas</t>
        </is>
      </c>
      <c r="C11" s="55" t="inlineStr">
        <is>
          <t>No inventariadas (F-DT-02 sin contenido)</t>
        </is>
      </c>
      <c r="D11" s="55" t="inlineStr">
        <is>
          <t>4</t>
        </is>
      </c>
      <c r="E11" s="55" t="inlineStr">
        <is>
          <t>Dato de campo</t>
        </is>
      </c>
    </row>
    <row r="12">
      <c r="A12" s="56" t="inlineStr">
        <is>
          <t>5. Ecosistema, cobertura y flora (F-DT-03)</t>
        </is>
      </c>
      <c r="B12" s="56" t="inlineStr">
        <is>
          <t>Tipo de ecosistema (UP)</t>
        </is>
      </c>
      <c r="C12" s="56" t="inlineStr">
        <is>
          <t>Bosque seco / matorral remanente en mosaico agropecuario (tipo MINAM no consignado en ficha)</t>
        </is>
      </c>
      <c r="D12" s="56" t="inlineStr">
        <is>
          <t>Agroecosistema / Mosaico</t>
        </is>
      </c>
      <c r="E12" s="56" t="inlineStr">
        <is>
          <t>Dato de campo</t>
        </is>
      </c>
    </row>
    <row r="13">
      <c r="A13" s="55" t="inlineStr">
        <is>
          <t>5. Ecosistema, cobertura y flora (F-DT-03)</t>
        </is>
      </c>
      <c r="B13" s="55" t="inlineStr">
        <is>
          <t>Elenco florístico (n.o de taxones)</t>
        </is>
      </c>
      <c r="C13" s="55" t="inlineStr">
        <is>
          <t>6</t>
        </is>
      </c>
      <c r="D13" s="55" t="inlineStr">
        <is>
          <t>9</t>
        </is>
      </c>
      <c r="E13" s="55" t="inlineStr">
        <is>
          <t>Dato de campo</t>
        </is>
      </c>
    </row>
    <row r="14">
      <c r="A14" s="56" t="inlineStr">
        <is>
          <t>6. Degradación, causas y urgencia (F-DT-04)</t>
        </is>
      </c>
      <c r="B14" s="56" t="inlineStr">
        <is>
          <t>Causa subyacente principal</t>
        </is>
      </c>
      <c r="C14" s="56" t="inlineStr">
        <is>
          <t>No consignada en la ficha</t>
        </is>
      </c>
      <c r="D14" s="56" t="inlineStr">
        <is>
          <t>Presión económica de la actividad agropecuaria familiar de subsistencia, que amplía potreros y parcelas de maíz sobre laderas de fuerte pendiente sin prácticas de conservación de suelos, en un contexto de ausencia de asistencia técnica, de alternativas productivas y de instrumentos de ordenamiento del uso del suelo a escala comunal.</t>
        </is>
      </c>
      <c r="E14" s="56" t="inlineStr">
        <is>
          <t>Dato de campo</t>
        </is>
      </c>
    </row>
    <row r="15">
      <c r="A15" s="55" t="inlineStr">
        <is>
          <t>7. Hidrología, acceso y logística (F-DT-05)</t>
        </is>
      </c>
      <c r="B15" s="55" t="inlineStr">
        <is>
          <t>Zona de recarga hídrica</t>
        </is>
      </c>
      <c r="C15" s="55" t="inlineStr">
        <is>
          <t>Sin registro en ficha</t>
        </is>
      </c>
      <c r="D15" s="55" t="inlineStr">
        <is>
          <t>No</t>
        </is>
      </c>
      <c r="E15" s="55" t="inlineStr">
        <is>
          <t>Dato de campo</t>
        </is>
      </c>
    </row>
    <row r="16">
      <c r="A16" s="56" t="inlineStr">
        <is>
          <t>7. Hidrología, acceso y logística (F-DT-05)</t>
        </is>
      </c>
      <c r="B16" s="56" t="inlineStr">
        <is>
          <t>Modalidad de acceso</t>
        </is>
      </c>
      <c r="C16" s="56" t="inlineStr">
        <is>
          <t>Sin registro en ficha</t>
        </is>
      </c>
      <c r="D16" s="56" t="inlineStr">
        <is>
          <t>Vehicular + caminata &lt;30 min</t>
        </is>
      </c>
      <c r="E16" s="56" t="inlineStr">
        <is>
          <t>Dato de campo</t>
        </is>
      </c>
    </row>
    <row r="17">
      <c r="A17" s="55" t="inlineStr">
        <is>
          <t>8. Responsable y modalidad de la evaluación</t>
        </is>
      </c>
      <c r="B17" s="55" t="inlineStr">
        <is>
          <t>Responsable de la evaluación</t>
        </is>
      </c>
      <c r="C17" s="55" t="inlineStr">
        <is>
          <t>Juan Domínguez</t>
        </is>
      </c>
      <c r="D17" s="55" t="inlineStr">
        <is>
          <t>Ing. Héctor Salomón Cahuas Miller</t>
        </is>
      </c>
      <c r="E17" s="55" t="inlineStr">
        <is>
          <t>Dato de campo</t>
        </is>
      </c>
    </row>
    <row r="18">
      <c r="A18" s="56" t="inlineStr">
        <is>
          <t>8. Responsable y modalidad de la evaluación</t>
        </is>
      </c>
      <c r="B18" s="56" t="inlineStr">
        <is>
          <t>Correlativo de ficha</t>
        </is>
      </c>
      <c r="C18" s="56" t="inlineStr">
        <is>
          <t>F-DT/B61/2026</t>
        </is>
      </c>
      <c r="D18" s="56" t="inlineStr">
        <is>
          <t>F-DT-61/2026</t>
        </is>
      </c>
      <c r="E18" s="56" t="inlineStr">
        <is>
          <t>Dato de campo</t>
        </is>
      </c>
    </row>
    <row r="20">
      <c r="A20" s="53" t="inlineStr">
        <is>
          <t>B. HECHOS APORTADOS ÚNICAMENTE POR LA FICHA DE CAMPO</t>
        </is>
      </c>
    </row>
    <row r="21">
      <c r="A21" s="54" t="inlineStr">
        <is>
          <t>Sección</t>
        </is>
      </c>
      <c r="B21" s="54" t="inlineStr">
        <is>
          <t>Hecho</t>
        </is>
      </c>
      <c r="C21" s="54" t="inlineStr">
        <is>
          <t>Valor</t>
        </is>
      </c>
      <c r="D21" s="54" t="inlineStr">
        <is>
          <t>Unidad</t>
        </is>
      </c>
    </row>
    <row r="22">
      <c r="A22" s="55" t="inlineStr">
        <is>
          <t>1. Identificación y localización</t>
        </is>
      </c>
      <c r="B22" s="55" t="inlineStr">
        <is>
          <t>UTM ESTE del punto de muestreo (m)</t>
        </is>
      </c>
      <c r="C22" s="55" t="inlineStr">
        <is>
          <t>646000</t>
        </is>
      </c>
      <c r="D22" s="55" t="inlineStr">
        <is>
          <t>m</t>
        </is>
      </c>
    </row>
    <row r="23">
      <c r="A23" s="56" t="inlineStr">
        <is>
          <t>1. Identificación y localización</t>
        </is>
      </c>
      <c r="B23" s="56" t="inlineStr">
        <is>
          <t>UTM NORTE del punto de muestreo (m)</t>
        </is>
      </c>
      <c r="C23" s="56" t="inlineStr">
        <is>
          <t>9424841</t>
        </is>
      </c>
      <c r="D23" s="56" t="inlineStr">
        <is>
          <t>m</t>
        </is>
      </c>
    </row>
    <row r="24">
      <c r="A24" s="55" t="inlineStr">
        <is>
          <t>2. Parámetros físicos del terreno</t>
        </is>
      </c>
      <c r="B24" s="55" t="inlineStr">
        <is>
          <t>Altitud GPS del punto de muestreo (msnm)</t>
        </is>
      </c>
      <c r="C24" s="55" t="inlineStr">
        <is>
          <t>1120</t>
        </is>
      </c>
      <c r="D24" s="55" t="inlineStr">
        <is>
          <t>msnm</t>
        </is>
      </c>
    </row>
    <row r="25">
      <c r="A25" s="56" t="inlineStr">
        <is>
          <t>2. Parámetros físicos del terreno</t>
        </is>
      </c>
      <c r="B25" s="56" t="inlineStr">
        <is>
          <t>Piso altitudinal del punto de muestreo</t>
        </is>
      </c>
      <c r="C25" s="56" t="inlineStr">
        <is>
          <t>1000-1500 m (Quechua baja)</t>
        </is>
      </c>
      <c r="D25" s="56" t="inlineStr"/>
    </row>
    <row r="26">
      <c r="A26" s="55" t="inlineStr">
        <is>
          <t>2. Parámetros físicos del terreno</t>
        </is>
      </c>
      <c r="B26" s="55" t="inlineStr">
        <is>
          <t>Paisaje dominante descrito en campo</t>
        </is>
      </c>
      <c r="C26" s="55" t="inlineStr">
        <is>
          <t>Sistema de laderas convexo-cóncavas tributarias de la quebrada Q9590 (microcuenca C1081-Q9590), con altitudes de 1,080 a 1,320 m s. n. m. y desniveles internos. Paisaje de montaña dominado por un mosaico de Matorral andino (Ma) y Zona agrícola (Agri), sobre el talud superior de una vía vecinal afirmada que interconecta centros poblados del distrito de Lalaquiz.</t>
        </is>
      </c>
      <c r="D26" s="55" t="inlineStr"/>
    </row>
    <row r="27">
      <c r="A27" s="56" t="inlineStr">
        <is>
          <t>2. Parámetros físicos del terreno</t>
        </is>
      </c>
      <c r="B27" s="56" t="inlineStr">
        <is>
          <t>Reptación de suelo</t>
        </is>
      </c>
      <c r="C27" s="56" t="inlineStr">
        <is>
          <t>Sí</t>
        </is>
      </c>
      <c r="D27" s="56" t="inlineStr"/>
    </row>
    <row r="28">
      <c r="A28" s="55" t="inlineStr">
        <is>
          <t>2. Parámetros físicos del terreno</t>
        </is>
      </c>
      <c r="B28" s="55" t="inlineStr">
        <is>
          <t>Deslizamientos antiguos</t>
        </is>
      </c>
      <c r="C28" s="55" t="inlineStr">
        <is>
          <t>Sí</t>
        </is>
      </c>
      <c r="D28" s="55" t="inlineStr"/>
    </row>
    <row r="29">
      <c r="A29" s="56" t="inlineStr">
        <is>
          <t>4. Suelos y erosión (F-DT-02)</t>
        </is>
      </c>
      <c r="B29" s="56" t="inlineStr">
        <is>
          <t>Nivel de erosión - síntesis de campo</t>
        </is>
      </c>
      <c r="C29" s="56" t="inlineStr">
        <is>
          <t>Fuerte (cárcavas incipientes)</t>
        </is>
      </c>
      <c r="D29" s="56" t="inlineStr"/>
    </row>
    <row r="30">
      <c r="A30" s="55" t="inlineStr">
        <is>
          <t>4. Suelos y erosión (F-DT-02)</t>
        </is>
      </c>
      <c r="B30" s="55" t="inlineStr">
        <is>
          <t>Sellamiento / costra superficial</t>
        </is>
      </c>
      <c r="C30" s="55" t="inlineStr">
        <is>
          <t>Sí</t>
        </is>
      </c>
      <c r="D30" s="55" t="inlineStr"/>
    </row>
    <row r="31">
      <c r="A31" s="56" t="inlineStr">
        <is>
          <t>4. Suelos y erosión (F-DT-02)</t>
        </is>
      </c>
      <c r="B31" s="56" t="inlineStr">
        <is>
          <t>Compactación por pisoteo</t>
        </is>
      </c>
      <c r="C31" s="56" t="inlineStr">
        <is>
          <t>Sí</t>
        </is>
      </c>
      <c r="D31" s="56" t="inlineStr"/>
    </row>
    <row r="32">
      <c r="A32" s="55" t="inlineStr">
        <is>
          <t>4. Suelos y erosión (F-DT-02)</t>
        </is>
      </c>
      <c r="B32" s="55" t="inlineStr">
        <is>
          <t>Raíces expuestas</t>
        </is>
      </c>
      <c r="C32" s="55" t="inlineStr">
        <is>
          <t>Sí</t>
        </is>
      </c>
      <c r="D32" s="55" t="inlineStr"/>
    </row>
    <row r="33">
      <c r="A33" s="56" t="inlineStr">
        <is>
          <t>4. Suelos y erosión (F-DT-02)</t>
        </is>
      </c>
      <c r="B33" s="56" t="inlineStr">
        <is>
          <t>% del bloque afectado por cárcavas</t>
        </is>
      </c>
      <c r="C33" s="56" t="inlineStr">
        <is>
          <t>15</t>
        </is>
      </c>
      <c r="D33" s="56" t="inlineStr">
        <is>
          <t>%</t>
        </is>
      </c>
    </row>
    <row r="34">
      <c r="A34" s="55" t="inlineStr">
        <is>
          <t>4. Suelos y erosión (F-DT-02)</t>
        </is>
      </c>
      <c r="B34" s="55" t="inlineStr">
        <is>
          <t>Erosión laminar (% del bloque)</t>
        </is>
      </c>
      <c r="C34" s="55" t="inlineStr">
        <is>
          <t>25</t>
        </is>
      </c>
      <c r="D34" s="55" t="inlineStr">
        <is>
          <t>%</t>
        </is>
      </c>
    </row>
    <row r="35">
      <c r="A35" s="56" t="inlineStr">
        <is>
          <t>4. Suelos y erosión (F-DT-02)</t>
        </is>
      </c>
      <c r="B35" s="56" t="inlineStr">
        <is>
          <t>Patrón de cárcavas</t>
        </is>
      </c>
      <c r="C35" s="56" t="inlineStr">
        <is>
          <t>Mixto</t>
        </is>
      </c>
      <c r="D35" s="56" t="inlineStr"/>
    </row>
    <row r="36">
      <c r="A36" s="55" t="inlineStr">
        <is>
          <t>4. Suelos y erosión (F-DT-02)</t>
        </is>
      </c>
      <c r="B36" s="55" t="inlineStr">
        <is>
          <t>Socavamiento de cauce</t>
        </is>
      </c>
      <c r="C36" s="55" t="inlineStr">
        <is>
          <t>No</t>
        </is>
      </c>
      <c r="D36" s="55" t="inlineStr"/>
    </row>
    <row r="37">
      <c r="A37" s="56" t="inlineStr">
        <is>
          <t>5. Ecosistema, cobertura y flora (F-DT-03)</t>
        </is>
      </c>
      <c r="B37" s="56" t="inlineStr">
        <is>
          <t>Cobertura del dosel (%)</t>
        </is>
      </c>
      <c r="C37" s="56" t="inlineStr">
        <is>
          <t>25</t>
        </is>
      </c>
      <c r="D37" s="56" t="inlineStr">
        <is>
          <t>%</t>
        </is>
      </c>
    </row>
    <row r="38">
      <c r="A38" s="55" t="inlineStr">
        <is>
          <t>5. Ecosistema, cobertura y flora (F-DT-03)</t>
        </is>
      </c>
      <c r="B38" s="55" t="inlineStr">
        <is>
          <t>Cobertura arbustiva (%)</t>
        </is>
      </c>
      <c r="C38" s="55" t="inlineStr">
        <is>
          <t>10</t>
        </is>
      </c>
      <c r="D38" s="55" t="inlineStr">
        <is>
          <t>%</t>
        </is>
      </c>
    </row>
    <row r="39">
      <c r="A39" s="56" t="inlineStr">
        <is>
          <t>5. Ecosistema, cobertura y flora (F-DT-03)</t>
        </is>
      </c>
      <c r="B39" s="56" t="inlineStr">
        <is>
          <t>Cobertura herbácea (%)</t>
        </is>
      </c>
      <c r="C39" s="56" t="inlineStr">
        <is>
          <t>15</t>
        </is>
      </c>
      <c r="D39" s="56" t="inlineStr">
        <is>
          <t>%</t>
        </is>
      </c>
    </row>
    <row r="40">
      <c r="A40" s="55" t="inlineStr">
        <is>
          <t>5. Ecosistema, cobertura y flora (F-DT-03)</t>
        </is>
      </c>
      <c r="B40" s="55" t="inlineStr">
        <is>
          <t>Cobertura de hojarasca (%)</t>
        </is>
      </c>
      <c r="C40" s="55" t="inlineStr">
        <is>
          <t>5</t>
        </is>
      </c>
      <c r="D40" s="55" t="inlineStr">
        <is>
          <t>%</t>
        </is>
      </c>
    </row>
    <row r="41">
      <c r="A41" s="56" t="inlineStr">
        <is>
          <t>5. Ecosistema, cobertura y flora (F-DT-03)</t>
        </is>
      </c>
      <c r="B41" s="56" t="inlineStr">
        <is>
          <t>Altura del estrato dominante (m)</t>
        </is>
      </c>
      <c r="C41" s="56" t="inlineStr">
        <is>
          <t>8</t>
        </is>
      </c>
      <c r="D41" s="56" t="inlineStr">
        <is>
          <t>m</t>
        </is>
      </c>
    </row>
    <row r="42">
      <c r="A42" s="55" t="inlineStr">
        <is>
          <t>5. Ecosistema, cobertura y flora (F-DT-03)</t>
        </is>
      </c>
      <c r="B42" s="55" t="inlineStr">
        <is>
          <t>Altura máxima registrada (m)</t>
        </is>
      </c>
      <c r="C42" s="55" t="inlineStr">
        <is>
          <t>8</t>
        </is>
      </c>
      <c r="D42" s="55" t="inlineStr">
        <is>
          <t>m</t>
        </is>
      </c>
    </row>
    <row r="43">
      <c r="A43" s="56" t="inlineStr">
        <is>
          <t>5. Ecosistema, cobertura y flora (F-DT-03)</t>
        </is>
      </c>
      <c r="B43" s="56" t="inlineStr">
        <is>
          <t>DAP promedio (cm)</t>
        </is>
      </c>
      <c r="C43" s="56" t="inlineStr">
        <is>
          <t>20</t>
        </is>
      </c>
      <c r="D43" s="56" t="inlineStr">
        <is>
          <t>cm</t>
        </is>
      </c>
    </row>
    <row r="44">
      <c r="A44" s="55" t="inlineStr">
        <is>
          <t>5. Ecosistema, cobertura y flora (F-DT-03)</t>
        </is>
      </c>
      <c r="B44" s="55" t="inlineStr">
        <is>
          <t>Presencia de epífitas</t>
        </is>
      </c>
      <c r="C44" s="55" t="inlineStr">
        <is>
          <t>No</t>
        </is>
      </c>
      <c r="D44" s="55" t="inlineStr"/>
    </row>
    <row r="45">
      <c r="A45" s="56" t="inlineStr">
        <is>
          <t>5. Ecosistema, cobertura y flora (F-DT-03)</t>
        </is>
      </c>
      <c r="B45" s="56" t="inlineStr">
        <is>
          <t>Fenología dominante</t>
        </is>
      </c>
      <c r="C45" s="56" t="inlineStr">
        <is>
          <t>Vegetativo</t>
        </is>
      </c>
      <c r="D45" s="56" t="inlineStr"/>
    </row>
    <row r="46">
      <c r="A46" s="55" t="inlineStr">
        <is>
          <t>5. Ecosistema, cobertura y flora (F-DT-03)</t>
        </is>
      </c>
      <c r="B46" s="55" t="inlineStr">
        <is>
          <t>Dimensiones de la parcela (m)</t>
        </is>
      </c>
      <c r="C46" s="55" t="inlineStr">
        <is>
          <t>No aplica</t>
        </is>
      </c>
      <c r="D46" s="55" t="inlineStr"/>
    </row>
    <row r="47">
      <c r="A47" s="56" t="inlineStr">
        <is>
          <t>5. Ecosistema, cobertura y flora (F-DT-03)</t>
        </is>
      </c>
      <c r="B47" s="56" t="inlineStr">
        <is>
          <t>Pendiente de la parcela (%)</t>
        </is>
      </c>
      <c r="C47" s="56" t="inlineStr">
        <is>
          <t>20</t>
        </is>
      </c>
      <c r="D47" s="56" t="inlineStr">
        <is>
          <t>%</t>
        </is>
      </c>
    </row>
    <row r="48">
      <c r="A48" s="55" t="inlineStr">
        <is>
          <t>5. Ecosistema, cobertura y flora (F-DT-03)</t>
        </is>
      </c>
      <c r="B48" s="55" t="inlineStr">
        <is>
          <t>Especies clave georreferenciadas</t>
        </is>
      </c>
      <c r="C48" s="55" t="inlineStr">
        <is>
          <t>4</t>
        </is>
      </c>
      <c r="D48" s="55" t="inlineStr"/>
    </row>
    <row r="49">
      <c r="A49" s="56" t="inlineStr">
        <is>
          <t>6. Degradación, causas y urgencia (F-DT-04)</t>
        </is>
      </c>
      <c r="B49" s="56" t="inlineStr">
        <is>
          <t>Causas directas de la degradación</t>
        </is>
      </c>
      <c r="C49" s="56" t="inlineStr">
        <is>
          <t>Cambio en el uso del suelo: conversión del matorral andino en zona agrícola de pastos cultivados y cultivo de maíz, acompañada de la remoción de la cobertura arbórea (tocones) y del sobrepastoreo de ganado vacuno en pastoreo libre, con la consiguiente compactación del suelo y aceleración de la erosión hídrica en surcos y cárcavas.</t>
        </is>
      </c>
      <c r="D49" s="56" t="inlineStr"/>
    </row>
    <row r="50">
      <c r="A50" s="55" t="inlineStr">
        <is>
          <t>6. Degradación, causas y urgencia (F-DT-04)</t>
        </is>
      </c>
      <c r="B50" s="55" t="inlineStr">
        <is>
          <t>N.° de causas activas en la matriz F-DT-04</t>
        </is>
      </c>
      <c r="C50" s="55" t="inlineStr">
        <is>
          <t>3</t>
        </is>
      </c>
      <c r="D50" s="55" t="inlineStr"/>
    </row>
    <row r="51">
      <c r="A51" s="56" t="inlineStr">
        <is>
          <t>7. Hidrología, acceso y logística (F-DT-05)</t>
        </is>
      </c>
      <c r="B51" s="56" t="inlineStr">
        <is>
          <t>Escorrentía concentrada</t>
        </is>
      </c>
      <c r="C51" s="56" t="inlineStr">
        <is>
          <t>No</t>
        </is>
      </c>
      <c r="D51" s="56" t="inlineStr"/>
    </row>
    <row r="52">
      <c r="A52" s="55" t="inlineStr">
        <is>
          <t>7. Hidrología, acceso y logística (F-DT-05)</t>
        </is>
      </c>
      <c r="B52" s="55" t="inlineStr">
        <is>
          <t>Fuentes de agua inventariadas</t>
        </is>
      </c>
      <c r="C52" s="55" t="inlineStr">
        <is>
          <t>1</t>
        </is>
      </c>
      <c r="D52" s="55" t="inlineStr"/>
    </row>
    <row r="53">
      <c r="A53" s="56" t="inlineStr">
        <is>
          <t>7. Hidrología, acceso y logística (F-DT-05)</t>
        </is>
      </c>
      <c r="B53" s="56" t="inlineStr">
        <is>
          <t>Interferencia con riego</t>
        </is>
      </c>
      <c r="C53" s="56" t="inlineStr">
        <is>
          <t>No</t>
        </is>
      </c>
      <c r="D53" s="56" t="inlineStr"/>
    </row>
    <row r="54">
      <c r="A54" s="55" t="inlineStr">
        <is>
          <t>7. Hidrología, acceso y logística (F-DT-05)</t>
        </is>
      </c>
      <c r="B54" s="55" t="inlineStr">
        <is>
          <t>Vía principal de acceso</t>
        </is>
      </c>
      <c r="C54" s="55" t="inlineStr">
        <is>
          <t>Vía vecinal afirmada que interconecta centros poblados del distrito de Lalaquiz, colindante al límite inferior del bloque (acceso desde el C.P. Pedregal). Presenta derrumbes en varios tramos.</t>
        </is>
      </c>
      <c r="D54" s="55" t="inlineStr"/>
    </row>
    <row r="55">
      <c r="A55" s="56" t="inlineStr">
        <is>
          <t>7. Hidrología, acceso y logística (F-DT-05)</t>
        </is>
      </c>
      <c r="B55" s="56" t="inlineStr">
        <is>
          <t>Tipo de vía del tramo final</t>
        </is>
      </c>
      <c r="C55" s="56" t="inlineStr">
        <is>
          <t>Vecinal afirmada</t>
        </is>
      </c>
      <c r="D55" s="56" t="inlineStr"/>
    </row>
    <row r="56">
      <c r="A56" s="55" t="inlineStr">
        <is>
          <t>7. Hidrología, acceso y logística (F-DT-05)</t>
        </is>
      </c>
      <c r="B56" s="55" t="inlineStr">
        <is>
          <t>Transitabilidad en época seca</t>
        </is>
      </c>
      <c r="C56" s="55" t="inlineStr">
        <is>
          <t>Medio</t>
        </is>
      </c>
      <c r="D56" s="55" t="inlineStr"/>
    </row>
    <row r="57">
      <c r="A57" s="56" t="inlineStr">
        <is>
          <t>7. Hidrología, acceso y logística (F-DT-05)</t>
        </is>
      </c>
      <c r="B57" s="56" t="inlineStr">
        <is>
          <t>Transitabilidad en época lluviosa</t>
        </is>
      </c>
      <c r="C57" s="56" t="inlineStr">
        <is>
          <t>Bajo</t>
        </is>
      </c>
      <c r="D57" s="56" t="inlineStr"/>
    </row>
    <row r="58">
      <c r="A58" s="55" t="inlineStr">
        <is>
          <t>7. Hidrología, acceso y logística (F-DT-05)</t>
        </is>
      </c>
      <c r="B58" s="55" t="inlineStr">
        <is>
          <t>Requiere coordinación con ronda / comunidad</t>
        </is>
      </c>
      <c r="C58" s="55" t="inlineStr">
        <is>
          <t>Sí</t>
        </is>
      </c>
      <c r="D58" s="55" t="inlineStr"/>
    </row>
    <row r="60">
      <c r="A60" s="53" t="inlineStr">
        <is>
          <t>C. PROCEDENCIA DE LOS HECHOS DECLARADOS</t>
        </is>
      </c>
    </row>
    <row r="61">
      <c r="A61" s="54" t="inlineStr">
        <is>
          <t>Fuente</t>
        </is>
      </c>
      <c r="B61" s="54" t="inlineStr">
        <is>
          <t>Hechos</t>
        </is>
      </c>
      <c r="C61" s="54" t="inlineStr">
        <is>
          <t>Alcance de la fuente</t>
        </is>
      </c>
    </row>
    <row r="62">
      <c r="A62" s="55" t="inlineStr">
        <is>
          <t>Dato de campo</t>
        </is>
      </c>
      <c r="B62" s="55" t="n">
        <v>66</v>
      </c>
      <c r="C62" s="55" t="inlineStr">
        <is>
          <t>Verificación en campo. Fichas F-DT-01 a F-DT-05 de la Plantilla DT Campo Check Validada V5, suscritas por el evaluador.</t>
        </is>
      </c>
    </row>
    <row r="63">
      <c r="A63" s="56" t="inlineStr">
        <is>
          <t>Gabinete (GIS / teledetección)</t>
        </is>
      </c>
      <c r="B63" s="56" t="n">
        <v>24</v>
      </c>
      <c r="C63" s="56" t="inlineStr">
        <is>
          <t>Gabinete. Estadística zonal sobre el MDE y compuestos Sentinel-2 (NDVI mediana 2025, MSAVI 2024 por clase DN).</t>
        </is>
      </c>
    </row>
    <row r="64">
      <c r="A64" s="55" t="inlineStr">
        <is>
          <t>Fuente oficial</t>
        </is>
      </c>
      <c r="B64" s="55" t="n">
        <v>14</v>
      </c>
      <c r="C64" s="55" t="inlineStr">
        <is>
          <t>Fuente oficial. Catálogo maestro Bloques V5/V6, división política INEI y codificación de microcuencas de la ANA.</t>
        </is>
      </c>
    </row>
    <row r="66">
      <c r="A66" s="53" t="inlineStr">
        <is>
          <t>D. ESTADO DEL CRUCE ENTRE FUENTES</t>
        </is>
      </c>
    </row>
    <row r="67">
      <c r="A67" s="54" t="inlineStr">
        <is>
          <t>Estado</t>
        </is>
      </c>
      <c r="B67" s="54" t="inlineStr">
        <is>
          <t>Hechos</t>
        </is>
      </c>
      <c r="C67" s="54" t="inlineStr">
        <is>
          <t>Significado</t>
        </is>
      </c>
    </row>
    <row r="68">
      <c r="A68" s="55" t="inlineStr">
        <is>
          <t>CONFORME</t>
        </is>
      </c>
      <c r="B68" s="55" t="n">
        <v>93</v>
      </c>
      <c r="C68" s="55" t="inlineStr">
        <is>
          <t>Las dos fuentes declaran lo mismo, o solo la fuente que manda sobre el hecho lo declara.</t>
        </is>
      </c>
    </row>
    <row r="69">
      <c r="A69" s="56" t="inlineStr">
        <is>
          <t>COMPLEMENTADO</t>
        </is>
      </c>
      <c r="B69" s="56" t="n">
        <v>1</v>
      </c>
      <c r="C69" s="56" t="inlineStr">
        <is>
          <t>Solo una de las fuentes lo declara y se adopta ese valor.</t>
        </is>
      </c>
    </row>
    <row r="70">
      <c r="A70" s="55" t="inlineStr">
        <is>
          <t>ACTUALIZADO</t>
        </is>
      </c>
      <c r="B70" s="55" t="n">
        <v>10</v>
      </c>
      <c r="C70" s="55" t="inlineStr">
        <is>
          <t>La verificación de campo vigente corrige lo que traía el libro de resumen.</t>
        </is>
      </c>
    </row>
    <row r="71">
      <c r="A71" s="56" t="inlineStr">
        <is>
          <t>DISCREPANTE</t>
        </is>
      </c>
      <c r="B71" s="56" t="n">
        <v>0</v>
      </c>
      <c r="C71" s="56" t="inlineStr">
        <is>
          <t>Las fuentes se contradicen; prevalece la que manda sobre el hecho y la otra queda declarada.</t>
        </is>
      </c>
    </row>
    <row r="72">
      <c r="A72" s="55" t="inlineStr">
        <is>
          <t>PENDIENTE</t>
        </is>
      </c>
      <c r="B72" s="55" t="n">
        <v>10</v>
      </c>
      <c r="C72" s="55" t="inlineStr">
        <is>
          <t>Ninguna fuente lo declara; no se estima valor alguno.</t>
        </is>
      </c>
    </row>
  </sheetData>
  <mergeCells count="5">
    <mergeCell ref="A2:F2"/>
    <mergeCell ref="A1:F1"/>
    <mergeCell ref="A5:F5"/>
    <mergeCell ref="A4:F4"/>
    <mergeCell ref="A3:F3"/>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74"/>
  <sheetViews>
    <sheetView workbookViewId="0">
      <selection activeCell="A1" sqref="A1"/>
    </sheetView>
  </sheetViews>
  <sheetFormatPr baseColWidth="8" defaultRowHeight="15"/>
  <cols>
    <col width="8" customWidth="1" min="1" max="1"/>
    <col width="30" customWidth="1" min="2" max="2"/>
    <col width="30" customWidth="1" min="3" max="3"/>
    <col width="22" customWidth="1" min="4" max="4"/>
    <col width="20" customWidth="1" min="5" max="5"/>
    <col width="16" customWidth="1" min="6" max="6"/>
    <col width="16" customWidth="1" min="7" max="7"/>
    <col width="20" customWidth="1" min="8" max="8"/>
    <col width="34" customWidth="1" min="9" max="9"/>
  </cols>
  <sheetData>
    <row r="1">
      <c r="A1" s="50" t="inlineStr">
        <is>
          <t>AUTORIDAD NACIONAL DE INFRAESTRUCTURA - ANIN</t>
        </is>
      </c>
    </row>
    <row r="2">
      <c r="A2" s="50" t="inlineStr">
        <is>
          <t>DIRECCION DE INTERVENCIONES MULTISECTORIALES Y DE EMERGENCIA - DIME</t>
        </is>
      </c>
    </row>
    <row r="3">
      <c r="A3" s="50" t="inlineStr">
        <is>
          <t>SUBDIRECCION DE ESTUDIOS DE INVERSION - SESDI</t>
        </is>
      </c>
    </row>
    <row r="4">
      <c r="A4" s="51" t="inlineStr">
        <is>
          <t>PROYECTO IN PIURA | CUI 2669244 | Recuperacion del servicio de regulacion de riesgos naturales y de ecosistemas degradados - Cuenca Alta del Rio Piura</t>
        </is>
      </c>
    </row>
    <row r="5" ht="22" customHeight="1">
      <c r="A5" s="52" t="inlineStr">
        <is>
          <t>REGISTRO DE CAMPO F-DT-01 A F-DT-05 — BLOQUE 61</t>
        </is>
      </c>
    </row>
    <row r="7">
      <c r="A7" s="53" t="inlineStr">
        <is>
          <t>F-DT-02 · INVENTARIO DE CÁRCAVAS</t>
        </is>
      </c>
    </row>
    <row r="8">
      <c r="A8" s="54" t="inlineStr">
        <is>
          <t>Código</t>
        </is>
      </c>
      <c r="B8" s="54" t="inlineStr">
        <is>
          <t>Tipo</t>
        </is>
      </c>
      <c r="C8" s="54" t="inlineStr">
        <is>
          <t>UTM E ini.</t>
        </is>
      </c>
      <c r="D8" s="54" t="inlineStr">
        <is>
          <t>UTM N ini.</t>
        </is>
      </c>
      <c r="E8" s="54" t="inlineStr">
        <is>
          <t>Longitud (m)</t>
        </is>
      </c>
      <c r="F8" s="54" t="inlineStr">
        <is>
          <t>Prof. (m)</t>
        </is>
      </c>
      <c r="G8" s="54" t="inlineStr">
        <is>
          <t>Ancho (m)</t>
        </is>
      </c>
      <c r="H8" s="54" t="inlineStr">
        <is>
          <t>Estado</t>
        </is>
      </c>
      <c r="I8" s="54" t="inlineStr">
        <is>
          <t>Causa</t>
        </is>
      </c>
    </row>
    <row r="9">
      <c r="A9" s="55" t="inlineStr">
        <is>
          <t>S-61-01</t>
        </is>
      </c>
      <c r="B9" s="55" t="inlineStr">
        <is>
          <t>Surco (&lt;30 cm)</t>
        </is>
      </c>
      <c r="C9" s="60" t="n">
        <v>646004</v>
      </c>
      <c r="D9" s="60" t="n">
        <v>9424921</v>
      </c>
      <c r="E9" s="55" t="n"/>
      <c r="F9" s="55" t="n"/>
      <c r="G9" s="55" t="n"/>
      <c r="H9" s="55" t="inlineStr">
        <is>
          <t>Activa</t>
        </is>
      </c>
      <c r="I9" s="55" t="inlineStr">
        <is>
          <t>Caminos / huellas de ganado</t>
        </is>
      </c>
    </row>
    <row r="10">
      <c r="A10" s="56" t="inlineStr">
        <is>
          <t>S-61-02</t>
        </is>
      </c>
      <c r="B10" s="56" t="inlineStr">
        <is>
          <t>Surco (&lt;30 cm)</t>
        </is>
      </c>
      <c r="C10" s="61" t="n">
        <v>645946</v>
      </c>
      <c r="D10" s="61" t="n">
        <v>9424911</v>
      </c>
      <c r="E10" s="56" t="n"/>
      <c r="F10" s="56" t="n"/>
      <c r="G10" s="56" t="n"/>
      <c r="H10" s="56" t="inlineStr">
        <is>
          <t>Activa</t>
        </is>
      </c>
      <c r="I10" s="56" t="inlineStr">
        <is>
          <t>Sobrepastoreo</t>
        </is>
      </c>
    </row>
    <row r="11">
      <c r="A11" s="55" t="inlineStr">
        <is>
          <t>C-61-03</t>
        </is>
      </c>
      <c r="B11" s="55" t="inlineStr">
        <is>
          <t>Cárcava incipiente (30-50 cm)</t>
        </is>
      </c>
      <c r="C11" s="60" t="n">
        <v>646067</v>
      </c>
      <c r="D11" s="60" t="n">
        <v>9424801</v>
      </c>
      <c r="E11" s="55" t="n"/>
      <c r="F11" s="55" t="n"/>
      <c r="G11" s="55" t="n"/>
      <c r="H11" s="55" t="inlineStr">
        <is>
          <t>Activa</t>
        </is>
      </c>
      <c r="I11" s="55" t="inlineStr">
        <is>
          <t>Concentración natural de escorrentía</t>
        </is>
      </c>
    </row>
    <row r="12">
      <c r="A12" s="56" t="inlineStr">
        <is>
          <t>C-61-04</t>
        </is>
      </c>
      <c r="B12" s="56" t="inlineStr">
        <is>
          <t>Cárcava incipiente (30-50 cm)</t>
        </is>
      </c>
      <c r="C12" s="61" t="n">
        <v>645929</v>
      </c>
      <c r="D12" s="61" t="n">
        <v>9424907</v>
      </c>
      <c r="E12" s="56" t="n"/>
      <c r="F12" s="56" t="n"/>
      <c r="G12" s="56" t="n"/>
      <c r="H12" s="56" t="inlineStr">
        <is>
          <t>Semi-activa</t>
        </is>
      </c>
      <c r="I12" s="56" t="inlineStr">
        <is>
          <t>Cambio de uso del suelo</t>
        </is>
      </c>
    </row>
    <row r="14">
      <c r="A14" s="53" t="inlineStr">
        <is>
          <t>F-DT-03 · ELENCO FLORÍSTICO</t>
        </is>
      </c>
    </row>
    <row r="15">
      <c r="A15" s="54" t="inlineStr">
        <is>
          <t>N.o</t>
        </is>
      </c>
      <c r="B15" s="54" t="inlineStr">
        <is>
          <t>Nombre común</t>
        </is>
      </c>
      <c r="C15" s="54" t="inlineStr">
        <is>
          <t>Nombre científico</t>
        </is>
      </c>
      <c r="D15" s="54" t="inlineStr">
        <is>
          <t>Familia</t>
        </is>
      </c>
      <c r="E15" s="54" t="inlineStr">
        <is>
          <t>Estrato</t>
        </is>
      </c>
      <c r="F15" s="54" t="inlineStr">
        <is>
          <t>Origen</t>
        </is>
      </c>
      <c r="G15" s="54" t="inlineStr">
        <is>
          <t>Abundancia</t>
        </is>
      </c>
      <c r="H15" s="54" t="inlineStr">
        <is>
          <t>DAP (cm)</t>
        </is>
      </c>
      <c r="I15" s="54" t="inlineStr">
        <is>
          <t>Altura (m)</t>
        </is>
      </c>
    </row>
    <row r="16">
      <c r="A16" s="55" t="inlineStr">
        <is>
          <t>1</t>
        </is>
      </c>
      <c r="B16" s="55" t="inlineStr">
        <is>
          <t>Higuerón</t>
        </is>
      </c>
      <c r="C16" s="55" t="inlineStr">
        <is>
          <t>Ficus sp.</t>
        </is>
      </c>
      <c r="D16" s="55" t="inlineStr">
        <is>
          <t>Moraceae</t>
        </is>
      </c>
      <c r="E16" s="55" t="inlineStr">
        <is>
          <t>Arbóreo medio (8-15 m)</t>
        </is>
      </c>
      <c r="F16" s="55" t="inlineStr">
        <is>
          <t>Nativa</t>
        </is>
      </c>
      <c r="G16" s="55" t="inlineStr">
        <is>
          <t>Ocasional (1-5%)</t>
        </is>
      </c>
      <c r="H16" s="55" t="n"/>
      <c r="I16" s="55" t="n"/>
    </row>
    <row r="17">
      <c r="A17" s="56" t="inlineStr">
        <is>
          <t>2</t>
        </is>
      </c>
      <c r="B17" s="56" t="inlineStr">
        <is>
          <t>Faique</t>
        </is>
      </c>
      <c r="C17" s="56" t="inlineStr">
        <is>
          <t>Vachellia macracantha</t>
        </is>
      </c>
      <c r="D17" s="56" t="inlineStr">
        <is>
          <t>Fabaceae</t>
        </is>
      </c>
      <c r="E17" s="56" t="inlineStr">
        <is>
          <t>Arbóreo bajo (4-8 m)</t>
        </is>
      </c>
      <c r="F17" s="56" t="inlineStr">
        <is>
          <t>Nativa</t>
        </is>
      </c>
      <c r="G17" s="56" t="inlineStr">
        <is>
          <t>Ocasional (1-5%)</t>
        </is>
      </c>
      <c r="H17" s="61" t="n">
        <v>20</v>
      </c>
      <c r="I17" s="62" t="n">
        <v>4</v>
      </c>
    </row>
    <row r="18">
      <c r="A18" s="55" t="inlineStr">
        <is>
          <t>3</t>
        </is>
      </c>
      <c r="B18" s="55" t="inlineStr">
        <is>
          <t>Palo blanco</t>
        </is>
      </c>
      <c r="C18" s="55" t="inlineStr">
        <is>
          <t>Celtis iguanaea</t>
        </is>
      </c>
      <c r="D18" s="55" t="inlineStr">
        <is>
          <t>Cannabaceae</t>
        </is>
      </c>
      <c r="E18" s="55" t="inlineStr">
        <is>
          <t>Arbóreo bajo (4-8 m)</t>
        </is>
      </c>
      <c r="F18" s="55" t="inlineStr">
        <is>
          <t>Nativa</t>
        </is>
      </c>
      <c r="G18" s="55" t="inlineStr">
        <is>
          <t>Ocasional (1-5%)</t>
        </is>
      </c>
      <c r="H18" s="55" t="n"/>
      <c r="I18" s="55" t="n"/>
    </row>
    <row r="19">
      <c r="A19" s="56" t="inlineStr">
        <is>
          <t>4</t>
        </is>
      </c>
      <c r="B19" s="56" t="inlineStr">
        <is>
          <t>Guaba o pacae</t>
        </is>
      </c>
      <c r="C19" s="56" t="inlineStr">
        <is>
          <t>Inga sp.</t>
        </is>
      </c>
      <c r="D19" s="56" t="inlineStr">
        <is>
          <t>Fabaceae</t>
        </is>
      </c>
      <c r="E19" s="56" t="inlineStr">
        <is>
          <t>Arbóreo bajo (4-8 m)</t>
        </is>
      </c>
      <c r="F19" s="56" t="inlineStr">
        <is>
          <t>Nativa</t>
        </is>
      </c>
      <c r="G19" s="56" t="inlineStr">
        <is>
          <t>Ocasional (1-5%)</t>
        </is>
      </c>
      <c r="H19" s="61" t="n">
        <v>25</v>
      </c>
      <c r="I19" s="62" t="n">
        <v>6</v>
      </c>
    </row>
    <row r="20">
      <c r="A20" s="55" t="inlineStr">
        <is>
          <t>5</t>
        </is>
      </c>
      <c r="B20" s="55" t="inlineStr">
        <is>
          <t>Cascarilla / quina</t>
        </is>
      </c>
      <c r="C20" s="55" t="inlineStr">
        <is>
          <t>Cinchona sp.</t>
        </is>
      </c>
      <c r="D20" s="55" t="inlineStr">
        <is>
          <t>Rubiaceae</t>
        </is>
      </c>
      <c r="E20" s="55" t="inlineStr">
        <is>
          <t>Arbóreo bajo (4-8 m)</t>
        </is>
      </c>
      <c r="F20" s="55" t="inlineStr">
        <is>
          <t>Nativa</t>
        </is>
      </c>
      <c r="G20" s="55" t="inlineStr">
        <is>
          <t>Rara (&lt;1%)</t>
        </is>
      </c>
      <c r="H20" s="55" t="n"/>
      <c r="I20" s="55" t="n"/>
    </row>
    <row r="21">
      <c r="A21" s="56" t="inlineStr">
        <is>
          <t>6</t>
        </is>
      </c>
      <c r="B21" s="56" t="inlineStr">
        <is>
          <t>Melastomatácea (por determinar)</t>
        </is>
      </c>
      <c r="C21" s="56" t="inlineStr">
        <is>
          <t>Miconia sp.</t>
        </is>
      </c>
      <c r="D21" s="56" t="inlineStr">
        <is>
          <t>Melastomataceae</t>
        </is>
      </c>
      <c r="E21" s="56" t="inlineStr">
        <is>
          <t>Arbustivo alto (1.5-4 m)</t>
        </is>
      </c>
      <c r="F21" s="56" t="inlineStr">
        <is>
          <t>Nativa</t>
        </is>
      </c>
      <c r="G21" s="56" t="inlineStr">
        <is>
          <t>Frecuente (5-20%)</t>
        </is>
      </c>
      <c r="H21" s="56" t="n"/>
      <c r="I21" s="56" t="n"/>
    </row>
    <row r="22">
      <c r="A22" s="55" t="inlineStr">
        <is>
          <t>7</t>
        </is>
      </c>
      <c r="B22" s="55" t="inlineStr">
        <is>
          <t>Matico / piperácea</t>
        </is>
      </c>
      <c r="C22" s="55" t="inlineStr">
        <is>
          <t>Piper sp.</t>
        </is>
      </c>
      <c r="D22" s="55" t="inlineStr">
        <is>
          <t>Piperaceae</t>
        </is>
      </c>
      <c r="E22" s="55" t="inlineStr">
        <is>
          <t>Arbustivo alto (1.5-4 m)</t>
        </is>
      </c>
      <c r="F22" s="55" t="inlineStr">
        <is>
          <t>Nativa</t>
        </is>
      </c>
      <c r="G22" s="55" t="inlineStr">
        <is>
          <t>Ocasional (1-5%)</t>
        </is>
      </c>
      <c r="H22" s="55" t="n"/>
      <c r="I22" s="55" t="n"/>
    </row>
    <row r="23">
      <c r="A23" s="56" t="inlineStr">
        <is>
          <t>8</t>
        </is>
      </c>
      <c r="B23" s="56" t="inlineStr">
        <is>
          <t>Agave / penca</t>
        </is>
      </c>
      <c r="C23" s="56" t="inlineStr">
        <is>
          <t>Agave americana</t>
        </is>
      </c>
      <c r="D23" s="56" t="inlineStr">
        <is>
          <t>Asparagaceae</t>
        </is>
      </c>
      <c r="E23" s="56" t="inlineStr">
        <is>
          <t>Arbustivo alto (1.5-4 m)</t>
        </is>
      </c>
      <c r="F23" s="56" t="inlineStr">
        <is>
          <t>Introducida</t>
        </is>
      </c>
      <c r="G23" s="56" t="inlineStr">
        <is>
          <t>Ocasional (1-5%)</t>
        </is>
      </c>
      <c r="H23" s="56" t="n"/>
      <c r="I23" s="56" t="n"/>
    </row>
    <row r="24">
      <c r="A24" s="55" t="inlineStr">
        <is>
          <t>9</t>
        </is>
      </c>
      <c r="B24" s="55" t="inlineStr">
        <is>
          <t>Pastos cultivados</t>
        </is>
      </c>
      <c r="C24" s="55" t="inlineStr">
        <is>
          <t>Poaceae (por determinar)</t>
        </is>
      </c>
      <c r="D24" s="55" t="inlineStr">
        <is>
          <t>Poaceae</t>
        </is>
      </c>
      <c r="E24" s="55" t="inlineStr">
        <is>
          <t>Herbáceo (&lt;0.5 m)</t>
        </is>
      </c>
      <c r="F24" s="55" t="inlineStr">
        <is>
          <t>Introducida</t>
        </is>
      </c>
      <c r="G24" s="55" t="inlineStr">
        <is>
          <t>Dominante (&gt;40%)</t>
        </is>
      </c>
      <c r="H24" s="55" t="n"/>
      <c r="I24" s="55" t="n"/>
    </row>
    <row r="26">
      <c r="A26" s="53" t="inlineStr">
        <is>
          <t>F-DT-03 · ESPECIES CLAVE GEORREFERENCIADAS</t>
        </is>
      </c>
    </row>
    <row r="27">
      <c r="A27" s="54" t="inlineStr">
        <is>
          <t>N.o</t>
        </is>
      </c>
      <c r="B27" s="54" t="inlineStr">
        <is>
          <t>Especie</t>
        </is>
      </c>
      <c r="C27" s="54" t="inlineStr">
        <is>
          <t>Categoría</t>
        </is>
      </c>
      <c r="D27" s="54" t="inlineStr">
        <is>
          <t>Estado UICN</t>
        </is>
      </c>
      <c r="E27" s="54" t="inlineStr">
        <is>
          <t>UTM ESTE</t>
        </is>
      </c>
      <c r="F27" s="54" t="inlineStr">
        <is>
          <t>UTM NORTE</t>
        </is>
      </c>
      <c r="G27" s="54" t="inlineStr">
        <is>
          <t>N.° individuos</t>
        </is>
      </c>
      <c r="H27" s="54" t="inlineStr">
        <is>
          <t>Observación</t>
        </is>
      </c>
    </row>
    <row r="28">
      <c r="A28" s="55" t="inlineStr">
        <is>
          <t>1</t>
        </is>
      </c>
      <c r="B28" s="55" t="inlineStr">
        <is>
          <t>Ficus sp. (higuerón)</t>
        </is>
      </c>
      <c r="C28" s="55" t="inlineStr">
        <is>
          <t>Indicadora de buen estado</t>
        </is>
      </c>
      <c r="D28" s="55" t="inlineStr">
        <is>
          <t>NE — No Evaluado</t>
        </is>
      </c>
      <c r="E28" s="60" t="n">
        <v>645955</v>
      </c>
      <c r="F28" s="60" t="n">
        <v>9424793</v>
      </c>
      <c r="G28" s="63" t="n">
        <v>1</v>
      </c>
      <c r="H28" s="55" t="inlineStr">
        <is>
          <t>Individuo emergente conservado, protegido con cerco de varas construido por los pobladores; proporciona sombra, refugio de fauna y aporte de hojarasca. Altura y DAP por medir.</t>
        </is>
      </c>
    </row>
    <row r="29">
      <c r="A29" s="56" t="inlineStr">
        <is>
          <t>2</t>
        </is>
      </c>
      <c r="B29" s="56" t="inlineStr">
        <is>
          <t>Cinchona sp. (cascarilla)</t>
        </is>
      </c>
      <c r="C29" s="56" t="inlineStr">
        <is>
          <t>Clave cultural</t>
        </is>
      </c>
      <c r="D29" s="56" t="inlineStr">
        <is>
          <t>NE — No Evaluado</t>
        </is>
      </c>
      <c r="E29" s="56" t="n"/>
      <c r="F29" s="56" t="n"/>
      <c r="G29" s="56" t="n"/>
      <c r="H29" s="56" t="inlineStr">
        <is>
          <t>Registro de importancia: género emblemático del Perú (árbol nacional), indicador de condiciones subhúmedas. Determinación a nivel específico pendiente mediante colecta botánica; varias especies del género figuran en el D.S. 043-2006-AG, por lo que su categoría de amenaza debe verificarse una vez determinada.</t>
        </is>
      </c>
    </row>
    <row r="30">
      <c r="A30" s="55" t="inlineStr">
        <is>
          <t>3</t>
        </is>
      </c>
      <c r="B30" s="55" t="inlineStr">
        <is>
          <t>Vachellia macracantha (faique)</t>
        </is>
      </c>
      <c r="C30" s="55" t="inlineStr">
        <is>
          <t>Indicadora de perturbación</t>
        </is>
      </c>
      <c r="D30" s="55" t="inlineStr">
        <is>
          <t>NE — No Evaluado</t>
        </is>
      </c>
      <c r="E30" s="60" t="n">
        <v>645967</v>
      </c>
      <c r="F30" s="60" t="n">
        <v>9424926</v>
      </c>
      <c r="G30" s="55" t="n"/>
      <c r="H30" s="55" t="inlineStr">
        <is>
          <t>Regeneración natural activa en borde de potrero; especie pionera indicadora de perturbación y de utilidad para restauración por su rusticidad y capacidad de fijación de nitrógeno.</t>
        </is>
      </c>
    </row>
    <row r="31">
      <c r="A31" s="56" t="inlineStr">
        <is>
          <t>4</t>
        </is>
      </c>
      <c r="B31" s="56" t="inlineStr">
        <is>
          <t>Miconia sp. (melastomatácea)</t>
        </is>
      </c>
      <c r="C31" s="56" t="inlineStr">
        <is>
          <t>Indicadora de buen estado</t>
        </is>
      </c>
      <c r="D31" s="56" t="inlineStr">
        <is>
          <t>NE — No Evaluado</t>
        </is>
      </c>
      <c r="E31" s="61" t="n">
        <v>646067</v>
      </c>
      <c r="F31" s="61" t="n">
        <v>9424760</v>
      </c>
      <c r="G31" s="56" t="n"/>
      <c r="H31" s="56" t="inlineStr">
        <is>
          <t>Arbusto de hojas con nervación acródroma marcada, presente en el talud y borde de vía; indicador de condiciones subhúmedas y de recolonización natural del talud.</t>
        </is>
      </c>
    </row>
    <row r="33">
      <c r="A33" s="53" t="inlineStr">
        <is>
          <t>F-DT-04 · MATRIZ DE CAUSAS DE DEGRADACIÓN</t>
        </is>
      </c>
    </row>
    <row r="34">
      <c r="A34" s="54" t="inlineStr">
        <is>
          <t>N.o</t>
        </is>
      </c>
      <c r="B34" s="54" t="inlineStr">
        <is>
          <t>Causa</t>
        </is>
      </c>
      <c r="C34" s="54" t="inlineStr">
        <is>
          <t>Presencia</t>
        </is>
      </c>
      <c r="D34" s="54" t="inlineStr">
        <is>
          <t>Intensidad</t>
        </is>
      </c>
      <c r="E34" s="54" t="inlineStr">
        <is>
          <t>Extensión</t>
        </is>
      </c>
      <c r="F34" s="54" t="inlineStr">
        <is>
          <t>Antigüedad</t>
        </is>
      </c>
      <c r="G34" s="54" t="inlineStr">
        <is>
          <t>Evidencia</t>
        </is>
      </c>
    </row>
    <row r="35">
      <c r="A35" s="55" t="inlineStr">
        <is>
          <t>1</t>
        </is>
      </c>
      <c r="B35" s="55" t="inlineStr">
        <is>
          <t>Sobrepastoreo (caprino/vacuno)</t>
        </is>
      </c>
      <c r="C35" s="55" t="inlineStr">
        <is>
          <t>Sí</t>
        </is>
      </c>
      <c r="D35" s="55" t="inlineStr">
        <is>
          <t>Moderada</t>
        </is>
      </c>
      <c r="E35" s="55" t="inlineStr">
        <is>
          <t>65</t>
        </is>
      </c>
      <c r="F35" s="55" t="inlineStr">
        <is>
          <t>30</t>
        </is>
      </c>
      <c r="G35" s="55" t="inlineStr">
        <is>
          <t>Se evidenció presencia de ganado vacuno en pastoreo libre, deterioro del suelo por pisoteo continuo, compactación superficial y huellas de ganado que actúan como líneas de concentración de escorrentía.</t>
        </is>
      </c>
    </row>
    <row r="36">
      <c r="A36" s="56" t="inlineStr">
        <is>
          <t>2</t>
        </is>
      </c>
      <c r="B36" s="56" t="inlineStr">
        <is>
          <t>Tala para leña</t>
        </is>
      </c>
      <c r="C36" s="56" t="inlineStr">
        <is>
          <t>No</t>
        </is>
      </c>
      <c r="D36" s="56" t="inlineStr"/>
      <c r="E36" s="56" t="inlineStr"/>
      <c r="F36" s="56" t="inlineStr"/>
      <c r="G36" s="56" t="inlineStr"/>
    </row>
    <row r="37">
      <c r="A37" s="55" t="inlineStr">
        <is>
          <t>3</t>
        </is>
      </c>
      <c r="B37" s="55" t="inlineStr">
        <is>
          <t>Tala para carbón</t>
        </is>
      </c>
      <c r="C37" s="55" t="inlineStr">
        <is>
          <t>No</t>
        </is>
      </c>
      <c r="D37" s="55" t="inlineStr"/>
      <c r="E37" s="55" t="inlineStr"/>
      <c r="F37" s="55" t="inlineStr"/>
      <c r="G37" s="55" t="inlineStr"/>
    </row>
    <row r="38">
      <c r="A38" s="56" t="inlineStr">
        <is>
          <t>4</t>
        </is>
      </c>
      <c r="B38" s="56" t="inlineStr">
        <is>
          <t>Tala para madera</t>
        </is>
      </c>
      <c r="C38" s="56" t="inlineStr">
        <is>
          <t>No</t>
        </is>
      </c>
      <c r="D38" s="56" t="inlineStr"/>
      <c r="E38" s="56" t="inlineStr"/>
      <c r="F38" s="56" t="inlineStr"/>
      <c r="G38" s="56" t="inlineStr"/>
    </row>
    <row r="39">
      <c r="A39" s="55" t="inlineStr">
        <is>
          <t>5</t>
        </is>
      </c>
      <c r="B39" s="55" t="inlineStr">
        <is>
          <t>Quema (renovación de pastos)</t>
        </is>
      </c>
      <c r="C39" s="55" t="inlineStr">
        <is>
          <t>No</t>
        </is>
      </c>
      <c r="D39" s="55" t="inlineStr"/>
      <c r="E39" s="55" t="inlineStr"/>
      <c r="F39" s="55" t="inlineStr"/>
      <c r="G39" s="55" t="inlineStr"/>
    </row>
    <row r="40">
      <c r="A40" s="56" t="inlineStr">
        <is>
          <t>6</t>
        </is>
      </c>
      <c r="B40" s="56" t="inlineStr">
        <is>
          <t>Quema accidental / Incendio</t>
        </is>
      </c>
      <c r="C40" s="56" t="inlineStr">
        <is>
          <t>No</t>
        </is>
      </c>
      <c r="D40" s="56" t="inlineStr"/>
      <c r="E40" s="56" t="inlineStr"/>
      <c r="F40" s="56" t="inlineStr"/>
      <c r="G40" s="56" t="inlineStr"/>
    </row>
    <row r="41">
      <c r="A41" s="55" t="inlineStr">
        <is>
          <t>7</t>
        </is>
      </c>
      <c r="B41" s="55" t="inlineStr">
        <is>
          <t>Cambio de uso a agricultura</t>
        </is>
      </c>
      <c r="C41" s="55" t="inlineStr">
        <is>
          <t>Sí</t>
        </is>
      </c>
      <c r="D41" s="55" t="inlineStr">
        <is>
          <t>Moderada</t>
        </is>
      </c>
      <c r="E41" s="55" t="inlineStr">
        <is>
          <t>15</t>
        </is>
      </c>
      <c r="F41" s="55" t="inlineStr">
        <is>
          <t>30</t>
        </is>
      </c>
      <c r="G41" s="55" t="inlineStr">
        <is>
          <t>Se evidenciaron parcelas destinadas al cultivo de maíz distribuidas en mosaico dentro del polígono, con labranza en pendiente y ausencia de prácticas de conservación de suelos.</t>
        </is>
      </c>
    </row>
    <row r="42">
      <c r="A42" s="56" t="inlineStr">
        <is>
          <t>8</t>
        </is>
      </c>
      <c r="B42" s="56" t="inlineStr">
        <is>
          <t>Cambio de uso a pastoreo</t>
        </is>
      </c>
      <c r="C42" s="56" t="inlineStr">
        <is>
          <t>Sí</t>
        </is>
      </c>
      <c r="D42" s="56" t="inlineStr">
        <is>
          <t>Moderada</t>
        </is>
      </c>
      <c r="E42" s="56" t="inlineStr">
        <is>
          <t>65</t>
        </is>
      </c>
      <c r="F42" s="56" t="inlineStr">
        <is>
          <t>30</t>
        </is>
      </c>
      <c r="G42" s="56" t="inlineStr">
        <is>
          <t>Se evidenció presencia de potreros cercados con alambre de púas y postes de madera, con tocones que acreditan la extracción previa de individuos arbóreos y arbustivos para la instalación de pastos cultivados.</t>
        </is>
      </c>
    </row>
    <row r="43">
      <c r="A43" s="55" t="inlineStr">
        <is>
          <t>9</t>
        </is>
      </c>
      <c r="B43" s="55" t="inlineStr">
        <is>
          <t>Expansión urbana / vial</t>
        </is>
      </c>
      <c r="C43" s="55" t="inlineStr">
        <is>
          <t>No</t>
        </is>
      </c>
      <c r="D43" s="55" t="inlineStr"/>
      <c r="E43" s="55" t="inlineStr"/>
      <c r="F43" s="55" t="inlineStr"/>
      <c r="G43" s="55" t="inlineStr"/>
    </row>
    <row r="44">
      <c r="A44" s="56" t="inlineStr">
        <is>
          <t>10</t>
        </is>
      </c>
      <c r="B44" s="56" t="inlineStr">
        <is>
          <t>Minería informal</t>
        </is>
      </c>
      <c r="C44" s="56" t="inlineStr">
        <is>
          <t>No</t>
        </is>
      </c>
      <c r="D44" s="56" t="inlineStr"/>
      <c r="E44" s="56" t="inlineStr"/>
      <c r="F44" s="56" t="inlineStr"/>
      <c r="G44" s="56" t="inlineStr"/>
    </row>
    <row r="45">
      <c r="A45" s="55" t="inlineStr">
        <is>
          <t>11</t>
        </is>
      </c>
      <c r="B45" s="55" t="inlineStr">
        <is>
          <t>Extracción de áridos (cauces)</t>
        </is>
      </c>
      <c r="C45" s="55" t="inlineStr">
        <is>
          <t>No</t>
        </is>
      </c>
      <c r="D45" s="55" t="inlineStr"/>
      <c r="E45" s="55" t="inlineStr"/>
      <c r="F45" s="55" t="inlineStr"/>
      <c r="G45" s="55" t="inlineStr"/>
    </row>
    <row r="46">
      <c r="A46" s="56" t="inlineStr">
        <is>
          <t>12</t>
        </is>
      </c>
      <c r="B46" s="56" t="inlineStr">
        <is>
          <t>Especies invasoras</t>
        </is>
      </c>
      <c r="C46" s="56" t="inlineStr">
        <is>
          <t>No</t>
        </is>
      </c>
      <c r="D46" s="56" t="inlineStr"/>
      <c r="E46" s="56" t="inlineStr"/>
      <c r="F46" s="56" t="inlineStr"/>
      <c r="G46" s="56" t="inlineStr"/>
    </row>
    <row r="47">
      <c r="A47" s="55" t="inlineStr">
        <is>
          <t>13</t>
        </is>
      </c>
      <c r="B47" s="55" t="inlineStr">
        <is>
          <t>Erosión natural severa</t>
        </is>
      </c>
      <c r="C47" s="55" t="inlineStr">
        <is>
          <t>No</t>
        </is>
      </c>
      <c r="D47" s="55" t="inlineStr"/>
      <c r="E47" s="55" t="inlineStr"/>
      <c r="F47" s="55" t="inlineStr"/>
      <c r="G47" s="55" t="inlineStr"/>
    </row>
    <row r="48">
      <c r="A48" s="56" t="inlineStr">
        <is>
          <t>14</t>
        </is>
      </c>
      <c r="B48" s="56" t="inlineStr">
        <is>
          <t>Sequía prolongada / CC</t>
        </is>
      </c>
      <c r="C48" s="56" t="inlineStr">
        <is>
          <t>No</t>
        </is>
      </c>
      <c r="D48" s="56" t="inlineStr"/>
      <c r="E48" s="56" t="inlineStr"/>
      <c r="F48" s="56" t="inlineStr"/>
      <c r="G48" s="56" t="inlineStr"/>
    </row>
    <row r="49">
      <c r="A49" s="55" t="inlineStr">
        <is>
          <t>15</t>
        </is>
      </c>
      <c r="B49" s="55" t="inlineStr">
        <is>
          <t>Plagas o enfermedades forestales</t>
        </is>
      </c>
      <c r="C49" s="55" t="inlineStr">
        <is>
          <t>No</t>
        </is>
      </c>
      <c r="D49" s="55" t="inlineStr"/>
      <c r="E49" s="55" t="inlineStr"/>
      <c r="F49" s="55" t="inlineStr"/>
      <c r="G49" s="55" t="inlineStr"/>
    </row>
    <row r="50">
      <c r="A50" s="56" t="inlineStr">
        <is>
          <t>16</t>
        </is>
      </c>
      <c r="B50" s="56" t="inlineStr">
        <is>
          <t>Otro</t>
        </is>
      </c>
      <c r="C50" s="56" t="inlineStr">
        <is>
          <t>No</t>
        </is>
      </c>
      <c r="D50" s="56" t="inlineStr"/>
      <c r="E50" s="56" t="inlineStr"/>
      <c r="F50" s="56" t="inlineStr"/>
      <c r="G50" s="56" t="inlineStr"/>
    </row>
    <row r="52">
      <c r="A52" s="53" t="inlineStr">
        <is>
          <t>F-DT-04 · INDICADORES CUANTITATIVOS</t>
        </is>
      </c>
    </row>
    <row r="53">
      <c r="A53" s="54" t="inlineStr">
        <is>
          <t>N.o</t>
        </is>
      </c>
      <c r="B53" s="54" t="inlineStr">
        <is>
          <t>Indicador</t>
        </is>
      </c>
      <c r="C53" s="54" t="inlineStr">
        <is>
          <t>Unidad</t>
        </is>
      </c>
      <c r="D53" s="54" t="inlineStr">
        <is>
          <t>Valor</t>
        </is>
      </c>
      <c r="E53" s="54" t="inlineStr">
        <is>
          <t>Fuente</t>
        </is>
      </c>
      <c r="F53" s="54" t="inlineStr">
        <is>
          <t>Umbral</t>
        </is>
      </c>
      <c r="G53" s="54" t="inlineStr">
        <is>
          <t>Nivel</t>
        </is>
      </c>
    </row>
    <row r="54">
      <c r="A54" s="55" t="inlineStr">
        <is>
          <t>1</t>
        </is>
      </c>
      <c r="B54" s="55" t="inlineStr">
        <is>
          <t>Cobertura vegetal total</t>
        </is>
      </c>
      <c r="C54" s="55" t="inlineStr">
        <is>
          <t>%</t>
        </is>
      </c>
      <c r="D54" s="55" t="inlineStr">
        <is>
          <t>50</t>
        </is>
      </c>
      <c r="E54" s="55" t="inlineStr">
        <is>
          <t>F-DT-03 — observación de campo 07/07/2026</t>
        </is>
      </c>
      <c r="F54" s="55" t="inlineStr">
        <is>
          <t>&gt;60% bueno; 30-60% medio; &lt;30% malo</t>
        </is>
      </c>
      <c r="G54" s="55" t="inlineStr">
        <is>
          <t>Medio</t>
        </is>
      </c>
    </row>
    <row r="55">
      <c r="A55" s="56" t="inlineStr">
        <is>
          <t>2</t>
        </is>
      </c>
      <c r="B55" s="56" t="inlineStr">
        <is>
          <t>Porcentaje de suelo desnudo</t>
        </is>
      </c>
      <c r="C55" s="56" t="inlineStr">
        <is>
          <t>%</t>
        </is>
      </c>
      <c r="D55" s="56" t="inlineStr">
        <is>
          <t>5</t>
        </is>
      </c>
      <c r="E55" s="56" t="inlineStr">
        <is>
          <t>F-DT-03 — observación de campo 07/07/2026</t>
        </is>
      </c>
      <c r="F55" s="56" t="inlineStr">
        <is>
          <t>&lt;10% bueno; 10-30% medio; &gt;30% malo</t>
        </is>
      </c>
      <c r="G55" s="56" t="inlineStr">
        <is>
          <t>Bajo</t>
        </is>
      </c>
    </row>
    <row r="56">
      <c r="A56" s="55" t="inlineStr">
        <is>
          <t>3</t>
        </is>
      </c>
      <c r="B56" s="55" t="inlineStr">
        <is>
          <t>Densidad de cárcavas</t>
        </is>
      </c>
      <c r="C56" s="55" t="inlineStr">
        <is>
          <t>N°/ha</t>
        </is>
      </c>
      <c r="D56" s="55" t="inlineStr"/>
      <c r="E56" s="55" t="inlineStr">
        <is>
          <t>F-DT-02 — inventario cualitativo; densidad por medir</t>
        </is>
      </c>
      <c r="F56" s="55" t="inlineStr">
        <is>
          <t>0 nulo; 1-3 medio; &gt;3 alto</t>
        </is>
      </c>
      <c r="G56" s="55" t="inlineStr"/>
    </row>
    <row r="57">
      <c r="A57" s="56" t="inlineStr">
        <is>
          <t>4</t>
        </is>
      </c>
      <c r="B57" s="56" t="inlineStr">
        <is>
          <t>Presencia de especies invasoras</t>
        </is>
      </c>
      <c r="C57" s="56" t="inlineStr">
        <is>
          <t>% área</t>
        </is>
      </c>
      <c r="D57" s="56" t="inlineStr">
        <is>
          <t>0</t>
        </is>
      </c>
      <c r="E57" s="56" t="inlineStr">
        <is>
          <t>Observación de campo 07/07/2026</t>
        </is>
      </c>
      <c r="F57" s="56" t="inlineStr">
        <is>
          <t>&lt;5% bueno; 5-20% medio; &gt;20% alto</t>
        </is>
      </c>
      <c r="G57" s="56" t="inlineStr">
        <is>
          <t>Bajo</t>
        </is>
      </c>
    </row>
    <row r="58">
      <c r="A58" s="55" t="inlineStr">
        <is>
          <t>5</t>
        </is>
      </c>
      <c r="B58" s="55" t="inlineStr">
        <is>
          <t>Carga ganadera estimada</t>
        </is>
      </c>
      <c r="C58" s="55" t="inlineStr">
        <is>
          <t>UA/ha</t>
        </is>
      </c>
      <c r="D58" s="55" t="inlineStr"/>
      <c r="E58" s="55" t="inlineStr">
        <is>
          <t>Por estimar — censo ganadero pendiente</t>
        </is>
      </c>
      <c r="F58" s="55" t="inlineStr">
        <is>
          <t>Según tipo de ecosistema</t>
        </is>
      </c>
      <c r="G58" s="55" t="inlineStr"/>
    </row>
    <row r="59">
      <c r="A59" s="56" t="inlineStr">
        <is>
          <t>6</t>
        </is>
      </c>
      <c r="B59" s="56" t="inlineStr">
        <is>
          <t>Frecuencia de quemas últimos 5 años</t>
        </is>
      </c>
      <c r="C59" s="56" t="inlineStr">
        <is>
          <t>N°</t>
        </is>
      </c>
      <c r="D59" s="56" t="inlineStr">
        <is>
          <t>0</t>
        </is>
      </c>
      <c r="E59" s="56" t="inlineStr">
        <is>
          <t>Observación de campo 07/07/2026</t>
        </is>
      </c>
      <c r="F59" s="56" t="inlineStr">
        <is>
          <t>0 nulo; 1-2 medio; &gt;2 alto</t>
        </is>
      </c>
      <c r="G59" s="56" t="inlineStr">
        <is>
          <t>Bajo</t>
        </is>
      </c>
    </row>
    <row r="60">
      <c r="A60" s="55" t="inlineStr">
        <is>
          <t>7</t>
        </is>
      </c>
      <c r="B60" s="55" t="inlineStr">
        <is>
          <t>% área con pendiente &gt;50%</t>
        </is>
      </c>
      <c r="C60" s="55" t="inlineStr">
        <is>
          <t>%</t>
        </is>
      </c>
      <c r="D60" s="55" t="inlineStr"/>
      <c r="E60" s="55" t="inlineStr">
        <is>
          <t>MDE — estadística zonal pendiente</t>
        </is>
      </c>
      <c r="F60" s="55" t="inlineStr">
        <is>
          <t>Factor de susceptibilidad</t>
        </is>
      </c>
      <c r="G60" s="55" t="inlineStr"/>
    </row>
    <row r="61">
      <c r="A61" s="56" t="inlineStr">
        <is>
          <t>8</t>
        </is>
      </c>
      <c r="B61" s="56" t="inlineStr">
        <is>
          <t>Distancia a vía vecinal más cercana</t>
        </is>
      </c>
      <c r="C61" s="56" t="inlineStr">
        <is>
          <t>m</t>
        </is>
      </c>
      <c r="D61" s="56" t="inlineStr">
        <is>
          <t>0</t>
        </is>
      </c>
      <c r="E61" s="56" t="inlineStr">
        <is>
          <t>Observación de campo: el bloque limita con vía vecinal afirmada</t>
        </is>
      </c>
      <c r="F61" s="56" t="inlineStr">
        <is>
          <t>A menor distancia → mayor presión</t>
        </is>
      </c>
      <c r="G61" s="56" t="inlineStr">
        <is>
          <t>Alto</t>
        </is>
      </c>
    </row>
    <row r="63">
      <c r="A63" s="53" t="inlineStr">
        <is>
          <t>F-DT-05 · FUENTES DE AGUA INVENTARIADAS</t>
        </is>
      </c>
    </row>
    <row r="64">
      <c r="A64" s="54" t="inlineStr">
        <is>
          <t>N.o</t>
        </is>
      </c>
      <c r="B64" s="54" t="inlineStr">
        <is>
          <t>Tipo de fuente</t>
        </is>
      </c>
      <c r="C64" s="54" t="inlineStr">
        <is>
          <t>UTM ESTE</t>
        </is>
      </c>
      <c r="D64" s="54" t="inlineStr">
        <is>
          <t>UTM NORTE</t>
        </is>
      </c>
      <c r="E64" s="54" t="inlineStr">
        <is>
          <t>Régimen</t>
        </is>
      </c>
      <c r="F64" s="54" t="inlineStr">
        <is>
          <t>Calidad</t>
        </is>
      </c>
      <c r="G64" s="54" t="inlineStr">
        <is>
          <t>Distancia (m)</t>
        </is>
      </c>
      <c r="H64" s="54" t="inlineStr">
        <is>
          <t>Uso / observación</t>
        </is>
      </c>
    </row>
    <row r="65">
      <c r="A65" s="55" t="inlineStr">
        <is>
          <t>1</t>
        </is>
      </c>
      <c r="B65" s="55" t="inlineStr">
        <is>
          <t>Quebrada estacional</t>
        </is>
      </c>
      <c r="C65" s="60" t="n">
        <v>646067</v>
      </c>
      <c r="D65" s="60" t="n">
        <v>9424801</v>
      </c>
      <c r="E65" s="55" t="inlineStr">
        <is>
          <t>Estacional (lluvias)</t>
        </is>
      </c>
      <c r="F65" s="55" t="inlineStr">
        <is>
          <t>No evaluable</t>
        </is>
      </c>
      <c r="G65" s="63" t="n">
        <v>0</v>
      </c>
      <c r="H65" s="55" t="inlineStr">
        <is>
          <t>Quebrada tributaria Q9590, sin caudal al momento de la visita (tiempo seco); se activa estacionalmente durante la temporada de lluvias (enero-abril). Coordenada referencial del cauce colindante al bloque.</t>
        </is>
      </c>
    </row>
    <row r="68">
      <c r="A68" s="53" t="inlineStr">
        <is>
          <t>OBSERVACIONES DEL EVALUADOR POR FICHA</t>
        </is>
      </c>
    </row>
    <row r="69">
      <c r="A69" s="54" t="inlineStr">
        <is>
          <t>Ficha</t>
        </is>
      </c>
      <c r="B69" s="54" t="inlineStr">
        <is>
          <t>Observación registrada en campo</t>
        </is>
      </c>
    </row>
    <row r="70">
      <c r="A70" s="55" t="inlineStr">
        <is>
          <t>F-DT-01</t>
        </is>
      </c>
      <c r="B70" s="55" t="inlineStr">
        <is>
          <t>El bloque se asienta sobre ladera de montaña, con pendiente dominante inferior al 30 % y altitud GPS de 1,120 m s. n. m. No se observan afloramientos rocosos ni piedras de tamaño regular u homogéneo, a excepción de algunos ejemplares medianos, semienterrados y dispersos a lo largo de la pendiente. El terreno se ubica por encima del talud de una vía afirmada que conecta dos centros poblados del distrito; dicha vía presenta, en varios tramos, evidencias de derrumbes y procesos de erosión. La configuración del bloque es fragmentada, organizada en un mosaico de parcelas destinadas al cultivo de maíz y pastos. La zona es utilizada además para el pastoreo de ganado vacuno, lo que ha ocasionado un notable deterioro del suelo por el pisoteo continuo de los animales. Se evidenció la presencia de tocones, indicativa de la extracción previa de individuos arbóreos y arbustivos. Existen asimismo caminos de herradura en la ladera. Se identificaron escarpes activos, zonas de reptación —particularmente en áreas desprovistas de vegetación— y deslizamientos antiguos, sin remociones en masa activas al momento de la verificación. NOTA DE TRAZABILIDAD: el reporte de campo consignó las coordenadas 645575 E / 9393500 N y la microcuenca C1076-Q9584, valores inconsistentes con el catálogo maestro del bloque 61 (C1081-Q9590; centroide 646236 E / 9425052 N) y con el sello UTM de las fotografías (645929-646067 E / 9424753-9424926 N). Se adopta como punto de muestreo el centroide de las nueve estaciones fotográficas (646000 E / 9424841 N) y se solicita corrección del registro original.</t>
        </is>
      </c>
    </row>
    <row r="71">
      <c r="A71" s="56" t="inlineStr">
        <is>
          <t>F-DT-02</t>
        </is>
      </c>
      <c r="B71" s="56" t="inlineStr">
        <is>
          <t>La ficha F-DT-02 no fue diligenciada durante la verificación de campo del 07/07/2026. Los valores consignados se derivan de la descripción cualitativa del reporte de campo y del registro fotográfico georreferenciado: presencia notable de surcos distribuidos en el terreno, cárcavas de tamaño mediano y otras en proceso de formación, compactación por pisoteo continuo de ganado vacuno y suelo desnudo expuesto en el talud de la vía. El inventario de cárcavas registra cuatro rasgos erosivos identificados sobre fotografía georreferenciada; sus dimensiones (longitud, profundidad y ancho medio) no fueron medidas en campo y quedan pendientes de levantamiento con cinta y GPS. En consecuencia, el nivel general de erosión se consigna de manera conservadora como «Fuerte (cárcavas incipientes)»; la mención de cárcavas de tamaño mediano en el reporte de campo sugiere que el nivel podría elevarse a «Severa (cárcavas activas)» una vez completado el inventario dimensional. La urgencia de control se mantiene ALTA.</t>
        </is>
      </c>
    </row>
    <row r="72">
      <c r="A72" s="55" t="inlineStr">
        <is>
          <t>F-DT-03</t>
        </is>
      </c>
      <c r="B72" s="55" t="inlineStr">
        <is>
          <t>El ecosistema corresponde a un mosaico de Matorral andino (Ma) y Zona agrícola (Agri) según la clasificación oficial del MINAM; el componente de matorral se asimila a Matorral Andino subhúmedo por la presencia de Melastomatáceas, Piperáceas y Cinchona sp. La superficie con vegetación remanente asciende a 7 ha de las 26.83 ha del bloque (26 %), correspondiendo el resto a parcelas de maíz, potreros de pastos cultivados y árboles dispersos. El área ha sido impactada por el retiro de la cobertura vegetal arbórea (presencia de tocones) para instalar potreros cercados destinados al pastoreo de ganado vacuno. En las zonas donde aún se conserva vegetación, la estructura del bosque presenta alturas promedio que no superan los 8 m y clases diamétricas que no exceden los 30 cm de DAP. COMPOSICIÓN FLORÍSTICA: el registro se actualiza respecto del reporte preliminar de campo por determinación del responsable de la evaluación. Las especies arbóreas representativas son higuerón (Ficus sp.), faique (Vachellia macracantha), palo blanco (Celtis iguanaea, por confirmar), guaba o pacae (Inga sp.) y Cinchona sp. (por determinar a nivel específico). El estrato arbustivo está representado por Melastomatáceas (Miconia sp.), Piperáceas (Piper sp.) y agave (Agave americana, introducida). El estrato herbáceo está dominado por pastos cultivados de la familia Poaceae. El cultivo de maíz (Zea mays) se registra como uso del suelo y no se incorpora al listado florístico. Se observó regeneración natural de faique en el borde de los potreros (estación fotográfica F-03); no obstante, la regeneración a escala de bloque se mantiene como ESCASA (&lt;10 plántulas/100 m²), lo que indica capacidad de recuperación pasiva limitada y justifica medidas de restauración activa. El higuerón registrado se encuentra protegido con un cerco de varas construido por los pobladores, lo que evidencia valoración local del individuo. Los nombres científicos consignados son preliminares y requieren confirmación mediante colecta botánica y determinación en herbario, en particular para Cinchona sp., Miconia sp. y las Poaceae cultivadas.</t>
        </is>
      </c>
    </row>
    <row r="73">
      <c r="A73" s="56" t="inlineStr">
        <is>
          <t>F-DT-04</t>
        </is>
      </c>
      <c r="B73" s="56" t="inlineStr">
        <is>
          <t>Una parte del área seleccionada como bloque se encuentra cercada con alambre de púas y postes de madera a manera de potrero para el pastoreo de ganado vacuno (estaciones fotográficas F-04 y F-06). Las tres causas activas de degradación —sobrepastoreo vacuno, cambio de uso a pastoreo y cambio de uso a agricultura— actúan de forma sinérgica: la remoción de la cobertura arbórea reduce la interceptación de la lluvia y el aporte de hojarasca, mientras el pisoteo continuo compacta el horizonte superficial y disminuye la infiltración, incrementando la escorrentía superficial y acelerando la erosión hídrica en surcos y cárcavas. Los indicadores 3 (densidad de cárcavas), 5 (carga ganadera) y 7 (% de área con pendiente &gt;50 %) quedan pendientes de cuantificación: los dos primeros requieren levantamiento de campo complementario y el tercero, estadística zonal sobre el MDE. No se registraron especies invasoras ni evidencias de quema en los últimos cinco años.</t>
        </is>
      </c>
    </row>
    <row r="74">
      <c r="A74" s="55" t="inlineStr">
        <is>
          <t>F-DT-05</t>
        </is>
      </c>
      <c r="B74" s="55" t="inlineStr">
        <is>
          <t>Al momento de la visita, en condiciones de tiempo seco, no se registraron fuentes de agua permanentes, zonas de recarga hídrica activa ni escorrentía concentrada dentro del bloque. No obstante, la configuración topográfica incluye una quebrada tributaria (Q9590) que conduce las aguas pluviales y se activa estacionalmente durante la temporada de lluvias (enero-abril). El acceso se realiza por vía vecinal afirmada que interconecta centros poblados del distrito de Lalaquiz, bordeando el límite inferior del bloque; desde la plataforma vial el ingreso al polígono es a pie por ladera, en menos de 30 minutos. La vía presenta en varios tramos evidencias de derrumbes, por lo que su transitabilidad se califica como MEDIA en época seca y BAJA en época de lluvias. Previamente a la verificación se realizó la liberación social del ámbito para garantizar el acceso y la aceptación del proyecto por parte de la población del centro poblado Pedregal. Los tiempos de desplazamiento desde las capitales distrital y provincial, la distancia a la captación poblacional más cercana, la JASS asociada y las condiciones de señal celular y alojamiento no fueron registrados en campo y quedan pendientes de verificación.</t>
        </is>
      </c>
    </row>
  </sheetData>
  <mergeCells count="5">
    <mergeCell ref="A2:I2"/>
    <mergeCell ref="A5:I5"/>
    <mergeCell ref="A1:I1"/>
    <mergeCell ref="A3:I3"/>
    <mergeCell ref="A4:I4"/>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5"/>
  <cols>
    <col width="44" customWidth="1" min="1" max="1"/>
    <col width="18" customWidth="1" min="2" max="2"/>
  </cols>
  <sheetData>
    <row r="1">
      <c r="A1" s="50" t="inlineStr">
        <is>
          <t>AUTORIDAD NACIONAL DE INFRAESTRUCTURA - ANIN</t>
        </is>
      </c>
    </row>
    <row r="2">
      <c r="A2" s="50" t="inlineStr">
        <is>
          <t>DIRECCION DE INTERVENCIONES MULTISECTORIALES Y DE EMERGENCIA - DIME</t>
        </is>
      </c>
    </row>
    <row r="3">
      <c r="A3" s="50" t="inlineStr">
        <is>
          <t>SUBDIRECCION DE ESTUDIOS DE INVERSION - SESDI</t>
        </is>
      </c>
    </row>
    <row r="4">
      <c r="A4" s="51" t="inlineStr">
        <is>
          <t>PROYECTO IN PIURA | CUI 2669244 | Recuperacion del servicio de regulacion de riesgos naturales y de ecosistemas degradados - Cuenca Alta del Rio Piura</t>
        </is>
      </c>
    </row>
    <row r="5" ht="22" customHeight="1">
      <c r="A5" s="52" t="inlineStr">
        <is>
          <t>GRÁFICOS DE LA INTEGRACIÓN — BLOQUE 61</t>
        </is>
      </c>
    </row>
    <row r="7">
      <c r="A7" s="53" t="inlineStr">
        <is>
          <t>Hechos declarados por fuente</t>
        </is>
      </c>
    </row>
    <row r="8">
      <c r="A8" s="54" t="inlineStr">
        <is>
          <t>Fuente</t>
        </is>
      </c>
      <c r="B8" s="54" t="inlineStr">
        <is>
          <t>Hechos</t>
        </is>
      </c>
    </row>
    <row r="9">
      <c r="A9" s="55" t="inlineStr">
        <is>
          <t>Dato de campo</t>
        </is>
      </c>
      <c r="B9" s="55" t="n">
        <v>66</v>
      </c>
    </row>
    <row r="10">
      <c r="A10" s="56" t="inlineStr">
        <is>
          <t>Gabinete (GIS / teledetección)</t>
        </is>
      </c>
      <c r="B10" s="56" t="n">
        <v>24</v>
      </c>
    </row>
    <row r="11">
      <c r="A11" s="55" t="inlineStr">
        <is>
          <t>Fuente oficial</t>
        </is>
      </c>
      <c r="B11" s="55" t="n">
        <v>14</v>
      </c>
    </row>
    <row r="28">
      <c r="A28" s="53" t="inlineStr">
        <is>
          <t>Estado del cruce entre fuentes</t>
        </is>
      </c>
    </row>
    <row r="29">
      <c r="A29" s="54" t="inlineStr">
        <is>
          <t>Estado</t>
        </is>
      </c>
      <c r="B29" s="54" t="inlineStr">
        <is>
          <t>Hechos</t>
        </is>
      </c>
    </row>
    <row r="30">
      <c r="A30" s="55" t="inlineStr">
        <is>
          <t>CONFORME</t>
        </is>
      </c>
      <c r="B30" s="55" t="n">
        <v>93</v>
      </c>
    </row>
    <row r="31">
      <c r="A31" s="56" t="inlineStr">
        <is>
          <t>COMPLEMENTADO</t>
        </is>
      </c>
      <c r="B31" s="56" t="n">
        <v>1</v>
      </c>
    </row>
    <row r="32">
      <c r="A32" s="55" t="inlineStr">
        <is>
          <t>ACTUALIZADO</t>
        </is>
      </c>
      <c r="B32" s="55" t="n">
        <v>10</v>
      </c>
    </row>
    <row r="33">
      <c r="A33" s="56" t="inlineStr">
        <is>
          <t>DISCREPANTE</t>
        </is>
      </c>
      <c r="B33" s="56" t="n">
        <v>0</v>
      </c>
    </row>
    <row r="34">
      <c r="A34" s="55" t="inlineStr">
        <is>
          <t>PENDIENTE</t>
        </is>
      </c>
      <c r="B34" s="55" t="n">
        <v>10</v>
      </c>
    </row>
    <row r="51">
      <c r="A51" s="53" t="inlineStr">
        <is>
          <t>Cobertura por estrato — campo (%)</t>
        </is>
      </c>
    </row>
    <row r="52">
      <c r="A52" s="54" t="inlineStr">
        <is>
          <t>Estrato</t>
        </is>
      </c>
      <c r="B52" s="54" t="inlineStr">
        <is>
          <t>% del área</t>
        </is>
      </c>
    </row>
    <row r="53">
      <c r="A53" s="55" t="inlineStr">
        <is>
          <t>Dosel</t>
        </is>
      </c>
      <c r="B53" s="60" t="n">
        <v>25</v>
      </c>
    </row>
    <row r="54">
      <c r="A54" s="56" t="inlineStr">
        <is>
          <t>Arbustiva</t>
        </is>
      </c>
      <c r="B54" s="61" t="n">
        <v>10</v>
      </c>
    </row>
    <row r="55">
      <c r="A55" s="55" t="inlineStr">
        <is>
          <t>Herbácea</t>
        </is>
      </c>
      <c r="B55" s="60" t="n">
        <v>15</v>
      </c>
    </row>
    <row r="56">
      <c r="A56" s="56" t="inlineStr">
        <is>
          <t>Hojarasca</t>
        </is>
      </c>
      <c r="B56" s="62" t="n">
        <v>5</v>
      </c>
    </row>
    <row r="57">
      <c r="A57" s="55" t="inlineStr">
        <is>
          <t>Suelo desnudo</t>
        </is>
      </c>
      <c r="B57" s="63" t="n">
        <v>5</v>
      </c>
    </row>
    <row r="74">
      <c r="A74" s="53" t="inlineStr">
        <is>
          <t>Causas activas de degradación (F-DT-04)</t>
        </is>
      </c>
    </row>
    <row r="75">
      <c r="A75" s="54" t="inlineStr">
        <is>
          <t>Causa</t>
        </is>
      </c>
      <c r="B75" s="54" t="inlineStr">
        <is>
          <t>Intensidad (1 ligera - 4 muy fuerte)</t>
        </is>
      </c>
    </row>
    <row r="76">
      <c r="A76" s="55" t="inlineStr">
        <is>
          <t>Cambio de uso a agricultura</t>
        </is>
      </c>
      <c r="B76" s="55" t="n">
        <v>2</v>
      </c>
    </row>
    <row r="77">
      <c r="A77" s="56" t="inlineStr">
        <is>
          <t>Cambio de uso a pastoreo</t>
        </is>
      </c>
      <c r="B77" s="56" t="n">
        <v>2</v>
      </c>
    </row>
    <row r="78">
      <c r="A78" s="55" t="inlineStr">
        <is>
          <t>Sobrepastoreo (caprino/vacuno)</t>
        </is>
      </c>
      <c r="B78" s="55" t="n">
        <v>2</v>
      </c>
    </row>
    <row r="95">
      <c r="A95" s="53" t="inlineStr">
        <is>
          <t>Control de consistencia por calificación</t>
        </is>
      </c>
    </row>
    <row r="96">
      <c r="A96" s="54" t="inlineStr">
        <is>
          <t>Calificación</t>
        </is>
      </c>
      <c r="B96" s="54" t="inlineStr">
        <is>
          <t>Verificaciones</t>
        </is>
      </c>
    </row>
    <row r="97">
      <c r="A97" s="55" t="inlineStr">
        <is>
          <t>SUSTANTIVA</t>
        </is>
      </c>
      <c r="B97" s="55" t="n">
        <v>6</v>
      </c>
    </row>
    <row r="98">
      <c r="A98" s="56" t="inlineStr">
        <is>
          <t>NO SUSTANTIVA</t>
        </is>
      </c>
      <c r="B98" s="56" t="n">
        <v>3</v>
      </c>
    </row>
    <row r="99">
      <c r="A99" s="55" t="inlineStr">
        <is>
          <t>CORREGIDO</t>
        </is>
      </c>
      <c r="B99" s="55" t="n">
        <v>10</v>
      </c>
    </row>
    <row r="100">
      <c r="A100" s="56" t="inlineStr">
        <is>
          <t>CONFORME</t>
        </is>
      </c>
      <c r="B100" s="56" t="n">
        <v>11</v>
      </c>
    </row>
  </sheetData>
  <mergeCells count="5">
    <mergeCell ref="A1:H1"/>
    <mergeCell ref="A4:H4"/>
    <mergeCell ref="A3:H3"/>
    <mergeCell ref="A2:H2"/>
    <mergeCell ref="A5:H5"/>
  </mergeCells>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ANIN - DIME - SESDI | Proyecto IN Piura (CUI 2669244)</dc:creator>
  <dc:title>Plantilla Excel — Bloque 61 — IN Piura</dc:title>
  <dc:subject>Diagnóstico Territorial por bloque de intervención</dc:subject>
  <dcterms:created xsi:type="dcterms:W3CDTF">2026-09-08T03:39:56Z</dcterms:created>
  <dcterms:modified xsi:type="dcterms:W3CDTF">2026-09-11T20:22:30Z</dcterms:modified>
</cp:coreProperties>
</file>