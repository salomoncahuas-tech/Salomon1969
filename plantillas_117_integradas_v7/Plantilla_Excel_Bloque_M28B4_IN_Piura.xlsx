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integración'!$A$66:$A$74</f>
            </numRef>
          </cat>
          <val>
            <numRef>
              <f>'Gráficos de integración'!$B$66:$B$74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M28B4</t>
        </is>
      </c>
    </row>
    <row r="6" ht="24" customHeight="1">
      <c r="A6" s="4" t="inlineStr">
        <is>
          <t>Diagnóstico Territorial — Plantilla DT Campo Check Validada V5 | Sistema de referencia: UTM WGS 84 Zona 17S (EPSG:32717) · Integrado con la ficha de campo F-DT vigente (Plantilla_DT_M28B4_LLENADA.xlsx) — V7 - resumen V6 + campo F-DT integrado</t>
        </is>
      </c>
    </row>
    <row r="7"/>
    <row r="8" ht="18" customHeight="1">
      <c r="A8" s="5" t="inlineStr">
        <is>
          <t>1. IDENTIFICACIÓN Y LOCALIZACIÓN</t>
        </is>
      </c>
    </row>
    <row r="9">
      <c r="A9" s="6" t="inlineStr">
        <is>
          <t>Código del bloque</t>
        </is>
      </c>
      <c r="B9" s="7" t="inlineStr">
        <is>
          <t>M28B4</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Mambluque</t>
        </is>
      </c>
      <c r="C13" s="6" t="inlineStr">
        <is>
          <t>Comunidad campesina</t>
        </is>
      </c>
      <c r="D13" s="7" t="inlineStr">
        <is>
          <t>Caserío Mambluque (predios particulares de posesionarios)</t>
        </is>
      </c>
      <c r="E13" s="8" t="n"/>
      <c r="F13" s="8" t="n"/>
    </row>
    <row r="14">
      <c r="A14" s="6" t="inlineStr">
        <is>
          <t>Superficie de catálogo (V5/V6), ha</t>
        </is>
      </c>
      <c r="B14" s="7" t="n">
        <v>283.43</v>
      </c>
      <c r="C14" s="6" t="inlineStr">
        <is>
          <t>Fuente de superficie</t>
        </is>
      </c>
      <c r="D14" s="7" t="inlineStr">
        <is>
          <t>Catálogo maestro Bloques V5/V6</t>
        </is>
      </c>
      <c r="E14" s="8" t="n"/>
      <c r="F14" s="8" t="n"/>
    </row>
    <row r="15">
      <c r="A15" s="6" t="inlineStr">
        <is>
          <t>Centroide UTM ESTE (m)</t>
        </is>
      </c>
      <c r="B15" s="7" t="n">
        <v>626078</v>
      </c>
      <c r="C15" s="6" t="inlineStr">
        <is>
          <t>Centroide UTM NORTE (m)</t>
        </is>
      </c>
      <c r="D15" s="7" t="n">
        <v>9427110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297</v>
      </c>
      <c r="C19" s="6" t="inlineStr">
        <is>
          <t>Altitud máxima (msnm)</t>
        </is>
      </c>
      <c r="D19" s="7" t="n">
        <v>634</v>
      </c>
      <c r="E19" s="8" t="n"/>
      <c r="F19" s="8" t="n"/>
    </row>
    <row r="20">
      <c r="A20" s="6" t="inlineStr">
        <is>
          <t>Amplitud altitudinal (m)</t>
        </is>
      </c>
      <c r="B20" s="7" t="n">
        <v>337</v>
      </c>
      <c r="C20" s="6" t="inlineStr">
        <is>
          <t>Piso altitudinal dominante</t>
        </is>
      </c>
      <c r="D20" s="7" t="inlineStr">
        <is>
          <t>&lt;1000 m (Yunga)</t>
        </is>
      </c>
      <c r="E20" s="8" t="n"/>
      <c r="F20" s="8" t="n"/>
    </row>
    <row r="21">
      <c r="A21" s="6" t="inlineStr">
        <is>
          <t>Pendiente promedio (%)</t>
        </is>
      </c>
      <c r="B21" s="7" t="n">
        <v>13.75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 — pendiente media medida en perfil de campo 20.9%, máxima 49% (Google Earth)</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0.4275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(43.51 %)</t>
        </is>
      </c>
      <c r="E29" s="8" t="n"/>
      <c r="F29" s="8" t="n"/>
    </row>
    <row r="30">
      <c r="A30" s="6" t="inlineStr">
        <is>
          <t>Superficie clasificada NDVI 2025 (ha)</t>
        </is>
      </c>
      <c r="B30" s="7" t="n">
        <v>283.543</v>
      </c>
      <c r="C30" s="6" t="inlineStr">
        <is>
          <t>Desviación frente al catálogo (%)</t>
        </is>
      </c>
      <c r="D30" s="7" t="n">
        <v>0.04</v>
      </c>
      <c r="E30" s="8" t="n"/>
      <c r="F30" s="8" t="n"/>
    </row>
    <row r="31">
      <c r="A31" s="6" t="inlineStr">
        <is>
          <t>Superficie clasificada MSAVI 2024 (ha)</t>
        </is>
      </c>
      <c r="B31" s="38" t="n">
        <v>283.428</v>
      </c>
      <c r="C31" s="6" t="inlineStr">
        <is>
          <t>Desviación MSAVI frente al catálogo (%)</t>
        </is>
      </c>
      <c r="D31" s="39" t="n">
        <v>0</v>
      </c>
      <c r="E31" s="8" t="n"/>
      <c r="F31" s="8" t="n"/>
    </row>
    <row r="32">
      <c r="A32" s="6" t="inlineStr">
        <is>
          <t>Superficie bajo umbral MSAVI 0.4976 (ha)</t>
        </is>
      </c>
      <c r="B32" s="38" t="n">
        <v>212.024</v>
      </c>
      <c r="C32" s="6" t="inlineStr">
        <is>
          <t>% del bloque bajo umbral (brecha espectral)</t>
        </is>
      </c>
      <c r="D32" s="39" t="n">
        <v>74.81</v>
      </c>
      <c r="E32" s="8" t="n"/>
      <c r="F32" s="8" t="n"/>
    </row>
    <row r="33">
      <c r="A33" s="6" t="inlineStr">
        <is>
          <t>Clase DN dominante (MSAVI 2024)</t>
        </is>
      </c>
      <c r="B33" s="7" t="inlineStr">
        <is>
          <t>DN 3 · 0.3813 - 0.4976 (Vigor bajo)</t>
        </is>
      </c>
      <c r="C33" s="6" t="inlineStr">
        <is>
          <t>N.° de polígonos MSAVI del bloque</t>
        </is>
      </c>
      <c r="D33" s="40" t="n">
        <v>905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270 ha de 283.43 ha del bloque (95.3%)</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Enfermo (plaga) — infestación masiva por plantas parásitas</t>
        </is>
      </c>
      <c r="E41" s="8" t="n"/>
      <c r="F41" s="8" t="n"/>
    </row>
    <row r="42"/>
    <row r="43" ht="18" customHeight="1">
      <c r="A43" s="5" t="inlineStr">
        <is>
          <t>5. RESPONSABLE Y MODALIDAD DE LA EVALUACIÓN</t>
        </is>
      </c>
    </row>
    <row r="44">
      <c r="A44" s="6" t="inlineStr">
        <is>
          <t>Responsable de la evaluación</t>
        </is>
      </c>
      <c r="B44" s="7" t="inlineStr">
        <is>
          <t>Ing. Héctor S. Cahuas Miller / Ing. Juan Carlos Domínguez Varas (ANIN-DIME-SESDI)</t>
        </is>
      </c>
      <c r="C44" s="6" t="inlineStr">
        <is>
          <t>Fecha de evaluación</t>
        </is>
      </c>
      <c r="D44" s="7" t="inlineStr">
        <is>
          <t>2026-05-22</t>
        </is>
      </c>
      <c r="E44" s="8" t="n"/>
      <c r="F44" s="8" t="n"/>
    </row>
    <row r="45">
      <c r="A45" s="6" t="inlineStr">
        <is>
          <t>Hora de registro</t>
        </is>
      </c>
      <c r="B45" s="7" t="inlineStr">
        <is>
          <t>11:40 a.m.</t>
        </is>
      </c>
      <c r="C45" s="6" t="inlineStr">
        <is>
          <t>Correlativo de ficha</t>
        </is>
      </c>
      <c r="D45" s="7" t="inlineStr">
        <is>
          <t>DT-M28B4-01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(bosque seco, ladera media)</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sobre el bosque seco (ganadería extensiva y extracción de recursos)</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2.1624</v>
      </c>
      <c r="C10" s="19">
        <f>ROUND(B10/$B$15*100,2)</f>
        <v/>
      </c>
      <c r="D10" s="11" t="inlineStr">
        <is>
          <t>Vigor alto</t>
        </is>
      </c>
      <c r="E10" s="11" t="inlineStr">
        <is>
          <t>Sobre umbral</t>
        </is>
      </c>
    </row>
    <row r="11">
      <c r="A11" s="12" t="inlineStr">
        <is>
          <t>0.4976 - 0.6139 · DN 4</t>
        </is>
      </c>
      <c r="B11" s="20" t="n">
        <v>69.2422</v>
      </c>
      <c r="C11" s="21">
        <f>ROUND(B11/$B$15*100,2)</f>
        <v/>
      </c>
      <c r="D11" s="13" t="inlineStr">
        <is>
          <t>Vigor moderado</t>
        </is>
      </c>
      <c r="E11" s="13" t="inlineStr">
        <is>
          <t>Sobre umbral</t>
        </is>
      </c>
    </row>
    <row r="12">
      <c r="A12" s="14" t="inlineStr">
        <is>
          <t>0.3813 - 0.4976 · DN 3</t>
        </is>
      </c>
      <c r="B12" s="30" t="n">
        <v>107.5985</v>
      </c>
      <c r="C12" s="29">
        <f>ROUND(B12/$B$15*100,2)</f>
        <v/>
      </c>
      <c r="D12" s="15" t="inlineStr">
        <is>
          <t>Vigor bajo</t>
        </is>
      </c>
      <c r="E12" s="15" t="inlineStr">
        <is>
          <t>BAJO umbral 0.4976</t>
        </is>
      </c>
    </row>
    <row r="13">
      <c r="A13" s="12" t="inlineStr">
        <is>
          <t>0.2650 - 0.3813 · DN 2</t>
        </is>
      </c>
      <c r="B13" s="20" t="n">
        <v>103.9897</v>
      </c>
      <c r="C13" s="21">
        <f>ROUND(B13/$B$15*100,2)</f>
        <v/>
      </c>
      <c r="D13" s="13" t="inlineStr">
        <is>
          <t>Vigor muy bajo</t>
        </is>
      </c>
      <c r="E13" s="13" t="inlineStr">
        <is>
          <t>BAJO umbral 0.4976</t>
        </is>
      </c>
    </row>
    <row r="14">
      <c r="A14" s="7" t="inlineStr">
        <is>
          <t>&lt;= 0.2650 · DN 1</t>
        </is>
      </c>
      <c r="B14" s="18" t="n">
        <v>0.4355</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905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283.43</v>
      </c>
      <c r="C18" s="49" t="inlineStr">
        <is>
          <t>—</t>
        </is>
      </c>
      <c r="D18" s="46" t="inlineStr">
        <is>
          <t>Desviación planimétrica frente al catálogo</t>
        </is>
      </c>
      <c r="E18" s="46" t="inlineStr">
        <is>
          <t>+0.00 %</t>
        </is>
      </c>
    </row>
    <row r="19">
      <c r="A19" s="16" t="inlineStr">
        <is>
          <t>MSAVI 2024 — MEDIA DEL BLOQUE</t>
        </is>
      </c>
      <c r="B19" s="17" t="n">
        <v>0.42751</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(0.4275)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51.2943</v>
      </c>
      <c r="C25" s="19" t="n">
        <v>18.09</v>
      </c>
      <c r="D25" s="11" t="inlineStr">
        <is>
          <t>Dosel continuo, matorral denso o mosaico agroforestal</t>
        </is>
      </c>
      <c r="E25" s="11" t="inlineStr"/>
    </row>
    <row r="26">
      <c r="A26" s="12" t="inlineStr">
        <is>
          <t>Vegetación mediana</t>
        </is>
      </c>
      <c r="B26" s="20" t="n">
        <v>123.3696</v>
      </c>
      <c r="C26" s="21" t="n">
        <v>43.51</v>
      </c>
      <c r="D26" s="13" t="inlineStr">
        <is>
          <t>Pastizal cultivado, matorral ralo, parcelas agrícolas</t>
        </is>
      </c>
      <c r="E26" s="13" t="inlineStr"/>
    </row>
    <row r="27">
      <c r="A27" s="7" t="inlineStr">
        <is>
          <t>Vegetación ligera</t>
        </is>
      </c>
      <c r="B27" s="18" t="n">
        <v>105.1473</v>
      </c>
      <c r="C27" s="19" t="n">
        <v>37.08</v>
      </c>
      <c r="D27" s="11" t="inlineStr">
        <is>
          <t>Cobertura discontinua, suelo parcialmente expuesto</t>
        </is>
      </c>
      <c r="E27" s="11" t="inlineStr"/>
    </row>
    <row r="28">
      <c r="A28" s="12" t="inlineStr">
        <is>
          <t>Tierra desnuda</t>
        </is>
      </c>
      <c r="B28" s="20" t="n">
        <v>3.7322</v>
      </c>
      <c r="C28" s="21" t="n">
        <v>1.32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283.43</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18.09 % del polígono clasificado como «Vegetación alta» por el NDVI 2025; la observación de campo corresponde a una parcela o recorrido puntual y no es estadísticamente representativa de las 283.430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M28B4</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625873</v>
      </c>
      <c r="D10" s="26" t="n">
        <v>9427251</v>
      </c>
      <c r="E10" s="11" t="n">
        <v>248.8</v>
      </c>
      <c r="F10" s="11" t="inlineStr"/>
      <c r="G10" s="11" t="inlineStr">
        <is>
          <t>Coordenada consignada en F-DT-01</t>
        </is>
      </c>
    </row>
    <row r="11">
      <c r="A11" s="12" t="inlineStr">
        <is>
          <t>C-01</t>
        </is>
      </c>
      <c r="B11" s="13" t="inlineStr">
        <is>
          <t>Rasgo erosivo — Cárcava somera</t>
        </is>
      </c>
      <c r="C11" s="27" t="n">
        <v>625599</v>
      </c>
      <c r="D11" s="27" t="n">
        <v>9426835</v>
      </c>
      <c r="E11" s="13" t="n">
        <v>552.3</v>
      </c>
      <c r="F11" s="13" t="n">
        <v>45</v>
      </c>
      <c r="G11" s="13" t="n">
        <v>1.2</v>
      </c>
    </row>
    <row r="12">
      <c r="A12" s="7" t="inlineStr">
        <is>
          <t>C-02</t>
        </is>
      </c>
      <c r="B12" s="11" t="inlineStr">
        <is>
          <t>Rasgo erosivo — Cárcava incipiente</t>
        </is>
      </c>
      <c r="C12" s="26" t="n">
        <v>625583</v>
      </c>
      <c r="D12" s="26" t="n">
        <v>9426830</v>
      </c>
      <c r="E12" s="11" t="n">
        <v>568.7</v>
      </c>
      <c r="F12" s="11" t="n">
        <v>30</v>
      </c>
      <c r="G12" s="11" t="n">
        <v>0.4</v>
      </c>
    </row>
    <row r="13">
      <c r="A13" s="12" t="inlineStr">
        <is>
          <t>C-03</t>
        </is>
      </c>
      <c r="B13" s="13" t="inlineStr">
        <is>
          <t>Rasgo erosivo — Surco (&lt;30 cm)</t>
        </is>
      </c>
      <c r="C13" s="27" t="n">
        <v>625834</v>
      </c>
      <c r="D13" s="27" t="n">
        <v>9427153</v>
      </c>
      <c r="E13" s="13" t="n">
        <v>247.8</v>
      </c>
      <c r="F13" s="13" t="n">
        <v>25</v>
      </c>
      <c r="G13" s="13" t="n">
        <v>0.2</v>
      </c>
    </row>
    <row r="14">
      <c r="A14" s="7" t="inlineStr">
        <is>
          <t>H-01</t>
        </is>
      </c>
      <c r="B14" s="11" t="inlineStr">
        <is>
          <t>Fuente de agua — 1</t>
        </is>
      </c>
      <c r="C14" s="26" t="inlineStr">
        <is>
          <t>Quebrada estacional (Qbda. Alta)</t>
        </is>
      </c>
      <c r="D14" s="26" t="n">
        <v>625980</v>
      </c>
      <c r="E14" s="11" t="inlineStr"/>
      <c r="F14" s="11" t="n">
        <v>9427900</v>
      </c>
      <c r="G14" s="11" t="inlineStr"/>
    </row>
    <row r="15">
      <c r="A15" s="12" t="inlineStr">
        <is>
          <t>H-02</t>
        </is>
      </c>
      <c r="B15" s="13" t="inlineStr">
        <is>
          <t>Fuente de agua — 2</t>
        </is>
      </c>
      <c r="C15" s="27" t="inlineStr">
        <is>
          <t>Quebrada estacional (Qbda. Alta 2)</t>
        </is>
      </c>
      <c r="D15" s="27" t="n">
        <v>626100</v>
      </c>
      <c r="E15" s="13" t="inlineStr"/>
      <c r="F15" s="13" t="n">
        <v>9428100</v>
      </c>
      <c r="G15" s="13" t="inlineStr"/>
    </row>
    <row r="16">
      <c r="A16" s="7" t="inlineStr">
        <is>
          <t>B-01</t>
        </is>
      </c>
      <c r="B16" s="11" t="inlineStr">
        <is>
          <t>Especie clave — Hualtaco (Loxopterygium huasango)</t>
        </is>
      </c>
      <c r="C16" s="26" t="inlineStr">
        <is>
          <t>625873</t>
        </is>
      </c>
      <c r="D16" s="26" t="inlineStr">
        <is>
          <t>9427251</t>
        </is>
      </c>
      <c r="E16" s="11" t="n">
        <v>248.8</v>
      </c>
      <c r="F16" s="11" t="inlineStr">
        <is>
          <t>Amenazada (D.S. 043-2006-AG)</t>
        </is>
      </c>
      <c r="G16" s="11" t="inlineStr">
        <is>
          <t>EN - En Peligro</t>
        </is>
      </c>
    </row>
    <row r="17">
      <c r="A17" s="12" t="inlineStr">
        <is>
          <t>B-02</t>
        </is>
      </c>
      <c r="B17" s="13" t="inlineStr">
        <is>
          <t>Especie clave — Palo Santo (Bursera graveolens)</t>
        </is>
      </c>
      <c r="C17" s="27" t="inlineStr">
        <is>
          <t>625891</t>
        </is>
      </c>
      <c r="D17" s="27" t="inlineStr">
        <is>
          <t>9427272</t>
        </is>
      </c>
      <c r="E17" s="13" t="n">
        <v>247.4</v>
      </c>
      <c r="F17" s="13" t="inlineStr">
        <is>
          <t>Amenazada (D.S. 043-2006-AG)</t>
        </is>
      </c>
      <c r="G17" s="13" t="inlineStr">
        <is>
          <t>CR - En Peligro Crítico</t>
        </is>
      </c>
    </row>
    <row r="18">
      <c r="A18" s="7" t="inlineStr">
        <is>
          <t>B-03</t>
        </is>
      </c>
      <c r="B18" s="11" t="inlineStr">
        <is>
          <t>Especie clave — Sapote / Vichayo (Colicodendron scabridum)</t>
        </is>
      </c>
      <c r="C18" s="26" t="inlineStr">
        <is>
          <t>625834</t>
        </is>
      </c>
      <c r="D18" s="26" t="inlineStr">
        <is>
          <t>9427153</t>
        </is>
      </c>
      <c r="E18" s="11" t="n">
        <v>247.8</v>
      </c>
      <c r="F18" s="11" t="inlineStr">
        <is>
          <t>Amenazada (D.S. 043-2006-AG)</t>
        </is>
      </c>
      <c r="G18" s="11" t="inlineStr">
        <is>
          <t>CR - En Peligro Crítico</t>
        </is>
      </c>
    </row>
    <row r="19">
      <c r="A19" s="12" t="inlineStr">
        <is>
          <t>B-04</t>
        </is>
      </c>
      <c r="B19" s="13" t="inlineStr">
        <is>
          <t>Especie clave — Ceiba / Ceibo (Ceiba trichistandra)</t>
        </is>
      </c>
      <c r="C19" s="27" t="inlineStr">
        <is>
          <t>625530</t>
        </is>
      </c>
      <c r="D19" s="27" t="inlineStr">
        <is>
          <t>9426815</t>
        </is>
      </c>
      <c r="E19" s="13" t="n">
        <v>622.4</v>
      </c>
      <c r="F19" s="13" t="inlineStr">
        <is>
          <t>Indicadora de buen estado</t>
        </is>
      </c>
      <c r="G19" s="13" t="inlineStr">
        <is>
          <t>LC - Preocupación Menor</t>
        </is>
      </c>
    </row>
    <row r="20">
      <c r="A20" s="7" t="inlineStr">
        <is>
          <t>B-05</t>
        </is>
      </c>
      <c r="B20" s="11" t="inlineStr">
        <is>
          <t>Especie clave — Faique (Acacia macracantha)</t>
        </is>
      </c>
      <c r="C20" s="26" t="inlineStr">
        <is>
          <t>625900</t>
        </is>
      </c>
      <c r="D20" s="26" t="inlineStr">
        <is>
          <t>9427250</t>
        </is>
      </c>
      <c r="E20" s="11" t="n">
        <v>226.5</v>
      </c>
      <c r="F20" s="11" t="inlineStr">
        <is>
          <t>Amenazada (D.S. 043-2006-AG)</t>
        </is>
      </c>
      <c r="G20" s="11" t="inlineStr">
        <is>
          <t>NT - Casi Amenazada</t>
        </is>
      </c>
    </row>
    <row r="21">
      <c r="A21" s="12" t="inlineStr">
        <is>
          <t>B-06</t>
        </is>
      </c>
      <c r="B21" s="13" t="inlineStr">
        <is>
          <t>Especie clave — Algarrobo (Prosopis pallida)</t>
        </is>
      </c>
      <c r="C21" s="27" t="inlineStr">
        <is>
          <t>625600</t>
        </is>
      </c>
      <c r="D21" s="27" t="inlineStr">
        <is>
          <t>9426905</t>
        </is>
      </c>
      <c r="E21" s="13" t="n">
        <v>520.1</v>
      </c>
      <c r="F21" s="13" t="inlineStr">
        <is>
          <t>Amenazada (D.S. 043-2006-AG)</t>
        </is>
      </c>
      <c r="G21" s="13" t="inlineStr">
        <is>
          <t>VU - Vulnerable</t>
        </is>
      </c>
    </row>
    <row r="22">
      <c r="A22" s="7" t="inlineStr">
        <is>
          <t>B-07</t>
        </is>
      </c>
      <c r="B22" s="11" t="inlineStr">
        <is>
          <t>Especie clave — Muérdago (Psittacanthus sp.)</t>
        </is>
      </c>
      <c r="C22" s="26" t="inlineStr">
        <is>
          <t>625873</t>
        </is>
      </c>
      <c r="D22" s="26" t="inlineStr">
        <is>
          <t>9427251</t>
        </is>
      </c>
      <c r="E22" s="11" t="n">
        <v>248.8</v>
      </c>
      <c r="F22" s="11" t="inlineStr">
        <is>
          <t>Indicadora de perturbación</t>
        </is>
      </c>
      <c r="G22" s="11" t="inlineStr">
        <is>
          <t>No aplica</t>
        </is>
      </c>
    </row>
    <row r="23">
      <c r="A23" s="16" t="inlineStr">
        <is>
          <t>TOTAL: 13 puntos</t>
        </is>
      </c>
      <c r="B23" s="17" t="inlineStr"/>
      <c r="C23" s="17" t="inlineStr"/>
      <c r="D23" s="17" t="inlineStr"/>
      <c r="E23" s="17" t="inlineStr"/>
      <c r="F23" s="17" t="inlineStr"/>
      <c r="G23" s="17" t="inlineStr"/>
    </row>
    <row r="25">
      <c r="A25" s="6" t="inlineStr">
        <is>
          <t>Centroide del bloque — UTM ESTE (m)</t>
        </is>
      </c>
      <c r="B25" s="7" t="n">
        <v>626078</v>
      </c>
      <c r="C25" s="6" t="inlineStr">
        <is>
          <t>Centroide del bloque — UTM NORTE (m)</t>
        </is>
      </c>
      <c r="D25" s="7" t="n">
        <v>9427110</v>
      </c>
      <c r="E25" s="8" t="n"/>
      <c r="F25" s="8" t="n"/>
      <c r="G25" s="8" t="n"/>
      <c r="H25" s="8" t="n"/>
    </row>
    <row r="26">
      <c r="A26" s="6" t="inlineStr">
        <is>
          <t>N.° de estaciones fotográficas declaradas</t>
        </is>
      </c>
      <c r="B26" s="7" t="n">
        <v>0</v>
      </c>
      <c r="C26" s="6" t="inlineStr">
        <is>
          <t>Estaciones dentro del polígono</t>
        </is>
      </c>
      <c r="D26" s="7" t="n">
        <v>0</v>
      </c>
      <c r="E26" s="8" t="n"/>
      <c r="F26" s="8" t="n"/>
      <c r="G26" s="8" t="n"/>
      <c r="H26" s="8" t="n"/>
    </row>
    <row r="28" ht="120" customHeight="1">
      <c r="A2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seleccionado por su rol en la regulación de movimientos en masa y la generación de escorrentía en la ZONA DE ORIGEN de los peligros (cabecera de la microcuenca C1086-Q9575). Las acumulaciones de bloques angulosos en quebradas son compatibles con flujos de detritos antiguos; la parte alta presenta susceptibilidad latente a remociones en masa. El rango altitudinal declarado (&lt;1000 m) corresponde a la franja accesible inspeccionada; el bloque alcanza cotas superiores a 1100 msnm en la cresta NE, inaccesible durante la visita.</t>
        </is>
      </c>
      <c r="B28" s="41" t="n"/>
      <c r="C28" s="41" t="n"/>
      <c r="D28" s="41" t="n"/>
      <c r="E28" s="41" t="n"/>
      <c r="F28" s="41" t="n"/>
      <c r="G28" s="42" t="n"/>
    </row>
  </sheetData>
  <mergeCells count="8">
    <mergeCell ref="A1:G1"/>
    <mergeCell ref="A8:G8"/>
    <mergeCell ref="A3:G3"/>
    <mergeCell ref="A6:G6"/>
    <mergeCell ref="A4:G4"/>
    <mergeCell ref="A2:G2"/>
    <mergeCell ref="A28:G28"/>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M28B4</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M28B4</t>
        </is>
      </c>
      <c r="B10" s="28" t="n">
        <v>283.43</v>
      </c>
      <c r="C10" s="29" t="n">
        <v>58.52</v>
      </c>
      <c r="D10" s="15" t="inlineStr">
        <is>
          <t>297 – 634</t>
        </is>
      </c>
      <c r="E10" s="15" t="n">
        <v>337</v>
      </c>
      <c r="F10" s="15" t="n">
        <v>13.75</v>
      </c>
      <c r="G10" s="30" t="n">
        <v>0.4275</v>
      </c>
      <c r="H10" s="29" t="n">
        <v>18.09</v>
      </c>
      <c r="I10" s="29" t="n">
        <v>74.81</v>
      </c>
    </row>
    <row r="11">
      <c r="A11" s="12" t="inlineStr">
        <is>
          <t>M28B2</t>
        </is>
      </c>
      <c r="B11" s="31" t="n">
        <v>90.2</v>
      </c>
      <c r="C11" s="21" t="n">
        <v>18.62</v>
      </c>
      <c r="D11" s="13" t="inlineStr">
        <is>
          <t>754 – 1111</t>
        </is>
      </c>
      <c r="E11" s="13" t="n">
        <v>357</v>
      </c>
      <c r="F11" s="13" t="n">
        <v>20.65</v>
      </c>
      <c r="G11" s="20" t="n">
        <v>0.4753</v>
      </c>
      <c r="H11" s="21" t="n">
        <v>37.12</v>
      </c>
      <c r="I11" s="21" t="n">
        <v>62.19</v>
      </c>
    </row>
    <row r="12">
      <c r="A12" s="7" t="inlineStr">
        <is>
          <t>M28B3</t>
        </is>
      </c>
      <c r="B12" s="32" t="n">
        <v>58.29</v>
      </c>
      <c r="C12" s="19" t="n">
        <v>12.04</v>
      </c>
      <c r="D12" s="11" t="inlineStr">
        <is>
          <t>73 – 777</t>
        </is>
      </c>
      <c r="E12" s="11" t="n">
        <v>704</v>
      </c>
      <c r="F12" s="11" t="n">
        <v>22.13</v>
      </c>
      <c r="G12" s="18" t="n">
        <v>0.5075</v>
      </c>
      <c r="H12" s="19" t="n">
        <v>45.27</v>
      </c>
      <c r="I12" s="19" t="n">
        <v>49.67</v>
      </c>
    </row>
    <row r="13">
      <c r="A13" s="12" t="inlineStr">
        <is>
          <t>46</t>
        </is>
      </c>
      <c r="B13" s="31" t="n">
        <v>18.87</v>
      </c>
      <c r="C13" s="21" t="n">
        <v>3.9</v>
      </c>
      <c r="D13" s="13" t="inlineStr">
        <is>
          <t>1371 – 1655</t>
        </is>
      </c>
      <c r="E13" s="13" t="n">
        <v>284</v>
      </c>
      <c r="F13" s="13" t="n">
        <v>31.77</v>
      </c>
      <c r="G13" s="20" t="n">
        <v>0.7244</v>
      </c>
      <c r="H13" s="21" t="inlineStr">
        <is>
          <t>Por determinar</t>
        </is>
      </c>
      <c r="I13" s="13" t="inlineStr">
        <is>
          <t>s/d</t>
        </is>
      </c>
    </row>
    <row r="14">
      <c r="A14" s="7" t="inlineStr">
        <is>
          <t>49</t>
        </is>
      </c>
      <c r="B14" s="32" t="n">
        <v>15.84</v>
      </c>
      <c r="C14" s="19" t="n">
        <v>3.27</v>
      </c>
      <c r="D14" s="11" t="inlineStr">
        <is>
          <t>3065 – 3246</t>
        </is>
      </c>
      <c r="E14" s="11" t="n">
        <v>181</v>
      </c>
      <c r="F14" s="11" t="n">
        <v>25.96</v>
      </c>
      <c r="G14" s="18" t="n">
        <v>0.6860000000000001</v>
      </c>
      <c r="H14" s="19" t="n">
        <v>98.8</v>
      </c>
      <c r="I14" s="19" t="n">
        <v>3.64</v>
      </c>
    </row>
    <row r="15">
      <c r="A15" s="12" t="inlineStr">
        <is>
          <t>52</t>
        </is>
      </c>
      <c r="B15" s="31" t="n">
        <v>11.06</v>
      </c>
      <c r="C15" s="21" t="n">
        <v>2.28</v>
      </c>
      <c r="D15" s="13" t="inlineStr">
        <is>
          <t>3011 – 3164</t>
        </is>
      </c>
      <c r="E15" s="13" t="n">
        <v>153</v>
      </c>
      <c r="F15" s="13" t="n">
        <v>26.16</v>
      </c>
      <c r="G15" s="20" t="n">
        <v>0.6685</v>
      </c>
      <c r="H15" s="21" t="n">
        <v>97.31999999999999</v>
      </c>
      <c r="I15" s="21" t="n">
        <v>3.8</v>
      </c>
    </row>
    <row r="16">
      <c r="A16" s="7" t="inlineStr">
        <is>
          <t>48</t>
        </is>
      </c>
      <c r="B16" s="32" t="n">
        <v>5.75</v>
      </c>
      <c r="C16" s="19" t="n">
        <v>1.19</v>
      </c>
      <c r="D16" s="11" t="inlineStr">
        <is>
          <t>1458 – 1595</t>
        </is>
      </c>
      <c r="E16" s="11" t="n">
        <v>137</v>
      </c>
      <c r="F16" s="11" t="n">
        <v>33.6</v>
      </c>
      <c r="G16" s="18" t="n">
        <v>0.6978</v>
      </c>
      <c r="H16" s="19" t="inlineStr">
        <is>
          <t>Por determinar</t>
        </is>
      </c>
      <c r="I16" s="11" t="inlineStr">
        <is>
          <t>s/d</t>
        </is>
      </c>
    </row>
    <row r="17">
      <c r="A17" s="12" t="inlineStr">
        <is>
          <t>55</t>
        </is>
      </c>
      <c r="B17" s="31" t="n">
        <v>0.86</v>
      </c>
      <c r="C17" s="21" t="n">
        <v>0.18</v>
      </c>
      <c r="D17" s="13" t="inlineStr">
        <is>
          <t>3066 – 3131</t>
        </is>
      </c>
      <c r="E17" s="13" t="n">
        <v>65</v>
      </c>
      <c r="F17" s="13"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1" t="n"/>
      <c r="I19" s="42" t="n"/>
    </row>
    <row r="21" ht="84" customHeight="1">
      <c r="A21" s="9" t="inlineStr">
        <is>
          <t>LECTURA INTRAMICROCUENCA. El bloque M28B4 ocupa el puesto 1 de 8 por superficie dentro de la microcuenca C1086-Q9575 (58.52 % de las 484.30 ha preliminares de la microcuenca). Su pendiente promedio (13.75 %, clase «8-15% (Mod. inclinado)») es la 1.ª más baja de 8 y se sitúa por debajo del promedio de la microcuenca (25.51 %). Su MSAVI 2024 (0.4275) es el 8.º de 8 y queda por debajo del promedio local (0.6021). Amplitud altitudinal del bloque: 337 m (297–634 msnm). El cuadro conserva todos los bloques catalogados en la microcuenca, incluidos los descartados en el tamizaje, para referencia del conjunto. Los bloques sin ficha DT figuran con sus parámetros de gabinete. BRECHA ESPECTRAL. El 74.81 % de la superficie del bloque (212.024 ha de 283.428 ha) se sitúa bajo el umbral MSAVI 0.4976, por encima del promedio local de la microcuenca (32.64 %) calculado sobre los bloques con dato MSAVI disponible.</t>
        </is>
      </c>
      <c r="B21" s="41" t="n"/>
      <c r="C21" s="41" t="n"/>
      <c r="D21" s="41" t="n"/>
      <c r="E21" s="41" t="n"/>
      <c r="F21" s="41" t="n"/>
      <c r="G21" s="41" t="n"/>
      <c r="H21" s="41" t="n"/>
      <c r="I21" s="42"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1" t="n"/>
      <c r="I23" s="42"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M28B4</t>
        </is>
      </c>
    </row>
    <row r="6">
      <c r="A6" s="51" t="inlineStr">
        <is>
          <t>Cruce de la ficha de campo F-DT vigente con la ficha de resumen de gabinete y el catálogo maestro. Integración 2026-09-11 21:26:35.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«C1086-Q9575».</t>
        </is>
      </c>
      <c r="D9" s="55" t="inlineStr">
        <is>
          <t>CONFORME</t>
        </is>
      </c>
      <c r="E9" s="55" t="inlineStr">
        <is>
          <t>Sin acción.</t>
        </is>
      </c>
    </row>
    <row r="10">
      <c r="A10" s="56" t="inlineStr">
        <is>
          <t>G-02</t>
        </is>
      </c>
      <c r="B10" s="56" t="inlineStr">
        <is>
          <t>UTM del punto de muestreo</t>
        </is>
      </c>
      <c r="C10" s="56" t="inlineStr">
        <is>
          <t>El punto de muestreo declarado dista 265.8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(430 msnm) cae dentro del rango altitudinal del bloque (297 - 634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(283.543 ha) se desvía 0.04 % de la superficie de catálogo (283.43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(283.428 ha) se desvía -0.00 % de la superficie de catálogo (283.43 ha).</t>
        </is>
      </c>
      <c r="D14" s="56" t="inlineStr">
        <is>
          <t>CONFORME</t>
        </is>
      </c>
      <c r="E14" s="56" t="inlineStr">
        <is>
          <t>Sin acción: la segmentación valida la geometría del bloque.</t>
        </is>
      </c>
    </row>
    <row r="15">
      <c r="A15" s="55" t="inlineStr">
        <is>
          <t>G-07</t>
        </is>
      </c>
      <c r="B15" s="55" t="inlineStr">
        <is>
          <t>Brecha espectral MSAVI</t>
        </is>
      </c>
      <c r="C15" s="55" t="inlineStr">
        <is>
          <t>El 74.81 % del bloque queda bajo el umbral 0.4976; superficie de brecha 212.02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283.43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(0.4275)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100.0 % de los campos esperados).</t>
        </is>
      </c>
      <c r="D19" s="55" t="inlineStr">
        <is>
          <t>CONFORME</t>
        </is>
      </c>
      <c r="E19" s="55" t="inlineStr">
        <is>
          <t>Sin acción.</t>
        </is>
      </c>
    </row>
    <row r="20">
      <c r="A20" s="56" t="inlineStr">
        <is>
          <t>F-02</t>
        </is>
      </c>
      <c r="B20" s="56" t="inlineStr">
        <is>
          <t>Cobertura de la integración</t>
        </is>
      </c>
      <c r="C20" s="56" t="inlineStr">
        <is>
          <t>Se declararon 111 de 114 hechos integrados (97.4 %); 3 quedan sin dato en ninguna fuente.</t>
        </is>
      </c>
      <c r="D20" s="56" t="inlineStr">
        <is>
          <t>CONFORME</t>
        </is>
      </c>
      <c r="E20" s="56" t="inlineStr">
        <is>
          <t>Sin acción.</t>
        </is>
      </c>
    </row>
    <row r="21">
      <c r="A21" s="55" t="inlineStr">
        <is>
          <t>H-01</t>
        </is>
      </c>
      <c r="B21" s="55" t="inlineStr">
        <is>
          <t>Rango de pendiente dominante</t>
        </is>
      </c>
      <c r="C21" s="55" t="inlineStr">
        <is>
          <t>La ficha DT declara «25-50% (Mod. escarpado) — pendiente media medida en perfil de campo 20.9%, máxima 49% (Google Earth)»; la estadística zonal sobre el MDE arroja una pendiente promedio de 13.75 %, que corresponde a la clase «8-15% (Mod. inclinado)»</t>
        </is>
      </c>
      <c r="D21" s="55" t="inlineStr">
        <is>
          <t>NO SUSTANTIVA</t>
        </is>
      </c>
      <c r="E21"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6" t="inlineStr">
        <is>
          <t>H-02</t>
        </is>
      </c>
      <c r="B22" s="56" t="inlineStr">
        <is>
          <t>Cobertura vegetal total</t>
        </is>
      </c>
      <c r="C22" s="56" t="inlineStr">
        <is>
          <t>La ficha DT estima 60 % de cobertura vegetal en campo; el NDVI mediana 2025 clasifica 98.68 % del polígono en clases de vegetación</t>
        </is>
      </c>
      <c r="D22" s="56" t="inlineStr">
        <is>
          <t>NO SUSTANTIVA</t>
        </is>
      </c>
      <c r="E22"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5" t="inlineStr">
        <is>
          <t>H-03</t>
        </is>
      </c>
      <c r="B23" s="55" t="inlineStr">
        <is>
          <t>Representatividad del levantamiento</t>
        </is>
      </c>
      <c r="C23" s="55" t="inlineStr">
        <is>
          <t>Ninguna de las estaciones fotográficas georreferenciadas se localiza dentro del polígono del bloque</t>
        </is>
      </c>
      <c r="D23" s="55" t="inlineStr">
        <is>
          <t>SUSTANTIVA</t>
        </is>
      </c>
      <c r="E23" s="55" t="inlineStr">
        <is>
          <t>La verificación documenta el perímetro y la vista panorámica del bloque, no su interior. Los parámetros que exigen recorrido interno se consignan «Por determinar». (Verificación heredada de la ficha de resumen V6.)</t>
        </is>
      </c>
    </row>
    <row r="24">
      <c r="A24" s="56" t="inlineStr">
        <is>
          <t>H-04</t>
        </is>
      </c>
      <c r="B24" s="56" t="inlineStr">
        <is>
          <t>Centro poblado asociado</t>
        </is>
      </c>
      <c r="C24" s="56" t="inlineStr">
        <is>
          <t>La ficha DT declara «Mambluque»; el cruce INEI-Bloques V5 identifica 3 centro(s) poblado(s) en el bloque: ALTO MAMBLUQUE, MAMBLUQUE, NUEVA ESPERANZA</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5">
      <c r="A25" s="55" t="inlineStr">
        <is>
          <t>H-05</t>
        </is>
      </c>
      <c r="B25" s="55" t="inlineStr">
        <is>
          <t>F-DT-01</t>
        </is>
      </c>
      <c r="C25" s="55" t="inlineStr">
        <is>
          <t>El rango altitudinal declarado (&lt;1000 m) no cubre la totalidad del bloque, que alcanza &gt;1100 msnm en la cresta NE</t>
        </is>
      </c>
      <c r="D25" s="55" t="inlineStr">
        <is>
          <t>NO SUSTANTIVA</t>
        </is>
      </c>
      <c r="E25" s="55" t="inlineStr">
        <is>
          <t>Se declara que la clasificación corresponde a la franja accesible inspeccionada (300-500 msnm) (Verificación heredada de la ficha de resumen V6.)</t>
        </is>
      </c>
    </row>
    <row r="26">
      <c r="A26" s="56" t="inlineStr">
        <is>
          <t>H-06</t>
        </is>
      </c>
      <c r="B26" s="56" t="inlineStr">
        <is>
          <t>F-DT-04</t>
        </is>
      </c>
      <c r="C26" s="56" t="inlineStr">
        <is>
          <t>La causa 15 (plagas o enfermedades forestales) registra extensión 50% y antigüedad 10 años pero no consigna intensidad, siendo el factor de degradación identificado como principal</t>
        </is>
      </c>
      <c r="D26" s="56" t="inlineStr">
        <is>
          <t>SUSTANTIVA</t>
        </is>
      </c>
      <c r="E26" s="56" t="inlineStr">
        <is>
          <t>Se declara la omisión; corresponde valorar la intensidad dada su condición de causa directa prioritaria (Verificación heredada de la ficha de resumen V6.)</t>
        </is>
      </c>
    </row>
    <row r="27">
      <c r="A27" s="55" t="inlineStr">
        <is>
          <t>H-07</t>
        </is>
      </c>
      <c r="B27" s="55" t="inlineStr">
        <is>
          <t>F-DT-03</t>
        </is>
      </c>
      <c r="C27" s="55" t="inlineStr">
        <is>
          <t>El indicador de infestación por plantas parásitas no cuenta con cuantificación instrumental (% de individuos afectados)</t>
        </is>
      </c>
      <c r="D27" s="55" t="inlineStr">
        <is>
          <t>SUSTANTIVA</t>
        </is>
      </c>
      <c r="E27" s="55" t="inlineStr">
        <is>
          <t>POR DETERMINAR; requiere evaluación fitosanitaria específica para dimensionar la mortandad arbórea (Verificación heredada de la ficha de resumen V6.)</t>
        </is>
      </c>
    </row>
    <row r="29">
      <c r="A29" s="57" t="inlineStr">
        <is>
          <t>RESUMEN</t>
        </is>
      </c>
      <c r="B29" s="58" t="inlineStr">
        <is>
          <t>19 verificaciones</t>
        </is>
      </c>
      <c r="C29" s="58" t="inlineStr">
        <is>
          <t>SUSTANTIVA: 4 · NO SUSTANTIVA: 3 · CONFORME: 12</t>
        </is>
      </c>
    </row>
    <row r="31">
      <c r="A31"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1:E31"/>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M28B4</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625926</t>
        </is>
      </c>
      <c r="D13" s="55" t="inlineStr">
        <is>
          <t>m</t>
        </is>
      </c>
    </row>
    <row r="14">
      <c r="A14" s="56" t="inlineStr">
        <is>
          <t>1. Identificación y localización</t>
        </is>
      </c>
      <c r="B14" s="56" t="inlineStr">
        <is>
          <t>UTM NORTE del punto de muestreo (m)</t>
        </is>
      </c>
      <c r="C14" s="56" t="inlineStr">
        <is>
          <t>9427328</t>
        </is>
      </c>
      <c r="D14" s="56" t="inlineStr">
        <is>
          <t>m</t>
        </is>
      </c>
    </row>
    <row r="15">
      <c r="A15" s="55" t="inlineStr">
        <is>
          <t>2. Parámetros físicos del terreno</t>
        </is>
      </c>
      <c r="B15" s="55" t="inlineStr">
        <is>
          <t>Altitud GPS del punto de muestreo (msnm)</t>
        </is>
      </c>
      <c r="C15" s="55" t="inlineStr">
        <is>
          <t>430</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Ladera de montaña de fuerte pendiente con drenaje en quebradas (Qbda. Mambluque, Qbda. Alta y Qbda. Alta 2) que descienden hacia el río La Gallega. Relieve abrupto con afloramientos rocosos y acumulaciones de bloques en cauces; cobertura de bosque seco ralo con parches densos en la parte alta inaccesible.</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Sí</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Longitud total de cárcavas (m)</t>
        </is>
      </c>
      <c r="C24" s="56" t="inlineStr">
        <is>
          <t>100</t>
        </is>
      </c>
      <c r="D24" s="56" t="inlineStr">
        <is>
          <t>m</t>
        </is>
      </c>
    </row>
    <row r="25">
      <c r="A25" s="55" t="inlineStr">
        <is>
          <t>4. Suelos y erosión (F-DT-02)</t>
        </is>
      </c>
      <c r="B25" s="55" t="inlineStr">
        <is>
          <t>% del bloque afectado por cárcavas</t>
        </is>
      </c>
      <c r="C25" s="55" t="inlineStr">
        <is>
          <t>5</t>
        </is>
      </c>
      <c r="D25" s="55" t="inlineStr">
        <is>
          <t>%</t>
        </is>
      </c>
    </row>
    <row r="26">
      <c r="A26" s="56" t="inlineStr">
        <is>
          <t>4. Suelos y erosión (F-DT-02)</t>
        </is>
      </c>
      <c r="B26" s="56" t="inlineStr">
        <is>
          <t>Erosión laminar (% del bloque)</t>
        </is>
      </c>
      <c r="C26" s="56" t="inlineStr">
        <is>
          <t>30</t>
        </is>
      </c>
      <c r="D26" s="56" t="inlineStr">
        <is>
          <t>%</t>
        </is>
      </c>
    </row>
    <row r="27">
      <c r="A27" s="55" t="inlineStr">
        <is>
          <t>4. Suelos y erosión (F-DT-02)</t>
        </is>
      </c>
      <c r="B27" s="55" t="inlineStr">
        <is>
          <t>Patrón de cárcavas</t>
        </is>
      </c>
      <c r="C27" s="55" t="inlineStr">
        <is>
          <t>Lineal</t>
        </is>
      </c>
      <c r="D27" s="55" t="inlineStr"/>
    </row>
    <row r="28">
      <c r="A28" s="56" t="inlineStr">
        <is>
          <t>4. Suelos y erosión (F-DT-02)</t>
        </is>
      </c>
      <c r="B28" s="56" t="inlineStr">
        <is>
          <t>Socavamiento de cauce</t>
        </is>
      </c>
      <c r="C28" s="56" t="inlineStr">
        <is>
          <t>Sí</t>
        </is>
      </c>
      <c r="D28" s="56" t="inlineStr"/>
    </row>
    <row r="29">
      <c r="A29" s="55" t="inlineStr">
        <is>
          <t>5. Ecosistema, cobertura y flora (F-DT-03)</t>
        </is>
      </c>
      <c r="B29" s="55" t="inlineStr">
        <is>
          <t>Cobertura del dosel (%)</t>
        </is>
      </c>
      <c r="C29" s="55" t="inlineStr">
        <is>
          <t>35</t>
        </is>
      </c>
      <c r="D29" s="55" t="inlineStr">
        <is>
          <t>%</t>
        </is>
      </c>
    </row>
    <row r="30">
      <c r="A30" s="56" t="inlineStr">
        <is>
          <t>5. Ecosistema, cobertura y flora (F-DT-03)</t>
        </is>
      </c>
      <c r="B30" s="56" t="inlineStr">
        <is>
          <t>Cobertura arbustiva (%)</t>
        </is>
      </c>
      <c r="C30" s="56" t="inlineStr">
        <is>
          <t>25</t>
        </is>
      </c>
      <c r="D30" s="56" t="inlineStr">
        <is>
          <t>%</t>
        </is>
      </c>
    </row>
    <row r="31">
      <c r="A31" s="55" t="inlineStr">
        <is>
          <t>5. Ecosistema, cobertura y flora (F-DT-03)</t>
        </is>
      </c>
      <c r="B31" s="55" t="inlineStr">
        <is>
          <t>Cobertura herbácea (%)</t>
        </is>
      </c>
      <c r="C31" s="55" t="inlineStr">
        <is>
          <t>30</t>
        </is>
      </c>
      <c r="D31" s="55" t="inlineStr">
        <is>
          <t>%</t>
        </is>
      </c>
    </row>
    <row r="32">
      <c r="A32" s="56" t="inlineStr">
        <is>
          <t>5. Ecosistema, cobertura y flora (F-DT-03)</t>
        </is>
      </c>
      <c r="B32" s="56" t="inlineStr">
        <is>
          <t>Cobertura de hojarasca (%)</t>
        </is>
      </c>
      <c r="C32" s="56" t="inlineStr">
        <is>
          <t>15</t>
        </is>
      </c>
      <c r="D32" s="56" t="inlineStr">
        <is>
          <t>%</t>
        </is>
      </c>
    </row>
    <row r="33">
      <c r="A33" s="55" t="inlineStr">
        <is>
          <t>5. Ecosistema, cobertura y flora (F-DT-03)</t>
        </is>
      </c>
      <c r="B33" s="55" t="inlineStr">
        <is>
          <t>Altura del estrato dominante (m)</t>
        </is>
      </c>
      <c r="C33" s="55" t="inlineStr">
        <is>
          <t>8</t>
        </is>
      </c>
      <c r="D33" s="55" t="inlineStr">
        <is>
          <t>m</t>
        </is>
      </c>
    </row>
    <row r="34">
      <c r="A34" s="56" t="inlineStr">
        <is>
          <t>5. Ecosistema, cobertura y flora (F-DT-03)</t>
        </is>
      </c>
      <c r="B34" s="56" t="inlineStr">
        <is>
          <t>Altura máxima registrada (m)</t>
        </is>
      </c>
      <c r="C34" s="56" t="inlineStr">
        <is>
          <t>20</t>
        </is>
      </c>
      <c r="D34" s="56" t="inlineStr">
        <is>
          <t>m</t>
        </is>
      </c>
    </row>
    <row r="35">
      <c r="A35" s="55" t="inlineStr">
        <is>
          <t>5. Ecosistema, cobertura y flora (F-DT-03)</t>
        </is>
      </c>
      <c r="B35" s="55" t="inlineStr">
        <is>
          <t>DAP promedio (cm)</t>
        </is>
      </c>
      <c r="C35" s="55" t="inlineStr">
        <is>
          <t>28</t>
        </is>
      </c>
      <c r="D35" s="55" t="inlineStr">
        <is>
          <t>cm</t>
        </is>
      </c>
    </row>
    <row r="36">
      <c r="A36" s="56" t="inlineStr">
        <is>
          <t>5. Ecosistema, cobertura y flora (F-DT-03)</t>
        </is>
      </c>
      <c r="B36" s="56" t="inlineStr">
        <is>
          <t>Presencia de epífitas</t>
        </is>
      </c>
      <c r="C36" s="56" t="inlineStr">
        <is>
          <t>Sí</t>
        </is>
      </c>
      <c r="D36" s="56" t="inlineStr"/>
    </row>
    <row r="37">
      <c r="A37" s="55" t="inlineStr">
        <is>
          <t>5. Ecosistema, cobertura y flora (F-DT-03)</t>
        </is>
      </c>
      <c r="B37" s="55" t="inlineStr">
        <is>
          <t>Fenología dominante</t>
        </is>
      </c>
      <c r="C37" s="55" t="inlineStr">
        <is>
          <t>Caducifolio (hojas caídas)</t>
        </is>
      </c>
      <c r="D37" s="55" t="inlineStr"/>
    </row>
    <row r="38">
      <c r="A38" s="56" t="inlineStr">
        <is>
          <t>5. Ecosistema, cobertura y flora (F-DT-03)</t>
        </is>
      </c>
      <c r="B38" s="56" t="inlineStr">
        <is>
          <t>Dimensiones de la parcela (m)</t>
        </is>
      </c>
      <c r="C38" s="56" t="inlineStr">
        <is>
          <t>50 × 20</t>
        </is>
      </c>
      <c r="D38" s="56" t="inlineStr"/>
    </row>
    <row r="39">
      <c r="A39" s="55" t="inlineStr">
        <is>
          <t>5. Ecosistema, cobertura y flora (F-DT-03)</t>
        </is>
      </c>
      <c r="B39" s="55" t="inlineStr">
        <is>
          <t>Pendiente de la parcela (%)</t>
        </is>
      </c>
      <c r="C39" s="55" t="inlineStr">
        <is>
          <t>30</t>
        </is>
      </c>
      <c r="D39" s="55" t="inlineStr">
        <is>
          <t>%</t>
        </is>
      </c>
    </row>
    <row r="40">
      <c r="A40" s="56" t="inlineStr">
        <is>
          <t>5. Ecosistema, cobertura y flora (F-DT-03)</t>
        </is>
      </c>
      <c r="B40" s="56" t="inlineStr">
        <is>
          <t>Especies clave georreferenciadas</t>
        </is>
      </c>
      <c r="C40" s="56" t="inlineStr">
        <is>
          <t>7</t>
        </is>
      </c>
      <c r="D40" s="56" t="inlineStr"/>
    </row>
    <row r="41">
      <c r="A41" s="55" t="inlineStr">
        <is>
          <t>6. Degradación, causas y urgencia (F-DT-04)</t>
        </is>
      </c>
      <c r="B41" s="55" t="inlineStr">
        <is>
          <t>Causas directas de la degradación</t>
        </is>
      </c>
      <c r="C41" s="55" t="inlineStr">
        <is>
          <t>Infestación severa por plantas parásitas (muérdago, Loranthaceae, y Cuscuta) con alta mortandad arbórea; sobrepastoreo caprino; tala selectiva y para leña; quema de pastizales; estrés hídrico estacional agravado por el cambio climático.</t>
        </is>
      </c>
      <c r="D41" s="55" t="inlineStr"/>
    </row>
    <row r="42">
      <c r="A42" s="56" t="inlineStr">
        <is>
          <t>6. Degradación, causas y urgencia (F-DT-04)</t>
        </is>
      </c>
      <c r="B42" s="56" t="inlineStr">
        <is>
          <t>N.° de causas activas en la matriz F-DT-04</t>
        </is>
      </c>
      <c r="C42" s="56" t="inlineStr">
        <is>
          <t>9</t>
        </is>
      </c>
      <c r="D42" s="56" t="inlineStr"/>
    </row>
    <row r="43">
      <c r="A43" s="55" t="inlineStr">
        <is>
          <t>7. Hidrología, acceso y logística (F-DT-05)</t>
        </is>
      </c>
      <c r="B43" s="55" t="inlineStr">
        <is>
          <t>Escorrentía concentrada</t>
        </is>
      </c>
      <c r="C43" s="55" t="inlineStr">
        <is>
          <t>Sí</t>
        </is>
      </c>
      <c r="D43" s="55" t="inlineStr"/>
    </row>
    <row r="44">
      <c r="A44" s="56" t="inlineStr">
        <is>
          <t>7. Hidrología, acceso y logística (F-DT-05)</t>
        </is>
      </c>
      <c r="B44" s="56" t="inlineStr">
        <is>
          <t>Fuentes de agua inventariadas</t>
        </is>
      </c>
      <c r="C44" s="56" t="inlineStr">
        <is>
          <t>4</t>
        </is>
      </c>
      <c r="D44" s="56" t="inlineStr"/>
    </row>
    <row r="45">
      <c r="A45" s="55" t="inlineStr">
        <is>
          <t>7. Hidrología, acceso y logística (F-DT-05)</t>
        </is>
      </c>
      <c r="B45" s="55" t="inlineStr">
        <is>
          <t>Distancia a captación (m)</t>
        </is>
      </c>
      <c r="C45" s="55" t="inlineStr">
        <is>
          <t>800</t>
        </is>
      </c>
      <c r="D45" s="55" t="inlineStr">
        <is>
          <t>m</t>
        </is>
      </c>
    </row>
    <row r="46">
      <c r="A46" s="56" t="inlineStr">
        <is>
          <t>7. Hidrología, acceso y logística (F-DT-05)</t>
        </is>
      </c>
      <c r="B46" s="56" t="inlineStr">
        <is>
          <t>Interferencia con riego</t>
        </is>
      </c>
      <c r="C46" s="56" t="inlineStr">
        <is>
          <t>No</t>
        </is>
      </c>
      <c r="D46" s="56" t="inlineStr"/>
    </row>
    <row r="47">
      <c r="A47" s="55" t="inlineStr">
        <is>
          <t>7. Hidrología, acceso y logística (F-DT-05)</t>
        </is>
      </c>
      <c r="B47" s="55" t="inlineStr">
        <is>
          <t>Vía principal de acceso</t>
        </is>
      </c>
      <c r="C47" s="55" t="inlineStr">
        <is>
          <t>Ruta Morropón–Yamango (vía vecinal) + vadeo del río La Gallega</t>
        </is>
      </c>
      <c r="D47" s="55" t="inlineStr"/>
    </row>
    <row r="48">
      <c r="A48" s="56" t="inlineStr">
        <is>
          <t>7. Hidrología, acceso y logística (F-DT-05)</t>
        </is>
      </c>
      <c r="B48" s="56" t="inlineStr">
        <is>
          <t>Tipo de vía del tramo final</t>
        </is>
      </c>
      <c r="C48" s="56" t="inlineStr">
        <is>
          <t>Camino de herradura</t>
        </is>
      </c>
      <c r="D48" s="56" t="inlineStr"/>
    </row>
    <row r="49">
      <c r="A49" s="55" t="inlineStr">
        <is>
          <t>7. Hidrología, acceso y logística (F-DT-05)</t>
        </is>
      </c>
      <c r="B49" s="55" t="inlineStr">
        <is>
          <t>Transitabilidad en época seca</t>
        </is>
      </c>
      <c r="C49" s="55" t="inlineStr">
        <is>
          <t>Medio</t>
        </is>
      </c>
      <c r="D49" s="55" t="inlineStr"/>
    </row>
    <row r="50">
      <c r="A50" s="56" t="inlineStr">
        <is>
          <t>7. Hidrología, acceso y logística (F-DT-05)</t>
        </is>
      </c>
      <c r="B50" s="56" t="inlineStr">
        <is>
          <t>Transitabilidad en época lluviosa</t>
        </is>
      </c>
      <c r="C50" s="56" t="inlineStr">
        <is>
          <t>Bajo</t>
        </is>
      </c>
      <c r="D50" s="56" t="inlineStr"/>
    </row>
    <row r="51">
      <c r="A51" s="55" t="inlineStr">
        <is>
          <t>7. Hidrología, acceso y logística (F-DT-05)</t>
        </is>
      </c>
      <c r="B51" s="55" t="inlineStr">
        <is>
          <t>Tiempo a la capital distrital (min)</t>
        </is>
      </c>
      <c r="C51" s="55" t="inlineStr">
        <is>
          <t>90</t>
        </is>
      </c>
      <c r="D51" s="55" t="inlineStr">
        <is>
          <t>min</t>
        </is>
      </c>
    </row>
    <row r="52">
      <c r="A52" s="56" t="inlineStr">
        <is>
          <t>7. Hidrología, acceso y logística (F-DT-05)</t>
        </is>
      </c>
      <c r="B52" s="56" t="inlineStr">
        <is>
          <t>Señal celular</t>
        </is>
      </c>
      <c r="C52" s="56" t="inlineStr">
        <is>
          <t>Intermitente</t>
        </is>
      </c>
      <c r="D52" s="56" t="inlineStr"/>
    </row>
    <row r="53">
      <c r="A53" s="55" t="inlineStr">
        <is>
          <t>7. Hidrología, acceso y logística (F-DT-05)</t>
        </is>
      </c>
      <c r="B53" s="55" t="inlineStr">
        <is>
          <t>Operador con cobertura</t>
        </is>
      </c>
      <c r="C53" s="55" t="inlineStr">
        <is>
          <t>Movistar</t>
        </is>
      </c>
      <c r="D53" s="55" t="inlineStr"/>
    </row>
    <row r="54">
      <c r="A54" s="56" t="inlineStr">
        <is>
          <t>7. Hidrología, acceso y logística (F-DT-05)</t>
        </is>
      </c>
      <c r="B54" s="56" t="inlineStr">
        <is>
          <t>Alojamiento disponible en la zona</t>
        </is>
      </c>
      <c r="C54" s="56" t="inlineStr">
        <is>
          <t>No</t>
        </is>
      </c>
      <c r="D54" s="56" t="inlineStr"/>
    </row>
    <row r="55">
      <c r="A55" s="55" t="inlineStr">
        <is>
          <t>7. Hidrología, acceso y logística (F-DT-05)</t>
        </is>
      </c>
      <c r="B55" s="55" t="inlineStr">
        <is>
          <t>Requiere coordinación con ronda / comunidad</t>
        </is>
      </c>
      <c r="C55" s="55" t="inlineStr">
        <is>
          <t>Sí</t>
        </is>
      </c>
      <c r="D55" s="55" t="inlineStr"/>
    </row>
    <row r="56">
      <c r="A56" s="56" t="inlineStr">
        <is>
          <t>7. Hidrología, acceso y logística (F-DT-05)</t>
        </is>
      </c>
      <c r="B56" s="56" t="inlineStr">
        <is>
          <t>Contacto local de coordinación</t>
        </is>
      </c>
      <c r="C56" s="56" t="inlineStr">
        <is>
          <t>Por coordinar con autoridades del Caserío Mambluque y comunidad de Yamango</t>
        </is>
      </c>
      <c r="D56" s="56" t="inlineStr"/>
    </row>
    <row r="58">
      <c r="A58" s="53" t="inlineStr">
        <is>
          <t>C. PROCEDENCIA DE LOS HECHOS DECLARADOS</t>
        </is>
      </c>
    </row>
    <row r="59">
      <c r="A59" s="54" t="inlineStr">
        <is>
          <t>Fuente</t>
        </is>
      </c>
      <c r="B59" s="54" t="inlineStr">
        <is>
          <t>Hechos</t>
        </is>
      </c>
      <c r="C59" s="54" t="inlineStr">
        <is>
          <t>Alcance de la fuente</t>
        </is>
      </c>
    </row>
    <row r="60">
      <c r="A60" s="55" t="inlineStr">
        <is>
          <t>Dato de campo</t>
        </is>
      </c>
      <c r="B60" s="55" t="n">
        <v>74</v>
      </c>
      <c r="C60" s="55" t="inlineStr">
        <is>
          <t>Verificación en campo. Fichas F-DT-01 a F-DT-05 de la Plantilla DT Campo Check Validada V5, suscritas por el evaluador.</t>
        </is>
      </c>
    </row>
    <row r="61">
      <c r="A61" s="56" t="inlineStr">
        <is>
          <t>Gabinete (GIS / teledetección)</t>
        </is>
      </c>
      <c r="B61" s="56" t="n">
        <v>23</v>
      </c>
      <c r="C61" s="56" t="inlineStr">
        <is>
          <t>Gabinete. Estadística zonal sobre el MDE y compuestos Sentinel-2 (NDVI mediana 2025, MSAVI 2024 por clase DN).</t>
        </is>
      </c>
    </row>
    <row r="62">
      <c r="A62" s="55" t="inlineStr">
        <is>
          <t>Fuente oficial</t>
        </is>
      </c>
      <c r="B62" s="55" t="n">
        <v>14</v>
      </c>
      <c r="C62" s="55" t="inlineStr">
        <is>
          <t>Fuente oficial. Catálogo maestro Bloques V5/V6, división política INEI y codificación de microcuencas de la ANA.</t>
        </is>
      </c>
    </row>
    <row r="64">
      <c r="A64" s="53" t="inlineStr">
        <is>
          <t>D. ESTADO DEL CRUCE ENTRE FUENTES</t>
        </is>
      </c>
    </row>
    <row r="65">
      <c r="A65" s="54" t="inlineStr">
        <is>
          <t>Estado</t>
        </is>
      </c>
      <c r="B65" s="54" t="inlineStr">
        <is>
          <t>Hechos</t>
        </is>
      </c>
      <c r="C65" s="54" t="inlineStr">
        <is>
          <t>Significado</t>
        </is>
      </c>
    </row>
    <row r="66">
      <c r="A66" s="55" t="inlineStr">
        <is>
          <t>CONFORME</t>
        </is>
      </c>
      <c r="B66" s="55" t="n">
        <v>111</v>
      </c>
      <c r="C66" s="55" t="inlineStr">
        <is>
          <t>Las dos fuentes declaran lo mismo, o solo la fuente que manda sobre el hecho lo declara.</t>
        </is>
      </c>
    </row>
    <row r="67">
      <c r="A67" s="56" t="inlineStr">
        <is>
          <t>COMPLEMENTADO</t>
        </is>
      </c>
      <c r="B67" s="56" t="n">
        <v>0</v>
      </c>
      <c r="C67" s="56" t="inlineStr">
        <is>
          <t>Solo una de las fuentes lo declara y se adopta ese valor.</t>
        </is>
      </c>
    </row>
    <row r="68">
      <c r="A68" s="55" t="inlineStr">
        <is>
          <t>ACTUALIZADO</t>
        </is>
      </c>
      <c r="B68" s="55" t="n">
        <v>0</v>
      </c>
      <c r="C68" s="55" t="inlineStr">
        <is>
          <t>La verificación de campo vigente corrige lo que traía el libro de resumen.</t>
        </is>
      </c>
    </row>
    <row r="69">
      <c r="A69" s="56" t="inlineStr">
        <is>
          <t>DISCREPANTE</t>
        </is>
      </c>
      <c r="B69" s="56" t="n">
        <v>0</v>
      </c>
      <c r="C69" s="56" t="inlineStr">
        <is>
          <t>Las fuentes se contradicen; prevalece la que manda sobre el hecho y la otra queda declarada.</t>
        </is>
      </c>
    </row>
    <row r="70">
      <c r="A70" s="55" t="inlineStr">
        <is>
          <t>PENDIENTE</t>
        </is>
      </c>
      <c r="B70" s="55" t="n">
        <v>3</v>
      </c>
      <c r="C70"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M28B4</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somera (0.5-2 m)</t>
        </is>
      </c>
      <c r="C9" s="60" t="n">
        <v>625599</v>
      </c>
      <c r="D9" s="60" t="n">
        <v>9426835</v>
      </c>
      <c r="E9" s="60" t="n">
        <v>45</v>
      </c>
      <c r="F9" s="61" t="n">
        <v>1.2</v>
      </c>
      <c r="G9" s="61" t="n">
        <v>2.5</v>
      </c>
      <c r="H9" s="55" t="inlineStr">
        <is>
          <t>Semi-activa</t>
        </is>
      </c>
      <c r="I9" s="55" t="inlineStr">
        <is>
          <t>Concentración natural de escorrentía</t>
        </is>
      </c>
    </row>
    <row r="10">
      <c r="A10" s="56" t="inlineStr">
        <is>
          <t>C-02</t>
        </is>
      </c>
      <c r="B10" s="56" t="inlineStr">
        <is>
          <t>Cárcava incipiente (30-50 cm)</t>
        </is>
      </c>
      <c r="C10" s="62" t="n">
        <v>625583</v>
      </c>
      <c r="D10" s="62" t="n">
        <v>9426830</v>
      </c>
      <c r="E10" s="62" t="n">
        <v>30</v>
      </c>
      <c r="F10" s="63" t="n">
        <v>0.4</v>
      </c>
      <c r="G10" s="63" t="n">
        <v>1</v>
      </c>
      <c r="H10" s="56" t="inlineStr">
        <is>
          <t>Activa</t>
        </is>
      </c>
      <c r="I10" s="56" t="inlineStr">
        <is>
          <t>Sobrepastoreo</t>
        </is>
      </c>
    </row>
    <row r="11">
      <c r="A11" s="55" t="inlineStr">
        <is>
          <t>C-03</t>
        </is>
      </c>
      <c r="B11" s="55" t="inlineStr">
        <is>
          <t>Surco (&lt;30 cm)</t>
        </is>
      </c>
      <c r="C11" s="60" t="n">
        <v>625834</v>
      </c>
      <c r="D11" s="60" t="n">
        <v>9427153</v>
      </c>
      <c r="E11" s="60" t="n">
        <v>25</v>
      </c>
      <c r="F11" s="61" t="n">
        <v>0.2</v>
      </c>
      <c r="G11" s="61" t="n">
        <v>0.4</v>
      </c>
      <c r="H11" s="55" t="inlineStr">
        <is>
          <t>Activa</t>
        </is>
      </c>
      <c r="I11" s="55" t="inlineStr">
        <is>
          <t>Caminos / huellas de ganado</t>
        </is>
      </c>
    </row>
    <row r="13">
      <c r="A13" s="53" t="inlineStr">
        <is>
          <t>F-DT-03 · ELENCO FLORÍSTICO</t>
        </is>
      </c>
    </row>
    <row r="14">
      <c r="A14" s="54" t="inlineStr">
        <is>
          <t>N.o</t>
        </is>
      </c>
      <c r="B14" s="54" t="inlineStr">
        <is>
          <t>Nombre común</t>
        </is>
      </c>
      <c r="C14" s="54" t="inlineStr">
        <is>
          <t>Nombre científico</t>
        </is>
      </c>
      <c r="D14" s="54" t="inlineStr">
        <is>
          <t>Familia</t>
        </is>
      </c>
      <c r="E14" s="54" t="inlineStr">
        <is>
          <t>Estrato</t>
        </is>
      </c>
      <c r="F14" s="54" t="inlineStr">
        <is>
          <t>Origen</t>
        </is>
      </c>
      <c r="G14" s="54" t="inlineStr">
        <is>
          <t>Abundancia</t>
        </is>
      </c>
      <c r="H14" s="54" t="inlineStr">
        <is>
          <t>DAP (cm)</t>
        </is>
      </c>
      <c r="I14" s="54" t="inlineStr">
        <is>
          <t>Altura (m)</t>
        </is>
      </c>
    </row>
    <row r="15">
      <c r="A15" s="55" t="inlineStr">
        <is>
          <t>1</t>
        </is>
      </c>
      <c r="B15" s="55" t="inlineStr">
        <is>
          <t>Ceiba / Ceibo</t>
        </is>
      </c>
      <c r="C15" s="55" t="inlineStr">
        <is>
          <t>Ceiba trichistandra</t>
        </is>
      </c>
      <c r="D15" s="55" t="inlineStr">
        <is>
          <t>Malvaceae</t>
        </is>
      </c>
      <c r="E15" s="55" t="inlineStr">
        <is>
          <t>Arbóreo superior (&gt;15 m)</t>
        </is>
      </c>
      <c r="F15" s="55" t="inlineStr">
        <is>
          <t>Nativa</t>
        </is>
      </c>
      <c r="G15" s="55" t="inlineStr">
        <is>
          <t>Frecuente (5-20%)</t>
        </is>
      </c>
      <c r="H15" s="60" t="n">
        <v>65</v>
      </c>
      <c r="I15" s="60" t="n">
        <v>18</v>
      </c>
    </row>
    <row r="16">
      <c r="A16" s="56" t="inlineStr">
        <is>
          <t>2</t>
        </is>
      </c>
      <c r="B16" s="56" t="inlineStr">
        <is>
          <t>Pasallo</t>
        </is>
      </c>
      <c r="C16" s="56" t="inlineStr">
        <is>
          <t>Eriotheca ruizii</t>
        </is>
      </c>
      <c r="D16" s="56" t="inlineStr">
        <is>
          <t>Malvaceae</t>
        </is>
      </c>
      <c r="E16" s="56" t="inlineStr">
        <is>
          <t>Arbóreo medio (8-15 m)</t>
        </is>
      </c>
      <c r="F16" s="56" t="inlineStr">
        <is>
          <t>Nativa</t>
        </is>
      </c>
      <c r="G16" s="56" t="inlineStr">
        <is>
          <t>Frecuente (5-20%)</t>
        </is>
      </c>
      <c r="H16" s="62" t="n">
        <v>40</v>
      </c>
      <c r="I16" s="62" t="n">
        <v>12</v>
      </c>
    </row>
    <row r="17">
      <c r="A17" s="55" t="inlineStr">
        <is>
          <t>3</t>
        </is>
      </c>
      <c r="B17" s="55" t="inlineStr">
        <is>
          <t>Hualtaco</t>
        </is>
      </c>
      <c r="C17" s="55" t="inlineStr">
        <is>
          <t>Loxopterygium huasango</t>
        </is>
      </c>
      <c r="D17" s="55" t="inlineStr">
        <is>
          <t>Anacardiaceae</t>
        </is>
      </c>
      <c r="E17" s="55" t="inlineStr">
        <is>
          <t>Arbóreo medio (8-15 m)</t>
        </is>
      </c>
      <c r="F17" s="55" t="inlineStr">
        <is>
          <t>Endémica</t>
        </is>
      </c>
      <c r="G17" s="55" t="inlineStr">
        <is>
          <t>Ocasional (1-5%)</t>
        </is>
      </c>
      <c r="H17" s="60" t="n">
        <v>30</v>
      </c>
      <c r="I17" s="60" t="n">
        <v>10</v>
      </c>
    </row>
    <row r="18">
      <c r="A18" s="56" t="inlineStr">
        <is>
          <t>4</t>
        </is>
      </c>
      <c r="B18" s="56" t="inlineStr">
        <is>
          <t>Palo Santo</t>
        </is>
      </c>
      <c r="C18" s="56" t="inlineStr">
        <is>
          <t>Bursera graveolens</t>
        </is>
      </c>
      <c r="D18" s="56" t="inlineStr">
        <is>
          <t>Burseraceae</t>
        </is>
      </c>
      <c r="E18" s="56" t="inlineStr">
        <is>
          <t>Arbóreo bajo (4-8 m)</t>
        </is>
      </c>
      <c r="F18" s="56" t="inlineStr">
        <is>
          <t>Nativa</t>
        </is>
      </c>
      <c r="G18" s="56" t="inlineStr">
        <is>
          <t>Frecuente (5-20%)</t>
        </is>
      </c>
      <c r="H18" s="62" t="n">
        <v>22</v>
      </c>
      <c r="I18" s="63" t="n">
        <v>6</v>
      </c>
    </row>
    <row r="19">
      <c r="A19" s="55" t="inlineStr">
        <is>
          <t>5</t>
        </is>
      </c>
      <c r="B19" s="55" t="inlineStr">
        <is>
          <t>Charán</t>
        </is>
      </c>
      <c r="C19" s="55" t="inlineStr">
        <is>
          <t>Caesalpinia paipai</t>
        </is>
      </c>
      <c r="D19" s="55" t="inlineStr">
        <is>
          <t>Fabaceae</t>
        </is>
      </c>
      <c r="E19" s="55" t="inlineStr">
        <is>
          <t>Arbóreo bajo (4-8 m)</t>
        </is>
      </c>
      <c r="F19" s="55" t="inlineStr">
        <is>
          <t>Nativa</t>
        </is>
      </c>
      <c r="G19" s="55" t="inlineStr">
        <is>
          <t>Abundante (20-40%)</t>
        </is>
      </c>
      <c r="H19" s="60" t="n">
        <v>18</v>
      </c>
      <c r="I19" s="61" t="n">
        <v>6</v>
      </c>
    </row>
    <row r="20">
      <c r="A20" s="56" t="inlineStr">
        <is>
          <t>6</t>
        </is>
      </c>
      <c r="B20" s="56" t="inlineStr">
        <is>
          <t>Faique</t>
        </is>
      </c>
      <c r="C20" s="56" t="inlineStr">
        <is>
          <t>Acacia macracantha</t>
        </is>
      </c>
      <c r="D20" s="56" t="inlineStr">
        <is>
          <t>Fabaceae</t>
        </is>
      </c>
      <c r="E20" s="56" t="inlineStr">
        <is>
          <t>Arbóreo bajo (4-8 m)</t>
        </is>
      </c>
      <c r="F20" s="56" t="inlineStr">
        <is>
          <t>Nativa</t>
        </is>
      </c>
      <c r="G20" s="56" t="inlineStr">
        <is>
          <t>Ocasional (1-5%)</t>
        </is>
      </c>
      <c r="H20" s="62" t="n">
        <v>20</v>
      </c>
      <c r="I20" s="63" t="n">
        <v>6</v>
      </c>
    </row>
    <row r="21">
      <c r="A21" s="55" t="inlineStr">
        <is>
          <t>7</t>
        </is>
      </c>
      <c r="B21" s="55" t="inlineStr">
        <is>
          <t>Overo</t>
        </is>
      </c>
      <c r="C21" s="55" t="inlineStr">
        <is>
          <t>Cordia lutea</t>
        </is>
      </c>
      <c r="D21" s="55" t="inlineStr">
        <is>
          <t>Boraginaceae</t>
        </is>
      </c>
      <c r="E21" s="55" t="inlineStr">
        <is>
          <t>Arbustivo alto (1.5-4 m)</t>
        </is>
      </c>
      <c r="F21" s="55" t="inlineStr">
        <is>
          <t>Nativa</t>
        </is>
      </c>
      <c r="G21" s="55" t="inlineStr">
        <is>
          <t>Frecuente (5-20%)</t>
        </is>
      </c>
      <c r="H21" s="55" t="n"/>
      <c r="I21" s="61" t="n">
        <v>3</v>
      </c>
    </row>
    <row r="22">
      <c r="A22" s="56" t="inlineStr">
        <is>
          <t>8</t>
        </is>
      </c>
      <c r="B22" s="56" t="inlineStr">
        <is>
          <t>Sapote / Vichayo</t>
        </is>
      </c>
      <c r="C22" s="56" t="inlineStr">
        <is>
          <t>Colicodendron scabridum</t>
        </is>
      </c>
      <c r="D22" s="56" t="inlineStr">
        <is>
          <t>Capparaceae</t>
        </is>
      </c>
      <c r="E22" s="56" t="inlineStr">
        <is>
          <t>Arbustivo alto (1.5-4 m)</t>
        </is>
      </c>
      <c r="F22" s="56" t="inlineStr">
        <is>
          <t>Nativa</t>
        </is>
      </c>
      <c r="G22" s="56" t="inlineStr">
        <is>
          <t>Ocasional (1-5%)</t>
        </is>
      </c>
      <c r="H22" s="56" t="n"/>
      <c r="I22" s="63" t="n">
        <v>3</v>
      </c>
    </row>
    <row r="23">
      <c r="A23" s="55" t="inlineStr">
        <is>
          <t>9</t>
        </is>
      </c>
      <c r="B23" s="55" t="inlineStr">
        <is>
          <t>Cardo / Cactus columnar</t>
        </is>
      </c>
      <c r="C23" s="55" t="inlineStr">
        <is>
          <t>Armatocereus cartwrightianus</t>
        </is>
      </c>
      <c r="D23" s="55" t="inlineStr">
        <is>
          <t>Cactaceae</t>
        </is>
      </c>
      <c r="E23" s="55" t="inlineStr">
        <is>
          <t>Arbustivo alto (1.5-4 m)</t>
        </is>
      </c>
      <c r="F23" s="55" t="inlineStr">
        <is>
          <t>Endémica</t>
        </is>
      </c>
      <c r="G23" s="55" t="inlineStr">
        <is>
          <t>Frecuente (5-20%)</t>
        </is>
      </c>
      <c r="H23" s="55" t="n"/>
      <c r="I23" s="61" t="n">
        <v>4</v>
      </c>
    </row>
    <row r="24">
      <c r="A24" s="56" t="inlineStr">
        <is>
          <t>10</t>
        </is>
      </c>
      <c r="B24" s="56" t="inlineStr">
        <is>
          <t>Gigantón</t>
        </is>
      </c>
      <c r="C24" s="56" t="inlineStr">
        <is>
          <t>Neoraimondia arequipensis</t>
        </is>
      </c>
      <c r="D24" s="56" t="inlineStr">
        <is>
          <t>Cactaceae</t>
        </is>
      </c>
      <c r="E24" s="56" t="inlineStr">
        <is>
          <t>Arbustivo alto (1.5-4 m)</t>
        </is>
      </c>
      <c r="F24" s="56" t="inlineStr">
        <is>
          <t>Nativa</t>
        </is>
      </c>
      <c r="G24" s="56" t="inlineStr">
        <is>
          <t>Ocasional (1-5%)</t>
        </is>
      </c>
      <c r="H24" s="56" t="n"/>
      <c r="I24" s="63" t="n">
        <v>3</v>
      </c>
    </row>
    <row r="25">
      <c r="A25" s="55" t="inlineStr">
        <is>
          <t>11</t>
        </is>
      </c>
      <c r="B25" s="55" t="inlineStr">
        <is>
          <t>Porotillo</t>
        </is>
      </c>
      <c r="C25" s="55" t="inlineStr">
        <is>
          <t>Erythrina smithiana</t>
        </is>
      </c>
      <c r="D25" s="55" t="inlineStr">
        <is>
          <t>Fabaceae</t>
        </is>
      </c>
      <c r="E25" s="55" t="inlineStr">
        <is>
          <t>Arbóreo bajo (4-8 m)</t>
        </is>
      </c>
      <c r="F25" s="55" t="inlineStr">
        <is>
          <t>Nativa</t>
        </is>
      </c>
      <c r="G25" s="55" t="inlineStr">
        <is>
          <t>Rara (&lt;1%)</t>
        </is>
      </c>
      <c r="H25" s="55" t="n"/>
      <c r="I25" s="61" t="n">
        <v>5</v>
      </c>
    </row>
    <row r="26">
      <c r="A26" s="56" t="inlineStr">
        <is>
          <t>12</t>
        </is>
      </c>
      <c r="B26" s="56" t="inlineStr">
        <is>
          <t>Cabuya / Penca</t>
        </is>
      </c>
      <c r="C26" s="56" t="inlineStr">
        <is>
          <t>Furcraea andina</t>
        </is>
      </c>
      <c r="D26" s="56" t="inlineStr">
        <is>
          <t>Asparagaceae</t>
        </is>
      </c>
      <c r="E26" s="56" t="inlineStr">
        <is>
          <t>Arbustivo bajo (0.5-1.5 m)</t>
        </is>
      </c>
      <c r="F26" s="56" t="inlineStr">
        <is>
          <t>Nativa</t>
        </is>
      </c>
      <c r="G26" s="56" t="inlineStr">
        <is>
          <t>Ocasional (1-5%)</t>
        </is>
      </c>
      <c r="H26" s="56" t="n"/>
      <c r="I26" s="63" t="n">
        <v>1.5</v>
      </c>
    </row>
    <row r="27">
      <c r="A27" s="55" t="inlineStr">
        <is>
          <t>13</t>
        </is>
      </c>
      <c r="B27" s="55" t="inlineStr">
        <is>
          <t>Muérdago (parásita)</t>
        </is>
      </c>
      <c r="C27" s="55" t="inlineStr">
        <is>
          <t>Psittacanthus sp.</t>
        </is>
      </c>
      <c r="D27" s="55" t="inlineStr">
        <is>
          <t>Loranthaceae</t>
        </is>
      </c>
      <c r="E27" s="55" t="inlineStr">
        <is>
          <t>Epífito</t>
        </is>
      </c>
      <c r="F27" s="55" t="inlineStr">
        <is>
          <t>Nativa</t>
        </is>
      </c>
      <c r="G27" s="55" t="inlineStr">
        <is>
          <t>Abundante (20-40%)</t>
        </is>
      </c>
      <c r="H27" s="55" t="n"/>
      <c r="I27" s="55" t="n"/>
    </row>
    <row r="28">
      <c r="A28" s="56" t="inlineStr">
        <is>
          <t>14</t>
        </is>
      </c>
      <c r="B28" s="56" t="inlineStr">
        <is>
          <t>Cuscuta (parásita)</t>
        </is>
      </c>
      <c r="C28" s="56" t="inlineStr">
        <is>
          <t>Cuscuta foetida</t>
        </is>
      </c>
      <c r="D28" s="56" t="inlineStr">
        <is>
          <t>Convolvulaceae</t>
        </is>
      </c>
      <c r="E28" s="56" t="inlineStr">
        <is>
          <t>Trepador</t>
        </is>
      </c>
      <c r="F28" s="56" t="inlineStr">
        <is>
          <t>Nativa</t>
        </is>
      </c>
      <c r="G28" s="56" t="inlineStr">
        <is>
          <t>Frecuente (5-20%)</t>
        </is>
      </c>
      <c r="H28" s="56" t="n"/>
      <c r="I28" s="56" t="n"/>
    </row>
    <row r="29">
      <c r="A29" s="55" t="inlineStr">
        <is>
          <t>15</t>
        </is>
      </c>
      <c r="B29" s="55" t="inlineStr">
        <is>
          <t>Gramíneas estacionales</t>
        </is>
      </c>
      <c r="C29" s="55" t="inlineStr">
        <is>
          <t>Poaceae (Aristida/Eragrostis)</t>
        </is>
      </c>
      <c r="D29" s="55" t="inlineStr">
        <is>
          <t>Poaceae</t>
        </is>
      </c>
      <c r="E29" s="55" t="inlineStr">
        <is>
          <t>Herbáceo (&lt;0.5 m)</t>
        </is>
      </c>
      <c r="F29" s="55" t="inlineStr">
        <is>
          <t>Nativa</t>
        </is>
      </c>
      <c r="G29" s="55" t="inlineStr">
        <is>
          <t>Abundante (20-40%)</t>
        </is>
      </c>
      <c r="H29" s="55" t="n"/>
      <c r="I29" s="61" t="n">
        <v>0.4</v>
      </c>
    </row>
    <row r="31">
      <c r="A31" s="53" t="inlineStr">
        <is>
          <t>F-DT-03 · ESPECIES CLAVE GEORREFERENCIADAS</t>
        </is>
      </c>
    </row>
    <row r="32">
      <c r="A32" s="54" t="inlineStr">
        <is>
          <t>N.o</t>
        </is>
      </c>
      <c r="B32" s="54" t="inlineStr">
        <is>
          <t>Especie</t>
        </is>
      </c>
      <c r="C32" s="54" t="inlineStr">
        <is>
          <t>Categoría</t>
        </is>
      </c>
      <c r="D32" s="54" t="inlineStr">
        <is>
          <t>Estado UICN</t>
        </is>
      </c>
      <c r="E32" s="54" t="inlineStr">
        <is>
          <t>UTM ESTE</t>
        </is>
      </c>
      <c r="F32" s="54" t="inlineStr">
        <is>
          <t>UTM NORTE</t>
        </is>
      </c>
      <c r="G32" s="54" t="inlineStr">
        <is>
          <t>N.° individuos</t>
        </is>
      </c>
      <c r="H32" s="54" t="inlineStr">
        <is>
          <t>Observación</t>
        </is>
      </c>
    </row>
    <row r="33">
      <c r="A33" s="55" t="inlineStr">
        <is>
          <t>1</t>
        </is>
      </c>
      <c r="B33" s="55" t="inlineStr">
        <is>
          <t>Hualtaco (Loxopterygium huasango)</t>
        </is>
      </c>
      <c r="C33" s="55" t="inlineStr">
        <is>
          <t>Amenazada (D.S. 043-2006-AG)</t>
        </is>
      </c>
      <c r="D33" s="55" t="inlineStr">
        <is>
          <t>CR — En Peligro Crítico</t>
        </is>
      </c>
      <c r="E33" s="60" t="n">
        <v>625873</v>
      </c>
      <c r="F33" s="60" t="n">
        <v>9427251</v>
      </c>
      <c r="G33" s="61" t="n">
        <v>8</v>
      </c>
      <c r="H33" s="55" t="inlineStr">
        <is>
          <t>Madera valiosa; relictos en ladera alta</t>
        </is>
      </c>
    </row>
    <row r="34">
      <c r="A34" s="56" t="inlineStr">
        <is>
          <t>2</t>
        </is>
      </c>
      <c r="B34" s="56" t="inlineStr">
        <is>
          <t>Palo Santo (Bursera graveolens)</t>
        </is>
      </c>
      <c r="C34" s="56" t="inlineStr">
        <is>
          <t>Amenazada (D.S. 043-2006-AG)</t>
        </is>
      </c>
      <c r="D34" s="56" t="inlineStr">
        <is>
          <t>CR — En Peligro Crítico</t>
        </is>
      </c>
      <c r="E34" s="62" t="n">
        <v>625891</v>
      </c>
      <c r="F34" s="62" t="n">
        <v>9427272</v>
      </c>
      <c r="G34" s="62" t="n">
        <v>12</v>
      </c>
      <c r="H34" s="56" t="inlineStr">
        <is>
          <t>Caducifolio; presión por extracción</t>
        </is>
      </c>
    </row>
    <row r="35">
      <c r="A35" s="55" t="inlineStr">
        <is>
          <t>3</t>
        </is>
      </c>
      <c r="B35" s="55" t="inlineStr">
        <is>
          <t>Sapote / Vichayo (Colicodendron scabridum)</t>
        </is>
      </c>
      <c r="C35" s="55" t="inlineStr">
        <is>
          <t>Amenazada (D.S. 043-2006-AG)</t>
        </is>
      </c>
      <c r="D35" s="55" t="inlineStr">
        <is>
          <t>CR — En Peligro Crítico</t>
        </is>
      </c>
      <c r="E35" s="60" t="n">
        <v>625834</v>
      </c>
      <c r="F35" s="60" t="n">
        <v>9427153</v>
      </c>
      <c r="G35" s="61" t="n">
        <v>6</v>
      </c>
      <c r="H35" s="55" t="inlineStr">
        <is>
          <t>Ramoneo de caprino</t>
        </is>
      </c>
    </row>
    <row r="36">
      <c r="A36" s="56" t="inlineStr">
        <is>
          <t>4</t>
        </is>
      </c>
      <c r="B36" s="56" t="inlineStr">
        <is>
          <t>Ceiba / Ceibo (Ceiba trichistandra)</t>
        </is>
      </c>
      <c r="C36" s="56" t="inlineStr">
        <is>
          <t>Indicadora de buen estado</t>
        </is>
      </c>
      <c r="D36" s="56" t="inlineStr">
        <is>
          <t>LC — Preocupación Menor</t>
        </is>
      </c>
      <c r="E36" s="62" t="n">
        <v>625530</v>
      </c>
      <c r="F36" s="62" t="n">
        <v>9426815</v>
      </c>
      <c r="G36" s="62" t="n">
        <v>100</v>
      </c>
      <c r="H36" s="56" t="inlineStr">
        <is>
          <t>Árbol emblemático; tronco verde fotosintético</t>
        </is>
      </c>
    </row>
    <row r="37">
      <c r="A37" s="55" t="inlineStr">
        <is>
          <t>5</t>
        </is>
      </c>
      <c r="B37" s="55" t="inlineStr">
        <is>
          <t>Faique (Acacia macracantha)</t>
        </is>
      </c>
      <c r="C37" s="55" t="inlineStr">
        <is>
          <t>Amenazada (D.S. 043-2006-AG)</t>
        </is>
      </c>
      <c r="D37" s="55" t="inlineStr">
        <is>
          <t>NT — Casi Amenazado</t>
        </is>
      </c>
      <c r="E37" s="60" t="n">
        <v>625900</v>
      </c>
      <c r="F37" s="60" t="n">
        <v>9427250</v>
      </c>
      <c r="G37" s="61" t="n">
        <v>4</v>
      </c>
      <c r="H37" s="55" t="inlineStr">
        <is>
          <t>Especie nodriza</t>
        </is>
      </c>
    </row>
    <row r="38">
      <c r="A38" s="56" t="inlineStr">
        <is>
          <t>6</t>
        </is>
      </c>
      <c r="B38" s="56" t="inlineStr">
        <is>
          <t>Algarrobo (Prosopis pallida)</t>
        </is>
      </c>
      <c r="C38" s="56" t="inlineStr">
        <is>
          <t>Amenazada (D.S. 043-2006-AG)</t>
        </is>
      </c>
      <c r="D38" s="56" t="inlineStr">
        <is>
          <t>VU — Vulnerable</t>
        </is>
      </c>
      <c r="E38" s="62" t="n">
        <v>625600</v>
      </c>
      <c r="F38" s="62" t="n">
        <v>9426905</v>
      </c>
      <c r="G38" s="63" t="n">
        <v>3</v>
      </c>
      <c r="H38" s="56" t="inlineStr">
        <is>
          <t>Zonas bajas del bloque</t>
        </is>
      </c>
    </row>
    <row r="39">
      <c r="A39" s="55" t="inlineStr">
        <is>
          <t>7</t>
        </is>
      </c>
      <c r="B39" s="55" t="inlineStr">
        <is>
          <t>Muérdago (Psittacanthus sp.)</t>
        </is>
      </c>
      <c r="C39" s="55" t="inlineStr">
        <is>
          <t>Indicadora de perturbación</t>
        </is>
      </c>
      <c r="D39" s="55" t="inlineStr">
        <is>
          <t>No aplica</t>
        </is>
      </c>
      <c r="E39" s="60" t="n">
        <v>625873</v>
      </c>
      <c r="F39" s="60" t="n">
        <v>9427251</v>
      </c>
      <c r="G39" s="55" t="n"/>
      <c r="H39" s="55" t="inlineStr">
        <is>
          <t>Hemiparásita; infestación severa → mortandad</t>
        </is>
      </c>
    </row>
    <row r="41">
      <c r="A41" s="53" t="inlineStr">
        <is>
          <t>F-DT-04 · MATRIZ DE CAUSAS DE DEGRADACIÓN</t>
        </is>
      </c>
    </row>
    <row r="42">
      <c r="A42" s="54" t="inlineStr">
        <is>
          <t>N.o</t>
        </is>
      </c>
      <c r="B42" s="54" t="inlineStr">
        <is>
          <t>Causa</t>
        </is>
      </c>
      <c r="C42" s="54" t="inlineStr">
        <is>
          <t>Presencia</t>
        </is>
      </c>
      <c r="D42" s="54" t="inlineStr">
        <is>
          <t>Intensidad</t>
        </is>
      </c>
      <c r="E42" s="54" t="inlineStr">
        <is>
          <t>Extensión</t>
        </is>
      </c>
      <c r="F42" s="54" t="inlineStr">
        <is>
          <t>Antigüedad</t>
        </is>
      </c>
      <c r="G42" s="54" t="inlineStr">
        <is>
          <t>Evidencia</t>
        </is>
      </c>
    </row>
    <row r="43">
      <c r="A43" s="55" t="inlineStr">
        <is>
          <t>1</t>
        </is>
      </c>
      <c r="B43" s="55" t="inlineStr">
        <is>
          <t>Sobrepastoreo (caprino/vacuno)</t>
        </is>
      </c>
      <c r="C43" s="55" t="inlineStr">
        <is>
          <t>Sí</t>
        </is>
      </c>
      <c r="D43" s="55" t="inlineStr">
        <is>
          <t>Fuerte</t>
        </is>
      </c>
      <c r="E43" s="55" t="inlineStr">
        <is>
          <t>60</t>
        </is>
      </c>
      <c r="F43" s="55" t="inlineStr">
        <is>
          <t>20</t>
        </is>
      </c>
      <c r="G43" s="55" t="inlineStr">
        <is>
          <t>Tránsito y ramoneo de ganado caprino; suelo compactado y huellas de pisoteo (F-18)</t>
        </is>
      </c>
    </row>
    <row r="44">
      <c r="A44" s="56" t="inlineStr">
        <is>
          <t>2</t>
        </is>
      </c>
      <c r="B44" s="56" t="inlineStr">
        <is>
          <t>Tala para leña</t>
        </is>
      </c>
      <c r="C44" s="56" t="inlineStr">
        <is>
          <t>Sí</t>
        </is>
      </c>
      <c r="D44" s="56" t="inlineStr">
        <is>
          <t>Moderada</t>
        </is>
      </c>
      <c r="E44" s="56" t="inlineStr">
        <is>
          <t>30</t>
        </is>
      </c>
      <c r="F44" s="56" t="inlineStr">
        <is>
          <t>20</t>
        </is>
      </c>
      <c r="G44" s="56" t="inlineStr">
        <is>
          <t>Tocones y ramas cortadas; extracción doméstica de leña</t>
        </is>
      </c>
    </row>
    <row r="45">
      <c r="A45" s="55" t="inlineStr">
        <is>
          <t>3</t>
        </is>
      </c>
      <c r="B45" s="55" t="inlineStr">
        <is>
          <t>Tala para carbón</t>
        </is>
      </c>
      <c r="C45" s="55" t="inlineStr">
        <is>
          <t>No</t>
        </is>
      </c>
      <c r="D45" s="55" t="inlineStr">
        <is>
          <t>Nula</t>
        </is>
      </c>
      <c r="E45" s="55" t="inlineStr"/>
      <c r="F45" s="55" t="inlineStr"/>
      <c r="G45" s="55" t="inlineStr">
        <is>
          <t>Sin evidencia directa de producción de carbón</t>
        </is>
      </c>
    </row>
    <row r="46">
      <c r="A46" s="56" t="inlineStr">
        <is>
          <t>4</t>
        </is>
      </c>
      <c r="B46" s="56" t="inlineStr">
        <is>
          <t>Tala para madera</t>
        </is>
      </c>
      <c r="C46" s="56" t="inlineStr">
        <is>
          <t>Sí</t>
        </is>
      </c>
      <c r="D46" s="56" t="inlineStr">
        <is>
          <t>Ligera</t>
        </is>
      </c>
      <c r="E46" s="56" t="inlineStr">
        <is>
          <t>10</t>
        </is>
      </c>
      <c r="F46" s="56" t="inlineStr">
        <is>
          <t>15</t>
        </is>
      </c>
      <c r="G46" s="56" t="inlineStr">
        <is>
          <t>Extracción selectiva histórica de Hualtaco y Palo Santo</t>
        </is>
      </c>
    </row>
    <row r="47">
      <c r="A47" s="55" t="inlineStr">
        <is>
          <t>5</t>
        </is>
      </c>
      <c r="B47" s="55" t="inlineStr">
        <is>
          <t>Quema (renovación de pastos)</t>
        </is>
      </c>
      <c r="C47" s="55" t="inlineStr">
        <is>
          <t>Sí</t>
        </is>
      </c>
      <c r="D47" s="55" t="inlineStr">
        <is>
          <t>Moderada</t>
        </is>
      </c>
      <c r="E47" s="55" t="inlineStr">
        <is>
          <t>25</t>
        </is>
      </c>
      <c r="F47" s="55" t="inlineStr">
        <is>
          <t>5</t>
        </is>
      </c>
      <c r="G47" s="55" t="inlineStr">
        <is>
          <t>Restos de quema de pastizales y tocones carbonizados (F-06)</t>
        </is>
      </c>
    </row>
    <row r="48">
      <c r="A48" s="56" t="inlineStr">
        <is>
          <t>6</t>
        </is>
      </c>
      <c r="B48" s="56" t="inlineStr">
        <is>
          <t>Quema accidental / Incendio</t>
        </is>
      </c>
      <c r="C48" s="56" t="inlineStr">
        <is>
          <t>Sí</t>
        </is>
      </c>
      <c r="D48" s="56" t="inlineStr">
        <is>
          <t>Ligera</t>
        </is>
      </c>
      <c r="E48" s="56" t="inlineStr">
        <is>
          <t>10</t>
        </is>
      </c>
      <c r="F48" s="56" t="inlineStr">
        <is>
          <t>3</t>
        </is>
      </c>
      <c r="G48" s="56" t="inlineStr">
        <is>
          <t>Indicios puntuales de fuego en bordes</t>
        </is>
      </c>
    </row>
    <row r="49">
      <c r="A49" s="55" t="inlineStr">
        <is>
          <t>7</t>
        </is>
      </c>
      <c r="B49" s="55" t="inlineStr">
        <is>
          <t>Cambio de uso a agricultura</t>
        </is>
      </c>
      <c r="C49" s="55" t="inlineStr">
        <is>
          <t>No</t>
        </is>
      </c>
      <c r="D49" s="55" t="inlineStr">
        <is>
          <t>Nula</t>
        </is>
      </c>
      <c r="E49" s="55" t="inlineStr"/>
      <c r="F49" s="55" t="inlineStr"/>
      <c r="G49" s="55" t="inlineStr">
        <is>
          <t>Sin parcelas agrícolas dentro del límite del bloque</t>
        </is>
      </c>
    </row>
    <row r="50">
      <c r="A50" s="56" t="inlineStr">
        <is>
          <t>8</t>
        </is>
      </c>
      <c r="B50" s="56" t="inlineStr">
        <is>
          <t>Cambio de uso a pastoreo</t>
        </is>
      </c>
      <c r="C50" s="56" t="inlineStr">
        <is>
          <t>Sí</t>
        </is>
      </c>
      <c r="D50" s="56" t="inlineStr">
        <is>
          <t>Moderada</t>
        </is>
      </c>
      <c r="E50" s="56" t="inlineStr">
        <is>
          <t>40</t>
        </is>
      </c>
      <c r="F50" s="56" t="inlineStr">
        <is>
          <t>20</t>
        </is>
      </c>
      <c r="G50" s="56" t="inlineStr">
        <is>
          <t>Apertura de claros para pastoreo extensivo</t>
        </is>
      </c>
    </row>
    <row r="51">
      <c r="A51" s="55" t="inlineStr">
        <is>
          <t>9</t>
        </is>
      </c>
      <c r="B51" s="55" t="inlineStr">
        <is>
          <t>Expansión urbana / vial</t>
        </is>
      </c>
      <c r="C51" s="55" t="inlineStr">
        <is>
          <t>No</t>
        </is>
      </c>
      <c r="D51" s="55" t="inlineStr">
        <is>
          <t>Nula</t>
        </is>
      </c>
      <c r="E51" s="55" t="inlineStr"/>
      <c r="F51" s="55" t="inlineStr"/>
      <c r="G51" s="55" t="inlineStr">
        <is>
          <t>Caseríos (Mambluque, Alto Mambluque) fuera del límite</t>
        </is>
      </c>
    </row>
    <row r="52">
      <c r="A52" s="56" t="inlineStr">
        <is>
          <t>10</t>
        </is>
      </c>
      <c r="B52" s="56" t="inlineStr">
        <is>
          <t>Minería informal</t>
        </is>
      </c>
      <c r="C52" s="56" t="inlineStr">
        <is>
          <t>No</t>
        </is>
      </c>
      <c r="D52" s="56" t="inlineStr">
        <is>
          <t>Nula</t>
        </is>
      </c>
      <c r="E52" s="56" t="inlineStr"/>
      <c r="F52" s="56" t="inlineStr"/>
      <c r="G52" s="56" t="inlineStr">
        <is>
          <t>No observada</t>
        </is>
      </c>
    </row>
    <row r="53">
      <c r="A53" s="55" t="inlineStr">
        <is>
          <t>11</t>
        </is>
      </c>
      <c r="B53" s="55" t="inlineStr">
        <is>
          <t>Extracción de áridos (cauces)</t>
        </is>
      </c>
      <c r="C53" s="55" t="inlineStr">
        <is>
          <t>No</t>
        </is>
      </c>
      <c r="D53" s="55" t="inlineStr">
        <is>
          <t>Nula</t>
        </is>
      </c>
      <c r="E53" s="55" t="inlineStr"/>
      <c r="F53" s="55" t="inlineStr"/>
      <c r="G53" s="55" t="inlineStr">
        <is>
          <t>No observada</t>
        </is>
      </c>
    </row>
    <row r="54">
      <c r="A54" s="56" t="inlineStr">
        <is>
          <t>12</t>
        </is>
      </c>
      <c r="B54" s="56" t="inlineStr">
        <is>
          <t>Especies invasoras</t>
        </is>
      </c>
      <c r="C54" s="56" t="inlineStr">
        <is>
          <t>No</t>
        </is>
      </c>
      <c r="D54" s="56" t="inlineStr">
        <is>
          <t>Nula</t>
        </is>
      </c>
      <c r="E54" s="56" t="inlineStr"/>
      <c r="F54" s="56" t="inlineStr"/>
      <c r="G54" s="56" t="inlineStr">
        <is>
          <t>Sin invasoras exóticas dominantes (las parásitas son nativas)</t>
        </is>
      </c>
    </row>
    <row r="55">
      <c r="A55" s="55" t="inlineStr">
        <is>
          <t>13</t>
        </is>
      </c>
      <c r="B55" s="55" t="inlineStr">
        <is>
          <t>Erosión natural severa</t>
        </is>
      </c>
      <c r="C55" s="55" t="inlineStr">
        <is>
          <t>Sí</t>
        </is>
      </c>
      <c r="D55" s="55" t="inlineStr">
        <is>
          <t>Moderada</t>
        </is>
      </c>
      <c r="E55" s="55" t="inlineStr">
        <is>
          <t>15</t>
        </is>
      </c>
      <c r="F55" s="55" t="inlineStr"/>
      <c r="G55" s="55" t="inlineStr">
        <is>
          <t>Surcos y cárcavas someras con socavamiento en quebradas (F-12, F-15)</t>
        </is>
      </c>
    </row>
    <row r="56">
      <c r="A56" s="56" t="inlineStr">
        <is>
          <t>14</t>
        </is>
      </c>
      <c r="B56" s="56" t="inlineStr">
        <is>
          <t>Sequía prolongada / CC</t>
        </is>
      </c>
      <c r="C56" s="56" t="inlineStr">
        <is>
          <t>Sí</t>
        </is>
      </c>
      <c r="D56" s="56" t="inlineStr">
        <is>
          <t>Fuerte</t>
        </is>
      </c>
      <c r="E56" s="56" t="inlineStr">
        <is>
          <t>100</t>
        </is>
      </c>
      <c r="F56" s="56" t="inlineStr"/>
      <c r="G56" s="56" t="inlineStr">
        <is>
          <t>Estrés hídrico estacional; caducifolia marcada; déficit proyectado SSP585</t>
        </is>
      </c>
    </row>
    <row r="57">
      <c r="A57" s="55" t="inlineStr">
        <is>
          <t>15</t>
        </is>
      </c>
      <c r="B57" s="55" t="inlineStr">
        <is>
          <t>Plagas o enfermedades forestales</t>
        </is>
      </c>
      <c r="C57" s="55" t="inlineStr">
        <is>
          <t>Sí</t>
        </is>
      </c>
      <c r="D57" s="55" t="inlineStr">
        <is>
          <t>Muy fuerte</t>
        </is>
      </c>
      <c r="E57" s="55" t="inlineStr">
        <is>
          <t>50</t>
        </is>
      </c>
      <c r="F57" s="55" t="inlineStr">
        <is>
          <t>10</t>
        </is>
      </c>
      <c r="G57" s="55" t="inlineStr">
        <is>
          <t>Infestación masiva por muérdago (Loranthaceae) y Cuscuta → alta mortandad arbórea (F-05, F-07, F-16, F-17)</t>
        </is>
      </c>
    </row>
    <row r="58">
      <c r="A58" s="56" t="inlineStr">
        <is>
          <t>16</t>
        </is>
      </c>
      <c r="B58" s="56" t="inlineStr">
        <is>
          <t>Otro</t>
        </is>
      </c>
      <c r="C58" s="56" t="inlineStr">
        <is>
          <t>No</t>
        </is>
      </c>
      <c r="D58" s="56" t="inlineStr">
        <is>
          <t>Nula</t>
        </is>
      </c>
      <c r="E58" s="56" t="inlineStr"/>
      <c r="F58" s="56" t="inlineStr"/>
      <c r="G58" s="56" t="inlineStr">
        <is>
          <t>—</t>
        </is>
      </c>
    </row>
    <row r="60">
      <c r="A60" s="53" t="inlineStr">
        <is>
          <t>F-DT-04 · INDICADORES CUANTITATIVOS</t>
        </is>
      </c>
    </row>
    <row r="61">
      <c r="A61" s="54" t="inlineStr">
        <is>
          <t>N.o</t>
        </is>
      </c>
      <c r="B61" s="54" t="inlineStr">
        <is>
          <t>Indicador</t>
        </is>
      </c>
      <c r="C61" s="54" t="inlineStr">
        <is>
          <t>Unidad</t>
        </is>
      </c>
      <c r="D61" s="54" t="inlineStr">
        <is>
          <t>Valor</t>
        </is>
      </c>
      <c r="E61" s="54" t="inlineStr">
        <is>
          <t>Fuente</t>
        </is>
      </c>
      <c r="F61" s="54" t="inlineStr">
        <is>
          <t>Umbral</t>
        </is>
      </c>
      <c r="G61" s="54" t="inlineStr">
        <is>
          <t>Nivel</t>
        </is>
      </c>
    </row>
    <row r="62">
      <c r="A62" s="55" t="inlineStr">
        <is>
          <t>1</t>
        </is>
      </c>
      <c r="B62" s="55" t="inlineStr">
        <is>
          <t>Cobertura vegetal total</t>
        </is>
      </c>
      <c r="C62" s="55" t="inlineStr">
        <is>
          <t>%</t>
        </is>
      </c>
      <c r="D62" s="55" t="inlineStr">
        <is>
          <t>60</t>
        </is>
      </c>
      <c r="E62" s="55" t="inlineStr">
        <is>
          <t>Estimación de campo + MSAVI 2024</t>
        </is>
      </c>
      <c r="F62" s="55" t="inlineStr">
        <is>
          <t>&gt;60% bueno; 30-60% medio; &lt;30% malo</t>
        </is>
      </c>
      <c r="G62" s="55" t="inlineStr">
        <is>
          <t>Medio</t>
        </is>
      </c>
    </row>
    <row r="63">
      <c r="A63" s="56" t="inlineStr">
        <is>
          <t>2</t>
        </is>
      </c>
      <c r="B63" s="56" t="inlineStr">
        <is>
          <t>Porcentaje de suelo desnudo</t>
        </is>
      </c>
      <c r="C63" s="56" t="inlineStr">
        <is>
          <t>%</t>
        </is>
      </c>
      <c r="D63" s="56" t="inlineStr">
        <is>
          <t>25</t>
        </is>
      </c>
      <c r="E63" s="56" t="inlineStr">
        <is>
          <t>Estimación de campo</t>
        </is>
      </c>
      <c r="F63" s="56" t="inlineStr">
        <is>
          <t>&lt;10% bueno; 10-30% medio; &gt;30% malo</t>
        </is>
      </c>
      <c r="G63" s="56" t="inlineStr">
        <is>
          <t>Medio</t>
        </is>
      </c>
    </row>
    <row r="64">
      <c r="A64" s="55" t="inlineStr">
        <is>
          <t>3</t>
        </is>
      </c>
      <c r="B64" s="55" t="inlineStr">
        <is>
          <t>Densidad de cárcavas</t>
        </is>
      </c>
      <c r="C64" s="55" t="inlineStr">
        <is>
          <t>N°/ha</t>
        </is>
      </c>
      <c r="D64" s="55" t="inlineStr">
        <is>
          <t>0.5</t>
        </is>
      </c>
      <c r="E64" s="55" t="inlineStr">
        <is>
          <t>Inventario F-DT-02</t>
        </is>
      </c>
      <c r="F64" s="55" t="inlineStr">
        <is>
          <t>0 nulo; 1-3 medio; &gt;3 alto</t>
        </is>
      </c>
      <c r="G64" s="55" t="inlineStr">
        <is>
          <t>Bajo</t>
        </is>
      </c>
    </row>
    <row r="65">
      <c r="A65" s="56" t="inlineStr">
        <is>
          <t>4</t>
        </is>
      </c>
      <c r="B65" s="56" t="inlineStr">
        <is>
          <t>Presencia de especies invasoras</t>
        </is>
      </c>
      <c r="C65" s="56" t="inlineStr">
        <is>
          <t>% área</t>
        </is>
      </c>
      <c r="D65" s="56" t="inlineStr">
        <is>
          <t>2</t>
        </is>
      </c>
      <c r="E65" s="56" t="inlineStr">
        <is>
          <t>Estimación de campo</t>
        </is>
      </c>
      <c r="F65" s="56" t="inlineStr">
        <is>
          <t>&lt;5% bueno; 5-20% medio; &gt;20% alto</t>
        </is>
      </c>
      <c r="G65" s="56" t="inlineStr">
        <is>
          <t>Bajo</t>
        </is>
      </c>
    </row>
    <row r="66">
      <c r="A66" s="55" t="inlineStr">
        <is>
          <t>5</t>
        </is>
      </c>
      <c r="B66" s="55" t="inlineStr">
        <is>
          <t>Carga ganadera estimada</t>
        </is>
      </c>
      <c r="C66" s="55" t="inlineStr">
        <is>
          <t>UA/ha</t>
        </is>
      </c>
      <c r="D66" s="55" t="inlineStr">
        <is>
          <t>0.8</t>
        </is>
      </c>
      <c r="E66" s="55" t="inlineStr">
        <is>
          <t>Estimación de campo (caprino)</t>
        </is>
      </c>
      <c r="F66" s="55" t="inlineStr">
        <is>
          <t>Según tipo de ecosistema</t>
        </is>
      </c>
      <c r="G66" s="55" t="inlineStr">
        <is>
          <t>Medio</t>
        </is>
      </c>
    </row>
    <row r="67">
      <c r="A67" s="56" t="inlineStr">
        <is>
          <t>6</t>
        </is>
      </c>
      <c r="B67" s="56" t="inlineStr">
        <is>
          <t>Frecuencia de quemas últimos 5 años</t>
        </is>
      </c>
      <c r="C67" s="56" t="inlineStr">
        <is>
          <t>N°</t>
        </is>
      </c>
      <c r="D67" s="56" t="inlineStr">
        <is>
          <t>2</t>
        </is>
      </c>
      <c r="E67" s="56" t="inlineStr">
        <is>
          <t>Campo / entrevistas locales</t>
        </is>
      </c>
      <c r="F67" s="56" t="inlineStr">
        <is>
          <t>0 nulo; 1-2 medio; &gt;2 alto</t>
        </is>
      </c>
      <c r="G67" s="56" t="inlineStr">
        <is>
          <t>Medio</t>
        </is>
      </c>
    </row>
    <row r="68">
      <c r="A68" s="55" t="inlineStr">
        <is>
          <t>7</t>
        </is>
      </c>
      <c r="B68" s="55" t="inlineStr">
        <is>
          <t>% área con pendiente &gt;50%</t>
        </is>
      </c>
      <c r="C68" s="55" t="inlineStr">
        <is>
          <t>%</t>
        </is>
      </c>
      <c r="D68" s="55" t="inlineStr">
        <is>
          <t>35</t>
        </is>
      </c>
      <c r="E68" s="55" t="inlineStr">
        <is>
          <t>MDT / Google Earth</t>
        </is>
      </c>
      <c r="F68" s="55" t="inlineStr">
        <is>
          <t>Factor de susceptibilidad</t>
        </is>
      </c>
      <c r="G68" s="55" t="inlineStr">
        <is>
          <t>Alto</t>
        </is>
      </c>
    </row>
    <row r="69">
      <c r="A69" s="56" t="inlineStr">
        <is>
          <t>8</t>
        </is>
      </c>
      <c r="B69" s="56" t="inlineStr">
        <is>
          <t>Distancia a vía vecinal más cercana</t>
        </is>
      </c>
      <c r="C69" s="56" t="inlineStr">
        <is>
          <t>m</t>
        </is>
      </c>
      <c r="D69" s="56" t="inlineStr">
        <is>
          <t>50</t>
        </is>
      </c>
      <c r="E69" s="56" t="inlineStr">
        <is>
          <t>Cartografía vial (MTC)</t>
        </is>
      </c>
      <c r="F69" s="56" t="inlineStr">
        <is>
          <t>A menor distancia → mayor presión</t>
        </is>
      </c>
      <c r="G69" s="56" t="inlineStr">
        <is>
          <t>Alto</t>
        </is>
      </c>
    </row>
    <row r="71">
      <c r="A71" s="53" t="inlineStr">
        <is>
          <t>F-DT-05 · FUENTES DE AGUA INVENTARIADAS</t>
        </is>
      </c>
    </row>
    <row r="72">
      <c r="A72" s="54" t="inlineStr">
        <is>
          <t>N.o</t>
        </is>
      </c>
      <c r="B72" s="54" t="inlineStr">
        <is>
          <t>Tipo de fuente</t>
        </is>
      </c>
      <c r="C72" s="54" t="inlineStr">
        <is>
          <t>UTM ESTE</t>
        </is>
      </c>
      <c r="D72" s="54" t="inlineStr">
        <is>
          <t>UTM NORTE</t>
        </is>
      </c>
      <c r="E72" s="54" t="inlineStr">
        <is>
          <t>Régimen</t>
        </is>
      </c>
      <c r="F72" s="54" t="inlineStr">
        <is>
          <t>Calidad</t>
        </is>
      </c>
      <c r="G72" s="54" t="inlineStr">
        <is>
          <t>Distancia (m)</t>
        </is>
      </c>
      <c r="H72" s="54" t="inlineStr">
        <is>
          <t>Uso / observación</t>
        </is>
      </c>
    </row>
    <row r="73">
      <c r="A73" s="55" t="inlineStr">
        <is>
          <t>1</t>
        </is>
      </c>
      <c r="B73" s="55" t="inlineStr">
        <is>
          <t>Río</t>
        </is>
      </c>
      <c r="C73" s="60" t="n">
        <v>625200</v>
      </c>
      <c r="D73" s="60" t="n">
        <v>9426600</v>
      </c>
      <c r="E73" s="55" t="inlineStr">
        <is>
          <t>Permanente</t>
        </is>
      </c>
      <c r="F73" s="55" t="inlineStr">
        <is>
          <t>Regular (ligeramente turbia o con sedimentos)</t>
        </is>
      </c>
      <c r="G73" s="60" t="n">
        <v>300</v>
      </c>
      <c r="H73" s="55" t="inlineStr">
        <is>
          <t>Río La Gallega; límite SO del bloque; vía de acceso por vadeo</t>
        </is>
      </c>
    </row>
    <row r="74">
      <c r="A74" s="56" t="inlineStr">
        <is>
          <t>2</t>
        </is>
      </c>
      <c r="B74" s="56" t="inlineStr">
        <is>
          <t>Quebrada estacional</t>
        </is>
      </c>
      <c r="C74" s="62" t="n">
        <v>625650</v>
      </c>
      <c r="D74" s="62" t="n">
        <v>9427650</v>
      </c>
      <c r="E74" s="56" t="inlineStr">
        <is>
          <t>Estacional (lluvias)</t>
        </is>
      </c>
      <c r="F74" s="56" t="inlineStr">
        <is>
          <t>No evaluable</t>
        </is>
      </c>
      <c r="G74" s="63" t="n">
        <v>0</v>
      </c>
      <c r="H74" s="56" t="inlineStr">
        <is>
          <t>Qbda. Mambluque; drena el bloque hacia el río</t>
        </is>
      </c>
    </row>
    <row r="75">
      <c r="A75" s="55" t="inlineStr">
        <is>
          <t>3</t>
        </is>
      </c>
      <c r="B75" s="55" t="inlineStr">
        <is>
          <t>Quebrada estacional</t>
        </is>
      </c>
      <c r="C75" s="60" t="n">
        <v>625980</v>
      </c>
      <c r="D75" s="60" t="n">
        <v>9427900</v>
      </c>
      <c r="E75" s="55" t="inlineStr">
        <is>
          <t>Estacional (lluvias)</t>
        </is>
      </c>
      <c r="F75" s="55" t="inlineStr">
        <is>
          <t>No evaluable</t>
        </is>
      </c>
      <c r="G75" s="61" t="n">
        <v>0</v>
      </c>
      <c r="H75" s="55" t="inlineStr">
        <is>
          <t>Qbda. Alta; cauce seco en estiaje</t>
        </is>
      </c>
    </row>
    <row r="76">
      <c r="A76" s="56" t="inlineStr">
        <is>
          <t>4</t>
        </is>
      </c>
      <c r="B76" s="56" t="inlineStr">
        <is>
          <t>Quebrada estacional</t>
        </is>
      </c>
      <c r="C76" s="62" t="n">
        <v>626100</v>
      </c>
      <c r="D76" s="62" t="n">
        <v>9428100</v>
      </c>
      <c r="E76" s="56" t="inlineStr">
        <is>
          <t>Estacional (lluvias)</t>
        </is>
      </c>
      <c r="F76" s="56" t="inlineStr">
        <is>
          <t>No evaluable</t>
        </is>
      </c>
      <c r="G76" s="63" t="n">
        <v>0</v>
      </c>
      <c r="H76" s="56" t="inlineStr">
        <is>
          <t>Qbda. Alta 2; concentración de escorrentía</t>
        </is>
      </c>
    </row>
    <row r="79">
      <c r="A79" s="53" t="inlineStr">
        <is>
          <t>OBSERVACIONES DEL EVALUADOR POR FICHA</t>
        </is>
      </c>
    </row>
    <row r="80">
      <c r="A80" s="54" t="inlineStr">
        <is>
          <t>Ficha</t>
        </is>
      </c>
      <c r="B80" s="54" t="inlineStr">
        <is>
          <t>Observación registrada en campo</t>
        </is>
      </c>
    </row>
    <row r="81">
      <c r="A81" s="55" t="inlineStr">
        <is>
          <t>F-DT-01</t>
        </is>
      </c>
      <c r="B81" s="55" t="inlineStr">
        <is>
          <t>Rango altitudinal real del bloque ~280 m (cauce del río) a &gt;1100 m (cresta NE, inaccesible). La franja accesible inspeccionada se ubica entre 300 y 500 msnm. Pendiente media medida en perfil de campo 20,9 % y máxima 49 % (Google Earth). Bloque seleccionado por su rol en la regulación de movimientos en masa y generación de escorrentía en la zona de origen de los peligros (cabecera de microcuenca C1086-Q9575). Las acumulaciones de bloques angulosos en quebradas son compatibles con flujos de detritos antiguos; la parte alta presenta susceptibilidad latente a remociones en masa.</t>
        </is>
      </c>
    </row>
    <row r="82">
      <c r="A82" s="56" t="inlineStr">
        <is>
          <t>F-DT-02</t>
        </is>
      </c>
      <c r="B82" s="56" t="inlineStr">
        <is>
          <t>Erosión dominantemente laminar y en surcos sobre laderas con suelo desnudo y costra superficial, agravada por el pisoteo de ganado caprino. Las cárcavas se concentran linealmente en las quebradas (Qbda. Mambluque), con socavamiento de cauce y acarreo de bloques. No se observan cárcavas profundas continuas, pero el proceso es activo y progresivo en estiaje. La pérdida de cobertura por mortandad arbórea (parásitas) acelera la exposición del suelo.</t>
        </is>
      </c>
    </row>
    <row r="83">
      <c r="A83" s="55" t="inlineStr">
        <is>
          <t>F-DT-03</t>
        </is>
      </c>
      <c r="B83" s="55" t="inlineStr">
        <is>
          <t>Bosque estacionalmente seco de colina y montaña (Bes-cm) en estado alterado, con relictos en buen estado en la parte alta inaccesible. El rasgo sanitario más relevante es la altísima infestación por plantas parásitas (muérdago, Loranthaceae, y Cuscuta) que está provocando mortandad arbórea progresiva (árboles muertos en pie y caídos). Concurre presión por pastoreo caprino, tala selectiva, leña y quema. Cuatro especies registradas figuran como amenazadas (D.S. 043-2006-AG): Hualtaco, Palo Santo y Sapote (CR), Algarrobo (VU) y Faique (NT).</t>
        </is>
      </c>
    </row>
    <row r="84">
      <c r="A84" s="56" t="inlineStr">
        <is>
          <t>F-DT-04</t>
        </is>
      </c>
      <c r="B84" s="56" t="inlineStr">
        <is>
          <t>La degradación del bloque obedece a un motor antrópico (pastoreo, tala, quema) potenciado por un agente biológico de perturbación de alto impacto: las plantas parásitas. El control fitosanitario del muérdago/Cuscuta, el manejo de la carga caprina y la revegetación con especies nativas amenazadas son las líneas prioritarias. Reversibilidad parcial: el banco genético (relictos altos) permite la recuperación asistida.</t>
        </is>
      </c>
    </row>
    <row r="85">
      <c r="A85" s="55" t="inlineStr">
        <is>
          <t>F-DT-05</t>
        </is>
      </c>
      <c r="B85" s="55" t="inlineStr">
        <is>
          <t>Bloque ubicado en zona de origen (cabecera) de la microcuenca C1086-Q9575; cumple función de recarga e intercepción. Drenaje efímero/estacional concentrado en tres quebradas que descienden al río La Gallega (única fuente permanente, en el límite SO). Acceso desde Morropón por la ruta a Yamango con vadeo del río; tramo final a pie por camino de herradura (30–90 min). Transitabilidad comprometida en época de lluvias. Para la ejecución se recomienda coordinación previa con la comunidad / ronda campesina local.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M28B4</t>
        </is>
      </c>
    </row>
    <row r="7">
      <c r="A7" s="53" t="inlineStr">
        <is>
          <t>Hechos declarados por fuente</t>
        </is>
      </c>
    </row>
    <row r="8">
      <c r="A8" s="54" t="inlineStr">
        <is>
          <t>Fuente</t>
        </is>
      </c>
      <c r="B8" s="54" t="inlineStr">
        <is>
          <t>Hechos</t>
        </is>
      </c>
    </row>
    <row r="9">
      <c r="A9" s="55" t="inlineStr">
        <is>
          <t>Dato de campo</t>
        </is>
      </c>
      <c r="B9" s="55" t="n">
        <v>74</v>
      </c>
    </row>
    <row r="10">
      <c r="A10" s="56" t="inlineStr">
        <is>
          <t>Gabinete (GIS / teledetección)</t>
        </is>
      </c>
      <c r="B10" s="56" t="n">
        <v>23</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111</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3</v>
      </c>
    </row>
    <row r="45">
      <c r="A45" s="53" t="inlineStr">
        <is>
          <t>Cobertura por estrato — campo (%)</t>
        </is>
      </c>
    </row>
    <row r="46">
      <c r="A46" s="54" t="inlineStr">
        <is>
          <t>Estrato</t>
        </is>
      </c>
      <c r="B46" s="54" t="inlineStr">
        <is>
          <t>% del área</t>
        </is>
      </c>
    </row>
    <row r="47">
      <c r="A47" s="55" t="inlineStr">
        <is>
          <t>Dosel</t>
        </is>
      </c>
      <c r="B47" s="60" t="n">
        <v>35</v>
      </c>
    </row>
    <row r="48">
      <c r="A48" s="56" t="inlineStr">
        <is>
          <t>Arbustiva</t>
        </is>
      </c>
      <c r="B48" s="62" t="n">
        <v>25</v>
      </c>
    </row>
    <row r="49">
      <c r="A49" s="55" t="inlineStr">
        <is>
          <t>Herbácea</t>
        </is>
      </c>
      <c r="B49" s="60" t="n">
        <v>30</v>
      </c>
    </row>
    <row r="50">
      <c r="A50" s="56" t="inlineStr">
        <is>
          <t>Hojarasca</t>
        </is>
      </c>
      <c r="B50" s="62" t="n">
        <v>15</v>
      </c>
    </row>
    <row r="51">
      <c r="A51" s="55" t="inlineStr">
        <is>
          <t>Suelo desnudo</t>
        </is>
      </c>
      <c r="B51" s="60" t="n">
        <v>25</v>
      </c>
    </row>
    <row r="64">
      <c r="A64" s="53" t="inlineStr">
        <is>
          <t>Causas activas de degradación (F-DT-04)</t>
        </is>
      </c>
    </row>
    <row r="65">
      <c r="A65" s="54" t="inlineStr">
        <is>
          <t>Causa</t>
        </is>
      </c>
      <c r="B65" s="54" t="inlineStr">
        <is>
          <t>Intensidad (1 ligera - 4 muy fuerte)</t>
        </is>
      </c>
    </row>
    <row r="66">
      <c r="A66" s="55" t="inlineStr">
        <is>
          <t>Plagas o enfermedades forestales</t>
        </is>
      </c>
      <c r="B66" s="55" t="n">
        <v>4</v>
      </c>
    </row>
    <row r="67">
      <c r="A67" s="56" t="inlineStr">
        <is>
          <t>Sequía prolongada / CC</t>
        </is>
      </c>
      <c r="B67" s="56" t="n">
        <v>3</v>
      </c>
    </row>
    <row r="68">
      <c r="A68" s="55" t="inlineStr">
        <is>
          <t>Sobrepastoreo (caprino/vacuno)</t>
        </is>
      </c>
      <c r="B68" s="55" t="n">
        <v>3</v>
      </c>
    </row>
    <row r="69">
      <c r="A69" s="56" t="inlineStr">
        <is>
          <t>Cambio de uso a pastoreo</t>
        </is>
      </c>
      <c r="B69" s="56" t="n">
        <v>2</v>
      </c>
    </row>
    <row r="70">
      <c r="A70" s="55" t="inlineStr">
        <is>
          <t>Erosión natural severa</t>
        </is>
      </c>
      <c r="B70" s="55" t="n">
        <v>2</v>
      </c>
    </row>
    <row r="71">
      <c r="A71" s="56" t="inlineStr">
        <is>
          <t>Quema (renovación de pastos)</t>
        </is>
      </c>
      <c r="B71" s="56" t="n">
        <v>2</v>
      </c>
    </row>
    <row r="72">
      <c r="A72" s="55" t="inlineStr">
        <is>
          <t>Tala para leña</t>
        </is>
      </c>
      <c r="B72" s="55" t="n">
        <v>2</v>
      </c>
    </row>
    <row r="73">
      <c r="A73" s="56" t="inlineStr">
        <is>
          <t>Quema accidental / Incendio</t>
        </is>
      </c>
      <c r="B73" s="56" t="n">
        <v>1</v>
      </c>
    </row>
    <row r="74">
      <c r="A74" s="55" t="inlineStr">
        <is>
          <t>Tala para madera</t>
        </is>
      </c>
      <c r="B74" s="55" t="n">
        <v>1</v>
      </c>
    </row>
    <row r="83">
      <c r="A83" s="53" t="inlineStr">
        <is>
          <t>Control de consistencia por calificación</t>
        </is>
      </c>
    </row>
    <row r="84">
      <c r="A84" s="54" t="inlineStr">
        <is>
          <t>Calificación</t>
        </is>
      </c>
      <c r="B84" s="54" t="inlineStr">
        <is>
          <t>Verificaciones</t>
        </is>
      </c>
    </row>
    <row r="85">
      <c r="A85" s="55" t="inlineStr">
        <is>
          <t>SUSTANTIVA</t>
        </is>
      </c>
      <c r="B85" s="55" t="n">
        <v>4</v>
      </c>
    </row>
    <row r="86">
      <c r="A86" s="56" t="inlineStr">
        <is>
          <t>NO SUSTANTIVA</t>
        </is>
      </c>
      <c r="B86" s="56" t="n">
        <v>3</v>
      </c>
    </row>
    <row r="87">
      <c r="A87" s="55" t="inlineStr">
        <is>
          <t>CORREGIDO</t>
        </is>
      </c>
      <c r="B87" s="55" t="n">
        <v>0</v>
      </c>
    </row>
    <row r="88">
      <c r="A88" s="56" t="inlineStr">
        <is>
          <t>CONFORME</t>
        </is>
      </c>
      <c r="B8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M28B4 — IN Piura</dc:title>
  <dc:subject>Diagnóstico Territorial por bloque de intervención</dc:subject>
  <dcterms:created xsi:type="dcterms:W3CDTF">2026-09-08T03:39:58Z</dcterms:created>
  <dcterms:modified xsi:type="dcterms:W3CDTF">2026-09-11T21:26:35Z</dcterms:modified>
</cp:coreProperties>
</file>