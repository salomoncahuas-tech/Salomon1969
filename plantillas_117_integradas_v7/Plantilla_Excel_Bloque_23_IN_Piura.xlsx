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f>
            </numRef>
          </cat>
          <val>
            <numRef>
              <f>'Gráficos de integración'!$B$47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23</t>
        </is>
      </c>
    </row>
    <row r="6" ht="24" customHeight="1">
      <c r="A6" s="4" t="inlineStr">
        <is>
          <t>Diagnóstico Territorial — Plantilla DT Campo Check Validada V5 | Sistema de referencia: UTM WGS 84 Zona 17S (EPSG:32717) · Integrado con la ficha de campo F-DT vigente (Plantilla_DT_Campo_Check_Validada_V5_Bloque23.xlsx) — V7 - resumen V6 + campo F-DT integrado</t>
        </is>
      </c>
    </row>
    <row r="7"/>
    <row r="8" ht="18" customHeight="1">
      <c r="A8" s="5" t="inlineStr">
        <is>
          <t>1. IDENTIFICACIÓN Y LOCALIZACIÓN</t>
        </is>
      </c>
    </row>
    <row r="9">
      <c r="A9" s="6" t="inlineStr">
        <is>
          <t>Código del bloque</t>
        </is>
      </c>
      <c r="B9" s="7" t="inlineStr">
        <is>
          <t>23</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Nueva Esperanza</t>
        </is>
      </c>
      <c r="C13" s="6" t="inlineStr">
        <is>
          <t>Comunidad campesina</t>
        </is>
      </c>
      <c r="D13" s="7" t="inlineStr">
        <is>
          <t>Por verificar</t>
        </is>
      </c>
      <c r="E13" s="8" t="n"/>
      <c r="F13" s="8" t="n"/>
    </row>
    <row r="14">
      <c r="A14" s="6" t="inlineStr">
        <is>
          <t>Superficie de catálogo (V5/V6), ha</t>
        </is>
      </c>
      <c r="B14" s="7" t="n">
        <v>81.78</v>
      </c>
      <c r="C14" s="6" t="inlineStr">
        <is>
          <t>Fuente de superficie</t>
        </is>
      </c>
      <c r="D14" s="7" t="inlineStr">
        <is>
          <t>Catálogo maestro Bloques V5/V6</t>
        </is>
      </c>
      <c r="E14" s="8" t="n"/>
      <c r="F14" s="8" t="n"/>
    </row>
    <row r="15">
      <c r="A15" s="6" t="inlineStr">
        <is>
          <t>Centroide UTM ESTE (m)</t>
        </is>
      </c>
      <c r="B15" s="7" t="n">
        <v>619939</v>
      </c>
      <c r="C15" s="6" t="inlineStr">
        <is>
          <t>Centroide UTM NORTE (m)</t>
        </is>
      </c>
      <c r="D15" s="7" t="n">
        <v>9438544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521</v>
      </c>
      <c r="C19" s="6" t="inlineStr">
        <is>
          <t>Altitud máxima (msnm)</t>
        </is>
      </c>
      <c r="D19" s="7" t="n">
        <v>973</v>
      </c>
      <c r="E19" s="8" t="n"/>
      <c r="F19" s="8" t="n"/>
    </row>
    <row r="20">
      <c r="A20" s="6" t="inlineStr">
        <is>
          <t>Amplitud altitudinal (m)</t>
        </is>
      </c>
      <c r="B20" s="7" t="n">
        <v>452</v>
      </c>
      <c r="C20" s="6" t="inlineStr">
        <is>
          <t>Piso altitudinal dominante</t>
        </is>
      </c>
      <c r="D20" s="7" t="inlineStr">
        <is>
          <t>&lt;1000 m (Yunga)</t>
        </is>
      </c>
      <c r="E20" s="8" t="n"/>
      <c r="F20" s="8" t="n"/>
    </row>
    <row r="21">
      <c r="A21" s="6" t="inlineStr">
        <is>
          <t>Pendiente promedio (%)</t>
        </is>
      </c>
      <c r="B21" s="7" t="n">
        <v>35.28</v>
      </c>
      <c r="C21" s="6" t="inlineStr">
        <is>
          <t>Pendiente promedio (grados)</t>
        </is>
      </c>
      <c r="D21" s="7" t="n">
        <v>19.4</v>
      </c>
      <c r="E21" s="8" t="n"/>
      <c r="F21" s="8" t="n"/>
    </row>
    <row r="22">
      <c r="A22" s="6" t="inlineStr">
        <is>
          <t>Clase de pendiente equivalente</t>
        </is>
      </c>
      <c r="B22" s="7" t="inlineStr">
        <is>
          <t>25-50% (Mod. escarpado)</t>
        </is>
      </c>
      <c r="C22" s="6" t="inlineStr">
        <is>
          <t>Rango de pendiente declarado en campo</t>
        </is>
      </c>
      <c r="D22" s="50" t="inlineStr">
        <is>
          <t>No consignado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50" t="inlineStr">
        <is>
          <t>Variable</t>
        </is>
      </c>
      <c r="C24" s="6" t="inlineStr">
        <is>
          <t>Afloramientos rocosos</t>
        </is>
      </c>
      <c r="D24" s="50" t="inlineStr">
        <is>
          <t>No consignado</t>
        </is>
      </c>
      <c r="E24" s="8" t="n"/>
      <c r="F24" s="8" t="n"/>
    </row>
    <row r="25">
      <c r="A25" s="6" t="inlineStr">
        <is>
          <t>Escarpes activos</t>
        </is>
      </c>
      <c r="B25" s="50" t="inlineStr">
        <is>
          <t>No consignado</t>
        </is>
      </c>
      <c r="C25" s="6" t="inlineStr">
        <is>
          <t>Remociones en masa activas</t>
        </is>
      </c>
      <c r="D25" s="50" t="inlineStr">
        <is>
          <t>No</t>
        </is>
      </c>
      <c r="E25" s="8" t="n"/>
      <c r="F25" s="8" t="n"/>
    </row>
    <row r="26"/>
    <row r="27" ht="18" customHeight="1">
      <c r="A27" s="5" t="inlineStr">
        <is>
          <t>3. ÍNDICES DE VEGETACIÓN (SENTINEL-2)</t>
        </is>
      </c>
    </row>
    <row r="28">
      <c r="A28" s="6" t="inlineStr">
        <is>
          <t>MSAVI 2024 — media del bloque</t>
        </is>
      </c>
      <c r="B28" s="7" t="n">
        <v>0.5731000000000001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(47.99 %)</t>
        </is>
      </c>
      <c r="E29" s="8" t="n"/>
      <c r="F29" s="8" t="n"/>
    </row>
    <row r="30">
      <c r="A30" s="6" t="inlineStr">
        <is>
          <t>Superficie clasificada NDVI 2025 (ha)</t>
        </is>
      </c>
      <c r="B30" s="7" t="n">
        <v>81.812</v>
      </c>
      <c r="C30" s="6" t="inlineStr">
        <is>
          <t>Desviación frente al catálogo (%)</t>
        </is>
      </c>
      <c r="D30" s="7" t="n">
        <v>0.04</v>
      </c>
      <c r="E30" s="8" t="n"/>
      <c r="F30" s="8" t="n"/>
    </row>
    <row r="31">
      <c r="A31" s="6" t="inlineStr">
        <is>
          <t>Superficie clasificada MSAVI 2024 (ha)</t>
        </is>
      </c>
      <c r="B31" s="38" t="n">
        <v>81.776</v>
      </c>
      <c r="C31" s="6" t="inlineStr">
        <is>
          <t>Desviación MSAVI frente al catálogo (%)</t>
        </is>
      </c>
      <c r="D31" s="39" t="n">
        <v>-0.01</v>
      </c>
      <c r="E31" s="8" t="n"/>
      <c r="F31" s="8" t="n"/>
    </row>
    <row r="32">
      <c r="A32" s="6" t="inlineStr">
        <is>
          <t>Superficie bajo umbral MSAVI 0.4976 (ha)</t>
        </is>
      </c>
      <c r="B32" s="38" t="n">
        <v>15.33</v>
      </c>
      <c r="C32" s="6" t="inlineStr">
        <is>
          <t>% del bloque bajo umbral (brecha espectral)</t>
        </is>
      </c>
      <c r="D32" s="39" t="n">
        <v>18.75</v>
      </c>
      <c r="E32" s="8" t="n"/>
      <c r="F32" s="8" t="n"/>
    </row>
    <row r="33">
      <c r="A33" s="6" t="inlineStr">
        <is>
          <t>Clase DN dominante (MSAVI 2024)</t>
        </is>
      </c>
      <c r="B33" s="7" t="inlineStr">
        <is>
          <t>DN 4 · 0.4976 - 0.6139 (Vigor moderado)</t>
        </is>
      </c>
      <c r="C33" s="6" t="inlineStr">
        <is>
          <t>N.° de polígonos MSAVI del bloque</t>
        </is>
      </c>
      <c r="D33" s="40" t="n">
        <v>312</v>
      </c>
      <c r="E33" s="8" t="n"/>
      <c r="F33" s="8" t="n"/>
    </row>
    <row r="34"/>
    <row r="35" ht="18" customHeight="1">
      <c r="A35" s="5" t="inlineStr">
        <is>
          <t>4. ECOSISTEMA Y ESTADO DE CONSERVACIÓN</t>
        </is>
      </c>
    </row>
    <row r="36">
      <c r="A36" s="6" t="inlineStr">
        <is>
          <t>Tipo de ecosistema (UP)</t>
        </is>
      </c>
      <c r="B36" s="50" t="inlineStr">
        <is>
          <t>Matorral Andino árido</t>
        </is>
      </c>
      <c r="C36" s="6" t="inlineStr">
        <is>
          <t>Superficie de ecosistema (ha)</t>
        </is>
      </c>
      <c r="D36" s="7" t="inlineStr">
        <is>
          <t>Por determinar</t>
        </is>
      </c>
      <c r="E36" s="8" t="n"/>
      <c r="F36" s="8" t="n"/>
    </row>
    <row r="37">
      <c r="A37" s="6" t="inlineStr">
        <is>
          <t>Estado de conservación</t>
        </is>
      </c>
      <c r="B37" s="50" t="inlineStr">
        <is>
          <t>Medianamente alterado</t>
        </is>
      </c>
      <c r="C37" s="6" t="inlineStr">
        <is>
          <t>Uso actual dominante del suelo</t>
        </is>
      </c>
      <c r="D37" s="50" t="inlineStr">
        <is>
          <t>Uso mixto</t>
        </is>
      </c>
      <c r="E37" s="8" t="n"/>
      <c r="F37" s="8" t="n"/>
    </row>
    <row r="38">
      <c r="A38" s="6" t="inlineStr">
        <is>
          <t>Tipo de cobertura dominante</t>
        </is>
      </c>
      <c r="B38" s="50" t="inlineStr">
        <is>
          <t>Matorral ralo</t>
        </is>
      </c>
      <c r="C38" s="6" t="inlineStr">
        <is>
          <t>Cobertura vegetal total — campo (%)</t>
        </is>
      </c>
      <c r="D38" s="7" t="inlineStr">
        <is>
          <t>Media (40-60%)</t>
        </is>
      </c>
      <c r="E38" s="8" t="n"/>
      <c r="F38" s="8" t="n"/>
    </row>
    <row r="39">
      <c r="A39" s="6" t="inlineStr">
        <is>
          <t>Suelo desnudo — campo (%)</t>
        </is>
      </c>
      <c r="B39" s="50" t="inlineStr">
        <is>
          <t>20</t>
        </is>
      </c>
      <c r="C39" s="6" t="inlineStr">
        <is>
          <t>Regeneración natural</t>
        </is>
      </c>
      <c r="D39" s="7" t="inlineStr">
        <is>
          <t>Por determinar</t>
        </is>
      </c>
      <c r="E39" s="8" t="n"/>
      <c r="F39" s="8" t="n"/>
    </row>
    <row r="40">
      <c r="A40" s="6" t="inlineStr">
        <is>
          <t>Nivel general de erosión</t>
        </is>
      </c>
      <c r="B40" s="50" t="inlineStr">
        <is>
          <t>Moderada (surcos)</t>
        </is>
      </c>
      <c r="C40" s="6" t="inlineStr">
        <is>
          <t>N.° de cárcavas registradas</t>
        </is>
      </c>
      <c r="D40" s="50" t="inlineStr">
        <is>
          <t>Sin inventario</t>
        </is>
      </c>
      <c r="E40" s="8" t="n"/>
      <c r="F40" s="8" t="n"/>
    </row>
    <row r="41">
      <c r="A41" s="6" t="inlineStr">
        <is>
          <t>Elenco florístico (n.° de taxones)</t>
        </is>
      </c>
      <c r="B41" s="7" t="n">
        <v>9</v>
      </c>
      <c r="C41" s="6" t="inlineStr">
        <is>
          <t>Estado sanitario</t>
        </is>
      </c>
      <c r="D41" s="50" t="inlineStr">
        <is>
          <t>Sano</t>
        </is>
      </c>
      <c r="E41" s="8" t="n"/>
      <c r="F41" s="8" t="n"/>
    </row>
    <row r="42"/>
    <row r="43" ht="18" customHeight="1">
      <c r="A43" s="5" t="inlineStr">
        <is>
          <t>5. RESPONSABLE Y MODALIDAD DE LA EVALUACIÓN</t>
        </is>
      </c>
    </row>
    <row r="44">
      <c r="A44" s="6" t="inlineStr">
        <is>
          <t>Responsable de la evaluación</t>
        </is>
      </c>
      <c r="B44" s="50" t="inlineStr">
        <is>
          <t>Ing. Héctor Salomón Cahuas Miller - Especialista en Infraestructura Verde - ANIN/DIME-SESDI</t>
        </is>
      </c>
      <c r="C44" s="6" t="inlineStr">
        <is>
          <t>Fecha de evaluación</t>
        </is>
      </c>
      <c r="D44" s="50" t="inlineStr">
        <is>
          <t>16/06/2026</t>
        </is>
      </c>
      <c r="E44" s="8" t="n"/>
      <c r="F44" s="8" t="n"/>
    </row>
    <row r="45">
      <c r="A45" s="6" t="inlineStr">
        <is>
          <t>Hora de registro</t>
        </is>
      </c>
      <c r="B45" s="50" t="inlineStr">
        <is>
          <t>23:26</t>
        </is>
      </c>
      <c r="C45" s="6" t="inlineStr">
        <is>
          <t>Correlativo de ficha</t>
        </is>
      </c>
      <c r="D45" s="50"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t>
        </is>
      </c>
      <c r="E47" s="8" t="n"/>
      <c r="F47" s="8" t="n"/>
    </row>
    <row r="48">
      <c r="A48" s="6" t="inlineStr">
        <is>
          <t>Estaciones fotográficas georreferenciadas</t>
        </is>
      </c>
      <c r="B48" s="7" t="inlineStr">
        <is>
          <t>Sin registro en la ficha DT</t>
        </is>
      </c>
      <c r="C48" s="6" t="inlineStr">
        <is>
          <t>Modalidad de acceso</t>
        </is>
      </c>
      <c r="D48" s="50"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0" t="inlineStr">
        <is>
          <t>Expansión de la frontera agropecuaria de subsistencia familiar</t>
        </is>
      </c>
      <c r="C51" s="6" t="inlineStr">
        <is>
          <t>Velocidad de degradación</t>
        </is>
      </c>
      <c r="D51" s="50" t="inlineStr">
        <is>
          <t>Lenta</t>
        </is>
      </c>
      <c r="E51" s="8" t="n"/>
      <c r="F51" s="8" t="n"/>
    </row>
    <row r="52">
      <c r="A52" s="6" t="inlineStr">
        <is>
          <t>Reversibilidad técnica</t>
        </is>
      </c>
      <c r="B52" s="50" t="inlineStr">
        <is>
          <t>Parcialmente reversible</t>
        </is>
      </c>
      <c r="C52" s="6" t="inlineStr">
        <is>
          <t>Urgencia de intervención</t>
        </is>
      </c>
      <c r="D52" s="50" t="inlineStr">
        <is>
          <t>Media</t>
        </is>
      </c>
      <c r="E52" s="8" t="n"/>
      <c r="F52" s="8" t="n"/>
    </row>
    <row r="53">
      <c r="A53" s="6" t="inlineStr">
        <is>
          <t>Urgencia de control de erosión</t>
        </is>
      </c>
      <c r="B53" s="7" t="inlineStr">
        <is>
          <t>Alta</t>
        </is>
      </c>
      <c r="C53" s="6" t="inlineStr">
        <is>
          <t>Zona de recarga hídrica</t>
        </is>
      </c>
      <c r="D53" s="50"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26.1441</v>
      </c>
      <c r="C10" s="19">
        <f>ROUND(B10/$B$15*100,2)</f>
        <v/>
      </c>
      <c r="D10" s="11" t="inlineStr">
        <is>
          <t>Vigor alto</t>
        </is>
      </c>
      <c r="E10" s="11" t="inlineStr">
        <is>
          <t>Sobre umbral</t>
        </is>
      </c>
    </row>
    <row r="11">
      <c r="A11" s="12" t="inlineStr">
        <is>
          <t>0.4976 - 0.6139 · DN 4</t>
        </is>
      </c>
      <c r="B11" s="32" t="n">
        <v>40.3014</v>
      </c>
      <c r="C11" s="31">
        <f>ROUND(B11/$B$15*100,2)</f>
        <v/>
      </c>
      <c r="D11" s="13" t="inlineStr">
        <is>
          <t>Vigor moderado</t>
        </is>
      </c>
      <c r="E11" s="13" t="inlineStr">
        <is>
          <t>Sobre umbral</t>
        </is>
      </c>
    </row>
    <row r="12">
      <c r="A12" s="7" t="inlineStr">
        <is>
          <t>0.3813 - 0.4976 · DN 3</t>
        </is>
      </c>
      <c r="B12" s="18" t="n">
        <v>14.7915</v>
      </c>
      <c r="C12" s="19">
        <f>ROUND(B12/$B$15*100,2)</f>
        <v/>
      </c>
      <c r="D12" s="11" t="inlineStr">
        <is>
          <t>Vigor bajo</t>
        </is>
      </c>
      <c r="E12" s="11" t="inlineStr">
        <is>
          <t>BAJO umbral 0.4976</t>
        </is>
      </c>
    </row>
    <row r="13">
      <c r="A13" s="14" t="inlineStr">
        <is>
          <t>0.2650 - 0.3813 · DN 2</t>
        </is>
      </c>
      <c r="B13" s="20" t="n">
        <v>0.5385</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312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81.78</v>
      </c>
      <c r="C18" s="49" t="inlineStr">
        <is>
          <t>—</t>
        </is>
      </c>
      <c r="D18" s="46" t="inlineStr">
        <is>
          <t>Desviación planimétrica frente al catálogo</t>
        </is>
      </c>
      <c r="E18" s="46" t="inlineStr">
        <is>
          <t>-0.01 %</t>
        </is>
      </c>
    </row>
    <row r="19">
      <c r="A19" s="16" t="inlineStr">
        <is>
          <t>MSAVI 2024 — MEDIA DEL BLOQUE</t>
        </is>
      </c>
      <c r="B19" s="17" t="n">
        <v>0.573141</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312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(0.5731)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39.2647</v>
      </c>
      <c r="C25" s="19" t="n">
        <v>47.99</v>
      </c>
      <c r="D25" s="11" t="inlineStr">
        <is>
          <t>Dosel continuo, matorral denso o mosaico agroforestal</t>
        </is>
      </c>
      <c r="E25" s="11" t="inlineStr"/>
    </row>
    <row r="26">
      <c r="A26" s="14" t="inlineStr">
        <is>
          <t>Vegetación mediana</t>
        </is>
      </c>
      <c r="B26" s="20" t="n">
        <v>37.412</v>
      </c>
      <c r="C26" s="21" t="n">
        <v>45.73</v>
      </c>
      <c r="D26" s="15" t="inlineStr">
        <is>
          <t>Pastizal cultivado, matorral ralo, parcelas agrícolas</t>
        </is>
      </c>
      <c r="E26" s="15" t="inlineStr"/>
    </row>
    <row r="27">
      <c r="A27" s="7" t="inlineStr">
        <is>
          <t>Vegetación ligera</t>
        </is>
      </c>
      <c r="B27" s="18" t="n">
        <v>5.135</v>
      </c>
      <c r="C27" s="19" t="n">
        <v>6.28</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81.78</v>
      </c>
      <c r="C29" s="25" t="inlineStr">
        <is>
          <t>—</t>
        </is>
      </c>
      <c r="D29" s="25" t="inlineStr">
        <is>
          <t>Desviación planimétrica frente al catálogo</t>
        </is>
      </c>
      <c r="E29" s="25" t="inlineStr">
        <is>
          <t>+0.04 %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23</t>
        </is>
      </c>
    </row>
    <row r="6" ht="24" customHeight="1">
      <c r="A6" s="4" t="inlineStr">
        <is>
          <t>Levantamiento del 2026-06-27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51828.2</v>
      </c>
      <c r="F10" s="11" t="inlineStr"/>
      <c r="G10" s="11" t="inlineStr">
        <is>
          <t>Coordenada consignada en F-DT-01</t>
        </is>
      </c>
    </row>
    <row r="11">
      <c r="A11" s="14" t="inlineStr">
        <is>
          <t>H-01</t>
        </is>
      </c>
      <c r="B11" s="15" t="inlineStr">
        <is>
          <t>Fuente de agua — Manantial / Puquio</t>
        </is>
      </c>
      <c r="C11" s="27" t="n">
        <v>620251</v>
      </c>
      <c r="D11" s="27" t="n">
        <v>9438484</v>
      </c>
      <c r="E11" s="15" t="n">
        <v>317.7</v>
      </c>
      <c r="F11" s="15" t="inlineStr">
        <is>
          <t>Permanente</t>
        </is>
      </c>
      <c r="G11" s="15" t="inlineStr"/>
    </row>
    <row r="12">
      <c r="A12" s="7" t="inlineStr">
        <is>
          <t>B-01</t>
        </is>
      </c>
      <c r="B12" s="11" t="inlineStr">
        <is>
          <t>Especie clave — Faique (Vachellia macracantha)</t>
        </is>
      </c>
      <c r="C12" s="26" t="n">
        <v>620573</v>
      </c>
      <c r="D12" s="26" t="n">
        <v>9438163</v>
      </c>
      <c r="E12" s="11" t="n">
        <v>739.7</v>
      </c>
      <c r="F12" s="11" t="inlineStr">
        <is>
          <t>Amenazada D.S. 043</t>
        </is>
      </c>
      <c r="G12" s="11" t="inlineStr">
        <is>
          <t>NT — Casi Amenazado</t>
        </is>
      </c>
    </row>
    <row r="13">
      <c r="A13" s="14" t="inlineStr">
        <is>
          <t>B-02</t>
        </is>
      </c>
      <c r="B13" s="15" t="inlineStr">
        <is>
          <t>Especie clave — Guayacán (Handroanthus/Tabebuia sp.)</t>
        </is>
      </c>
      <c r="C13" s="27" t="n">
        <v>620606</v>
      </c>
      <c r="D13" s="27" t="n">
        <v>9438217</v>
      </c>
      <c r="E13" s="15" t="n">
        <v>742.8</v>
      </c>
      <c r="F13" s="15" t="inlineStr">
        <is>
          <t>Clave cultural</t>
        </is>
      </c>
      <c r="G13" s="15" t="inlineStr">
        <is>
          <t>NE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619939</v>
      </c>
      <c r="C16" s="6" t="inlineStr">
        <is>
          <t>Centroide del bloque — UTM NORTE (m)</t>
        </is>
      </c>
      <c r="D16" s="7" t="n">
        <v>9438544</v>
      </c>
      <c r="E16" s="8" t="n"/>
      <c r="F16" s="8" t="n"/>
      <c r="G16" s="8" t="n"/>
      <c r="H16" s="8" t="n"/>
    </row>
    <row r="17">
      <c r="A17" s="6" t="inlineStr">
        <is>
          <t>N.° de estaciones fotográficas declaradas</t>
        </is>
      </c>
      <c r="B17" s="7" t="inlineStr">
        <is>
          <t>Sin registro en la ficha DT</t>
        </is>
      </c>
      <c r="C17" s="6" t="inlineStr">
        <is>
          <t>Estaciones dentro del polígono</t>
        </is>
      </c>
      <c r="D17" s="7" t="inlineStr">
        <is>
          <t>Por determinar</t>
        </is>
      </c>
      <c r="E17" s="8" t="n"/>
      <c r="F17" s="8" t="n"/>
      <c r="G17" s="8" t="n"/>
      <c r="H17" s="8" t="n"/>
    </row>
    <row r="19" ht="8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Relieve montañoso a colinoso fuertemente empinado; perfil de elevación 1419-1897 m con pendiente media 46.8% y máxima 70.5% (transecto 1.02 km).</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23</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29" t="n">
        <v>92.90000000000001</v>
      </c>
      <c r="C13" s="21" t="n">
        <v>10.88</v>
      </c>
      <c r="D13" s="15" t="inlineStr">
        <is>
          <t>87 – 1355</t>
        </is>
      </c>
      <c r="E13" s="15" t="n">
        <v>1268</v>
      </c>
      <c r="F13" s="15" t="n">
        <v>23.75</v>
      </c>
      <c r="G13" s="20" t="n">
        <v>0.5197000000000001</v>
      </c>
      <c r="H13" s="21" t="n">
        <v>58.89</v>
      </c>
      <c r="I13" s="2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2" t="inlineStr">
        <is>
          <t>► 23</t>
        </is>
      </c>
      <c r="B15" s="30" t="n">
        <v>81.78</v>
      </c>
      <c r="C15" s="31" t="n">
        <v>9.58</v>
      </c>
      <c r="D15" s="13" t="inlineStr">
        <is>
          <t>521 – 973</t>
        </is>
      </c>
      <c r="E15" s="13" t="n">
        <v>452</v>
      </c>
      <c r="F15" s="13" t="n">
        <v>35.28</v>
      </c>
      <c r="G15" s="32" t="n">
        <v>0.5731000000000001</v>
      </c>
      <c r="H15" s="31" t="n">
        <v>47.99</v>
      </c>
      <c r="I15" s="3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23 ocupa el puesto 6 de 12 por superficie dentro de la microcuenca C1086-Q9570 (9.58 % de las 853.87 ha preliminares de la microcuenca). Su pendiente promedio (35.28 %, clase «25-50% (Mod. escarpado)») es la 11.ª más baja de 12 y se sitúa por encima del promedio de la microcuenca (28.51 %). Su MSAVI 2024 (0.5731) es el 9.º de 12 y queda por debajo del promedio local (0.5993). Amplitud altitudinal del bloque: 452 m (521–973 msnm). El cuadro conserva todos los bloques catalogados en la microcuenca, incluidos los descartados en el tamizaje, para referencia del conjunto. Los bloques sin ficha DT figuran con sus parámetros de gabinete. BRECHA ESPECTRAL. El 18.75 % de la superficie del bloque (15.330 ha de 81.776 ha) se sitúa bajo el umbral MSAVI 0.4976, por debajo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23</t>
        </is>
      </c>
    </row>
    <row r="6">
      <c r="A6" s="52" t="inlineStr">
        <is>
          <t>Cruce de la ficha de campo F-DT vigente con la ficha de resumen de gabinete y el catálogo maestro. Integración 2026-09-11 21:26:24.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No es posible contrastar el punto de muestreo con el centroide: falta una de las dos coordenadas.</t>
        </is>
      </c>
      <c r="D10" s="57" t="inlineStr">
        <is>
          <t>SUSTANTIVA</t>
        </is>
      </c>
      <c r="E10" s="57" t="inlineStr">
        <is>
          <t>Debe consignarse la coordenada del punto de muestreo en F-DT-01.</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(1750 msnm) queda fuera del rango altitudinal del bloque (521 - 973 msnm).</t>
        </is>
      </c>
      <c r="D12" s="57" t="inlineStr">
        <is>
          <t>NO SUSTANTIVA</t>
        </is>
      </c>
      <c r="E12" s="57" t="inlineStr">
        <is>
          <t>Se revisa si la estación cayó fuera del polígono; prevalece el rango del MDE para los parámetros físicos del bloque.</t>
        </is>
      </c>
    </row>
    <row r="13">
      <c r="A13" s="56" t="inlineStr">
        <is>
          <t>G-05</t>
        </is>
      </c>
      <c r="B13" s="56" t="inlineStr">
        <is>
          <t>Superficie NDVI vs. catálogo</t>
        </is>
      </c>
      <c r="C13" s="56" t="inlineStr">
        <is>
          <t>La superficie clasificada por el NDVI mediana 2025 (81.812 ha) se desvía 0.04 % de la superficie de catálogo (81.78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(81.776 ha) se desvía -0.00 % de la superficie de catálogo (81.78 ha).</t>
        </is>
      </c>
      <c r="D14" s="57" t="inlineStr">
        <is>
          <t>CONFORME</t>
        </is>
      </c>
      <c r="E14" s="57" t="inlineStr">
        <is>
          <t>Sin acción: la segmentación valida la geometría del bloque.</t>
        </is>
      </c>
    </row>
    <row r="15">
      <c r="A15" s="56" t="inlineStr">
        <is>
          <t>G-07</t>
        </is>
      </c>
      <c r="B15" s="56" t="inlineStr">
        <is>
          <t>Brecha espectral MSAVI</t>
        </is>
      </c>
      <c r="C15" s="56" t="inlineStr">
        <is>
          <t>El 18.75 % del bloque queda bajo el umbral 0.4976; superficie de brecha 15.33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81.78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(0.5731)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Exposición / orientación</t>
        </is>
      </c>
      <c r="C19" s="56" t="inlineStr">
        <is>
          <t>El libro de resumen V6 consignaba «No consignada»; la ficha de campo vigente declara «Variable».</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Responsable de la evaluación</t>
        </is>
      </c>
      <c r="C20" s="57" t="inlineStr">
        <is>
          <t>El libro de resumen V6 consignaba «Héctor Cahuas / Pedro Talledo / Juan Domínguez»; la ficha de campo vigente declara «Ing. Héctor Salomón Cahuas Miller - Especialista en Infraestructura Verde - ANIN/DIME-SESDI».</t>
        </is>
      </c>
      <c r="D20" s="57" t="inlineStr">
        <is>
          <t>CORREGIDO</t>
        </is>
      </c>
      <c r="E20" s="57" t="inlineStr">
        <is>
          <t>Se adopta el valor de campo por ser la fuente que manda sobre el dato y la más reciente. El valor anterior queda declarado para trazabilidad.</t>
        </is>
      </c>
    </row>
    <row r="21">
      <c r="A21" s="56" t="inlineStr">
        <is>
          <t>I-03</t>
        </is>
      </c>
      <c r="B21" s="56" t="inlineStr">
        <is>
          <t>Fecha de evaluación</t>
        </is>
      </c>
      <c r="C21" s="56" t="inlineStr">
        <is>
          <t>El libro de resumen V6 consignaba «2026-06-27»; la ficha de campo vigente declara «16/06/2026».</t>
        </is>
      </c>
      <c r="D21" s="56" t="inlineStr">
        <is>
          <t>CORREGIDO</t>
        </is>
      </c>
      <c r="E21" s="56" t="inlineStr">
        <is>
          <t>Se adopta el valor de campo por ser la fuente que manda sobre el dato y la más reciente. El valor anterior queda declarado para trazabilidad.</t>
        </is>
      </c>
    </row>
    <row r="22">
      <c r="A22" s="57" t="inlineStr">
        <is>
          <t>F-01</t>
        </is>
      </c>
      <c r="B22" s="57" t="inlineStr">
        <is>
          <t>Fichas F-DT levantadas</t>
        </is>
      </c>
      <c r="C22" s="57" t="inlineStr">
        <is>
          <t>La plantilla de campo trae las cinco fichas F-DT-01 a F-DT-05 (completitud 39.3 % de los campos esperados).</t>
        </is>
      </c>
      <c r="D22" s="57" t="inlineStr">
        <is>
          <t>CONFORME</t>
        </is>
      </c>
      <c r="E22" s="57" t="inlineStr">
        <is>
          <t>Sin acción.</t>
        </is>
      </c>
    </row>
    <row r="23">
      <c r="A23" s="56" t="inlineStr">
        <is>
          <t>F-02</t>
        </is>
      </c>
      <c r="B23" s="56" t="inlineStr">
        <is>
          <t>Tablas del formulario sin filas leídas</t>
        </is>
      </c>
      <c r="C23" s="56" t="inlineStr">
        <is>
          <t>La plantilla de campo no entrego filas en: F-DT-04 · matriz de causas de degradación.</t>
        </is>
      </c>
      <c r="D23" s="56" t="inlineStr">
        <is>
          <t>NO SUSTANTIVA</t>
        </is>
      </c>
      <c r="E23" s="56" t="inlineStr">
        <is>
          <t>Se conserva lo que declara la ficha de resumen y no se sustituye por un conteo en cero. Debe revisarse la maqueta de esas tablas en la plantilla de campo.</t>
        </is>
      </c>
    </row>
    <row r="24">
      <c r="A24" s="57" t="inlineStr">
        <is>
          <t>F-03</t>
        </is>
      </c>
      <c r="B24" s="57" t="inlineStr">
        <is>
          <t>Cobertura de la integración</t>
        </is>
      </c>
      <c r="C24" s="57" t="inlineStr">
        <is>
          <t>Se declararon 67 de 114 hechos integrados (58.8 %); 47 quedan sin dato en ninguna fuente.</t>
        </is>
      </c>
      <c r="D24" s="57" t="inlineStr">
        <is>
          <t>NO SUSTANTIVA</t>
        </is>
      </c>
      <c r="E24" s="57" t="inlineStr">
        <is>
          <t>Se prioriza el completado de los campos faltantes en la próxima salida de campo.</t>
        </is>
      </c>
    </row>
    <row r="25">
      <c r="A25" s="56" t="inlineStr">
        <is>
          <t>H-01</t>
        </is>
      </c>
      <c r="B25" s="56" t="inlineStr">
        <is>
          <t>Rango de pendiente dominante</t>
        </is>
      </c>
      <c r="C25" s="56" t="inlineStr">
        <is>
          <t>La ficha DT declara «No consignado»; la estadística zonal sobre el MDE arroja una pendiente promedio de 35.28 %, que corresponde a la clase «25-50% (Mod. escarpado)»</t>
        </is>
      </c>
      <c r="D25" s="56" t="inlineStr">
        <is>
          <t>NO SUSTANTIVA</t>
        </is>
      </c>
      <c r="E25"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6">
      <c r="A26" s="57" t="inlineStr">
        <is>
          <t>H-02</t>
        </is>
      </c>
      <c r="B26" s="57" t="inlineStr">
        <is>
          <t>Rango altitudinal / piso ecológico</t>
        </is>
      </c>
      <c r="C26" s="57" t="inlineStr">
        <is>
          <t>La ficha DT declara «1500-2000 m (Quechua media)»; el MDE sitúa el bloque entre 521 y 973 msnm, cuyo punto medio corresponde a «&lt;1000 m (Yunga)»</t>
        </is>
      </c>
      <c r="D26" s="57" t="inlineStr">
        <is>
          <t>NO SUSTANTIVA</t>
        </is>
      </c>
      <c r="E26" s="57" t="inlineStr">
        <is>
          <t>Se declara la divergencia. El bloque abarca más de un piso altitudinal cuando la amplitud supera el ancho de la clase; el registro de campo corresponde al sector recorrido. (Verificación heredada de la ficha de resumen V6.)</t>
        </is>
      </c>
    </row>
    <row r="27">
      <c r="A27" s="56" t="inlineStr">
        <is>
          <t>H-03</t>
        </is>
      </c>
      <c r="B27" s="56" t="inlineStr">
        <is>
          <t>Inventario georreferenciado de cárcavas</t>
        </is>
      </c>
      <c r="C27" s="56" t="inlineStr">
        <is>
          <t>El inventario de cárcavas no fue ejecutado o no consta en la ficha DT</t>
        </is>
      </c>
      <c r="D27" s="56" t="inlineStr">
        <is>
          <t>SUSTANTIVA</t>
        </is>
      </c>
      <c r="E27" s="5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8">
      <c r="A28" s="57" t="inlineStr">
        <is>
          <t>H-04</t>
        </is>
      </c>
      <c r="B28" s="57" t="inlineStr">
        <is>
          <t>Elenco florístico</t>
        </is>
      </c>
      <c r="C28" s="57" t="inlineStr">
        <is>
          <t>La ficha registra 9 taxones, por debajo del mínimo de 15 que exige el formato V5</t>
        </is>
      </c>
      <c r="D28" s="57" t="inlineStr">
        <is>
          <t>SUSTANTIVA</t>
        </is>
      </c>
      <c r="E28" s="57" t="inlineStr">
        <is>
          <t>Registro florístico preliminar, sin colecta ni determinación botánica formal. Debe cerrarse con colecta botánica en la siguiente campaña. (Verificación heredada de la ficha de resumen V6.)</t>
        </is>
      </c>
    </row>
    <row r="29">
      <c r="A29" s="56" t="inlineStr">
        <is>
          <t>H-05</t>
        </is>
      </c>
      <c r="B29" s="56" t="inlineStr">
        <is>
          <t>Centro poblado asociado</t>
        </is>
      </c>
      <c r="C29" s="56" t="inlineStr">
        <is>
          <t>La ficha DT declara «Nueva Esperanza»; el cruce INEI-Bloques V5 identifica 2 centro(s) poblado(s) en el bloque: JACANACAS, NUEVA ESPERANZA</t>
        </is>
      </c>
      <c r="D29" s="56" t="inlineStr">
        <is>
          <t>CONFORME</t>
        </is>
      </c>
      <c r="E29" s="56" t="inlineStr">
        <is>
          <t>Se conserva el registro de campo como referencia y se adopta el listado INEI para el diagnóstico social y el cálculo de población beneficiaria. (Verificación heredada de la ficha de resumen V6.)</t>
        </is>
      </c>
    </row>
    <row r="31">
      <c r="A31" s="58" t="inlineStr">
        <is>
          <t>RESUMEN</t>
        </is>
      </c>
      <c r="B31" s="59" t="inlineStr">
        <is>
          <t>21 verificaciones</t>
        </is>
      </c>
      <c r="C31" s="59" t="inlineStr">
        <is>
          <t>SUSTANTIVA: 4 · NO SUSTANTIVA: 5 · CORREGIDO: 3 · CONFORME: 9</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23</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2. Parámetros físicos del terreno</t>
        </is>
      </c>
      <c r="B9" s="56" t="inlineStr">
        <is>
          <t>Exposición / orientación</t>
        </is>
      </c>
      <c r="C9" s="56" t="inlineStr">
        <is>
          <t>No consignada</t>
        </is>
      </c>
      <c r="D9" s="56" t="inlineStr">
        <is>
          <t>Variable</t>
        </is>
      </c>
      <c r="E9" s="56" t="inlineStr">
        <is>
          <t>Dato de campo</t>
        </is>
      </c>
    </row>
    <row r="10">
      <c r="A10" s="57" t="inlineStr">
        <is>
          <t>8. Responsable y modalidad de la evaluación</t>
        </is>
      </c>
      <c r="B10" s="57" t="inlineStr">
        <is>
          <t>Responsable de la evaluación</t>
        </is>
      </c>
      <c r="C10" s="57" t="inlineStr">
        <is>
          <t>Héctor Cahuas / Pedro Talledo / Juan Domínguez</t>
        </is>
      </c>
      <c r="D10" s="57" t="inlineStr">
        <is>
          <t>Ing. Héctor Salomón Cahuas Miller - Especialista en Infraestructura Verde - ANIN/DIME-SESDI</t>
        </is>
      </c>
      <c r="E10" s="57" t="inlineStr">
        <is>
          <t>Dato de campo</t>
        </is>
      </c>
    </row>
    <row r="11">
      <c r="A11" s="56" t="inlineStr">
        <is>
          <t>8. Responsable y modalidad de la evaluación</t>
        </is>
      </c>
      <c r="B11" s="56" t="inlineStr">
        <is>
          <t>Fecha de evaluación</t>
        </is>
      </c>
      <c r="C11" s="56" t="inlineStr">
        <is>
          <t>2026-06-27</t>
        </is>
      </c>
      <c r="D11" s="56" t="inlineStr">
        <is>
          <t>16/06/2026</t>
        </is>
      </c>
      <c r="E11" s="56" t="inlineStr">
        <is>
          <t>Dato de campo</t>
        </is>
      </c>
    </row>
    <row r="13">
      <c r="A13" s="54" t="inlineStr">
        <is>
          <t>B. HECHOS APORTADOS ÚNICAMENTE POR LA FICHA DE CAMPO</t>
        </is>
      </c>
    </row>
    <row r="14">
      <c r="A14" s="55" t="inlineStr">
        <is>
          <t>Sección</t>
        </is>
      </c>
      <c r="B14" s="55" t="inlineStr">
        <is>
          <t>Hecho</t>
        </is>
      </c>
      <c r="C14" s="55" t="inlineStr">
        <is>
          <t>Valor</t>
        </is>
      </c>
      <c r="D14" s="55" t="inlineStr">
        <is>
          <t>Unidad</t>
        </is>
      </c>
    </row>
    <row r="15">
      <c r="A15" s="56" t="inlineStr">
        <is>
          <t>2. Parámetros físicos del terreno</t>
        </is>
      </c>
      <c r="B15" s="56" t="inlineStr">
        <is>
          <t>Altitud GPS del punto de muestreo (msnm)</t>
        </is>
      </c>
      <c r="C15" s="56" t="inlineStr">
        <is>
          <t>1750</t>
        </is>
      </c>
      <c r="D15" s="56" t="inlineStr">
        <is>
          <t>msnm</t>
        </is>
      </c>
    </row>
    <row r="16">
      <c r="A16" s="57" t="inlineStr">
        <is>
          <t>2. Parámetros físicos del terreno</t>
        </is>
      </c>
      <c r="B16" s="57" t="inlineStr">
        <is>
          <t>Piso altitudinal del punto de muestreo</t>
        </is>
      </c>
      <c r="C16" s="57" t="inlineStr">
        <is>
          <t>1300 - 1950 (aprox.)</t>
        </is>
      </c>
      <c r="D16" s="57" t="inlineStr"/>
    </row>
    <row r="17">
      <c r="A17" s="56" t="inlineStr">
        <is>
          <t>2. Parámetros físicos del terreno</t>
        </is>
      </c>
      <c r="B17" s="56" t="inlineStr">
        <is>
          <t>Paisaje dominante descrito en campo</t>
        </is>
      </c>
      <c r="C17" s="56" t="inlineStr">
        <is>
          <t>Montañoso</t>
        </is>
      </c>
      <c r="D17" s="56" t="inlineStr"/>
    </row>
    <row r="19">
      <c r="A19" s="54" t="inlineStr">
        <is>
          <t>C. PROCEDENCIA DE LOS HECHOS DECLARADOS</t>
        </is>
      </c>
    </row>
    <row r="20">
      <c r="A20" s="55" t="inlineStr">
        <is>
          <t>Fuente</t>
        </is>
      </c>
      <c r="B20" s="55" t="inlineStr">
        <is>
          <t>Hechos</t>
        </is>
      </c>
      <c r="C20" s="55" t="inlineStr">
        <is>
          <t>Alcance de la fuente</t>
        </is>
      </c>
    </row>
    <row r="21">
      <c r="A21" s="56" t="inlineStr">
        <is>
          <t>Dato de campo</t>
        </is>
      </c>
      <c r="B21" s="56" t="n">
        <v>12</v>
      </c>
      <c r="C21" s="56" t="inlineStr">
        <is>
          <t>Verificación en campo. Fichas F-DT-01 a F-DT-05 de la Plantilla DT Campo Check Validada V5, suscritas por el evaluador.</t>
        </is>
      </c>
    </row>
    <row r="22">
      <c r="A22" s="57" t="inlineStr">
        <is>
          <t>Gabinete (GIS / teledetección)</t>
        </is>
      </c>
      <c r="B22" s="57" t="n">
        <v>41</v>
      </c>
      <c r="C22" s="57" t="inlineStr">
        <is>
          <t>Gabinete. Estadística zonal sobre el MDE y compuestos Sentinel-2 (NDVI mediana 2025, MSAVI 2024 por clase DN).</t>
        </is>
      </c>
    </row>
    <row r="23">
      <c r="A23" s="56" t="inlineStr">
        <is>
          <t>Fuente oficial</t>
        </is>
      </c>
      <c r="B23" s="56" t="n">
        <v>14</v>
      </c>
      <c r="C23" s="56" t="inlineStr">
        <is>
          <t>Fuente oficial. Catálogo maestro Bloques V5/V6, división política INEI y codificación de microcuencas de la ANA.</t>
        </is>
      </c>
    </row>
    <row r="25">
      <c r="A25" s="54" t="inlineStr">
        <is>
          <t>D. ESTADO DEL CRUCE ENTRE FUENTES</t>
        </is>
      </c>
    </row>
    <row r="26">
      <c r="A26" s="55" t="inlineStr">
        <is>
          <t>Estado</t>
        </is>
      </c>
      <c r="B26" s="55" t="inlineStr">
        <is>
          <t>Hechos</t>
        </is>
      </c>
      <c r="C26" s="55" t="inlineStr">
        <is>
          <t>Significado</t>
        </is>
      </c>
    </row>
    <row r="27">
      <c r="A27" s="56" t="inlineStr">
        <is>
          <t>CONFORME</t>
        </is>
      </c>
      <c r="B27" s="56" t="n">
        <v>43</v>
      </c>
      <c r="C27" s="56" t="inlineStr">
        <is>
          <t>Las dos fuentes declaran lo mismo, o solo la fuente que manda sobre el hecho lo declara.</t>
        </is>
      </c>
    </row>
    <row r="28">
      <c r="A28" s="57" t="inlineStr">
        <is>
          <t>COMPLEMENTADO</t>
        </is>
      </c>
      <c r="B28" s="57" t="n">
        <v>21</v>
      </c>
      <c r="C28" s="57" t="inlineStr">
        <is>
          <t>Solo una de las fuentes lo declara y se adopta ese valor.</t>
        </is>
      </c>
    </row>
    <row r="29">
      <c r="A29" s="56" t="inlineStr">
        <is>
          <t>ACTUALIZADO</t>
        </is>
      </c>
      <c r="B29" s="56" t="n">
        <v>3</v>
      </c>
      <c r="C29" s="56" t="inlineStr">
        <is>
          <t>La verificación de campo vigente corrige lo que traía el libro de resumen.</t>
        </is>
      </c>
    </row>
    <row r="30">
      <c r="A30" s="57" t="inlineStr">
        <is>
          <t>DISCREPANTE</t>
        </is>
      </c>
      <c r="B30" s="57" t="n">
        <v>0</v>
      </c>
      <c r="C30" s="57" t="inlineStr">
        <is>
          <t>Las fuentes se contradicen; prevalece la que manda sobre el hecho y la otra queda declarada.</t>
        </is>
      </c>
    </row>
    <row r="31">
      <c r="A31" s="56" t="inlineStr">
        <is>
          <t>PENDIENTE</t>
        </is>
      </c>
      <c r="B31" s="56" t="n">
        <v>47</v>
      </c>
      <c r="C3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23</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Acacia macracantha</t>
        </is>
      </c>
      <c r="D13" s="56" t="inlineStr">
        <is>
          <t>Arbóreo</t>
        </is>
      </c>
      <c r="E13" s="56" t="inlineStr">
        <is>
          <t>Nativa</t>
        </is>
      </c>
      <c r="F13" s="56" t="inlineStr">
        <is>
          <t>Árboles dispersos en pastizal</t>
        </is>
      </c>
      <c r="G13" s="56" t="inlineStr"/>
      <c r="H13" s="56" t="n"/>
      <c r="I13" s="56" t="n"/>
    </row>
    <row r="14">
      <c r="A14" s="57" t="inlineStr">
        <is>
          <t>2</t>
        </is>
      </c>
      <c r="B14" s="57" t="inlineStr">
        <is>
          <t>Pacae</t>
        </is>
      </c>
      <c r="C14" s="57" t="inlineStr">
        <is>
          <t>Inga sp.</t>
        </is>
      </c>
      <c r="D14" s="57" t="inlineStr">
        <is>
          <t>Arbóreo</t>
        </is>
      </c>
      <c r="E14" s="57" t="inlineStr">
        <is>
          <t>Nativa</t>
        </is>
      </c>
      <c r="F14" s="57" t="inlineStr">
        <is>
          <t>Disperso</t>
        </is>
      </c>
      <c r="G14" s="57" t="inlineStr"/>
      <c r="H14" s="57" t="n"/>
      <c r="I14" s="57" t="n"/>
    </row>
    <row r="15">
      <c r="A15" s="56" t="inlineStr">
        <is>
          <t>3</t>
        </is>
      </c>
      <c r="B15" s="56" t="inlineStr">
        <is>
          <t>Guayacán</t>
        </is>
      </c>
      <c r="C15" s="56" t="inlineStr">
        <is>
          <t>Handroanthus / Tabebuia sp.</t>
        </is>
      </c>
      <c r="D15" s="56" t="inlineStr">
        <is>
          <t>Arbóreo</t>
        </is>
      </c>
      <c r="E15" s="56" t="inlineStr">
        <is>
          <t>Nativa</t>
        </is>
      </c>
      <c r="F15" s="56" t="inlineStr">
        <is>
          <t>Presente</t>
        </is>
      </c>
      <c r="G15" s="56" t="inlineStr"/>
      <c r="H15" s="56" t="n"/>
      <c r="I15" s="56" t="n"/>
    </row>
    <row r="16">
      <c r="A16" s="57" t="inlineStr">
        <is>
          <t>4</t>
        </is>
      </c>
      <c r="B16" s="57" t="inlineStr">
        <is>
          <t>Hualtaco</t>
        </is>
      </c>
      <c r="C16" s="57" t="inlineStr">
        <is>
          <t>Loxopterygium huasango</t>
        </is>
      </c>
      <c r="D16" s="57" t="inlineStr">
        <is>
          <t>Arbóreo</t>
        </is>
      </c>
      <c r="E16" s="57" t="inlineStr">
        <is>
          <t>Nativa</t>
        </is>
      </c>
      <c r="F16" s="57" t="inlineStr">
        <is>
          <t>Presente</t>
        </is>
      </c>
      <c r="G16" s="57" t="inlineStr"/>
      <c r="H16" s="57" t="n"/>
      <c r="I16" s="57" t="n"/>
    </row>
    <row r="17">
      <c r="A17" s="56" t="inlineStr">
        <is>
          <t>5</t>
        </is>
      </c>
      <c r="B17" s="56" t="inlineStr">
        <is>
          <t>Higuerón</t>
        </is>
      </c>
      <c r="C17" s="56" t="inlineStr">
        <is>
          <t>Ficus sp.</t>
        </is>
      </c>
      <c r="D17" s="56" t="inlineStr">
        <is>
          <t>Arbóreo</t>
        </is>
      </c>
      <c r="E17" s="56" t="inlineStr">
        <is>
          <t>Nativa</t>
        </is>
      </c>
      <c r="F17" s="56" t="inlineStr">
        <is>
          <t>En quebradas/laderas</t>
        </is>
      </c>
      <c r="G17" s="56" t="inlineStr"/>
      <c r="H17" s="56" t="n"/>
      <c r="I17" s="56" t="n"/>
    </row>
    <row r="18">
      <c r="A18" s="57" t="inlineStr">
        <is>
          <t>6</t>
        </is>
      </c>
      <c r="B18" s="57" t="inlineStr">
        <is>
          <t>Agave</t>
        </is>
      </c>
      <c r="C18" s="57" t="inlineStr">
        <is>
          <t>Agave sp.</t>
        </is>
      </c>
      <c r="D18" s="57" t="inlineStr">
        <is>
          <t>Arbustivo</t>
        </is>
      </c>
      <c r="E18" s="57" t="inlineStr">
        <is>
          <t>Introd./Nat.</t>
        </is>
      </c>
      <c r="F18" s="57" t="inlineStr">
        <is>
          <t>En linderos y laderas secas</t>
        </is>
      </c>
      <c r="G18" s="57" t="inlineStr"/>
      <c r="H18" s="57" t="n"/>
      <c r="I18" s="57" t="n"/>
    </row>
    <row r="19">
      <c r="A19" s="56" t="inlineStr">
        <is>
          <t>7</t>
        </is>
      </c>
      <c r="B19" s="56" t="inlineStr">
        <is>
          <t>Cactáceas</t>
        </is>
      </c>
      <c r="C19" s="56" t="inlineStr">
        <is>
          <t>Cactaceae</t>
        </is>
      </c>
      <c r="D19" s="56" t="inlineStr">
        <is>
          <t>Arbustivo</t>
        </is>
      </c>
      <c r="E19" s="56" t="inlineStr">
        <is>
          <t>Nativa</t>
        </is>
      </c>
      <c r="F19" s="56" t="inlineStr">
        <is>
          <t>Sectores secos rocosos</t>
        </is>
      </c>
      <c r="G19" s="56" t="inlineStr"/>
      <c r="H19" s="56" t="n"/>
      <c r="I19" s="56" t="n"/>
    </row>
    <row r="20">
      <c r="A20" s="57" t="inlineStr">
        <is>
          <t>8</t>
        </is>
      </c>
      <c r="B20" s="57" t="inlineStr">
        <is>
          <t>Pastos cultivados</t>
        </is>
      </c>
      <c r="C20" s="57" t="inlineStr">
        <is>
          <t>—</t>
        </is>
      </c>
      <c r="D20" s="57" t="inlineStr">
        <is>
          <t>Herbáceo</t>
        </is>
      </c>
      <c r="E20" s="57" t="inlineStr">
        <is>
          <t>Cultivada</t>
        </is>
      </c>
      <c r="F20" s="57" t="inlineStr">
        <is>
          <t>Pastoreo/ganadería</t>
        </is>
      </c>
      <c r="G20" s="57" t="inlineStr"/>
      <c r="H20" s="57" t="n"/>
      <c r="I20" s="57" t="n"/>
    </row>
    <row r="21">
      <c r="A21" s="56" t="inlineStr">
        <is>
          <t>9</t>
        </is>
      </c>
      <c r="B21" s="56" t="inlineStr">
        <is>
          <t>Maíz</t>
        </is>
      </c>
      <c r="C21" s="56" t="inlineStr">
        <is>
          <t>Zea mays</t>
        </is>
      </c>
      <c r="D21" s="56" t="inlineStr">
        <is>
          <t>Herbáceo</t>
        </is>
      </c>
      <c r="E21" s="56" t="inlineStr">
        <is>
          <t>Cultivada</t>
        </is>
      </c>
      <c r="F21" s="56" t="inlineStr">
        <is>
          <t>Cultivo en ladera</t>
        </is>
      </c>
      <c r="G21" s="56" t="inlineStr"/>
      <c r="H21" s="56" t="n"/>
      <c r="I21" s="56" t="n"/>
    </row>
    <row r="23">
      <c r="A23" s="54" t="inlineStr">
        <is>
          <t>F-DT-03 · ESPECIES CLAVE GEORREFERENCIADAS</t>
        </is>
      </c>
    </row>
    <row r="24">
      <c r="A24" s="55" t="inlineStr">
        <is>
          <t>N.o</t>
        </is>
      </c>
      <c r="B24" s="55" t="inlineStr">
        <is>
          <t>Especie</t>
        </is>
      </c>
      <c r="C24" s="55" t="inlineStr">
        <is>
          <t>Categoría</t>
        </is>
      </c>
      <c r="D24" s="55" t="inlineStr">
        <is>
          <t>Estado UICN</t>
        </is>
      </c>
      <c r="E24" s="55" t="inlineStr">
        <is>
          <t>UTM ESTE</t>
        </is>
      </c>
      <c r="F24" s="55" t="inlineStr">
        <is>
          <t>UTM NORTE</t>
        </is>
      </c>
      <c r="G24" s="55" t="inlineStr">
        <is>
          <t>N.° individuos</t>
        </is>
      </c>
      <c r="H24" s="55" t="inlineStr">
        <is>
          <t>Observación</t>
        </is>
      </c>
    </row>
    <row r="26">
      <c r="A26" s="54" t="inlineStr">
        <is>
          <t>F-DT-04 · MATRIZ DE CAUSAS DE DEGRADACIÓN</t>
        </is>
      </c>
    </row>
    <row r="27">
      <c r="A27" s="55" t="inlineStr">
        <is>
          <t>N.o</t>
        </is>
      </c>
      <c r="B27" s="55" t="inlineStr">
        <is>
          <t>Causa</t>
        </is>
      </c>
      <c r="C27" s="55" t="inlineStr">
        <is>
          <t>Presencia</t>
        </is>
      </c>
      <c r="D27" s="55" t="inlineStr">
        <is>
          <t>Intensidad</t>
        </is>
      </c>
      <c r="E27" s="55" t="inlineStr">
        <is>
          <t>Extensión</t>
        </is>
      </c>
      <c r="F27" s="55" t="inlineStr">
        <is>
          <t>Antigüedad</t>
        </is>
      </c>
      <c r="G27" s="55" t="inlineStr">
        <is>
          <t>Evidencia</t>
        </is>
      </c>
    </row>
    <row r="29">
      <c r="A29" s="54" t="inlineStr">
        <is>
          <t>F-DT-04 · INDICADORES CUANTITATIVOS</t>
        </is>
      </c>
    </row>
    <row r="30">
      <c r="A30" s="55" t="inlineStr">
        <is>
          <t>N.o</t>
        </is>
      </c>
      <c r="B30" s="55" t="inlineStr">
        <is>
          <t>Indicador</t>
        </is>
      </c>
      <c r="C30" s="55" t="inlineStr">
        <is>
          <t>Unidad</t>
        </is>
      </c>
      <c r="D30" s="55" t="inlineStr">
        <is>
          <t>Valor</t>
        </is>
      </c>
      <c r="E30" s="55" t="inlineStr">
        <is>
          <t>Fuente</t>
        </is>
      </c>
      <c r="F30" s="55" t="inlineStr">
        <is>
          <t>Umbral</t>
        </is>
      </c>
      <c r="G30" s="55" t="inlineStr">
        <is>
          <t>Nivel</t>
        </is>
      </c>
    </row>
    <row r="32">
      <c r="A32" s="54" t="inlineStr">
        <is>
          <t>F-DT-05 · FUENTES DE AGUA INVENTARIADAS</t>
        </is>
      </c>
    </row>
    <row r="33">
      <c r="A33" s="55" t="inlineStr">
        <is>
          <t>N.o</t>
        </is>
      </c>
      <c r="B33" s="55" t="inlineStr">
        <is>
          <t>Tipo de fuente</t>
        </is>
      </c>
      <c r="C33" s="55" t="inlineStr">
        <is>
          <t>UTM ESTE</t>
        </is>
      </c>
      <c r="D33" s="55" t="inlineStr">
        <is>
          <t>UTM NORTE</t>
        </is>
      </c>
      <c r="E33" s="55" t="inlineStr">
        <is>
          <t>Régimen</t>
        </is>
      </c>
      <c r="F33" s="55" t="inlineStr">
        <is>
          <t>Calidad</t>
        </is>
      </c>
      <c r="G33" s="55" t="inlineStr">
        <is>
          <t>Distancia (m)</t>
        </is>
      </c>
      <c r="H33" s="55" t="inlineStr">
        <is>
          <t>Uso / observación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23</t>
        </is>
      </c>
    </row>
    <row r="7">
      <c r="A7" s="54" t="inlineStr">
        <is>
          <t>Hechos declarados por fuente</t>
        </is>
      </c>
    </row>
    <row r="8">
      <c r="A8" s="55" t="inlineStr">
        <is>
          <t>Fuente</t>
        </is>
      </c>
      <c r="B8" s="55" t="inlineStr">
        <is>
          <t>Hechos</t>
        </is>
      </c>
    </row>
    <row r="9">
      <c r="A9" s="56" t="inlineStr">
        <is>
          <t>Dato de campo</t>
        </is>
      </c>
      <c r="B9" s="56" t="n">
        <v>12</v>
      </c>
    </row>
    <row r="10">
      <c r="A10" s="57" t="inlineStr">
        <is>
          <t>Gabinete (GIS / teledetección)</t>
        </is>
      </c>
      <c r="B10" s="57" t="n">
        <v>41</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43</v>
      </c>
    </row>
    <row r="29">
      <c r="A29" s="57" t="inlineStr">
        <is>
          <t>COMPLEMENTADO</t>
        </is>
      </c>
      <c r="B29" s="57" t="n">
        <v>21</v>
      </c>
    </row>
    <row r="30">
      <c r="A30" s="56" t="inlineStr">
        <is>
          <t>ACTUALIZADO</t>
        </is>
      </c>
      <c r="B30" s="56" t="n">
        <v>3</v>
      </c>
    </row>
    <row r="31">
      <c r="A31" s="57" t="inlineStr">
        <is>
          <t>DISCREPANTE</t>
        </is>
      </c>
      <c r="B31" s="57" t="n">
        <v>0</v>
      </c>
    </row>
    <row r="32">
      <c r="A32" s="56" t="inlineStr">
        <is>
          <t>PENDIENTE</t>
        </is>
      </c>
      <c r="B32" s="56" t="n">
        <v>47</v>
      </c>
    </row>
    <row r="45">
      <c r="A45" s="54" t="inlineStr">
        <is>
          <t>Cobertura por estrato — campo (%)</t>
        </is>
      </c>
    </row>
    <row r="46">
      <c r="A46" s="55" t="inlineStr">
        <is>
          <t>Estrato</t>
        </is>
      </c>
      <c r="B46" s="55" t="inlineStr">
        <is>
          <t>% del área</t>
        </is>
      </c>
    </row>
    <row r="47">
      <c r="A47" s="56" t="inlineStr">
        <is>
          <t>Suelo desnudo</t>
        </is>
      </c>
      <c r="B47" s="61" t="n">
        <v>20</v>
      </c>
    </row>
    <row r="64">
      <c r="A64" s="54" t="inlineStr">
        <is>
          <t>Control de consistencia por calificación</t>
        </is>
      </c>
    </row>
    <row r="65">
      <c r="A65" s="55" t="inlineStr">
        <is>
          <t>Calificación</t>
        </is>
      </c>
      <c r="B65" s="55" t="inlineStr">
        <is>
          <t>Verificaciones</t>
        </is>
      </c>
    </row>
    <row r="66">
      <c r="A66" s="56" t="inlineStr">
        <is>
          <t>SUSTANTIVA</t>
        </is>
      </c>
      <c r="B66" s="56" t="n">
        <v>4</v>
      </c>
    </row>
    <row r="67">
      <c r="A67" s="57" t="inlineStr">
        <is>
          <t>NO SUSTANTIVA</t>
        </is>
      </c>
      <c r="B67" s="57" t="n">
        <v>5</v>
      </c>
    </row>
    <row r="68">
      <c r="A68" s="56" t="inlineStr">
        <is>
          <t>CORREGIDO</t>
        </is>
      </c>
      <c r="B68" s="56" t="n">
        <v>3</v>
      </c>
    </row>
    <row r="69">
      <c r="A69" s="57" t="inlineStr">
        <is>
          <t>CONFORME</t>
        </is>
      </c>
      <c r="B69" s="57" t="n">
        <v>9</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23 — IN Piura</dc:title>
  <dc:subject>Diagnóstico Territorial por bloque de intervención</dc:subject>
  <dcterms:created xsi:type="dcterms:W3CDTF">2026-09-08T03:39:55Z</dcterms:created>
  <dcterms:modified xsi:type="dcterms:W3CDTF">2026-09-11T21:26:24Z</dcterms:modified>
</cp:coreProperties>
</file>