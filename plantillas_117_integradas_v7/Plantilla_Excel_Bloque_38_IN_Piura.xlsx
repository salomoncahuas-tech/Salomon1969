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integración'!$A$66:$A$71</f>
            </numRef>
          </cat>
          <val>
            <numRef>
              <f>'Gráficos de integración'!$B$66:$B$71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38</t>
        </is>
      </c>
    </row>
    <row r="6" ht="24" customHeight="1">
      <c r="A6" s="4" t="inlineStr">
        <is>
          <t>Diagnóstico Territorial — Plantilla DT Campo Check Validada V5 | Sistema de referencia: UTM WGS 84 Zona 17S (EPSG:32717) · Integrado con la ficha de campo F-DT vigente (Plantilla_DT_Campo_Bloque38_IN_Piura.xlsx) — V7 - resumen V6 + campo F-DT integrado</t>
        </is>
      </c>
    </row>
    <row r="7"/>
    <row r="8" ht="18" customHeight="1">
      <c r="A8" s="5" t="inlineStr">
        <is>
          <t>1. IDENTIFICACIÓN Y LOCALIZACIÓN</t>
        </is>
      </c>
    </row>
    <row r="9">
      <c r="A9" s="6" t="inlineStr">
        <is>
          <t>Código del bloque</t>
        </is>
      </c>
      <c r="B9" s="7" t="inlineStr">
        <is>
          <t>38</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Ullma (646 976 E · 9 428 519 N; 157 hab.) — a ≈0.93 km al N del centroide</t>
        </is>
      </c>
      <c r="C13" s="6" t="inlineStr">
        <is>
          <t>Comunidad campesina</t>
        </is>
      </c>
      <c r="D13" s="7" t="inlineStr">
        <is>
          <t>Por verificar</t>
        </is>
      </c>
      <c r="E13" s="8" t="n"/>
      <c r="F13" s="8" t="n"/>
    </row>
    <row r="14">
      <c r="A14" s="6" t="inlineStr">
        <is>
          <t>Superficie de catálogo (V5/V6), ha</t>
        </is>
      </c>
      <c r="B14" s="7" t="n">
        <v>44.2</v>
      </c>
      <c r="C14" s="6" t="inlineStr">
        <is>
          <t>Fuente de superficie</t>
        </is>
      </c>
      <c r="D14" s="7" t="inlineStr">
        <is>
          <t>Catálogo maestro Bloques V5/V6</t>
        </is>
      </c>
      <c r="E14" s="8" t="n"/>
      <c r="F14" s="8" t="n"/>
    </row>
    <row r="15">
      <c r="A15" s="6" t="inlineStr">
        <is>
          <t>Centroide UTM ESTE (m)</t>
        </is>
      </c>
      <c r="B15" s="7" t="n">
        <v>647123</v>
      </c>
      <c r="C15" s="6" t="inlineStr">
        <is>
          <t>Centroide UTM NORTE (m)</t>
        </is>
      </c>
      <c r="D15" s="7" t="n">
        <v>9427602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1302</v>
      </c>
      <c r="C19" s="6" t="inlineStr">
        <is>
          <t>Altitud máxima (msnm)</t>
        </is>
      </c>
      <c r="D19" s="7" t="n">
        <v>1533</v>
      </c>
      <c r="E19" s="8" t="n"/>
      <c r="F19" s="8" t="n"/>
    </row>
    <row r="20">
      <c r="A20" s="6" t="inlineStr">
        <is>
          <t>Amplitud altitudinal (m)</t>
        </is>
      </c>
      <c r="B20" s="7" t="n">
        <v>231</v>
      </c>
      <c r="C20" s="6" t="inlineStr">
        <is>
          <t>Piso altitudinal dominante</t>
        </is>
      </c>
      <c r="D20" s="7" t="inlineStr">
        <is>
          <t>1000-1500 m (Quechua baja)</t>
        </is>
      </c>
      <c r="E20" s="8" t="n"/>
      <c r="F20" s="8" t="n"/>
    </row>
    <row r="21">
      <c r="A21" s="6" t="inlineStr">
        <is>
          <t>Pendiente promedio (%)</t>
        </is>
      </c>
      <c r="B21" s="7" t="n">
        <v>24.25</v>
      </c>
      <c r="C21" s="6" t="inlineStr">
        <is>
          <t>Pendiente promedio (grados)</t>
        </is>
      </c>
      <c r="D21" s="7" t="n">
        <v>13.6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0.6725</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(99.30 %)</t>
        </is>
      </c>
      <c r="E29" s="8" t="n"/>
      <c r="F29" s="8" t="n"/>
    </row>
    <row r="30">
      <c r="A30" s="6" t="inlineStr">
        <is>
          <t>Superficie clasificada NDVI 2025 (ha)</t>
        </is>
      </c>
      <c r="B30" s="7" t="n">
        <v>44.212</v>
      </c>
      <c r="C30" s="6" t="inlineStr">
        <is>
          <t>Desviación frente al catálogo (%)</t>
        </is>
      </c>
      <c r="D30" s="7" t="n">
        <v>0.03</v>
      </c>
      <c r="E30" s="8" t="n"/>
      <c r="F30" s="8" t="n"/>
    </row>
    <row r="31">
      <c r="A31" s="6" t="inlineStr">
        <is>
          <t>Superficie clasificada MSAVI 2024 (ha)</t>
        </is>
      </c>
      <c r="B31" s="38" t="n">
        <v>44.201</v>
      </c>
      <c r="C31" s="6" t="inlineStr">
        <is>
          <t>Desviación MSAVI frente al catálogo (%)</t>
        </is>
      </c>
      <c r="D31" s="39" t="n">
        <v>0</v>
      </c>
      <c r="E31" s="8" t="n"/>
      <c r="F31" s="8" t="n"/>
    </row>
    <row r="32">
      <c r="A32" s="6" t="inlineStr">
        <is>
          <t>Superficie bajo umbral MSAVI 0.4976 (ha)</t>
        </is>
      </c>
      <c r="B32" s="38" t="n">
        <v>0.181</v>
      </c>
      <c r="C32" s="6" t="inlineStr">
        <is>
          <t>% del bloque bajo umbral (brecha espectral)</t>
        </is>
      </c>
      <c r="D32" s="39" t="n">
        <v>0.41</v>
      </c>
      <c r="E32" s="8" t="n"/>
      <c r="F32" s="8" t="n"/>
    </row>
    <row r="33">
      <c r="A33" s="6" t="inlineStr">
        <is>
          <t>Clase DN dominante (MSAVI 2024)</t>
        </is>
      </c>
      <c r="B33" s="7" t="inlineStr">
        <is>
          <t>DN 5 · &gt; 0.6139 (Vigor alto)</t>
        </is>
      </c>
      <c r="C33" s="6" t="inlineStr">
        <is>
          <t>N.° de polígonos MSAVI del bloque</t>
        </is>
      </c>
      <c r="D33" s="40" t="n">
        <v>51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44.20 ha totales — Zona agrícola 39.69 ha (89.8%); Bes-cm 3.89 ha (8.8%); Matorral andino 0.62 ha (1.4%)</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90</v>
      </c>
      <c r="E38" s="8" t="n"/>
      <c r="F38" s="8" t="n"/>
    </row>
    <row r="39">
      <c r="A39" s="6" t="inlineStr">
        <is>
          <t>Suelo desnudo — campo (%)</t>
        </is>
      </c>
      <c r="B39" s="7" t="n">
        <v>8</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2026-07-08</t>
        </is>
      </c>
      <c r="E44" s="8" t="n"/>
      <c r="F44" s="8" t="n"/>
    </row>
    <row r="45">
      <c r="A45" s="6" t="inlineStr">
        <is>
          <t>Hora de registro</t>
        </is>
      </c>
      <c r="B45" s="7" t="inlineStr">
        <is>
          <t>08:55 - 10:03 h</t>
        </is>
      </c>
      <c r="C45" s="6" t="inlineStr">
        <is>
          <t>Correlativo de ficha</t>
        </is>
      </c>
      <c r="D45" s="7" t="inlineStr">
        <is>
          <t>F-DT-01/B38/2026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(reconocimiento perimetral)</t>
        </is>
      </c>
      <c r="E47" s="8" t="n"/>
      <c r="F47" s="8" t="n"/>
    </row>
    <row r="48">
      <c r="A48" s="6" t="inlineStr">
        <is>
          <t>Estaciones fotográficas georreferenciadas</t>
        </is>
      </c>
      <c r="B48" s="7" t="n">
        <v>10</v>
      </c>
      <c r="C48" s="6" t="inlineStr">
        <is>
          <t>Modalidad de acceso</t>
        </is>
      </c>
      <c r="D48" s="7" t="inlineStr">
        <is>
          <t>Perimetral: vehicular + camino de herradura (Vehicular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agropecuaria de subsistencia sobre laderas de fuerte inclinación sin prácticas de conservación de suelo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32.4772</v>
      </c>
      <c r="C10" s="29">
        <f>ROUND(B10/$B$15*100,2)</f>
        <v/>
      </c>
      <c r="D10" s="12" t="inlineStr">
        <is>
          <t>Vigor alto</t>
        </is>
      </c>
      <c r="E10" s="12" t="inlineStr">
        <is>
          <t>Sobre umbral</t>
        </is>
      </c>
    </row>
    <row r="11">
      <c r="A11" s="13" t="inlineStr">
        <is>
          <t>0.4976 - 0.6139 · DN 4</t>
        </is>
      </c>
      <c r="B11" s="20" t="n">
        <v>11.5427</v>
      </c>
      <c r="C11" s="21">
        <f>ROUND(B11/$B$15*100,2)</f>
        <v/>
      </c>
      <c r="D11" s="14" t="inlineStr">
        <is>
          <t>Vigor moderado</t>
        </is>
      </c>
      <c r="E11" s="14" t="inlineStr">
        <is>
          <t>Sobre umbral</t>
        </is>
      </c>
    </row>
    <row r="12">
      <c r="A12" s="7" t="inlineStr">
        <is>
          <t>0.3813 - 0.4976 · DN 3</t>
        </is>
      </c>
      <c r="B12" s="18" t="n">
        <v>0.1807</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51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44.2</v>
      </c>
      <c r="C18" s="49" t="inlineStr">
        <is>
          <t>—</t>
        </is>
      </c>
      <c r="D18" s="46" t="inlineStr">
        <is>
          <t>Desviación planimétrica frente al catálogo</t>
        </is>
      </c>
      <c r="E18" s="46" t="inlineStr">
        <is>
          <t>+0.00 %</t>
        </is>
      </c>
    </row>
    <row r="19">
      <c r="A19" s="16" t="inlineStr">
        <is>
          <t>MSAVI 2024 — MEDIA DEL BLOQUE</t>
        </is>
      </c>
      <c r="B19" s="17" t="n">
        <v>0.6724869999999999</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(0.6725)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43.9024</v>
      </c>
      <c r="C25" s="19" t="n">
        <v>99.3</v>
      </c>
      <c r="D25" s="15" t="inlineStr">
        <is>
          <t>Dosel continuo, matorral denso o mosaico agroforestal</t>
        </is>
      </c>
      <c r="E25" s="15" t="inlineStr"/>
    </row>
    <row r="26">
      <c r="A26" s="13" t="inlineStr">
        <is>
          <t>Vegetación mediana</t>
        </is>
      </c>
      <c r="B26" s="20" t="n">
        <v>0.3099</v>
      </c>
      <c r="C26" s="21" t="n">
        <v>0.7</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44.2</v>
      </c>
      <c r="C28" s="25" t="inlineStr">
        <is>
          <t>—</t>
        </is>
      </c>
      <c r="D28" s="25" t="inlineStr">
        <is>
          <t>Desviación planimétrica frente al catálogo</t>
        </is>
      </c>
      <c r="E28" s="25" t="inlineStr">
        <is>
          <t>+0.03 %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99.30 % del polígono clasificado como «Vegetación alta» por el NDVI 2025; la observación de campo corresponde a una parcela o recorrido puntual y no es estadísticamente representativa de las 44.200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38</t>
        </is>
      </c>
    </row>
    <row r="6" ht="24" customHeight="1">
      <c r="A6" s="4" t="inlineStr">
        <is>
          <t>Levantamiento del 2026-07-08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647123</v>
      </c>
      <c r="D10" s="26" t="n">
        <v>9427602</v>
      </c>
      <c r="E10" s="15" t="n">
        <v>0</v>
      </c>
      <c r="F10" s="15" t="inlineStr"/>
      <c r="G10" s="15" t="inlineStr">
        <is>
          <t>Coordenada consignada en F-DT-01</t>
        </is>
      </c>
    </row>
    <row r="11">
      <c r="A11" s="13" t="inlineStr">
        <is>
          <t>F-01</t>
        </is>
      </c>
      <c r="B11" s="14" t="inlineStr">
        <is>
          <t>Estación fotográfica</t>
        </is>
      </c>
      <c r="C11" s="27" t="n">
        <v>646833</v>
      </c>
      <c r="D11" s="27" t="n">
        <v>9426997</v>
      </c>
      <c r="E11" s="14" t="n">
        <v>670.9</v>
      </c>
      <c r="F11" s="14" t="inlineStr"/>
      <c r="G11" s="14" t="inlineStr">
        <is>
          <t>Registro fotográfico georreferenciado</t>
        </is>
      </c>
    </row>
    <row r="12">
      <c r="A12" s="7" t="inlineStr">
        <is>
          <t>F-02</t>
        </is>
      </c>
      <c r="B12" s="15" t="inlineStr">
        <is>
          <t>Estación fotográfica</t>
        </is>
      </c>
      <c r="C12" s="26" t="n">
        <v>646751</v>
      </c>
      <c r="D12" s="26" t="n">
        <v>9427128</v>
      </c>
      <c r="E12" s="15" t="n">
        <v>602.5</v>
      </c>
      <c r="F12" s="15" t="inlineStr"/>
      <c r="G12" s="15" t="inlineStr">
        <is>
          <t>Registro fotográfico georreferenciado</t>
        </is>
      </c>
    </row>
    <row r="13">
      <c r="A13" s="13" t="inlineStr">
        <is>
          <t>F-03</t>
        </is>
      </c>
      <c r="B13" s="14" t="inlineStr">
        <is>
          <t>Estación fotográfica</t>
        </is>
      </c>
      <c r="C13" s="27" t="n">
        <v>647606</v>
      </c>
      <c r="D13" s="27" t="n">
        <v>9427393</v>
      </c>
      <c r="E13" s="14" t="n">
        <v>526.3</v>
      </c>
      <c r="F13" s="14" t="inlineStr"/>
      <c r="G13" s="14" t="inlineStr">
        <is>
          <t>Registro fotográfico georreferenciado</t>
        </is>
      </c>
    </row>
    <row r="14">
      <c r="A14" s="7" t="inlineStr">
        <is>
          <t>F-04</t>
        </is>
      </c>
      <c r="B14" s="15" t="inlineStr">
        <is>
          <t>Estación fotográfica</t>
        </is>
      </c>
      <c r="C14" s="26" t="n">
        <v>647574</v>
      </c>
      <c r="D14" s="26" t="n">
        <v>9427474</v>
      </c>
      <c r="E14" s="15" t="n">
        <v>468.8</v>
      </c>
      <c r="F14" s="15" t="inlineStr"/>
      <c r="G14" s="15" t="inlineStr">
        <is>
          <t>Registro fotográfico georreferenciado</t>
        </is>
      </c>
    </row>
    <row r="15">
      <c r="A15" s="13" t="inlineStr">
        <is>
          <t>F-05</t>
        </is>
      </c>
      <c r="B15" s="14" t="inlineStr">
        <is>
          <t>Estación fotográfica</t>
        </is>
      </c>
      <c r="C15" s="27" t="n">
        <v>647571</v>
      </c>
      <c r="D15" s="27" t="n">
        <v>9427474</v>
      </c>
      <c r="E15" s="14" t="n">
        <v>465.9</v>
      </c>
      <c r="F15" s="14" t="inlineStr"/>
      <c r="G15" s="14" t="inlineStr">
        <is>
          <t>Registro fotográfico georreferenciado</t>
        </is>
      </c>
    </row>
    <row r="16">
      <c r="A16" s="7" t="inlineStr">
        <is>
          <t>F-06</t>
        </is>
      </c>
      <c r="B16" s="15" t="inlineStr">
        <is>
          <t>Estación fotográfica</t>
        </is>
      </c>
      <c r="C16" s="26" t="n">
        <v>647569</v>
      </c>
      <c r="D16" s="26" t="n">
        <v>9427482</v>
      </c>
      <c r="E16" s="15" t="n">
        <v>461.9</v>
      </c>
      <c r="F16" s="15" t="inlineStr"/>
      <c r="G16" s="15" t="inlineStr">
        <is>
          <t>Registro fotográfico georreferenciado</t>
        </is>
      </c>
    </row>
    <row r="17">
      <c r="A17" s="13" t="inlineStr">
        <is>
          <t>F-07</t>
        </is>
      </c>
      <c r="B17" s="14" t="inlineStr">
        <is>
          <t>Estación fotográfica</t>
        </is>
      </c>
      <c r="C17" s="27" t="n">
        <v>647428</v>
      </c>
      <c r="D17" s="27" t="n">
        <v>9427512</v>
      </c>
      <c r="E17" s="14" t="n">
        <v>318</v>
      </c>
      <c r="F17" s="14" t="inlineStr"/>
      <c r="G17" s="14" t="inlineStr">
        <is>
          <t>Registro fotográfico georreferenciado</t>
        </is>
      </c>
    </row>
    <row r="18">
      <c r="A18" s="7" t="inlineStr">
        <is>
          <t>F-08</t>
        </is>
      </c>
      <c r="B18" s="15" t="inlineStr">
        <is>
          <t>Estación fotográfica</t>
        </is>
      </c>
      <c r="C18" s="26" t="n">
        <v>647197</v>
      </c>
      <c r="D18" s="26" t="n">
        <v>9427275</v>
      </c>
      <c r="E18" s="15" t="n">
        <v>335.3</v>
      </c>
      <c r="F18" s="15" t="inlineStr"/>
      <c r="G18" s="15" t="inlineStr">
        <is>
          <t>Registro fotográfico georreferenciado</t>
        </is>
      </c>
    </row>
    <row r="19">
      <c r="A19" s="13" t="inlineStr">
        <is>
          <t>F-09</t>
        </is>
      </c>
      <c r="B19" s="14" t="inlineStr">
        <is>
          <t>Estación fotográfica</t>
        </is>
      </c>
      <c r="C19" s="27" t="n">
        <v>647147</v>
      </c>
      <c r="D19" s="27" t="n">
        <v>9427248</v>
      </c>
      <c r="E19" s="14" t="n">
        <v>354.8</v>
      </c>
      <c r="F19" s="14" t="inlineStr"/>
      <c r="G19" s="14" t="inlineStr">
        <is>
          <t>Registro fotográfico georreferenciado</t>
        </is>
      </c>
    </row>
    <row r="20">
      <c r="A20" s="7" t="inlineStr">
        <is>
          <t>F-10</t>
        </is>
      </c>
      <c r="B20" s="15" t="inlineStr">
        <is>
          <t>Estación fotográfica</t>
        </is>
      </c>
      <c r="C20" s="26" t="n">
        <v>647117</v>
      </c>
      <c r="D20" s="26" t="n">
        <v>9427226</v>
      </c>
      <c r="E20" s="15" t="n">
        <v>376</v>
      </c>
      <c r="F20" s="15" t="inlineStr"/>
      <c r="G20" s="15" t="inlineStr">
        <is>
          <t>Registro fotográfico georreferenciado</t>
        </is>
      </c>
    </row>
    <row r="21">
      <c r="A21" s="13" t="inlineStr">
        <is>
          <t>R-01</t>
        </is>
      </c>
      <c r="B21" s="14" t="inlineStr">
        <is>
          <t>Rasgo erosivo — Surco (&lt;30 cm)</t>
        </is>
      </c>
      <c r="C21" s="27" t="n">
        <v>646833</v>
      </c>
      <c r="D21" s="27" t="n">
        <v>9426997</v>
      </c>
      <c r="E21" s="14" t="n">
        <v>670.9</v>
      </c>
      <c r="F21" s="14" t="inlineStr">
        <is>
          <t>Activa</t>
        </is>
      </c>
      <c r="G21" s="14" t="inlineStr">
        <is>
          <t>Caminos / huellas de ganado</t>
        </is>
      </c>
    </row>
    <row r="22">
      <c r="A22" s="7" t="inlineStr">
        <is>
          <t>R-02</t>
        </is>
      </c>
      <c r="B22" s="15" t="inlineStr">
        <is>
          <t>Rasgo erosivo — Surco (&lt;30 cm)</t>
        </is>
      </c>
      <c r="C22" s="26" t="n">
        <v>647571</v>
      </c>
      <c r="D22" s="26" t="n">
        <v>9427474</v>
      </c>
      <c r="E22" s="15" t="n">
        <v>465.9</v>
      </c>
      <c r="F22" s="15" t="inlineStr">
        <is>
          <t>Activa</t>
        </is>
      </c>
      <c r="G22" s="15" t="inlineStr">
        <is>
          <t>Caminos / huellas de ganado</t>
        </is>
      </c>
    </row>
    <row r="23">
      <c r="A23" s="13" t="inlineStr">
        <is>
          <t>R-03</t>
        </is>
      </c>
      <c r="B23" s="14" t="inlineStr">
        <is>
          <t>Rasgo erosivo — Cárcava somera (0.5-2 m)</t>
        </is>
      </c>
      <c r="C23" s="27" t="n">
        <v>647201</v>
      </c>
      <c r="D23" s="27" t="n">
        <v>9427237</v>
      </c>
      <c r="E23" s="14" t="n">
        <v>373.2</v>
      </c>
      <c r="F23" s="14" t="inlineStr">
        <is>
          <t>Activa</t>
        </is>
      </c>
      <c r="G23" s="14" t="inlineStr">
        <is>
          <t>Socavamiento de cauce</t>
        </is>
      </c>
    </row>
    <row r="24">
      <c r="A24" s="7" t="inlineStr">
        <is>
          <t>H-01</t>
        </is>
      </c>
      <c r="B24" s="15" t="inlineStr">
        <is>
          <t>Fuente de agua — Quebrada permanente</t>
        </is>
      </c>
      <c r="C24" s="26" t="n">
        <v>647201</v>
      </c>
      <c r="D24" s="26" t="n">
        <v>9427237</v>
      </c>
      <c r="E24" s="15" t="n">
        <v>373.2</v>
      </c>
      <c r="F24" s="15" t="inlineStr">
        <is>
          <t>Permanente</t>
        </is>
      </c>
      <c r="G24" s="15" t="inlineStr">
        <is>
          <t>Delimita el flanco SE</t>
        </is>
      </c>
    </row>
    <row r="25">
      <c r="A25" s="16" t="inlineStr">
        <is>
          <t>TOTAL: 15 puntos</t>
        </is>
      </c>
      <c r="B25" s="17" t="inlineStr"/>
      <c r="C25" s="17" t="inlineStr"/>
      <c r="D25" s="17" t="inlineStr"/>
      <c r="E25" s="17" t="inlineStr"/>
      <c r="F25" s="17" t="inlineStr"/>
      <c r="G25" s="17" t="inlineStr"/>
    </row>
    <row r="27">
      <c r="A27" s="6" t="inlineStr">
        <is>
          <t>Centroide del bloque — UTM ESTE (m)</t>
        </is>
      </c>
      <c r="B27" s="7" t="n">
        <v>647123</v>
      </c>
      <c r="C27" s="6" t="inlineStr">
        <is>
          <t>Centroide del bloque — UTM NORTE (m)</t>
        </is>
      </c>
      <c r="D27" s="7" t="n">
        <v>9427602</v>
      </c>
      <c r="E27" s="8" t="n"/>
      <c r="F27" s="8" t="n"/>
      <c r="G27" s="8" t="n"/>
      <c r="H27" s="8" t="n"/>
    </row>
    <row r="28">
      <c r="A28" s="6" t="inlineStr">
        <is>
          <t>N.° de estaciones fotográficas declaradas</t>
        </is>
      </c>
      <c r="B28" s="7" t="n">
        <v>10</v>
      </c>
      <c r="C28" s="6" t="inlineStr">
        <is>
          <t>Estaciones dentro del polígono</t>
        </is>
      </c>
      <c r="D28" s="7" t="n">
        <v>0</v>
      </c>
      <c r="E28" s="8" t="n"/>
      <c r="F28" s="8" t="n"/>
      <c r="G28" s="8" t="n"/>
      <c r="H28" s="8" t="n"/>
    </row>
    <row r="30" ht="120" customHeight="1">
      <c r="A3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PERIMETRAL. Las 10 estaciones fotográficas del 08-07-2026 se ubican entre 17 y 146 m POR FUERA del polígono (control geométrico sobre la cartografía MSAVI georreferenciada); el interior no fue recorrido. El punto de muestreo corresponde al CENTROIDE de catálogo, no a un punto GPS de campo. ALTITUD GPS NO REGISTRADA: el rango 1302-1533 msnm y la pendiente 24.25% provienen de estadística zonal del MDE. Escarpes activos se consignan por los taludes de corte de la trocha y las márgenes encajonadas de la quebrada.</t>
        </is>
      </c>
      <c r="B30" s="41" t="n"/>
      <c r="C30" s="41" t="n"/>
      <c r="D30" s="41" t="n"/>
      <c r="E30" s="41" t="n"/>
      <c r="F30" s="41" t="n"/>
      <c r="G30" s="42" t="n"/>
    </row>
  </sheetData>
  <mergeCells count="8">
    <mergeCell ref="A1:G1"/>
    <mergeCell ref="A8:G8"/>
    <mergeCell ref="A3:G3"/>
    <mergeCell ref="A6:G6"/>
    <mergeCell ref="A4:G4"/>
    <mergeCell ref="A30:G3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38</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38</t>
        </is>
      </c>
      <c r="B10" s="28" t="n">
        <v>44.2</v>
      </c>
      <c r="C10" s="29" t="n">
        <v>29.78</v>
      </c>
      <c r="D10" s="12" t="inlineStr">
        <is>
          <t>1302 – 1533</t>
        </is>
      </c>
      <c r="E10" s="12" t="n">
        <v>231</v>
      </c>
      <c r="F10" s="12" t="n">
        <v>24.25</v>
      </c>
      <c r="G10" s="30" t="n">
        <v>0.6725</v>
      </c>
      <c r="H10" s="29" t="n">
        <v>99.3</v>
      </c>
      <c r="I10" s="29" t="n">
        <v>0.41</v>
      </c>
    </row>
    <row r="11">
      <c r="A11" s="13" t="inlineStr">
        <is>
          <t>33</t>
        </is>
      </c>
      <c r="B11" s="31" t="n">
        <v>29.68</v>
      </c>
      <c r="C11" s="21" t="n">
        <v>20</v>
      </c>
      <c r="D11" s="14" t="inlineStr">
        <is>
          <t>1841 – 2226</t>
        </is>
      </c>
      <c r="E11" s="14" t="n">
        <v>385</v>
      </c>
      <c r="F11" s="14" t="n">
        <v>36.6</v>
      </c>
      <c r="G11" s="20" t="n">
        <v>0.7192</v>
      </c>
      <c r="H11" s="21" t="inlineStr">
        <is>
          <t>Por determinar</t>
        </is>
      </c>
      <c r="I11" s="14" t="inlineStr">
        <is>
          <t>s/d</t>
        </is>
      </c>
    </row>
    <row r="12">
      <c r="A12" s="7" t="inlineStr">
        <is>
          <t>34</t>
        </is>
      </c>
      <c r="B12" s="32" t="n">
        <v>28.45</v>
      </c>
      <c r="C12" s="19" t="n">
        <v>19.17</v>
      </c>
      <c r="D12" s="15" t="inlineStr">
        <is>
          <t>1286 – 1514</t>
        </is>
      </c>
      <c r="E12" s="15" t="n">
        <v>228</v>
      </c>
      <c r="F12" s="15" t="n">
        <v>26.78</v>
      </c>
      <c r="G12" s="18" t="n">
        <v>0.649</v>
      </c>
      <c r="H12" s="19" t="n">
        <v>99.42</v>
      </c>
      <c r="I12" s="19" t="n">
        <v>0.17</v>
      </c>
    </row>
    <row r="13">
      <c r="A13" s="13" t="inlineStr">
        <is>
          <t>61</t>
        </is>
      </c>
      <c r="B13" s="31" t="n">
        <v>26.83</v>
      </c>
      <c r="C13" s="21" t="n">
        <v>18.08</v>
      </c>
      <c r="D13" s="14" t="inlineStr">
        <is>
          <t>1098 – 1336</t>
        </is>
      </c>
      <c r="E13" s="14" t="n">
        <v>238</v>
      </c>
      <c r="F13" s="14" t="n">
        <v>22.61</v>
      </c>
      <c r="G13" s="20" t="n">
        <v>0.6112</v>
      </c>
      <c r="H13" s="21" t="n">
        <v>80.15000000000001</v>
      </c>
      <c r="I13" s="21" t="n">
        <v>21.1</v>
      </c>
    </row>
    <row r="14">
      <c r="A14" s="7" t="inlineStr">
        <is>
          <t>50</t>
        </is>
      </c>
      <c r="B14" s="32" t="n">
        <v>19.27</v>
      </c>
      <c r="C14" s="19" t="n">
        <v>12.98</v>
      </c>
      <c r="D14" s="15" t="inlineStr">
        <is>
          <t>1468 – 1725</t>
        </is>
      </c>
      <c r="E14" s="15" t="n">
        <v>257</v>
      </c>
      <c r="F14" s="15" t="n">
        <v>30.47</v>
      </c>
      <c r="G14" s="18" t="n">
        <v>0.6831</v>
      </c>
      <c r="H14" s="19" t="n">
        <v>99.56999999999999</v>
      </c>
      <c r="I14" s="19" t="n">
        <v>0.36</v>
      </c>
    </row>
    <row r="15">
      <c r="A15" s="16" t="inlineStr">
        <is>
          <t>TOTAL / PROMEDIO</t>
        </is>
      </c>
      <c r="B15" s="33">
        <f>SUM(B10:B14)</f>
        <v/>
      </c>
      <c r="C15" s="23">
        <f>SUM(C10:C14)</f>
        <v/>
      </c>
      <c r="D15" s="17" t="inlineStr">
        <is>
          <t>1098 – 2226</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41" t="n"/>
      <c r="C16" s="41" t="n"/>
      <c r="D16" s="41" t="n"/>
      <c r="E16" s="41" t="n"/>
      <c r="F16" s="41" t="n"/>
      <c r="G16" s="41" t="n"/>
      <c r="H16" s="41" t="n"/>
      <c r="I16" s="42" t="n"/>
    </row>
    <row r="18" ht="84" customHeight="1">
      <c r="A18" s="9" t="inlineStr">
        <is>
          <t>LECTURA INTRAMICROCUENCA. El bloque 38 ocupa el puesto 1 de 5 por superficie dentro de la microcuenca C1081-Q9590 (29.78 % de las 148.43 ha preliminares de la microcuenca). Su pendiente promedio (24.25 %, clase «15-25% (Fuert. inclinado)») es la 2.ª más baja de 5 y se sitúa por debajo del promedio de la microcuenca (28.14 %). Su MSAVI 2024 (0.6725) es el 3.º de 5 y queda por encima del promedio local (0.6670). Amplitud altitudinal del bloque: 231 m (1302–1533 msnm). El cuadro conserva todos los bloques catalogados en la microcuenca, incluidos los descartados en el tamizaje, para referencia del conjunto. Los bloques sin ficha DT figuran con sus parámetros de gabinete. BRECHA ESPECTRAL. El 0.41 % de la superficie del bloque (0.181 ha de 44.201 ha) se sitúa bajo el umbral MSAVI 0.4976, por debajo del promedio local de la microcuenca (5.51 %) calculado sobre los bloques con dato MSAVI disponible.</t>
        </is>
      </c>
      <c r="B18" s="41" t="n"/>
      <c r="C18" s="41" t="n"/>
      <c r="D18" s="41" t="n"/>
      <c r="E18" s="41" t="n"/>
      <c r="F18" s="41" t="n"/>
      <c r="G18" s="41" t="n"/>
      <c r="H18" s="41" t="n"/>
      <c r="I18" s="42"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1" t="n"/>
      <c r="C20" s="41" t="n"/>
      <c r="D20" s="41" t="n"/>
      <c r="E20" s="41" t="n"/>
      <c r="F20" s="41" t="n"/>
      <c r="G20" s="41" t="n"/>
      <c r="H20" s="41" t="n"/>
      <c r="I20" s="42" t="n"/>
    </row>
  </sheetData>
  <mergeCells count="10">
    <mergeCell ref="A2:I2"/>
    <mergeCell ref="A5:I5"/>
    <mergeCell ref="A1:I1"/>
    <mergeCell ref="A18:I18"/>
    <mergeCell ref="A8:I8"/>
    <mergeCell ref="A3:I3"/>
    <mergeCell ref="A6:I6"/>
    <mergeCell ref="A4:I4"/>
    <mergeCell ref="A20:I20"/>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38</t>
        </is>
      </c>
    </row>
    <row r="6">
      <c r="A6" s="51" t="inlineStr">
        <is>
          <t>Cruce de la ficha de campo F-DT vigente con la ficha de resumen de gabinete y el catálogo maestro. Integración 2026-09-11 21:26:25.</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«C1081-Q9590».</t>
        </is>
      </c>
      <c r="D9" s="55" t="inlineStr">
        <is>
          <t>CONFORME</t>
        </is>
      </c>
      <c r="E9" s="55" t="inlineStr">
        <is>
          <t>Sin acción.</t>
        </is>
      </c>
    </row>
    <row r="10">
      <c r="A10" s="56" t="inlineStr">
        <is>
          <t>G-02</t>
        </is>
      </c>
      <c r="B10" s="56" t="inlineStr">
        <is>
          <t>UTM del punto de muestreo</t>
        </is>
      </c>
      <c r="C10" s="56" t="inlineStr">
        <is>
          <t>El punto de muestreo declarado dista 0.0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(1302 msnm) cae dentro del rango altitudinal del bloque (1302 - 1533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(44.212 ha) se desvía 0.03 % de la superficie de catálogo (44.20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(44.201 ha) se desvía 0.00 % de la superficie de catálogo (44.20 ha).</t>
        </is>
      </c>
      <c r="D14" s="56" t="inlineStr">
        <is>
          <t>CONFORME</t>
        </is>
      </c>
      <c r="E14" s="56" t="inlineStr">
        <is>
          <t>Sin acción: la segmentación valida la geometría del bloque.</t>
        </is>
      </c>
    </row>
    <row r="15">
      <c r="A15" s="55" t="inlineStr">
        <is>
          <t>G-07</t>
        </is>
      </c>
      <c r="B15" s="55" t="inlineStr">
        <is>
          <t>Brecha espectral MSAVI</t>
        </is>
      </c>
      <c r="C15" s="55" t="inlineStr">
        <is>
          <t>El 0.41 % del bloque queda bajo el umbral 0.4976; superficie de brecha 0.1807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44.20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(0.6725) cae en la clase «&gt; 0.6139 (Vigor alto)» y la clase DN dominante por superficie es «DN 5 · &gt; 0.6139 (Vigor alto)».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92.9 % de los campos esperados).</t>
        </is>
      </c>
      <c r="D19" s="55" t="inlineStr">
        <is>
          <t>CONFORME</t>
        </is>
      </c>
      <c r="E19" s="55" t="inlineStr">
        <is>
          <t>Sin acción.</t>
        </is>
      </c>
    </row>
    <row r="20">
      <c r="A20" s="56" t="inlineStr">
        <is>
          <t>F-02</t>
        </is>
      </c>
      <c r="B20" s="56" t="inlineStr">
        <is>
          <t>Cobertura de la integración</t>
        </is>
      </c>
      <c r="C20" s="56" t="inlineStr">
        <is>
          <t>Se declararon 98 de 114 hechos integrados (86.0 %); 16 quedan sin dato en ninguna fuente.</t>
        </is>
      </c>
      <c r="D20" s="56" t="inlineStr">
        <is>
          <t>CONFORME</t>
        </is>
      </c>
      <c r="E20" s="56" t="inlineStr">
        <is>
          <t>Sin acción.</t>
        </is>
      </c>
    </row>
    <row r="21">
      <c r="A21" s="55" t="inlineStr">
        <is>
          <t>H-01</t>
        </is>
      </c>
      <c r="B21" s="55" t="inlineStr">
        <is>
          <t>Dimensiones del inventario de cárcavas</t>
        </is>
      </c>
      <c r="C21" s="55" t="inlineStr">
        <is>
          <t>Se registran 3 rasgos erosivos, pero longitud, profundidad y ancho no fueron medidos instrumentalmente</t>
        </is>
      </c>
      <c r="D21" s="55" t="inlineStr">
        <is>
          <t>NO SUSTANTIVA</t>
        </is>
      </c>
      <c r="E21" s="55" t="inlineStr">
        <is>
          <t>El conteo registrado no debe usarse para calcular densidad de cárcavas por hectárea. Pendiente de levantamiento con GPS submétrico. (Verificación heredada de la ficha de resumen V6.)</t>
        </is>
      </c>
    </row>
    <row r="22">
      <c r="A22" s="56" t="inlineStr">
        <is>
          <t>H-02</t>
        </is>
      </c>
      <c r="B22" s="56" t="inlineStr">
        <is>
          <t>Representatividad del levantamiento</t>
        </is>
      </c>
      <c r="C22" s="56" t="inlineStr">
        <is>
          <t>Ninguna de las estaciones fotográficas georreferenciadas se localiza dentro del polígono del bloque</t>
        </is>
      </c>
      <c r="D22" s="56" t="inlineStr">
        <is>
          <t>SUSTANTIVA</t>
        </is>
      </c>
      <c r="E22" s="56" t="inlineStr">
        <is>
          <t>La verificación documenta el perímetro y la vista panorámica del bloque, no su interior. Los parámetros que exigen recorrido interno se consignan «Por determinar». (Verificación heredada de la ficha de resumen V6.)</t>
        </is>
      </c>
    </row>
    <row r="23">
      <c r="A23" s="55" t="inlineStr">
        <is>
          <t>H-03</t>
        </is>
      </c>
      <c r="B23" s="55" t="inlineStr">
        <is>
          <t>Centro poblado asociado</t>
        </is>
      </c>
      <c r="C23" s="55" t="inlineStr">
        <is>
          <t>La ficha DT declara «Ullma (646 976 E · 9 428 519 N; 157 hab.) — a ≈0.93 km al N del centroide»; el cruce INEI-Bloques V5 identifica 1 centro(s) poblado(s) en el bloque: ULLMA</t>
        </is>
      </c>
      <c r="D23" s="55" t="inlineStr">
        <is>
          <t>CONFORME</t>
        </is>
      </c>
      <c r="E23" s="55" t="inlineStr">
        <is>
          <t>Se conserva el registro de campo como referencia y se adopta el listado INEI para el diagnóstico social y el cálculo de población beneficiaria. (Verificación heredada de la ficha de resumen V6.)</t>
        </is>
      </c>
    </row>
    <row r="25">
      <c r="A25" s="57" t="inlineStr">
        <is>
          <t>RESUMEN</t>
        </is>
      </c>
      <c r="B25" s="58" t="inlineStr">
        <is>
          <t>15 verificaciones</t>
        </is>
      </c>
      <c r="C25" s="58" t="inlineStr">
        <is>
          <t>SUSTANTIVA: 2 · NO SUSTANTIVA: 1 · CONFORME: 12</t>
        </is>
      </c>
    </row>
    <row r="27">
      <c r="A27"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38</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647123</t>
        </is>
      </c>
      <c r="D13" s="55" t="inlineStr">
        <is>
          <t>m</t>
        </is>
      </c>
    </row>
    <row r="14">
      <c r="A14" s="56" t="inlineStr">
        <is>
          <t>1. Identificación y localización</t>
        </is>
      </c>
      <c r="B14" s="56" t="inlineStr">
        <is>
          <t>UTM NORTE del punto de muestreo (m)</t>
        </is>
      </c>
      <c r="C14" s="56" t="inlineStr">
        <is>
          <t>9427602</t>
        </is>
      </c>
      <c r="D14" s="56" t="inlineStr">
        <is>
          <t>m</t>
        </is>
      </c>
    </row>
    <row r="15">
      <c r="A15" s="55" t="inlineStr">
        <is>
          <t>2. Parámetros físicos del terreno</t>
        </is>
      </c>
      <c r="B15" s="55" t="inlineStr">
        <is>
          <t>Altitud GPS del punto de muestreo (msnm)</t>
        </is>
      </c>
      <c r="C15" s="55" t="inlineStr">
        <is>
          <t>1 302 – 1 533 (MDE; sin registro GPS)</t>
        </is>
      </c>
      <c r="D15" s="55" t="inlineStr">
        <is>
          <t>msnm</t>
        </is>
      </c>
    </row>
    <row r="16">
      <c r="A16" s="56" t="inlineStr">
        <is>
          <t>2. Parámetros físicos del terreno</t>
        </is>
      </c>
      <c r="B16" s="56" t="inlineStr">
        <is>
          <t>Piso altitudinal del punto de muestreo</t>
        </is>
      </c>
      <c r="C16" s="56" t="inlineStr">
        <is>
          <t>1000-1500 m (Quechua baja)</t>
        </is>
      </c>
      <c r="D16" s="56" t="inlineStr"/>
    </row>
    <row r="17">
      <c r="A17" s="55" t="inlineStr">
        <is>
          <t>2. Parámetros físicos del terreno</t>
        </is>
      </c>
      <c r="B17" s="55" t="inlineStr">
        <is>
          <t>Paisaje dominante descrito en campo</t>
        </is>
      </c>
      <c r="C17" s="55" t="inlineStr">
        <is>
          <t>Ladera de montaña de la margen NO de la quebrada tributaria de la microcuenca C1081-Q9590. Mosaico dominado por pastizal cultivado con cercos en las laderas de menor inclinación, matorral denso y relictos arbóreos en las quebradas y laderas de mayor pendiente, y parcelas de café, plátano y frutales en el sector bajo. Cimas y bordes con afloramientos rocosos dispersos. La trocha carrozable de acceso bordea el flanco SE del polígono.</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Sellamiento / costra superficial</t>
        </is>
      </c>
      <c r="C21" s="55" t="inlineStr">
        <is>
          <t>No</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Sí</t>
        </is>
      </c>
      <c r="D23" s="55" t="inlineStr"/>
    </row>
    <row r="24">
      <c r="A24" s="56" t="inlineStr">
        <is>
          <t>4. Suelos y erosión (F-DT-02)</t>
        </is>
      </c>
      <c r="B24" s="56" t="inlineStr">
        <is>
          <t>Patrón de cárcavas</t>
        </is>
      </c>
      <c r="C24" s="56" t="inlineStr">
        <is>
          <t>Lineal</t>
        </is>
      </c>
      <c r="D24" s="56" t="inlineStr"/>
    </row>
    <row r="25">
      <c r="A25" s="55" t="inlineStr">
        <is>
          <t>4. Suelos y erosión (F-DT-02)</t>
        </is>
      </c>
      <c r="B25" s="55" t="inlineStr">
        <is>
          <t>Socavamiento de cauce</t>
        </is>
      </c>
      <c r="C25" s="55" t="inlineStr">
        <is>
          <t>F-08 / ref. B-50</t>
        </is>
      </c>
      <c r="D25" s="55" t="inlineStr"/>
    </row>
    <row r="26">
      <c r="A26" s="56" t="inlineStr">
        <is>
          <t>5. Ecosistema, cobertura y flora (F-DT-03)</t>
        </is>
      </c>
      <c r="B26" s="56" t="inlineStr">
        <is>
          <t>Cobertura del dosel (%)</t>
        </is>
      </c>
      <c r="C26" s="56" t="inlineStr">
        <is>
          <t>25</t>
        </is>
      </c>
      <c r="D26" s="56" t="inlineStr">
        <is>
          <t>%</t>
        </is>
      </c>
    </row>
    <row r="27">
      <c r="A27" s="55" t="inlineStr">
        <is>
          <t>5. Ecosistema, cobertura y flora (F-DT-03)</t>
        </is>
      </c>
      <c r="B27" s="55" t="inlineStr">
        <is>
          <t>Cobertura arbustiva (%)</t>
        </is>
      </c>
      <c r="C27" s="55" t="inlineStr">
        <is>
          <t>35</t>
        </is>
      </c>
      <c r="D27" s="55" t="inlineStr">
        <is>
          <t>%</t>
        </is>
      </c>
    </row>
    <row r="28">
      <c r="A28" s="56" t="inlineStr">
        <is>
          <t>5. Ecosistema, cobertura y flora (F-DT-03)</t>
        </is>
      </c>
      <c r="B28" s="56" t="inlineStr">
        <is>
          <t>Cobertura herbácea (%)</t>
        </is>
      </c>
      <c r="C28" s="56" t="inlineStr">
        <is>
          <t>45</t>
        </is>
      </c>
      <c r="D28" s="56" t="inlineStr">
        <is>
          <t>%</t>
        </is>
      </c>
    </row>
    <row r="29">
      <c r="A29" s="55" t="inlineStr">
        <is>
          <t>5. Ecosistema, cobertura y flora (F-DT-03)</t>
        </is>
      </c>
      <c r="B29" s="55" t="inlineStr">
        <is>
          <t>Presencia de epífitas</t>
        </is>
      </c>
      <c r="C29" s="55" t="inlineStr">
        <is>
          <t>Sí</t>
        </is>
      </c>
      <c r="D29" s="55" t="inlineStr"/>
    </row>
    <row r="30">
      <c r="A30" s="56" t="inlineStr">
        <is>
          <t>5. Ecosistema, cobertura y flora (F-DT-03)</t>
        </is>
      </c>
      <c r="B30" s="56" t="inlineStr">
        <is>
          <t>Fenología dominante</t>
        </is>
      </c>
      <c r="C30" s="56" t="inlineStr">
        <is>
          <t>Vegetativo</t>
        </is>
      </c>
      <c r="D30" s="56" t="inlineStr"/>
    </row>
    <row r="31">
      <c r="A31" s="55" t="inlineStr">
        <is>
          <t>5. Ecosistema, cobertura y flora (F-DT-03)</t>
        </is>
      </c>
      <c r="B31" s="55" t="inlineStr">
        <is>
          <t>Dimensiones de la parcela (m)</t>
        </is>
      </c>
      <c r="C31" s="55" t="inlineStr">
        <is>
          <t>No aplica</t>
        </is>
      </c>
      <c r="D31" s="55" t="inlineStr"/>
    </row>
    <row r="32">
      <c r="A32" s="56" t="inlineStr">
        <is>
          <t>5. Ecosistema, cobertura y flora (F-DT-03)</t>
        </is>
      </c>
      <c r="B32" s="56" t="inlineStr">
        <is>
          <t>Pendiente de la parcela (%)</t>
        </is>
      </c>
      <c r="C32" s="56" t="inlineStr">
        <is>
          <t>24.25</t>
        </is>
      </c>
      <c r="D32" s="56" t="inlineStr">
        <is>
          <t>%</t>
        </is>
      </c>
    </row>
    <row r="33">
      <c r="A33" s="55" t="inlineStr">
        <is>
          <t>5. Ecosistema, cobertura y flora (F-DT-03)</t>
        </is>
      </c>
      <c r="B33" s="55" t="inlineStr">
        <is>
          <t>Especies clave georreferenciadas</t>
        </is>
      </c>
      <c r="C33" s="55" t="inlineStr">
        <is>
          <t>10</t>
        </is>
      </c>
      <c r="D33" s="55" t="inlineStr"/>
    </row>
    <row r="34">
      <c r="A34" s="56" t="inlineStr">
        <is>
          <t>6. Degradación, causas y urgencia (F-DT-04)</t>
        </is>
      </c>
      <c r="B34" s="56" t="inlineStr">
        <is>
          <t>Causas directas de la degradación</t>
        </is>
      </c>
      <c r="C34" s="56" t="inlineStr">
        <is>
          <t>Conversión consolidada del ecosistema a pastizal cultivado y, en menor medida, a parcelas de café, plátano y frutales (89,8 % del bloque clasificado como Zona agrícola), con pastoreo asociado, compactación y sendas de pisoteo; presión vial en el flanco SE (taludes de corte y surcos en la huella de rodadura) y socavamiento activo de márgenes en la quebrada.</t>
        </is>
      </c>
      <c r="D34" s="56" t="inlineStr"/>
    </row>
    <row r="35">
      <c r="A35" s="55" t="inlineStr">
        <is>
          <t>6. Degradación, causas y urgencia (F-DT-04)</t>
        </is>
      </c>
      <c r="B35" s="55" t="inlineStr">
        <is>
          <t>N.° de causas activas en la matriz F-DT-04</t>
        </is>
      </c>
      <c r="C35" s="55" t="inlineStr">
        <is>
          <t>6</t>
        </is>
      </c>
      <c r="D35" s="55" t="inlineStr"/>
    </row>
    <row r="36">
      <c r="A36" s="56" t="inlineStr">
        <is>
          <t>7. Hidrología, acceso y logística (F-DT-05)</t>
        </is>
      </c>
      <c r="B36" s="56" t="inlineStr">
        <is>
          <t>Escorrentía concentrada</t>
        </is>
      </c>
      <c r="C36" s="56" t="inlineStr">
        <is>
          <t>Sí</t>
        </is>
      </c>
      <c r="D36" s="56" t="inlineStr"/>
    </row>
    <row r="37">
      <c r="A37" s="55" t="inlineStr">
        <is>
          <t>7. Hidrología, acceso y logística (F-DT-05)</t>
        </is>
      </c>
      <c r="B37" s="55" t="inlineStr">
        <is>
          <t>Fuentes de agua inventariadas</t>
        </is>
      </c>
      <c r="C37" s="55" t="inlineStr">
        <is>
          <t>1</t>
        </is>
      </c>
      <c r="D37" s="55" t="inlineStr"/>
    </row>
    <row r="38">
      <c r="A38" s="56" t="inlineStr">
        <is>
          <t>7. Hidrología, acceso y logística (F-DT-05)</t>
        </is>
      </c>
      <c r="B38" s="56" t="inlineStr">
        <is>
          <t>Vía principal de acceso</t>
        </is>
      </c>
      <c r="C38" s="56" t="inlineStr">
        <is>
          <t>Trocha carrozable Lalaquiz (Tunal) – Ullma; ingreso común a los bloques 50 y 38 en 646 833 E · 9 426 997 N (código de ruta por confirmar)</t>
        </is>
      </c>
      <c r="D38" s="56" t="inlineStr"/>
    </row>
    <row r="39">
      <c r="A39" s="55" t="inlineStr">
        <is>
          <t>7. Hidrología, acceso y logística (F-DT-05)</t>
        </is>
      </c>
      <c r="B39" s="55" t="inlineStr">
        <is>
          <t>Tipo de vía del tramo final</t>
        </is>
      </c>
      <c r="C39" s="55" t="inlineStr">
        <is>
          <t>Camino de herradura</t>
        </is>
      </c>
      <c r="D39" s="55" t="inlineStr"/>
    </row>
    <row r="40">
      <c r="A40" s="56" t="inlineStr">
        <is>
          <t>7. Hidrología, acceso y logística (F-DT-05)</t>
        </is>
      </c>
      <c r="B40" s="56" t="inlineStr">
        <is>
          <t>Transitabilidad en época seca</t>
        </is>
      </c>
      <c r="C40" s="56" t="inlineStr">
        <is>
          <t>Medio</t>
        </is>
      </c>
      <c r="D40" s="56" t="inlineStr"/>
    </row>
    <row r="41">
      <c r="A41" s="55" t="inlineStr">
        <is>
          <t>7. Hidrología, acceso y logística (F-DT-05)</t>
        </is>
      </c>
      <c r="B41" s="55" t="inlineStr">
        <is>
          <t>Transitabilidad en época lluviosa</t>
        </is>
      </c>
      <c r="C41" s="55" t="inlineStr">
        <is>
          <t>Bajo</t>
        </is>
      </c>
      <c r="D41" s="55" t="inlineStr"/>
    </row>
    <row r="42">
      <c r="A42" s="56" t="inlineStr">
        <is>
          <t>7. Hidrología, acceso y logística (F-DT-05)</t>
        </is>
      </c>
      <c r="B42" s="56" t="inlineStr">
        <is>
          <t>Señal celular</t>
        </is>
      </c>
      <c r="C42" s="56" t="inlineStr">
        <is>
          <t>Sin señal</t>
        </is>
      </c>
      <c r="D42" s="56" t="inlineStr"/>
    </row>
    <row r="43">
      <c r="A43" s="55" t="inlineStr">
        <is>
          <t>7. Hidrología, acceso y logística (F-DT-05)</t>
        </is>
      </c>
      <c r="B43" s="55" t="inlineStr">
        <is>
          <t>Operador con cobertura</t>
        </is>
      </c>
      <c r="C43" s="55" t="inlineStr">
        <is>
          <t>Sin señal</t>
        </is>
      </c>
      <c r="D43" s="55" t="inlineStr"/>
    </row>
    <row r="44">
      <c r="A44" s="56" t="inlineStr">
        <is>
          <t>7. Hidrología, acceso y logística (F-DT-05)</t>
        </is>
      </c>
      <c r="B44" s="56" t="inlineStr">
        <is>
          <t>Requiere coordinación con ronda / comunidad</t>
        </is>
      </c>
      <c r="C44" s="56" t="inlineStr">
        <is>
          <t>Sí</t>
        </is>
      </c>
      <c r="D44" s="56" t="inlineStr"/>
    </row>
    <row r="46">
      <c r="A46" s="53" t="inlineStr">
        <is>
          <t>C. PROCEDENCIA DE LOS HECHOS DECLARADOS</t>
        </is>
      </c>
    </row>
    <row r="47">
      <c r="A47" s="54" t="inlineStr">
        <is>
          <t>Fuente</t>
        </is>
      </c>
      <c r="B47" s="54" t="inlineStr">
        <is>
          <t>Hechos</t>
        </is>
      </c>
      <c r="C47" s="54" t="inlineStr">
        <is>
          <t>Alcance de la fuente</t>
        </is>
      </c>
    </row>
    <row r="48">
      <c r="A48" s="55" t="inlineStr">
        <is>
          <t>Dato de campo</t>
        </is>
      </c>
      <c r="B48" s="55" t="n">
        <v>63</v>
      </c>
      <c r="C48" s="55" t="inlineStr">
        <is>
          <t>Verificación en campo. Fichas F-DT-01 a F-DT-05 de la Plantilla DT Campo Check Validada V5, suscritas por el evaluador.</t>
        </is>
      </c>
    </row>
    <row r="49">
      <c r="A49" s="56" t="inlineStr">
        <is>
          <t>Gabinete (GIS / teledetección)</t>
        </is>
      </c>
      <c r="B49" s="56" t="n">
        <v>21</v>
      </c>
      <c r="C49" s="56" t="inlineStr">
        <is>
          <t>Gabinete. Estadística zonal sobre el MDE y compuestos Sentinel-2 (NDVI mediana 2025, MSAVI 2024 por clase DN).</t>
        </is>
      </c>
    </row>
    <row r="50">
      <c r="A50" s="55" t="inlineStr">
        <is>
          <t>Fuente oficial</t>
        </is>
      </c>
      <c r="B50" s="55" t="n">
        <v>14</v>
      </c>
      <c r="C50" s="55" t="inlineStr">
        <is>
          <t>Fuente oficial. Catálogo maestro Bloques V5/V6, división política INEI y codificación de microcuencas de la ANA.</t>
        </is>
      </c>
    </row>
    <row r="52">
      <c r="A52" s="53" t="inlineStr">
        <is>
          <t>D. ESTADO DEL CRUCE ENTRE FUENTES</t>
        </is>
      </c>
    </row>
    <row r="53">
      <c r="A53" s="54" t="inlineStr">
        <is>
          <t>Estado</t>
        </is>
      </c>
      <c r="B53" s="54" t="inlineStr">
        <is>
          <t>Hechos</t>
        </is>
      </c>
      <c r="C53" s="54" t="inlineStr">
        <is>
          <t>Significado</t>
        </is>
      </c>
    </row>
    <row r="54">
      <c r="A54" s="55" t="inlineStr">
        <is>
          <t>CONFORME</t>
        </is>
      </c>
      <c r="B54" s="55" t="n">
        <v>98</v>
      </c>
      <c r="C54" s="55" t="inlineStr">
        <is>
          <t>Las dos fuentes declaran lo mismo, o solo la fuente que manda sobre el hecho lo declara.</t>
        </is>
      </c>
    </row>
    <row r="55">
      <c r="A55" s="56" t="inlineStr">
        <is>
          <t>COMPLEMENTADO</t>
        </is>
      </c>
      <c r="B55" s="56" t="n">
        <v>0</v>
      </c>
      <c r="C55" s="56" t="inlineStr">
        <is>
          <t>Solo una de las fuentes lo declara y se adopta ese valor.</t>
        </is>
      </c>
    </row>
    <row r="56">
      <c r="A56" s="55" t="inlineStr">
        <is>
          <t>ACTUALIZADO</t>
        </is>
      </c>
      <c r="B56" s="55" t="n">
        <v>0</v>
      </c>
      <c r="C56" s="55" t="inlineStr">
        <is>
          <t>La verificación de campo vigente corrige lo que traía el libro de resumen.</t>
        </is>
      </c>
    </row>
    <row r="57">
      <c r="A57" s="56" t="inlineStr">
        <is>
          <t>DISCREPANTE</t>
        </is>
      </c>
      <c r="B57" s="56" t="n">
        <v>0</v>
      </c>
      <c r="C57" s="56" t="inlineStr">
        <is>
          <t>Las fuentes se contradicen; prevalece la que manda sobre el hecho y la otra queda declarada.</t>
        </is>
      </c>
    </row>
    <row r="58">
      <c r="A58" s="55" t="inlineStr">
        <is>
          <t>PENDIENTE</t>
        </is>
      </c>
      <c r="B58" s="55" t="n">
        <v>16</v>
      </c>
      <c r="C58"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38</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R-01</t>
        </is>
      </c>
      <c r="B9" s="55" t="inlineStr">
        <is>
          <t>Surco (&lt;30 cm)</t>
        </is>
      </c>
      <c r="C9" s="60" t="n">
        <v>646833</v>
      </c>
      <c r="D9" s="60" t="n">
        <v>9426997</v>
      </c>
      <c r="E9" s="55" t="n"/>
      <c r="F9" s="55" t="n"/>
      <c r="G9" s="55" t="n"/>
      <c r="H9" s="55" t="inlineStr">
        <is>
          <t>Activa</t>
        </is>
      </c>
      <c r="I9" s="55" t="inlineStr">
        <is>
          <t>Caminos / huellas de ganado</t>
        </is>
      </c>
    </row>
    <row r="10">
      <c r="A10" s="56" t="inlineStr">
        <is>
          <t>R-02</t>
        </is>
      </c>
      <c r="B10" s="56" t="inlineStr">
        <is>
          <t>Surco (&lt;30 cm)</t>
        </is>
      </c>
      <c r="C10" s="61" t="n">
        <v>647571</v>
      </c>
      <c r="D10" s="61" t="n">
        <v>9427474</v>
      </c>
      <c r="E10" s="56" t="n"/>
      <c r="F10" s="56" t="n"/>
      <c r="G10" s="56" t="n"/>
      <c r="H10" s="56" t="inlineStr">
        <is>
          <t>Activa</t>
        </is>
      </c>
      <c r="I10" s="56" t="inlineStr">
        <is>
          <t>Caminos / huellas de ganado</t>
        </is>
      </c>
    </row>
    <row r="11">
      <c r="A11" s="55" t="inlineStr">
        <is>
          <t>R-03</t>
        </is>
      </c>
      <c r="B11" s="55" t="inlineStr">
        <is>
          <t>Cárcava somera (0.5-2 m)</t>
        </is>
      </c>
      <c r="C11" s="60" t="n">
        <v>647201</v>
      </c>
      <c r="D11" s="60" t="n">
        <v>9427237</v>
      </c>
      <c r="E11" s="55" t="n"/>
      <c r="F11" s="55" t="n"/>
      <c r="G11" s="55" t="n"/>
      <c r="H11" s="55" t="inlineStr">
        <is>
          <t>Activa</t>
        </is>
      </c>
      <c r="I11" s="55" t="inlineStr">
        <is>
          <t>Socavamiento de cauce</t>
        </is>
      </c>
    </row>
    <row r="13">
      <c r="A13" s="53" t="inlineStr">
        <is>
          <t>F-DT-03 · ELENCO FLORÍSTICO</t>
        </is>
      </c>
    </row>
    <row r="14">
      <c r="A14" s="54" t="inlineStr">
        <is>
          <t>N.o</t>
        </is>
      </c>
      <c r="B14" s="54" t="inlineStr">
        <is>
          <t>Nombre común</t>
        </is>
      </c>
      <c r="C14" s="54" t="inlineStr">
        <is>
          <t>Nombre científico</t>
        </is>
      </c>
      <c r="D14" s="54" t="inlineStr">
        <is>
          <t>Familia</t>
        </is>
      </c>
      <c r="E14" s="54" t="inlineStr">
        <is>
          <t>Estrato</t>
        </is>
      </c>
      <c r="F14" s="54" t="inlineStr">
        <is>
          <t>Origen</t>
        </is>
      </c>
      <c r="G14" s="54" t="inlineStr">
        <is>
          <t>Abundancia</t>
        </is>
      </c>
      <c r="H14" s="54" t="inlineStr">
        <is>
          <t>DAP (cm)</t>
        </is>
      </c>
      <c r="I14" s="54" t="inlineStr">
        <is>
          <t>Altura (m)</t>
        </is>
      </c>
    </row>
    <row r="15">
      <c r="A15" s="55" t="inlineStr">
        <is>
          <t>1</t>
        </is>
      </c>
      <c r="B15" s="55" t="inlineStr">
        <is>
          <t>Higuerón</t>
        </is>
      </c>
      <c r="C15" s="55" t="inlineStr">
        <is>
          <t>Ficus sp.</t>
        </is>
      </c>
      <c r="D15" s="55" t="inlineStr">
        <is>
          <t>Moraceae</t>
        </is>
      </c>
      <c r="E15" s="55" t="inlineStr">
        <is>
          <t>Arbóreo superior (&gt;15 m)</t>
        </is>
      </c>
      <c r="F15" s="55" t="inlineStr">
        <is>
          <t>Nativa</t>
        </is>
      </c>
      <c r="G15" s="55" t="inlineStr">
        <is>
          <t>Rara (&lt;1%)</t>
        </is>
      </c>
      <c r="H15" s="55" t="n"/>
      <c r="I15" s="55" t="n"/>
    </row>
    <row r="16">
      <c r="A16" s="56" t="inlineStr">
        <is>
          <t>2</t>
        </is>
      </c>
      <c r="B16" s="56" t="inlineStr">
        <is>
          <t>Pacae</t>
        </is>
      </c>
      <c r="C16" s="56" t="inlineStr">
        <is>
          <t>Inga sp.</t>
        </is>
      </c>
      <c r="D16" s="56" t="inlineStr">
        <is>
          <t>Fabaceae</t>
        </is>
      </c>
      <c r="E16" s="56" t="inlineStr">
        <is>
          <t>Arbóreo medio (8-15 m)</t>
        </is>
      </c>
      <c r="F16" s="56" t="inlineStr">
        <is>
          <t>Nativa</t>
        </is>
      </c>
      <c r="G16" s="56" t="inlineStr">
        <is>
          <t>Ocasional (1-5%)</t>
        </is>
      </c>
      <c r="H16" s="56" t="n"/>
      <c r="I16" s="56" t="n"/>
    </row>
    <row r="17">
      <c r="A17" s="55" t="inlineStr">
        <is>
          <t>3</t>
        </is>
      </c>
      <c r="B17" s="55" t="inlineStr">
        <is>
          <t>Bambú / caña</t>
        </is>
      </c>
      <c r="C17" s="55" t="inlineStr">
        <is>
          <t>Guadua sp. (por confirmar)</t>
        </is>
      </c>
      <c r="D17" s="55" t="inlineStr">
        <is>
          <t>Poaceae</t>
        </is>
      </c>
      <c r="E17" s="55" t="inlineStr">
        <is>
          <t>Arbóreo bajo (4-8 m)</t>
        </is>
      </c>
      <c r="F17" s="55" t="inlineStr">
        <is>
          <t>Nativa</t>
        </is>
      </c>
      <c r="G17" s="55" t="inlineStr">
        <is>
          <t>Ocasional (1-5%)</t>
        </is>
      </c>
      <c r="H17" s="55" t="n"/>
      <c r="I17" s="55" t="n"/>
    </row>
    <row r="18">
      <c r="A18" s="56" t="inlineStr">
        <is>
          <t>4</t>
        </is>
      </c>
      <c r="B18" s="56" t="inlineStr">
        <is>
          <t>Pasifloras</t>
        </is>
      </c>
      <c r="C18" s="56" t="inlineStr">
        <is>
          <t>Passiflora sp.</t>
        </is>
      </c>
      <c r="D18" s="56" t="inlineStr">
        <is>
          <t>Passifloraceae</t>
        </is>
      </c>
      <c r="E18" s="56" t="inlineStr">
        <is>
          <t>Trepador</t>
        </is>
      </c>
      <c r="F18" s="56" t="inlineStr">
        <is>
          <t>Nativa</t>
        </is>
      </c>
      <c r="G18" s="56" t="inlineStr">
        <is>
          <t>Ocasional (1-5%)</t>
        </is>
      </c>
      <c r="H18" s="56" t="n"/>
      <c r="I18" s="56" t="n"/>
    </row>
    <row r="19">
      <c r="A19" s="55" t="inlineStr">
        <is>
          <t>5</t>
        </is>
      </c>
      <c r="B19" s="55" t="inlineStr">
        <is>
          <t>Melastomatáceas</t>
        </is>
      </c>
      <c r="C19" s="55" t="inlineStr">
        <is>
          <t>Melastomataceae (indet.)</t>
        </is>
      </c>
      <c r="D19" s="55" t="inlineStr">
        <is>
          <t>Melastomataceae</t>
        </is>
      </c>
      <c r="E19" s="55" t="inlineStr">
        <is>
          <t>Arbustivo alto (1.5-4 m)</t>
        </is>
      </c>
      <c r="F19" s="55" t="inlineStr">
        <is>
          <t>Nativa</t>
        </is>
      </c>
      <c r="G19" s="55" t="inlineStr">
        <is>
          <t>Frecuente (5-20%)</t>
        </is>
      </c>
      <c r="H19" s="55" t="n"/>
      <c r="I19" s="55" t="n"/>
    </row>
    <row r="20">
      <c r="A20" s="56" t="inlineStr">
        <is>
          <t>6</t>
        </is>
      </c>
      <c r="B20" s="56" t="inlineStr">
        <is>
          <t>Grevilea</t>
        </is>
      </c>
      <c r="C20" s="56" t="inlineStr">
        <is>
          <t>Grevillea robusta</t>
        </is>
      </c>
      <c r="D20" s="56" t="inlineStr">
        <is>
          <t>Proteaceae</t>
        </is>
      </c>
      <c r="E20" s="56" t="inlineStr">
        <is>
          <t>Arbóreo superior (&gt;15 m)</t>
        </is>
      </c>
      <c r="F20" s="56" t="inlineStr">
        <is>
          <t>Introducida</t>
        </is>
      </c>
      <c r="G20" s="56" t="inlineStr">
        <is>
          <t>Ocasional (1-5%)</t>
        </is>
      </c>
      <c r="H20" s="56" t="n"/>
      <c r="I20" s="56" t="n"/>
    </row>
    <row r="21">
      <c r="A21" s="55" t="inlineStr">
        <is>
          <t>7</t>
        </is>
      </c>
      <c r="B21" s="55" t="inlineStr">
        <is>
          <t>Bromeliáceas</t>
        </is>
      </c>
      <c r="C21" s="55" t="inlineStr">
        <is>
          <t>Bromeliaceae (indet.)</t>
        </is>
      </c>
      <c r="D21" s="55" t="inlineStr">
        <is>
          <t>Bromeliaceae</t>
        </is>
      </c>
      <c r="E21" s="55" t="inlineStr">
        <is>
          <t>Epífito</t>
        </is>
      </c>
      <c r="F21" s="55" t="inlineStr">
        <is>
          <t>Nativa</t>
        </is>
      </c>
      <c r="G21" s="55" t="inlineStr">
        <is>
          <t>Ocasional (1-5%)</t>
        </is>
      </c>
      <c r="H21" s="55" t="n"/>
      <c r="I21" s="55" t="n"/>
    </row>
    <row r="22">
      <c r="A22" s="56" t="inlineStr">
        <is>
          <t>8</t>
        </is>
      </c>
      <c r="B22" s="56" t="inlineStr">
        <is>
          <t>Agave / penca</t>
        </is>
      </c>
      <c r="C22" s="56" t="inlineStr">
        <is>
          <t>Agave americana</t>
        </is>
      </c>
      <c r="D22" s="56" t="inlineStr">
        <is>
          <t>Asparagaceae</t>
        </is>
      </c>
      <c r="E22" s="56" t="inlineStr">
        <is>
          <t>Arbustivo alto (1.5-4 m)</t>
        </is>
      </c>
      <c r="F22" s="56" t="inlineStr">
        <is>
          <t>Introducida</t>
        </is>
      </c>
      <c r="G22" s="56" t="inlineStr">
        <is>
          <t>Rara (&lt;1%)</t>
        </is>
      </c>
      <c r="H22" s="56" t="n"/>
      <c r="I22" s="56" t="n"/>
    </row>
    <row r="23">
      <c r="A23" s="55" t="inlineStr">
        <is>
          <t>9</t>
        </is>
      </c>
      <c r="B23" s="55" t="inlineStr">
        <is>
          <t>Helechos</t>
        </is>
      </c>
      <c r="C23" s="55" t="inlineStr">
        <is>
          <t>Pteridophyta (indet.)</t>
        </is>
      </c>
      <c r="D23" s="55" t="inlineStr">
        <is>
          <t>Varias</t>
        </is>
      </c>
      <c r="E23" s="55" t="inlineStr">
        <is>
          <t>Herbáceo (&lt;0.5 m)</t>
        </is>
      </c>
      <c r="F23" s="55" t="inlineStr">
        <is>
          <t>Nativa</t>
        </is>
      </c>
      <c r="G23" s="55" t="inlineStr">
        <is>
          <t>Frecuente (5-20%)</t>
        </is>
      </c>
      <c r="H23" s="55" t="n"/>
      <c r="I23" s="55" t="n"/>
    </row>
    <row r="24">
      <c r="A24" s="56" t="inlineStr">
        <is>
          <t>10</t>
        </is>
      </c>
      <c r="B24" s="56" t="inlineStr">
        <is>
          <t>Malváceas</t>
        </is>
      </c>
      <c r="C24" s="56" t="inlineStr">
        <is>
          <t>Malvaceae (indet.)</t>
        </is>
      </c>
      <c r="D24" s="56" t="inlineStr">
        <is>
          <t>Malvaceae</t>
        </is>
      </c>
      <c r="E24" s="56" t="inlineStr">
        <is>
          <t>Arbustivo bajo (0.5-1.5 m)</t>
        </is>
      </c>
      <c r="F24" s="56" t="inlineStr">
        <is>
          <t>Nativa</t>
        </is>
      </c>
      <c r="G24" s="56" t="inlineStr">
        <is>
          <t>Ocasional (1-5%)</t>
        </is>
      </c>
      <c r="H24" s="56" t="n"/>
      <c r="I24" s="56" t="n"/>
    </row>
    <row r="25">
      <c r="A25" s="55" t="inlineStr">
        <is>
          <t>11</t>
        </is>
      </c>
      <c r="B25" s="55" t="inlineStr">
        <is>
          <t>Urticáceas (ortiga)</t>
        </is>
      </c>
      <c r="C25" s="55" t="inlineStr">
        <is>
          <t>Urticaceae (indet.)</t>
        </is>
      </c>
      <c r="D25" s="55" t="inlineStr">
        <is>
          <t>Urticaceae</t>
        </is>
      </c>
      <c r="E25" s="55" t="inlineStr">
        <is>
          <t>Arbustivo bajo (0.5-1.5 m)</t>
        </is>
      </c>
      <c r="F25" s="55" t="inlineStr">
        <is>
          <t>Nativa</t>
        </is>
      </c>
      <c r="G25" s="55" t="inlineStr">
        <is>
          <t>Ocasional (1-5%)</t>
        </is>
      </c>
      <c r="H25" s="55" t="n"/>
      <c r="I25" s="55" t="n"/>
    </row>
    <row r="26">
      <c r="A26" s="56" t="inlineStr">
        <is>
          <t>12</t>
        </is>
      </c>
      <c r="B26" s="56" t="inlineStr">
        <is>
          <t>Higuerilla</t>
        </is>
      </c>
      <c r="C26" s="56" t="inlineStr">
        <is>
          <t>Ricinus communis</t>
        </is>
      </c>
      <c r="D26" s="56" t="inlineStr">
        <is>
          <t>Euphorbiaceae</t>
        </is>
      </c>
      <c r="E26" s="56" t="inlineStr">
        <is>
          <t>Arbustivo alto (1.5-4 m)</t>
        </is>
      </c>
      <c r="F26" s="56" t="inlineStr">
        <is>
          <t>Introducida</t>
        </is>
      </c>
      <c r="G26" s="56" t="inlineStr">
        <is>
          <t>Rara (&lt;1%)</t>
        </is>
      </c>
      <c r="H26" s="56" t="n"/>
      <c r="I26" s="56" t="n"/>
    </row>
    <row r="27">
      <c r="A27" s="55" t="inlineStr">
        <is>
          <t>13</t>
        </is>
      </c>
      <c r="B27" s="55" t="inlineStr">
        <is>
          <t>Pastos cultivados</t>
        </is>
      </c>
      <c r="C27" s="55" t="inlineStr">
        <is>
          <t>Poaceae (indet.)</t>
        </is>
      </c>
      <c r="D27" s="55" t="inlineStr">
        <is>
          <t>Poaceae</t>
        </is>
      </c>
      <c r="E27" s="55" t="inlineStr">
        <is>
          <t>Herbáceo (&lt;0.5 m)</t>
        </is>
      </c>
      <c r="F27" s="55" t="inlineStr">
        <is>
          <t>Introducida</t>
        </is>
      </c>
      <c r="G27" s="55" t="inlineStr">
        <is>
          <t>Dominante (&gt;40%)</t>
        </is>
      </c>
      <c r="H27" s="55" t="n"/>
      <c r="I27" s="55" t="n"/>
    </row>
    <row r="28">
      <c r="A28" s="56" t="inlineStr">
        <is>
          <t>14</t>
        </is>
      </c>
      <c r="B28" s="56" t="inlineStr">
        <is>
          <t>Café</t>
        </is>
      </c>
      <c r="C28" s="56" t="inlineStr">
        <is>
          <t>Coffea arabica</t>
        </is>
      </c>
      <c r="D28" s="56" t="inlineStr">
        <is>
          <t>Rubiaceae</t>
        </is>
      </c>
      <c r="E28" s="56" t="inlineStr">
        <is>
          <t>Arbustivo alto (1.5-4 m)</t>
        </is>
      </c>
      <c r="F28" s="56" t="inlineStr">
        <is>
          <t>Introducida</t>
        </is>
      </c>
      <c r="G28" s="56" t="inlineStr">
        <is>
          <t>Frecuente (5-20%)</t>
        </is>
      </c>
      <c r="H28" s="56" t="n"/>
      <c r="I28" s="56" t="n"/>
    </row>
    <row r="29">
      <c r="A29" s="55" t="inlineStr">
        <is>
          <t>15</t>
        </is>
      </c>
      <c r="B29" s="55" t="inlineStr">
        <is>
          <t>Plátano</t>
        </is>
      </c>
      <c r="C29" s="55" t="inlineStr">
        <is>
          <t>Musa × paradisiaca</t>
        </is>
      </c>
      <c r="D29" s="55" t="inlineStr">
        <is>
          <t>Musaceae</t>
        </is>
      </c>
      <c r="E29" s="55" t="inlineStr">
        <is>
          <t>Arbóreo bajo (4-8 m)</t>
        </is>
      </c>
      <c r="F29" s="55" t="inlineStr">
        <is>
          <t>Introducida</t>
        </is>
      </c>
      <c r="G29" s="55" t="inlineStr">
        <is>
          <t>Ocasional (1-5%)</t>
        </is>
      </c>
      <c r="H29" s="55" t="n"/>
      <c r="I29" s="55" t="n"/>
    </row>
    <row r="31">
      <c r="A31" s="53" t="inlineStr">
        <is>
          <t>F-DT-03 · ESPECIES CLAVE GEORREFERENCIADAS</t>
        </is>
      </c>
    </row>
    <row r="32">
      <c r="A32" s="54" t="inlineStr">
        <is>
          <t>N.o</t>
        </is>
      </c>
      <c r="B32" s="54" t="inlineStr">
        <is>
          <t>Especie</t>
        </is>
      </c>
      <c r="C32" s="54" t="inlineStr">
        <is>
          <t>Categoría</t>
        </is>
      </c>
      <c r="D32" s="54" t="inlineStr">
        <is>
          <t>Estado UICN</t>
        </is>
      </c>
      <c r="E32" s="54" t="inlineStr">
        <is>
          <t>UTM ESTE</t>
        </is>
      </c>
      <c r="F32" s="54" t="inlineStr">
        <is>
          <t>UTM NORTE</t>
        </is>
      </c>
      <c r="G32" s="54" t="inlineStr">
        <is>
          <t>N.° individuos</t>
        </is>
      </c>
      <c r="H32" s="54" t="inlineStr">
        <is>
          <t>Observación</t>
        </is>
      </c>
    </row>
    <row r="33">
      <c r="A33" s="55" t="inlineStr">
        <is>
          <t>1</t>
        </is>
      </c>
      <c r="B33" s="55" t="inlineStr">
        <is>
          <t>Bromeliaceae (indet.)</t>
        </is>
      </c>
      <c r="C33" s="55" t="inlineStr">
        <is>
          <t>Indicadora de buen estado</t>
        </is>
      </c>
      <c r="D33" s="55" t="inlineStr">
        <is>
          <t>NE — No Evaluado</t>
        </is>
      </c>
      <c r="E33" s="55" t="n"/>
      <c r="F33" s="55" t="n"/>
      <c r="G33" s="55" t="n"/>
      <c r="H33" s="55" t="inlineStr">
        <is>
          <t>Epifitismo: humedad atmosférica persistente por neblina</t>
        </is>
      </c>
    </row>
    <row r="34">
      <c r="A34" s="56" t="inlineStr">
        <is>
          <t>2</t>
        </is>
      </c>
      <c r="B34" s="56" t="inlineStr">
        <is>
          <t>Pteridophyta (indet.)</t>
        </is>
      </c>
      <c r="C34" s="56" t="inlineStr">
        <is>
          <t>Indicadora de buen estado</t>
        </is>
      </c>
      <c r="D34" s="56" t="inlineStr">
        <is>
          <t>NE — No Evaluado</t>
        </is>
      </c>
      <c r="E34" s="56" t="n"/>
      <c r="F34" s="56" t="n"/>
      <c r="G34" s="56" t="n"/>
      <c r="H34" s="56" t="inlineStr">
        <is>
          <t>Humedad edáfica y sombra de dosel</t>
        </is>
      </c>
    </row>
    <row r="35">
      <c r="A35" s="55" t="inlineStr">
        <is>
          <t>3</t>
        </is>
      </c>
      <c r="B35" s="55" t="inlineStr">
        <is>
          <t>Melastomataceae (indet.)</t>
        </is>
      </c>
      <c r="C35" s="55" t="inlineStr">
        <is>
          <t>Indicadora de buen estado</t>
        </is>
      </c>
      <c r="D35" s="55" t="inlineStr">
        <is>
          <t>NE — No Evaluado</t>
        </is>
      </c>
      <c r="E35" s="55" t="n"/>
      <c r="F35" s="55" t="n"/>
      <c r="G35" s="55" t="n"/>
      <c r="H35" s="55" t="inlineStr">
        <is>
          <t>Familia característica de matorral andino húmedo</t>
        </is>
      </c>
    </row>
    <row r="36">
      <c r="A36" s="56" t="inlineStr">
        <is>
          <t>4</t>
        </is>
      </c>
      <c r="B36" s="56" t="inlineStr">
        <is>
          <t>Ficus sp. (Higuerón)</t>
        </is>
      </c>
      <c r="C36" s="56" t="inlineStr">
        <is>
          <t>Indicadora de buen estado</t>
        </is>
      </c>
      <c r="D36" s="56" t="inlineStr">
        <is>
          <t>NE — No Evaluado</t>
        </is>
      </c>
      <c r="E36" s="56" t="n"/>
      <c r="F36" s="56" t="n"/>
      <c r="G36" s="56" t="n"/>
      <c r="H36" s="56" t="inlineStr">
        <is>
          <t>Emergente nativo; recurso clave de fauna</t>
        </is>
      </c>
    </row>
    <row r="37">
      <c r="A37" s="55" t="inlineStr">
        <is>
          <t>5</t>
        </is>
      </c>
      <c r="B37" s="55" t="inlineStr">
        <is>
          <t>Inga sp. (Pacae)</t>
        </is>
      </c>
      <c r="C37" s="55" t="inlineStr">
        <is>
          <t>Indicadora de buen estado</t>
        </is>
      </c>
      <c r="D37" s="55" t="inlineStr">
        <is>
          <t>NE — No Evaluado</t>
        </is>
      </c>
      <c r="E37" s="55" t="n"/>
      <c r="F37" s="55" t="n"/>
      <c r="G37" s="55" t="n"/>
      <c r="H37" s="55" t="inlineStr">
        <is>
          <t>Nativa fijadora de N; sombra de café</t>
        </is>
      </c>
    </row>
    <row r="38">
      <c r="A38" s="56" t="inlineStr">
        <is>
          <t>6</t>
        </is>
      </c>
      <c r="B38" s="56" t="inlineStr">
        <is>
          <t>Guadua sp. (Bambú)</t>
        </is>
      </c>
      <c r="C38" s="56" t="inlineStr">
        <is>
          <t>Indicadora de buen estado</t>
        </is>
      </c>
      <c r="D38" s="56" t="inlineStr">
        <is>
          <t>NE — No Evaluado</t>
        </is>
      </c>
      <c r="E38" s="56" t="n"/>
      <c r="F38" s="56" t="n"/>
      <c r="G38" s="56" t="n"/>
      <c r="H38" s="56" t="inlineStr">
        <is>
          <t>Asociada a quebradas; estabiliza márgenes</t>
        </is>
      </c>
    </row>
    <row r="39">
      <c r="A39" s="55" t="inlineStr">
        <is>
          <t>7</t>
        </is>
      </c>
      <c r="B39" s="55" t="inlineStr">
        <is>
          <t>Passiflora sp.</t>
        </is>
      </c>
      <c r="C39" s="55" t="inlineStr">
        <is>
          <t>Indicadora de buen estado</t>
        </is>
      </c>
      <c r="D39" s="55" t="inlineStr">
        <is>
          <t>NE — No Evaluado</t>
        </is>
      </c>
      <c r="E39" s="55" t="n"/>
      <c r="F39" s="55" t="n"/>
      <c r="G39" s="55" t="n"/>
      <c r="H39" s="55" t="inlineStr">
        <is>
          <t>Trepador nativo del sotobosque</t>
        </is>
      </c>
    </row>
    <row r="40">
      <c r="A40" s="56" t="inlineStr">
        <is>
          <t>8</t>
        </is>
      </c>
      <c r="B40" s="56" t="inlineStr">
        <is>
          <t>Grevillea robusta</t>
        </is>
      </c>
      <c r="C40" s="56" t="inlineStr">
        <is>
          <t>Indicadora de perturbación</t>
        </is>
      </c>
      <c r="D40" s="56" t="inlineStr">
        <is>
          <t>No aplica</t>
        </is>
      </c>
      <c r="E40" s="56" t="n"/>
      <c r="F40" s="56" t="n"/>
      <c r="G40" s="56" t="n"/>
      <c r="H40" s="56" t="inlineStr">
        <is>
          <t>Introducida; linderos y cercos</t>
        </is>
      </c>
    </row>
    <row r="41">
      <c r="A41" s="55" t="inlineStr">
        <is>
          <t>9</t>
        </is>
      </c>
      <c r="B41" s="55" t="inlineStr">
        <is>
          <t>Agave americana</t>
        </is>
      </c>
      <c r="C41" s="55" t="inlineStr">
        <is>
          <t>Indicadora de perturbación</t>
        </is>
      </c>
      <c r="D41" s="55" t="inlineStr">
        <is>
          <t>No aplica</t>
        </is>
      </c>
      <c r="E41" s="55" t="n"/>
      <c r="F41" s="55" t="n"/>
      <c r="G41" s="55" t="n"/>
      <c r="H41" s="55" t="inlineStr">
        <is>
          <t>Introducida; cercos y taludes</t>
        </is>
      </c>
    </row>
    <row r="42">
      <c r="A42" s="56" t="inlineStr">
        <is>
          <t>10</t>
        </is>
      </c>
      <c r="B42" s="56" t="inlineStr">
        <is>
          <t>Ricinus communis (Higuerilla)</t>
        </is>
      </c>
      <c r="C42" s="56" t="inlineStr">
        <is>
          <t>Indicadora de perturbación</t>
        </is>
      </c>
      <c r="D42" s="56" t="inlineStr">
        <is>
          <t>No aplica</t>
        </is>
      </c>
      <c r="E42" s="56" t="n"/>
      <c r="F42" s="56" t="n"/>
      <c r="G42" s="56" t="n"/>
      <c r="H42" s="56" t="inlineStr">
        <is>
          <t>Ruderal; bordes de trocha y suelo removido</t>
        </is>
      </c>
    </row>
    <row r="44">
      <c r="A44" s="53" t="inlineStr">
        <is>
          <t>F-DT-04 · MATRIZ DE CAUSAS DE DEGRADACIÓN</t>
        </is>
      </c>
    </row>
    <row r="45">
      <c r="A45" s="54" t="inlineStr">
        <is>
          <t>N.o</t>
        </is>
      </c>
      <c r="B45" s="54" t="inlineStr">
        <is>
          <t>Causa</t>
        </is>
      </c>
      <c r="C45" s="54" t="inlineStr">
        <is>
          <t>Presencia</t>
        </is>
      </c>
      <c r="D45" s="54" t="inlineStr">
        <is>
          <t>Intensidad</t>
        </is>
      </c>
      <c r="E45" s="54" t="inlineStr">
        <is>
          <t>Extensión</t>
        </is>
      </c>
      <c r="F45" s="54" t="inlineStr">
        <is>
          <t>Antigüedad</t>
        </is>
      </c>
      <c r="G45" s="54" t="inlineStr">
        <is>
          <t>Evidencia</t>
        </is>
      </c>
    </row>
    <row r="46">
      <c r="A46" s="55" t="inlineStr">
        <is>
          <t>1</t>
        </is>
      </c>
      <c r="B46" s="55" t="inlineStr">
        <is>
          <t>Sobrepastoreo (caprino/vacuno)</t>
        </is>
      </c>
      <c r="C46" s="55" t="inlineStr">
        <is>
          <t>Sí</t>
        </is>
      </c>
      <c r="D46" s="55" t="inlineStr">
        <is>
          <t>Moderada</t>
        </is>
      </c>
      <c r="E46" s="55" t="inlineStr"/>
      <c r="F46" s="55" t="inlineStr"/>
      <c r="G46" s="55" t="inlineStr">
        <is>
          <t>Pastizal cultivado con cercos de alambre y de madera; compactación y sendas de pisoteo; macollas ramoneadas (F-03, F-05, F-07, F-10)</t>
        </is>
      </c>
    </row>
    <row r="47">
      <c r="A47" s="56" t="inlineStr">
        <is>
          <t>2</t>
        </is>
      </c>
      <c r="B47" s="56" t="inlineStr">
        <is>
          <t>Tala para leña</t>
        </is>
      </c>
      <c r="C47" s="56" t="inlineStr"/>
      <c r="D47" s="56" t="inlineStr"/>
      <c r="E47" s="56" t="inlineStr"/>
      <c r="F47" s="56" t="inlineStr"/>
      <c r="G47" s="56" t="inlineStr">
        <is>
          <t>No se registró extracción de leña durante el recorrido perimetral — POR VERIFICAR en recorrido interno</t>
        </is>
      </c>
    </row>
    <row r="48">
      <c r="A48" s="55" t="inlineStr">
        <is>
          <t>3</t>
        </is>
      </c>
      <c r="B48" s="55" t="inlineStr">
        <is>
          <t>Tala para carbón</t>
        </is>
      </c>
      <c r="C48" s="55" t="inlineStr"/>
      <c r="D48" s="55" t="inlineStr"/>
      <c r="E48" s="55" t="inlineStr"/>
      <c r="F48" s="55" t="inlineStr"/>
      <c r="G48" s="55" t="inlineStr"/>
    </row>
    <row r="49">
      <c r="A49" s="56" t="inlineStr">
        <is>
          <t>4</t>
        </is>
      </c>
      <c r="B49" s="56" t="inlineStr">
        <is>
          <t>Tala para madera</t>
        </is>
      </c>
      <c r="C49" s="56" t="inlineStr"/>
      <c r="D49" s="56" t="inlineStr"/>
      <c r="E49" s="56" t="inlineStr"/>
      <c r="F49" s="56" t="inlineStr"/>
      <c r="G49" s="56" t="inlineStr">
        <is>
          <t>No observada — POR VERIFICAR</t>
        </is>
      </c>
    </row>
    <row r="50">
      <c r="A50" s="55" t="inlineStr">
        <is>
          <t>5</t>
        </is>
      </c>
      <c r="B50" s="55" t="inlineStr">
        <is>
          <t>Quema (renovación de pastos)</t>
        </is>
      </c>
      <c r="C50" s="55" t="inlineStr"/>
      <c r="D50" s="55" t="inlineStr"/>
      <c r="E50" s="55" t="inlineStr"/>
      <c r="F50" s="55" t="inlineStr"/>
      <c r="G50" s="55" t="inlineStr">
        <is>
          <t>No se observaron cicatrices de quema reciente desde el perímetro — POR VERIFICAR con serie Sentinel-2</t>
        </is>
      </c>
    </row>
    <row r="51">
      <c r="A51" s="56" t="inlineStr">
        <is>
          <t>6</t>
        </is>
      </c>
      <c r="B51" s="56" t="inlineStr">
        <is>
          <t>Quema accidental / Incendio</t>
        </is>
      </c>
      <c r="C51" s="56" t="inlineStr"/>
      <c r="D51" s="56" t="inlineStr"/>
      <c r="E51" s="56" t="inlineStr"/>
      <c r="F51" s="56" t="inlineStr"/>
      <c r="G51" s="56" t="inlineStr"/>
    </row>
    <row r="52">
      <c r="A52" s="55" t="inlineStr">
        <is>
          <t>7</t>
        </is>
      </c>
      <c r="B52" s="55" t="inlineStr">
        <is>
          <t>Cambio de uso a agricultura</t>
        </is>
      </c>
      <c r="C52" s="55" t="inlineStr">
        <is>
          <t>Sí</t>
        </is>
      </c>
      <c r="D52" s="55" t="inlineStr">
        <is>
          <t>Moderada</t>
        </is>
      </c>
      <c r="E52" s="55" t="inlineStr"/>
      <c r="F52" s="55" t="inlineStr"/>
      <c r="G52" s="55" t="inlineStr">
        <is>
          <t>Parcelas de café, plátano y frutales en el sector bajo; catálogo MINAM: 39,69 ha de Zona agrícola (89,8 % del bloque)</t>
        </is>
      </c>
    </row>
    <row r="53">
      <c r="A53" s="56" t="inlineStr">
        <is>
          <t>8</t>
        </is>
      </c>
      <c r="B53" s="56" t="inlineStr">
        <is>
          <t>Cambio de uso a pastoreo</t>
        </is>
      </c>
      <c r="C53" s="56" t="inlineStr">
        <is>
          <t>Sí</t>
        </is>
      </c>
      <c r="D53" s="56" t="inlineStr">
        <is>
          <t>Fuerte</t>
        </is>
      </c>
      <c r="E53" s="56" t="inlineStr"/>
      <c r="F53" s="56" t="inlineStr"/>
      <c r="G53" s="56" t="inlineStr">
        <is>
          <t>Pastos cultivados dominantes en las laderas de menor inclinación; conversión consolidada, no reciente (F-03, F-07, F-10)</t>
        </is>
      </c>
    </row>
    <row r="54">
      <c r="A54" s="55" t="inlineStr">
        <is>
          <t>9</t>
        </is>
      </c>
      <c r="B54" s="55" t="inlineStr">
        <is>
          <t>Expansión urbana / vial</t>
        </is>
      </c>
      <c r="C54" s="55" t="inlineStr">
        <is>
          <t>Sí</t>
        </is>
      </c>
      <c r="D54" s="55" t="inlineStr">
        <is>
          <t>Ligera</t>
        </is>
      </c>
      <c r="E54" s="55" t="inlineStr"/>
      <c r="F54" s="55" t="inlineStr"/>
      <c r="G54" s="55" t="inlineStr">
        <is>
          <t>Trocha carrozable que bordea el flanco SE con taludes de corte sin tratamiento y surcos profundos en la huella de rodadura (F-01)</t>
        </is>
      </c>
    </row>
    <row r="55">
      <c r="A55" s="56" t="inlineStr">
        <is>
          <t>10</t>
        </is>
      </c>
      <c r="B55" s="56" t="inlineStr">
        <is>
          <t>Minería informal</t>
        </is>
      </c>
      <c r="C55" s="56" t="inlineStr"/>
      <c r="D55" s="56" t="inlineStr"/>
      <c r="E55" s="56" t="inlineStr"/>
      <c r="F55" s="56" t="inlineStr"/>
      <c r="G55" s="56" t="inlineStr"/>
    </row>
    <row r="56">
      <c r="A56" s="55" t="inlineStr">
        <is>
          <t>11</t>
        </is>
      </c>
      <c r="B56" s="55" t="inlineStr">
        <is>
          <t>Extracción de áridos (cauces)</t>
        </is>
      </c>
      <c r="C56" s="55" t="inlineStr"/>
      <c r="D56" s="55" t="inlineStr"/>
      <c r="E56" s="55" t="inlineStr"/>
      <c r="F56" s="55" t="inlineStr"/>
      <c r="G56" s="55" t="inlineStr"/>
    </row>
    <row r="57">
      <c r="A57" s="56" t="inlineStr">
        <is>
          <t>12</t>
        </is>
      </c>
      <c r="B57" s="56" t="inlineStr">
        <is>
          <t>Especies invasoras</t>
        </is>
      </c>
      <c r="C57" s="56" t="inlineStr">
        <is>
          <t>Sí</t>
        </is>
      </c>
      <c r="D57" s="56" t="inlineStr">
        <is>
          <t>Ligera</t>
        </is>
      </c>
      <c r="E57" s="56" t="inlineStr"/>
      <c r="F57" s="56" t="inlineStr"/>
      <c r="G57" s="56" t="inlineStr">
        <is>
          <t>Grevillea robusta, Agave americana, Ricinus communis y pastos introducidos en cercos, taludes y bordes</t>
        </is>
      </c>
    </row>
    <row r="58">
      <c r="A58" s="55" t="inlineStr">
        <is>
          <t>13</t>
        </is>
      </c>
      <c r="B58" s="55" t="inlineStr">
        <is>
          <t>Erosión natural severa</t>
        </is>
      </c>
      <c r="C58" s="55" t="inlineStr">
        <is>
          <t>Sí</t>
        </is>
      </c>
      <c r="D58" s="55" t="inlineStr">
        <is>
          <t>Moderada</t>
        </is>
      </c>
      <c r="E58" s="55" t="inlineStr"/>
      <c r="F58" s="55" t="inlineStr"/>
      <c r="G58" s="55" t="inlineStr">
        <is>
          <t>Socavamiento activo de márgenes en la quebrada del flanco SE, con arrastre de bloques y material leñoso (R-03)</t>
        </is>
      </c>
    </row>
    <row r="59">
      <c r="A59" s="56" t="inlineStr">
        <is>
          <t>14</t>
        </is>
      </c>
      <c r="B59" s="56" t="inlineStr">
        <is>
          <t>Sequía prolongada / CC</t>
        </is>
      </c>
      <c r="C59" s="56" t="inlineStr"/>
      <c r="D59" s="56" t="inlineStr"/>
      <c r="E59" s="56" t="inlineStr"/>
      <c r="F59" s="56" t="inlineStr"/>
      <c r="G59" s="56" t="inlineStr"/>
    </row>
    <row r="60">
      <c r="A60" s="55" t="inlineStr">
        <is>
          <t>15</t>
        </is>
      </c>
      <c r="B60" s="55" t="inlineStr">
        <is>
          <t>Plagas o enfermedades forestales</t>
        </is>
      </c>
      <c r="C60" s="55" t="inlineStr"/>
      <c r="D60" s="55" t="inlineStr"/>
      <c r="E60" s="55" t="inlineStr"/>
      <c r="F60" s="55" t="inlineStr"/>
      <c r="G60" s="55" t="inlineStr"/>
    </row>
    <row r="61">
      <c r="A61" s="56" t="inlineStr">
        <is>
          <t>16</t>
        </is>
      </c>
      <c r="B61" s="56" t="inlineStr">
        <is>
          <t>Otro</t>
        </is>
      </c>
      <c r="C61" s="56" t="inlineStr"/>
      <c r="D61" s="56" t="inlineStr"/>
      <c r="E61" s="56" t="inlineStr"/>
      <c r="F61" s="56" t="inlineStr"/>
      <c r="G61" s="56" t="inlineStr"/>
    </row>
    <row r="63">
      <c r="A63" s="53" t="inlineStr">
        <is>
          <t>F-DT-04 · INDICADORES CUANTITATIVOS</t>
        </is>
      </c>
    </row>
    <row r="64">
      <c r="A64" s="54" t="inlineStr">
        <is>
          <t>N.o</t>
        </is>
      </c>
      <c r="B64" s="54" t="inlineStr">
        <is>
          <t>Indicador</t>
        </is>
      </c>
      <c r="C64" s="54" t="inlineStr">
        <is>
          <t>Unidad</t>
        </is>
      </c>
      <c r="D64" s="54" t="inlineStr">
        <is>
          <t>Valor</t>
        </is>
      </c>
      <c r="E64" s="54" t="inlineStr">
        <is>
          <t>Fuente</t>
        </is>
      </c>
      <c r="F64" s="54" t="inlineStr">
        <is>
          <t>Umbral</t>
        </is>
      </c>
      <c r="G64" s="54" t="inlineStr">
        <is>
          <t>Nivel</t>
        </is>
      </c>
    </row>
    <row r="65">
      <c r="A65" s="55" t="inlineStr">
        <is>
          <t>1</t>
        </is>
      </c>
      <c r="B65" s="55" t="inlineStr">
        <is>
          <t>Cobertura vegetal total</t>
        </is>
      </c>
      <c r="C65" s="55" t="inlineStr">
        <is>
          <t>%</t>
        </is>
      </c>
      <c r="D65" s="55" t="inlineStr">
        <is>
          <t>90</t>
        </is>
      </c>
      <c r="E65" s="55" t="inlineStr">
        <is>
          <t>MSAVI 2024 media 0,6725 + estimación ocular</t>
        </is>
      </c>
      <c r="F65" s="55" t="inlineStr">
        <is>
          <t>&gt;60% bueno; 30-60% medio; &lt;30% malo</t>
        </is>
      </c>
      <c r="G65" s="55" t="inlineStr">
        <is>
          <t>Alto</t>
        </is>
      </c>
    </row>
    <row r="66">
      <c r="A66" s="56" t="inlineStr">
        <is>
          <t>2</t>
        </is>
      </c>
      <c r="B66" s="56" t="inlineStr">
        <is>
          <t>Porcentaje de suelo desnudo</t>
        </is>
      </c>
      <c r="C66" s="56" t="inlineStr">
        <is>
          <t>%</t>
        </is>
      </c>
      <c r="D66" s="56" t="inlineStr">
        <is>
          <t>8</t>
        </is>
      </c>
      <c r="E66" s="56" t="inlineStr">
        <is>
          <t>Estimación ocular de campo (bordes, cercos y huella vial)</t>
        </is>
      </c>
      <c r="F66" s="56" t="inlineStr">
        <is>
          <t>&lt;10% bueno; 10-30% medio; &gt;30% malo</t>
        </is>
      </c>
      <c r="G66" s="56" t="inlineStr">
        <is>
          <t>Bajo</t>
        </is>
      </c>
    </row>
    <row r="67">
      <c r="A67" s="55" t="inlineStr">
        <is>
          <t>3</t>
        </is>
      </c>
      <c r="B67" s="55" t="inlineStr">
        <is>
          <t>Densidad de cárcavas</t>
        </is>
      </c>
      <c r="C67" s="55" t="inlineStr">
        <is>
          <t>N°/ha</t>
        </is>
      </c>
      <c r="D67" s="55" t="inlineStr">
        <is>
          <t>Por determinar</t>
        </is>
      </c>
      <c r="E67" s="55" t="inlineStr">
        <is>
          <t>Requiere inventario instrumental</t>
        </is>
      </c>
      <c r="F67" s="55" t="inlineStr">
        <is>
          <t>0 nulo; 1-3 medio; &gt;3 alto</t>
        </is>
      </c>
      <c r="G67" s="55" t="inlineStr"/>
    </row>
    <row r="68">
      <c r="A68" s="56" t="inlineStr">
        <is>
          <t>4</t>
        </is>
      </c>
      <c r="B68" s="56" t="inlineStr">
        <is>
          <t>Presencia de especies invasoras</t>
        </is>
      </c>
      <c r="C68" s="56" t="inlineStr">
        <is>
          <t>% área</t>
        </is>
      </c>
      <c r="D68" s="56" t="inlineStr">
        <is>
          <t>Por determinar</t>
        </is>
      </c>
      <c r="E68" s="56" t="inlineStr">
        <is>
          <t>Requiere cuantificación en parcela</t>
        </is>
      </c>
      <c r="F68" s="56" t="inlineStr">
        <is>
          <t>&lt;5% bueno; 5-20% medio; &gt;20% alto</t>
        </is>
      </c>
      <c r="G68" s="56" t="inlineStr"/>
    </row>
    <row r="69">
      <c r="A69" s="55" t="inlineStr">
        <is>
          <t>5</t>
        </is>
      </c>
      <c r="B69" s="55" t="inlineStr">
        <is>
          <t>Carga ganadera estimada</t>
        </is>
      </c>
      <c r="C69" s="55" t="inlineStr">
        <is>
          <t>UA/ha</t>
        </is>
      </c>
      <c r="D69" s="55" t="inlineStr">
        <is>
          <t>Por determinar</t>
        </is>
      </c>
      <c r="E69" s="55" t="inlineStr">
        <is>
          <t>Requiere censo ganadero / entrevista a titulares</t>
        </is>
      </c>
      <c r="F69" s="55" t="inlineStr">
        <is>
          <t>Según tipo de ecosistema</t>
        </is>
      </c>
      <c r="G69" s="55" t="inlineStr"/>
    </row>
    <row r="70">
      <c r="A70" s="56" t="inlineStr">
        <is>
          <t>6</t>
        </is>
      </c>
      <c r="B70" s="56" t="inlineStr">
        <is>
          <t>Frecuencia de quemas últimos 5 años</t>
        </is>
      </c>
      <c r="C70" s="56" t="inlineStr">
        <is>
          <t>N°</t>
        </is>
      </c>
      <c r="D70" s="56" t="inlineStr">
        <is>
          <t>Por determinar</t>
        </is>
      </c>
      <c r="E70" s="56" t="inlineStr">
        <is>
          <t>Requiere consulta comunal y serie de cicatrices Sentinel-2</t>
        </is>
      </c>
      <c r="F70" s="56" t="inlineStr">
        <is>
          <t>0 nulo; 1-2 medio; &gt;2 alto</t>
        </is>
      </c>
      <c r="G70" s="56" t="inlineStr"/>
    </row>
    <row r="71">
      <c r="A71" s="55" t="inlineStr">
        <is>
          <t>7</t>
        </is>
      </c>
      <c r="B71" s="55" t="inlineStr">
        <is>
          <t>% área con pendiente &gt;50%</t>
        </is>
      </c>
      <c r="C71" s="55" t="inlineStr">
        <is>
          <t>%</t>
        </is>
      </c>
      <c r="D71" s="55" t="inlineStr">
        <is>
          <t>Por determinar</t>
        </is>
      </c>
      <c r="E71" s="55" t="inlineStr">
        <is>
          <t>Requiere estadística zonal del MDE (pend. prom. 24,25 %)</t>
        </is>
      </c>
      <c r="F71" s="55" t="inlineStr">
        <is>
          <t>Factor de susceptibilidad</t>
        </is>
      </c>
      <c r="G71" s="55" t="inlineStr"/>
    </row>
    <row r="72">
      <c r="A72" s="56" t="inlineStr">
        <is>
          <t>8</t>
        </is>
      </c>
      <c r="B72" s="56" t="inlineStr">
        <is>
          <t>Distancia a vía vecinal más cercana</t>
        </is>
      </c>
      <c r="C72" s="56" t="inlineStr">
        <is>
          <t>m</t>
        </is>
      </c>
      <c r="D72" s="56" t="inlineStr">
        <is>
          <t>0</t>
        </is>
      </c>
      <c r="E72" s="56" t="inlineStr">
        <is>
          <t>Trocha carrozable bordea el flanco SE del polígono</t>
        </is>
      </c>
      <c r="F72" s="56" t="inlineStr">
        <is>
          <t>A menor distancia → mayor presión</t>
        </is>
      </c>
      <c r="G72" s="56" t="inlineStr">
        <is>
          <t>Alto</t>
        </is>
      </c>
    </row>
    <row r="74">
      <c r="A74" s="53" t="inlineStr">
        <is>
          <t>F-DT-05 · FUENTES DE AGUA INVENTARIADAS</t>
        </is>
      </c>
    </row>
    <row r="75">
      <c r="A75" s="54" t="inlineStr">
        <is>
          <t>N.o</t>
        </is>
      </c>
      <c r="B75" s="54" t="inlineStr">
        <is>
          <t>Tipo de fuente</t>
        </is>
      </c>
      <c r="C75" s="54" t="inlineStr">
        <is>
          <t>UTM ESTE</t>
        </is>
      </c>
      <c r="D75" s="54" t="inlineStr">
        <is>
          <t>UTM NORTE</t>
        </is>
      </c>
      <c r="E75" s="54" t="inlineStr">
        <is>
          <t>Régimen</t>
        </is>
      </c>
      <c r="F75" s="54" t="inlineStr">
        <is>
          <t>Calidad</t>
        </is>
      </c>
      <c r="G75" s="54" t="inlineStr">
        <is>
          <t>Distancia (m)</t>
        </is>
      </c>
      <c r="H75" s="54" t="inlineStr">
        <is>
          <t>Uso / observación</t>
        </is>
      </c>
    </row>
    <row r="76">
      <c r="A76" s="55" t="inlineStr">
        <is>
          <t>1</t>
        </is>
      </c>
      <c r="B76" s="55" t="inlineStr">
        <is>
          <t>Quebrada permanente</t>
        </is>
      </c>
      <c r="C76" s="60" t="n">
        <v>647201</v>
      </c>
      <c r="D76" s="60" t="n">
        <v>9427237</v>
      </c>
      <c r="E76" s="55" t="inlineStr">
        <is>
          <t>Permanente</t>
        </is>
      </c>
      <c r="F76" s="55" t="inlineStr">
        <is>
          <t>Regular (ligeramente turbia o con sedimentos)</t>
        </is>
      </c>
      <c r="G76" s="62" t="n">
        <v>0</v>
      </c>
      <c r="H76" s="55" t="inlineStr">
        <is>
          <t>Delimita el flanco SE del bloque y constituye el límite con el bloque 50. Caudal presente en plena época seca (08 de julio). Márgenes encajonadas con socavamiento activo. Régimen y calidad por confirmar estacionalmente.</t>
        </is>
      </c>
    </row>
    <row r="79">
      <c r="A79" s="53" t="inlineStr">
        <is>
          <t>OBSERVACIONES DEL EVALUADOR POR FICHA</t>
        </is>
      </c>
    </row>
    <row r="80">
      <c r="A80" s="54" t="inlineStr">
        <is>
          <t>Ficha</t>
        </is>
      </c>
      <c r="B80" s="54" t="inlineStr">
        <is>
          <t>Observación registrada en campo</t>
        </is>
      </c>
    </row>
    <row r="81">
      <c r="A81" s="55" t="inlineStr">
        <is>
          <t>F-DT-01</t>
        </is>
      </c>
      <c r="B81" s="55" t="inlineStr">
        <is>
          <t>VERIFICACIÓN PERIMETRAL. Las 10 estaciones fotográficas del 08-07-2026 se ubican entre 17 y 146 m POR FUERA del polígono del bloque (control geométrico sobre la cartografía MSAVI georreferenciada; ver hoja «Estaciones fotográficas»); el interior no fue recorrido. El punto de muestreo consignado corresponde al CENTROIDE de catálogo (Bloques V4/Centroides V6), no a un punto GPS de campo. ALTITUD GPS NO REGISTRADA por la aplicación de captura: el rango 1 302–1 533 msnm y la pendiente promedio 24,25 % (13,6°) provienen de estadística zonal del MDE (reporte «Rango de altitud y Pendiente Promedio por Bloque»). Escarpes activos: se consignan por los taludes de corte de la trocha y las márgenes encajonadas de la quebrada; reptación y deslizamientos antiguos NO observados desde el perímetro — «No» no equivale a ausencia verificada.</t>
        </is>
      </c>
    </row>
    <row r="82">
      <c r="A82" s="56" t="inlineStr">
        <is>
          <t>F-DT-02</t>
        </is>
      </c>
      <c r="B82" s="56" t="inlineStr">
        <is>
          <t>Registro RÁPIDO y NO EXHAUSTIVO de tres rasgos representativos observados desde el perímetro. Longitud, profundidad y ancho NO fueron medidos instrumentalmente; el N° total (3) es el de rasgos registrados, no el inventario completo del bloque, y no debe usarse para calcular densidad de cárcavas por hectárea. R-03 corresponde al cauce que delimita el flanco SE del bloque y es el mismo rasgo documentado en el Informe DT del Bloque 50 (socavamiento activo de márgenes, raíces expuestas y arrastre de bloques). La erosión efectiva se concentra en tres franjas lineales: huella de rodadura de la trocha, sendas de ganado en el pastizal y márgenes de la quebrada; la matriz de matorral denso no presenta erosión areal apreciable.</t>
        </is>
      </c>
    </row>
    <row r="83">
      <c r="A83" s="55" t="inlineStr">
        <is>
          <t>F-DT-03</t>
        </is>
      </c>
      <c r="B83" s="55" t="inlineStr">
        <is>
          <t>Lista florística PRELIMINAR de reconocimiento perimetral, sin colecta ni determinación botánica formal: los nombres se consignan a nivel de género o familia y las abundancias son estimaciones oculares. NINGUNA especie con categoría de amenaza confirmada bajo el D.S. 043-2006-AG a la fecha. No se instalaron parcelas: DAP, alturas, cobertura de hojarasca y densidad de regeneración quedan por determinar; «Regular» es juicio experto sobre observación de bordes. ADVERTENCIA DE INTERPRETACIÓN: el catálogo MINAM asigna 89,8 % del bloque a «Zona agrícola», clase que en esta cartografía agrupa pastizal cultivado, sistemas agroforestales de café y plátano y purmas; el MSAVI alto (0,6725) NO debe leerse como ecosistema natural conservado. Por ello se consigna «Agroecosistema / Mosaico» como ecosistema dominante y no «Matorral andino».</t>
        </is>
      </c>
    </row>
    <row r="84">
      <c r="A84" s="56" t="inlineStr">
        <is>
          <t>F-DT-04</t>
        </is>
      </c>
      <c r="B84" s="56" t="inlineStr">
        <is>
          <t>Las casillas de PRESENCIA sin marcar corresponden a causas NO OBSERVADAS desde el perímetro; se dejan en blanco deliberadamente porque marcar «No» afirmaría una ausencia verificada que la modalidad de levantamiento no permite sostener. DISTINCIÓN URGENCIA / PRIORIDAD: la urgencia se califica MEDIA porque el proceso de degradación es lento y su estado, estable; la PRIORIDAD de intervención es no obstante ALTA, por ser el bloque de mayor superficie de la microcuenca C1081-Q9590 (29,8 %) y el que concentra la mayor superficie recuperable en términos de uso del suelo.</t>
        </is>
      </c>
    </row>
    <row r="85">
      <c r="A85" s="55" t="inlineStr">
        <is>
          <t>F-DT-05</t>
        </is>
      </c>
      <c r="B85" s="55" t="inlineStr">
        <is>
          <t>Señal celular y operador se consignan «Sin señal» por ausencia de registro en el ámbito durante la visita; requiere confirmación instrumental. Tiempos de viaje desde Tunal (capital distrital) y Huancabamba (capital provincial), alojamiento rural, identificación de la JASS, distancia a la captación poblacional y contacto de la Ronda Campesina NO fueron levantados y quedan pendientes para la siguiente salida, en coordinación con la brigada social.</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38</t>
        </is>
      </c>
    </row>
    <row r="7">
      <c r="A7" s="53" t="inlineStr">
        <is>
          <t>Hechos declarados por fuente</t>
        </is>
      </c>
    </row>
    <row r="8">
      <c r="A8" s="54" t="inlineStr">
        <is>
          <t>Fuente</t>
        </is>
      </c>
      <c r="B8" s="54" t="inlineStr">
        <is>
          <t>Hechos</t>
        </is>
      </c>
    </row>
    <row r="9">
      <c r="A9" s="55" t="inlineStr">
        <is>
          <t>Dato de campo</t>
        </is>
      </c>
      <c r="B9" s="55" t="n">
        <v>63</v>
      </c>
    </row>
    <row r="10">
      <c r="A10" s="56" t="inlineStr">
        <is>
          <t>Gabinete (GIS / teledetección)</t>
        </is>
      </c>
      <c r="B10" s="56" t="n">
        <v>21</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98</v>
      </c>
    </row>
    <row r="29">
      <c r="A29" s="56" t="inlineStr">
        <is>
          <t>COMPLEMENTADO</t>
        </is>
      </c>
      <c r="B29" s="56" t="n">
        <v>0</v>
      </c>
    </row>
    <row r="30">
      <c r="A30" s="55" t="inlineStr">
        <is>
          <t>ACTUALIZADO</t>
        </is>
      </c>
      <c r="B30" s="55" t="n">
        <v>0</v>
      </c>
    </row>
    <row r="31">
      <c r="A31" s="56" t="inlineStr">
        <is>
          <t>DISCREPANTE</t>
        </is>
      </c>
      <c r="B31" s="56" t="n">
        <v>0</v>
      </c>
    </row>
    <row r="32">
      <c r="A32" s="55" t="inlineStr">
        <is>
          <t>PENDIENTE</t>
        </is>
      </c>
      <c r="B32" s="55" t="n">
        <v>16</v>
      </c>
    </row>
    <row r="45">
      <c r="A45" s="53" t="inlineStr">
        <is>
          <t>Cobertura por estrato — campo (%)</t>
        </is>
      </c>
    </row>
    <row r="46">
      <c r="A46" s="54" t="inlineStr">
        <is>
          <t>Estrato</t>
        </is>
      </c>
      <c r="B46" s="54" t="inlineStr">
        <is>
          <t>% del área</t>
        </is>
      </c>
    </row>
    <row r="47">
      <c r="A47" s="55" t="inlineStr">
        <is>
          <t>Dosel</t>
        </is>
      </c>
      <c r="B47" s="60" t="n">
        <v>25</v>
      </c>
    </row>
    <row r="48">
      <c r="A48" s="56" t="inlineStr">
        <is>
          <t>Arbustiva</t>
        </is>
      </c>
      <c r="B48" s="61" t="n">
        <v>35</v>
      </c>
    </row>
    <row r="49">
      <c r="A49" s="55" t="inlineStr">
        <is>
          <t>Herbácea</t>
        </is>
      </c>
      <c r="B49" s="60" t="n">
        <v>45</v>
      </c>
    </row>
    <row r="50">
      <c r="A50" s="56" t="inlineStr">
        <is>
          <t>Suelo desnudo</t>
        </is>
      </c>
      <c r="B50" s="63" t="n">
        <v>8</v>
      </c>
    </row>
    <row r="64">
      <c r="A64" s="53" t="inlineStr">
        <is>
          <t>Causas activas de degradación (F-DT-04)</t>
        </is>
      </c>
    </row>
    <row r="65">
      <c r="A65" s="54" t="inlineStr">
        <is>
          <t>Causa</t>
        </is>
      </c>
      <c r="B65" s="54" t="inlineStr">
        <is>
          <t>Intensidad (1 ligera - 4 muy fuerte)</t>
        </is>
      </c>
    </row>
    <row r="66">
      <c r="A66" s="55" t="inlineStr">
        <is>
          <t>Cambio de uso a pastoreo</t>
        </is>
      </c>
      <c r="B66" s="55" t="n">
        <v>3</v>
      </c>
    </row>
    <row r="67">
      <c r="A67" s="56" t="inlineStr">
        <is>
          <t>Cambio de uso a agricultura</t>
        </is>
      </c>
      <c r="B67" s="56" t="n">
        <v>2</v>
      </c>
    </row>
    <row r="68">
      <c r="A68" s="55" t="inlineStr">
        <is>
          <t>Erosión natural severa</t>
        </is>
      </c>
      <c r="B68" s="55" t="n">
        <v>2</v>
      </c>
    </row>
    <row r="69">
      <c r="A69" s="56" t="inlineStr">
        <is>
          <t>Sobrepastoreo (caprino/vacuno)</t>
        </is>
      </c>
      <c r="B69" s="56" t="n">
        <v>2</v>
      </c>
    </row>
    <row r="70">
      <c r="A70" s="55" t="inlineStr">
        <is>
          <t>Especies invasoras</t>
        </is>
      </c>
      <c r="B70" s="55" t="n">
        <v>1</v>
      </c>
    </row>
    <row r="71">
      <c r="A71" s="56" t="inlineStr">
        <is>
          <t>Expansión urbana / vial</t>
        </is>
      </c>
      <c r="B71" s="56" t="n">
        <v>1</v>
      </c>
    </row>
    <row r="83">
      <c r="A83" s="53" t="inlineStr">
        <is>
          <t>Control de consistencia por calificación</t>
        </is>
      </c>
    </row>
    <row r="84">
      <c r="A84" s="54" t="inlineStr">
        <is>
          <t>Calificación</t>
        </is>
      </c>
      <c r="B84" s="54" t="inlineStr">
        <is>
          <t>Verificaciones</t>
        </is>
      </c>
    </row>
    <row r="85">
      <c r="A85" s="55" t="inlineStr">
        <is>
          <t>SUSTANTIVA</t>
        </is>
      </c>
      <c r="B85" s="55" t="n">
        <v>2</v>
      </c>
    </row>
    <row r="86">
      <c r="A86" s="56" t="inlineStr">
        <is>
          <t>NO SUSTANTIVA</t>
        </is>
      </c>
      <c r="B86" s="56" t="n">
        <v>1</v>
      </c>
    </row>
    <row r="87">
      <c r="A87" s="55" t="inlineStr">
        <is>
          <t>CORREGIDO</t>
        </is>
      </c>
      <c r="B87" s="55" t="n">
        <v>0</v>
      </c>
    </row>
    <row r="88">
      <c r="A88" s="56" t="inlineStr">
        <is>
          <t>CONFORME</t>
        </is>
      </c>
      <c r="B88"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38 — IN Piura</dc:title>
  <dc:subject>Diagnóstico Territorial por bloque de intervención</dc:subject>
  <dcterms:created xsi:type="dcterms:W3CDTF">2026-09-08T03:39:54Z</dcterms:created>
  <dcterms:modified xsi:type="dcterms:W3CDTF">2026-09-11T21:26:25Z</dcterms:modified>
</cp:coreProperties>
</file>