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integración'!$A$53:$A$56</f>
            </numRef>
          </cat>
          <val>
            <numRef>
              <f>'Gráficos de integración'!$B$53:$B$56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integración'!B74</f>
            </strRef>
          </tx>
          <spPr>
            <a:ln>
              <a:prstDash val="solid"/>
            </a:ln>
          </spPr>
          <cat>
            <numRef>
              <f>'Gráficos de integración'!$A$75:$A$78</f>
            </numRef>
          </cat>
          <val>
            <numRef>
              <f>'Gráficos de integración'!$B$75:$B$78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73</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72</t>
        </is>
      </c>
    </row>
    <row r="6" ht="24" customHeight="1">
      <c r="A6" s="4" t="inlineStr">
        <is>
          <t>Diagnóstico Territorial — Plantilla DT Campo Check Validada V5 | Sistema de referencia: UTM WGS 84 Zona 17S (EPSG:32717) · Integrado con la ficha de campo F-DT vigente (Plantilla_DT_Campo_Bloque72_IN_Piura_rev_hscm.xlsx) — V7 - resumen V6 + campo F-DT integrado</t>
        </is>
      </c>
    </row>
    <row r="7"/>
    <row r="8" ht="18" customHeight="1">
      <c r="A8" s="5" t="inlineStr">
        <is>
          <t>1. IDENTIFICACIÓN Y LOCALIZACIÓN</t>
        </is>
      </c>
    </row>
    <row r="9">
      <c r="A9" s="6" t="inlineStr">
        <is>
          <t>Código del bloque</t>
        </is>
      </c>
      <c r="B9" s="7" t="inlineStr">
        <is>
          <t>72</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Ramón Castilla</t>
        </is>
      </c>
      <c r="C13" s="6" t="inlineStr">
        <is>
          <t>Comunidad campesina</t>
        </is>
      </c>
      <c r="D13" s="7" t="inlineStr">
        <is>
          <t>Por verificar</t>
        </is>
      </c>
      <c r="E13" s="8" t="n"/>
      <c r="F13" s="8" t="n"/>
    </row>
    <row r="14">
      <c r="A14" s="6" t="inlineStr">
        <is>
          <t>Superficie de catálogo (V5/V6), ha</t>
        </is>
      </c>
      <c r="B14" s="7" t="n">
        <v>12.4</v>
      </c>
      <c r="C14" s="6" t="inlineStr">
        <is>
          <t>Fuente de superficie</t>
        </is>
      </c>
      <c r="D14" s="7" t="inlineStr">
        <is>
          <t>Catálogo maestro Bloques V5/V6</t>
        </is>
      </c>
      <c r="E14" s="8" t="n"/>
      <c r="F14" s="8" t="n"/>
    </row>
    <row r="15">
      <c r="A15" s="6" t="inlineStr">
        <is>
          <t>Centroide UTM ESTE (m)</t>
        </is>
      </c>
      <c r="B15" s="7" t="n">
        <v>662236</v>
      </c>
      <c r="C15" s="6" t="inlineStr">
        <is>
          <t>Centroide UTM NORTE (m)</t>
        </is>
      </c>
      <c r="D15" s="7" t="n">
        <v>9391211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1538</v>
      </c>
      <c r="C19" s="6" t="inlineStr">
        <is>
          <t>Altitud máxima (msnm)</t>
        </is>
      </c>
      <c r="D19" s="7" t="n">
        <v>1742</v>
      </c>
      <c r="E19" s="8" t="n"/>
      <c r="F19" s="8" t="n"/>
    </row>
    <row r="20">
      <c r="A20" s="6" t="inlineStr">
        <is>
          <t>Amplitud altitudinal (m)</t>
        </is>
      </c>
      <c r="B20" s="7" t="n">
        <v>204</v>
      </c>
      <c r="C20" s="6" t="inlineStr">
        <is>
          <t>Piso altitudinal dominante</t>
        </is>
      </c>
      <c r="D20" s="7" t="inlineStr">
        <is>
          <t>1500-2000 m (Quechua media)</t>
        </is>
      </c>
      <c r="E20" s="8" t="n"/>
      <c r="F20" s="8" t="n"/>
    </row>
    <row r="21">
      <c r="A21" s="6" t="inlineStr">
        <is>
          <t>Pendiente promedio (%)</t>
        </is>
      </c>
      <c r="B21" s="7" t="n">
        <v>28.25</v>
      </c>
      <c r="C21" s="6" t="inlineStr">
        <is>
          <t>Pendiente promedio (grados)</t>
        </is>
      </c>
      <c r="D21" s="7" t="n">
        <v>15.8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0.5185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(92.44 %)</t>
        </is>
      </c>
      <c r="E29" s="8" t="n"/>
      <c r="F29" s="8" t="n"/>
    </row>
    <row r="30">
      <c r="A30" s="6" t="inlineStr">
        <is>
          <t>Superficie clasificada NDVI 2025 (ha)</t>
        </is>
      </c>
      <c r="B30" s="7" t="n">
        <v>12.4</v>
      </c>
      <c r="C30" s="6" t="inlineStr">
        <is>
          <t>Desviación frente al catálogo (%)</t>
        </is>
      </c>
      <c r="D30" s="7" t="n">
        <v>0</v>
      </c>
      <c r="E30" s="8" t="n"/>
      <c r="F30" s="8" t="n"/>
    </row>
    <row r="31">
      <c r="A31" s="6" t="inlineStr">
        <is>
          <t>Superficie clasificada MSAVI 2024 (ha)</t>
        </is>
      </c>
      <c r="B31" s="38" t="n">
        <v>12.398</v>
      </c>
      <c r="C31" s="6" t="inlineStr">
        <is>
          <t>Desviación MSAVI frente al catálogo (%)</t>
        </is>
      </c>
      <c r="D31" s="39" t="n">
        <v>-0.01</v>
      </c>
      <c r="E31" s="8" t="n"/>
      <c r="F31" s="8" t="n"/>
    </row>
    <row r="32">
      <c r="A32" s="6" t="inlineStr">
        <is>
          <t>Superficie bajo umbral MSAVI 0.4976 (ha)</t>
        </is>
      </c>
      <c r="B32" s="38" t="n">
        <v>5.127</v>
      </c>
      <c r="C32" s="6" t="inlineStr">
        <is>
          <t>% del bloque bajo umbral (brecha espectral)</t>
        </is>
      </c>
      <c r="D32" s="39" t="n">
        <v>41.35</v>
      </c>
      <c r="E32" s="8" t="n"/>
      <c r="F32" s="8" t="n"/>
    </row>
    <row r="33">
      <c r="A33" s="6" t="inlineStr">
        <is>
          <t>Clase DN dominante (MSAVI 2024)</t>
        </is>
      </c>
      <c r="B33" s="7" t="inlineStr">
        <is>
          <t>DN 4 · 0.4976 - 0.6139 (Vigor moderado)</t>
        </is>
      </c>
      <c r="C33" s="6" t="inlineStr">
        <is>
          <t>N.° de polígonos MSAVI del bloque</t>
        </is>
      </c>
      <c r="D33" s="40" t="n">
        <v>48</v>
      </c>
      <c r="E33" s="8" t="n"/>
      <c r="F33" s="8" t="n"/>
    </row>
    <row r="34"/>
    <row r="35" ht="18" customHeight="1">
      <c r="A35" s="5" t="inlineStr">
        <is>
          <t>4. ECOSISTEMA Y ESTADO DE CONSERVACIÓN</t>
        </is>
      </c>
    </row>
    <row r="36">
      <c r="A36" s="6" t="inlineStr">
        <is>
          <t>Tipo de ecosistema (UP)</t>
        </is>
      </c>
      <c r="B36" s="7" t="inlineStr">
        <is>
          <t>Matorral Andino semiárido (lectura de campo; ver D-04)</t>
        </is>
      </c>
      <c r="C36" s="6" t="inlineStr">
        <is>
          <t>Superficie de ecosistema (ha)</t>
        </is>
      </c>
      <c r="D36" s="7" t="inlineStr">
        <is>
          <t>Por verificar — Reporte de Ecosistemas por Bloques V5 no disponible para el Bloque 72</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8</v>
      </c>
      <c r="C39" s="6" t="inlineStr">
        <is>
          <t>Regeneración natural</t>
        </is>
      </c>
      <c r="D39" s="50" t="inlineStr">
        <is>
          <t>No evaluable desde vuelo de dron</t>
        </is>
      </c>
      <c r="E39" s="8" t="n"/>
      <c r="F39" s="8" t="n"/>
    </row>
    <row r="40">
      <c r="A40" s="6" t="inlineStr">
        <is>
          <t>Nivel general de erosión</t>
        </is>
      </c>
      <c r="B40" s="7" t="inlineStr">
        <is>
          <t>Fuerte (cárcavas incipientes)</t>
        </is>
      </c>
      <c r="C40" s="6" t="inlineStr">
        <is>
          <t>N.° de cárcavas registradas</t>
        </is>
      </c>
      <c r="D40" s="7" t="n">
        <v>4</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2026-08-01</t>
        </is>
      </c>
      <c r="E44" s="8" t="n"/>
      <c r="F44" s="8" t="n"/>
    </row>
    <row r="45">
      <c r="A45" s="6" t="inlineStr">
        <is>
          <t>Hora de registro</t>
        </is>
      </c>
      <c r="B45" s="7" t="inlineStr">
        <is>
          <t>11:20 - 12:05 h (aprox.)</t>
        </is>
      </c>
      <c r="C45" s="6" t="inlineStr">
        <is>
          <t>Correlativo de ficha</t>
        </is>
      </c>
      <c r="D45" s="7" t="inlineStr">
        <is>
          <t>F-DT-01/B72-2026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verificación por vuelo de dron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demográfica y dependencia de la agricultura de subsistencia en un caserío sin alternativas productivas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1.1946</v>
      </c>
      <c r="C10" s="19">
        <f>ROUND(B10/$B$15*100,2)</f>
        <v/>
      </c>
      <c r="D10" s="11" t="inlineStr">
        <is>
          <t>Vigor alto</t>
        </is>
      </c>
      <c r="E10" s="11" t="inlineStr">
        <is>
          <t>Sobre umbral</t>
        </is>
      </c>
    </row>
    <row r="11">
      <c r="A11" s="12" t="inlineStr">
        <is>
          <t>0.4976 - 0.6139 · DN 4</t>
        </is>
      </c>
      <c r="B11" s="32" t="n">
        <v>6.0765</v>
      </c>
      <c r="C11" s="31">
        <f>ROUND(B11/$B$15*100,2)</f>
        <v/>
      </c>
      <c r="D11" s="13" t="inlineStr">
        <is>
          <t>Vigor moderado</t>
        </is>
      </c>
      <c r="E11" s="13" t="inlineStr">
        <is>
          <t>Sobre umbral</t>
        </is>
      </c>
    </row>
    <row r="12">
      <c r="A12" s="7" t="inlineStr">
        <is>
          <t>0.3813 - 0.4976 · DN 3</t>
        </is>
      </c>
      <c r="B12" s="18" t="n">
        <v>5.0463</v>
      </c>
      <c r="C12" s="19">
        <f>ROUND(B12/$B$15*100,2)</f>
        <v/>
      </c>
      <c r="D12" s="11" t="inlineStr">
        <is>
          <t>Vigor bajo</t>
        </is>
      </c>
      <c r="E12" s="11" t="inlineStr">
        <is>
          <t>BAJO umbral 0.4976</t>
        </is>
      </c>
    </row>
    <row r="13">
      <c r="A13" s="14" t="inlineStr">
        <is>
          <t>0.2650 - 0.3813 · DN 2</t>
        </is>
      </c>
      <c r="B13" s="20" t="n">
        <v>0.081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12.4</v>
      </c>
      <c r="C18" s="49" t="inlineStr">
        <is>
          <t>—</t>
        </is>
      </c>
      <c r="D18" s="46" t="inlineStr">
        <is>
          <t>Desviación planimétrica frente al catálogo</t>
        </is>
      </c>
      <c r="E18" s="46" t="inlineStr">
        <is>
          <t>-0.01 %</t>
        </is>
      </c>
    </row>
    <row r="19">
      <c r="A19" s="16" t="inlineStr">
        <is>
          <t>MSAVI 2024 — MEDIA DEL BLOQUE</t>
        </is>
      </c>
      <c r="B19" s="17" t="n">
        <v>0.518477</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(0.5185)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11.4633</v>
      </c>
      <c r="C25" s="19" t="n">
        <v>92.44</v>
      </c>
      <c r="D25" s="11" t="inlineStr">
        <is>
          <t>Dosel continuo, matorral denso o mosaico agroforestal</t>
        </is>
      </c>
      <c r="E25" s="11" t="inlineStr"/>
    </row>
    <row r="26">
      <c r="A26" s="14" t="inlineStr">
        <is>
          <t>Vegetación mediana</t>
        </is>
      </c>
      <c r="B26" s="20" t="n">
        <v>0.9369</v>
      </c>
      <c r="C26" s="21" t="n">
        <v>7.56</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12.4</v>
      </c>
      <c r="C28" s="25" t="inlineStr">
        <is>
          <t>—</t>
        </is>
      </c>
      <c r="D28" s="25" t="inlineStr">
        <is>
          <t>Desviación planimétrica frente al catálogo</t>
        </is>
      </c>
      <c r="E28" s="25" t="inlineStr">
        <is>
          <t>+0.00 %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92.44 % del polígono clasificado como «Vegetación alta» por el NDVI 2025; la observación de campo corresponde a una parcela o recorrido puntual y no es estadísticamente representativa de las 12.400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72</t>
        </is>
      </c>
    </row>
    <row r="6" ht="24" customHeight="1">
      <c r="A6" s="4" t="inlineStr">
        <is>
          <t>Levantamiento del 2026-08-01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662236</v>
      </c>
      <c r="D10" s="26" t="n">
        <v>9391211</v>
      </c>
      <c r="E10" s="11" t="n">
        <v>0</v>
      </c>
      <c r="F10" s="11" t="inlineStr"/>
      <c r="G10" s="11" t="inlineStr">
        <is>
          <t>Coordenada consignada en F-DT-01</t>
        </is>
      </c>
    </row>
    <row r="11">
      <c r="A11" s="14" t="inlineStr">
        <is>
          <t>C-01</t>
        </is>
      </c>
      <c r="B11" s="15" t="inlineStr">
        <is>
          <t>Rasgo erosivo — Cárcava incipiente</t>
        </is>
      </c>
      <c r="C11" s="27" t="inlineStr">
        <is>
          <t>Por determinar</t>
        </is>
      </c>
      <c r="D11" s="27" t="inlineStr">
        <is>
          <t>Por determinar</t>
        </is>
      </c>
      <c r="E11" s="15" t="inlineStr"/>
      <c r="F11" s="15" t="inlineStr">
        <is>
          <t>Activa</t>
        </is>
      </c>
      <c r="G11" s="15" t="inlineStr">
        <is>
          <t>Caminos / huellas de ganado</t>
        </is>
      </c>
    </row>
    <row r="12">
      <c r="A12" s="7" t="inlineStr">
        <is>
          <t>C-02</t>
        </is>
      </c>
      <c r="B12" s="11" t="inlineStr">
        <is>
          <t>Rasgo erosivo — Cárcava somera (0.5-2 m)</t>
        </is>
      </c>
      <c r="C12" s="26" t="inlineStr">
        <is>
          <t>Por determinar</t>
        </is>
      </c>
      <c r="D12" s="26" t="inlineStr">
        <is>
          <t>Por determinar</t>
        </is>
      </c>
      <c r="E12" s="11" t="inlineStr"/>
      <c r="F12" s="11" t="inlineStr">
        <is>
          <t>Semi-activa</t>
        </is>
      </c>
      <c r="G12" s="11" t="inlineStr">
        <is>
          <t>Socavamiento de cauce</t>
        </is>
      </c>
    </row>
    <row r="13">
      <c r="A13" s="14" t="inlineStr">
        <is>
          <t>C-03</t>
        </is>
      </c>
      <c r="B13" s="15" t="inlineStr">
        <is>
          <t>Rasgo erosivo — Cárcava incipiente</t>
        </is>
      </c>
      <c r="C13" s="27" t="inlineStr">
        <is>
          <t>Por determinar</t>
        </is>
      </c>
      <c r="D13" s="27" t="inlineStr">
        <is>
          <t>Por determinar</t>
        </is>
      </c>
      <c r="E13" s="15" t="inlineStr"/>
      <c r="F13" s="15" t="inlineStr">
        <is>
          <t>Activa</t>
        </is>
      </c>
      <c r="G13" s="15" t="inlineStr">
        <is>
          <t>Concentración natural de escorrentía</t>
        </is>
      </c>
    </row>
    <row r="14">
      <c r="A14" s="7" t="inlineStr">
        <is>
          <t>C-04</t>
        </is>
      </c>
      <c r="B14" s="11" t="inlineStr">
        <is>
          <t>Rasgo erosivo — Surco (&lt;30 cm)</t>
        </is>
      </c>
      <c r="C14" s="26" t="inlineStr">
        <is>
          <t>Por determinar</t>
        </is>
      </c>
      <c r="D14" s="26" t="inlineStr">
        <is>
          <t>Por determinar</t>
        </is>
      </c>
      <c r="E14" s="11" t="inlineStr"/>
      <c r="F14" s="11" t="inlineStr">
        <is>
          <t>Activa</t>
        </is>
      </c>
      <c r="G14" s="11" t="inlineStr">
        <is>
          <t>Caminos / huellas de ganado</t>
        </is>
      </c>
    </row>
    <row r="15">
      <c r="A15" s="14" t="inlineStr">
        <is>
          <t>H-01</t>
        </is>
      </c>
      <c r="B15" s="15" t="inlineStr">
        <is>
          <t>Fuente de agua — Quebrada estacional</t>
        </is>
      </c>
      <c r="C15" s="27" t="inlineStr">
        <is>
          <t>Por determinar</t>
        </is>
      </c>
      <c r="D15" s="27" t="inlineStr">
        <is>
          <t>Por determinar</t>
        </is>
      </c>
      <c r="E15" s="15" t="inlineStr"/>
      <c r="F15" s="15" t="inlineStr">
        <is>
          <t>Estacional</t>
        </is>
      </c>
      <c r="G15" s="15" t="inlineStr">
        <is>
          <t>Quebrada tributaria</t>
        </is>
      </c>
    </row>
    <row r="16">
      <c r="A16" s="7" t="inlineStr">
        <is>
          <t>H-02</t>
        </is>
      </c>
      <c r="B16" s="11" t="inlineStr">
        <is>
          <t>Fuente de agua — Otro (zonas de humedad edáfica)</t>
        </is>
      </c>
      <c r="C16" s="26" t="inlineStr">
        <is>
          <t>Por determinar</t>
        </is>
      </c>
      <c r="D16" s="26" t="inlineStr">
        <is>
          <t>Por determinar</t>
        </is>
      </c>
      <c r="E16" s="11" t="inlineStr"/>
      <c r="F16" s="11" t="inlineStr">
        <is>
          <t>Permanente</t>
        </is>
      </c>
      <c r="G16" s="11" t="inlineStr">
        <is>
          <t>Zonas de humedad edáfica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662236</v>
      </c>
      <c r="C19" s="6" t="inlineStr">
        <is>
          <t>Centroide del bloque — UTM NORTE (m)</t>
        </is>
      </c>
      <c r="D19" s="7" t="n">
        <v>9391211</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PARÁMETROS DE GABINETE (DEM): rango altitudinal 1 538-1 742 msnm (amplitud 204 m); pendiente promedio 28.25%; área 12.398 ha; MSAVI 2024 medio 0.5185; microcuenca C1076-Q9592, Zona Z13; centroide (Bloques V4) 662 236 E · 9 391 211 N. MODALIDAD DE VERIFICACIÓN: VUELO DE DRON del 01-08-2026 (SIN RECORRIDO PEDESTRE INTERIOR). COMPLETITUD FÍSICA ESTIMADA &lt;10%. POR VERIFICAR: altitud GPS instrumental; nombre de la comunidad campesina; origen de las lineaciones subhorizontales tipo terraceta observadas en ladera (reptación vs. pisoteo de ganado vs. terraceo agrícola antiguo). D-01: el Bloque 72 NO figura en Centroides_Bloques.xls (catálogo restringido a bloques de código M); el centroide se toma de la tabla auxiliar «Bloques V4». D-05: LAS FOTOGRAFÍAS DE DRON CARECEN DE METADATOS EXIF/GPS, por lo que no es posible asignar cada fotograma al polígono ni georreferenciar rasgos; el panel fotográfico se trata como registro de SECTOR, no de punto.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72</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4" t="inlineStr">
        <is>
          <t>73</t>
        </is>
      </c>
      <c r="B13" s="29"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12" t="inlineStr">
        <is>
          <t>► 72</t>
        </is>
      </c>
      <c r="B20" s="30" t="n">
        <v>12.4</v>
      </c>
      <c r="C20" s="31" t="n">
        <v>2.58</v>
      </c>
      <c r="D20" s="13" t="inlineStr">
        <is>
          <t>1538 – 1742</t>
        </is>
      </c>
      <c r="E20" s="13" t="n">
        <v>204</v>
      </c>
      <c r="F20" s="13" t="n">
        <v>28.25</v>
      </c>
      <c r="G20" s="32" t="n">
        <v>0.5185</v>
      </c>
      <c r="H20" s="31" t="n">
        <v>92.44</v>
      </c>
      <c r="I20" s="31"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72 ocupa el puesto 11 de 11 por superficie dentro de la microcuenca C1076-Q9592 (2.58 % de las 481.17 ha preliminares de la microcuenca). Su pendiente promedio (28.25 %, clase «25-50% (Mod. escarpado)») es la 6.ª más baja de 11 y se sitúa por debajo del promedio de la microcuenca (29.39 %). Su MSAVI 2024 (0.5185) es el 8.º de 11 y queda por debajo del promedio local (0.5435). Amplitud altitudinal del bloque: 204 m (1538–1742 msnm). El cuadro conserva todos los bloques catalogados en la microcuenca, incluidos los descartados en el tamizaje, para referencia del conjunto. Los bloques sin ficha DT figuran con sus parámetros de gabinete. BRECHA ESPECTRAL. El 41.35 % de la superficie del bloque (5.127 ha de 12.398 ha) se sitúa bajo el umbral MSAVI 0.4976, por encima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72</t>
        </is>
      </c>
    </row>
    <row r="6">
      <c r="A6" s="52" t="inlineStr">
        <is>
          <t>Cruce de la ficha de campo F-DT vigente con la ficha de resumen de gabinete y el catálogo maestro. Integración 2026-09-11 20:22:32.</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«C1076-Q9592».</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(1640 msnm) cae dentro del rango altitudinal del bloque (1538 - 1742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(12.400 ha) se desvía 0.00 % de la superficie de catálogo (12.40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(12.398 ha) se desvía -0.02 % de la superficie de catálogo (12.40 ha).</t>
        </is>
      </c>
      <c r="D14" s="57" t="inlineStr">
        <is>
          <t>CONFORME</t>
        </is>
      </c>
      <c r="E14" s="57" t="inlineStr">
        <is>
          <t>Sin acción: la segmentación valida la geometría del bloque.</t>
        </is>
      </c>
    </row>
    <row r="15">
      <c r="A15" s="56" t="inlineStr">
        <is>
          <t>G-07</t>
        </is>
      </c>
      <c r="B15" s="56" t="inlineStr">
        <is>
          <t>Brecha espectral MSAVI</t>
        </is>
      </c>
      <c r="C15" s="56" t="inlineStr">
        <is>
          <t>El 41.35 % del bloque queda bajo el umbral 0.4976; superficie de brecha 5.1273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12.40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(0.5185)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92.9 % de los campos esperados).</t>
        </is>
      </c>
      <c r="D19" s="56" t="inlineStr">
        <is>
          <t>CONFORME</t>
        </is>
      </c>
      <c r="E19" s="56" t="inlineStr">
        <is>
          <t>Sin acción.</t>
        </is>
      </c>
    </row>
    <row r="20">
      <c r="A20" s="57" t="inlineStr">
        <is>
          <t>F-02</t>
        </is>
      </c>
      <c r="B20" s="57" t="inlineStr">
        <is>
          <t>Cobertura de la integración</t>
        </is>
      </c>
      <c r="C20" s="57" t="inlineStr">
        <is>
          <t>Se declararon 93 de 114 hechos integrados (81.6 %); 21 quedan sin dato en ninguna fuente.</t>
        </is>
      </c>
      <c r="D20" s="57" t="inlineStr">
        <is>
          <t>CONFORME</t>
        </is>
      </c>
      <c r="E20" s="57" t="inlineStr">
        <is>
          <t>Sin acción.</t>
        </is>
      </c>
    </row>
    <row r="21">
      <c r="A21" s="56" t="inlineStr">
        <is>
          <t>H-01</t>
        </is>
      </c>
      <c r="B21" s="56" t="inlineStr">
        <is>
          <t>Dimensiones del inventario de cárcavas</t>
        </is>
      </c>
      <c r="C21" s="56" t="inlineStr">
        <is>
          <t>Se registran 4 rasgos erosivos, pero longitud, profundidad y ancho no fueron medidos instrumentalmente</t>
        </is>
      </c>
      <c r="D21" s="56" t="inlineStr">
        <is>
          <t>NO SUSTANTIVA</t>
        </is>
      </c>
      <c r="E21" s="56" t="inlineStr">
        <is>
          <t>El conteo registrado no debe usarse para calcular densidad de cárcavas por hectárea. Pendiente de levantamiento con GPS submétrico. (Verificación heredada de la ficha de resumen V6.)</t>
        </is>
      </c>
    </row>
    <row r="22">
      <c r="A22" s="57" t="inlineStr">
        <is>
          <t>H-02</t>
        </is>
      </c>
      <c r="B22" s="57" t="inlineStr">
        <is>
          <t>Elenco florístico</t>
        </is>
      </c>
      <c r="C22" s="57" t="inlineStr">
        <is>
          <t>La ficha registra 10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Centro poblado asociado</t>
        </is>
      </c>
      <c r="C24" s="57" t="inlineStr">
        <is>
          <t>La ficha DT declara «Ramón Castilla»; el cruce INEI-Bloques V5 identifica 1 centro(s) poblado(s) en el bloque: RAMON CASTILLA</t>
        </is>
      </c>
      <c r="D24" s="57" t="inlineStr">
        <is>
          <t>NO SUSTANTIVA</t>
        </is>
      </c>
      <c r="E24" s="57" t="inlineStr">
        <is>
          <t>Se conserva el registro de campo como referencia y se adopta el listado INEI para el diagnóstico social y el cálculo de población beneficiaria. (Verificación heredada de la ficha de resumen V6.)</t>
        </is>
      </c>
    </row>
    <row r="25">
      <c r="A25" s="56" t="inlineStr">
        <is>
          <t>H-05</t>
        </is>
      </c>
      <c r="B25" s="56" t="inlineStr">
        <is>
          <t>F-DT-01</t>
        </is>
      </c>
      <c r="C25" s="56" t="inlineStr">
        <is>
          <t>D-01: el Bloque 72 no figura en Centroides_Bloques.xls; el centroide se toma de la tabla auxiliar «Bloques V4»</t>
        </is>
      </c>
      <c r="D25" s="56" t="inlineStr">
        <is>
          <t>NO SUSTANTIVA</t>
        </is>
      </c>
      <c r="E25" s="56" t="inlineStr">
        <is>
          <t>Conciliar catálogos de centroides (Verificación heredada de la ficha de resumen V6.)</t>
        </is>
      </c>
    </row>
    <row r="26">
      <c r="A26" s="57" t="inlineStr">
        <is>
          <t>H-06</t>
        </is>
      </c>
      <c r="B26" s="57" t="inlineStr">
        <is>
          <t>F-DT-03</t>
        </is>
      </c>
      <c r="C26" s="57" t="inlineStr">
        <is>
          <t>D-04: ecosistema asignado «Matorral Andino semiárido» frente a Bes-cm en bloques vecinos de la misma microcuenca</t>
        </is>
      </c>
      <c r="D26" s="57" t="inlineStr">
        <is>
          <t>SUSTANTIVA</t>
        </is>
      </c>
      <c r="E26" s="57" t="inlineStr">
        <is>
          <t>Requiere consulta al Reporte de Ecosistemas V5 y decisión de la Subdirección (Verificación heredada de la ficha de resumen V6.)</t>
        </is>
      </c>
    </row>
    <row r="27">
      <c r="A27" s="56" t="inlineStr">
        <is>
          <t>H-07</t>
        </is>
      </c>
      <c r="B27" s="56" t="inlineStr">
        <is>
          <t>F-DT-04</t>
        </is>
      </c>
      <c r="C27" s="56" t="inlineStr">
        <is>
          <t>D-06: viviendas, trocha carrozable y cultivos permanentes en el polígono y su entorno</t>
        </is>
      </c>
      <c r="D27" s="56" t="inlineStr">
        <is>
          <t>SUSTANTIVA</t>
        </is>
      </c>
      <c r="E27" s="56" t="inlineStr">
        <is>
          <t>Verificar exclusión de áreas agrícolas (Paso 5) y calificación como ecosistema degradado (R.M. 00213-2024-MINAM); posible redelimitación (Verificación heredada de la ficha de resumen V6.)</t>
        </is>
      </c>
    </row>
    <row r="29">
      <c r="A29" s="58" t="inlineStr">
        <is>
          <t>RESUMEN</t>
        </is>
      </c>
      <c r="B29" s="59" t="inlineStr">
        <is>
          <t>19 verificaciones</t>
        </is>
      </c>
      <c r="C29" s="59" t="inlineStr">
        <is>
          <t>SUSTANTIVA: 5 · NO SUSTANTIVA: 3 · CONFORME: 11</t>
        </is>
      </c>
    </row>
    <row r="31">
      <c r="A31"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1:E31"/>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72</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662236</t>
        </is>
      </c>
      <c r="D13" s="56" t="inlineStr">
        <is>
          <t>m</t>
        </is>
      </c>
    </row>
    <row r="14">
      <c r="A14" s="57" t="inlineStr">
        <is>
          <t>1. Identificación y localización</t>
        </is>
      </c>
      <c r="B14" s="57" t="inlineStr">
        <is>
          <t>UTM NORTE del punto de muestreo (m)</t>
        </is>
      </c>
      <c r="C14" s="57" t="inlineStr">
        <is>
          <t>9391211</t>
        </is>
      </c>
      <c r="D14" s="57" t="inlineStr">
        <is>
          <t>m</t>
        </is>
      </c>
    </row>
    <row r="15">
      <c r="A15" s="56" t="inlineStr">
        <is>
          <t>2. Parámetros físicos del terreno</t>
        </is>
      </c>
      <c r="B15" s="56" t="inlineStr">
        <is>
          <t>Altitud GPS del punto de muestreo (msnm)</t>
        </is>
      </c>
      <c r="C15" s="56" t="inlineStr">
        <is>
          <t>≈1 640 (interpolado de curvas de nivel; sin GPS instrumental)</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Ladera media de montaña con mosaico de matorral andino semiárido y parcelas agrícolas de subsistencia, disectada por una quebrada tributaria de la microcuenca C1076-Q9592. Afloramientos rocosos dispersos y cumbre rocosa al NE. Red densa de caminos de herradura; viviendas y trocha carrozable en el borde inferior (SO), colindante al caserío Ramón Castilla.</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Fuerte (cárcavas incipientes)</t>
        </is>
      </c>
      <c r="D20" s="57" t="inlineStr"/>
    </row>
    <row r="21">
      <c r="A21" s="56" t="inlineStr">
        <is>
          <t>4. Suelos y erosión (F-DT-02)</t>
        </is>
      </c>
      <c r="B21" s="56" t="inlineStr">
        <is>
          <t>Sellamiento / costra superficial</t>
        </is>
      </c>
      <c r="C21" s="56" t="inlineStr">
        <is>
          <t>Sí</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Patrón de cárcavas</t>
        </is>
      </c>
      <c r="C24" s="57" t="inlineStr">
        <is>
          <t>Mixto</t>
        </is>
      </c>
      <c r="D24" s="57" t="inlineStr"/>
    </row>
    <row r="25">
      <c r="A25" s="56" t="inlineStr">
        <is>
          <t>4. Suelos y erosión (F-DT-02)</t>
        </is>
      </c>
      <c r="B25" s="56" t="inlineStr">
        <is>
          <t>Socavamiento de cauce</t>
        </is>
      </c>
      <c r="C25" s="56" t="inlineStr">
        <is>
          <t>DJI_0302</t>
        </is>
      </c>
      <c r="D25" s="56" t="inlineStr"/>
    </row>
    <row r="26">
      <c r="A26" s="57" t="inlineStr">
        <is>
          <t>5. Ecosistema, cobertura y flora (F-DT-03)</t>
        </is>
      </c>
      <c r="B26" s="57" t="inlineStr">
        <is>
          <t>Cobertura del dosel (%)</t>
        </is>
      </c>
      <c r="C26" s="57" t="inlineStr">
        <is>
          <t>10</t>
        </is>
      </c>
      <c r="D26" s="57" t="inlineStr">
        <is>
          <t>%</t>
        </is>
      </c>
    </row>
    <row r="27">
      <c r="A27" s="56" t="inlineStr">
        <is>
          <t>5. Ecosistema, cobertura y flora (F-DT-03)</t>
        </is>
      </c>
      <c r="B27" s="56" t="inlineStr">
        <is>
          <t>Cobertura arbustiva (%)</t>
        </is>
      </c>
      <c r="C27" s="56" t="inlineStr">
        <is>
          <t>45</t>
        </is>
      </c>
      <c r="D27" s="56" t="inlineStr">
        <is>
          <t>%</t>
        </is>
      </c>
    </row>
    <row r="28">
      <c r="A28" s="57" t="inlineStr">
        <is>
          <t>5. Ecosistema, cobertura y flora (F-DT-03)</t>
        </is>
      </c>
      <c r="B28" s="57" t="inlineStr">
        <is>
          <t>Cobertura herbácea (%)</t>
        </is>
      </c>
      <c r="C28" s="57" t="inlineStr">
        <is>
          <t>30</t>
        </is>
      </c>
      <c r="D28" s="57" t="inlineStr">
        <is>
          <t>%</t>
        </is>
      </c>
    </row>
    <row r="29">
      <c r="A29" s="56" t="inlineStr">
        <is>
          <t>5. Ecosistema, cobertura y flora (F-DT-03)</t>
        </is>
      </c>
      <c r="B29" s="56" t="inlineStr">
        <is>
          <t>Fenología dominante</t>
        </is>
      </c>
      <c r="C29" s="56" t="inlineStr">
        <is>
          <t>Latencia / Estrés hídrico</t>
        </is>
      </c>
      <c r="D29" s="56" t="inlineStr"/>
    </row>
    <row r="30">
      <c r="A30" s="57" t="inlineStr">
        <is>
          <t>5. Ecosistema, cobertura y flora (F-DT-03)</t>
        </is>
      </c>
      <c r="B30" s="57" t="inlineStr">
        <is>
          <t>Dimensiones de la parcela (m)</t>
        </is>
      </c>
      <c r="C30" s="57" t="inlineStr">
        <is>
          <t>No aplica</t>
        </is>
      </c>
      <c r="D30" s="57" t="inlineStr"/>
    </row>
    <row r="31">
      <c r="A31" s="56" t="inlineStr">
        <is>
          <t>5. Ecosistema, cobertura y flora (F-DT-03)</t>
        </is>
      </c>
      <c r="B31" s="56" t="inlineStr">
        <is>
          <t>Pendiente de la parcela (%)</t>
        </is>
      </c>
      <c r="C31" s="56" t="inlineStr">
        <is>
          <t>28.25</t>
        </is>
      </c>
      <c r="D31" s="56" t="inlineStr">
        <is>
          <t>%</t>
        </is>
      </c>
    </row>
    <row r="32">
      <c r="A32" s="57" t="inlineStr">
        <is>
          <t>5. Ecosistema, cobertura y flora (F-DT-03)</t>
        </is>
      </c>
      <c r="B32" s="57" t="inlineStr">
        <is>
          <t>Especies clave georreferenciadas</t>
        </is>
      </c>
      <c r="C32" s="57" t="inlineStr">
        <is>
          <t>4</t>
        </is>
      </c>
      <c r="D32" s="57" t="inlineStr"/>
    </row>
    <row r="33">
      <c r="A33" s="56" t="inlineStr">
        <is>
          <t>6. Degradación, causas y urgencia (F-DT-04)</t>
        </is>
      </c>
      <c r="B33" s="56" t="inlineStr">
        <is>
          <t>Causas directas de la degradación</t>
        </is>
      </c>
      <c r="C33" s="56" t="inlineStr">
        <is>
          <t>Causa directa dominante: cambio de uso a agricultura de subsistencia (plátano, café, maíz, pastos cultivados) sobre laderas de 25–50 % sin prácticas de conservación de suelos. Causas concurrentes: densificación de la red de caminos de herradura (erosión lineal) y expansión de viviendas y trocha carrozable en el borde inferior del bloque.</t>
        </is>
      </c>
      <c r="D33" s="56" t="inlineStr"/>
    </row>
    <row r="34">
      <c r="A34" s="57" t="inlineStr">
        <is>
          <t>6. Degradación, causas y urgencia (F-DT-04)</t>
        </is>
      </c>
      <c r="B34" s="57" t="inlineStr">
        <is>
          <t>N.° de causas activas en la matriz F-DT-04</t>
        </is>
      </c>
      <c r="C34" s="57" t="inlineStr">
        <is>
          <t>4</t>
        </is>
      </c>
      <c r="D34" s="57" t="inlineStr"/>
    </row>
    <row r="35">
      <c r="A35" s="56" t="inlineStr">
        <is>
          <t>7. Hidrología, acceso y logística (F-DT-05)</t>
        </is>
      </c>
      <c r="B35" s="56" t="inlineStr">
        <is>
          <t>Escorrentía concentrada</t>
        </is>
      </c>
      <c r="C35" s="56" t="inlineStr">
        <is>
          <t>Sí</t>
        </is>
      </c>
      <c r="D35" s="56" t="inlineStr"/>
    </row>
    <row r="36">
      <c r="A36" s="57" t="inlineStr">
        <is>
          <t>7. Hidrología, acceso y logística (F-DT-05)</t>
        </is>
      </c>
      <c r="B36" s="57" t="inlineStr">
        <is>
          <t>Fuentes de agua inventariadas</t>
        </is>
      </c>
      <c r="C36" s="57" t="inlineStr">
        <is>
          <t>2</t>
        </is>
      </c>
      <c r="D36" s="57" t="inlineStr"/>
    </row>
    <row r="37">
      <c r="A37" s="56" t="inlineStr">
        <is>
          <t>7. Hidrología, acceso y logística (F-DT-05)</t>
        </is>
      </c>
      <c r="B37" s="56" t="inlineStr">
        <is>
          <t>Vía principal de acceso</t>
        </is>
      </c>
      <c r="C37" s="56" t="inlineStr">
        <is>
          <t>Trocha carrozable de acceso al caserío Ramón Castilla (código de ruta por verificar); ingreso al polígono por camino de herradura</t>
        </is>
      </c>
      <c r="D37" s="56" t="inlineStr"/>
    </row>
    <row r="38">
      <c r="A38" s="57" t="inlineStr">
        <is>
          <t>7. Hidrología, acceso y logística (F-DT-05)</t>
        </is>
      </c>
      <c r="B38" s="57" t="inlineStr">
        <is>
          <t>Tipo de vía del tramo final</t>
        </is>
      </c>
      <c r="C38" s="57" t="inlineStr">
        <is>
          <t>Camino de herradura</t>
        </is>
      </c>
      <c r="D38" s="57" t="inlineStr"/>
    </row>
    <row r="39">
      <c r="A39" s="56" t="inlineStr">
        <is>
          <t>7. Hidrología, acceso y logística (F-DT-05)</t>
        </is>
      </c>
      <c r="B39" s="56" t="inlineStr">
        <is>
          <t>Transitabilidad en época seca</t>
        </is>
      </c>
      <c r="C39" s="56" t="inlineStr">
        <is>
          <t>Alto</t>
        </is>
      </c>
      <c r="D39" s="56" t="inlineStr"/>
    </row>
    <row r="40">
      <c r="A40" s="57" t="inlineStr">
        <is>
          <t>7. Hidrología, acceso y logística (F-DT-05)</t>
        </is>
      </c>
      <c r="B40" s="57" t="inlineStr">
        <is>
          <t>Transitabilidad en época lluviosa</t>
        </is>
      </c>
      <c r="C40" s="57" t="inlineStr">
        <is>
          <t>Bajo</t>
        </is>
      </c>
      <c r="D40" s="57" t="inlineStr"/>
    </row>
    <row r="42">
      <c r="A42" s="54" t="inlineStr">
        <is>
          <t>C. PROCEDENCIA DE LOS HECHOS DECLARADOS</t>
        </is>
      </c>
    </row>
    <row r="43">
      <c r="A43" s="55" t="inlineStr">
        <is>
          <t>Fuente</t>
        </is>
      </c>
      <c r="B43" s="55" t="inlineStr">
        <is>
          <t>Hechos</t>
        </is>
      </c>
      <c r="C43" s="55" t="inlineStr">
        <is>
          <t>Alcance de la fuente</t>
        </is>
      </c>
    </row>
    <row r="44">
      <c r="A44" s="56" t="inlineStr">
        <is>
          <t>Dato de campo</t>
        </is>
      </c>
      <c r="B44" s="56" t="n">
        <v>57</v>
      </c>
      <c r="C44" s="56" t="inlineStr">
        <is>
          <t>Verificación en campo. Fichas F-DT-01 a F-DT-05 de la Plantilla DT Campo Check Validada V5, suscritas por el evaluador.</t>
        </is>
      </c>
    </row>
    <row r="45">
      <c r="A45" s="57" t="inlineStr">
        <is>
          <t>Gabinete (GIS / teledetección)</t>
        </is>
      </c>
      <c r="B45" s="57" t="n">
        <v>22</v>
      </c>
      <c r="C45" s="57" t="inlineStr">
        <is>
          <t>Gabinete. Estadística zonal sobre el MDE y compuestos Sentinel-2 (NDVI mediana 2025, MSAVI 2024 por clase DN).</t>
        </is>
      </c>
    </row>
    <row r="46">
      <c r="A46" s="56" t="inlineStr">
        <is>
          <t>Fuente oficial</t>
        </is>
      </c>
      <c r="B46" s="56" t="n">
        <v>14</v>
      </c>
      <c r="C46" s="56" t="inlineStr">
        <is>
          <t>Fuente oficial. Catálogo maestro Bloques V5/V6, división política INEI y codificación de microcuencas de la ANA.</t>
        </is>
      </c>
    </row>
    <row r="48">
      <c r="A48" s="54" t="inlineStr">
        <is>
          <t>D. ESTADO DEL CRUCE ENTRE FUENTES</t>
        </is>
      </c>
    </row>
    <row r="49">
      <c r="A49" s="55" t="inlineStr">
        <is>
          <t>Estado</t>
        </is>
      </c>
      <c r="B49" s="55" t="inlineStr">
        <is>
          <t>Hechos</t>
        </is>
      </c>
      <c r="C49" s="55" t="inlineStr">
        <is>
          <t>Significado</t>
        </is>
      </c>
    </row>
    <row r="50">
      <c r="A50" s="56" t="inlineStr">
        <is>
          <t>CONFORME</t>
        </is>
      </c>
      <c r="B50" s="56" t="n">
        <v>92</v>
      </c>
      <c r="C50" s="56" t="inlineStr">
        <is>
          <t>Las dos fuentes declaran lo mismo, o solo la fuente que manda sobre el hecho lo declara.</t>
        </is>
      </c>
    </row>
    <row r="51">
      <c r="A51" s="57" t="inlineStr">
        <is>
          <t>COMPLEMENTADO</t>
        </is>
      </c>
      <c r="B51" s="57" t="n">
        <v>1</v>
      </c>
      <c r="C51" s="57" t="inlineStr">
        <is>
          <t>Solo una de las fuentes lo declara y se adopta ese valor.</t>
        </is>
      </c>
    </row>
    <row r="52">
      <c r="A52" s="56" t="inlineStr">
        <is>
          <t>ACTUALIZADO</t>
        </is>
      </c>
      <c r="B52" s="56" t="n">
        <v>0</v>
      </c>
      <c r="C52" s="56" t="inlineStr">
        <is>
          <t>La verificación de campo vigente corrige lo que traía el libro de resumen.</t>
        </is>
      </c>
    </row>
    <row r="53">
      <c r="A53" s="57" t="inlineStr">
        <is>
          <t>DISCREPANTE</t>
        </is>
      </c>
      <c r="B53" s="57" t="n">
        <v>0</v>
      </c>
      <c r="C53" s="57" t="inlineStr">
        <is>
          <t>Las fuentes se contradicen; prevalece la que manda sobre el hecho y la otra queda declarada.</t>
        </is>
      </c>
    </row>
    <row r="54">
      <c r="A54" s="56" t="inlineStr">
        <is>
          <t>PENDIENTE</t>
        </is>
      </c>
      <c r="B54" s="56" t="n">
        <v>21</v>
      </c>
      <c r="C54"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72</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incipiente (30-50 cm)</t>
        </is>
      </c>
      <c r="C9" s="56" t="n"/>
      <c r="D9" s="56" t="n"/>
      <c r="E9" s="56" t="n"/>
      <c r="F9" s="56" t="n"/>
      <c r="G9" s="56" t="n"/>
      <c r="H9" s="56" t="inlineStr">
        <is>
          <t>Activa</t>
        </is>
      </c>
      <c r="I9" s="56" t="inlineStr">
        <is>
          <t>Caminos / huellas de ganado</t>
        </is>
      </c>
    </row>
    <row r="10">
      <c r="A10" s="57" t="inlineStr">
        <is>
          <t>C-02</t>
        </is>
      </c>
      <c r="B10" s="57" t="inlineStr">
        <is>
          <t>Cárcava somera (0.5-2 m)</t>
        </is>
      </c>
      <c r="C10" s="57" t="n"/>
      <c r="D10" s="57" t="n"/>
      <c r="E10" s="57" t="n"/>
      <c r="F10" s="57" t="n"/>
      <c r="G10" s="57" t="n"/>
      <c r="H10" s="57" t="inlineStr">
        <is>
          <t>Semi-activa</t>
        </is>
      </c>
      <c r="I10" s="57" t="inlineStr">
        <is>
          <t>Socavamiento de cauce</t>
        </is>
      </c>
    </row>
    <row r="11">
      <c r="A11" s="56" t="inlineStr">
        <is>
          <t>C-03</t>
        </is>
      </c>
      <c r="B11" s="56" t="inlineStr">
        <is>
          <t>Cárcava incipiente (30-50 cm)</t>
        </is>
      </c>
      <c r="C11" s="56" t="n"/>
      <c r="D11" s="56" t="n"/>
      <c r="E11" s="56" t="n"/>
      <c r="F11" s="56" t="n"/>
      <c r="G11" s="56" t="n"/>
      <c r="H11" s="56" t="inlineStr">
        <is>
          <t>Activa</t>
        </is>
      </c>
      <c r="I11" s="56" t="inlineStr">
        <is>
          <t>Concentración natural de escorrentía</t>
        </is>
      </c>
    </row>
    <row r="12">
      <c r="A12" s="57" t="inlineStr">
        <is>
          <t>C-04</t>
        </is>
      </c>
      <c r="B12" s="57" t="inlineStr">
        <is>
          <t>Surco (&lt;30 cm)</t>
        </is>
      </c>
      <c r="C12" s="57" t="n"/>
      <c r="D12" s="57" t="n"/>
      <c r="E12" s="57" t="n"/>
      <c r="F12" s="57" t="n"/>
      <c r="G12" s="57" t="n"/>
      <c r="H12" s="57" t="inlineStr">
        <is>
          <t>Activa</t>
        </is>
      </c>
      <c r="I12" s="57" t="inlineStr">
        <is>
          <t>Caminos / huellas de ganado</t>
        </is>
      </c>
    </row>
    <row r="14">
      <c r="A14" s="54" t="inlineStr">
        <is>
          <t>F-DT-03 · ELENCO FLORÍSTICO</t>
        </is>
      </c>
    </row>
    <row r="15">
      <c r="A15" s="55" t="inlineStr">
        <is>
          <t>N.o</t>
        </is>
      </c>
      <c r="B15" s="55" t="inlineStr">
        <is>
          <t>Nombre común</t>
        </is>
      </c>
      <c r="C15" s="55" t="inlineStr">
        <is>
          <t>Nombre científico</t>
        </is>
      </c>
      <c r="D15" s="55" t="inlineStr">
        <is>
          <t>Familia</t>
        </is>
      </c>
      <c r="E15" s="55" t="inlineStr">
        <is>
          <t>Estrato</t>
        </is>
      </c>
      <c r="F15" s="55" t="inlineStr">
        <is>
          <t>Origen</t>
        </is>
      </c>
      <c r="G15" s="55" t="inlineStr">
        <is>
          <t>Abundancia</t>
        </is>
      </c>
      <c r="H15" s="55" t="inlineStr">
        <is>
          <t>DAP (cm)</t>
        </is>
      </c>
      <c r="I15" s="55" t="inlineStr">
        <is>
          <t>Altura (m)</t>
        </is>
      </c>
    </row>
    <row r="16">
      <c r="A16" s="56" t="inlineStr">
        <is>
          <t>1</t>
        </is>
      </c>
      <c r="B16" s="56" t="inlineStr">
        <is>
          <t>Eucalipto</t>
        </is>
      </c>
      <c r="C16" s="56" t="inlineStr">
        <is>
          <t>Eucalyptus globulus</t>
        </is>
      </c>
      <c r="D16" s="56" t="inlineStr">
        <is>
          <t>Myrtaceae</t>
        </is>
      </c>
      <c r="E16" s="56" t="inlineStr">
        <is>
          <t>Arbóreo superior (&gt;15 m)</t>
        </is>
      </c>
      <c r="F16" s="56" t="inlineStr">
        <is>
          <t>Introducida</t>
        </is>
      </c>
      <c r="G16" s="56" t="inlineStr">
        <is>
          <t>Ocasional (1-5%)</t>
        </is>
      </c>
      <c r="H16" s="56" t="n"/>
      <c r="I16" s="56" t="n"/>
    </row>
    <row r="17">
      <c r="A17" s="57" t="inlineStr">
        <is>
          <t>2</t>
        </is>
      </c>
      <c r="B17" s="57" t="inlineStr">
        <is>
          <t>Pacae</t>
        </is>
      </c>
      <c r="C17" s="57" t="inlineStr">
        <is>
          <t>Inga feuillei</t>
        </is>
      </c>
      <c r="D17" s="57" t="inlineStr">
        <is>
          <t>Fabaceae</t>
        </is>
      </c>
      <c r="E17" s="57" t="inlineStr">
        <is>
          <t>Arbóreo bajo (4-8 m)</t>
        </is>
      </c>
      <c r="F17" s="57" t="inlineStr">
        <is>
          <t>Nativa</t>
        </is>
      </c>
      <c r="G17" s="57" t="inlineStr">
        <is>
          <t>Ocasional (1-5%)</t>
        </is>
      </c>
      <c r="H17" s="57" t="n"/>
      <c r="I17" s="57" t="n"/>
    </row>
    <row r="18">
      <c r="A18" s="56" t="inlineStr">
        <is>
          <t>3</t>
        </is>
      </c>
      <c r="B18" s="56" t="inlineStr">
        <is>
          <t>Faique</t>
        </is>
      </c>
      <c r="C18" s="56" t="inlineStr">
        <is>
          <t>Vachellia macracantha</t>
        </is>
      </c>
      <c r="D18" s="56" t="inlineStr">
        <is>
          <t>Fabaceae</t>
        </is>
      </c>
      <c r="E18" s="56" t="inlineStr">
        <is>
          <t>Arbóreo bajo (4-8 m)</t>
        </is>
      </c>
      <c r="F18" s="56" t="inlineStr">
        <is>
          <t>Nativa</t>
        </is>
      </c>
      <c r="G18" s="56" t="inlineStr">
        <is>
          <t>Frecuente (5-20%)</t>
        </is>
      </c>
      <c r="H18" s="56" t="n"/>
      <c r="I18" s="56" t="n"/>
    </row>
    <row r="19">
      <c r="A19" s="57" t="inlineStr">
        <is>
          <t>4</t>
        </is>
      </c>
      <c r="B19" s="57" t="inlineStr">
        <is>
          <t>Higuerón</t>
        </is>
      </c>
      <c r="C19" s="57" t="inlineStr">
        <is>
          <t>Ficus sp.</t>
        </is>
      </c>
      <c r="D19" s="57" t="inlineStr">
        <is>
          <t>Moraceae</t>
        </is>
      </c>
      <c r="E19" s="57" t="inlineStr">
        <is>
          <t>Arbóreo medio (8-15 m)</t>
        </is>
      </c>
      <c r="F19" s="57" t="inlineStr">
        <is>
          <t>Nativa</t>
        </is>
      </c>
      <c r="G19" s="57" t="inlineStr">
        <is>
          <t>Rara (&lt;1%)</t>
        </is>
      </c>
      <c r="H19" s="57" t="n"/>
      <c r="I19" s="57" t="n"/>
    </row>
    <row r="20">
      <c r="A20" s="56" t="inlineStr">
        <is>
          <t>5</t>
        </is>
      </c>
      <c r="B20" s="56" t="inlineStr">
        <is>
          <t>Cactácea columnar</t>
        </is>
      </c>
      <c r="C20" s="56" t="inlineStr">
        <is>
          <t>Armatocereus sp. / Espostoa sp.</t>
        </is>
      </c>
      <c r="D20" s="56" t="inlineStr">
        <is>
          <t>Cactaceae</t>
        </is>
      </c>
      <c r="E20" s="56" t="inlineStr">
        <is>
          <t>Arbustivo alto (1.5-4 m)</t>
        </is>
      </c>
      <c r="F20" s="56" t="inlineStr">
        <is>
          <t>Nativa</t>
        </is>
      </c>
      <c r="G20" s="56" t="inlineStr">
        <is>
          <t>Ocasional (1-5%)</t>
        </is>
      </c>
      <c r="H20" s="56" t="n"/>
      <c r="I20" s="56" t="n"/>
    </row>
    <row r="21">
      <c r="A21" s="57" t="inlineStr">
        <is>
          <t>6</t>
        </is>
      </c>
      <c r="B21" s="57" t="inlineStr">
        <is>
          <t>Caña Guayaquil / bambú</t>
        </is>
      </c>
      <c r="C21" s="57" t="inlineStr">
        <is>
          <t>Guadua angustifolia</t>
        </is>
      </c>
      <c r="D21" s="57" t="inlineStr">
        <is>
          <t>Poaceae</t>
        </is>
      </c>
      <c r="E21" s="57" t="inlineStr">
        <is>
          <t>Arbóreo bajo (4-8 m)</t>
        </is>
      </c>
      <c r="F21" s="57" t="inlineStr">
        <is>
          <t>Nativa</t>
        </is>
      </c>
      <c r="G21" s="57" t="inlineStr">
        <is>
          <t>Ocasional (1-5%)</t>
        </is>
      </c>
      <c r="H21" s="57" t="n"/>
      <c r="I21" s="57" t="n"/>
    </row>
    <row r="22">
      <c r="A22" s="56" t="inlineStr">
        <is>
          <t>7</t>
        </is>
      </c>
      <c r="B22" s="56" t="inlineStr">
        <is>
          <t>Plátano</t>
        </is>
      </c>
      <c r="C22" s="56" t="inlineStr">
        <is>
          <t>Musa × paradisiaca</t>
        </is>
      </c>
      <c r="D22" s="56" t="inlineStr">
        <is>
          <t>Musaceae</t>
        </is>
      </c>
      <c r="E22" s="56" t="inlineStr">
        <is>
          <t>Arbustivo alto (1.5-4 m)</t>
        </is>
      </c>
      <c r="F22" s="56" t="inlineStr">
        <is>
          <t>Introducida</t>
        </is>
      </c>
      <c r="G22" s="56" t="inlineStr">
        <is>
          <t>Ocasional (1-5%)</t>
        </is>
      </c>
      <c r="H22" s="56" t="n"/>
      <c r="I22" s="56" t="n"/>
    </row>
    <row r="23">
      <c r="A23" s="57" t="inlineStr">
        <is>
          <t>8</t>
        </is>
      </c>
      <c r="B23" s="57" t="inlineStr">
        <is>
          <t>Café</t>
        </is>
      </c>
      <c r="C23" s="57" t="inlineStr">
        <is>
          <t>Coffea arabica</t>
        </is>
      </c>
      <c r="D23" s="57" t="inlineStr">
        <is>
          <t>Rubiaceae</t>
        </is>
      </c>
      <c r="E23" s="57" t="inlineStr">
        <is>
          <t>Arbustivo alto (1.5-4 m)</t>
        </is>
      </c>
      <c r="F23" s="57" t="inlineStr">
        <is>
          <t>Introducida</t>
        </is>
      </c>
      <c r="G23" s="57" t="inlineStr">
        <is>
          <t>Ocasional (1-5%)</t>
        </is>
      </c>
      <c r="H23" s="57" t="n"/>
      <c r="I23" s="57" t="n"/>
    </row>
    <row r="24">
      <c r="A24" s="56" t="inlineStr">
        <is>
          <t>9</t>
        </is>
      </c>
      <c r="B24" s="56" t="inlineStr">
        <is>
          <t>Maíz</t>
        </is>
      </c>
      <c r="C24" s="56" t="inlineStr">
        <is>
          <t>Zea mays</t>
        </is>
      </c>
      <c r="D24" s="56" t="inlineStr">
        <is>
          <t>Poaceae</t>
        </is>
      </c>
      <c r="E24" s="56" t="inlineStr">
        <is>
          <t>Arbustivo bajo (0.5-1.5 m)</t>
        </is>
      </c>
      <c r="F24" s="56" t="inlineStr">
        <is>
          <t>Introducida</t>
        </is>
      </c>
      <c r="G24" s="56" t="inlineStr">
        <is>
          <t>Ocasional (1-5%)</t>
        </is>
      </c>
      <c r="H24" s="56" t="n"/>
      <c r="I24" s="56" t="n"/>
    </row>
    <row r="25">
      <c r="A25" s="57" t="inlineStr">
        <is>
          <t>10</t>
        </is>
      </c>
      <c r="B25" s="57" t="inlineStr">
        <is>
          <t>Pastos cultivados</t>
        </is>
      </c>
      <c r="C25" s="57" t="inlineStr">
        <is>
          <t>Poaceae (indet.)</t>
        </is>
      </c>
      <c r="D25" s="57" t="inlineStr">
        <is>
          <t>Poaceae</t>
        </is>
      </c>
      <c r="E25" s="57" t="inlineStr">
        <is>
          <t>Herbáceo (&lt;0.5 m)</t>
        </is>
      </c>
      <c r="F25" s="57" t="inlineStr">
        <is>
          <t>Introducida</t>
        </is>
      </c>
      <c r="G25" s="57" t="inlineStr">
        <is>
          <t>Frecuente (5-20%)</t>
        </is>
      </c>
      <c r="H25" s="57" t="n"/>
      <c r="I25" s="57" t="n"/>
    </row>
    <row r="27">
      <c r="A27" s="54" t="inlineStr">
        <is>
          <t>F-DT-03 · ESPECIES CLAVE GEORREFERENCIADAS</t>
        </is>
      </c>
    </row>
    <row r="28">
      <c r="A28" s="55" t="inlineStr">
        <is>
          <t>N.o</t>
        </is>
      </c>
      <c r="B28" s="55" t="inlineStr">
        <is>
          <t>Especie</t>
        </is>
      </c>
      <c r="C28" s="55" t="inlineStr">
        <is>
          <t>Categoría</t>
        </is>
      </c>
      <c r="D28" s="55" t="inlineStr">
        <is>
          <t>Estado UICN</t>
        </is>
      </c>
      <c r="E28" s="55" t="inlineStr">
        <is>
          <t>UTM ESTE</t>
        </is>
      </c>
      <c r="F28" s="55" t="inlineStr">
        <is>
          <t>UTM NORTE</t>
        </is>
      </c>
      <c r="G28" s="55" t="inlineStr">
        <is>
          <t>N.° individuos</t>
        </is>
      </c>
      <c r="H28" s="55" t="inlineStr">
        <is>
          <t>Observación</t>
        </is>
      </c>
    </row>
    <row r="29">
      <c r="A29" s="56" t="inlineStr">
        <is>
          <t>1</t>
        </is>
      </c>
      <c r="B29" s="56" t="inlineStr">
        <is>
          <t>Faique (Vachellia macracantha)</t>
        </is>
      </c>
      <c r="C29" s="56" t="inlineStr">
        <is>
          <t>Indicadora de perturbación</t>
        </is>
      </c>
      <c r="D29" s="56" t="inlineStr">
        <is>
          <t>LC — Preocupación Menor</t>
        </is>
      </c>
      <c r="E29" s="56" t="n"/>
      <c r="F29" s="56" t="n"/>
      <c r="G29" s="56" t="n"/>
      <c r="H29" s="56" t="inlineStr">
        <is>
          <t>Colonizadora de laderas intervenidas; nativa del bosque seco. Frecuente en todo el bloque.</t>
        </is>
      </c>
    </row>
    <row r="30">
      <c r="A30" s="57" t="inlineStr">
        <is>
          <t>2</t>
        </is>
      </c>
      <c r="B30" s="57" t="inlineStr">
        <is>
          <t>Cactácea columnar (Armatocereus sp. / Espostoa sp.)</t>
        </is>
      </c>
      <c r="C30" s="57" t="inlineStr"/>
      <c r="D30" s="57" t="inlineStr"/>
      <c r="E30" s="57" t="n"/>
      <c r="F30" s="57" t="n"/>
      <c r="G30" s="57" t="n"/>
      <c r="H30" s="57" t="inlineStr">
        <is>
          <t>Indicadora de condiciones semiáridas. Categoría D.S. 043-2006-AG POR DETERMINAR: varias Cactaceae columnares del norte peruano están listadas. Requiere colecta y determinación específica (Biól. A. Aucasime).</t>
        </is>
      </c>
    </row>
    <row r="31">
      <c r="A31" s="56" t="inlineStr">
        <is>
          <t>3</t>
        </is>
      </c>
      <c r="B31" s="56" t="inlineStr">
        <is>
          <t>Caña Guayaquil (Guadua angustifolia)</t>
        </is>
      </c>
      <c r="C31" s="56" t="inlineStr">
        <is>
          <t>Clave cultural</t>
        </is>
      </c>
      <c r="D31" s="56" t="inlineStr"/>
      <c r="E31" s="56" t="n"/>
      <c r="F31" s="56" t="n"/>
      <c r="G31" s="56" t="n"/>
      <c r="H31" s="56" t="inlineStr">
        <is>
          <t>Nativa. Indicadora de humedad edáfica PERMANENTE en fondo de quebrada; uso local en construcción. Delimita el corredor ripario del bloque.</t>
        </is>
      </c>
    </row>
    <row r="32">
      <c r="A32" s="57" t="inlineStr">
        <is>
          <t>4</t>
        </is>
      </c>
      <c r="B32" s="57" t="inlineStr">
        <is>
          <t>Higuerón (Ficus sp.)</t>
        </is>
      </c>
      <c r="C32" s="57" t="inlineStr">
        <is>
          <t>Indicadora de buen estado</t>
        </is>
      </c>
      <c r="D32" s="57" t="inlineStr"/>
      <c r="E32" s="57" t="n"/>
      <c r="F32" s="57" t="n"/>
      <c r="G32" s="57" t="n"/>
      <c r="H32" s="57" t="inlineStr">
        <is>
          <t>Asociado a fondos de quebrada con humedad. Determinación específica pendiente.</t>
        </is>
      </c>
    </row>
    <row r="34">
      <c r="A34" s="54" t="inlineStr">
        <is>
          <t>F-DT-04 · MATRIZ DE CAUSAS DE DEGRADACIÓN</t>
        </is>
      </c>
    </row>
    <row r="35">
      <c r="A35" s="55" t="inlineStr">
        <is>
          <t>N.o</t>
        </is>
      </c>
      <c r="B35" s="55" t="inlineStr">
        <is>
          <t>Causa</t>
        </is>
      </c>
      <c r="C35" s="55" t="inlineStr">
        <is>
          <t>Presencia</t>
        </is>
      </c>
      <c r="D35" s="55" t="inlineStr">
        <is>
          <t>Intensidad</t>
        </is>
      </c>
      <c r="E35" s="55" t="inlineStr">
        <is>
          <t>Extensión</t>
        </is>
      </c>
      <c r="F35" s="55" t="inlineStr">
        <is>
          <t>Antigüedad</t>
        </is>
      </c>
      <c r="G35" s="55" t="inlineStr">
        <is>
          <t>Evidencia</t>
        </is>
      </c>
    </row>
    <row r="36">
      <c r="A36" s="56" t="inlineStr">
        <is>
          <t>1</t>
        </is>
      </c>
      <c r="B36" s="56" t="inlineStr">
        <is>
          <t>Sobrepastoreo (caprino/vacuno)</t>
        </is>
      </c>
      <c r="C36" s="56" t="inlineStr">
        <is>
          <t>Sí</t>
        </is>
      </c>
      <c r="D36" s="56" t="inlineStr">
        <is>
          <t>Ligera</t>
        </is>
      </c>
      <c r="E36" s="56" t="inlineStr"/>
      <c r="F36" s="56" t="inlineStr"/>
      <c r="G36" s="56" t="inlineStr">
        <is>
          <t>Pastos cultivados en manchas y red de sendas transversales a la ladera. Sin ganado visible en los fotogramas; carga ganadera POR VERIFICAR.</t>
        </is>
      </c>
    </row>
    <row r="37">
      <c r="A37" s="57" t="inlineStr">
        <is>
          <t>2</t>
        </is>
      </c>
      <c r="B37" s="57" t="inlineStr">
        <is>
          <t>Tala para leña</t>
        </is>
      </c>
      <c r="C37" s="57" t="inlineStr">
        <is>
          <t>No</t>
        </is>
      </c>
      <c r="D37" s="57" t="inlineStr"/>
      <c r="E37" s="57" t="inlineStr"/>
      <c r="F37" s="57" t="inlineStr"/>
      <c r="G37" s="57" t="inlineStr">
        <is>
          <t>No observada desde vuelo de dron.</t>
        </is>
      </c>
    </row>
    <row r="38">
      <c r="A38" s="56" t="inlineStr">
        <is>
          <t>3</t>
        </is>
      </c>
      <c r="B38" s="56" t="inlineStr">
        <is>
          <t>Tala para carbón</t>
        </is>
      </c>
      <c r="C38" s="56" t="inlineStr">
        <is>
          <t>No</t>
        </is>
      </c>
      <c r="D38" s="56" t="inlineStr"/>
      <c r="E38" s="56" t="inlineStr"/>
      <c r="F38" s="56" t="inlineStr"/>
      <c r="G38" s="56" t="inlineStr">
        <is>
          <t>No observada.</t>
        </is>
      </c>
    </row>
    <row r="39">
      <c r="A39" s="57" t="inlineStr">
        <is>
          <t>4</t>
        </is>
      </c>
      <c r="B39" s="57" t="inlineStr">
        <is>
          <t>Tala para madera</t>
        </is>
      </c>
      <c r="C39" s="57" t="inlineStr">
        <is>
          <t>No</t>
        </is>
      </c>
      <c r="D39" s="57" t="inlineStr"/>
      <c r="E39" s="57" t="inlineStr"/>
      <c r="F39" s="57" t="inlineStr"/>
      <c r="G39" s="57" t="inlineStr">
        <is>
          <t>No observada.</t>
        </is>
      </c>
    </row>
    <row r="40">
      <c r="A40" s="56" t="inlineStr">
        <is>
          <t>5</t>
        </is>
      </c>
      <c r="B40" s="56" t="inlineStr">
        <is>
          <t>Quema (renovación de pastos)</t>
        </is>
      </c>
      <c r="C40" s="56" t="inlineStr">
        <is>
          <t>No</t>
        </is>
      </c>
      <c r="D40" s="56" t="inlineStr"/>
      <c r="E40" s="56" t="inlineStr"/>
      <c r="F40" s="56" t="inlineStr"/>
      <c r="G40" s="56" t="inlineStr">
        <is>
          <t>Sin cicatrices de quema visibles en los fotogramas del 01-08-2026.</t>
        </is>
      </c>
    </row>
    <row r="41">
      <c r="A41" s="57" t="inlineStr">
        <is>
          <t>6</t>
        </is>
      </c>
      <c r="B41" s="57" t="inlineStr">
        <is>
          <t>Quema accidental / Incendio</t>
        </is>
      </c>
      <c r="C41" s="57" t="inlineStr">
        <is>
          <t>No</t>
        </is>
      </c>
      <c r="D41" s="57" t="inlineStr"/>
      <c r="E41" s="57" t="inlineStr"/>
      <c r="F41" s="57" t="inlineStr"/>
      <c r="G41" s="57" t="inlineStr">
        <is>
          <t>No observada.</t>
        </is>
      </c>
    </row>
    <row r="42">
      <c r="A42" s="56" t="inlineStr">
        <is>
          <t>7</t>
        </is>
      </c>
      <c r="B42" s="56" t="inlineStr">
        <is>
          <t>Cambio de uso a agricultura</t>
        </is>
      </c>
      <c r="C42" s="56" t="inlineStr">
        <is>
          <t>Sí</t>
        </is>
      </c>
      <c r="D42" s="56" t="inlineStr">
        <is>
          <t>Fuerte</t>
        </is>
      </c>
      <c r="E42" s="56" t="inlineStr"/>
      <c r="F42" s="56" t="inlineStr"/>
      <c r="G42" s="56" t="inlineStr">
        <is>
          <t>Parcelas de plátano, café, maíz y pastos cultivados en fondos de quebrada y rellanos de ladera (DJI_0281, DJI_0285, DJI_0286, DJI_0288). Es la causa directa dominante.</t>
        </is>
      </c>
    </row>
    <row r="43">
      <c r="A43" s="57" t="inlineStr">
        <is>
          <t>8</t>
        </is>
      </c>
      <c r="B43" s="57" t="inlineStr">
        <is>
          <t>Cambio de uso a pastoreo</t>
        </is>
      </c>
      <c r="C43" s="57" t="inlineStr">
        <is>
          <t>Sí</t>
        </is>
      </c>
      <c r="D43" s="57" t="inlineStr">
        <is>
          <t>Ligera</t>
        </is>
      </c>
      <c r="E43" s="57" t="inlineStr"/>
      <c r="F43" s="57" t="inlineStr"/>
      <c r="G43" s="57" t="inlineStr">
        <is>
          <t>Pastos cultivados en reemplazo de matorral en sectores de ladera media.</t>
        </is>
      </c>
    </row>
    <row r="44">
      <c r="A44" s="56" t="inlineStr">
        <is>
          <t>9</t>
        </is>
      </c>
      <c r="B44" s="56" t="inlineStr">
        <is>
          <t>Expansión urbana / vial</t>
        </is>
      </c>
      <c r="C44" s="56" t="inlineStr">
        <is>
          <t>Sí</t>
        </is>
      </c>
      <c r="D44" s="56" t="inlineStr">
        <is>
          <t>Moderada</t>
        </is>
      </c>
      <c r="E44" s="56" t="inlineStr"/>
      <c r="F44" s="56" t="inlineStr"/>
      <c r="G44" s="56" t="inlineStr">
        <is>
          <t>Viviendas y trocha carrozable en el borde inferior (SO), colindantes al caserío Ramón Castilla (DJI_0281, DJI_0265). Red densa de caminos de herradura al interior, con cortes y surcos asociados.</t>
        </is>
      </c>
    </row>
    <row r="45">
      <c r="A45" s="57" t="inlineStr">
        <is>
          <t>10</t>
        </is>
      </c>
      <c r="B45" s="57" t="inlineStr">
        <is>
          <t>Minería informal</t>
        </is>
      </c>
      <c r="C45" s="57" t="inlineStr">
        <is>
          <t>No</t>
        </is>
      </c>
      <c r="D45" s="57" t="inlineStr"/>
      <c r="E45" s="57" t="inlineStr"/>
      <c r="F45" s="57" t="inlineStr"/>
      <c r="G45" s="57" t="inlineStr">
        <is>
          <t>No observada.</t>
        </is>
      </c>
    </row>
    <row r="46">
      <c r="A46" s="56" t="inlineStr">
        <is>
          <t>11</t>
        </is>
      </c>
      <c r="B46" s="56" t="inlineStr">
        <is>
          <t>Extracción de áridos (cauces)</t>
        </is>
      </c>
      <c r="C46" s="56" t="inlineStr">
        <is>
          <t>No</t>
        </is>
      </c>
      <c r="D46" s="56" t="inlineStr"/>
      <c r="E46" s="56" t="inlineStr"/>
      <c r="F46" s="56" t="inlineStr"/>
      <c r="G46" s="56" t="inlineStr">
        <is>
          <t>No observada.</t>
        </is>
      </c>
    </row>
    <row r="47">
      <c r="A47" s="57" t="inlineStr">
        <is>
          <t>12</t>
        </is>
      </c>
      <c r="B47" s="57" t="inlineStr">
        <is>
          <t>Especies invasoras</t>
        </is>
      </c>
      <c r="C47" s="57" t="inlineStr">
        <is>
          <t>No</t>
        </is>
      </c>
      <c r="D47" s="57" t="inlineStr"/>
      <c r="E47" s="57" t="inlineStr"/>
      <c r="F47" s="57" t="inlineStr"/>
      <c r="G47" s="57" t="inlineStr">
        <is>
          <t>No se identifican invasoras formales. Se registra Eucalyptus globulus (introducida) en rodales dispersos: evaluar competencia hídrica en cabecera.</t>
        </is>
      </c>
    </row>
    <row r="48">
      <c r="A48" s="56" t="inlineStr">
        <is>
          <t>13</t>
        </is>
      </c>
      <c r="B48" s="56" t="inlineStr">
        <is>
          <t>Erosión natural severa</t>
        </is>
      </c>
      <c r="C48" s="56" t="inlineStr">
        <is>
          <t>No</t>
        </is>
      </c>
      <c r="D48" s="56" t="inlineStr"/>
      <c r="E48" s="56" t="inlineStr"/>
      <c r="F48" s="56" t="inlineStr"/>
      <c r="G48" s="56" t="inlineStr">
        <is>
          <t>La erosión es antrópicamente inducida (caminos y cambio de uso), no natural severa. Ver F-DT-02.</t>
        </is>
      </c>
    </row>
    <row r="49">
      <c r="A49" s="57" t="inlineStr">
        <is>
          <t>14</t>
        </is>
      </c>
      <c r="B49" s="57" t="inlineStr">
        <is>
          <t>Sequía prolongada / CC</t>
        </is>
      </c>
      <c r="C49" s="57" t="inlineStr"/>
      <c r="D49" s="57" t="inlineStr"/>
      <c r="E49" s="57" t="inlineStr"/>
      <c r="F49" s="57" t="inlineStr"/>
      <c r="G49" s="57" t="inlineStr">
        <is>
          <t>POR VERIFICAR — requiere serie climática SENAMHI y análisis de tendencia (TAU/NDVI). El estrato herbáceo seco del 01-08-2026 responde a estacionalidad de estiaje, no necesariamente a tendencia climática.</t>
        </is>
      </c>
    </row>
    <row r="50">
      <c r="A50" s="56" t="inlineStr">
        <is>
          <t>15</t>
        </is>
      </c>
      <c r="B50" s="56" t="inlineStr">
        <is>
          <t>Plagas o enfermedades forestales</t>
        </is>
      </c>
      <c r="C50" s="56" t="inlineStr">
        <is>
          <t>No</t>
        </is>
      </c>
      <c r="D50" s="56" t="inlineStr"/>
      <c r="E50" s="56" t="inlineStr"/>
      <c r="F50" s="56" t="inlineStr"/>
      <c r="G50" s="56" t="inlineStr">
        <is>
          <t>No observadas.</t>
        </is>
      </c>
    </row>
    <row r="51">
      <c r="A51" s="57" t="inlineStr">
        <is>
          <t>16</t>
        </is>
      </c>
      <c r="B51" s="57" t="inlineStr">
        <is>
          <t>Otro</t>
        </is>
      </c>
      <c r="C51" s="57" t="inlineStr">
        <is>
          <t>No</t>
        </is>
      </c>
      <c r="D51" s="57" t="inlineStr"/>
      <c r="E51" s="57" t="inlineStr"/>
      <c r="F51" s="57" t="inlineStr"/>
      <c r="G51" s="57" t="inlineStr">
        <is>
          <t>Sin otras causas identificadas desde vuelo de dron.</t>
        </is>
      </c>
    </row>
    <row r="53">
      <c r="A53" s="54" t="inlineStr">
        <is>
          <t>F-DT-04 · INDICADORES CUANTITATIVOS</t>
        </is>
      </c>
    </row>
    <row r="54">
      <c r="A54" s="55" t="inlineStr">
        <is>
          <t>N.o</t>
        </is>
      </c>
      <c r="B54" s="55" t="inlineStr">
        <is>
          <t>Indicador</t>
        </is>
      </c>
      <c r="C54" s="55" t="inlineStr">
        <is>
          <t>Unidad</t>
        </is>
      </c>
      <c r="D54" s="55" t="inlineStr">
        <is>
          <t>Valor</t>
        </is>
      </c>
      <c r="E54" s="55" t="inlineStr">
        <is>
          <t>Fuente</t>
        </is>
      </c>
      <c r="F54" s="55" t="inlineStr">
        <is>
          <t>Umbral</t>
        </is>
      </c>
      <c r="G54" s="55" t="inlineStr">
        <is>
          <t>Nivel</t>
        </is>
      </c>
    </row>
    <row r="55">
      <c r="A55" s="56" t="inlineStr">
        <is>
          <t>1</t>
        </is>
      </c>
      <c r="B55" s="56" t="inlineStr">
        <is>
          <t>Cobertura vegetal total</t>
        </is>
      </c>
      <c r="C55" s="56" t="inlineStr">
        <is>
          <t>%</t>
        </is>
      </c>
      <c r="D55" s="56" t="inlineStr">
        <is>
          <t>85</t>
        </is>
      </c>
      <c r="E55" s="56" t="inlineStr">
        <is>
          <t>Estimación visual sobre fotogramas de dron 01-08-2026 + NDVI mediana 2025</t>
        </is>
      </c>
      <c r="F55" s="56" t="inlineStr">
        <is>
          <t>&gt;60% bueno; 30-60% medio; &lt;30% malo</t>
        </is>
      </c>
      <c r="G55" s="56" t="inlineStr">
        <is>
          <t>Alto</t>
        </is>
      </c>
    </row>
    <row r="56">
      <c r="A56" s="57" t="inlineStr">
        <is>
          <t>2</t>
        </is>
      </c>
      <c r="B56" s="57" t="inlineStr">
        <is>
          <t>Porcentaje de suelo desnudo</t>
        </is>
      </c>
      <c r="C56" s="57" t="inlineStr">
        <is>
          <t>%</t>
        </is>
      </c>
      <c r="D56" s="57" t="inlineStr">
        <is>
          <t>8</t>
        </is>
      </c>
      <c r="E56" s="57" t="inlineStr">
        <is>
          <t>Estimación visual sobre fotogramas de dron 01-08-2026</t>
        </is>
      </c>
      <c r="F56" s="57" t="inlineStr">
        <is>
          <t>&lt;10% bueno; 10-30% medio; &gt;30% malo</t>
        </is>
      </c>
      <c r="G56" s="57" t="inlineStr">
        <is>
          <t>Alto</t>
        </is>
      </c>
    </row>
    <row r="57">
      <c r="A57" s="56" t="inlineStr">
        <is>
          <t>3</t>
        </is>
      </c>
      <c r="B57" s="56" t="inlineStr">
        <is>
          <t>Densidad de cárcavas</t>
        </is>
      </c>
      <c r="C57" s="56" t="inlineStr">
        <is>
          <t>N°/ha</t>
        </is>
      </c>
      <c r="D57" s="56" t="inlineStr">
        <is>
          <t>Por verificar</t>
        </is>
      </c>
      <c r="E57" s="56" t="inlineStr">
        <is>
          <t>Requiere levantamiento instrumental (Infraestructura Marrón)</t>
        </is>
      </c>
      <c r="F57" s="56" t="inlineStr">
        <is>
          <t>0 nulo; 1-3 medio; &gt;3 alto</t>
        </is>
      </c>
      <c r="G57" s="56" t="inlineStr"/>
    </row>
    <row r="58">
      <c r="A58" s="57" t="inlineStr">
        <is>
          <t>4</t>
        </is>
      </c>
      <c r="B58" s="57" t="inlineStr">
        <is>
          <t>Presencia de especies invasoras</t>
        </is>
      </c>
      <c r="C58" s="57" t="inlineStr">
        <is>
          <t>% área</t>
        </is>
      </c>
      <c r="D58" s="57" t="inlineStr">
        <is>
          <t>Por verificar</t>
        </is>
      </c>
      <c r="E58" s="57" t="inlineStr">
        <is>
          <t>No se identifican especies invasoras formales; Eucalyptus globulus por cuantificar</t>
        </is>
      </c>
      <c r="F58" s="57" t="inlineStr">
        <is>
          <t>&lt;5% bueno; 5-20% medio; &gt;20% alto</t>
        </is>
      </c>
      <c r="G58" s="57" t="inlineStr"/>
    </row>
    <row r="59">
      <c r="A59" s="56" t="inlineStr">
        <is>
          <t>5</t>
        </is>
      </c>
      <c r="B59" s="56" t="inlineStr">
        <is>
          <t>Carga ganadera estimada</t>
        </is>
      </c>
      <c r="C59" s="56" t="inlineStr">
        <is>
          <t>UA/ha</t>
        </is>
      </c>
      <c r="D59" s="56" t="inlineStr">
        <is>
          <t>Por verificar</t>
        </is>
      </c>
      <c r="E59" s="56" t="inlineStr">
        <is>
          <t>Requiere censo pecuario / entrevista comunal</t>
        </is>
      </c>
      <c r="F59" s="56" t="inlineStr">
        <is>
          <t>Según tipo de ecosistema</t>
        </is>
      </c>
      <c r="G59" s="56" t="inlineStr"/>
    </row>
    <row r="60">
      <c r="A60" s="57" t="inlineStr">
        <is>
          <t>6</t>
        </is>
      </c>
      <c r="B60" s="57" t="inlineStr">
        <is>
          <t>Frecuencia de quemas últimos 5 años</t>
        </is>
      </c>
      <c r="C60" s="57" t="inlineStr">
        <is>
          <t>N°</t>
        </is>
      </c>
      <c r="D60" s="57" t="inlineStr">
        <is>
          <t>Por verificar</t>
        </is>
      </c>
      <c r="E60" s="57" t="inlineStr">
        <is>
          <t>Requiere serie de focos de calor (MODIS/VIIRS) y entrevista comunal</t>
        </is>
      </c>
      <c r="F60" s="57" t="inlineStr">
        <is>
          <t>0 nulo; 1-2 medio; &gt;2 alto</t>
        </is>
      </c>
      <c r="G60" s="57" t="inlineStr"/>
    </row>
    <row r="61">
      <c r="A61" s="56" t="inlineStr">
        <is>
          <t>7</t>
        </is>
      </c>
      <c r="B61" s="56" t="inlineStr">
        <is>
          <t>% área con pendiente &gt;50%</t>
        </is>
      </c>
      <c r="C61" s="56" t="inlineStr">
        <is>
          <t>%</t>
        </is>
      </c>
      <c r="D61" s="56" t="inlineStr">
        <is>
          <t>Por verificar</t>
        </is>
      </c>
      <c r="E61" s="56" t="inlineStr">
        <is>
          <t>Sólo se dispone de la pendiente PROMEDIO del bloque (28,25 %, DEM); falta el histograma de pendientes</t>
        </is>
      </c>
      <c r="F61" s="56" t="inlineStr">
        <is>
          <t>Factor de susceptibilidad</t>
        </is>
      </c>
      <c r="G61" s="56" t="inlineStr"/>
    </row>
    <row r="62">
      <c r="A62" s="57" t="inlineStr">
        <is>
          <t>8</t>
        </is>
      </c>
      <c r="B62" s="57" t="inlineStr">
        <is>
          <t>Distancia a vía vecinal más cercana</t>
        </is>
      </c>
      <c r="C62" s="57" t="inlineStr">
        <is>
          <t>m</t>
        </is>
      </c>
      <c r="D62" s="57" t="inlineStr">
        <is>
          <t>≈400</t>
        </is>
      </c>
      <c r="E62" s="57" t="inlineStr">
        <is>
          <t>Estimación cartográfica sobre mapa MSAVI 2024 (red vial al SO, fuera del polígono); por verificar en gabinete GIS</t>
        </is>
      </c>
      <c r="F62" s="57" t="inlineStr">
        <is>
          <t>A menor distancia → mayor presión</t>
        </is>
      </c>
      <c r="G62" s="57" t="inlineStr">
        <is>
          <t>Medio</t>
        </is>
      </c>
    </row>
    <row r="64">
      <c r="A64" s="54" t="inlineStr">
        <is>
          <t>F-DT-05 · FUENTES DE AGUA INVENTARIADAS</t>
        </is>
      </c>
    </row>
    <row r="65">
      <c r="A65" s="55" t="inlineStr">
        <is>
          <t>N.o</t>
        </is>
      </c>
      <c r="B65" s="55" t="inlineStr">
        <is>
          <t>Tipo de fuente</t>
        </is>
      </c>
      <c r="C65" s="55" t="inlineStr">
        <is>
          <t>UTM ESTE</t>
        </is>
      </c>
      <c r="D65" s="55" t="inlineStr">
        <is>
          <t>UTM NORTE</t>
        </is>
      </c>
      <c r="E65" s="55" t="inlineStr">
        <is>
          <t>Régimen</t>
        </is>
      </c>
      <c r="F65" s="55" t="inlineStr">
        <is>
          <t>Calidad</t>
        </is>
      </c>
      <c r="G65" s="55" t="inlineStr">
        <is>
          <t>Distancia (m)</t>
        </is>
      </c>
      <c r="H65" s="55" t="inlineStr">
        <is>
          <t>Uso / observación</t>
        </is>
      </c>
    </row>
    <row r="66">
      <c r="A66" s="56" t="inlineStr">
        <is>
          <t>1</t>
        </is>
      </c>
      <c r="B66" s="56" t="inlineStr">
        <is>
          <t>Quebrada estacional</t>
        </is>
      </c>
      <c r="C66" s="56" t="n"/>
      <c r="D66" s="56" t="n"/>
      <c r="E66" s="56" t="inlineStr">
        <is>
          <t>Estacional (lluvias)</t>
        </is>
      </c>
      <c r="F66" s="56" t="inlineStr"/>
      <c r="G66" s="56" t="n"/>
      <c r="H66" s="56" t="inlineStr">
        <is>
          <t>Quebrada tributaria que drena el bloque en sentido NE–SO hacia la microcuenca C1076-Q9592. Cauce encañonado con bloques rocosos y socavamiento de márgenes (DJI_0300, DJI_0302). Régimen y coordenadas POR VERIFICAR.</t>
        </is>
      </c>
    </row>
    <row r="67">
      <c r="A67" s="57" t="inlineStr">
        <is>
          <t>2</t>
        </is>
      </c>
      <c r="B67" s="57" t="inlineStr">
        <is>
          <t>Otro</t>
        </is>
      </c>
      <c r="C67" s="57" t="n"/>
      <c r="D67" s="57" t="n"/>
      <c r="E67" s="57" t="inlineStr">
        <is>
          <t>Permanente</t>
        </is>
      </c>
      <c r="F67" s="57" t="inlineStr"/>
      <c r="G67" s="57" t="n"/>
      <c r="H67" s="57" t="inlineStr">
        <is>
          <t>Zonas de humedad edáfica permanente en el fondo de quebrada, evidenciadas por rodales de Guadua angustifolia (caña Guayaquil) y vegetación ripariana de mayor vigor. Tipo exacto (afloramiento difuso / manantial) y coordenadas POR VERIFICAR mediante recorrido pedestre.</t>
        </is>
      </c>
    </row>
    <row r="70">
      <c r="A70" s="54" t="inlineStr">
        <is>
          <t>OBSERVACIONES DEL EVALUADOR POR FICHA</t>
        </is>
      </c>
    </row>
    <row r="71">
      <c r="A71" s="55" t="inlineStr">
        <is>
          <t>Ficha</t>
        </is>
      </c>
      <c r="B71" s="55" t="inlineStr">
        <is>
          <t>Observación registrada en campo</t>
        </is>
      </c>
    </row>
    <row r="72">
      <c r="A72" s="56" t="inlineStr">
        <is>
          <t>F-DT-01</t>
        </is>
      </c>
      <c r="B72" s="56" t="inlineStr">
        <is>
          <t>PARÁMETROS DE GABINETE (fuente: "Rango de altitud y Pendiente Promedio por Bloque", DEM). Rango altitudinal del bloque: 1 538 – 1 742 msnm (amplitud 204 m). Pendiente promedio: 28,25 %. Área: 12,398 ha. MSAVI 2024 (media): 0,5185. Microcuenca C1076-Q9592, Zona Z13. Centroide (Bloques V4): 662 236 m E · 9 391 211 m N — UTM WGS84 17S. || MODALIDAD DE VERIFICACIÓN: vuelo de dron del 01-08-2026 (sin recorrido pedestre interior). Completitud física estimada &lt;10 %. || POR VERIFICAR: altitud GPS instrumental; nombre de la comunidad campesina; origen de las lineaciones subhorizontales tipo terraceta observadas en ladera (reptación vs. pisoteo de ganado vs. terraceo agrícola antiguo) — DJI_0306, DJI_0304. || D-01: el Bloque 72 NO figura en Centroides_Bloques.xls (catálogo restringido a bloques de código M); el centroide se toma de la tabla auxiliar "Bloques V4". || D-05: las fotografías de dron entregadas carecen de metadatos EXIF/GPS, por lo que no es posible asignar cada fotograma al polígono ni georreferenciar rasgos. El panel fotográfico se trata como registro de SECTOR, no de punto.</t>
        </is>
      </c>
    </row>
    <row r="73">
      <c r="A73" s="57" t="inlineStr">
        <is>
          <t>F-DT-02</t>
        </is>
      </c>
      <c r="B73" s="57" t="inlineStr">
        <is>
          <t>La erosión observada desde vuelo de dron es de tipo lineal y se concentra en (i) el eje de la quebrada tributaria, con escarpes de cabecera y socavamiento de márgenes (DJI_0300, DJI_0302), y (ii) la red de caminos de herradura que secciona la ladera en sentido transversal a la pendiente, con surcos y desprendimientos en los cortes (DJI_0285, DJI_0288, DJI_0297). Se observan además afloramientos rocosos y bloques desprendidos en el fondo de quebrada. || POR VERIFICAR (levantamiento instrumental a cargo del especialista de Infraestructura Marrón): coordenadas UTM de inicio/fin de cada rasgo, longitud, profundidad y ancho medio; longitud total de cárcavas; % del bloque afectado; % de erosión laminar; densidad de cárcavas por hectárea. || El inventario registrado (4 rasgos) NO es exhaustivo: corresponde a los rasgos discernibles en los fotogramas disponibles y no a un barrido sistemático del polígono. || D-05: sin EXIF/GPS en las fotografías, las columnas de coordenadas se dejan en blanco antes que consignar valores estimados.</t>
        </is>
      </c>
    </row>
    <row r="74">
      <c r="A74" s="56" t="inlineStr">
        <is>
          <t>F-DT-03</t>
        </is>
      </c>
      <c r="B74" s="56" t="inlineStr">
        <is>
          <t>INVENTARIO FLORÍSTICO PRELIMINAR — 10 taxones. NO se alcanza el mínimo de 15 especies de la ficha: la identificación se realizó exclusivamente desde vuelo de dron (01-08-2026), técnica que sólo resuelve taxones de copa o porte distintivo. Los nombres científicos son HIPÓTESIS DE TRABAJO sujetas a colecta y determinación botánica formal (Biól. Abel Aucasime Orihuela); en particular Inga sp., Ficus sp., la cactácea columnar y los pastos cultivados. || NO EVALUABLE desde vuelo de dron y por tanto EN BLANCO: regeneración natural, presencia de epífitas, altura del estrato dominante, altura máxima, DAP y cobertura de hojarasca. || La pendiente consignada (28,25 %) es el PROMEDIO DEL BLOQUE derivado del DEM, no de una parcela; no se instaló parcela de muestreo. || D-04: la lectura de campo asigna el ecosistema dominante a MATORRAL ANDINO SEMIÁRIDO (fisonomía arbustiva-herbácea, cactáceas columnares, faique, ausencia de dosel cerrado), mientras que los bloques vecinos de la misma microcuenca C1076-Q9592 (p. ej. Bloque 18) están catalogados como Bes-cm. Requiere consulta al Reporte de Ecosistemas por Bloques V5 y decisión de la Subdirección. || D-02: divergencia entre índices. MSAVI 2024 (media 0,5185) muestra clases 0,3813–0,4976 en una fracción amplia del polígono, mientras que el NDVI mediana 2025 clasifica prácticamente todo el bloque como "Vegetación alta". El contraste es atribuible a la fecha de las escenas, a la estacionalidad del estrato herbáceo (agosto = estiaje) y a la corrección de fondo de suelo del MSAVI. No debe interpretarse como recuperación de cobertura sin verificación adicional.</t>
        </is>
      </c>
    </row>
    <row r="75">
      <c r="A75" s="57" t="inlineStr">
        <is>
          <t>F-DT-05</t>
        </is>
      </c>
      <c r="B75" s="57" t="inlineStr">
        <is>
          <t>El bloque se ubica en ZONA DE ORIGEN Y RECARGA de la microcuenca C1076-Q9592 (cotas 1 538–1 742 msnm). Las coordenadas de las fuentes se dejan EN BLANCO por ausencia de EXIF/GPS en las fotografías (D-05). || ACCESIBILIDAD: la red vial cartografiada (mapa MSAVI 2024) NO intercepta el polígono; el segmento más cercano se sitúa al SO, fuera del bloque (≈400 m, por verificar). El acceso interior es exclusivamente por camino de herradura, lo que condiciona la logística de las MRR-CCC (acarreo manual o con acémila de plantones e insumos). || POR VERIFICAR: distancia y ubicación de la captación poblacional, nombre y directiva de la JASS, existencia de sistemas de riego, tiempos de viaje desde Huarmaca y Huancabamba, señal celular y operador, alojamiento rural, y autorización/contacto de la Ronda Campesina de Ramón Castilla. || NOTA DE IDONEIDAD OPERATIVA: la alta aptitud ecológica del sitio (zona de recarga con humedad permanente) coexiste con una BAJA aptitud operativa por acceso restringido y presencia de predios en uso agrícola y viviendas en el borde. Ambas dimensiones deben reportarse por separado en el Perfil. || Los campos "Alojamiento rural disponible" y "¿Requiere autorización de Ronda Campesina?" se dejan EN BLANCO por tratarse de listas cerradas Sí/No sin verificación en campo; ambos quedan POR VERIFICAR.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72</t>
        </is>
      </c>
    </row>
    <row r="7">
      <c r="A7" s="54" t="inlineStr">
        <is>
          <t>Hechos declarados por fuente</t>
        </is>
      </c>
    </row>
    <row r="8">
      <c r="A8" s="55" t="inlineStr">
        <is>
          <t>Fuente</t>
        </is>
      </c>
      <c r="B8" s="55" t="inlineStr">
        <is>
          <t>Hechos</t>
        </is>
      </c>
    </row>
    <row r="9">
      <c r="A9" s="56" t="inlineStr">
        <is>
          <t>Dato de campo</t>
        </is>
      </c>
      <c r="B9" s="56" t="n">
        <v>57</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92</v>
      </c>
    </row>
    <row r="31">
      <c r="A31" s="57" t="inlineStr">
        <is>
          <t>COMPLEMENTADO</t>
        </is>
      </c>
      <c r="B31" s="57" t="n">
        <v>1</v>
      </c>
    </row>
    <row r="32">
      <c r="A32" s="56" t="inlineStr">
        <is>
          <t>ACTUALIZADO</t>
        </is>
      </c>
      <c r="B32" s="56" t="n">
        <v>0</v>
      </c>
    </row>
    <row r="33">
      <c r="A33" s="57" t="inlineStr">
        <is>
          <t>DISCREPANTE</t>
        </is>
      </c>
      <c r="B33" s="57" t="n">
        <v>0</v>
      </c>
    </row>
    <row r="34">
      <c r="A34" s="56" t="inlineStr">
        <is>
          <t>PENDIENTE</t>
        </is>
      </c>
      <c r="B34" s="56" t="n">
        <v>21</v>
      </c>
    </row>
    <row r="51">
      <c r="A51" s="54" t="inlineStr">
        <is>
          <t>Cobertura por estrato — campo (%)</t>
        </is>
      </c>
    </row>
    <row r="52">
      <c r="A52" s="55" t="inlineStr">
        <is>
          <t>Estrato</t>
        </is>
      </c>
      <c r="B52" s="55" t="inlineStr">
        <is>
          <t>% del área</t>
        </is>
      </c>
    </row>
    <row r="53">
      <c r="A53" s="56" t="inlineStr">
        <is>
          <t>Dosel</t>
        </is>
      </c>
      <c r="B53" s="61" t="n">
        <v>10</v>
      </c>
    </row>
    <row r="54">
      <c r="A54" s="57" t="inlineStr">
        <is>
          <t>Arbustiva</t>
        </is>
      </c>
      <c r="B54" s="62" t="n">
        <v>45</v>
      </c>
    </row>
    <row r="55">
      <c r="A55" s="56" t="inlineStr">
        <is>
          <t>Herbácea</t>
        </is>
      </c>
      <c r="B55" s="61" t="n">
        <v>30</v>
      </c>
    </row>
    <row r="56">
      <c r="A56" s="57" t="inlineStr">
        <is>
          <t>Suelo desnudo</t>
        </is>
      </c>
      <c r="B56" s="63" t="n">
        <v>8</v>
      </c>
    </row>
    <row r="73">
      <c r="A73" s="54" t="inlineStr">
        <is>
          <t>Causas activas de degradación (F-DT-04)</t>
        </is>
      </c>
    </row>
    <row r="74">
      <c r="A74" s="55" t="inlineStr">
        <is>
          <t>Causa</t>
        </is>
      </c>
      <c r="B74" s="55" t="inlineStr">
        <is>
          <t>Intensidad (1 ligera - 4 muy fuerte)</t>
        </is>
      </c>
    </row>
    <row r="75">
      <c r="A75" s="56" t="inlineStr">
        <is>
          <t>Cambio de uso a agricultura</t>
        </is>
      </c>
      <c r="B75" s="56" t="n">
        <v>3</v>
      </c>
    </row>
    <row r="76">
      <c r="A76" s="57" t="inlineStr">
        <is>
          <t>Expansión urbana / vial</t>
        </is>
      </c>
      <c r="B76" s="57" t="n">
        <v>2</v>
      </c>
    </row>
    <row r="77">
      <c r="A77" s="56" t="inlineStr">
        <is>
          <t>Cambio de uso a pastoreo</t>
        </is>
      </c>
      <c r="B77" s="56" t="n">
        <v>1</v>
      </c>
    </row>
    <row r="78">
      <c r="A78" s="57" t="inlineStr">
        <is>
          <t>Sobrepastoreo (caprino/vacuno)</t>
        </is>
      </c>
      <c r="B78" s="57" t="n">
        <v>1</v>
      </c>
    </row>
    <row r="95">
      <c r="A95" s="54" t="inlineStr">
        <is>
          <t>Control de consistencia por calificación</t>
        </is>
      </c>
    </row>
    <row r="96">
      <c r="A96" s="55" t="inlineStr">
        <is>
          <t>Calificación</t>
        </is>
      </c>
      <c r="B96" s="55" t="inlineStr">
        <is>
          <t>Verificaciones</t>
        </is>
      </c>
    </row>
    <row r="97">
      <c r="A97" s="56" t="inlineStr">
        <is>
          <t>SUSTANTIVA</t>
        </is>
      </c>
      <c r="B97" s="56" t="n">
        <v>5</v>
      </c>
    </row>
    <row r="98">
      <c r="A98" s="57" t="inlineStr">
        <is>
          <t>NO SUSTANTIVA</t>
        </is>
      </c>
      <c r="B98" s="57" t="n">
        <v>3</v>
      </c>
    </row>
    <row r="99">
      <c r="A99" s="56" t="inlineStr">
        <is>
          <t>CORREGIDO</t>
        </is>
      </c>
      <c r="B99" s="56" t="n">
        <v>0</v>
      </c>
    </row>
    <row r="100">
      <c r="A100" s="57" t="inlineStr">
        <is>
          <t>CONFORME</t>
        </is>
      </c>
      <c r="B100"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72 — IN Piura</dc:title>
  <dc:subject>Diagnóstico Territorial por bloque de intervención</dc:subject>
  <dcterms:created xsi:type="dcterms:W3CDTF">2026-09-08T03:39:57Z</dcterms:created>
  <dcterms:modified xsi:type="dcterms:W3CDTF">2026-09-11T20:22:32Z</dcterms:modified>
</cp:coreProperties>
</file>