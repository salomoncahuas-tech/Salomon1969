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integración'!$A$75:$A$80</f>
            </numRef>
          </cat>
          <val>
            <numRef>
              <f>'Gráficos de integración'!$B$75:$B$80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integración'!B98</f>
            </strRef>
          </tx>
          <spPr>
            <a:ln>
              <a:prstDash val="solid"/>
            </a:ln>
          </spPr>
          <cat>
            <numRef>
              <f>'Gráficos de integración'!$A$99:$A$102</f>
            </numRef>
          </cat>
          <val>
            <numRef>
              <f>'Gráficos de integración'!$B$99:$B$102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97</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50</t>
        </is>
      </c>
    </row>
    <row r="6" ht="24" customHeight="1">
      <c r="A6" s="4" t="inlineStr">
        <is>
          <t>Diagnóstico Territorial — Plantilla DT Campo Check Validada V5 | Sistema de referencia: UTM WGS 84 Zona 17S (EPSG:32717) · Integrado con la ficha de campo F-DT vigente (Plantilla_DT_Campo_Bloque50_V5.xlsx) — V7 - resumen V6 + campo F-DT integrado</t>
        </is>
      </c>
    </row>
    <row r="7"/>
    <row r="8" ht="18" customHeight="1">
      <c r="A8" s="5" t="inlineStr">
        <is>
          <t>1. IDENTIFICACIÓN Y LOCALIZACIÓN</t>
        </is>
      </c>
    </row>
    <row r="9">
      <c r="A9" s="6" t="inlineStr">
        <is>
          <t>Código del bloque</t>
        </is>
      </c>
      <c r="B9" s="7" t="inlineStr">
        <is>
          <t>50</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(no intercepta CP; ~1.3 km al N)</t>
        </is>
      </c>
      <c r="C13" s="6" t="inlineStr">
        <is>
          <t>Comunidad campesina</t>
        </is>
      </c>
      <c r="D13" s="7" t="inlineStr">
        <is>
          <t>Por determinar</t>
        </is>
      </c>
      <c r="E13" s="8" t="n"/>
      <c r="F13" s="8" t="n"/>
    </row>
    <row r="14">
      <c r="A14" s="6" t="inlineStr">
        <is>
          <t>Superficie de catálogo (V5/V6), ha</t>
        </is>
      </c>
      <c r="B14" s="7" t="n">
        <v>19.27</v>
      </c>
      <c r="C14" s="6" t="inlineStr">
        <is>
          <t>Fuente de superficie</t>
        </is>
      </c>
      <c r="D14" s="7" t="inlineStr">
        <is>
          <t>Catálogo maestro Bloques V5/V6</t>
        </is>
      </c>
      <c r="E14" s="8" t="n"/>
      <c r="F14" s="8" t="n"/>
    </row>
    <row r="15">
      <c r="A15" s="6" t="inlineStr">
        <is>
          <t>Centroide UTM ESTE (m)</t>
        </is>
      </c>
      <c r="B15" s="7" t="n">
        <v>647350</v>
      </c>
      <c r="C15" s="6" t="inlineStr">
        <is>
          <t>Centroide UTM NORTE (m)</t>
        </is>
      </c>
      <c r="D15" s="7" t="n">
        <v>9427252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1468</v>
      </c>
      <c r="C19" s="6" t="inlineStr">
        <is>
          <t>Altitud máxima (msnm)</t>
        </is>
      </c>
      <c r="D19" s="7" t="n">
        <v>1725</v>
      </c>
      <c r="E19" s="8" t="n"/>
      <c r="F19" s="8" t="n"/>
    </row>
    <row r="20">
      <c r="A20" s="6" t="inlineStr">
        <is>
          <t>Amplitud altitudinal (m)</t>
        </is>
      </c>
      <c r="B20" s="7" t="n">
        <v>257</v>
      </c>
      <c r="C20" s="6" t="inlineStr">
        <is>
          <t>Piso altitudinal dominante</t>
        </is>
      </c>
      <c r="D20" s="7" t="inlineStr">
        <is>
          <t>1500-2000 m (Quechua media)</t>
        </is>
      </c>
      <c r="E20" s="8" t="n"/>
      <c r="F20" s="8" t="n"/>
    </row>
    <row r="21">
      <c r="A21" s="6" t="inlineStr">
        <is>
          <t>Pendiente promedio (%)</t>
        </is>
      </c>
      <c r="B21" s="7" t="n">
        <v>30.47</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0.6831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(99.57 %)</t>
        </is>
      </c>
      <c r="E29" s="8" t="n"/>
      <c r="F29" s="8" t="n"/>
    </row>
    <row r="30">
      <c r="A30" s="6" t="inlineStr">
        <is>
          <t>Superficie clasificada NDVI 2025 (ha)</t>
        </is>
      </c>
      <c r="B30" s="7" t="n">
        <v>19.271</v>
      </c>
      <c r="C30" s="6" t="inlineStr">
        <is>
          <t>Desviación frente al catálogo (%)</t>
        </is>
      </c>
      <c r="D30" s="7" t="n">
        <v>0.01</v>
      </c>
      <c r="E30" s="8" t="n"/>
      <c r="F30" s="8" t="n"/>
    </row>
    <row r="31">
      <c r="A31" s="6" t="inlineStr">
        <is>
          <t>Superficie clasificada MSAVI 2024 (ha)</t>
        </is>
      </c>
      <c r="B31" s="38" t="n">
        <v>19.266</v>
      </c>
      <c r="C31" s="6" t="inlineStr">
        <is>
          <t>Desviación MSAVI frente al catálogo (%)</t>
        </is>
      </c>
      <c r="D31" s="39" t="n">
        <v>-0.02</v>
      </c>
      <c r="E31" s="8" t="n"/>
      <c r="F31" s="8" t="n"/>
    </row>
    <row r="32">
      <c r="A32" s="6" t="inlineStr">
        <is>
          <t>Superficie bajo umbral MSAVI 0.4976 (ha)</t>
        </is>
      </c>
      <c r="B32" s="38" t="n">
        <v>0.06900000000000001</v>
      </c>
      <c r="C32" s="6" t="inlineStr">
        <is>
          <t>% del bloque bajo umbral (brecha espectral)</t>
        </is>
      </c>
      <c r="D32" s="39" t="n">
        <v>0.36</v>
      </c>
      <c r="E32" s="8" t="n"/>
      <c r="F32" s="8" t="n"/>
    </row>
    <row r="33">
      <c r="A33" s="6" t="inlineStr">
        <is>
          <t>Clase DN dominante (MSAVI 2024)</t>
        </is>
      </c>
      <c r="B33" s="7" t="inlineStr">
        <is>
          <t>DN 5 · &gt; 0.6139 (Vigor alto)</t>
        </is>
      </c>
      <c r="C33" s="6" t="inlineStr">
        <is>
          <t>N.° de polígonos MSAVI del bloque</t>
        </is>
      </c>
      <c r="D33" s="40" t="n">
        <v>39</v>
      </c>
      <c r="E33" s="8" t="n"/>
      <c r="F33" s="8" t="n"/>
    </row>
    <row r="34"/>
    <row r="35" ht="18" customHeight="1">
      <c r="A35" s="5" t="inlineStr">
        <is>
          <t>4. ECOSISTEMA Y ESTADO DE CONSERVACIÓN</t>
        </is>
      </c>
    </row>
    <row r="36">
      <c r="A36" s="6" t="inlineStr">
        <is>
          <t>Tipo de ecosistema (UP)</t>
        </is>
      </c>
      <c r="B36" s="7" t="inlineStr">
        <is>
          <t>Matorral Andino húmedo</t>
        </is>
      </c>
      <c r="C36" s="6" t="inlineStr">
        <is>
          <t>Superficie de ecosistema (ha)</t>
        </is>
      </c>
      <c r="D36" s="50" t="inlineStr">
        <is>
          <t>18.45</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2026-07-08</t>
        </is>
      </c>
      <c r="E44" s="8" t="n"/>
      <c r="F44" s="8" t="n"/>
    </row>
    <row r="45">
      <c r="A45" s="6" t="inlineStr">
        <is>
          <t>Hora de registro</t>
        </is>
      </c>
      <c r="B45" s="7" t="inlineStr">
        <is>
          <t>08:55 - 10:11 h</t>
        </is>
      </c>
      <c r="C45" s="6" t="inlineStr">
        <is>
          <t>Correlativo de ficha</t>
        </is>
      </c>
      <c r="D45" s="7" t="inlineStr">
        <is>
          <t>F-DT-B50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15.644</v>
      </c>
      <c r="C10" s="31">
        <f>ROUND(B10/$B$15*100,2)</f>
        <v/>
      </c>
      <c r="D10" s="12" t="inlineStr">
        <is>
          <t>Vigor alto</t>
        </is>
      </c>
      <c r="E10" s="12" t="inlineStr">
        <is>
          <t>Sobre umbral</t>
        </is>
      </c>
    </row>
    <row r="11">
      <c r="A11" s="13" t="inlineStr">
        <is>
          <t>0.4976 - 0.6139 · DN 4</t>
        </is>
      </c>
      <c r="B11" s="20" t="n">
        <v>3.5532</v>
      </c>
      <c r="C11" s="21">
        <f>ROUND(B11/$B$15*100,2)</f>
        <v/>
      </c>
      <c r="D11" s="14" t="inlineStr">
        <is>
          <t>Vigor moderado</t>
        </is>
      </c>
      <c r="E11" s="14" t="inlineStr">
        <is>
          <t>Sobre umbral</t>
        </is>
      </c>
    </row>
    <row r="12">
      <c r="A12" s="7" t="inlineStr">
        <is>
          <t>0.3813 - 0.4976 · DN 3</t>
        </is>
      </c>
      <c r="B12" s="18" t="n">
        <v>0.0693</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19.27</v>
      </c>
      <c r="C18" s="49" t="inlineStr">
        <is>
          <t>—</t>
        </is>
      </c>
      <c r="D18" s="46" t="inlineStr">
        <is>
          <t>Desviación planimétrica frente al catálogo</t>
        </is>
      </c>
      <c r="E18" s="46" t="inlineStr">
        <is>
          <t>-0.02 %</t>
        </is>
      </c>
    </row>
    <row r="19">
      <c r="A19" s="16" t="inlineStr">
        <is>
          <t>MSAVI 2024 — MEDIA DEL BLOQUE</t>
        </is>
      </c>
      <c r="B19" s="17" t="n">
        <v>0.68307</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(0.6831)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19.1886</v>
      </c>
      <c r="C25" s="19" t="n">
        <v>99.56999999999999</v>
      </c>
      <c r="D25" s="15" t="inlineStr">
        <is>
          <t>Dosel continuo, matorral denso o mosaico agroforestal</t>
        </is>
      </c>
      <c r="E25" s="15" t="inlineStr"/>
    </row>
    <row r="26">
      <c r="A26" s="13" t="inlineStr">
        <is>
          <t>Vegetación mediana</t>
        </is>
      </c>
      <c r="B26" s="20" t="n">
        <v>0.0829</v>
      </c>
      <c r="C26" s="21" t="n">
        <v>0.43</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19.27</v>
      </c>
      <c r="C28" s="25" t="inlineStr">
        <is>
          <t>—</t>
        </is>
      </c>
      <c r="D28" s="25" t="inlineStr">
        <is>
          <t>Desviación planimétrica frente al catálogo</t>
        </is>
      </c>
      <c r="E28" s="25" t="inlineStr">
        <is>
          <t>+0.01 %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99.57 % del polígono clasificado como «Vegetación alta» por el NDVI 2025; la observación de campo corresponde a una parcela o recorrido puntual y no es estadísticamente representativa de las 19.270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50</t>
        </is>
      </c>
    </row>
    <row r="6" ht="24" customHeight="1">
      <c r="A6" s="4" t="inlineStr">
        <is>
          <t>Levantamiento del 2026-07-08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647020</v>
      </c>
      <c r="D10" s="26" t="n">
        <v>9427149</v>
      </c>
      <c r="E10" s="15" t="n">
        <v>345.7</v>
      </c>
      <c r="F10" s="15" t="inlineStr"/>
      <c r="G10" s="15" t="inlineStr">
        <is>
          <t>Coordenada consignada en F-DT-01</t>
        </is>
      </c>
    </row>
    <row r="11">
      <c r="A11" s="13" t="inlineStr">
        <is>
          <t>C-01</t>
        </is>
      </c>
      <c r="B11" s="14" t="inlineStr">
        <is>
          <t>Rasgo erosivo — Cauce encajonado con socavamiento</t>
        </is>
      </c>
      <c r="C11" s="27" t="n">
        <v>647202</v>
      </c>
      <c r="D11" s="27" t="n">
        <v>9427237</v>
      </c>
      <c r="E11" s="14" t="n">
        <v>148.8</v>
      </c>
      <c r="F11" s="14" t="inlineStr">
        <is>
          <t>Activa</t>
        </is>
      </c>
      <c r="G11" s="14" t="inlineStr">
        <is>
          <t>Socavamiento de cauce</t>
        </is>
      </c>
    </row>
    <row r="12">
      <c r="A12" s="7" t="inlineStr">
        <is>
          <t>C-02</t>
        </is>
      </c>
      <c r="B12" s="15" t="inlineStr">
        <is>
          <t>Rasgo erosivo — Talud de corte de trocha</t>
        </is>
      </c>
      <c r="C12" s="26" t="n">
        <v>647310</v>
      </c>
      <c r="D12" s="26" t="n">
        <v>9427564</v>
      </c>
      <c r="E12" s="15" t="n">
        <v>314.6</v>
      </c>
      <c r="F12" s="15" t="inlineStr">
        <is>
          <t>Activa</t>
        </is>
      </c>
      <c r="G12" s="15" t="inlineStr">
        <is>
          <t>Caminos / huellas de ganado</t>
        </is>
      </c>
    </row>
    <row r="13">
      <c r="A13" s="13" t="inlineStr">
        <is>
          <t>C-03</t>
        </is>
      </c>
      <c r="B13" s="14" t="inlineStr">
        <is>
          <t>Rasgo erosivo — Surcos en huella de trocha</t>
        </is>
      </c>
      <c r="C13" s="27" t="n">
        <v>646833</v>
      </c>
      <c r="D13" s="27" t="n">
        <v>9426997</v>
      </c>
      <c r="E13" s="14" t="n">
        <v>576.5</v>
      </c>
      <c r="F13" s="14" t="inlineStr">
        <is>
          <t>Activa</t>
        </is>
      </c>
      <c r="G13" s="14" t="inlineStr">
        <is>
          <t>Caminos / huellas de ganado</t>
        </is>
      </c>
    </row>
    <row r="14">
      <c r="A14" s="7" t="inlineStr">
        <is>
          <t>H-01</t>
        </is>
      </c>
      <c r="B14" s="15" t="inlineStr">
        <is>
          <t>Fuente de agua — Quebrada permanente</t>
        </is>
      </c>
      <c r="C14" s="26" t="n">
        <v>647201</v>
      </c>
      <c r="D14" s="26" t="n">
        <v>9427237</v>
      </c>
      <c r="E14" s="15" t="n">
        <v>149.8</v>
      </c>
      <c r="F14" s="15" t="inlineStr">
        <is>
          <t>Permanente</t>
        </is>
      </c>
      <c r="G14" s="15" t="inlineStr">
        <is>
          <t>Quebrada que delimita el bloque por el NO</t>
        </is>
      </c>
    </row>
    <row r="15">
      <c r="A15" s="13" t="inlineStr">
        <is>
          <t>B-06</t>
        </is>
      </c>
      <c r="B15" s="14" t="inlineStr">
        <is>
          <t>Especie clave — Passiflora sp.</t>
        </is>
      </c>
      <c r="C15" s="27" t="n">
        <v>647119</v>
      </c>
      <c r="D15" s="27" t="n">
        <v>9427229</v>
      </c>
      <c r="E15" s="14" t="n">
        <v>232.1</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647350</v>
      </c>
      <c r="C18" s="6" t="inlineStr">
        <is>
          <t>Centroide del bloque — UTM NORTE (m)</t>
        </is>
      </c>
      <c r="D18" s="7" t="n">
        <v>9427252</v>
      </c>
      <c r="E18" s="8" t="n"/>
      <c r="F18" s="8" t="n"/>
      <c r="G18" s="8" t="n"/>
      <c r="H18" s="8" t="n"/>
    </row>
    <row r="19">
      <c r="A19" s="6" t="inlineStr">
        <is>
          <t>N.° de estaciones fotográficas declaradas</t>
        </is>
      </c>
      <c r="B19" s="7" t="n">
        <v>10</v>
      </c>
      <c r="C19" s="6" t="inlineStr">
        <is>
          <t>Estaciones dentro del polígono</t>
        </is>
      </c>
      <c r="D19" s="7" t="inlineStr">
        <is>
          <t>Por determinar</t>
        </is>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declarado = CENTROIDE del bloque. La altitud GPS no fue registrada: POR DETERMINAR. Referencia de gabinete: 1489-1686 msnm, media 1587; pendiente media 34.0% y máxima 59.6% sobre 566 m de recorrido. Escarpes activos y afloramientos observados en taludes de corte de la trocha y márgenes encajonadas de la quebrada; no se observaron remociones en masa activas en la superficie natural.</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50</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8" t="n">
        <v>44.2</v>
      </c>
      <c r="C10" s="19" t="n">
        <v>29.78</v>
      </c>
      <c r="D10" s="15" t="inlineStr">
        <is>
          <t>1302 – 1533</t>
        </is>
      </c>
      <c r="E10" s="15" t="n">
        <v>231</v>
      </c>
      <c r="F10" s="15" t="n">
        <v>24.25</v>
      </c>
      <c r="G10" s="18" t="n">
        <v>0.6725</v>
      </c>
      <c r="H10" s="19" t="n">
        <v>99.3</v>
      </c>
      <c r="I10" s="19" t="n">
        <v>0.41</v>
      </c>
    </row>
    <row r="11">
      <c r="A11" s="13" t="inlineStr">
        <is>
          <t>33</t>
        </is>
      </c>
      <c r="B11" s="29" t="n">
        <v>29.68</v>
      </c>
      <c r="C11" s="21" t="n">
        <v>20</v>
      </c>
      <c r="D11" s="14" t="inlineStr">
        <is>
          <t>1841 – 2226</t>
        </is>
      </c>
      <c r="E11" s="14" t="n">
        <v>385</v>
      </c>
      <c r="F11" s="14" t="n">
        <v>36.6</v>
      </c>
      <c r="G11" s="20" t="n">
        <v>0.7192</v>
      </c>
      <c r="H11" s="21" t="inlineStr">
        <is>
          <t>Por determinar</t>
        </is>
      </c>
      <c r="I11" s="14" t="inlineStr">
        <is>
          <t>s/d</t>
        </is>
      </c>
    </row>
    <row r="12">
      <c r="A12" s="7" t="inlineStr">
        <is>
          <t>34</t>
        </is>
      </c>
      <c r="B12" s="28" t="n">
        <v>28.45</v>
      </c>
      <c r="C12" s="19" t="n">
        <v>19.17</v>
      </c>
      <c r="D12" s="15" t="inlineStr">
        <is>
          <t>1286 – 1514</t>
        </is>
      </c>
      <c r="E12" s="15" t="n">
        <v>228</v>
      </c>
      <c r="F12" s="15" t="n">
        <v>26.78</v>
      </c>
      <c r="G12" s="18" t="n">
        <v>0.649</v>
      </c>
      <c r="H12" s="19" t="n">
        <v>99.42</v>
      </c>
      <c r="I12" s="19" t="n">
        <v>0.17</v>
      </c>
    </row>
    <row r="13">
      <c r="A13" s="13" t="inlineStr">
        <is>
          <t>61</t>
        </is>
      </c>
      <c r="B13" s="29" t="n">
        <v>26.83</v>
      </c>
      <c r="C13" s="21" t="n">
        <v>18.08</v>
      </c>
      <c r="D13" s="14" t="inlineStr">
        <is>
          <t>1098 – 1336</t>
        </is>
      </c>
      <c r="E13" s="14" t="n">
        <v>238</v>
      </c>
      <c r="F13" s="14" t="n">
        <v>22.61</v>
      </c>
      <c r="G13" s="20" t="n">
        <v>0.6112</v>
      </c>
      <c r="H13" s="21" t="n">
        <v>80.15000000000001</v>
      </c>
      <c r="I13" s="21" t="n">
        <v>21.1</v>
      </c>
    </row>
    <row r="14">
      <c r="A14" s="11" t="inlineStr">
        <is>
          <t>► 50</t>
        </is>
      </c>
      <c r="B14" s="30" t="n">
        <v>19.27</v>
      </c>
      <c r="C14" s="31" t="n">
        <v>12.98</v>
      </c>
      <c r="D14" s="12" t="inlineStr">
        <is>
          <t>1468 – 1725</t>
        </is>
      </c>
      <c r="E14" s="12" t="n">
        <v>257</v>
      </c>
      <c r="F14" s="12" t="n">
        <v>30.47</v>
      </c>
      <c r="G14" s="32" t="n">
        <v>0.6831</v>
      </c>
      <c r="H14" s="31" t="n">
        <v>99.56999999999999</v>
      </c>
      <c r="I14" s="31" t="n">
        <v>0.36</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1" t="n"/>
      <c r="I16" s="42" t="n"/>
    </row>
    <row r="18" ht="84" customHeight="1">
      <c r="A18" s="9" t="inlineStr">
        <is>
          <t>LECTURA INTRAMICROCUENCA. El bloque 50 ocupa el puesto 5 de 5 por superficie dentro de la microcuenca C1081-Q9590 (12.98 % de las 148.43 ha preliminares de la microcuenca). Su pendiente promedio (30.47 %, clase «25-50% (Mod. escarpado)») es la 4.ª más baja de 5 y se sitúa por encima del promedio de la microcuenca (28.14 %). Su MSAVI 2024 (0.6831) es el 2.º de 5 y queda por encima del promedio local (0.6670). Amplitud altitudinal del bloque: 257 m (1468–1725 msnm). El cuadro conserva todos los bloques catalogados en la microcuenca, incluidos los descartados en el tamizaje, para referencia del conjunto. Los bloques sin ficha DT figuran con sus parámetros de gabinete. BRECHA ESPECTRAL. El 0.36 % de la superficie del bloque (0.069 ha de 19.266 ha) se sitúa bajo el umbral MSAVI 0.4976, por debajo del promedio local de la microcuenca (5.51 %) calculado sobre los bloques con dato MSAVI disponible.</t>
        </is>
      </c>
      <c r="B18" s="41" t="n"/>
      <c r="C18" s="41" t="n"/>
      <c r="D18" s="41" t="n"/>
      <c r="E18" s="41" t="n"/>
      <c r="F18" s="41" t="n"/>
      <c r="G18" s="41" t="n"/>
      <c r="H18" s="41" t="n"/>
      <c r="I18" s="42"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1" t="n"/>
      <c r="I20" s="42"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50</t>
        </is>
      </c>
    </row>
    <row r="6">
      <c r="A6" s="52" t="inlineStr">
        <is>
          <t>Cruce de la ficha de campo F-DT vigente con la ficha de resumen de gabinete y el catálogo maestro. Integración 2026-09-11 20:22:29.</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«C1081-Q9590».</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(19.271 ha) se desvía 0.01 % de la superficie de catálogo (19.27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(19.266 ha) se desvía -0.02 % de la superficie de catálogo (19.27 ha).</t>
        </is>
      </c>
      <c r="D14" s="57" t="inlineStr">
        <is>
          <t>CONFORME</t>
        </is>
      </c>
      <c r="E14" s="57" t="inlineStr">
        <is>
          <t>Sin acción: la segmentación valida la geometría del bloque.</t>
        </is>
      </c>
    </row>
    <row r="15">
      <c r="A15" s="56" t="inlineStr">
        <is>
          <t>G-07</t>
        </is>
      </c>
      <c r="B15" s="56" t="inlineStr">
        <is>
          <t>Brecha espectral MSAVI</t>
        </is>
      </c>
      <c r="C15" s="56" t="inlineStr">
        <is>
          <t>El 0.36 % del bloque queda bajo el umbral 0.4976; superficie de brecha 0.0693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19.27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(0.6831)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Superficie de ecosistema (ha)</t>
        </is>
      </c>
      <c r="C19" s="56" t="inlineStr">
        <is>
          <t>El libro de resumen V6 consignaba «Matorral andino 18.4495 ha (95.8%) + Zona agrícola 0.8169 ha (4.2%); total 19.2665 ha»; la ficha de campo vigente declara «18.45».</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96.4 % de los campos esperados).</t>
        </is>
      </c>
      <c r="D20" s="57" t="inlineStr">
        <is>
          <t>CONFORME</t>
        </is>
      </c>
      <c r="E20" s="57" t="inlineStr">
        <is>
          <t>Sin acción.</t>
        </is>
      </c>
    </row>
    <row r="21">
      <c r="A21" s="56" t="inlineStr">
        <is>
          <t>F-02</t>
        </is>
      </c>
      <c r="B21" s="56" t="inlineStr">
        <is>
          <t>Cobertura de la integración</t>
        </is>
      </c>
      <c r="C21" s="56" t="inlineStr">
        <is>
          <t>Se declararon 99 de 114 hechos integrados (86.8 %); 15 quedan sin dato en ninguna fuente.</t>
        </is>
      </c>
      <c r="D21" s="56" t="inlineStr">
        <is>
          <t>CONFORME</t>
        </is>
      </c>
      <c r="E21" s="56" t="inlineStr">
        <is>
          <t>Sin acción.</t>
        </is>
      </c>
    </row>
    <row r="22">
      <c r="A22" s="57" t="inlineStr">
        <is>
          <t>H-01</t>
        </is>
      </c>
      <c r="B22" s="57" t="inlineStr">
        <is>
          <t>Dimensiones del inventario de cárcavas</t>
        </is>
      </c>
      <c r="C22" s="57" t="inlineStr">
        <is>
          <t>Se registran 3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4">
      <c r="A24" s="58" t="inlineStr">
        <is>
          <t>RESUMEN</t>
        </is>
      </c>
      <c r="B24" s="59" t="inlineStr">
        <is>
          <t>14 verificaciones</t>
        </is>
      </c>
      <c r="C24" s="59" t="inlineStr">
        <is>
          <t>SUSTANTIVA: 1 · NO SUSTANTIVA: 2 · CORREGIDO: 1 · CONFORME: 10</t>
        </is>
      </c>
    </row>
    <row r="26">
      <c r="A26"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50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Superficie de ecosistema (ha)</t>
        </is>
      </c>
      <c r="C9" s="56" t="inlineStr">
        <is>
          <t>Matorral andino 18.4495 ha (95.8%) + Zona agrícola 0.8169 ha (4.2%); total 19.2665 ha</t>
        </is>
      </c>
      <c r="D9" s="56" t="inlineStr">
        <is>
          <t>18.45</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647350</t>
        </is>
      </c>
      <c r="D13" s="56" t="inlineStr">
        <is>
          <t>m</t>
        </is>
      </c>
    </row>
    <row r="14">
      <c r="A14" s="57" t="inlineStr">
        <is>
          <t>1. Identificación y localización</t>
        </is>
      </c>
      <c r="B14" s="57" t="inlineStr">
        <is>
          <t>UTM NORTE del punto de muestreo (m)</t>
        </is>
      </c>
      <c r="C14" s="57" t="inlineStr">
        <is>
          <t>9427252</t>
        </is>
      </c>
      <c r="D14" s="57" t="inlineStr">
        <is>
          <t>m</t>
        </is>
      </c>
    </row>
    <row r="15">
      <c r="A15" s="56" t="inlineStr">
        <is>
          <t>2. Parámetros físicos del terreno</t>
        </is>
      </c>
      <c r="B15" s="56" t="inlineStr">
        <is>
          <t>Piso altitudinal del punto de muestreo</t>
        </is>
      </c>
      <c r="C15" s="56" t="inlineStr">
        <is>
          <t>1500-2000 m (Quechua media)</t>
        </is>
      </c>
      <c r="D15" s="56" t="inlineStr"/>
    </row>
    <row r="16">
      <c r="A16" s="57" t="inlineStr">
        <is>
          <t>2. Parámetros físicos del terreno</t>
        </is>
      </c>
      <c r="B16" s="57" t="inlineStr">
        <is>
          <t>Paisaje dominante descrito en campo</t>
        </is>
      </c>
      <c r="C16" s="57" t="inlineStr">
        <is>
          <t>Ladera de montaña de vertiente oriental con matorral andino denso y relictos arbóreos, disectada por quebrada permanente en su borde noroeste; parches de pastos cultivados y cultivos (plátano, café, cacao, cítricos, maíz) en las laderas de menor pendiente. Cima rocosa al sureste.</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Patrón de cárcavas</t>
        </is>
      </c>
      <c r="C23" s="56" t="inlineStr">
        <is>
          <t>Lineal</t>
        </is>
      </c>
      <c r="D23" s="56" t="inlineStr"/>
    </row>
    <row r="24">
      <c r="A24" s="57" t="inlineStr">
        <is>
          <t>4. Suelos y erosión (F-DT-02)</t>
        </is>
      </c>
      <c r="B24" s="57" t="inlineStr">
        <is>
          <t>Socavamiento de cauce</t>
        </is>
      </c>
      <c r="C24" s="57" t="inlineStr">
        <is>
          <t>F-06 / F-07</t>
        </is>
      </c>
      <c r="D24" s="57" t="inlineStr"/>
    </row>
    <row r="25">
      <c r="A25" s="56" t="inlineStr">
        <is>
          <t>5. Ecosistema, cobertura y flora (F-DT-03)</t>
        </is>
      </c>
      <c r="B25" s="56" t="inlineStr">
        <is>
          <t>Cobertura del dosel (%)</t>
        </is>
      </c>
      <c r="C25" s="56" t="inlineStr">
        <is>
          <t>30</t>
        </is>
      </c>
      <c r="D25" s="56" t="inlineStr">
        <is>
          <t>%</t>
        </is>
      </c>
    </row>
    <row r="26">
      <c r="A26" s="57" t="inlineStr">
        <is>
          <t>5. Ecosistema, cobertura y flora (F-DT-03)</t>
        </is>
      </c>
      <c r="B26" s="57" t="inlineStr">
        <is>
          <t>Cobertura arbustiva (%)</t>
        </is>
      </c>
      <c r="C26" s="57" t="inlineStr">
        <is>
          <t>45</t>
        </is>
      </c>
      <c r="D26" s="57" t="inlineStr">
        <is>
          <t>%</t>
        </is>
      </c>
    </row>
    <row r="27">
      <c r="A27" s="56" t="inlineStr">
        <is>
          <t>5. Ecosistema, cobertura y flora (F-DT-03)</t>
        </is>
      </c>
      <c r="B27" s="56" t="inlineStr">
        <is>
          <t>Cobertura herbácea (%)</t>
        </is>
      </c>
      <c r="C27" s="56" t="inlineStr">
        <is>
          <t>10</t>
        </is>
      </c>
      <c r="D27" s="56" t="inlineStr">
        <is>
          <t>%</t>
        </is>
      </c>
    </row>
    <row r="28">
      <c r="A28" s="57" t="inlineStr">
        <is>
          <t>5. Ecosistema, cobertura y flora (F-DT-03)</t>
        </is>
      </c>
      <c r="B28" s="57" t="inlineStr">
        <is>
          <t>Presencia de epífitas</t>
        </is>
      </c>
      <c r="C28" s="57" t="inlineStr">
        <is>
          <t>Sí</t>
        </is>
      </c>
      <c r="D28" s="57" t="inlineStr"/>
    </row>
    <row r="29">
      <c r="A29" s="56" t="inlineStr">
        <is>
          <t>5. Ecosistema, cobertura y flora (F-DT-03)</t>
        </is>
      </c>
      <c r="B29" s="56" t="inlineStr">
        <is>
          <t>Fenología dominante</t>
        </is>
      </c>
      <c r="C29" s="56" t="inlineStr">
        <is>
          <t>Vegetativo</t>
        </is>
      </c>
      <c r="D29" s="56" t="inlineStr"/>
    </row>
    <row r="30">
      <c r="A30" s="57" t="inlineStr">
        <is>
          <t>5. Ecosistema, cobertura y flora (F-DT-03)</t>
        </is>
      </c>
      <c r="B30" s="57" t="inlineStr">
        <is>
          <t>Dimensiones de la parcela (m)</t>
        </is>
      </c>
      <c r="C30" s="57" t="inlineStr">
        <is>
          <t>No aplica</t>
        </is>
      </c>
      <c r="D30" s="57" t="inlineStr"/>
    </row>
    <row r="31">
      <c r="A31" s="56" t="inlineStr">
        <is>
          <t>5. Ecosistema, cobertura y flora (F-DT-03)</t>
        </is>
      </c>
      <c r="B31" s="56" t="inlineStr">
        <is>
          <t>Especies clave georreferenciadas</t>
        </is>
      </c>
      <c r="C31" s="56" t="inlineStr">
        <is>
          <t>10</t>
        </is>
      </c>
      <c r="D31" s="56" t="inlineStr"/>
    </row>
    <row r="32">
      <c r="A32" s="57" t="inlineStr">
        <is>
          <t>6. Degradación, causas y urgencia (F-DT-04)</t>
        </is>
      </c>
      <c r="B32" s="57" t="inlineStr">
        <is>
          <t>Causas directas de la degradación</t>
        </is>
      </c>
      <c r="C32" s="57" t="inlineStr">
        <is>
          <t>Sobrepastoreo y expansión de pastos cultivados en laderas; conversión puntual a cultivos (plátano, maíz, café, cacao, cítricos); desestabilización de taludes por la trocha carrozable; socavamiento activo del cauce de la quebrada; introducción de especies exóticas (Grevillea robusta, Agave americana).</t>
        </is>
      </c>
      <c r="D32" s="57" t="inlineStr"/>
    </row>
    <row r="33">
      <c r="A33" s="56" t="inlineStr">
        <is>
          <t>6. Degradación, causas y urgencia (F-DT-04)</t>
        </is>
      </c>
      <c r="B33" s="56" t="inlineStr">
        <is>
          <t>N.° de causas activas en la matriz F-DT-04</t>
        </is>
      </c>
      <c r="C33" s="56" t="inlineStr">
        <is>
          <t>6</t>
        </is>
      </c>
      <c r="D33" s="56" t="inlineStr"/>
    </row>
    <row r="34">
      <c r="A34" s="57" t="inlineStr">
        <is>
          <t>7. Hidrología, acceso y logística (F-DT-05)</t>
        </is>
      </c>
      <c r="B34" s="57" t="inlineStr">
        <is>
          <t>Escorrentía concentrada</t>
        </is>
      </c>
      <c r="C34" s="57" t="inlineStr">
        <is>
          <t>Sí</t>
        </is>
      </c>
      <c r="D34" s="57" t="inlineStr"/>
    </row>
    <row r="35">
      <c r="A35" s="56" t="inlineStr">
        <is>
          <t>7. Hidrología, acceso y logística (F-DT-05)</t>
        </is>
      </c>
      <c r="B35" s="56" t="inlineStr">
        <is>
          <t>Fuentes de agua inventariadas</t>
        </is>
      </c>
      <c r="C35" s="56" t="inlineStr">
        <is>
          <t>1</t>
        </is>
      </c>
      <c r="D35" s="56" t="inlineStr"/>
    </row>
    <row r="36">
      <c r="A36" s="57" t="inlineStr">
        <is>
          <t>7. Hidrología, acceso y logística (F-DT-05)</t>
        </is>
      </c>
      <c r="B36" s="57" t="inlineStr">
        <is>
          <t>Interferencia con riego</t>
        </is>
      </c>
      <c r="C36" s="57" t="inlineStr">
        <is>
          <t>No</t>
        </is>
      </c>
      <c r="D36" s="57" t="inlineStr"/>
    </row>
    <row r="37">
      <c r="A37" s="56" t="inlineStr">
        <is>
          <t>7. Hidrología, acceso y logística (F-DT-05)</t>
        </is>
      </c>
      <c r="B37" s="56" t="inlineStr">
        <is>
          <t>Vía principal de acceso</t>
        </is>
      </c>
      <c r="C37" s="56" t="inlineStr">
        <is>
          <t>Trocha carrozable de acceso a los bloques 50 y 38 (ingreso en 646 833 E, 9 426 997 N)</t>
        </is>
      </c>
      <c r="D37" s="56" t="inlineStr"/>
    </row>
    <row r="38">
      <c r="A38" s="57" t="inlineStr">
        <is>
          <t>7. Hidrología, acceso y logística (F-DT-05)</t>
        </is>
      </c>
      <c r="B38" s="57" t="inlineStr">
        <is>
          <t>Tipo de vía del tramo final</t>
        </is>
      </c>
      <c r="C38" s="57" t="inlineStr">
        <is>
          <t>Camino de herradura</t>
        </is>
      </c>
      <c r="D38" s="57" t="inlineStr"/>
    </row>
    <row r="39">
      <c r="A39" s="56" t="inlineStr">
        <is>
          <t>7. Hidrología, acceso y logística (F-DT-05)</t>
        </is>
      </c>
      <c r="B39" s="56" t="inlineStr">
        <is>
          <t>Transitabilidad en época seca</t>
        </is>
      </c>
      <c r="C39" s="56" t="inlineStr">
        <is>
          <t>Medio</t>
        </is>
      </c>
      <c r="D39" s="56" t="inlineStr"/>
    </row>
    <row r="40">
      <c r="A40" s="57" t="inlineStr">
        <is>
          <t>7. Hidrología, acceso y logística (F-DT-05)</t>
        </is>
      </c>
      <c r="B40" s="57" t="inlineStr">
        <is>
          <t>Transitabilidad en época lluviosa</t>
        </is>
      </c>
      <c r="C40" s="57" t="inlineStr">
        <is>
          <t>Bajo</t>
        </is>
      </c>
      <c r="D40" s="57" t="inlineStr"/>
    </row>
    <row r="41">
      <c r="A41" s="56" t="inlineStr">
        <is>
          <t>7. Hidrología, acceso y logística (F-DT-05)</t>
        </is>
      </c>
      <c r="B41" s="56" t="inlineStr">
        <is>
          <t>Tiempo a la capital distrital (min)</t>
        </is>
      </c>
      <c r="C41" s="56" t="inlineStr">
        <is>
          <t>30</t>
        </is>
      </c>
      <c r="D41" s="56" t="inlineStr">
        <is>
          <t>min</t>
        </is>
      </c>
    </row>
    <row r="42">
      <c r="A42" s="57" t="inlineStr">
        <is>
          <t>7. Hidrología, acceso y logística (F-DT-05)</t>
        </is>
      </c>
      <c r="B42" s="57" t="inlineStr">
        <is>
          <t>Señal celular</t>
        </is>
      </c>
      <c r="C42" s="57" t="inlineStr">
        <is>
          <t>Parcial</t>
        </is>
      </c>
      <c r="D42" s="57" t="inlineStr"/>
    </row>
    <row r="43">
      <c r="A43" s="56" t="inlineStr">
        <is>
          <t>7. Hidrología, acceso y logística (F-DT-05)</t>
        </is>
      </c>
      <c r="B43" s="56" t="inlineStr">
        <is>
          <t>Operador con cobertura</t>
        </is>
      </c>
      <c r="C43" s="56" t="inlineStr">
        <is>
          <t>Bitel</t>
        </is>
      </c>
      <c r="D43" s="56" t="inlineStr"/>
    </row>
    <row r="44">
      <c r="A44" s="57" t="inlineStr">
        <is>
          <t>7. Hidrología, acceso y logística (F-DT-05)</t>
        </is>
      </c>
      <c r="B44" s="57" t="inlineStr">
        <is>
          <t>Alojamiento disponible en la zona</t>
        </is>
      </c>
      <c r="C44" s="57" t="inlineStr">
        <is>
          <t>No</t>
        </is>
      </c>
      <c r="D44" s="57" t="inlineStr"/>
    </row>
    <row r="45">
      <c r="A45" s="56" t="inlineStr">
        <is>
          <t>7. Hidrología, acceso y logística (F-DT-05)</t>
        </is>
      </c>
      <c r="B45" s="56" t="inlineStr">
        <is>
          <t>Requiere coordinación con ronda / comunidad</t>
        </is>
      </c>
      <c r="C45" s="56" t="inlineStr">
        <is>
          <t>Sí</t>
        </is>
      </c>
      <c r="D45" s="56" t="inlineStr"/>
    </row>
    <row r="47">
      <c r="A47" s="54" t="inlineStr">
        <is>
          <t>C. PROCEDENCIA DE LOS HECHOS DECLARADOS</t>
        </is>
      </c>
    </row>
    <row r="48">
      <c r="A48" s="55" t="inlineStr">
        <is>
          <t>Fuente</t>
        </is>
      </c>
      <c r="B48" s="55" t="inlineStr">
        <is>
          <t>Hechos</t>
        </is>
      </c>
      <c r="C48" s="55" t="inlineStr">
        <is>
          <t>Alcance de la fuente</t>
        </is>
      </c>
    </row>
    <row r="49">
      <c r="A49" s="56" t="inlineStr">
        <is>
          <t>Dato de campo</t>
        </is>
      </c>
      <c r="B49" s="56" t="n">
        <v>65</v>
      </c>
      <c r="C49" s="56" t="inlineStr">
        <is>
          <t>Verificación en campo. Fichas F-DT-01 a F-DT-05 de la Plantilla DT Campo Check Validada V5, suscritas por el evaluador.</t>
        </is>
      </c>
    </row>
    <row r="50">
      <c r="A50" s="57" t="inlineStr">
        <is>
          <t>Gabinete (GIS / teledetección)</t>
        </is>
      </c>
      <c r="B50" s="57" t="n">
        <v>20</v>
      </c>
      <c r="C50" s="57" t="inlineStr">
        <is>
          <t>Gabinete. Estadística zonal sobre el MDE y compuestos Sentinel-2 (NDVI mediana 2025, MSAVI 2024 por clase DN).</t>
        </is>
      </c>
    </row>
    <row r="51">
      <c r="A51" s="56" t="inlineStr">
        <is>
          <t>Fuente oficial</t>
        </is>
      </c>
      <c r="B51" s="56" t="n">
        <v>14</v>
      </c>
      <c r="C51" s="56" t="inlineStr">
        <is>
          <t>Fuente oficial. Catálogo maestro Bloques V5/V6, división política INEI y codificación de microcuencas de la ANA.</t>
        </is>
      </c>
    </row>
    <row r="53">
      <c r="A53" s="54" t="inlineStr">
        <is>
          <t>D. ESTADO DEL CRUCE ENTRE FUENTES</t>
        </is>
      </c>
    </row>
    <row r="54">
      <c r="A54" s="55" t="inlineStr">
        <is>
          <t>Estado</t>
        </is>
      </c>
      <c r="B54" s="55" t="inlineStr">
        <is>
          <t>Hechos</t>
        </is>
      </c>
      <c r="C54" s="55" t="inlineStr">
        <is>
          <t>Significado</t>
        </is>
      </c>
    </row>
    <row r="55">
      <c r="A55" s="56" t="inlineStr">
        <is>
          <t>CONFORME</t>
        </is>
      </c>
      <c r="B55" s="56" t="n">
        <v>98</v>
      </c>
      <c r="C55" s="56" t="inlineStr">
        <is>
          <t>Las dos fuentes declaran lo mismo, o solo la fuente que manda sobre el hecho lo declara.</t>
        </is>
      </c>
    </row>
    <row r="56">
      <c r="A56" s="57" t="inlineStr">
        <is>
          <t>COMPLEMENTADO</t>
        </is>
      </c>
      <c r="B56" s="57" t="n">
        <v>0</v>
      </c>
      <c r="C56" s="57" t="inlineStr">
        <is>
          <t>Solo una de las fuentes lo declara y se adopta ese valor.</t>
        </is>
      </c>
    </row>
    <row r="57">
      <c r="A57" s="56" t="inlineStr">
        <is>
          <t>ACTUALIZADO</t>
        </is>
      </c>
      <c r="B57" s="56" t="n">
        <v>1</v>
      </c>
      <c r="C57" s="56" t="inlineStr">
        <is>
          <t>La verificación de campo vigente corrige lo que traía el libro de resumen.</t>
        </is>
      </c>
    </row>
    <row r="58">
      <c r="A58" s="57" t="inlineStr">
        <is>
          <t>DISCREPANTE</t>
        </is>
      </c>
      <c r="B58" s="57" t="n">
        <v>0</v>
      </c>
      <c r="C58" s="57" t="inlineStr">
        <is>
          <t>Las fuentes se contradicen; prevalece la que manda sobre el hecho y la otra queda declarada.</t>
        </is>
      </c>
    </row>
    <row r="59">
      <c r="A59" s="56" t="inlineStr">
        <is>
          <t>PENDIENTE</t>
        </is>
      </c>
      <c r="B59" s="56" t="n">
        <v>15</v>
      </c>
      <c r="C5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50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somera (0.5-2 m)</t>
        </is>
      </c>
      <c r="C9" s="61" t="n">
        <v>647202</v>
      </c>
      <c r="D9" s="61" t="n">
        <v>9427237</v>
      </c>
      <c r="E9" s="56" t="n"/>
      <c r="F9" s="56" t="n"/>
      <c r="G9" s="56" t="n"/>
      <c r="H9" s="56" t="inlineStr">
        <is>
          <t>Activa</t>
        </is>
      </c>
      <c r="I9" s="56" t="inlineStr">
        <is>
          <t>Socavamiento de cauce</t>
        </is>
      </c>
    </row>
    <row r="10">
      <c r="A10" s="57" t="inlineStr">
        <is>
          <t>C-02</t>
        </is>
      </c>
      <c r="B10" s="57" t="inlineStr">
        <is>
          <t>Cárcava incipiente (30-50 cm)</t>
        </is>
      </c>
      <c r="C10" s="62" t="n">
        <v>647310</v>
      </c>
      <c r="D10" s="62" t="n">
        <v>9427564</v>
      </c>
      <c r="E10" s="57" t="n"/>
      <c r="F10" s="57" t="n"/>
      <c r="G10" s="57" t="n"/>
      <c r="H10" s="57" t="inlineStr">
        <is>
          <t>Activa</t>
        </is>
      </c>
      <c r="I10" s="57" t="inlineStr">
        <is>
          <t>Caminos / huellas de ganado</t>
        </is>
      </c>
    </row>
    <row r="11">
      <c r="A11" s="56" t="inlineStr">
        <is>
          <t>C-03</t>
        </is>
      </c>
      <c r="B11" s="56" t="inlineStr">
        <is>
          <t>Surco (&lt;30 cm)</t>
        </is>
      </c>
      <c r="C11" s="61" t="n">
        <v>646833</v>
      </c>
      <c r="D11" s="61" t="n">
        <v>9426997</v>
      </c>
      <c r="E11" s="56" t="n"/>
      <c r="F11" s="56" t="n"/>
      <c r="G11" s="56" t="n"/>
      <c r="H11" s="56" t="inlineStr">
        <is>
          <t>Activa</t>
        </is>
      </c>
      <c r="I11" s="56" t="inlineStr">
        <is>
          <t>Caminos / huellas de ganado</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Roble</t>
        </is>
      </c>
      <c r="C15" s="56" t="inlineStr">
        <is>
          <t>Por determinar</t>
        </is>
      </c>
      <c r="D15" s="56" t="inlineStr">
        <is>
          <t>Por determinar</t>
        </is>
      </c>
      <c r="E15" s="56" t="inlineStr">
        <is>
          <t>Arbóreo superior (&gt;15 m)</t>
        </is>
      </c>
      <c r="F15" s="56" t="inlineStr">
        <is>
          <t>Nativa</t>
        </is>
      </c>
      <c r="G15" s="56" t="inlineStr">
        <is>
          <t>Ocasional (1-5%)</t>
        </is>
      </c>
      <c r="H15" s="56" t="n"/>
      <c r="I15" s="56" t="n"/>
    </row>
    <row r="16">
      <c r="A16" s="57" t="inlineStr">
        <is>
          <t>2</t>
        </is>
      </c>
      <c r="B16" s="57" t="inlineStr">
        <is>
          <t>Higuerón</t>
        </is>
      </c>
      <c r="C16" s="57" t="inlineStr">
        <is>
          <t>Ficus sp.</t>
        </is>
      </c>
      <c r="D16" s="57" t="inlineStr">
        <is>
          <t>Moraceae</t>
        </is>
      </c>
      <c r="E16" s="57" t="inlineStr">
        <is>
          <t>Arbóreo superior (&gt;15 m)</t>
        </is>
      </c>
      <c r="F16" s="57" t="inlineStr">
        <is>
          <t>Nativa</t>
        </is>
      </c>
      <c r="G16" s="57" t="inlineStr">
        <is>
          <t>Rara (&lt;1%)</t>
        </is>
      </c>
      <c r="H16" s="57" t="n"/>
      <c r="I16" s="57" t="n"/>
    </row>
    <row r="17">
      <c r="A17" s="56" t="inlineStr">
        <is>
          <t>3</t>
        </is>
      </c>
      <c r="B17" s="56" t="inlineStr">
        <is>
          <t>Pacae</t>
        </is>
      </c>
      <c r="C17" s="56" t="inlineStr">
        <is>
          <t>Inga sp.</t>
        </is>
      </c>
      <c r="D17" s="56" t="inlineStr">
        <is>
          <t>Fabaceae</t>
        </is>
      </c>
      <c r="E17" s="56" t="inlineStr">
        <is>
          <t>Arbóreo medio (8-15 m)</t>
        </is>
      </c>
      <c r="F17" s="56" t="inlineStr">
        <is>
          <t>Nativa</t>
        </is>
      </c>
      <c r="G17" s="56" t="inlineStr">
        <is>
          <t>Frecuente (5-20%)</t>
        </is>
      </c>
      <c r="H17" s="56" t="n"/>
      <c r="I17" s="56" t="n"/>
    </row>
    <row r="18">
      <c r="A18" s="57" t="inlineStr">
        <is>
          <t>4</t>
        </is>
      </c>
      <c r="B18" s="57" t="inlineStr">
        <is>
          <t>Chirimoyo silvestre</t>
        </is>
      </c>
      <c r="C18" s="57" t="inlineStr">
        <is>
          <t>Annona sp.</t>
        </is>
      </c>
      <c r="D18" s="57" t="inlineStr">
        <is>
          <t>Annonaceae</t>
        </is>
      </c>
      <c r="E18" s="57" t="inlineStr">
        <is>
          <t>Arbóreo bajo (4-8 m)</t>
        </is>
      </c>
      <c r="F18" s="57" t="inlineStr">
        <is>
          <t>Nativa</t>
        </is>
      </c>
      <c r="G18" s="57" t="inlineStr">
        <is>
          <t>Rara (&lt;1%)</t>
        </is>
      </c>
      <c r="H18" s="57" t="n"/>
      <c r="I18" s="57" t="n"/>
    </row>
    <row r="19">
      <c r="A19" s="56" t="inlineStr">
        <is>
          <t>5</t>
        </is>
      </c>
      <c r="B19" s="56" t="inlineStr">
        <is>
          <t>Faique</t>
        </is>
      </c>
      <c r="C19" s="56" t="inlineStr">
        <is>
          <t>Vachellia macracantha</t>
        </is>
      </c>
      <c r="D19" s="56" t="inlineStr">
        <is>
          <t>Fabaceae</t>
        </is>
      </c>
      <c r="E19" s="56" t="inlineStr">
        <is>
          <t>Arbóreo bajo (4-8 m)</t>
        </is>
      </c>
      <c r="F19" s="56" t="inlineStr">
        <is>
          <t>Nativa</t>
        </is>
      </c>
      <c r="G19" s="56" t="inlineStr">
        <is>
          <t>Ocasional (1-5%)</t>
        </is>
      </c>
      <c r="H19" s="56" t="n"/>
      <c r="I19" s="56" t="n"/>
    </row>
    <row r="20">
      <c r="A20" s="57" t="inlineStr">
        <is>
          <t>6</t>
        </is>
      </c>
      <c r="B20" s="57" t="inlineStr">
        <is>
          <t>Palo Blanco</t>
        </is>
      </c>
      <c r="C20" s="57" t="inlineStr">
        <is>
          <t>Por determinar</t>
        </is>
      </c>
      <c r="D20" s="57" t="inlineStr">
        <is>
          <t>Por determinar</t>
        </is>
      </c>
      <c r="E20" s="57" t="inlineStr">
        <is>
          <t>Arbóreo medio (8-15 m)</t>
        </is>
      </c>
      <c r="F20" s="57" t="inlineStr">
        <is>
          <t>Nativa</t>
        </is>
      </c>
      <c r="G20" s="57" t="inlineStr">
        <is>
          <t>Ocasional (1-5%)</t>
        </is>
      </c>
      <c r="H20" s="57" t="n"/>
      <c r="I20" s="57" t="n"/>
    </row>
    <row r="21">
      <c r="A21" s="56" t="inlineStr">
        <is>
          <t>7</t>
        </is>
      </c>
      <c r="B21" s="56" t="inlineStr">
        <is>
          <t>Grevilea</t>
        </is>
      </c>
      <c r="C21" s="56" t="inlineStr">
        <is>
          <t>Grevillea robusta</t>
        </is>
      </c>
      <c r="D21" s="56" t="inlineStr">
        <is>
          <t>Proteaceae</t>
        </is>
      </c>
      <c r="E21" s="56" t="inlineStr">
        <is>
          <t>Arbóreo superior (&gt;15 m)</t>
        </is>
      </c>
      <c r="F21" s="56" t="inlineStr">
        <is>
          <t>Introducida</t>
        </is>
      </c>
      <c r="G21" s="56" t="inlineStr">
        <is>
          <t>Ocasional (1-5%)</t>
        </is>
      </c>
      <c r="H21" s="56" t="n"/>
      <c r="I21" s="56" t="n"/>
    </row>
    <row r="22">
      <c r="A22" s="57" t="inlineStr">
        <is>
          <t>8</t>
        </is>
      </c>
      <c r="B22" s="57" t="inlineStr">
        <is>
          <t>Chilca</t>
        </is>
      </c>
      <c r="C22" s="57" t="inlineStr">
        <is>
          <t>Baccharis sp.</t>
        </is>
      </c>
      <c r="D22" s="57" t="inlineStr">
        <is>
          <t>Asteraceae</t>
        </is>
      </c>
      <c r="E22" s="57" t="inlineStr">
        <is>
          <t>Arbustivo alto (1.5-4 m)</t>
        </is>
      </c>
      <c r="F22" s="57" t="inlineStr">
        <is>
          <t>Nativa</t>
        </is>
      </c>
      <c r="G22" s="57" t="inlineStr">
        <is>
          <t>Frecuente (5-20%)</t>
        </is>
      </c>
      <c r="H22" s="57" t="n"/>
      <c r="I22" s="57" t="n"/>
    </row>
    <row r="23">
      <c r="A23" s="56" t="inlineStr">
        <is>
          <t>9</t>
        </is>
      </c>
      <c r="B23" s="56" t="inlineStr">
        <is>
          <t>Melastomatáceas</t>
        </is>
      </c>
      <c r="C23" s="56" t="inlineStr">
        <is>
          <t>Melastomataceae (indet.)</t>
        </is>
      </c>
      <c r="D23" s="56" t="inlineStr">
        <is>
          <t>Melastomataceae</t>
        </is>
      </c>
      <c r="E23" s="56" t="inlineStr">
        <is>
          <t>Arbustivo alto (1.5-4 m)</t>
        </is>
      </c>
      <c r="F23" s="56" t="inlineStr">
        <is>
          <t>Nativa</t>
        </is>
      </c>
      <c r="G23" s="56" t="inlineStr">
        <is>
          <t>Frecuente (5-20%)</t>
        </is>
      </c>
      <c r="H23" s="56" t="n"/>
      <c r="I23" s="56" t="n"/>
    </row>
    <row r="24">
      <c r="A24" s="57" t="inlineStr">
        <is>
          <t>10</t>
        </is>
      </c>
      <c r="B24" s="57" t="inlineStr">
        <is>
          <t>Pasiflora</t>
        </is>
      </c>
      <c r="C24" s="57" t="inlineStr">
        <is>
          <t>Passiflora sp.</t>
        </is>
      </c>
      <c r="D24" s="57" t="inlineStr">
        <is>
          <t>Passifloraceae</t>
        </is>
      </c>
      <c r="E24" s="57" t="inlineStr">
        <is>
          <t>Trepador</t>
        </is>
      </c>
      <c r="F24" s="57" t="inlineStr">
        <is>
          <t>Nativa</t>
        </is>
      </c>
      <c r="G24" s="57" t="inlineStr">
        <is>
          <t>Ocasional (1-5%)</t>
        </is>
      </c>
      <c r="H24" s="57" t="n"/>
      <c r="I24" s="57" t="n"/>
    </row>
    <row r="25">
      <c r="A25" s="56" t="inlineStr">
        <is>
          <t>11</t>
        </is>
      </c>
      <c r="B25" s="56" t="inlineStr">
        <is>
          <t>Bromeliáceas</t>
        </is>
      </c>
      <c r="C25" s="56" t="inlineStr">
        <is>
          <t>Bromeliaceae (indet.)</t>
        </is>
      </c>
      <c r="D25" s="56" t="inlineStr">
        <is>
          <t>Bromeliaceae</t>
        </is>
      </c>
      <c r="E25" s="56" t="inlineStr">
        <is>
          <t>Epífito</t>
        </is>
      </c>
      <c r="F25" s="56" t="inlineStr">
        <is>
          <t>Nativa</t>
        </is>
      </c>
      <c r="G25" s="56" t="inlineStr">
        <is>
          <t>Ocasional (1-5%)</t>
        </is>
      </c>
      <c r="H25" s="56" t="n"/>
      <c r="I25" s="56" t="n"/>
    </row>
    <row r="26">
      <c r="A26" s="57" t="inlineStr">
        <is>
          <t>12</t>
        </is>
      </c>
      <c r="B26" s="57" t="inlineStr">
        <is>
          <t>Helechos</t>
        </is>
      </c>
      <c r="C26" s="57" t="inlineStr">
        <is>
          <t>Pteridophyta (indet.)</t>
        </is>
      </c>
      <c r="D26" s="57" t="inlineStr">
        <is>
          <t>Por determinar</t>
        </is>
      </c>
      <c r="E26" s="57" t="inlineStr">
        <is>
          <t>Herbáceo (&lt;0.5 m)</t>
        </is>
      </c>
      <c r="F26" s="57" t="inlineStr">
        <is>
          <t>Nativa</t>
        </is>
      </c>
      <c r="G26" s="57" t="inlineStr">
        <is>
          <t>Frecuente (5-20%)</t>
        </is>
      </c>
      <c r="H26" s="57" t="n"/>
      <c r="I26" s="57" t="n"/>
    </row>
    <row r="27">
      <c r="A27" s="56" t="inlineStr">
        <is>
          <t>13</t>
        </is>
      </c>
      <c r="B27" s="56" t="inlineStr">
        <is>
          <t>Agave</t>
        </is>
      </c>
      <c r="C27" s="56" t="inlineStr">
        <is>
          <t>Agave americana</t>
        </is>
      </c>
      <c r="D27" s="56" t="inlineStr">
        <is>
          <t>Asparagaceae</t>
        </is>
      </c>
      <c r="E27" s="56" t="inlineStr">
        <is>
          <t>Arbustivo alto (1.5-4 m)</t>
        </is>
      </c>
      <c r="F27" s="56" t="inlineStr">
        <is>
          <t>Introducida</t>
        </is>
      </c>
      <c r="G27" s="56" t="inlineStr">
        <is>
          <t>Rara (&lt;1%)</t>
        </is>
      </c>
      <c r="H27" s="56" t="n"/>
      <c r="I27" s="56" t="n"/>
    </row>
    <row r="28">
      <c r="A28" s="57" t="inlineStr">
        <is>
          <t>14</t>
        </is>
      </c>
      <c r="B28" s="57" t="inlineStr">
        <is>
          <t>Falsa Yuca</t>
        </is>
      </c>
      <c r="C28" s="57" t="inlineStr">
        <is>
          <t>Por determinar</t>
        </is>
      </c>
      <c r="D28" s="57" t="inlineStr">
        <is>
          <t>Asparagaceae (por confirmar)</t>
        </is>
      </c>
      <c r="E28" s="57" t="inlineStr">
        <is>
          <t>Arbustivo alto (1.5-4 m)</t>
        </is>
      </c>
      <c r="F28" s="57" t="inlineStr">
        <is>
          <t>Nativa</t>
        </is>
      </c>
      <c r="G28" s="57" t="inlineStr">
        <is>
          <t>Rara (&lt;1%)</t>
        </is>
      </c>
      <c r="H28" s="57" t="n"/>
      <c r="I28" s="57" t="n"/>
    </row>
    <row r="29">
      <c r="A29" s="56" t="inlineStr">
        <is>
          <t>15</t>
        </is>
      </c>
      <c r="B29" s="56" t="inlineStr">
        <is>
          <t>Pastos cultivados</t>
        </is>
      </c>
      <c r="C29" s="56" t="inlineStr">
        <is>
          <t>Poaceae (indet.)</t>
        </is>
      </c>
      <c r="D29" s="56" t="inlineStr">
        <is>
          <t>Poaceae</t>
        </is>
      </c>
      <c r="E29" s="56" t="inlineStr">
        <is>
          <t>Herbáceo (&lt;0.5 m)</t>
        </is>
      </c>
      <c r="F29" s="56" t="inlineStr">
        <is>
          <t>Introducida</t>
        </is>
      </c>
      <c r="G29" s="56" t="inlineStr">
        <is>
          <t>Abundante (20-40%)</t>
        </is>
      </c>
      <c r="H29" s="56" t="n"/>
      <c r="I29" s="56" t="n"/>
    </row>
    <row r="31">
      <c r="A31" s="54" t="inlineStr">
        <is>
          <t>F-DT-03 · ESPECIES CLAVE GEORREFERENCIADAS</t>
        </is>
      </c>
    </row>
    <row r="32">
      <c r="A32" s="55" t="inlineStr">
        <is>
          <t>N.o</t>
        </is>
      </c>
      <c r="B32" s="55" t="inlineStr">
        <is>
          <t>Especie</t>
        </is>
      </c>
      <c r="C32" s="55" t="inlineStr">
        <is>
          <t>Categoría</t>
        </is>
      </c>
      <c r="D32" s="55" t="inlineStr">
        <is>
          <t>Estado UICN</t>
        </is>
      </c>
      <c r="E32" s="55" t="inlineStr">
        <is>
          <t>UTM ESTE</t>
        </is>
      </c>
      <c r="F32" s="55" t="inlineStr">
        <is>
          <t>UTM NORTE</t>
        </is>
      </c>
      <c r="G32" s="55" t="inlineStr">
        <is>
          <t>N.° individuos</t>
        </is>
      </c>
      <c r="H32" s="55" t="inlineStr">
        <is>
          <t>Observación</t>
        </is>
      </c>
    </row>
    <row r="33">
      <c r="A33" s="56" t="inlineStr">
        <is>
          <t>1</t>
        </is>
      </c>
      <c r="B33" s="56" t="inlineStr">
        <is>
          <t>Bromeliaceae (indet.) - Bromeliáceas epífitas</t>
        </is>
      </c>
      <c r="C33" s="56" t="inlineStr">
        <is>
          <t>Indicadora de buen estado</t>
        </is>
      </c>
      <c r="D33" s="56" t="inlineStr">
        <is>
          <t>NE — No Evaluado</t>
        </is>
      </c>
      <c r="E33" s="56" t="n"/>
      <c r="F33" s="56" t="n"/>
      <c r="G33" s="56" t="n"/>
      <c r="H33" s="56" t="inlineStr">
        <is>
          <t>Epifitismo indicador de humedad atmosférica persistente</t>
        </is>
      </c>
    </row>
    <row r="34">
      <c r="A34" s="57" t="inlineStr">
        <is>
          <t>2</t>
        </is>
      </c>
      <c r="B34" s="57" t="inlineStr">
        <is>
          <t>Pteridophyta (indet.) - Helechos</t>
        </is>
      </c>
      <c r="C34" s="57" t="inlineStr">
        <is>
          <t>Indicadora de buen estado</t>
        </is>
      </c>
      <c r="D34" s="57" t="inlineStr">
        <is>
          <t>NE — No Evaluado</t>
        </is>
      </c>
      <c r="E34" s="57" t="n"/>
      <c r="F34" s="57" t="n"/>
      <c r="G34" s="57" t="n"/>
      <c r="H34" s="57" t="inlineStr">
        <is>
          <t>Indicador de humedad edáfica y sombra de dosel</t>
        </is>
      </c>
    </row>
    <row r="35">
      <c r="A35" s="56" t="inlineStr">
        <is>
          <t>3</t>
        </is>
      </c>
      <c r="B35" s="56" t="inlineStr">
        <is>
          <t>Melastomataceae (indet.)</t>
        </is>
      </c>
      <c r="C35" s="56" t="inlineStr">
        <is>
          <t>Indicadora de buen estado</t>
        </is>
      </c>
      <c r="D35" s="56" t="inlineStr">
        <is>
          <t>NE — No Evaluado</t>
        </is>
      </c>
      <c r="E35" s="56" t="n"/>
      <c r="F35" s="56" t="n"/>
      <c r="G35" s="56" t="n"/>
      <c r="H35" s="56" t="inlineStr">
        <is>
          <t>Familia característica de matorral andino húmedo</t>
        </is>
      </c>
    </row>
    <row r="36">
      <c r="A36" s="57" t="inlineStr">
        <is>
          <t>4</t>
        </is>
      </c>
      <c r="B36" s="57" t="inlineStr">
        <is>
          <t>Inga sp. - Pacae</t>
        </is>
      </c>
      <c r="C36" s="57" t="inlineStr">
        <is>
          <t>Indicadora de buen estado</t>
        </is>
      </c>
      <c r="D36" s="57" t="inlineStr">
        <is>
          <t>NE — No Evaluado</t>
        </is>
      </c>
      <c r="E36" s="57" t="n"/>
      <c r="F36" s="57" t="n"/>
      <c r="G36" s="57" t="n"/>
      <c r="H36" s="57" t="inlineStr">
        <is>
          <t>Nativa fijadora de nitrógeno; indicadora de humedad</t>
        </is>
      </c>
    </row>
    <row r="37">
      <c r="A37" s="56" t="inlineStr">
        <is>
          <t>5</t>
        </is>
      </c>
      <c r="B37" s="56" t="inlineStr">
        <is>
          <t>Ficus sp. - Higuerón</t>
        </is>
      </c>
      <c r="C37" s="56" t="inlineStr">
        <is>
          <t>Indicadora de buen estado</t>
        </is>
      </c>
      <c r="D37" s="56" t="inlineStr">
        <is>
          <t>NE — No Evaluado</t>
        </is>
      </c>
      <c r="E37" s="56" t="n"/>
      <c r="F37" s="56" t="n"/>
      <c r="G37" s="56" t="n"/>
      <c r="H37" s="56" t="inlineStr">
        <is>
          <t>Emergente nativo de relicto; recurso clave de fauna</t>
        </is>
      </c>
    </row>
    <row r="38">
      <c r="A38" s="57" t="inlineStr">
        <is>
          <t>6</t>
        </is>
      </c>
      <c r="B38" s="57" t="inlineStr">
        <is>
          <t>Passiflora sp. - Pasiflora</t>
        </is>
      </c>
      <c r="C38" s="57" t="inlineStr">
        <is>
          <t>Indicadora de buen estado</t>
        </is>
      </c>
      <c r="D38" s="57" t="inlineStr">
        <is>
          <t>NE — No Evaluado</t>
        </is>
      </c>
      <c r="E38" s="62" t="n">
        <v>647119</v>
      </c>
      <c r="F38" s="62" t="n">
        <v>9427229</v>
      </c>
      <c r="G38" s="63" t="n">
        <v>1</v>
      </c>
      <c r="H38" s="57" t="inlineStr">
        <is>
          <t>Trepador nativo en floración (08/07/2026); especie por determinar</t>
        </is>
      </c>
    </row>
    <row r="39">
      <c r="A39" s="56" t="inlineStr">
        <is>
          <t>7</t>
        </is>
      </c>
      <c r="B39" s="56" t="inlineStr">
        <is>
          <t>Baccharis sp. - Chilca</t>
        </is>
      </c>
      <c r="C39" s="56" t="inlineStr">
        <is>
          <t>Indicadora de perturbación</t>
        </is>
      </c>
      <c r="D39" s="56" t="inlineStr">
        <is>
          <t>NE — No Evaluado</t>
        </is>
      </c>
      <c r="E39" s="56" t="n"/>
      <c r="F39" s="56" t="n"/>
      <c r="G39" s="56" t="n"/>
      <c r="H39" s="56" t="inlineStr">
        <is>
          <t>Coloniza bordes de vía y áreas alteradas</t>
        </is>
      </c>
    </row>
    <row r="40">
      <c r="A40" s="57" t="inlineStr">
        <is>
          <t>8</t>
        </is>
      </c>
      <c r="B40" s="57" t="inlineStr">
        <is>
          <t>Grevillea robusta - Grevilea</t>
        </is>
      </c>
      <c r="C40" s="57" t="inlineStr">
        <is>
          <t>Indicadora de perturbación</t>
        </is>
      </c>
      <c r="D40" s="57" t="inlineStr">
        <is>
          <t>No aplica</t>
        </is>
      </c>
      <c r="E40" s="57" t="n"/>
      <c r="F40" s="57" t="n"/>
      <c r="G40" s="57" t="n"/>
      <c r="H40" s="57" t="inlineStr">
        <is>
          <t>Especie introducida en linderos y parcelas</t>
        </is>
      </c>
    </row>
    <row r="41">
      <c r="A41" s="56" t="inlineStr">
        <is>
          <t>9</t>
        </is>
      </c>
      <c r="B41" s="56" t="inlineStr">
        <is>
          <t>Agave americana - Agave</t>
        </is>
      </c>
      <c r="C41" s="56" t="inlineStr">
        <is>
          <t>Indicadora de perturbación</t>
        </is>
      </c>
      <c r="D41" s="56" t="inlineStr">
        <is>
          <t>No aplica</t>
        </is>
      </c>
      <c r="E41" s="56" t="n"/>
      <c r="F41" s="56" t="n"/>
      <c r="G41" s="56" t="n"/>
      <c r="H41" s="56" t="inlineStr">
        <is>
          <t>Introducida; asociada a cercos y taludes</t>
        </is>
      </c>
    </row>
    <row r="42">
      <c r="A42" s="57" t="inlineStr">
        <is>
          <t>10</t>
        </is>
      </c>
      <c r="B42" s="57" t="inlineStr">
        <is>
          <t>Poaceae (indet.) - Pastos cultivados</t>
        </is>
      </c>
      <c r="C42" s="57" t="inlineStr">
        <is>
          <t>Indicadora de perturbación</t>
        </is>
      </c>
      <c r="D42" s="57" t="inlineStr">
        <is>
          <t>No aplica</t>
        </is>
      </c>
      <c r="E42" s="57" t="n"/>
      <c r="F42" s="57" t="n"/>
      <c r="G42" s="57" t="n"/>
      <c r="H42" s="57" t="inlineStr">
        <is>
          <t>Sustitución de cobertura natural en laderas</t>
        </is>
      </c>
    </row>
    <row r="44">
      <c r="A44" s="54" t="inlineStr">
        <is>
          <t>F-DT-04 · MATRIZ DE CAUSAS DE DEGRADACIÓN</t>
        </is>
      </c>
    </row>
    <row r="45">
      <c r="A45" s="55" t="inlineStr">
        <is>
          <t>N.o</t>
        </is>
      </c>
      <c r="B45" s="55" t="inlineStr">
        <is>
          <t>Causa</t>
        </is>
      </c>
      <c r="C45" s="55" t="inlineStr">
        <is>
          <t>Presencia</t>
        </is>
      </c>
      <c r="D45" s="55" t="inlineStr">
        <is>
          <t>Intensidad</t>
        </is>
      </c>
      <c r="E45" s="55" t="inlineStr">
        <is>
          <t>Extensión</t>
        </is>
      </c>
      <c r="F45" s="55" t="inlineStr">
        <is>
          <t>Antigüedad</t>
        </is>
      </c>
      <c r="G45" s="55" t="inlineStr">
        <is>
          <t>Evidencia</t>
        </is>
      </c>
    </row>
    <row r="46">
      <c r="A46" s="56" t="inlineStr">
        <is>
          <t>1</t>
        </is>
      </c>
      <c r="B46" s="56" t="inlineStr">
        <is>
          <t>Sobrepastoreo (caprino/vacuno)</t>
        </is>
      </c>
      <c r="C46" s="56" t="inlineStr">
        <is>
          <t>Sí</t>
        </is>
      </c>
      <c r="D46" s="56" t="inlineStr">
        <is>
          <t>Moderada</t>
        </is>
      </c>
      <c r="E46" s="56" t="inlineStr">
        <is>
          <t>Por determinar</t>
        </is>
      </c>
      <c r="F46" s="56" t="inlineStr">
        <is>
          <t>Por determinar</t>
        </is>
      </c>
      <c r="G46" s="56" t="inlineStr">
        <is>
          <t>Pastos cultivados y cercos ganaderos en ladera; compactación y sendas de pisoteo (F-10, F-11)</t>
        </is>
      </c>
    </row>
    <row r="47">
      <c r="A47" s="57" t="inlineStr">
        <is>
          <t>2</t>
        </is>
      </c>
      <c r="B47" s="57" t="inlineStr">
        <is>
          <t>Tala para leña</t>
        </is>
      </c>
      <c r="C47" s="57" t="inlineStr"/>
      <c r="D47" s="57" t="inlineStr"/>
      <c r="E47" s="57" t="inlineStr"/>
      <c r="F47" s="57" t="inlineStr"/>
      <c r="G47" s="57" t="inlineStr">
        <is>
          <t>Por verificar: no se registró extracción de leña durante el recorrido</t>
        </is>
      </c>
    </row>
    <row r="48">
      <c r="A48" s="56" t="inlineStr">
        <is>
          <t>3</t>
        </is>
      </c>
      <c r="B48" s="56" t="inlineStr">
        <is>
          <t>Tala para carbón</t>
        </is>
      </c>
      <c r="C48" s="56" t="inlineStr"/>
      <c r="D48" s="56" t="inlineStr"/>
      <c r="E48" s="56" t="inlineStr"/>
      <c r="F48" s="56" t="inlineStr"/>
      <c r="G48" s="56" t="inlineStr"/>
    </row>
    <row r="49">
      <c r="A49" s="57" t="inlineStr">
        <is>
          <t>4</t>
        </is>
      </c>
      <c r="B49" s="57" t="inlineStr">
        <is>
          <t>Tala para madera</t>
        </is>
      </c>
      <c r="C49" s="57" t="inlineStr"/>
      <c r="D49" s="57" t="inlineStr"/>
      <c r="E49" s="57" t="inlineStr"/>
      <c r="F49" s="57" t="inlineStr"/>
      <c r="G49" s="57" t="inlineStr"/>
    </row>
    <row r="50">
      <c r="A50" s="56" t="inlineStr">
        <is>
          <t>5</t>
        </is>
      </c>
      <c r="B50" s="56" t="inlineStr">
        <is>
          <t>Quema (renovación de pastos)</t>
        </is>
      </c>
      <c r="C50" s="56" t="inlineStr">
        <is>
          <t>No</t>
        </is>
      </c>
      <c r="D50" s="56" t="inlineStr"/>
      <c r="E50" s="56" t="inlineStr"/>
      <c r="F50" s="56" t="inlineStr"/>
      <c r="G50" s="56" t="inlineStr">
        <is>
          <t>Sin evidencia de quema reciente en el recorrido</t>
        </is>
      </c>
    </row>
    <row r="51">
      <c r="A51" s="57" t="inlineStr">
        <is>
          <t>6</t>
        </is>
      </c>
      <c r="B51" s="57" t="inlineStr">
        <is>
          <t>Quema accidental / Incendio</t>
        </is>
      </c>
      <c r="C51" s="57" t="inlineStr">
        <is>
          <t>No</t>
        </is>
      </c>
      <c r="D51" s="57" t="inlineStr"/>
      <c r="E51" s="57" t="inlineStr"/>
      <c r="F51" s="57" t="inlineStr"/>
      <c r="G51" s="57" t="inlineStr">
        <is>
          <t>Sin evidencia de incendio en el recorrido</t>
        </is>
      </c>
    </row>
    <row r="52">
      <c r="A52" s="56" t="inlineStr">
        <is>
          <t>7</t>
        </is>
      </c>
      <c r="B52" s="56" t="inlineStr">
        <is>
          <t>Cambio de uso a agricultura</t>
        </is>
      </c>
      <c r="C52" s="56" t="inlineStr">
        <is>
          <t>Sí</t>
        </is>
      </c>
      <c r="D52" s="56" t="inlineStr">
        <is>
          <t>Ligera</t>
        </is>
      </c>
      <c r="E52" s="56" t="inlineStr">
        <is>
          <t>4.2</t>
        </is>
      </c>
      <c r="F52" s="56" t="inlineStr">
        <is>
          <t>Por determinar</t>
        </is>
      </c>
      <c r="G52" s="56" t="inlineStr">
        <is>
          <t>Zona agrícola = 0,82 ha (4,2 % del bloque, Reporte de Ecosistemas); plátano, maíz, café, cacao, cítricos</t>
        </is>
      </c>
    </row>
    <row r="53">
      <c r="A53" s="57" t="inlineStr">
        <is>
          <t>8</t>
        </is>
      </c>
      <c r="B53" s="57" t="inlineStr">
        <is>
          <t>Cambio de uso a pastoreo</t>
        </is>
      </c>
      <c r="C53" s="57" t="inlineStr">
        <is>
          <t>Sí</t>
        </is>
      </c>
      <c r="D53" s="57" t="inlineStr">
        <is>
          <t>Moderada</t>
        </is>
      </c>
      <c r="E53" s="57" t="inlineStr">
        <is>
          <t>Por determinar</t>
        </is>
      </c>
      <c r="F53" s="57" t="inlineStr">
        <is>
          <t>Por determinar</t>
        </is>
      </c>
      <c r="G53" s="57" t="inlineStr">
        <is>
          <t>Pastos cultivados dominantes en laderas de menor pendiente (F-10, F-11)</t>
        </is>
      </c>
    </row>
    <row r="54">
      <c r="A54" s="56" t="inlineStr">
        <is>
          <t>9</t>
        </is>
      </c>
      <c r="B54" s="56" t="inlineStr">
        <is>
          <t>Expansión urbana / vial</t>
        </is>
      </c>
      <c r="C54" s="56" t="inlineStr">
        <is>
          <t>Sí</t>
        </is>
      </c>
      <c r="D54" s="56" t="inlineStr">
        <is>
          <t>Ligera</t>
        </is>
      </c>
      <c r="E54" s="56" t="inlineStr">
        <is>
          <t>Por determinar</t>
        </is>
      </c>
      <c r="F54" s="56" t="inlineStr">
        <is>
          <t>Por determinar</t>
        </is>
      </c>
      <c r="G54" s="56" t="inlineStr">
        <is>
          <t>Trocha carrozable de ingreso y taludes de corte inestables (F-01, F-09, F-12)</t>
        </is>
      </c>
    </row>
    <row r="55">
      <c r="A55" s="57" t="inlineStr">
        <is>
          <t>10</t>
        </is>
      </c>
      <c r="B55" s="57" t="inlineStr">
        <is>
          <t>Minería informal</t>
        </is>
      </c>
      <c r="C55" s="57" t="inlineStr"/>
      <c r="D55" s="57" t="inlineStr"/>
      <c r="E55" s="57" t="inlineStr"/>
      <c r="F55" s="57" t="inlineStr"/>
      <c r="G55" s="57" t="inlineStr"/>
    </row>
    <row r="56">
      <c r="A56" s="56" t="inlineStr">
        <is>
          <t>11</t>
        </is>
      </c>
      <c r="B56" s="56" t="inlineStr">
        <is>
          <t>Extracción de áridos (cauces)</t>
        </is>
      </c>
      <c r="C56" s="56" t="inlineStr"/>
      <c r="D56" s="56" t="inlineStr"/>
      <c r="E56" s="56" t="inlineStr"/>
      <c r="F56" s="56" t="inlineStr"/>
      <c r="G56" s="56" t="inlineStr"/>
    </row>
    <row r="57">
      <c r="A57" s="57" t="inlineStr">
        <is>
          <t>12</t>
        </is>
      </c>
      <c r="B57" s="57" t="inlineStr">
        <is>
          <t>Especies invasoras</t>
        </is>
      </c>
      <c r="C57" s="57" t="inlineStr">
        <is>
          <t>Sí</t>
        </is>
      </c>
      <c r="D57" s="57" t="inlineStr">
        <is>
          <t>Ligera</t>
        </is>
      </c>
      <c r="E57" s="57" t="inlineStr">
        <is>
          <t>Por determinar</t>
        </is>
      </c>
      <c r="F57" s="57" t="inlineStr">
        <is>
          <t>Por determinar</t>
        </is>
      </c>
      <c r="G57" s="57" t="inlineStr">
        <is>
          <t>Grevillea robusta, Agave americana y pastos cultivados introducidos</t>
        </is>
      </c>
    </row>
    <row r="58">
      <c r="A58" s="56" t="inlineStr">
        <is>
          <t>13</t>
        </is>
      </c>
      <c r="B58" s="56" t="inlineStr">
        <is>
          <t>Erosión natural severa</t>
        </is>
      </c>
      <c r="C58" s="56" t="inlineStr">
        <is>
          <t>Sí</t>
        </is>
      </c>
      <c r="D58" s="56" t="inlineStr">
        <is>
          <t>Moderada</t>
        </is>
      </c>
      <c r="E58" s="56" t="inlineStr">
        <is>
          <t>Por determinar</t>
        </is>
      </c>
      <c r="F58" s="56" t="inlineStr">
        <is>
          <t>Por determinar</t>
        </is>
      </c>
      <c r="G58" s="56" t="inlineStr">
        <is>
          <t>Socavamiento activo de márgenes del cauce encajonado de la quebrada (F-06, F-07)</t>
        </is>
      </c>
    </row>
    <row r="59">
      <c r="A59" s="57" t="inlineStr">
        <is>
          <t>14</t>
        </is>
      </c>
      <c r="B59" s="57" t="inlineStr">
        <is>
          <t>Sequía prolongada / CC</t>
        </is>
      </c>
      <c r="C59" s="57" t="inlineStr"/>
      <c r="D59" s="57" t="inlineStr"/>
      <c r="E59" s="57" t="inlineStr"/>
      <c r="F59" s="57" t="inlineStr"/>
      <c r="G59" s="57" t="inlineStr"/>
    </row>
    <row r="60">
      <c r="A60" s="56" t="inlineStr">
        <is>
          <t>15</t>
        </is>
      </c>
      <c r="B60" s="56" t="inlineStr">
        <is>
          <t>Plagas o enfermedades forestales</t>
        </is>
      </c>
      <c r="C60" s="56" t="inlineStr"/>
      <c r="D60" s="56" t="inlineStr"/>
      <c r="E60" s="56" t="inlineStr"/>
      <c r="F60" s="56" t="inlineStr"/>
      <c r="G60" s="56" t="inlineStr"/>
    </row>
    <row r="61">
      <c r="A61" s="57" t="inlineStr">
        <is>
          <t>16</t>
        </is>
      </c>
      <c r="B61" s="57" t="inlineStr">
        <is>
          <t>Otro</t>
        </is>
      </c>
      <c r="C61" s="57" t="inlineStr"/>
      <c r="D61" s="57" t="inlineStr"/>
      <c r="E61" s="57" t="inlineStr"/>
      <c r="F61" s="57" t="inlineStr"/>
      <c r="G61" s="57" t="inlineStr"/>
    </row>
    <row r="63">
      <c r="A63" s="54" t="inlineStr">
        <is>
          <t>F-DT-04 · INDICADORES CUANTITATIVOS</t>
        </is>
      </c>
    </row>
    <row r="64">
      <c r="A64" s="55" t="inlineStr">
        <is>
          <t>N.o</t>
        </is>
      </c>
      <c r="B64" s="55" t="inlineStr">
        <is>
          <t>Indicador</t>
        </is>
      </c>
      <c r="C64" s="55" t="inlineStr">
        <is>
          <t>Unidad</t>
        </is>
      </c>
      <c r="D64" s="55" t="inlineStr">
        <is>
          <t>Valor</t>
        </is>
      </c>
      <c r="E64" s="55" t="inlineStr">
        <is>
          <t>Fuente</t>
        </is>
      </c>
      <c r="F64" s="55" t="inlineStr">
        <is>
          <t>Umbral</t>
        </is>
      </c>
      <c r="G64" s="55" t="inlineStr">
        <is>
          <t>Nivel</t>
        </is>
      </c>
    </row>
    <row r="65">
      <c r="A65" s="56" t="inlineStr">
        <is>
          <t>1</t>
        </is>
      </c>
      <c r="B65" s="56" t="inlineStr">
        <is>
          <t>Cobertura vegetal total</t>
        </is>
      </c>
      <c r="C65" s="56" t="inlineStr">
        <is>
          <t>%</t>
        </is>
      </c>
      <c r="D65" s="56" t="inlineStr">
        <is>
          <t>85</t>
        </is>
      </c>
      <c r="E65" s="56" t="inlineStr">
        <is>
          <t>MSAVI 2024 (media 0,6831) + estimación ocular</t>
        </is>
      </c>
      <c r="F65" s="56" t="inlineStr">
        <is>
          <t>&gt;60% bueno; 30-60% medio; &lt;30% malo</t>
        </is>
      </c>
      <c r="G65" s="56" t="inlineStr">
        <is>
          <t>Alto</t>
        </is>
      </c>
    </row>
    <row r="66">
      <c r="A66" s="57" t="inlineStr">
        <is>
          <t>2</t>
        </is>
      </c>
      <c r="B66" s="57" t="inlineStr">
        <is>
          <t>Porcentaje de suelo desnudo</t>
        </is>
      </c>
      <c r="C66" s="57" t="inlineStr">
        <is>
          <t>%</t>
        </is>
      </c>
      <c r="D66" s="57" t="inlineStr">
        <is>
          <t>5</t>
        </is>
      </c>
      <c r="E66" s="57" t="inlineStr">
        <is>
          <t>Estimación ocular de campo</t>
        </is>
      </c>
      <c r="F66" s="57" t="inlineStr">
        <is>
          <t>&lt;10% bueno; 10-30% medio; &gt;30% malo</t>
        </is>
      </c>
      <c r="G66" s="57" t="inlineStr">
        <is>
          <t>Bajo</t>
        </is>
      </c>
    </row>
    <row r="67">
      <c r="A67" s="56" t="inlineStr">
        <is>
          <t>3</t>
        </is>
      </c>
      <c r="B67" s="56" t="inlineStr">
        <is>
          <t>Densidad de cárcavas</t>
        </is>
      </c>
      <c r="C67" s="56" t="inlineStr">
        <is>
          <t>N°/ha</t>
        </is>
      </c>
      <c r="D67" s="56" t="inlineStr">
        <is>
          <t>Por determinar</t>
        </is>
      </c>
      <c r="E67" s="56" t="inlineStr">
        <is>
          <t>Requiere levantamiento instrumental</t>
        </is>
      </c>
      <c r="F67" s="56" t="inlineStr">
        <is>
          <t>0 nulo; 1-3 medio; &gt;3 alto</t>
        </is>
      </c>
      <c r="G67" s="56" t="inlineStr"/>
    </row>
    <row r="68">
      <c r="A68" s="57" t="inlineStr">
        <is>
          <t>4</t>
        </is>
      </c>
      <c r="B68" s="57" t="inlineStr">
        <is>
          <t>Presencia de especies invasoras</t>
        </is>
      </c>
      <c r="C68" s="57" t="inlineStr">
        <is>
          <t>% área</t>
        </is>
      </c>
      <c r="D68" s="57" t="inlineStr">
        <is>
          <t>Por determinar</t>
        </is>
      </c>
      <c r="E68" s="57" t="inlineStr">
        <is>
          <t>Requiere cuantificación en parcela</t>
        </is>
      </c>
      <c r="F68" s="57" t="inlineStr">
        <is>
          <t>&lt;5% bueno; 5-20% medio; &gt;20% alto</t>
        </is>
      </c>
      <c r="G68" s="57" t="inlineStr"/>
    </row>
    <row r="69">
      <c r="A69" s="56" t="inlineStr">
        <is>
          <t>5</t>
        </is>
      </c>
      <c r="B69" s="56" t="inlineStr">
        <is>
          <t>Carga ganadera estimada</t>
        </is>
      </c>
      <c r="C69" s="56" t="inlineStr">
        <is>
          <t>UA/ha</t>
        </is>
      </c>
      <c r="D69" s="56" t="inlineStr">
        <is>
          <t>Por determinar</t>
        </is>
      </c>
      <c r="E69" s="56" t="inlineStr">
        <is>
          <t>Requiere censo ganadero</t>
        </is>
      </c>
      <c r="F69" s="56" t="inlineStr">
        <is>
          <t>Según tipo de ecosistema</t>
        </is>
      </c>
      <c r="G69" s="56" t="inlineStr"/>
    </row>
    <row r="70">
      <c r="A70" s="57" t="inlineStr">
        <is>
          <t>6</t>
        </is>
      </c>
      <c r="B70" s="57" t="inlineStr">
        <is>
          <t>Frecuencia de quemas últimos 5 años</t>
        </is>
      </c>
      <c r="C70" s="57" t="inlineStr">
        <is>
          <t>N°</t>
        </is>
      </c>
      <c r="D70" s="57" t="inlineStr">
        <is>
          <t>Por determinar</t>
        </is>
      </c>
      <c r="E70" s="57" t="inlineStr">
        <is>
          <t>Requiere consulta comunal</t>
        </is>
      </c>
      <c r="F70" s="57" t="inlineStr">
        <is>
          <t>0 nulo; 1-2 medio; &gt;2 alto</t>
        </is>
      </c>
      <c r="G70" s="57" t="inlineStr"/>
    </row>
    <row r="71">
      <c r="A71" s="56" t="inlineStr">
        <is>
          <t>7</t>
        </is>
      </c>
      <c r="B71" s="56" t="inlineStr">
        <is>
          <t>% área con pendiente &gt;50%</t>
        </is>
      </c>
      <c r="C71" s="56" t="inlineStr">
        <is>
          <t>%</t>
        </is>
      </c>
      <c r="D71" s="56" t="inlineStr">
        <is>
          <t>Por determinar</t>
        </is>
      </c>
      <c r="E71" s="56" t="inlineStr">
        <is>
          <t>Perfil GE: pendiente media 34,0 %, máxima 59,6 %</t>
        </is>
      </c>
      <c r="F71" s="56" t="inlineStr">
        <is>
          <t>Factor de susceptibilidad</t>
        </is>
      </c>
      <c r="G71" s="56" t="inlineStr"/>
    </row>
    <row r="72">
      <c r="A72" s="57" t="inlineStr">
        <is>
          <t>8</t>
        </is>
      </c>
      <c r="B72" s="57" t="inlineStr">
        <is>
          <t>Distancia a vía vecinal más cercana</t>
        </is>
      </c>
      <c r="C72" s="57" t="inlineStr">
        <is>
          <t>m</t>
        </is>
      </c>
      <c r="D72" s="57" t="inlineStr">
        <is>
          <t>0</t>
        </is>
      </c>
      <c r="E72" s="57" t="inlineStr">
        <is>
          <t>Trocha carrozable atraviesa/bordea el bloque (F-01, F-09)</t>
        </is>
      </c>
      <c r="F72" s="57" t="inlineStr">
        <is>
          <t>A menor distancia → mayor presión</t>
        </is>
      </c>
      <c r="G72" s="57" t="inlineStr">
        <is>
          <t>Alto</t>
        </is>
      </c>
    </row>
    <row r="74">
      <c r="A74" s="54" t="inlineStr">
        <is>
          <t>F-DT-05 · FUENTES DE AGUA INVENTARIADAS</t>
        </is>
      </c>
    </row>
    <row r="75">
      <c r="A75" s="55" t="inlineStr">
        <is>
          <t>N.o</t>
        </is>
      </c>
      <c r="B75" s="55" t="inlineStr">
        <is>
          <t>Tipo de fuente</t>
        </is>
      </c>
      <c r="C75" s="55" t="inlineStr">
        <is>
          <t>UTM ESTE</t>
        </is>
      </c>
      <c r="D75" s="55" t="inlineStr">
        <is>
          <t>UTM NORTE</t>
        </is>
      </c>
      <c r="E75" s="55" t="inlineStr">
        <is>
          <t>Régimen</t>
        </is>
      </c>
      <c r="F75" s="55" t="inlineStr">
        <is>
          <t>Calidad</t>
        </is>
      </c>
      <c r="G75" s="55" t="inlineStr">
        <is>
          <t>Distancia (m)</t>
        </is>
      </c>
      <c r="H75" s="55" t="inlineStr">
        <is>
          <t>Uso / observación</t>
        </is>
      </c>
    </row>
    <row r="76">
      <c r="A76" s="56" t="inlineStr">
        <is>
          <t>1</t>
        </is>
      </c>
      <c r="B76" s="56" t="inlineStr">
        <is>
          <t>Quebrada permanente</t>
        </is>
      </c>
      <c r="C76" s="61" t="n">
        <v>647201</v>
      </c>
      <c r="D76" s="61" t="n">
        <v>9427237</v>
      </c>
      <c r="E76" s="56" t="inlineStr">
        <is>
          <t>Permanente</t>
        </is>
      </c>
      <c r="F76" s="56" t="inlineStr">
        <is>
          <t>Regular (ligeramente turbia o con sedimentos)</t>
        </is>
      </c>
      <c r="G76" s="64" t="n">
        <v>0</v>
      </c>
      <c r="H76" s="56" t="inlineStr">
        <is>
          <t>Quebrada que delimita el bloque por el NO (límite con bloque 38). Caudal presente en época seca (08/07/2026). Cauce encajonado con bloques rocosos y material leñoso de arrastre; socavamiento activo de márgenes. Uso observado: por verificar.</t>
        </is>
      </c>
    </row>
    <row r="79">
      <c r="A79" s="54" t="inlineStr">
        <is>
          <t>OBSERVACIONES DEL EVALUADOR POR FICHA</t>
        </is>
      </c>
    </row>
    <row r="80">
      <c r="A80" s="55" t="inlineStr">
        <is>
          <t>Ficha</t>
        </is>
      </c>
      <c r="B80" s="55" t="inlineStr">
        <is>
          <t>Observación registrada en campo</t>
        </is>
      </c>
    </row>
    <row r="81">
      <c r="A81" s="56" t="inlineStr">
        <is>
          <t>F-DT-01</t>
        </is>
      </c>
      <c r="B81" s="56" t="inlineStr">
        <is>
          <t>Punto de muestreo declarado = centroide del bloque (Centroides_Bloques_V5). Registros fotográficos de campo entre 646 728-647 572 E y 9 427 105-9 427 564 N. La altitud GPS no fue registrada por el equipo de campo: POR DETERMINAR. Referencia de gabinete (perfil de elevación Google Earth, 08/07/2026): 1 489-1 686 msnm, media 1 587 msnm; pendiente media 34,0 % y máxima 59,6 % sobre 566 m de recorrido. Escarpes activos y afloramientos rocosos observados en taludes de corte de la trocha y en las márgenes encajonadas de la quebrada (F-06, F-07, F-09); no se observaron remociones en masa activas en la superficie natural. Comunidad Campesina: por verificar. Forma del terreno, posición fisiográfica y exposición son clasificaciones de juicio experto, sujetas a validación.</t>
        </is>
      </c>
    </row>
    <row r="82">
      <c r="A82" s="57" t="inlineStr">
        <is>
          <t>F-DT-03</t>
        </is>
      </c>
      <c r="B82" s="57" t="inlineStr">
        <is>
          <t>Superficie por ecosistema (Reporte de Ecosistemas por Bloques, proyecto IN Piura): Matorral andino (Ma) 18,4495 ha (95,8 %) y Zona agrícola (Agri) 0,8169 ha (4,2 %); total 19,2665 ha. La subclase de humedad del matorral ('húmedo') es juicio experto a partir del MSAVI 2024 (media del bloque = 0,6831), del epifitismo y de los cultivos de café y cacao presentes; el catálogo MINAM del proyecto solo consigna 'Matorral andino'. Cultivos registrados en el recorrido: plátano (Musa x paradisiaca), maíz (Zea mays), café (Coffea arabica), cacao (Theobroma cacao) y cítricos (Citrus sp.). Lista florística PRELIMINAR: nombres científicos, familias y categorías de conservación sujetos a colección y determinación botánica formal; 'Roble', 'Palo Blanco' y 'Falsa Yuca' no se asignan a género por ambigüedad del nombre local. No se instalaron parcelas: dimensiones, pendiente de parcela, altitud, DAP, alturas y cobertura de hojarasca quedan POR DETERMINAR. Porcentajes de cobertura y abundancias son estimaciones oculares apoyadas en MSAVI 2024. Ninguna especie con categoría D.S. 043-2006-AG confirmada a la fecha.</t>
        </is>
      </c>
    </row>
    <row r="83">
      <c r="A83" s="56" t="inlineStr">
        <is>
          <t>F-DT-05</t>
        </is>
      </c>
      <c r="B83" s="56" t="inlineStr">
        <is>
          <t>Inventario hídrico de reconocimiento. Distancia a la captación poblacional más cercana, nombre de la JASS, interferencia con obras de riego y sistema de riego asociado: POR DETERMINAR. Señal celular, operador dominante, alojamiento rural, tiempos de viaje desde capital distrital (Tunal) y provincial (Huancabamba) no fueron registrados en campo. Autorización de Ronda Campesina: POR VERIFICAR con autoridades locales; el desplegable se deja en blanco por ausencia de dato. El bloque no intercepta ningún centro poblado del catálogo INEI del proyecto; el CP catalogado más próximo en la microcuenca C1081-Q9590 es Ullma (646 976 E, 9 428 519 N; 157 hab.), a ~1,32 km al norte del centroide, asociado al bloque 38. Modalidad de acceso estimada a partir de la secuencia horaria de las fotografías (ingreso 08:55 h; primer registro interior 09:12 h). El régimen 'Permanente' y la calidad aparente del agua son apreciaciones de campo de una única visita en época seca; requieren confirmación estacional.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50</t>
        </is>
      </c>
    </row>
    <row r="7">
      <c r="A7" s="54" t="inlineStr">
        <is>
          <t>Hechos declarados por fuente</t>
        </is>
      </c>
    </row>
    <row r="8">
      <c r="A8" s="55" t="inlineStr">
        <is>
          <t>Fuente</t>
        </is>
      </c>
      <c r="B8" s="55" t="inlineStr">
        <is>
          <t>Hechos</t>
        </is>
      </c>
    </row>
    <row r="9">
      <c r="A9" s="56" t="inlineStr">
        <is>
          <t>Dato de campo</t>
        </is>
      </c>
      <c r="B9" s="56" t="n">
        <v>65</v>
      </c>
    </row>
    <row r="10">
      <c r="A10" s="57" t="inlineStr">
        <is>
          <t>Gabinete (GIS / teledetección)</t>
        </is>
      </c>
      <c r="B10" s="57" t="n">
        <v>20</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98</v>
      </c>
    </row>
    <row r="31">
      <c r="A31" s="57" t="inlineStr">
        <is>
          <t>COMPLEMENTADO</t>
        </is>
      </c>
      <c r="B31" s="57" t="n">
        <v>0</v>
      </c>
    </row>
    <row r="32">
      <c r="A32" s="56" t="inlineStr">
        <is>
          <t>ACTUALIZADO</t>
        </is>
      </c>
      <c r="B32" s="56" t="n">
        <v>1</v>
      </c>
    </row>
    <row r="33">
      <c r="A33" s="57" t="inlineStr">
        <is>
          <t>DISCREPANTE</t>
        </is>
      </c>
      <c r="B33" s="57" t="n">
        <v>0</v>
      </c>
    </row>
    <row r="34">
      <c r="A34" s="56" t="inlineStr">
        <is>
          <t>PENDIENTE</t>
        </is>
      </c>
      <c r="B34" s="56" t="n">
        <v>15</v>
      </c>
    </row>
    <row r="51">
      <c r="A51" s="54" t="inlineStr">
        <is>
          <t>Cobertura por estrato — campo (%)</t>
        </is>
      </c>
    </row>
    <row r="52">
      <c r="A52" s="55" t="inlineStr">
        <is>
          <t>Estrato</t>
        </is>
      </c>
      <c r="B52" s="55" t="inlineStr">
        <is>
          <t>% del área</t>
        </is>
      </c>
    </row>
    <row r="53">
      <c r="A53" s="56" t="inlineStr">
        <is>
          <t>Dosel</t>
        </is>
      </c>
      <c r="B53" s="61" t="n">
        <v>30</v>
      </c>
    </row>
    <row r="54">
      <c r="A54" s="57" t="inlineStr">
        <is>
          <t>Arbustiva</t>
        </is>
      </c>
      <c r="B54" s="62" t="n">
        <v>45</v>
      </c>
    </row>
    <row r="55">
      <c r="A55" s="56" t="inlineStr">
        <is>
          <t>Herbácea</t>
        </is>
      </c>
      <c r="B55" s="61" t="n">
        <v>10</v>
      </c>
    </row>
    <row r="56">
      <c r="A56" s="57" t="inlineStr">
        <is>
          <t>Suelo desnudo</t>
        </is>
      </c>
      <c r="B56" s="63" t="n">
        <v>5</v>
      </c>
    </row>
    <row r="73">
      <c r="A73" s="54" t="inlineStr">
        <is>
          <t>Causas activas de degradación (F-DT-04)</t>
        </is>
      </c>
    </row>
    <row r="74">
      <c r="A74" s="55" t="inlineStr">
        <is>
          <t>Causa</t>
        </is>
      </c>
      <c r="B74" s="55" t="inlineStr">
        <is>
          <t>Intensidad (1 ligera - 4 muy fuerte)</t>
        </is>
      </c>
    </row>
    <row r="75">
      <c r="A75" s="56" t="inlineStr">
        <is>
          <t>Cambio de uso a pastoreo</t>
        </is>
      </c>
      <c r="B75" s="56" t="n">
        <v>2</v>
      </c>
    </row>
    <row r="76">
      <c r="A76" s="57" t="inlineStr">
        <is>
          <t>Erosión natural severa</t>
        </is>
      </c>
      <c r="B76" s="57" t="n">
        <v>2</v>
      </c>
    </row>
    <row r="77">
      <c r="A77" s="56" t="inlineStr">
        <is>
          <t>Sobrepastoreo (caprino/vacuno)</t>
        </is>
      </c>
      <c r="B77" s="56" t="n">
        <v>2</v>
      </c>
    </row>
    <row r="78">
      <c r="A78" s="57" t="inlineStr">
        <is>
          <t>Cambio de uso a agricultura</t>
        </is>
      </c>
      <c r="B78" s="57" t="n">
        <v>1</v>
      </c>
    </row>
    <row r="79">
      <c r="A79" s="56" t="inlineStr">
        <is>
          <t>Especies invasoras</t>
        </is>
      </c>
      <c r="B79" s="56" t="n">
        <v>1</v>
      </c>
    </row>
    <row r="80">
      <c r="A80" s="57" t="inlineStr">
        <is>
          <t>Expansión urbana / vial</t>
        </is>
      </c>
      <c r="B80" s="57" t="n">
        <v>1</v>
      </c>
    </row>
    <row r="97">
      <c r="A97" s="54" t="inlineStr">
        <is>
          <t>Control de consistencia por calificación</t>
        </is>
      </c>
    </row>
    <row r="98">
      <c r="A98" s="55" t="inlineStr">
        <is>
          <t>Calificación</t>
        </is>
      </c>
      <c r="B98" s="55" t="inlineStr">
        <is>
          <t>Verificaciones</t>
        </is>
      </c>
    </row>
    <row r="99">
      <c r="A99" s="56" t="inlineStr">
        <is>
          <t>SUSTANTIVA</t>
        </is>
      </c>
      <c r="B99" s="56" t="n">
        <v>1</v>
      </c>
    </row>
    <row r="100">
      <c r="A100" s="57" t="inlineStr">
        <is>
          <t>NO SUSTANTIVA</t>
        </is>
      </c>
      <c r="B100" s="57" t="n">
        <v>2</v>
      </c>
    </row>
    <row r="101">
      <c r="A101" s="56" t="inlineStr">
        <is>
          <t>CORREGIDO</t>
        </is>
      </c>
      <c r="B101" s="56" t="n">
        <v>1</v>
      </c>
    </row>
    <row r="102">
      <c r="A102" s="57" t="inlineStr">
        <is>
          <t>CONFORME</t>
        </is>
      </c>
      <c r="B102"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50 — IN Piura</dc:title>
  <dc:subject>Diagnóstico Territorial por bloque de intervención</dc:subject>
  <dcterms:created xsi:type="dcterms:W3CDTF">2026-09-08T03:39:56Z</dcterms:created>
  <dcterms:modified xsi:type="dcterms:W3CDTF">2026-09-11T20:22:29Z</dcterms:modified>
</cp:coreProperties>
</file>