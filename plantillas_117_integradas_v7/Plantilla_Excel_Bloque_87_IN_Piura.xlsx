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5" borderId="7" pivotButton="0" quotePrefix="0" xfId="0"/>
    <xf numFmtId="166" fontId="6" fillId="0" borderId="7" pivotButton="0" quotePrefix="0" xfId="0"/>
    <xf numFmtId="166" fontId="6" fillId="5" borderId="7" pivotButton="0" quotePrefix="0" xfId="0"/>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integración'!$A$76:$A$77</f>
            </numRef>
          </cat>
          <val>
            <numRef>
              <f>'Gráficos de integración'!$B$76:$B$77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87</t>
        </is>
      </c>
    </row>
    <row r="6" ht="24" customHeight="1">
      <c r="A6" s="4" t="inlineStr">
        <is>
          <t>Diagnóstico Territorial — Plantilla DT Campo Check Validada V5 | Sistema de referencia: UTM WGS 84 Zona 17S (EPSG:32717) · Integrado con la ficha de campo F-DT vigente (FDT_V5_Bloque87_IN_Piura.xlsx) — V7 - resumen V6 + campo F-DT integrado</t>
        </is>
      </c>
    </row>
    <row r="7"/>
    <row r="8" ht="18" customHeight="1">
      <c r="A8" s="5" t="inlineStr">
        <is>
          <t>1. IDENTIFICACIÓN Y LOCALIZACIÓN</t>
        </is>
      </c>
    </row>
    <row r="9">
      <c r="A9" s="6" t="inlineStr">
        <is>
          <t>Código del bloque</t>
        </is>
      </c>
      <c r="B9" s="7" t="inlineStr">
        <is>
          <t>87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50" t="inlineStr">
        <is>
          <t>En blanco (no consignada)</t>
        </is>
      </c>
      <c r="E13" s="8" t="n"/>
      <c r="F13" s="8" t="n"/>
    </row>
    <row r="14">
      <c r="A14" s="6" t="inlineStr">
        <is>
          <t>Superficie de catálogo (V5/V6), ha</t>
        </is>
      </c>
      <c r="B14" s="7" t="n">
        <v>62.219</v>
      </c>
      <c r="C14" s="6" t="inlineStr">
        <is>
          <t>Fuente de superficie</t>
        </is>
      </c>
      <c r="D14" s="7" t="inlineStr">
        <is>
          <t>Catálogo maestro Bloques V5/V6</t>
        </is>
      </c>
      <c r="E14" s="8" t="n"/>
      <c r="F14" s="8" t="n"/>
    </row>
    <row r="15">
      <c r="A15" s="6" t="inlineStr">
        <is>
          <t>Centroide UTM ESTE (m)</t>
        </is>
      </c>
      <c r="B15" s="7" t="n">
        <v>642882</v>
      </c>
      <c r="C15" s="6" t="inlineStr">
        <is>
          <t>Centroide UTM NORTE (m)</t>
        </is>
      </c>
      <c r="D15" s="7" t="n">
        <v>9411123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0.2487</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Vegetación ligera (63.62 %)</t>
        </is>
      </c>
      <c r="E29" s="8" t="n"/>
      <c r="F29" s="8" t="n"/>
    </row>
    <row r="30">
      <c r="A30" s="6" t="inlineStr">
        <is>
          <t>Superficie clasificada NDVI 2025 (ha)</t>
        </is>
      </c>
      <c r="B30" s="7" t="n">
        <v>62.237</v>
      </c>
      <c r="C30" s="6" t="inlineStr">
        <is>
          <t>Desviación frente al catálogo (%)</t>
        </is>
      </c>
      <c r="D30" s="7" t="n">
        <v>0.03</v>
      </c>
      <c r="E30" s="8" t="n"/>
      <c r="F30" s="8" t="n"/>
    </row>
    <row r="31">
      <c r="A31" s="6" t="inlineStr">
        <is>
          <t>Superficie clasificada MSAVI 2024 (ha)</t>
        </is>
      </c>
      <c r="B31" s="38" t="n">
        <v>62.219</v>
      </c>
      <c r="C31" s="6" t="inlineStr">
        <is>
          <t>Desviación MSAVI frente al catálogo (%)</t>
        </is>
      </c>
      <c r="D31" s="39" t="n">
        <v>0</v>
      </c>
      <c r="E31" s="8" t="n"/>
      <c r="F31" s="8" t="n"/>
    </row>
    <row r="32">
      <c r="A32" s="6" t="inlineStr">
        <is>
          <t>Superficie bajo umbral MSAVI 0.4976 (ha)</t>
        </is>
      </c>
      <c r="B32" s="38" t="n">
        <v>62.045</v>
      </c>
      <c r="C32" s="6" t="inlineStr">
        <is>
          <t>% del bloque bajo umbral (brecha espectral)</t>
        </is>
      </c>
      <c r="D32" s="39" t="n">
        <v>99.72</v>
      </c>
      <c r="E32" s="8" t="n"/>
      <c r="F32" s="8" t="n"/>
    </row>
    <row r="33">
      <c r="A33" s="6" t="inlineStr">
        <is>
          <t>Clase DN dominante (MSAVI 2024)</t>
        </is>
      </c>
      <c r="B33" s="7" t="inlineStr">
        <is>
          <t>DN 1 · &lt;= 0.2650 (Suelo desnudo / no vegetal)</t>
        </is>
      </c>
      <c r="C33" s="6" t="inlineStr">
        <is>
          <t>N.° de polígonos MSAVI del bloque</t>
        </is>
      </c>
      <c r="D33" s="40" t="n">
        <v>307</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62.237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10</v>
      </c>
      <c r="E38" s="8" t="n"/>
      <c r="F38" s="8" t="n"/>
    </row>
    <row r="39">
      <c r="A39" s="6" t="inlineStr">
        <is>
          <t>Suelo desnudo — campo (%)</t>
        </is>
      </c>
      <c r="B39" s="7" t="n">
        <v>68</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50" t="inlineStr">
        <is>
          <t>No inventariadas</t>
        </is>
      </c>
      <c r="E40" s="8" t="n"/>
      <c r="F40" s="8" t="n"/>
    </row>
    <row r="41">
      <c r="A41" s="6" t="inlineStr">
        <is>
          <t>Elenco florístico (n.° de taxones)</t>
        </is>
      </c>
      <c r="B41" s="7" t="n">
        <v>15</v>
      </c>
      <c r="C41" s="6" t="inlineStr">
        <is>
          <t>Estado sanitario</t>
        </is>
      </c>
      <c r="D41" s="50"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nominación POR CONFIRMAR (parte diario)</t>
        </is>
      </c>
      <c r="C44" s="6" t="inlineStr">
        <is>
          <t>Fecha de evaluación</t>
        </is>
      </c>
      <c r="D44" s="7" t="inlineStr">
        <is>
          <t>2026-08-14</t>
        </is>
      </c>
      <c r="E44" s="8" t="n"/>
      <c r="F44" s="8" t="n"/>
    </row>
    <row r="45">
      <c r="A45" s="6" t="inlineStr">
        <is>
          <t>Hora de registro</t>
        </is>
      </c>
      <c r="B45" s="7" t="inlineStr">
        <is>
          <t>12:45 h</t>
        </is>
      </c>
      <c r="C45" s="6" t="inlineStr">
        <is>
          <t>Correlativo de ficha</t>
        </is>
      </c>
      <c r="D45" s="7" t="inlineStr">
        <is>
          <t>F-DT-01-B87-2026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fotointerpretación de ortofoto RPAS</t>
        </is>
      </c>
      <c r="E47" s="8" t="n"/>
      <c r="F47" s="8" t="n"/>
    </row>
    <row r="48">
      <c r="A48" s="6" t="inlineStr">
        <is>
          <t>Estaciones fotográficas georreferenciadas</t>
        </is>
      </c>
      <c r="B48" s="7" t="n">
        <v>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pastizal y de reglas de uso claras sobre el bosque seco de uso común</t>
        </is>
      </c>
      <c r="C51" s="6" t="inlineStr">
        <is>
          <t>Velocidad de degradación</t>
        </is>
      </c>
      <c r="D51" s="50" t="inlineStr">
        <is>
          <t>EN BLANCO — no se dispone de serie Theil-Sen (TAU) ni de MSAVI multianual</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50" t="inlineStr">
        <is>
          <t>En blanco (sin mediciones)</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0.1741</v>
      </c>
      <c r="C11" s="21">
        <f>ROUND(B11/$B$15*100,2)</f>
        <v/>
      </c>
      <c r="D11" s="13" t="inlineStr">
        <is>
          <t>Vigor moderado</t>
        </is>
      </c>
      <c r="E11" s="13" t="inlineStr">
        <is>
          <t>Sobre umbral</t>
        </is>
      </c>
    </row>
    <row r="12">
      <c r="A12" s="7" t="inlineStr">
        <is>
          <t>0.3813 - 0.4976 · DN 3</t>
        </is>
      </c>
      <c r="B12" s="18" t="n">
        <v>0.8069</v>
      </c>
      <c r="C12" s="19">
        <f>ROUND(B12/$B$15*100,2)</f>
        <v/>
      </c>
      <c r="D12" s="11" t="inlineStr">
        <is>
          <t>Vigor bajo</t>
        </is>
      </c>
      <c r="E12" s="11" t="inlineStr">
        <is>
          <t>BAJO umbral 0.4976</t>
        </is>
      </c>
    </row>
    <row r="13">
      <c r="A13" s="12" t="inlineStr">
        <is>
          <t>0.2650 - 0.3813 · DN 2</t>
        </is>
      </c>
      <c r="B13" s="20" t="n">
        <v>10.3668</v>
      </c>
      <c r="C13" s="21">
        <f>ROUND(B13/$B$15*100,2)</f>
        <v/>
      </c>
      <c r="D13" s="13" t="inlineStr">
        <is>
          <t>Vigor muy bajo</t>
        </is>
      </c>
      <c r="E13" s="13" t="inlineStr">
        <is>
          <t>BAJO umbral 0.4976</t>
        </is>
      </c>
    </row>
    <row r="14">
      <c r="A14" s="14" t="inlineStr">
        <is>
          <t>&lt;= 0.2650 · DN 1</t>
        </is>
      </c>
      <c r="B14" s="32" t="n">
        <v>50.8714</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307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62.219</v>
      </c>
      <c r="C18" s="49" t="inlineStr">
        <is>
          <t>—</t>
        </is>
      </c>
      <c r="D18" s="46" t="inlineStr">
        <is>
          <t>Desviación planimétrica frente al catálogo</t>
        </is>
      </c>
      <c r="E18" s="46" t="inlineStr">
        <is>
          <t>+0.00 %</t>
        </is>
      </c>
    </row>
    <row r="19">
      <c r="A19" s="16" t="inlineStr">
        <is>
          <t>MSAVI 2024 — MEDIA DEL BLOQUE</t>
        </is>
      </c>
      <c r="B19" s="17" t="n">
        <v>0.248718</v>
      </c>
      <c r="C19" s="17" t="inlineStr">
        <is>
          <t>—</t>
        </is>
      </c>
      <c r="D19" s="17" t="inlineStr">
        <is>
          <t>Suelo desnudo / no vegetal · clase &lt;= 0.2650</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(0.2487)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0.2097</v>
      </c>
      <c r="C25" s="19" t="n">
        <v>0.34</v>
      </c>
      <c r="D25" s="11" t="inlineStr">
        <is>
          <t>Dosel continuo, matorral denso o mosaico agroforestal</t>
        </is>
      </c>
      <c r="E25" s="11" t="inlineStr"/>
    </row>
    <row r="26">
      <c r="A26" s="12" t="inlineStr">
        <is>
          <t>Vegetación mediana</t>
        </is>
      </c>
      <c r="B26" s="20" t="n">
        <v>1.4991</v>
      </c>
      <c r="C26" s="21" t="n">
        <v>2.41</v>
      </c>
      <c r="D26" s="13" t="inlineStr">
        <is>
          <t>Pastizal cultivado, matorral ralo, parcelas agrícolas</t>
        </is>
      </c>
      <c r="E26" s="13" t="inlineStr"/>
    </row>
    <row r="27">
      <c r="A27" s="7" t="inlineStr">
        <is>
          <t>Vegetación ligera</t>
        </is>
      </c>
      <c r="B27" s="18" t="n">
        <v>39.596</v>
      </c>
      <c r="C27" s="19" t="n">
        <v>63.62</v>
      </c>
      <c r="D27" s="11" t="inlineStr">
        <is>
          <t>Cobertura discontinua, suelo parcialmente expuesto</t>
        </is>
      </c>
      <c r="E27" s="11" t="inlineStr"/>
    </row>
    <row r="28">
      <c r="A28" s="12" t="inlineStr">
        <is>
          <t>Tierra desnuda</t>
        </is>
      </c>
      <c r="B28" s="20" t="n">
        <v>20.9328</v>
      </c>
      <c r="C28" s="21" t="n">
        <v>33.63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62.219</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0.34 % del polígono clasificado como «Vegetación alta» por el NDVI 2025; la observación de campo corresponde a una parcela o recorrido puntual y no es estadísticamente representativa de las 62.219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87</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17827.6</v>
      </c>
      <c r="F10" s="11" t="inlineStr"/>
      <c r="G10" s="11" t="inlineStr">
        <is>
          <t>Coordenada consignada en F-DT-01</t>
        </is>
      </c>
    </row>
    <row r="11">
      <c r="A11" s="12" t="inlineStr">
        <is>
          <t>F-01</t>
        </is>
      </c>
      <c r="B11" s="13" t="inlineStr">
        <is>
          <t>Estación fotográfica</t>
        </is>
      </c>
      <c r="C11" s="27" t="n">
        <v>642479</v>
      </c>
      <c r="D11" s="27" t="n">
        <v>9411311</v>
      </c>
      <c r="E11" s="13" t="n">
        <v>444.7</v>
      </c>
      <c r="F11" s="13" t="inlineStr"/>
      <c r="G11" s="13" t="inlineStr">
        <is>
          <t>Registro fotográfico georreferenciado</t>
        </is>
      </c>
    </row>
    <row r="12">
      <c r="A12" s="7" t="inlineStr">
        <is>
          <t>H-01</t>
        </is>
      </c>
      <c r="B12" s="11" t="inlineStr">
        <is>
          <t>Fuente de agua — Quebrada estacional</t>
        </is>
      </c>
      <c r="C12" s="26" t="inlineStr">
        <is>
          <t>En blanco (sin mediciones)</t>
        </is>
      </c>
      <c r="D12" s="26" t="inlineStr">
        <is>
          <t>En blanco (sin mediciones)</t>
        </is>
      </c>
      <c r="E12" s="11" t="inlineStr"/>
      <c r="F12" s="11" t="inlineStr">
        <is>
          <t>Estacional</t>
        </is>
      </c>
      <c r="G12" s="11" t="inlineStr">
        <is>
          <t>Cauce que delimita los bloques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642882</v>
      </c>
      <c r="C15" s="6" t="inlineStr">
        <is>
          <t>Centroide del bloque — UTM NORTE (m)</t>
        </is>
      </c>
      <c r="D15" s="7" t="n">
        <v>9411123</v>
      </c>
      <c r="E15" s="8" t="n"/>
      <c r="F15" s="8" t="n"/>
      <c r="G15" s="8" t="n"/>
      <c r="H15" s="8" t="n"/>
    </row>
    <row r="16">
      <c r="A16" s="6" t="inlineStr">
        <is>
          <t>N.° de estaciones fotográficas declaradas</t>
        </is>
      </c>
      <c r="B16" s="7" t="n">
        <v>1</v>
      </c>
      <c r="C16" s="6" t="inlineStr">
        <is>
          <t>Estaciones dentro del polígono</t>
        </is>
      </c>
      <c r="D16" s="7" t="n">
        <v>0</v>
      </c>
      <c r="E16" s="8" t="n"/>
      <c r="F16" s="8" t="n"/>
      <c r="G16" s="8" t="n"/>
      <c r="H16" s="8" t="n"/>
    </row>
    <row r="18" ht="20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87 NO cuenta con fichas F-DT-01 a F-DT-05 levantadas en campo. El llenado se sustenta en: (i) registro fotográfico georreferenciado del 14-08-2026, 12:45 h, en 642 479 E / 9 411 311 N, azimut 104°; (ii) ortofotos RPAS del ámbito de los bloques 85-87; (iii) cartografía MSAVI 2024 y NDVI mediana 2025; (iv) imagen Google Earth/Airbus 09-11-2023 y perfil de elevación. LOS CAMPOS SIN SUSTENTO DOCUMENTAL SE DEJAN EN BLANCO DE FORMA DELIBERADA. POSICIÓN DEL PUNTO FOTOGRÁFICO: la restitución lo sitúa ≈23 m AL OESTE del límite occidental del polígono, sobre el corredor de la vía afirmada que separa los bloques 85 y 87. EL REGISTRO ES PERIMETRAL: representa la orla del bloque, no su interior. PARÁMETROS GEOESPACIALES: altitud y pendiente NO figuran en el archivo de estadística zonal del DEM (no incluye los bloques 81 ni 83-87). Valores referenciales de perfil Google Earth sobre transecto O-E de 540 m: 254-325 msnm, pendiente media 13.2%, máxima 21.2%. CENTROIDE: el bloque no figura en «Centroides Bloques.xls»; centroide referencial por segmentación 642 813 E / 9 411 179 N. Superficie por segmentación ráster 60.98 ha frente a 62.237 ha del catálogo V6 (−2.0%). ATENCIÓN: el UTM del punto de registro (645 575 · 9 393 500) es el valor por defecto de la plantilla.</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14" t="inlineStr">
        <is>
          <t>► 87</t>
        </is>
      </c>
      <c r="B12" s="30" t="n">
        <v>62.219</v>
      </c>
      <c r="C12" s="31" t="n">
        <v>15.63</v>
      </c>
      <c r="D12" s="15" t="inlineStr">
        <is>
          <t>Por determinar</t>
        </is>
      </c>
      <c r="E12" s="15" t="inlineStr">
        <is>
          <t>Por determinar</t>
        </is>
      </c>
      <c r="F12" s="15" t="inlineStr">
        <is>
          <t>Por determinar</t>
        </is>
      </c>
      <c r="G12" s="32" t="n">
        <v>0.2487</v>
      </c>
      <c r="H12" s="31" t="n">
        <v>0.34</v>
      </c>
      <c r="I12" s="31"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48" customHeight="1">
      <c r="A22" s="9" t="inlineStr">
        <is>
          <t>LECTURA INTRAMICROCUENCA. El bloque 87 ocupa el puesto 3 de 9 por superficie dentro de la microcuenca C1081-Q9583 (15.63 % de las 398.04 ha preliminares de la microcuenca). El cuadro conserva todos los bloques catalogados en la microcuenca, incluidos los descartados en el tamizaje, para referencia del conjunto. Los bloques sin ficha DT figuran con sus parámetros de gabinete. BRECHA ESPECTRAL. El 99.72 % de la superficie del bloque (62.045 ha de 62.219 ha) se sitúa bajo el umbral MSAVI 0.4976, por encima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87</t>
        </is>
      </c>
    </row>
    <row r="6">
      <c r="A6" s="52" t="inlineStr">
        <is>
          <t>Cruce de la ficha de campo F-DT vigente con la ficha de resumen de gabinete y el catálogo maestro. Integración 2026-09-11 20:22:34.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444.7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(62.237 ha) se desvía 0.03 % de la superficie de catálogo (62.22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(62.219 ha) se desvía 0.00 % de la superficie de catálogo (62.22 ha).</t>
        </is>
      </c>
      <c r="D14" s="57" t="inlineStr">
        <is>
          <t>CONFORME</t>
        </is>
      </c>
      <c r="E14" s="57" t="inlineStr">
        <is>
          <t>Sin acción: la segmentación valida la geometría del bloque.</t>
        </is>
      </c>
    </row>
    <row r="15">
      <c r="A15" s="56" t="inlineStr">
        <is>
          <t>G-07</t>
        </is>
      </c>
      <c r="B15" s="56" t="inlineStr">
        <is>
          <t>Brecha espectral MSAVI</t>
        </is>
      </c>
      <c r="C15" s="56" t="inlineStr">
        <is>
          <t>El 99.72 % del bloque queda bajo el umbral 0.4976; superficie de brecha 62.05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62.22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(0.2487) cae en la clase «&lt;= 0.2650 (Suelo desnudo / no vegetal)» y la clase DN dominante por superficie es «DN 1 · &lt;= 0.2650 (Suelo desnudo / no vegetal)».</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85.7 % de los campos esperados).</t>
        </is>
      </c>
      <c r="D19" s="56" t="inlineStr">
        <is>
          <t>CONFORME</t>
        </is>
      </c>
      <c r="E19" s="56" t="inlineStr">
        <is>
          <t>Sin acción.</t>
        </is>
      </c>
    </row>
    <row r="20">
      <c r="A20" s="57" t="inlineStr">
        <is>
          <t>F-02</t>
        </is>
      </c>
      <c r="B20" s="57" t="inlineStr">
        <is>
          <t>Cobertura de la integración</t>
        </is>
      </c>
      <c r="C20" s="57" t="inlineStr">
        <is>
          <t>Se declararon 92 de 114 hechos integrados (80.7 %); 22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«8-15% (Mod. inclinado)»; la estadística zonal sobre el MDE arroja una pendiente promedio de 0.00 %, que corresponde a la clase «0-8% (Plano-lig. inclinado)»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Cobertura vegetal total</t>
        </is>
      </c>
      <c r="C22" s="57" t="inlineStr">
        <is>
          <t>La ficha DT estima 10 % de cobertura vegetal en campo; el NDVI mediana 2025 clasifica 66.37 %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F-DT-01</t>
        </is>
      </c>
      <c r="C24" s="57" t="inlineStr">
        <is>
          <t>Ninguna ficha F-DT fue levantada en campo; el llenado se sustenta en registro fotográfico, ortofotos RPAS y cartografía</t>
        </is>
      </c>
      <c r="D24" s="57" t="inlineStr">
        <is>
          <t>SUSTANTIVA</t>
        </is>
      </c>
      <c r="E24" s="57" t="inlineStr">
        <is>
          <t>Levantamiento de campo pendiente (Verificación heredada de la ficha de resumen V6.)</t>
        </is>
      </c>
    </row>
    <row r="25">
      <c r="A25" s="56" t="inlineStr">
        <is>
          <t>H-05</t>
        </is>
      </c>
      <c r="B25" s="56" t="inlineStr">
        <is>
          <t>Ficha DT</t>
        </is>
      </c>
      <c r="C25" s="56" t="inlineStr">
        <is>
          <t>UTM del punto de registro (645 575 · 9 393 500) = valor por defecto de la plantilla</t>
        </is>
      </c>
      <c r="D25" s="56" t="inlineStr">
        <is>
          <t>SUSTANTIVA</t>
        </is>
      </c>
      <c r="E25" s="56" t="inlineStr">
        <is>
          <t>Georreferencia por reponer (Verificación heredada de la ficha de resumen V6.)</t>
        </is>
      </c>
    </row>
    <row r="26">
      <c r="A26" s="57" t="inlineStr">
        <is>
          <t>H-06</t>
        </is>
      </c>
      <c r="B26" s="57" t="inlineStr">
        <is>
          <t>F-DT-02</t>
        </is>
      </c>
      <c r="C26" s="57" t="inlineStr">
        <is>
          <t>Inventario de cárcavas no ejecutado</t>
        </is>
      </c>
      <c r="D26" s="57" t="inlineStr">
        <is>
          <t>SUSTANTIVA</t>
        </is>
      </c>
      <c r="E26" s="57" t="inlineStr">
        <is>
          <t>La ausencia de registro no equivale a ausencia del proceso (Verificación heredada de la ficha de resumen V6.)</t>
        </is>
      </c>
    </row>
    <row r="27">
      <c r="A27" s="56" t="inlineStr">
        <is>
          <t>H-07</t>
        </is>
      </c>
      <c r="B27" s="56" t="inlineStr">
        <is>
          <t>F-DT-03</t>
        </is>
      </c>
      <c r="C27" s="56" t="inlineStr">
        <is>
          <t>Lista florística comunicada por la Subdirección; no procede de muestreo por parcela</t>
        </is>
      </c>
      <c r="D27" s="56" t="inlineStr">
        <is>
          <t>SUSTANTIVA</t>
        </is>
      </c>
      <c r="E27" s="56" t="inlineStr">
        <is>
          <t>Colecta y determinación botánica pendientes (Verificación heredada de la ficha de resumen V6.)</t>
        </is>
      </c>
    </row>
    <row r="28">
      <c r="A28" s="57" t="inlineStr">
        <is>
          <t>H-08</t>
        </is>
      </c>
      <c r="B28" s="57" t="inlineStr">
        <is>
          <t>F-DT-04</t>
        </is>
      </c>
      <c r="C28" s="57" t="inlineStr">
        <is>
          <t>Tala para leña y quema de renovación altamente probables pero no consignadas por falta de evidencia</t>
        </is>
      </c>
      <c r="D28" s="57" t="inlineStr">
        <is>
          <t>NO SUSTANTIVA</t>
        </is>
      </c>
      <c r="E28" s="57" t="inlineStr">
        <is>
          <t>Verificar en campo y con el diagnóstico social (Verificación heredada de la ficha de resumen V6.)</t>
        </is>
      </c>
    </row>
    <row r="29">
      <c r="A29" s="56" t="inlineStr">
        <is>
          <t>H-09</t>
        </is>
      </c>
      <c r="B29" s="56" t="inlineStr">
        <is>
          <t>F-DT-05</t>
        </is>
      </c>
      <c r="C29" s="56" t="inlineStr">
        <is>
          <t>Elementos expuestos en el entorno inmediato: C.P. Dotor, I.E., viviendas y atractivos «Bosque de Piedras Dotor» y «Piedra del descanso»</t>
        </is>
      </c>
      <c r="D29" s="56" t="inlineStr">
        <is>
          <t>SUSTANTIVA</t>
        </is>
      </c>
      <c r="E29" s="56" t="inlineStr">
        <is>
          <t>Tamizaje predial y consulta SIGDA (Ministerio de Cultura) antes de comprometer metas físicas (Verificación heredada de la ficha de resumen V6.)</t>
        </is>
      </c>
    </row>
    <row r="31">
      <c r="A31" s="58" t="inlineStr">
        <is>
          <t>RESUMEN</t>
        </is>
      </c>
      <c r="B31" s="59" t="inlineStr">
        <is>
          <t>21 verificaciones</t>
        </is>
      </c>
      <c r="C31" s="59" t="inlineStr">
        <is>
          <t>SUSTANTIVA: 7 · NO SUSTANTIVA: 4 · CONFORME: 10</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87</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642479</t>
        </is>
      </c>
      <c r="D13" s="56" t="inlineStr">
        <is>
          <t>m</t>
        </is>
      </c>
    </row>
    <row r="14">
      <c r="A14" s="57" t="inlineStr">
        <is>
          <t>1. Identificación y localización</t>
        </is>
      </c>
      <c r="B14" s="57" t="inlineStr">
        <is>
          <t>UTM NORTE del punto de muestreo (m)</t>
        </is>
      </c>
      <c r="C14" s="57" t="inlineStr">
        <is>
          <t>9411311</t>
        </is>
      </c>
      <c r="D14" s="57" t="inlineStr">
        <is>
          <t>m</t>
        </is>
      </c>
    </row>
    <row r="15">
      <c r="A15" s="56" t="inlineStr">
        <is>
          <t>2. Parámetros físicos del terreno</t>
        </is>
      </c>
      <c r="B15" s="56" t="inlineStr">
        <is>
          <t>Piso altitudinal del punto de muestreo</t>
        </is>
      </c>
      <c r="C15" s="56" t="inlineStr">
        <is>
          <t>&lt;1000 m (Yunga)</t>
        </is>
      </c>
      <c r="D15" s="56" t="inlineStr"/>
    </row>
    <row r="16">
      <c r="A16" s="57" t="inlineStr">
        <is>
          <t>2. Parámetros físicos del terreno</t>
        </is>
      </c>
      <c r="B16" s="57" t="inlineStr">
        <is>
          <t>Paisaje dominante descrito en campo</t>
        </is>
      </c>
      <c r="C16" s="57" t="inlineStr">
        <is>
          <t>Lomada de piedemonte de perfil convexo, alargada en direccion NNE-SSW, que asciende desde el corredor de la via afirmada y la quebrada del flanco occidental hacia el macizo oriental. Superficie con pedregosidad muy alta y boloneria dispersa (formacion local 'Bosque de Piedras Dotor'), cobertura lenosa muy rala de bosque estacionalmente seco y estrato herbaceo practicamente ausente.</t>
        </is>
      </c>
      <c r="D16" s="57" t="inlineStr"/>
    </row>
    <row r="17">
      <c r="A17" s="56" t="inlineStr">
        <is>
          <t>2. Parámetros físicos del terreno</t>
        </is>
      </c>
      <c r="B17" s="56" t="inlineStr">
        <is>
          <t>Deslizamientos antiguos</t>
        </is>
      </c>
      <c r="C17" s="56" t="inlineStr">
        <is>
          <t>No</t>
        </is>
      </c>
      <c r="D17" s="56" t="inlineStr"/>
    </row>
    <row r="18">
      <c r="A18" s="57" t="inlineStr">
        <is>
          <t>4. Suelos y erosión (F-DT-02)</t>
        </is>
      </c>
      <c r="B18" s="57" t="inlineStr">
        <is>
          <t>Nivel de erosión - síntesis de campo</t>
        </is>
      </c>
      <c r="C18" s="57" t="inlineStr">
        <is>
          <t>Moderada (surcos)</t>
        </is>
      </c>
      <c r="D18" s="57" t="inlineStr"/>
    </row>
    <row r="19">
      <c r="A19" s="56" t="inlineStr">
        <is>
          <t>4. Suelos y erosión (F-DT-02)</t>
        </is>
      </c>
      <c r="B19" s="56" t="inlineStr">
        <is>
          <t>Sellamiento / costra superficial</t>
        </is>
      </c>
      <c r="C19" s="56" t="inlineStr">
        <is>
          <t>Sí</t>
        </is>
      </c>
      <c r="D19" s="56" t="inlineStr"/>
    </row>
    <row r="20">
      <c r="A20" s="57" t="inlineStr">
        <is>
          <t>4. Suelos y erosión (F-DT-02)</t>
        </is>
      </c>
      <c r="B20" s="57" t="inlineStr">
        <is>
          <t>Compactación por pisoteo</t>
        </is>
      </c>
      <c r="C20" s="57" t="inlineStr">
        <is>
          <t>Sí</t>
        </is>
      </c>
      <c r="D20" s="57" t="inlineStr"/>
    </row>
    <row r="21">
      <c r="A21" s="56" t="inlineStr">
        <is>
          <t>4. Suelos y erosión (F-DT-02)</t>
        </is>
      </c>
      <c r="B21" s="56" t="inlineStr">
        <is>
          <t>Raíces expuestas</t>
        </is>
      </c>
      <c r="C21" s="56" t="inlineStr">
        <is>
          <t>Sí</t>
        </is>
      </c>
      <c r="D21" s="56" t="inlineStr"/>
    </row>
    <row r="22">
      <c r="A22" s="57" t="inlineStr">
        <is>
          <t>4. Suelos y erosión (F-DT-02)</t>
        </is>
      </c>
      <c r="B22" s="57" t="inlineStr">
        <is>
          <t>Erosión laminar (% del bloque)</t>
        </is>
      </c>
      <c r="C22" s="57" t="inlineStr">
        <is>
          <t>80</t>
        </is>
      </c>
      <c r="D22" s="57" t="inlineStr">
        <is>
          <t>%</t>
        </is>
      </c>
    </row>
    <row r="23">
      <c r="A23" s="56" t="inlineStr">
        <is>
          <t>5. Ecosistema, cobertura y flora (F-DT-03)</t>
        </is>
      </c>
      <c r="B23" s="56" t="inlineStr">
        <is>
          <t>Cobertura del dosel (%)</t>
        </is>
      </c>
      <c r="C23" s="56" t="inlineStr">
        <is>
          <t>7</t>
        </is>
      </c>
      <c r="D23" s="56" t="inlineStr">
        <is>
          <t>%</t>
        </is>
      </c>
    </row>
    <row r="24">
      <c r="A24" s="57" t="inlineStr">
        <is>
          <t>5. Ecosistema, cobertura y flora (F-DT-03)</t>
        </is>
      </c>
      <c r="B24" s="57" t="inlineStr">
        <is>
          <t>Cobertura arbustiva (%)</t>
        </is>
      </c>
      <c r="C24" s="57" t="inlineStr">
        <is>
          <t>3</t>
        </is>
      </c>
      <c r="D24" s="57" t="inlineStr">
        <is>
          <t>%</t>
        </is>
      </c>
    </row>
    <row r="25">
      <c r="A25" s="56" t="inlineStr">
        <is>
          <t>5. Ecosistema, cobertura y flora (F-DT-03)</t>
        </is>
      </c>
      <c r="B25" s="56" t="inlineStr">
        <is>
          <t>Cobertura herbácea (%)</t>
        </is>
      </c>
      <c r="C25" s="56" t="inlineStr">
        <is>
          <t>2</t>
        </is>
      </c>
      <c r="D25" s="56" t="inlineStr">
        <is>
          <t>%</t>
        </is>
      </c>
    </row>
    <row r="26">
      <c r="A26" s="57" t="inlineStr">
        <is>
          <t>5. Ecosistema, cobertura y flora (F-DT-03)</t>
        </is>
      </c>
      <c r="B26" s="57" t="inlineStr">
        <is>
          <t>Cobertura de hojarasca (%)</t>
        </is>
      </c>
      <c r="C26" s="57" t="inlineStr">
        <is>
          <t>20</t>
        </is>
      </c>
      <c r="D26" s="57" t="inlineStr">
        <is>
          <t>%</t>
        </is>
      </c>
    </row>
    <row r="27">
      <c r="A27" s="56" t="inlineStr">
        <is>
          <t>5. Ecosistema, cobertura y flora (F-DT-03)</t>
        </is>
      </c>
      <c r="B27" s="56" t="inlineStr">
        <is>
          <t>Presencia de epífitas</t>
        </is>
      </c>
      <c r="C27" s="56" t="inlineStr">
        <is>
          <t>No</t>
        </is>
      </c>
      <c r="D27" s="56" t="inlineStr"/>
    </row>
    <row r="28">
      <c r="A28" s="57" t="inlineStr">
        <is>
          <t>5. Ecosistema, cobertura y flora (F-DT-03)</t>
        </is>
      </c>
      <c r="B28" s="57" t="inlineStr">
        <is>
          <t>Fenología dominante</t>
        </is>
      </c>
      <c r="C28" s="57" t="inlineStr">
        <is>
          <t>Fructificación</t>
        </is>
      </c>
      <c r="D28" s="57" t="inlineStr"/>
    </row>
    <row r="29">
      <c r="A29" s="56" t="inlineStr">
        <is>
          <t>5. Ecosistema, cobertura y flora (F-DT-03)</t>
        </is>
      </c>
      <c r="B29" s="56" t="inlineStr">
        <is>
          <t>Especies clave georreferenciadas</t>
        </is>
      </c>
      <c r="C29" s="56" t="inlineStr">
        <is>
          <t>8</t>
        </is>
      </c>
      <c r="D29" s="56" t="inlineStr"/>
    </row>
    <row r="30">
      <c r="A30" s="57" t="inlineStr">
        <is>
          <t>6. Degradación, causas y urgencia (F-DT-04)</t>
        </is>
      </c>
      <c r="B30" s="57" t="inlineStr">
        <is>
          <t>Causas directas de la degradación</t>
        </is>
      </c>
      <c r="C30" s="57" t="inlineStr">
        <is>
          <t>Sobrepastoreo caprino-vacuno de larga data, sin control de carga ni periodos de descanso, sobre un piedemonte pedregoso de baja capacidad de retención hídrica. Presión complementaria por el tránsito vehicular y peatonal de la trocha que atraviesa el bloque y por la proximidad inmediata del C.P. Dotor.</t>
        </is>
      </c>
      <c r="D30" s="57" t="inlineStr"/>
    </row>
    <row r="31">
      <c r="A31" s="56" t="inlineStr">
        <is>
          <t>6. Degradación, causas y urgencia (F-DT-04)</t>
        </is>
      </c>
      <c r="B31" s="56" t="inlineStr">
        <is>
          <t>N.° de causas activas en la matriz F-DT-04</t>
        </is>
      </c>
      <c r="C31" s="56" t="inlineStr">
        <is>
          <t>2</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1</t>
        </is>
      </c>
      <c r="D33" s="56" t="inlineStr"/>
    </row>
    <row r="34">
      <c r="A34" s="57" t="inlineStr">
        <is>
          <t>7. Hidrología, acceso y logística (F-DT-05)</t>
        </is>
      </c>
      <c r="B34" s="57" t="inlineStr">
        <is>
          <t>Interferencia con riego</t>
        </is>
      </c>
      <c r="C34" s="57" t="inlineStr">
        <is>
          <t>No</t>
        </is>
      </c>
      <c r="D34" s="57" t="inlineStr"/>
    </row>
    <row r="35">
      <c r="A35" s="56" t="inlineStr">
        <is>
          <t>7. Hidrología, acceso y logística (F-DT-05)</t>
        </is>
      </c>
      <c r="B35" s="56" t="inlineStr">
        <is>
          <t>Vía principal de acceso</t>
        </is>
      </c>
      <c r="C35" s="56" t="inlineStr">
        <is>
          <t>Vía afirmada de acceso a Dotor (San Juan de Bigote) — código MTC POR VERIFICAR</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Alto</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50</v>
      </c>
      <c r="C41" s="56" t="inlineStr">
        <is>
          <t>Verificación en campo. Fichas F-DT-01 a F-DT-05 de la Plantilla DT Campo Check Validada V5, suscritas por el evaluador.</t>
        </is>
      </c>
    </row>
    <row r="42">
      <c r="A42" s="57" t="inlineStr">
        <is>
          <t>Gabinete (GIS / teledetección)</t>
        </is>
      </c>
      <c r="B42" s="57" t="n">
        <v>28</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6</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22</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87</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trischistandra</t>
        </is>
      </c>
      <c r="D13" s="56" t="inlineStr">
        <is>
          <t>Malvaceae</t>
        </is>
      </c>
      <c r="E13" s="56" t="inlineStr">
        <is>
          <t>Arbóreo medio (8-15 m)</t>
        </is>
      </c>
      <c r="F13" s="56" t="inlineStr">
        <is>
          <t>Nativa</t>
        </is>
      </c>
      <c r="G13" s="56" t="inlineStr"/>
      <c r="H13" s="56" t="n"/>
      <c r="I13" s="56" t="n"/>
    </row>
    <row r="14">
      <c r="A14" s="57" t="inlineStr">
        <is>
          <t>2</t>
        </is>
      </c>
      <c r="B14" s="57" t="inlineStr">
        <is>
          <t>Charán</t>
        </is>
      </c>
      <c r="C14" s="57" t="inlineStr">
        <is>
          <t>Coulteria paipai</t>
        </is>
      </c>
      <c r="D14" s="57" t="inlineStr">
        <is>
          <t>Fabaceae</t>
        </is>
      </c>
      <c r="E14" s="57" t="inlineStr">
        <is>
          <t>Arbóreo bajo (4-8 m)</t>
        </is>
      </c>
      <c r="F14" s="57" t="inlineStr">
        <is>
          <t>Nativa</t>
        </is>
      </c>
      <c r="G14" s="57" t="inlineStr"/>
      <c r="H14" s="57" t="n"/>
      <c r="I14" s="57" t="n"/>
    </row>
    <row r="15">
      <c r="A15" s="56" t="inlineStr">
        <is>
          <t>3</t>
        </is>
      </c>
      <c r="B15" s="56" t="inlineStr">
        <is>
          <t>Faique</t>
        </is>
      </c>
      <c r="C15" s="56" t="inlineStr">
        <is>
          <t>Vachellia macracantha</t>
        </is>
      </c>
      <c r="D15" s="56" t="inlineStr">
        <is>
          <t>Fabaceae</t>
        </is>
      </c>
      <c r="E15" s="56" t="inlineStr">
        <is>
          <t>Arbóreo bajo (4-8 m)</t>
        </is>
      </c>
      <c r="F15" s="56" t="inlineStr">
        <is>
          <t>Nativa</t>
        </is>
      </c>
      <c r="G15" s="56" t="inlineStr"/>
      <c r="H15" s="56" t="n"/>
      <c r="I15" s="56" t="n"/>
    </row>
    <row r="16">
      <c r="A16" s="57" t="inlineStr">
        <is>
          <t>4</t>
        </is>
      </c>
      <c r="B16" s="57" t="inlineStr">
        <is>
          <t>Algarrobo</t>
        </is>
      </c>
      <c r="C16" s="57" t="inlineStr">
        <is>
          <t>Neltuma pallida</t>
        </is>
      </c>
      <c r="D16" s="57" t="inlineStr">
        <is>
          <t>Fabaceae</t>
        </is>
      </c>
      <c r="E16" s="57" t="inlineStr">
        <is>
          <t>Arbóreo medio (8-15 m)</t>
        </is>
      </c>
      <c r="F16" s="57" t="inlineStr">
        <is>
          <t>Nativa</t>
        </is>
      </c>
      <c r="G16" s="57" t="inlineStr"/>
      <c r="H16" s="57" t="n"/>
      <c r="I16" s="57" t="n"/>
    </row>
    <row r="17">
      <c r="A17" s="56" t="inlineStr">
        <is>
          <t>5</t>
        </is>
      </c>
      <c r="B17" s="56" t="inlineStr">
        <is>
          <t>Sapote</t>
        </is>
      </c>
      <c r="C17" s="56" t="inlineStr">
        <is>
          <t>Colicodendron scabridum</t>
        </is>
      </c>
      <c r="D17" s="56" t="inlineStr">
        <is>
          <t>Capparaceae</t>
        </is>
      </c>
      <c r="E17" s="56" t="inlineStr">
        <is>
          <t>Arbóreo bajo (4-8 m)</t>
        </is>
      </c>
      <c r="F17" s="56" t="inlineStr">
        <is>
          <t>Nativa</t>
        </is>
      </c>
      <c r="G17" s="56" t="inlineStr"/>
      <c r="H17" s="56" t="n"/>
      <c r="I17" s="56" t="n"/>
    </row>
    <row r="18">
      <c r="A18" s="57" t="inlineStr">
        <is>
          <t>6</t>
        </is>
      </c>
      <c r="B18" s="57" t="inlineStr">
        <is>
          <t>Hualtaco</t>
        </is>
      </c>
      <c r="C18" s="57" t="inlineStr">
        <is>
          <t>Loxopterygium huasango</t>
        </is>
      </c>
      <c r="D18" s="57" t="inlineStr">
        <is>
          <t>Anacardiaceae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Cordiaceae</t>
        </is>
      </c>
      <c r="E19" s="56" t="inlineStr">
        <is>
          <t>Arbustivo alto (1.5-4 m)</t>
        </is>
      </c>
      <c r="F19" s="56" t="inlineStr">
        <is>
          <t>Nativa</t>
        </is>
      </c>
      <c r="G19" s="56" t="inlineStr"/>
      <c r="H19" s="56" t="n"/>
      <c r="I19" s="56" t="n"/>
    </row>
    <row r="20">
      <c r="A20" s="57" t="inlineStr">
        <is>
          <t>8</t>
        </is>
      </c>
      <c r="B20" s="57" t="inlineStr">
        <is>
          <t>Cactáceas</t>
        </is>
      </c>
      <c r="C20" s="57" t="inlineStr">
        <is>
          <t>Cactaceae — género por verificar</t>
        </is>
      </c>
      <c r="D20" s="57" t="inlineStr">
        <is>
          <t>Cactaceae</t>
        </is>
      </c>
      <c r="E20" s="57" t="inlineStr">
        <is>
          <t>Arbustivo alto (1.5-4 m)</t>
        </is>
      </c>
      <c r="F20" s="57" t="inlineStr">
        <is>
          <t>Nativa</t>
        </is>
      </c>
      <c r="G20" s="57" t="inlineStr"/>
      <c r="H20" s="57" t="n"/>
      <c r="I20" s="57" t="n"/>
    </row>
    <row r="21">
      <c r="A21" s="56" t="inlineStr">
        <is>
          <t>9</t>
        </is>
      </c>
      <c r="B21" s="56" t="inlineStr">
        <is>
          <t>Borrachera</t>
        </is>
      </c>
      <c r="C21" s="56" t="inlineStr">
        <is>
          <t>Ipomoea carnea</t>
        </is>
      </c>
      <c r="D21" s="56" t="inlineStr">
        <is>
          <t>Convolvulaceae</t>
        </is>
      </c>
      <c r="E21" s="56" t="inlineStr">
        <is>
          <t>Arbustivo alto (1.5-4 m)</t>
        </is>
      </c>
      <c r="F21" s="56" t="inlineStr">
        <is>
          <t>Nativa</t>
        </is>
      </c>
      <c r="G21" s="56" t="inlineStr"/>
      <c r="H21" s="56" t="n"/>
      <c r="I21" s="56" t="n"/>
    </row>
    <row r="22">
      <c r="A22" s="57" t="inlineStr">
        <is>
          <t>10</t>
        </is>
      </c>
      <c r="B22" s="57" t="inlineStr">
        <is>
          <t>Palo santo</t>
        </is>
      </c>
      <c r="C22" s="57" t="inlineStr">
        <is>
          <t>Bursera graveolens</t>
        </is>
      </c>
      <c r="D22" s="57" t="inlineStr">
        <is>
          <t>Burseraceae</t>
        </is>
      </c>
      <c r="E22" s="57" t="inlineStr">
        <is>
          <t>Arbóreo bajo (4-8 m)</t>
        </is>
      </c>
      <c r="F22" s="57" t="inlineStr">
        <is>
          <t>Nativa</t>
        </is>
      </c>
      <c r="G22" s="57" t="inlineStr"/>
      <c r="H22" s="57" t="n"/>
      <c r="I22" s="57" t="n"/>
    </row>
    <row r="23">
      <c r="A23" s="56" t="inlineStr">
        <is>
          <t>11</t>
        </is>
      </c>
      <c r="B23" s="56" t="inlineStr">
        <is>
          <t>Frijolillo</t>
        </is>
      </c>
      <c r="C23" s="56" t="inlineStr">
        <is>
          <t>Determinación por verificar</t>
        </is>
      </c>
      <c r="D23" s="56" t="inlineStr">
        <is>
          <t>Por verificar</t>
        </is>
      </c>
      <c r="E23" s="56" t="inlineStr">
        <is>
          <t>Arbustivo alto (1.5-4 m)</t>
        </is>
      </c>
      <c r="F23" s="56" t="inlineStr">
        <is>
          <t>Nativa</t>
        </is>
      </c>
      <c r="G23" s="56" t="inlineStr"/>
      <c r="H23" s="56" t="n"/>
      <c r="I23" s="56" t="n"/>
    </row>
    <row r="24">
      <c r="A24" s="57" t="inlineStr">
        <is>
          <t>12</t>
        </is>
      </c>
      <c r="B24" s="57" t="inlineStr">
        <is>
          <t>Pasallo</t>
        </is>
      </c>
      <c r="C24" s="57" t="inlineStr">
        <is>
          <t>Eriotheca ruizii</t>
        </is>
      </c>
      <c r="D24" s="57" t="inlineStr">
        <is>
          <t>Malvaceae</t>
        </is>
      </c>
      <c r="E24" s="57" t="inlineStr">
        <is>
          <t>Arbóreo medio (8-15 m)</t>
        </is>
      </c>
      <c r="F24" s="57" t="inlineStr">
        <is>
          <t>Nativa</t>
        </is>
      </c>
      <c r="G24" s="57" t="inlineStr"/>
      <c r="H24" s="57" t="n"/>
      <c r="I24" s="57" t="n"/>
    </row>
    <row r="25">
      <c r="A25" s="56" t="inlineStr">
        <is>
          <t>13</t>
        </is>
      </c>
      <c r="B25" s="56" t="inlineStr">
        <is>
          <t>Barbasco</t>
        </is>
      </c>
      <c r="C25" s="56" t="inlineStr">
        <is>
          <t>Lonchocarpus sp.</t>
        </is>
      </c>
      <c r="D25" s="56" t="inlineStr">
        <is>
          <t>Fabaceae</t>
        </is>
      </c>
      <c r="E25" s="56" t="inlineStr">
        <is>
          <t>Arbustivo alto (1.5-4 m)</t>
        </is>
      </c>
      <c r="F25" s="56" t="inlineStr">
        <is>
          <t>Nativa</t>
        </is>
      </c>
      <c r="G25" s="56" t="inlineStr"/>
      <c r="H25" s="56" t="n"/>
      <c r="I25" s="56" t="n"/>
    </row>
    <row r="26">
      <c r="A26" s="57" t="inlineStr">
        <is>
          <t>14</t>
        </is>
      </c>
      <c r="B26" s="57" t="inlineStr">
        <is>
          <t>Chamelico</t>
        </is>
      </c>
      <c r="C26" s="57" t="inlineStr">
        <is>
          <t>Sapindus saponaria</t>
        </is>
      </c>
      <c r="D26" s="57" t="inlineStr">
        <is>
          <t>Sapindaceae</t>
        </is>
      </c>
      <c r="E26" s="57" t="inlineStr">
        <is>
          <t>Arbóreo bajo (4-8 m)</t>
        </is>
      </c>
      <c r="F26" s="57" t="inlineStr">
        <is>
          <t>Nativa</t>
        </is>
      </c>
      <c r="G26" s="57" t="inlineStr"/>
      <c r="H26" s="57" t="n"/>
      <c r="I26" s="57" t="n"/>
    </row>
    <row r="27">
      <c r="A27" s="56" t="inlineStr">
        <is>
          <t>15</t>
        </is>
      </c>
      <c r="B27" s="56" t="inlineStr">
        <is>
          <t>Huasimo</t>
        </is>
      </c>
      <c r="C27" s="56" t="inlineStr">
        <is>
          <t>Guazuma ulmifolia</t>
        </is>
      </c>
      <c r="D27" s="56" t="inlineStr">
        <is>
          <t>Malvaceae</t>
        </is>
      </c>
      <c r="E27" s="56" t="inlineStr">
        <is>
          <t>Arbóreo medio (8-15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Hualtaco (Loxopterygium huasango)</t>
        </is>
      </c>
      <c r="C31" s="56" t="inlineStr">
        <is>
          <t>Amenazada (D.S. 043-2006-AG)</t>
        </is>
      </c>
      <c r="D31" s="56" t="inlineStr">
        <is>
          <t>CR — En Peligro Crítico</t>
        </is>
      </c>
      <c r="E31" s="56" t="n"/>
      <c r="F31" s="56" t="n"/>
      <c r="G31" s="56" t="n"/>
      <c r="H31" s="56" t="inlineStr"/>
    </row>
    <row r="32">
      <c r="A32" s="57" t="inlineStr">
        <is>
          <t>2</t>
        </is>
      </c>
      <c r="B32" s="57" t="inlineStr">
        <is>
          <t>Sapote (Colicodendron scabridum)</t>
        </is>
      </c>
      <c r="C32" s="57" t="inlineStr">
        <is>
          <t>Amenazada (D.S. 043-2006-AG)</t>
        </is>
      </c>
      <c r="D32" s="57" t="inlineStr">
        <is>
          <t>CR — En Peligro Crítico</t>
        </is>
      </c>
      <c r="E32" s="57" t="n"/>
      <c r="F32" s="57" t="n"/>
      <c r="G32" s="57" t="n"/>
      <c r="H32" s="57" t="inlineStr"/>
    </row>
    <row r="33">
      <c r="A33" s="56" t="inlineStr">
        <is>
          <t>3</t>
        </is>
      </c>
      <c r="B33" s="56" t="inlineStr">
        <is>
          <t>Palo santo (Bursera graveolens)</t>
        </is>
      </c>
      <c r="C33" s="56" t="inlineStr">
        <is>
          <t>Amenazada (D.S. 043-2006-AG)</t>
        </is>
      </c>
      <c r="D33" s="56" t="inlineStr">
        <is>
          <t>CR — En Peligro Crítico</t>
        </is>
      </c>
      <c r="E33" s="56" t="n"/>
      <c r="F33" s="56" t="n"/>
      <c r="G33" s="56" t="n"/>
      <c r="H33" s="56" t="inlineStr"/>
    </row>
    <row r="34">
      <c r="A34" s="57" t="inlineStr">
        <is>
          <t>4</t>
        </is>
      </c>
      <c r="B34" s="57" t="inlineStr">
        <is>
          <t>Algarrobo (Neltuma pallida)</t>
        </is>
      </c>
      <c r="C34" s="57" t="inlineStr">
        <is>
          <t>Amenazada (D.S. 043-2006-AG)</t>
        </is>
      </c>
      <c r="D34" s="57" t="inlineStr">
        <is>
          <t>VU — Vulnerable</t>
        </is>
      </c>
      <c r="E34" s="61" t="n">
        <v>642479</v>
      </c>
      <c r="F34" s="61" t="n">
        <v>9411311</v>
      </c>
      <c r="G34" s="57" t="n"/>
      <c r="H34" s="57" t="inlineStr">
        <is>
          <t>Individuo en fructificación registrado el 14-08-2026 en el borde occidental del bloque (foto F-01).</t>
        </is>
      </c>
    </row>
    <row r="35">
      <c r="A35" s="56" t="inlineStr">
        <is>
          <t>5</t>
        </is>
      </c>
      <c r="B35" s="56" t="inlineStr">
        <is>
          <t>Faique (Vachellia macracantha)</t>
        </is>
      </c>
      <c r="C35" s="56" t="inlineStr">
        <is>
          <t>Amenazada (D.S. 043-2006-AG)</t>
        </is>
      </c>
      <c r="D35" s="56" t="inlineStr">
        <is>
          <t>NT — Casi Amenazado</t>
        </is>
      </c>
      <c r="E35" s="56" t="n"/>
      <c r="F35" s="56" t="n"/>
      <c r="G35" s="56" t="n"/>
      <c r="H35" s="56" t="inlineStr"/>
    </row>
    <row r="36">
      <c r="A36" s="57" t="inlineStr">
        <is>
          <t>6</t>
        </is>
      </c>
      <c r="B36" s="57" t="inlineStr">
        <is>
          <t>Ceibo (Ceiba trischistandra)</t>
        </is>
      </c>
      <c r="C36" s="57" t="inlineStr">
        <is>
          <t>Indicadora de buen estado</t>
        </is>
      </c>
      <c r="D36" s="57" t="inlineStr"/>
      <c r="E36" s="57" t="n"/>
      <c r="F36" s="57" t="n"/>
      <c r="G36" s="57" t="n"/>
      <c r="H36" s="57" t="inlineStr">
        <is>
          <t>Categoría bajo D.S. 043-2006-AG POR VERIFICAR.</t>
        </is>
      </c>
    </row>
    <row r="37">
      <c r="A37" s="56" t="inlineStr">
        <is>
          <t>7</t>
        </is>
      </c>
      <c r="B37" s="56" t="inlineStr">
        <is>
          <t>Pasallo (Eriotheca ruizii)</t>
        </is>
      </c>
      <c r="C37" s="56" t="inlineStr">
        <is>
          <t>Indicadora de buen estado</t>
        </is>
      </c>
      <c r="D37" s="56" t="inlineStr"/>
      <c r="E37" s="56" t="n"/>
      <c r="F37" s="56" t="n"/>
      <c r="G37" s="56" t="n"/>
      <c r="H37" s="56" t="inlineStr">
        <is>
          <t>Categoría bajo D.S. 043-2006-AG POR VERIFICAR.</t>
        </is>
      </c>
    </row>
    <row r="38">
      <c r="A38" s="57" t="inlineStr">
        <is>
          <t>8</t>
        </is>
      </c>
      <c r="B38" s="57" t="inlineStr">
        <is>
          <t>Borrachera (Ipomoea carnea)</t>
        </is>
      </c>
      <c r="C38" s="57" t="inlineStr">
        <is>
          <t>Indicadora de perturbación</t>
        </is>
      </c>
      <c r="D38" s="57" t="inlineStr">
        <is>
          <t>No aplica</t>
        </is>
      </c>
      <c r="E38" s="57" t="n"/>
      <c r="F38" s="57" t="n"/>
      <c r="G38" s="57" t="n"/>
      <c r="H38" s="57" t="inlineStr">
        <is>
          <t>Colonizadora de suelos alterados y sobrepastoreados; su presencia refuerza el diagnóstico de degradación.</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Fuerte</t>
        </is>
      </c>
      <c r="E42" s="56" t="inlineStr">
        <is>
          <t>90</t>
        </is>
      </c>
      <c r="F42" s="56" t="inlineStr"/>
      <c r="G42" s="56" t="inlineStr">
        <is>
          <t>Red reticulada muy densa de huellas de ganado en toda la superficie del bloque (ortofoto RPAS 08-2026); ausencia de estrato herbáceo vivo; pedestales y raíces expuestas en la base de árboles aislados; regeneración natural no detectable.</t>
        </is>
      </c>
    </row>
    <row r="43">
      <c r="A43" s="57" t="inlineStr">
        <is>
          <t>2</t>
        </is>
      </c>
      <c r="B43" s="57" t="inlineStr">
        <is>
          <t>Tala para leña</t>
        </is>
      </c>
      <c r="C43" s="57" t="inlineStr"/>
      <c r="D43" s="57" t="inlineStr"/>
      <c r="E43" s="57" t="inlineStr"/>
      <c r="F43" s="57" t="inlineStr"/>
      <c r="G43" s="57" t="inlineStr"/>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c r="D45" s="57" t="inlineStr"/>
      <c r="E45" s="57" t="inlineStr"/>
      <c r="F45" s="57" t="inlineStr"/>
      <c r="G45" s="57" t="inlineStr"/>
    </row>
    <row r="46">
      <c r="A46" s="56" t="inlineStr">
        <is>
          <t>5</t>
        </is>
      </c>
      <c r="B46" s="56" t="inlineStr">
        <is>
          <t>Quema (renovación de pastos)</t>
        </is>
      </c>
      <c r="C46" s="56" t="inlineStr"/>
      <c r="D46" s="56" t="inlineStr"/>
      <c r="E46" s="56" t="inlineStr"/>
      <c r="F46" s="56" t="inlineStr"/>
      <c r="G46" s="56" t="inlineStr"/>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c r="D48" s="56" t="inlineStr"/>
      <c r="E48" s="56" t="inlineStr"/>
      <c r="F48" s="56" t="inlineStr"/>
      <c r="G48" s="56" t="inlineStr"/>
    </row>
    <row r="49">
      <c r="A49" s="57" t="inlineStr">
        <is>
          <t>8</t>
        </is>
      </c>
      <c r="B49" s="57" t="inlineStr">
        <is>
          <t>Cambio de uso a pastoreo</t>
        </is>
      </c>
      <c r="C49" s="57" t="inlineStr"/>
      <c r="D49" s="57" t="inlineStr"/>
      <c r="E49" s="57" t="inlineStr"/>
      <c r="F49" s="57" t="inlineStr"/>
      <c r="G49" s="57" t="inlineStr"/>
    </row>
    <row r="50">
      <c r="A50" s="56" t="inlineStr">
        <is>
          <t>9</t>
        </is>
      </c>
      <c r="B50" s="56" t="inlineStr">
        <is>
          <t>Expansión urbana / vial</t>
        </is>
      </c>
      <c r="C50" s="56" t="inlineStr">
        <is>
          <t>Sí</t>
        </is>
      </c>
      <c r="D50" s="56" t="inlineStr">
        <is>
          <t>Ligera</t>
        </is>
      </c>
      <c r="E50" s="56" t="inlineStr">
        <is>
          <t>5</t>
        </is>
      </c>
      <c r="F50" s="56" t="inlineStr"/>
      <c r="G50" s="56" t="inlineStr">
        <is>
          <t>Trocha carrozable que atraviesa el bloque de SO a NE y vía afirmada en el límite occidental; viviendas dispersas en el borde norte y contacto directo con el C.P. Dotor por el oeste.</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c r="D53" s="57" t="inlineStr"/>
      <c r="E53" s="57" t="inlineStr"/>
      <c r="F53" s="57" t="inlineStr"/>
      <c r="G53" s="57" t="inlineStr"/>
    </row>
    <row r="54">
      <c r="A54" s="56" t="inlineStr">
        <is>
          <t>13</t>
        </is>
      </c>
      <c r="B54" s="56" t="inlineStr">
        <is>
          <t>Erosión natural severa</t>
        </is>
      </c>
      <c r="C54" s="56" t="inlineStr"/>
      <c r="D54" s="56" t="inlineStr"/>
      <c r="E54" s="56" t="inlineStr"/>
      <c r="F54" s="56" t="inlineStr"/>
      <c r="G54" s="56" t="inlineStr"/>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10</t>
        </is>
      </c>
      <c r="E61" s="56" t="inlineStr">
        <is>
          <t>Fotointerpretación ortofoto RPAS 08-2026</t>
        </is>
      </c>
      <c r="F61" s="56" t="inlineStr">
        <is>
          <t>&gt;60% bueno; 30-60% medio; &lt;30% malo</t>
        </is>
      </c>
      <c r="G61" s="56" t="inlineStr">
        <is>
          <t>Alto</t>
        </is>
      </c>
    </row>
    <row r="62">
      <c r="A62" s="57" t="inlineStr">
        <is>
          <t>2</t>
        </is>
      </c>
      <c r="B62" s="57" t="inlineStr">
        <is>
          <t>Porcentaje de suelo desnudo</t>
        </is>
      </c>
      <c r="C62" s="57" t="inlineStr">
        <is>
          <t>%</t>
        </is>
      </c>
      <c r="D62" s="57" t="inlineStr">
        <is>
          <t>68</t>
        </is>
      </c>
      <c r="E62" s="57" t="inlineStr">
        <is>
          <t>Fotointerpretación ortofoto RPAS 08-2026</t>
        </is>
      </c>
      <c r="F62" s="57" t="inlineStr">
        <is>
          <t>&lt;10% bueno; 10-30% medio; &gt;30% malo</t>
        </is>
      </c>
      <c r="G62" s="57" t="inlineStr">
        <is>
          <t>Alto</t>
        </is>
      </c>
    </row>
    <row r="63">
      <c r="A63" s="56" t="inlineStr">
        <is>
          <t>3</t>
        </is>
      </c>
      <c r="B63" s="56" t="inlineStr">
        <is>
          <t>Densidad de cárcavas</t>
        </is>
      </c>
      <c r="C63" s="56" t="inlineStr">
        <is>
          <t>N°/ha</t>
        </is>
      </c>
      <c r="D63" s="56" t="inlineStr"/>
      <c r="E63" s="56" t="inlineStr">
        <is>
          <t>POR VERIFICAR — inventario de cárcavas no ejecutado</t>
        </is>
      </c>
      <c r="F63" s="56" t="inlineStr">
        <is>
          <t>0 nulo; 1-3 medio; &gt;3 alto</t>
        </is>
      </c>
      <c r="G63" s="56" t="inlineStr"/>
    </row>
    <row r="64">
      <c r="A64" s="57" t="inlineStr">
        <is>
          <t>4</t>
        </is>
      </c>
      <c r="B64" s="57" t="inlineStr">
        <is>
          <t>Presencia de especies invasoras</t>
        </is>
      </c>
      <c r="C64" s="57" t="inlineStr">
        <is>
          <t>% área</t>
        </is>
      </c>
      <c r="D64" s="57" t="inlineStr"/>
      <c r="E64" s="57" t="inlineStr">
        <is>
          <t>POR VERIFICAR — no evaluado</t>
        </is>
      </c>
      <c r="F64" s="57" t="inlineStr">
        <is>
          <t>&lt;5% bueno; 5-20% medio; &gt;20% alto</t>
        </is>
      </c>
      <c r="G64" s="57" t="inlineStr"/>
    </row>
    <row r="65">
      <c r="A65" s="56" t="inlineStr">
        <is>
          <t>5</t>
        </is>
      </c>
      <c r="B65" s="56" t="inlineStr">
        <is>
          <t>Carga ganadera estimada</t>
        </is>
      </c>
      <c r="C65" s="56" t="inlineStr">
        <is>
          <t>UA/ha</t>
        </is>
      </c>
      <c r="D65" s="56" t="inlineStr"/>
      <c r="E65" s="56" t="inlineStr">
        <is>
          <t>POR VERIFICAR — requiere encuesta a tenedores de ganado</t>
        </is>
      </c>
      <c r="F65" s="56" t="inlineStr">
        <is>
          <t>Según tipo de ecosistema</t>
        </is>
      </c>
      <c r="G65" s="56" t="inlineStr"/>
    </row>
    <row r="66">
      <c r="A66" s="57" t="inlineStr">
        <is>
          <t>6</t>
        </is>
      </c>
      <c r="B66" s="57" t="inlineStr">
        <is>
          <t>Frecuencia de quemas últimos 5 años</t>
        </is>
      </c>
      <c r="C66" s="57" t="inlineStr">
        <is>
          <t>N°</t>
        </is>
      </c>
      <c r="D66" s="57" t="inlineStr"/>
      <c r="E66" s="57" t="inlineStr">
        <is>
          <t>POR VERIFICAR — requiere serie de cicatrices de quema</t>
        </is>
      </c>
      <c r="F66" s="57" t="inlineStr">
        <is>
          <t>0 nulo; 1-2 medio; &gt;2 alto</t>
        </is>
      </c>
      <c r="G66" s="57" t="inlineStr"/>
    </row>
    <row r="67">
      <c r="A67" s="56" t="inlineStr">
        <is>
          <t>7</t>
        </is>
      </c>
      <c r="B67" s="56" t="inlineStr">
        <is>
          <t>% área con pendiente &gt;50%</t>
        </is>
      </c>
      <c r="C67" s="56" t="inlineStr">
        <is>
          <t>%</t>
        </is>
      </c>
      <c r="D67" s="56" t="inlineStr"/>
      <c r="E67" s="56" t="inlineStr">
        <is>
          <t>POR VERIFICAR — estadística zonal DEM no disponible para el bloque 87</t>
        </is>
      </c>
      <c r="F67" s="56" t="inlineStr">
        <is>
          <t>Factor de susceptibilidad</t>
        </is>
      </c>
      <c r="G67" s="56" t="inlineStr"/>
    </row>
    <row r="68">
      <c r="A68" s="57" t="inlineStr">
        <is>
          <t>8</t>
        </is>
      </c>
      <c r="B68" s="57" t="inlineStr">
        <is>
          <t>Distancia a vía vecinal más cercana</t>
        </is>
      </c>
      <c r="C68" s="57" t="inlineStr">
        <is>
          <t>m</t>
        </is>
      </c>
      <c r="D68" s="57" t="inlineStr">
        <is>
          <t>0</t>
        </is>
      </c>
      <c r="E68" s="57" t="inlineStr">
        <is>
          <t>La vía afirmada bordea y la trocha carrozable atraviesa el bloque</t>
        </is>
      </c>
      <c r="F68" s="57" t="inlineStr">
        <is>
          <t>A menor distancia → mayor presión</t>
        </is>
      </c>
      <c r="G68" s="57" t="inlineStr">
        <is>
          <t>Alto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Quebrada estacional</t>
        </is>
      </c>
      <c r="C72" s="56" t="n"/>
      <c r="D72" s="56" t="n"/>
      <c r="E72" s="56" t="inlineStr">
        <is>
          <t>Estacional (lluvias)</t>
        </is>
      </c>
      <c r="F72" s="56" t="inlineStr">
        <is>
          <t>No evaluable</t>
        </is>
      </c>
      <c r="G72" s="62" t="n">
        <v>0</v>
      </c>
      <c r="H72" s="56" t="inlineStr">
        <is>
          <t>Cauce que delimita los flancos occidental y suroccidental del bloque, tributario de la microcuenca C1081-Q9583. Régimen y calidad POR VERIFICAR; coordenadas no levantadas.</t>
        </is>
      </c>
    </row>
    <row r="75">
      <c r="A75" s="54" t="inlineStr">
        <is>
          <t>OBSERVACIONES DEL EVALUADOR POR FICHA</t>
        </is>
      </c>
    </row>
    <row r="76">
      <c r="A76" s="55" t="inlineStr">
        <is>
          <t>Ficha</t>
        </is>
      </c>
      <c r="B76" s="55" t="inlineStr">
        <is>
          <t>Observación registrada en campo</t>
        </is>
      </c>
    </row>
    <row r="77">
      <c r="A77" s="56" t="inlineStr">
        <is>
          <t>F-DT-01</t>
        </is>
      </c>
      <c r="B77" s="56" t="inlineStr">
        <is>
          <t>ALCANCE DE LA EVIDENCIA. El bloque 87 no cuenta con fichas F-DT-01 a F-DT-05 levantadas en campo. El presente llenado se sustenta en: (i) registro fotografico georreferenciado del 14-08-2026, 12:45 h, en 17M 642479E / 9411311N, azimut 104 grados; (ii) ortofotos RPAS del ambito de los bloques 85-87 (agosto 2026); (iii) cartografia MSAVI 2024 y NDVI mediana 2025 con curvas de nivel y red vial; (iv) imagen Google Earth/Airbus 09-11-2023 y perfil de elevacion. Los campos sin sustento documental se dejan EN BLANCO de forma deliberada. POSICION DEL PUNTO FOTOGRAFICO. La restitucion del punto sobre la cartografia MSAVI georreferenciada lo situa aprox. 23 m al OESTE del limite occidental del poligono del bloque 87 (limite en E 642502 para N 9411311), sobre el corredor de la via afirmada que separa los bloques 85 y 87. El registro es PERIMETRAL: representa la orla del bloque, no su interior. Requiere confirmacion por superposicion GIS. PARAMETROS GEOESPACIALES. Altitud y pendiente NO figuran en el archivo de estadistica zonal del DEM (no incluye los bloques 81 ni 83-87). Valores referenciales de perfil Google Earth sobre transecto O-E de 540 m: 254-325 msnm, pendiente media 13.2%, maxima 21.2%. Curvas de nivel 300 y 350 dentro del poligono; cota maxima estimada ~360 msnm en el borde suroriental. POR VERIFICAR mediante estadistica zonal. CENTROIDE. El bloque 87 no figura en 'Centroides Bloques.xls'. Centroide referencial obtenido por segmentacion del poligono sobre la cartografia MSAVI georreferenciada: E 642813 / N 9411179. Extension del poligono: E 642490-643412, N 9410319-9411809. Superficie por segmentacion raster 60.98 ha frente a 62.237 ha del catalogo V6 (diferencia 2.0%, atribuible a la resolucion del raster). CAMPOS EN BLANCO / AGENDA DE VERIFICACION: altitud GPS del punto; comunidad campesina; reptacion de suelo (no discriminable en ortofoto).</t>
        </is>
      </c>
    </row>
    <row r="78">
      <c r="A78" s="57" t="inlineStr">
        <is>
          <t>F-DT-02</t>
        </is>
      </c>
      <c r="B78" s="57" t="inlineStr">
        <is>
          <t>SUSTENTO DE LA CALIFICACION. El nivel 'Moderada (surcos)' se deriva de fotointerpretacion de ortofoto RPAS (agosto 2026) y no de medicion directa. Evidencias: (i) pavimento de piedras continuo (lag deposit) que indica remocion selectiva de la fraccion fina por escurrimiento laminar; (ii) red reticulada muy densa de huellas de ganado que concentra escorrentia y opera como surcos preferenciales; (iii) pedestales y raices expuestas en la base de arboles aislados; (iv) costra superficial y compactacion por pisoteo generalizadas. La erosion laminar se estima en ~80% de la superficie del bloque, cifra concordante con el 80.8% del poligono en la clase MSAVI &lt;=0.2650. INVENTARIO DE CARCAVAS NO EJECUTADO. Las filas 22-31 se dejan vacias: no se han identificado carcavas en las ortofotos disponibles, pero la ausencia de registro NO equivale a ausencia del proceso. Se deja en blanco el numero total de carcavas, la longitud total, el porcentaje afectado, el patron dominante y el socavamiento de cauce, por no existir levantamiento de campo. PRIORIDAD DE VERIFICACION: (a) recorrido del cauce que delimita el flanco occidental y suroccidental, para descartar socavamiento; (b) transectos perpendiculares a las huellas de ganado, para medir profundidad de incision; (c) calicatas o cortes de talud sobre la trocha carrozable, para caracterizar el perfil y la pedregosidad.</t>
        </is>
      </c>
    </row>
    <row r="79">
      <c r="A79" s="56" t="inlineStr">
        <is>
          <t>F-DT-03</t>
        </is>
      </c>
      <c r="B79" s="56" t="inlineStr">
        <is>
          <t>ORIGEN DE LA LISTA FLORISTICA. Las 12 especies corresponden a la relacion de especies representativas comunicada por la Subdireccion para el bloque 87. NO proceden de un muestreo por parcela: no se consignan abundancia relativa, DAP ni altura, por carecer de transectos. Las determinaciones son PRELIMINARES y estan sujetas a colecta y determinacion botanica. El estrato indicado corresponde al habito tipico de cada especie en bosque estacionalmente seco, no al estrato en que fue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COBERTURAS. Los porcentajes de cobertura son estimaciones por fotointerpretacion de ortofoto RPAS de agosto 2026, no mediciones de campo. Suman 100% y se distribuyen: dosel arboreo 7%, arbustivo 3%, herbaceo vivo 2%, hojarasca/paja seca 20%, suelo desnudo y pedregoso 68%. CAUTELA ESTACIONAL MSAVI. El Bes-cm es caducifolio; las escenas Sentinel-2 fuera de la estacion humeda (enero-abril) subestiman de forma sistematica la cobertura lenosa real. En este bloque, sin embargo, la ortofoto de agosto 2026 CORROBORA de forma independiente una cobertura lenosa muy baja, por lo que el MSAVI de 0.2487 no se considera un artefacto estacional. CLASIFICACION DEL ECOSISTEMA. La asignacion Bes-cm se sustenta en la composicion floristica, el rango altitudinal (250-360 msnm) y la morfologia de lomada de piedemonte. POR VERIFICAR mediante interseccion con el Mapa Nacional de Ecosistemas del MINAM; el contacto con el Bes de llanura del valle del rio Bigote es proximo. CAMPOS EN BLANCO: parcela y dimensiones; pendiente de parcela; altitud; coordenadas de esquina; altura del estrato dominante; altura maxima; DAP promedio; estado sanitario del dosel.</t>
        </is>
      </c>
    </row>
    <row r="80">
      <c r="A80" s="57" t="inlineStr">
        <is>
          <t>F-DT-04</t>
        </is>
      </c>
      <c r="B80" s="57" t="inlineStr">
        <is>
          <t>SUSTENTO DE LA MATRIZ. Solo se consignan las dos causas con evidencia documental directa. Las catorce causas restantes se dejan EN BLANCO: la ausencia de marca no significa ausencia de la causa, sino ausencia de verificacion. En particular, la tala para lena y la quema de renovacion son altamente probables por la proximidad del C.P. Dotor y la estructura etaria observada (individuos maduros aislados sin clases intermedias), pero no se consignan por no existir evidencia de tocones ni cicatrices de quema en el material disponible. INDICADOR MSAVI. MSAVI medio 2024 del bloque = 0.2487, frente a una media de 0.4909 y un minimo de 0.2289 en el universo de 129 bloques del REPORTE_BLOQUES_V6. La segmentacion del poligono sobre la cartografia arroja: clase &lt;=0.2650 el 80.8% de la superficie; 0.2650-0.3813 el 16.5%; 0.3813-0.4976 el 1.4%; 0.4976-0.6139 el 0.4%; &gt;0.6139 el 0.0%. El 97.3% del bloque se situa por debajo de 0.3813. CONGLOMERADO DE BLOQUES DEGRADADOS. Los bloques 83 a 87 (San Juan de Bigote, microcuenca C1081-Q9583) presentan los MSAVI mas bajos del proyecto: 0.3055, 0.2516, 0.2289, 0.2735 y 0.2487 respectivamente. Se recomienda tratarlos como una unidad de manejo continua y no como bloques aislados. VELOCIDAD DE DEGRADACION EN BLANCO. No se dispone de la serie temporal Theil-Sen (TAU) ni de MSAVI multianual para el bloque 87, por lo que no es posible calificar la tendencia. La comparacion entre el NDVI mediana 2025 (clase dominante 'Vegetacion ligera') y el MSAVI 2024 (clase dominante &lt;=0.2650) no permite inferir tendencia: son indices, anos y esquemas de clasificacion distintos.</t>
        </is>
      </c>
    </row>
    <row r="81">
      <c r="A81" s="56" t="inlineStr">
        <is>
          <t>F-DT-05</t>
        </is>
      </c>
      <c r="B81" s="56" t="inlineStr">
        <is>
          <t>ACCESIBILIDAD. Es la condicion mas favorable del bloque. La via afirmada principal bordea el limite occidental y noroccidental, y una trocha carrozable atraviesa el poligono de suroeste a noreste, visible tanto en la ortofoto RPAS como en la imagen Google Earth. El C.P. Dotor se ubica a menos de 500 m del limite occidental. La modalidad 'Vehicular 4x4 hasta el bloque' se sustenta en cartografia y ortofoto, no en recorrido verificado. CONTRAPARTIDA. La misma accesibilidad que reduce el costo logistico explica la presion de pastoreo y extraccion: la distancia a via vecinal es de 0 m en practicamente todo el bloque. Cualquier medida de clausura debera dimensionar el control de accesos. RECURSOS HIDRICOS. El inventario de fuentes NO fue levantado en campo. Se registra una sola entrada descriptiva. El rio Bigote discurre aprox. 1.0-1.3 km al oeste, fuera del radio de 500 m de la ficha; se menciona como referencia de drenaje regional. En ortofotos del vuelo de agosto 2026 se observa lamina de agua en un cauce del sector, pero la atribucion de esas tomas a un bloque especifico esta pendiente del registro de vuelo. CAMPOS EN BLANCO: coordenadas, regimen y calidad de la fuente; zona de recarga hidrica; distancia a captacion poblacional; JASS asociada; sistema de riego; transitabilidad en epoca lluviosa; tiempos desde capital distrital y provincial; senal celular y operador; alojamiento rural; autorizacion de Ronda Campesina. ELEMENTOS EXPUESTOS Y TAMIZAJE. Se identifican en el entorno inmediato: C.P. Dotor, Caserio Dotor, I.E. 'Ricardo Palma Soriano', viviendas dispersas en el borde norte del bloque y los atractivos 'Bosque de Piedras Dotor' y 'Piedra del descanso' en el flanco oriental. Se recomienda tamizaje predial y consulta SIGDA (Ministerio de Cultura) antes de comprometer metas fisicas.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87</t>
        </is>
      </c>
    </row>
    <row r="7">
      <c r="A7" s="54" t="inlineStr">
        <is>
          <t>Hechos declarados por fuente</t>
        </is>
      </c>
    </row>
    <row r="8">
      <c r="A8" s="55" t="inlineStr">
        <is>
          <t>Fuente</t>
        </is>
      </c>
      <c r="B8" s="55" t="inlineStr">
        <is>
          <t>Hechos</t>
        </is>
      </c>
    </row>
    <row r="9">
      <c r="A9" s="56" t="inlineStr">
        <is>
          <t>Dato de campo</t>
        </is>
      </c>
      <c r="B9" s="56" t="n">
        <v>50</v>
      </c>
    </row>
    <row r="10">
      <c r="A10" s="57" t="inlineStr">
        <is>
          <t>Gabinete (GIS / teledetección)</t>
        </is>
      </c>
      <c r="B10" s="57" t="n">
        <v>28</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6</v>
      </c>
    </row>
    <row r="32">
      <c r="A32" s="56" t="inlineStr">
        <is>
          <t>ACTUALIZADO</t>
        </is>
      </c>
      <c r="B32" s="56" t="n">
        <v>0</v>
      </c>
    </row>
    <row r="33">
      <c r="A33" s="57" t="inlineStr">
        <is>
          <t>DISCREPANTE</t>
        </is>
      </c>
      <c r="B33" s="57" t="n">
        <v>0</v>
      </c>
    </row>
    <row r="34">
      <c r="A34" s="56" t="inlineStr">
        <is>
          <t>PENDIENTE</t>
        </is>
      </c>
      <c r="B34" s="56" t="n">
        <v>22</v>
      </c>
    </row>
    <row r="51">
      <c r="A51" s="54" t="inlineStr">
        <is>
          <t>Cobertura por estrato — campo (%)</t>
        </is>
      </c>
    </row>
    <row r="52">
      <c r="A52" s="55" t="inlineStr">
        <is>
          <t>Estrato</t>
        </is>
      </c>
      <c r="B52" s="55" t="inlineStr">
        <is>
          <t>% del área</t>
        </is>
      </c>
    </row>
    <row r="53">
      <c r="A53" s="56" t="inlineStr">
        <is>
          <t>Dosel</t>
        </is>
      </c>
      <c r="B53" s="62" t="n">
        <v>7</v>
      </c>
    </row>
    <row r="54">
      <c r="A54" s="57" t="inlineStr">
        <is>
          <t>Arbustiva</t>
        </is>
      </c>
      <c r="B54" s="63" t="n">
        <v>3</v>
      </c>
    </row>
    <row r="55">
      <c r="A55" s="56" t="inlineStr">
        <is>
          <t>Herbácea</t>
        </is>
      </c>
      <c r="B55" s="62" t="n">
        <v>2</v>
      </c>
    </row>
    <row r="56">
      <c r="A56" s="57" t="inlineStr">
        <is>
          <t>Hojarasca</t>
        </is>
      </c>
      <c r="B56" s="61" t="n">
        <v>20</v>
      </c>
    </row>
    <row r="57">
      <c r="A57" s="56" t="inlineStr">
        <is>
          <t>Suelo desnudo</t>
        </is>
      </c>
      <c r="B57" s="64" t="n">
        <v>68</v>
      </c>
    </row>
    <row r="74">
      <c r="A74" s="54" t="inlineStr">
        <is>
          <t>Causas activas de degradación (F-DT-04)</t>
        </is>
      </c>
    </row>
    <row r="75">
      <c r="A75" s="55" t="inlineStr">
        <is>
          <t>Causa</t>
        </is>
      </c>
      <c r="B75" s="55" t="inlineStr">
        <is>
          <t>Intensidad (1 ligera - 4 muy fuerte)</t>
        </is>
      </c>
    </row>
    <row r="76">
      <c r="A76" s="56" t="inlineStr">
        <is>
          <t>Sobrepastoreo (caprino/vacuno)</t>
        </is>
      </c>
      <c r="B76" s="56" t="n">
        <v>3</v>
      </c>
    </row>
    <row r="77">
      <c r="A77" s="57" t="inlineStr">
        <is>
          <t>Expansión urbana / vial</t>
        </is>
      </c>
      <c r="B77" s="57" t="n">
        <v>1</v>
      </c>
    </row>
    <row r="94">
      <c r="A94" s="54" t="inlineStr">
        <is>
          <t>Control de consistencia por calificación</t>
        </is>
      </c>
    </row>
    <row r="95">
      <c r="A95" s="55" t="inlineStr">
        <is>
          <t>Calificación</t>
        </is>
      </c>
      <c r="B95" s="55" t="inlineStr">
        <is>
          <t>Verificaciones</t>
        </is>
      </c>
    </row>
    <row r="96">
      <c r="A96" s="56" t="inlineStr">
        <is>
          <t>SUSTANTIVA</t>
        </is>
      </c>
      <c r="B96" s="56" t="n">
        <v>7</v>
      </c>
    </row>
    <row r="97">
      <c r="A97" s="57" t="inlineStr">
        <is>
          <t>NO SUSTANTIVA</t>
        </is>
      </c>
      <c r="B97" s="57" t="n">
        <v>4</v>
      </c>
    </row>
    <row r="98">
      <c r="A98" s="56" t="inlineStr">
        <is>
          <t>CORREGIDO</t>
        </is>
      </c>
      <c r="B98" s="56" t="n">
        <v>0</v>
      </c>
    </row>
    <row r="99">
      <c r="A99" s="57" t="inlineStr">
        <is>
          <t>CONFORME</t>
        </is>
      </c>
      <c r="B99"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87 — IN Piura</dc:title>
  <dc:subject>Diagnóstico Territorial por bloque de intervención</dc:subject>
  <dcterms:created xsi:type="dcterms:W3CDTF">2026-09-08T03:39:57Z</dcterms:created>
  <dcterms:modified xsi:type="dcterms:W3CDTF">2026-09-11T20:22:34Z</dcterms:modified>
</cp:coreProperties>
</file>