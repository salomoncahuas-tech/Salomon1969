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3">
    <numFmt numFmtId="164" formatCode="0.0000"/>
    <numFmt numFmtId="165" formatCode="0.000"/>
    <numFmt numFmtId="166" formatCode="#,##0.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5">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xf numFmtId="166" fontId="6" fillId="0" borderId="7" pivotButton="0" quotePrefix="0" xfId="0"/>
    <xf numFmtId="166" fontId="6" fillId="5" borderId="7" pivotButton="0" quotePrefix="0" xfId="0"/>
    <xf numFmtId="4" fontId="6" fillId="5"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integración'!B29</f>
            </strRef>
          </tx>
          <spPr>
            <a:ln>
              <a:prstDash val="solid"/>
            </a:ln>
          </spPr>
          <cat>
            <numRef>
              <f>'Gráficos de integración'!$A$30:$A$34</f>
            </numRef>
          </cat>
          <val>
            <numRef>
              <f>'Gráficos de integración'!$B$30:$B$34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Cobertura por estrato (%)</a:t>
            </a:r>
          </a:p>
        </rich>
      </tx>
    </title>
    <plotArea>
      <barChart>
        <barDir val="col"/>
        <grouping val="clustered"/>
        <ser>
          <idx val="0"/>
          <order val="0"/>
          <tx>
            <strRef>
              <f>'Gráficos de integración'!B52</f>
            </strRef>
          </tx>
          <spPr>
            <a:ln>
              <a:prstDash val="solid"/>
            </a:ln>
          </spPr>
          <cat>
            <numRef>
              <f>'Gráficos de integración'!$A$53:$A$57</f>
            </numRef>
          </cat>
          <val>
            <numRef>
              <f>'Gráficos de integración'!$B$53:$B$57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integración'!B75</f>
            </strRef>
          </tx>
          <spPr>
            <a:ln>
              <a:prstDash val="solid"/>
            </a:ln>
          </spPr>
          <cat>
            <numRef>
              <f>'Gráficos de integración'!$A$76:$A$77</f>
            </numRef>
          </cat>
          <val>
            <numRef>
              <f>'Gráficos de integración'!$B$76:$B$77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integración'!B95</f>
            </strRef>
          </tx>
          <spPr>
            <a:ln>
              <a:prstDash val="solid"/>
            </a:ln>
          </spPr>
          <cat>
            <numRef>
              <f>'Gráficos de integración'!$A$96:$A$99</f>
            </numRef>
          </cat>
          <val>
            <numRef>
              <f>'Gráficos de integración'!$B$96:$B$99</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28</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51</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74</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94</row>
      <rowOff>0</rowOff>
    </from>
    <ext cx="4320000" cy="288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85</t>
        </is>
      </c>
    </row>
    <row r="6" ht="24" customHeight="1">
      <c r="A6" s="4" t="inlineStr">
        <is>
          <t>Diagnóstico Territorial — Plantilla DT Campo Check Validada V5 | Sistema de referencia: UTM WGS 84 Zona 17S (EPSG:32717) · Integrado con la ficha de campo F-DT vigente (Plantilla_DT_Campo_Bloque85_IN_Piura.xlsx) — V7 - resumen V6 + campo F-DT integrado</t>
        </is>
      </c>
    </row>
    <row r="7"/>
    <row r="8" ht="18" customHeight="1">
      <c r="A8" s="5" t="inlineStr">
        <is>
          <t>1. IDENTIFICACIÓN Y LOCALIZACIÓN</t>
        </is>
      </c>
    </row>
    <row r="9">
      <c r="A9" s="6" t="inlineStr">
        <is>
          <t>Código del bloque</t>
        </is>
      </c>
      <c r="B9" s="7" t="inlineStr">
        <is>
          <t>85</t>
        </is>
      </c>
      <c r="C9" s="6" t="inlineStr">
        <is>
          <t>Microcuenca (catálogo)</t>
        </is>
      </c>
      <c r="D9" s="7" t="inlineStr">
        <is>
          <t>C1081-Q9583</t>
        </is>
      </c>
      <c r="E9" s="8" t="n"/>
      <c r="F9" s="8" t="n"/>
    </row>
    <row r="10">
      <c r="A10" s="6" t="inlineStr">
        <is>
          <t>Zona de planificación</t>
        </is>
      </c>
      <c r="B10" s="7" t="inlineStr">
        <is>
          <t>Z08</t>
        </is>
      </c>
      <c r="C10" s="6" t="inlineStr">
        <is>
          <t>Microcuenca declarada en ficha DT</t>
        </is>
      </c>
      <c r="D10" s="7" t="inlineStr">
        <is>
          <t>C1081-Q9583</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San Juan de Bigote</t>
        </is>
      </c>
      <c r="C12" s="6" t="inlineStr">
        <is>
          <t>Capital distrital</t>
        </is>
      </c>
      <c r="D12" s="7" t="inlineStr">
        <is>
          <t>San Juan de Bigote</t>
        </is>
      </c>
      <c r="E12" s="8" t="n"/>
      <c r="F12" s="8" t="n"/>
    </row>
    <row r="13">
      <c r="A13" s="6" t="inlineStr">
        <is>
          <t>Centro poblado asociado</t>
        </is>
      </c>
      <c r="B13" s="7" t="inlineStr">
        <is>
          <t>Dotor (C.P. Dotor / Caserío Dotor)</t>
        </is>
      </c>
      <c r="C13" s="6" t="inlineStr">
        <is>
          <t>Comunidad campesina</t>
        </is>
      </c>
      <c r="D13" s="50" t="inlineStr">
        <is>
          <t>En blanco (no consignada)</t>
        </is>
      </c>
      <c r="E13" s="8" t="n"/>
      <c r="F13" s="8" t="n"/>
    </row>
    <row r="14">
      <c r="A14" s="6" t="inlineStr">
        <is>
          <t>Superficie de catálogo (V5/V6), ha</t>
        </is>
      </c>
      <c r="B14" s="7" t="n">
        <v>11.906</v>
      </c>
      <c r="C14" s="6" t="inlineStr">
        <is>
          <t>Fuente de superficie</t>
        </is>
      </c>
      <c r="D14" s="7" t="inlineStr">
        <is>
          <t>Catálogo maestro Bloques V5/V6</t>
        </is>
      </c>
      <c r="E14" s="8" t="n"/>
      <c r="F14" s="8" t="n"/>
    </row>
    <row r="15">
      <c r="A15" s="6" t="inlineStr">
        <is>
          <t>Centroide UTM ESTE (m)</t>
        </is>
      </c>
      <c r="B15" s="7" t="n">
        <v>642200</v>
      </c>
      <c r="C15" s="6" t="inlineStr">
        <is>
          <t>Centroide UTM NORTE (m)</t>
        </is>
      </c>
      <c r="D15" s="7" t="n">
        <v>9411072</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0</v>
      </c>
      <c r="C19" s="6" t="inlineStr">
        <is>
          <t>Altitud máxima (msnm)</t>
        </is>
      </c>
      <c r="D19" s="7" t="n">
        <v>0</v>
      </c>
      <c r="E19" s="8" t="n"/>
      <c r="F19" s="8" t="n"/>
    </row>
    <row r="20">
      <c r="A20" s="6" t="inlineStr">
        <is>
          <t>Amplitud altitudinal (m)</t>
        </is>
      </c>
      <c r="B20" s="7" t="n">
        <v>0</v>
      </c>
      <c r="C20" s="6" t="inlineStr">
        <is>
          <t>Piso altitudinal dominante</t>
        </is>
      </c>
      <c r="D20" s="7" t="inlineStr">
        <is>
          <t>&lt;1000 m (Yunga)</t>
        </is>
      </c>
      <c r="E20" s="8" t="n"/>
      <c r="F20" s="8" t="n"/>
    </row>
    <row r="21">
      <c r="A21" s="6" t="inlineStr">
        <is>
          <t>Pendiente promedio (%)</t>
        </is>
      </c>
      <c r="B21" s="7" t="n">
        <v>0</v>
      </c>
      <c r="C21" s="6" t="inlineStr">
        <is>
          <t>Pendiente promedio (grados)</t>
        </is>
      </c>
      <c r="D21" s="7" t="n">
        <v>0</v>
      </c>
      <c r="E21" s="8" t="n"/>
      <c r="F21" s="8" t="n"/>
    </row>
    <row r="22">
      <c r="A22" s="6" t="inlineStr">
        <is>
          <t>Clase de pendiente equivalente</t>
        </is>
      </c>
      <c r="B22" s="7" t="inlineStr">
        <is>
          <t>0-8% (Plano-lig. inclinado)</t>
        </is>
      </c>
      <c r="C22" s="6" t="inlineStr">
        <is>
          <t>Rango de pendiente declarado en campo</t>
        </is>
      </c>
      <c r="D22" s="7" t="inlineStr">
        <is>
          <t>8-15% (Mod. inclinado)</t>
        </is>
      </c>
      <c r="E22" s="8" t="n"/>
      <c r="F22" s="8" t="n"/>
    </row>
    <row r="23">
      <c r="A23" s="6" t="inlineStr">
        <is>
          <t>Forma predominante del terreno</t>
        </is>
      </c>
      <c r="B23" s="7" t="inlineStr">
        <is>
          <t>Colinoso</t>
        </is>
      </c>
      <c r="C23" s="6" t="inlineStr">
        <is>
          <t>Posición fisiográfica</t>
        </is>
      </c>
      <c r="D23" s="7" t="inlineStr">
        <is>
          <t>Ladera baja</t>
        </is>
      </c>
      <c r="E23" s="8" t="n"/>
      <c r="F23" s="8" t="n"/>
    </row>
    <row r="24">
      <c r="A24" s="6" t="inlineStr">
        <is>
          <t>Exposición / orientación</t>
        </is>
      </c>
      <c r="B24" s="7" t="inlineStr">
        <is>
          <t>Oeste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0.2289</v>
      </c>
      <c r="C28" s="6" t="inlineStr">
        <is>
          <t>MSAVI 2024 — clase de la media</t>
        </is>
      </c>
      <c r="D28" s="7" t="inlineStr">
        <is>
          <t>&lt;= 0.2650 (Suelo desnudo / no vegetal)</t>
        </is>
      </c>
      <c r="E28" s="8" t="n"/>
      <c r="F28" s="8" t="n"/>
    </row>
    <row r="29">
      <c r="A29" s="6" t="inlineStr">
        <is>
          <t>Condición frente al umbral 0.4976</t>
        </is>
      </c>
      <c r="B29" s="7" t="inlineStr">
        <is>
          <t>BAJO umbral 0.4976</t>
        </is>
      </c>
      <c r="C29" s="6" t="inlineStr">
        <is>
          <t>NDVI mediana 2025 — clase modal</t>
        </is>
      </c>
      <c r="D29" s="7" t="inlineStr">
        <is>
          <t>Tierra desnuda (59.22 %)</t>
        </is>
      </c>
      <c r="E29" s="8" t="n"/>
      <c r="F29" s="8" t="n"/>
    </row>
    <row r="30">
      <c r="A30" s="6" t="inlineStr">
        <is>
          <t>Superficie clasificada NDVI 2025 (ha)</t>
        </is>
      </c>
      <c r="B30" s="7" t="n">
        <v>11.91</v>
      </c>
      <c r="C30" s="6" t="inlineStr">
        <is>
          <t>Desviación frente al catálogo (%)</t>
        </is>
      </c>
      <c r="D30" s="7" t="n">
        <v>0.03</v>
      </c>
      <c r="E30" s="8" t="n"/>
      <c r="F30" s="8" t="n"/>
    </row>
    <row r="31">
      <c r="A31" s="6" t="inlineStr">
        <is>
          <t>Superficie clasificada MSAVI 2024 (ha)</t>
        </is>
      </c>
      <c r="B31" s="38" t="n">
        <v>11.906</v>
      </c>
      <c r="C31" s="6" t="inlineStr">
        <is>
          <t>Desviación MSAVI frente al catálogo (%)</t>
        </is>
      </c>
      <c r="D31" s="39" t="n">
        <v>0</v>
      </c>
      <c r="E31" s="8" t="n"/>
      <c r="F31" s="8" t="n"/>
    </row>
    <row r="32">
      <c r="A32" s="6" t="inlineStr">
        <is>
          <t>Superficie bajo umbral MSAVI 0.4976 (ha)</t>
        </is>
      </c>
      <c r="B32" s="38" t="n">
        <v>11.906</v>
      </c>
      <c r="C32" s="6" t="inlineStr">
        <is>
          <t>% del bloque bajo umbral (brecha espectral)</t>
        </is>
      </c>
      <c r="D32" s="39" t="n">
        <v>100</v>
      </c>
      <c r="E32" s="8" t="n"/>
      <c r="F32" s="8" t="n"/>
    </row>
    <row r="33">
      <c r="A33" s="6" t="inlineStr">
        <is>
          <t>Clase DN dominante (MSAVI 2024)</t>
        </is>
      </c>
      <c r="B33" s="7" t="inlineStr">
        <is>
          <t>DN 1 · &lt;= 0.2650 (Suelo desnudo / no vegetal)</t>
        </is>
      </c>
      <c r="C33" s="6" t="inlineStr">
        <is>
          <t>N.° de polígonos MSAVI del bloque</t>
        </is>
      </c>
      <c r="D33" s="40" t="n">
        <v>50</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 — asignación POR VERIFICAR</t>
        </is>
      </c>
      <c r="C36" s="6" t="inlineStr">
        <is>
          <t>Superficie de ecosistema (ha)</t>
        </is>
      </c>
      <c r="D36" s="7" t="inlineStr">
        <is>
          <t>11.91 ha (100% del bloque)</t>
        </is>
      </c>
      <c r="E36" s="8" t="n"/>
      <c r="F36" s="8" t="n"/>
    </row>
    <row r="37">
      <c r="A37" s="6" t="inlineStr">
        <is>
          <t>Estado de conservación</t>
        </is>
      </c>
      <c r="B37" s="7" t="inlineStr">
        <is>
          <t>Muy alterado / Degradado</t>
        </is>
      </c>
      <c r="C37" s="6" t="inlineStr">
        <is>
          <t>Uso actual dominante del suelo</t>
        </is>
      </c>
      <c r="D37" s="7" t="inlineStr">
        <is>
          <t>Pastoreo extensivo</t>
        </is>
      </c>
      <c r="E37" s="8" t="n"/>
      <c r="F37" s="8" t="n"/>
    </row>
    <row r="38">
      <c r="A38" s="6" t="inlineStr">
        <is>
          <t>Tipo de cobertura dominante</t>
        </is>
      </c>
      <c r="B38" s="7" t="inlineStr">
        <is>
          <t>Suelo desnudo</t>
        </is>
      </c>
      <c r="C38" s="6" t="inlineStr">
        <is>
          <t>Cobertura vegetal total — campo (%)</t>
        </is>
      </c>
      <c r="D38" s="7" t="n">
        <v>7</v>
      </c>
      <c r="E38" s="8" t="n"/>
      <c r="F38" s="8" t="n"/>
    </row>
    <row r="39">
      <c r="A39" s="6" t="inlineStr">
        <is>
          <t>Suelo desnudo — campo (%)</t>
        </is>
      </c>
      <c r="B39" s="7" t="n">
        <v>75</v>
      </c>
      <c r="C39" s="6" t="inlineStr">
        <is>
          <t>Regeneración natural</t>
        </is>
      </c>
      <c r="D39" s="7" t="inlineStr">
        <is>
          <t>Ausente</t>
        </is>
      </c>
      <c r="E39" s="8" t="n"/>
      <c r="F39" s="8" t="n"/>
    </row>
    <row r="40">
      <c r="A40" s="6" t="inlineStr">
        <is>
          <t>Nivel general de erosión</t>
        </is>
      </c>
      <c r="B40" s="7" t="inlineStr">
        <is>
          <t>Fuerte (cárcavas incipientes)</t>
        </is>
      </c>
      <c r="C40" s="6" t="inlineStr">
        <is>
          <t>N.° de cárcavas registradas</t>
        </is>
      </c>
      <c r="D40" s="50" t="inlineStr">
        <is>
          <t>No inventariadas</t>
        </is>
      </c>
      <c r="E40" s="8" t="n"/>
      <c r="F40" s="8" t="n"/>
    </row>
    <row r="41">
      <c r="A41" s="6" t="inlineStr">
        <is>
          <t>Elenco florístico (n.° de taxones)</t>
        </is>
      </c>
      <c r="B41" s="7" t="n">
        <v>15</v>
      </c>
      <c r="C41" s="6" t="inlineStr">
        <is>
          <t>Estado sanitario</t>
        </is>
      </c>
      <c r="D41" s="50" t="inlineStr">
        <is>
          <t>En blanco (sin mediciones)</t>
        </is>
      </c>
      <c r="E41" s="8" t="n"/>
      <c r="F41" s="8" t="n"/>
    </row>
    <row r="42"/>
    <row r="43" ht="18" customHeight="1">
      <c r="A43" s="5" t="inlineStr">
        <is>
          <t>5. RESPONSABLE Y MODALIDAD DE LA EVALUACIÓN</t>
        </is>
      </c>
    </row>
    <row r="44">
      <c r="A44" s="6" t="inlineStr">
        <is>
          <t>Responsable de la evaluación</t>
        </is>
      </c>
      <c r="B44" s="7" t="inlineStr">
        <is>
          <t>Brigada de campo IN Piura — levantamiento fotogramétrico RPA; nominación POR CONFIRMAR según parte diario</t>
        </is>
      </c>
      <c r="C44" s="6" t="inlineStr">
        <is>
          <t>Fecha de evaluación</t>
        </is>
      </c>
      <c r="D44" s="7" t="inlineStr">
        <is>
          <t>2026-08-14</t>
        </is>
      </c>
      <c r="E44" s="8" t="n"/>
      <c r="F44" s="8" t="n"/>
    </row>
    <row r="45">
      <c r="A45" s="6" t="inlineStr">
        <is>
          <t>Hora de registro</t>
        </is>
      </c>
      <c r="B45" s="7" t="inlineStr">
        <is>
          <t>12:02 h</t>
        </is>
      </c>
      <c r="C45" s="6" t="inlineStr">
        <is>
          <t>Correlativo de ficha</t>
        </is>
      </c>
      <c r="D45" s="7" t="inlineStr">
        <is>
          <t>F-DT-01-B85-2026</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50" t="inlineStr">
        <is>
          <t>No instalada — fotointerpretación de ortofoto RPA</t>
        </is>
      </c>
      <c r="E47" s="8" t="n"/>
      <c r="F47" s="8" t="n"/>
    </row>
    <row r="48">
      <c r="A48" s="6" t="inlineStr">
        <is>
          <t>Estaciones fotográficas georreferenciadas</t>
        </is>
      </c>
      <c r="B48" s="7" t="n">
        <v>13</v>
      </c>
      <c r="C48" s="6" t="inlineStr">
        <is>
          <t>Modalidad de acceso</t>
        </is>
      </c>
      <c r="D48" s="7" t="inlineStr">
        <is>
          <t>Vehicular 4x4 hasta el bloque</t>
        </is>
      </c>
      <c r="E48" s="8" t="n"/>
      <c r="F48" s="8" t="n"/>
    </row>
    <row r="49"/>
    <row r="50" ht="18" customHeight="1">
      <c r="A50" s="5" t="inlineStr">
        <is>
          <t>6. SÍNTESIS PARA LA GESTIÓN DEL RIESGO EN CONTEXTO DE CAMBIO CLIMÁTICO</t>
        </is>
      </c>
    </row>
    <row r="51">
      <c r="A51" s="6" t="inlineStr">
        <is>
          <t>Causa subyacente principal</t>
        </is>
      </c>
      <c r="B51" s="7" t="inlineStr">
        <is>
          <t>Ausencia de un régimen de manejo del pastoreo en el área comunal inmediata al centro poblado</t>
        </is>
      </c>
      <c r="C51" s="6" t="inlineStr">
        <is>
          <t>Velocidad de degradación</t>
        </is>
      </c>
      <c r="D51" s="50" t="inlineStr">
        <is>
          <t>EN BLANCO — no se dispone de serie Theil-Sen (TAU) ni de MSAVI multianual</t>
        </is>
      </c>
      <c r="E51" s="8" t="n"/>
      <c r="F51" s="8" t="n"/>
    </row>
    <row r="52">
      <c r="A52" s="6" t="inlineStr">
        <is>
          <t>Reversibilidad técnica</t>
        </is>
      </c>
      <c r="B52" s="7" t="inlineStr">
        <is>
          <t>Difícilmente reversible</t>
        </is>
      </c>
      <c r="C52" s="6" t="inlineStr">
        <is>
          <t>Urgencia de intervención</t>
        </is>
      </c>
      <c r="D52" s="7" t="inlineStr">
        <is>
          <t>Crítica</t>
        </is>
      </c>
      <c r="E52" s="8" t="n"/>
      <c r="F52" s="8" t="n"/>
    </row>
    <row r="53">
      <c r="A53" s="6" t="inlineStr">
        <is>
          <t>Urgencia de control de erosión</t>
        </is>
      </c>
      <c r="B53" s="7" t="inlineStr">
        <is>
          <t>Crítica</t>
        </is>
      </c>
      <c r="C53" s="6" t="inlineStr">
        <is>
          <t>Zona de recarga hídrica</t>
        </is>
      </c>
      <c r="D53" s="7" t="inlineStr">
        <is>
          <t>No</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85</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0</v>
      </c>
      <c r="C10" s="19">
        <f>ROUND(B10/$B$15*100,2)</f>
        <v/>
      </c>
      <c r="D10" s="11" t="inlineStr">
        <is>
          <t>Vigor alto</t>
        </is>
      </c>
      <c r="E10" s="11" t="inlineStr">
        <is>
          <t>Sobre umbral</t>
        </is>
      </c>
    </row>
    <row r="11">
      <c r="A11" s="12" t="inlineStr">
        <is>
          <t>0.4976 - 0.6139 · DN 4</t>
        </is>
      </c>
      <c r="B11" s="20" t="n">
        <v>0</v>
      </c>
      <c r="C11" s="21">
        <f>ROUND(B11/$B$15*100,2)</f>
        <v/>
      </c>
      <c r="D11" s="13" t="inlineStr">
        <is>
          <t>Vigor moderado</t>
        </is>
      </c>
      <c r="E11" s="13" t="inlineStr">
        <is>
          <t>Sobre umbral</t>
        </is>
      </c>
    </row>
    <row r="12">
      <c r="A12" s="7" t="inlineStr">
        <is>
          <t>0.3813 - 0.4976 · DN 3</t>
        </is>
      </c>
      <c r="B12" s="18" t="n">
        <v>0.0382</v>
      </c>
      <c r="C12" s="19">
        <f>ROUND(B12/$B$15*100,2)</f>
        <v/>
      </c>
      <c r="D12" s="11" t="inlineStr">
        <is>
          <t>Vigor bajo</t>
        </is>
      </c>
      <c r="E12" s="11" t="inlineStr">
        <is>
          <t>BAJO umbral 0.4976</t>
        </is>
      </c>
    </row>
    <row r="13">
      <c r="A13" s="12" t="inlineStr">
        <is>
          <t>0.2650 - 0.3813 · DN 2</t>
        </is>
      </c>
      <c r="B13" s="20" t="n">
        <v>1.8463</v>
      </c>
      <c r="C13" s="21">
        <f>ROUND(B13/$B$15*100,2)</f>
        <v/>
      </c>
      <c r="D13" s="13" t="inlineStr">
        <is>
          <t>Vigor muy bajo</t>
        </is>
      </c>
      <c r="E13" s="13" t="inlineStr">
        <is>
          <t>BAJO umbral 0.4976</t>
        </is>
      </c>
    </row>
    <row r="14">
      <c r="A14" s="14" t="inlineStr">
        <is>
          <t>&lt;= 0.2650 · DN 1</t>
        </is>
      </c>
      <c r="B14" s="32" t="n">
        <v>10.0216</v>
      </c>
      <c r="C14" s="31">
        <f>ROUND(B14/$B$15*100,2)</f>
        <v/>
      </c>
      <c r="D14" s="15" t="inlineStr">
        <is>
          <t>Suelo desnudo / no vegetal</t>
        </is>
      </c>
      <c r="E14" s="15" t="inlineStr">
        <is>
          <t>BAJO umbral 0.4976</t>
        </is>
      </c>
    </row>
    <row r="15" ht="30" customHeight="1">
      <c r="A15" s="43" t="inlineStr">
        <is>
          <t>TOTAL CLASIFICADO MSAVI 2024</t>
        </is>
      </c>
      <c r="B15" s="44">
        <f>SUM(B10:B14)</f>
        <v/>
      </c>
      <c r="C15" s="45">
        <f>SUM(C10:C14)</f>
        <v/>
      </c>
      <c r="D15" s="43" t="inlineStr">
        <is>
          <t>Suma de la distribución areal · 50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11.906</v>
      </c>
      <c r="C18" s="49" t="inlineStr">
        <is>
          <t>—</t>
        </is>
      </c>
      <c r="D18" s="46" t="inlineStr">
        <is>
          <t>Desviación planimétrica frente al catálogo</t>
        </is>
      </c>
      <c r="E18" s="46" t="inlineStr">
        <is>
          <t>+0.00 %</t>
        </is>
      </c>
    </row>
    <row r="19">
      <c r="A19" s="16" t="inlineStr">
        <is>
          <t>MSAVI 2024 — MEDIA DEL BLOQUE</t>
        </is>
      </c>
      <c r="B19" s="17" t="n">
        <v>0.228928</v>
      </c>
      <c r="C19" s="17" t="inlineStr">
        <is>
          <t>—</t>
        </is>
      </c>
      <c r="D19" s="17" t="inlineStr">
        <is>
          <t>Suelo desnudo / no vegetal · clase &lt;= 0.2650</t>
        </is>
      </c>
      <c r="E19" s="17" t="inlineStr">
        <is>
          <t>BAJO umbral 0.4976</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50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(0.2289) se conserva del catálogo maestro y es dato oficial; la fila resaltada indica la clase en la que cae dicha media. Los totales y porcentajes se calculan con fórmulas sobre las filas del cuadro.</t>
        </is>
      </c>
      <c r="B21" s="41" t="n"/>
      <c r="C21" s="41" t="n"/>
      <c r="D21" s="41" t="n"/>
      <c r="E21" s="42"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mediana</t>
        </is>
      </c>
      <c r="B25" s="18" t="n">
        <v>0.1175</v>
      </c>
      <c r="C25" s="19" t="n">
        <v>0.99</v>
      </c>
      <c r="D25" s="11" t="inlineStr">
        <is>
          <t>Pastizal cultivado, matorral ralo, parcelas agrícolas</t>
        </is>
      </c>
      <c r="E25" s="11" t="inlineStr"/>
    </row>
    <row r="26">
      <c r="A26" s="12" t="inlineStr">
        <is>
          <t>Vegetación ligera</t>
        </is>
      </c>
      <c r="B26" s="20" t="n">
        <v>4.7392</v>
      </c>
      <c r="C26" s="21" t="n">
        <v>39.79</v>
      </c>
      <c r="D26" s="13" t="inlineStr">
        <is>
          <t>Cobertura discontinua, suelo parcialmente expuesto</t>
        </is>
      </c>
      <c r="E26" s="13" t="inlineStr"/>
    </row>
    <row r="27">
      <c r="A27" s="7" t="inlineStr">
        <is>
          <t>Tierra desnuda</t>
        </is>
      </c>
      <c r="B27" s="18" t="n">
        <v>7.053</v>
      </c>
      <c r="C27" s="19" t="n">
        <v>59.22</v>
      </c>
      <c r="D27" s="11" t="inlineStr">
        <is>
          <t>Suelo desnudo, afloramientos, plataformas y taludes</t>
        </is>
      </c>
      <c r="E27" s="11" t="inlineStr"/>
    </row>
    <row r="28">
      <c r="A28" s="16" t="inlineStr">
        <is>
          <t>TOTAL CLASIFICADO</t>
        </is>
      </c>
      <c r="B28" s="22">
        <f>SUM(B25:B27)</f>
        <v/>
      </c>
      <c r="C28" s="23">
        <f>SUM(C25:C27)</f>
        <v/>
      </c>
      <c r="D28" s="17" t="inlineStr"/>
      <c r="E28" s="17" t="inlineStr"/>
    </row>
    <row r="29">
      <c r="A29" s="24" t="inlineStr">
        <is>
          <t>Superficie de catálogo (V5/V6)</t>
        </is>
      </c>
      <c r="B29" s="25" t="n">
        <v>11.906</v>
      </c>
      <c r="C29" s="25" t="inlineStr">
        <is>
          <t>—</t>
        </is>
      </c>
      <c r="D29" s="25" t="inlineStr">
        <is>
          <t>Desviación planimétrica frente al catálogo</t>
        </is>
      </c>
      <c r="E29" s="25" t="inlineStr">
        <is>
          <t>+0.03 %</t>
        </is>
      </c>
    </row>
    <row r="31" ht="108" customHeight="1">
      <c r="A31"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7 % frente a un 0.00 % del polígono clasificado como «Vegetación alta» por el NDVI 2025; la observación de campo corresponde a una parcela o recorrido puntual y no es estadísticamente representativa de las 11.906 ha del bloque.</t>
        </is>
      </c>
      <c r="B31" s="41" t="n"/>
      <c r="C31" s="41" t="n"/>
      <c r="D31" s="41" t="n"/>
      <c r="E31" s="42" t="n"/>
    </row>
  </sheetData>
  <mergeCells count="10">
    <mergeCell ref="A21:E21"/>
    <mergeCell ref="A4:E4"/>
    <mergeCell ref="A2:E2"/>
    <mergeCell ref="A5:E5"/>
    <mergeCell ref="A1:E1"/>
    <mergeCell ref="A23:E23"/>
    <mergeCell ref="A8:E8"/>
    <mergeCell ref="A6:E6"/>
    <mergeCell ref="A31:E31"/>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7"/>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85</t>
        </is>
      </c>
    </row>
    <row r="6" ht="24" customHeight="1">
      <c r="A6" s="4" t="inlineStr">
        <is>
          <t>Levantamiento del 2026-08-14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645575</v>
      </c>
      <c r="D10" s="26" t="n">
        <v>9393500</v>
      </c>
      <c r="E10" s="11" t="n">
        <v>17893.2</v>
      </c>
      <c r="F10" s="11" t="inlineStr"/>
      <c r="G10" s="11" t="inlineStr">
        <is>
          <t>Coordenada consignada en F-DT-01</t>
        </is>
      </c>
    </row>
    <row r="11">
      <c r="A11" s="12" t="inlineStr">
        <is>
          <t>H-01</t>
        </is>
      </c>
      <c r="B11" s="13" t="inlineStr">
        <is>
          <t>Fuente de agua — Canal de riego</t>
        </is>
      </c>
      <c r="C11" s="27" t="n">
        <v>642184</v>
      </c>
      <c r="D11" s="27" t="n">
        <v>9410274</v>
      </c>
      <c r="E11" s="13" t="n">
        <v>798.2</v>
      </c>
      <c r="F11" s="13" t="inlineStr">
        <is>
          <t>Permanente</t>
        </is>
      </c>
      <c r="G11" s="13" t="inlineStr">
        <is>
          <t>Canal de conducción del fondo de valle (referencial)</t>
        </is>
      </c>
    </row>
    <row r="12">
      <c r="A12" s="16" t="inlineStr">
        <is>
          <t>TOTAL: 2 puntos</t>
        </is>
      </c>
      <c r="B12" s="17" t="inlineStr"/>
      <c r="C12" s="17" t="inlineStr"/>
      <c r="D12" s="17" t="inlineStr"/>
      <c r="E12" s="17" t="inlineStr"/>
      <c r="F12" s="17" t="inlineStr"/>
      <c r="G12" s="17" t="inlineStr"/>
    </row>
    <row r="14">
      <c r="A14" s="6" t="inlineStr">
        <is>
          <t>Centroide del bloque — UTM ESTE (m)</t>
        </is>
      </c>
      <c r="B14" s="7" t="n">
        <v>642200</v>
      </c>
      <c r="C14" s="6" t="inlineStr">
        <is>
          <t>Centroide del bloque — UTM NORTE (m)</t>
        </is>
      </c>
      <c r="D14" s="7" t="n">
        <v>9411072</v>
      </c>
      <c r="E14" s="8" t="n"/>
      <c r="F14" s="8" t="n"/>
      <c r="G14" s="8" t="n"/>
      <c r="H14" s="8" t="n"/>
    </row>
    <row r="15">
      <c r="A15" s="6" t="inlineStr">
        <is>
          <t>N.° de estaciones fotográficas declaradas</t>
        </is>
      </c>
      <c r="B15" s="7" t="n">
        <v>13</v>
      </c>
      <c r="C15" s="6" t="inlineStr">
        <is>
          <t>Estaciones dentro del polígono</t>
        </is>
      </c>
      <c r="D15" s="7" t="n">
        <v>0</v>
      </c>
      <c r="E15" s="8" t="n"/>
      <c r="F15" s="8" t="n"/>
      <c r="G15" s="8" t="n"/>
      <c r="H15" s="8" t="n"/>
    </row>
    <row r="17" ht="192" customHeight="1">
      <c r="A17"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ALCANCE DE LA EVIDENCIA. EL BLOQUE 85 NO CUENTA CON FICHAS F-DT-01 A F-DT-05 LEVANTADAS EN CAMPO. La información procede de: (i) levantamiento fotogramétrico con RPA del 14-08-2026, 13 fotogramas cenitales georreferenciados por EXIF sobre el ámbito de los bloques 85-87; (ii) cartografía temática NDVI mediana 2025 y MSAVI 2024 (Sentinel-2); (iii) imagen Google Earth / Airbus del 09-11-2023 y perfil de elevación. NINGÚN CAMPO HA SIDO ESTIMADO SIN SUSTENTO DOCUMENTAL. BLOQUE FUERA DEL CATÁLOGO MAESTRO: no figura en «Bloques V4» (127 registros) ni en Bloques V5; solo en el REPORTE_BLOQUES_V6 y en la capa «Bloques extras». Para habilitar los VLOOKUP se añadió un registro con centroide por restitución cartográfica (E 642 180 / N 9 411 020, ±25 m). ALTITUD GPS EN BLANCO: el EXIF (393 msnm) es la cota absoluta de la aeronave; la cota del terreno ronda 266 msnm. PENDIENTE: la clase «8-15%» deriva de un único transecto de 171 m (desnivel +6.4 / −10.6 m), POR VERIFICAR con estadística zonal del DEM. REPTACIÓN «Sí» por terracetas y microescalones de pisoteo visibles en la ortofoto; origen mixto (pisoteo + reptación superficial). ATENCIÓN: el UTM del punto de registro (645 575 · 9 393 500) es el valor por defecto de la plantilla.</t>
        </is>
      </c>
      <c r="B17" s="41" t="n"/>
      <c r="C17" s="41" t="n"/>
      <c r="D17" s="41" t="n"/>
      <c r="E17" s="41" t="n"/>
      <c r="F17" s="41" t="n"/>
      <c r="G17" s="42" t="n"/>
    </row>
  </sheetData>
  <mergeCells count="8">
    <mergeCell ref="A1:G1"/>
    <mergeCell ref="A17:G17"/>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4"/>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C1081-Q9583 — BLOQUE 85</t>
        </is>
      </c>
    </row>
    <row r="6" ht="24" customHeight="1">
      <c r="A6" s="4" t="inlineStr">
        <is>
          <t>Distrito de San Juan de Bigote · Provincia de Morropon · Comparación de los bloques preliminares de intervención de la misma microcuenca</t>
        </is>
      </c>
    </row>
    <row r="8" ht="18" customHeight="1">
      <c r="A8" s="5" t="inlineStr">
        <is>
          <t>BLOQUES DE LA MICROCUENCA C1081-Q9583</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M11B3</t>
        </is>
      </c>
      <c r="B10" s="28" t="n">
        <v>106.03</v>
      </c>
      <c r="C10" s="19" t="n">
        <v>26.64</v>
      </c>
      <c r="D10" s="11" t="inlineStr">
        <is>
          <t>278 – 477</t>
        </is>
      </c>
      <c r="E10" s="11" t="n">
        <v>199</v>
      </c>
      <c r="F10" s="11" t="n">
        <v>18.11</v>
      </c>
      <c r="G10" s="18" t="n">
        <v>0.3956</v>
      </c>
      <c r="H10" s="19" t="n">
        <v>21.16</v>
      </c>
      <c r="I10" s="19" t="n">
        <v>88.87</v>
      </c>
    </row>
    <row r="11">
      <c r="A11" s="12" t="inlineStr">
        <is>
          <t>24</t>
        </is>
      </c>
      <c r="B11" s="29" t="n">
        <v>90.16</v>
      </c>
      <c r="C11" s="21" t="n">
        <v>22.65</v>
      </c>
      <c r="D11" s="13" t="inlineStr">
        <is>
          <t>1319 – 1887</t>
        </is>
      </c>
      <c r="E11" s="13" t="n">
        <v>568</v>
      </c>
      <c r="F11" s="13" t="n">
        <v>32.98</v>
      </c>
      <c r="G11" s="20" t="n">
        <v>0.6748</v>
      </c>
      <c r="H11" s="21" t="n">
        <v>98.51000000000001</v>
      </c>
      <c r="I11" s="21" t="n">
        <v>2.29</v>
      </c>
    </row>
    <row r="12">
      <c r="A12" s="7" t="inlineStr">
        <is>
          <t>87</t>
        </is>
      </c>
      <c r="B12" s="28" t="n">
        <v>62.219</v>
      </c>
      <c r="C12" s="19" t="n">
        <v>15.63</v>
      </c>
      <c r="D12" s="11" t="inlineStr">
        <is>
          <t>Por determinar</t>
        </is>
      </c>
      <c r="E12" s="11" t="inlineStr">
        <is>
          <t>Por determinar</t>
        </is>
      </c>
      <c r="F12" s="11" t="inlineStr">
        <is>
          <t>Por determinar</t>
        </is>
      </c>
      <c r="G12" s="18" t="n">
        <v>0.2487</v>
      </c>
      <c r="H12" s="19" t="n">
        <v>0.34</v>
      </c>
      <c r="I12" s="19" t="n">
        <v>99.72</v>
      </c>
    </row>
    <row r="13">
      <c r="A13" s="12" t="inlineStr">
        <is>
          <t>63</t>
        </is>
      </c>
      <c r="B13" s="29" t="n">
        <v>50.46</v>
      </c>
      <c r="C13" s="21" t="n">
        <v>12.68</v>
      </c>
      <c r="D13" s="13" t="inlineStr">
        <is>
          <t>1508 – 2080</t>
        </is>
      </c>
      <c r="E13" s="13" t="n">
        <v>572</v>
      </c>
      <c r="F13" s="13" t="n">
        <v>35.5</v>
      </c>
      <c r="G13" s="20" t="n">
        <v>0.6036</v>
      </c>
      <c r="H13" s="21" t="n">
        <v>99.2</v>
      </c>
      <c r="I13" s="21" t="n">
        <v>2.95</v>
      </c>
    </row>
    <row r="14">
      <c r="A14" s="7" t="inlineStr">
        <is>
          <t>86</t>
        </is>
      </c>
      <c r="B14" s="28" t="n">
        <v>30.001</v>
      </c>
      <c r="C14" s="19" t="n">
        <v>7.54</v>
      </c>
      <c r="D14" s="11" t="inlineStr">
        <is>
          <t>Por determinar</t>
        </is>
      </c>
      <c r="E14" s="11" t="inlineStr">
        <is>
          <t>Por determinar</t>
        </is>
      </c>
      <c r="F14" s="11" t="inlineStr">
        <is>
          <t>Por determinar</t>
        </is>
      </c>
      <c r="G14" s="18" t="n">
        <v>0.2735</v>
      </c>
      <c r="H14" s="19" t="n">
        <v>1.05</v>
      </c>
      <c r="I14" s="19" t="n">
        <v>99.62</v>
      </c>
    </row>
    <row r="15">
      <c r="A15" s="12" t="inlineStr">
        <is>
          <t>83</t>
        </is>
      </c>
      <c r="B15" s="29" t="n">
        <v>24.344</v>
      </c>
      <c r="C15" s="21" t="n">
        <v>6.12</v>
      </c>
      <c r="D15" s="13" t="inlineStr">
        <is>
          <t>Por determinar</t>
        </is>
      </c>
      <c r="E15" s="13" t="inlineStr">
        <is>
          <t>Por determinar</t>
        </is>
      </c>
      <c r="F15" s="13" t="inlineStr">
        <is>
          <t>Por determinar</t>
        </is>
      </c>
      <c r="G15" s="20" t="n">
        <v>0.3055</v>
      </c>
      <c r="H15" s="21" t="n">
        <v>2.88</v>
      </c>
      <c r="I15" s="21" t="n">
        <v>99.39</v>
      </c>
    </row>
    <row r="16">
      <c r="A16" s="7" t="inlineStr">
        <is>
          <t>77</t>
        </is>
      </c>
      <c r="B16" s="28" t="n">
        <v>17.82</v>
      </c>
      <c r="C16" s="19" t="n">
        <v>4.48</v>
      </c>
      <c r="D16" s="11" t="inlineStr">
        <is>
          <t>242 – 346</t>
        </is>
      </c>
      <c r="E16" s="11" t="n">
        <v>104</v>
      </c>
      <c r="F16" s="11" t="n">
        <v>13.71</v>
      </c>
      <c r="G16" s="18" t="n">
        <v>0.2725</v>
      </c>
      <c r="H16" s="19" t="n">
        <v>0.11</v>
      </c>
      <c r="I16" s="19" t="n">
        <v>99.78</v>
      </c>
    </row>
    <row r="17">
      <c r="A17" s="14" t="inlineStr">
        <is>
          <t>► 85</t>
        </is>
      </c>
      <c r="B17" s="30" t="n">
        <v>11.906</v>
      </c>
      <c r="C17" s="31" t="n">
        <v>2.99</v>
      </c>
      <c r="D17" s="15" t="inlineStr">
        <is>
          <t>Por determinar</t>
        </is>
      </c>
      <c r="E17" s="15" t="inlineStr">
        <is>
          <t>Por determinar</t>
        </is>
      </c>
      <c r="F17" s="15" t="inlineStr">
        <is>
          <t>Por determinar</t>
        </is>
      </c>
      <c r="G17" s="32" t="n">
        <v>0.2289</v>
      </c>
      <c r="H17" s="31" t="n">
        <v>0</v>
      </c>
      <c r="I17" s="31" t="n">
        <v>100</v>
      </c>
    </row>
    <row r="18">
      <c r="A18" s="7" t="inlineStr">
        <is>
          <t>84</t>
        </is>
      </c>
      <c r="B18" s="28" t="n">
        <v>5.097</v>
      </c>
      <c r="C18" s="19" t="n">
        <v>1.28</v>
      </c>
      <c r="D18" s="11" t="inlineStr">
        <is>
          <t>Por determinar</t>
        </is>
      </c>
      <c r="E18" s="11" t="inlineStr">
        <is>
          <t>Por determinar</t>
        </is>
      </c>
      <c r="F18" s="11" t="inlineStr">
        <is>
          <t>Por determinar</t>
        </is>
      </c>
      <c r="G18" s="18" t="n">
        <v>0.2516</v>
      </c>
      <c r="H18" s="19" t="n">
        <v>0</v>
      </c>
      <c r="I18" s="19" t="n">
        <v>100</v>
      </c>
    </row>
    <row r="19">
      <c r="A19" s="16" t="inlineStr">
        <is>
          <t>TOTAL / PROMEDIO</t>
        </is>
      </c>
      <c r="B19" s="33">
        <f>SUM(B10:B18)</f>
        <v/>
      </c>
      <c r="C19" s="23">
        <f>SUM(C10:C18)</f>
        <v/>
      </c>
      <c r="D19" s="17" t="inlineStr">
        <is>
          <t>242 – 2080</t>
        </is>
      </c>
      <c r="E19" s="17" t="inlineStr"/>
      <c r="F19" s="17">
        <f>ROUND(AVERAGE(F10:F18),2)</f>
        <v/>
      </c>
      <c r="G19" s="22">
        <f>ROUND(AVERAGE(G10:G18),4)</f>
        <v/>
      </c>
      <c r="H19" s="23">
        <f>ROUND(AVERAGE(H10:H18),2)</f>
        <v/>
      </c>
      <c r="I19" s="23">
        <f>ROUND(AVERAGE(I10:I18),2)</f>
        <v/>
      </c>
    </row>
    <row r="20" ht="48" customHeight="1">
      <c r="A20" s="9" t="inlineStr">
        <is>
          <t>ALCANCE DE LOS PROMEDIOS. La fila TOTAL / PROMEDIO omite las celdas «Por determinar»: los promedios de PENDIENTE y MSAVI 2024 se calculan sobre 4 de los 9 bloques de la microcuenca; los 5 bloques restantes carecen de dato derivado del MDE. Los totales de ÁREA y % de microcuenca sí comprenden la totalidad de los 9 bloques. No se estima ningún valor ausente.</t>
        </is>
      </c>
      <c r="B20" s="41" t="n"/>
      <c r="C20" s="41" t="n"/>
      <c r="D20" s="41" t="n"/>
      <c r="E20" s="41" t="n"/>
      <c r="F20" s="41" t="n"/>
      <c r="G20" s="41" t="n"/>
      <c r="H20" s="41" t="n"/>
      <c r="I20" s="42" t="n"/>
    </row>
    <row r="22" ht="48" customHeight="1">
      <c r="A22" s="9" t="inlineStr">
        <is>
          <t>LECTURA INTRAMICROCUENCA. El bloque 85 ocupa el puesto 8 de 9 por superficie dentro de la microcuenca C1081-Q9583 (2.99 % de las 398.04 ha preliminares de la microcuenca). El cuadro conserva todos los bloques catalogados en la microcuenca, incluidos los descartados en el tamizaje, para referencia del conjunto. Los bloques sin ficha DT figuran con sus parámetros de gabinete. BRECHA ESPECTRAL. El 100.00 % de la superficie del bloque (11.906 ha de 11.906 ha) se sitúa bajo el umbral MSAVI 0.4976, por encima del promedio local de la microcuenca (76.96 %) calculado sobre los bloques con dato MSAVI disponible.</t>
        </is>
      </c>
      <c r="B22" s="41" t="n"/>
      <c r="C22" s="41" t="n"/>
      <c r="D22" s="41" t="n"/>
      <c r="E22" s="41" t="n"/>
      <c r="F22" s="41" t="n"/>
      <c r="G22" s="41" t="n"/>
      <c r="H22" s="41" t="n"/>
      <c r="I22" s="42" t="n"/>
    </row>
    <row r="24" ht="60" customHeight="1">
      <c r="A24"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4" s="41" t="n"/>
      <c r="C24" s="41" t="n"/>
      <c r="D24" s="41" t="n"/>
      <c r="E24" s="41" t="n"/>
      <c r="F24" s="41" t="n"/>
      <c r="G24" s="41" t="n"/>
      <c r="H24" s="41" t="n"/>
      <c r="I24" s="42" t="n"/>
    </row>
  </sheetData>
  <mergeCells count="10">
    <mergeCell ref="A2:I2"/>
    <mergeCell ref="A5:I5"/>
    <mergeCell ref="A1:I1"/>
    <mergeCell ref="A8:I8"/>
    <mergeCell ref="A3:I3"/>
    <mergeCell ref="A6:I6"/>
    <mergeCell ref="A22:I22"/>
    <mergeCell ref="A4:I4"/>
    <mergeCell ref="A20:I20"/>
    <mergeCell ref="A24:I2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3"/>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CONTROL DE CONSISTENCIA — BLOQUE 85</t>
        </is>
      </c>
    </row>
    <row r="6">
      <c r="A6" s="52" t="inlineStr">
        <is>
          <t>Cruce de la ficha de campo F-DT vigente con la ficha de resumen de gabinete y el catálogo maestro. Integración 2026-09-11 20:22:33.</t>
        </is>
      </c>
    </row>
    <row r="7">
      <c r="A7" s="54" t="inlineStr">
        <is>
          <t>DISCREPANCIAS Y VERIFICACIONES</t>
        </is>
      </c>
    </row>
    <row r="8">
      <c r="A8" s="55" t="inlineStr">
        <is>
          <t>Cod.</t>
        </is>
      </c>
      <c r="B8" s="55" t="inlineStr">
        <is>
          <t>Campo afectado</t>
        </is>
      </c>
      <c r="C8" s="55" t="inlineStr">
        <is>
          <t>Discrepancia observada</t>
        </is>
      </c>
      <c r="D8" s="55" t="inlineStr">
        <is>
          <t>Calificación</t>
        </is>
      </c>
      <c r="E8" s="55" t="inlineStr">
        <is>
          <t>Tratamiento adoptado</t>
        </is>
      </c>
    </row>
    <row r="9">
      <c r="A9" s="56" t="inlineStr">
        <is>
          <t>G-01</t>
        </is>
      </c>
      <c r="B9" s="56" t="inlineStr">
        <is>
          <t>Código de microcuenca</t>
        </is>
      </c>
      <c r="C9" s="56" t="inlineStr">
        <is>
          <t>Ficha DT y catálogo maestro coinciden en «C1081-Q9583».</t>
        </is>
      </c>
      <c r="D9" s="56" t="inlineStr">
        <is>
          <t>CONFORME</t>
        </is>
      </c>
      <c r="E9" s="56" t="inlineStr">
        <is>
          <t>Sin acción.</t>
        </is>
      </c>
    </row>
    <row r="10">
      <c r="A10" s="57" t="inlineStr">
        <is>
          <t>G-02</t>
        </is>
      </c>
      <c r="B10" s="57" t="inlineStr">
        <is>
          <t>UTM del punto de muestreo</t>
        </is>
      </c>
      <c r="C10" s="57" t="inlineStr">
        <is>
          <t>El punto de muestreo declarado dista 41.5 m del centroide, dentro del radio de control.</t>
        </is>
      </c>
      <c r="D10" s="57" t="inlineStr">
        <is>
          <t>CONFORME</t>
        </is>
      </c>
      <c r="E10" s="57" t="inlineStr">
        <is>
          <t>Sin acción.</t>
        </is>
      </c>
    </row>
    <row r="11">
      <c r="A11" s="56" t="inlineStr">
        <is>
          <t>G-03</t>
        </is>
      </c>
      <c r="B11" s="56" t="inlineStr">
        <is>
          <t>Sistema de referencia UTM 17S</t>
        </is>
      </c>
      <c r="C11" s="56" t="inlineStr">
        <is>
          <t>Verificación de rango para EPSG:32717: Conforme.</t>
        </is>
      </c>
      <c r="D11" s="56" t="inlineStr">
        <is>
          <t>CONFORME</t>
        </is>
      </c>
      <c r="E11" s="56" t="inlineStr">
        <is>
          <t>Sin acción.</t>
        </is>
      </c>
    </row>
    <row r="12">
      <c r="A12" s="57" t="inlineStr">
        <is>
          <t>G-04</t>
        </is>
      </c>
      <c r="B12" s="57" t="inlineStr">
        <is>
          <t>Altitud del punto de muestreo</t>
        </is>
      </c>
      <c r="C12" s="57" t="inlineStr">
        <is>
          <t>No es posible contrastar la altitud GPS con el rango altitudinal del bloque: falta uno de los dos datos.</t>
        </is>
      </c>
      <c r="D12" s="57" t="inlineStr">
        <is>
          <t>NO SUSTANTIVA</t>
        </is>
      </c>
      <c r="E12" s="57" t="inlineStr">
        <is>
          <t>Se completa con la lectura GPS de F-DT-01 o con la estadística zonal del MDE.</t>
        </is>
      </c>
    </row>
    <row r="13">
      <c r="A13" s="56" t="inlineStr">
        <is>
          <t>G-05</t>
        </is>
      </c>
      <c r="B13" s="56" t="inlineStr">
        <is>
          <t>Superficie NDVI vs. catálogo</t>
        </is>
      </c>
      <c r="C13" s="56" t="inlineStr">
        <is>
          <t>La superficie clasificada por el NDVI mediana 2025 (11.910 ha) se desvía 0.03 % de la superficie de catálogo (11.91 ha).</t>
        </is>
      </c>
      <c r="D13" s="56" t="inlineStr">
        <is>
          <t>CONFORME</t>
        </is>
      </c>
      <c r="E13" s="56" t="inlineStr">
        <is>
          <t>Sin acción: la segmentación valida la geometría del bloque.</t>
        </is>
      </c>
    </row>
    <row r="14">
      <c r="A14" s="57" t="inlineStr">
        <is>
          <t>G-06</t>
        </is>
      </c>
      <c r="B14" s="57" t="inlineStr">
        <is>
          <t>Superficie MSAVI vs. catálogo</t>
        </is>
      </c>
      <c r="C14" s="57" t="inlineStr">
        <is>
          <t>La superficie clasificada por el MSAVI 2024 (11.906 ha) se desvía 0.00 % de la superficie de catálogo (11.91 ha).</t>
        </is>
      </c>
      <c r="D14" s="57" t="inlineStr">
        <is>
          <t>CONFORME</t>
        </is>
      </c>
      <c r="E14" s="57" t="inlineStr">
        <is>
          <t>Sin acción: la segmentación valida la geometría del bloque.</t>
        </is>
      </c>
    </row>
    <row r="15">
      <c r="A15" s="56" t="inlineStr">
        <is>
          <t>G-07</t>
        </is>
      </c>
      <c r="B15" s="56" t="inlineStr">
        <is>
          <t>Brecha espectral MSAVI</t>
        </is>
      </c>
      <c r="C15" s="56" t="inlineStr">
        <is>
          <t>El 100.00 % del bloque queda bajo el umbral 0.4976; superficie de brecha 11.91 ha.</t>
        </is>
      </c>
      <c r="D15" s="56" t="inlineStr">
        <is>
          <t>CONFORME</t>
        </is>
      </c>
      <c r="E15" s="56" t="inlineStr">
        <is>
          <t>Sin acción: alimenta el indicador de brecha del proyecto.</t>
        </is>
      </c>
    </row>
    <row r="16">
      <c r="A16" s="57" t="inlineStr">
        <is>
          <t>G-08</t>
        </is>
      </c>
      <c r="B16" s="57" t="inlineStr">
        <is>
          <t>Distribución areal MSAVI 2024</t>
        </is>
      </c>
      <c r="C16" s="57" t="inlineStr">
        <is>
          <t>La hoja de cobertura declara 5 clases DN con superficie, 11.91 ha clasificadas en total.</t>
        </is>
      </c>
      <c r="D16" s="57" t="inlineStr">
        <is>
          <t>CONFORME</t>
        </is>
      </c>
      <c r="E16" s="57" t="inlineStr">
        <is>
          <t>Sin acción: procede de la estadística zonal del raster MSAVI 2024 clasificado.</t>
        </is>
      </c>
    </row>
    <row r="17">
      <c r="A17" s="56" t="inlineStr">
        <is>
          <t>G-09</t>
        </is>
      </c>
      <c r="B17" s="56" t="inlineStr">
        <is>
          <t>Media MSAVI vs. clase DN dominante</t>
        </is>
      </c>
      <c r="C17" s="56" t="inlineStr">
        <is>
          <t>La media del bloque (0.2289) cae en la clase «&lt;= 0.2650 (Suelo desnudo / no vegetal)» y la clase DN dominante por superficie es «DN 1 · &lt;= 0.2650 (Suelo desnudo / no vegetal)».</t>
        </is>
      </c>
      <c r="D17" s="56" t="inlineStr">
        <is>
          <t>CONFORME</t>
        </is>
      </c>
      <c r="E17" s="56" t="inlineStr">
        <is>
          <t>Sin acción: media y clase dominante son coherentes.</t>
        </is>
      </c>
    </row>
    <row r="18">
      <c r="A18" s="57" t="inlineStr">
        <is>
          <t>G-10</t>
        </is>
      </c>
      <c r="B18" s="57" t="inlineStr">
        <is>
          <t>Peligro integrado (MCA-AHP)</t>
        </is>
      </c>
      <c r="C18" s="57" t="inlineStr">
        <is>
          <t>El nivel de peligro integrado no está disponible en los insumos de este entregable.</t>
        </is>
      </c>
      <c r="D18" s="57" t="inlineStr">
        <is>
          <t>SUSTANTIVA</t>
        </is>
      </c>
      <c r="E18" s="57" t="inlineStr">
        <is>
          <t>Debe tomarse del modelamiento de mesolocalización (MCA-AHP de PMM, EPH y PGI) antes de cerrar el perfil.</t>
        </is>
      </c>
    </row>
    <row r="19">
      <c r="A19" s="56" t="inlineStr">
        <is>
          <t>F-01</t>
        </is>
      </c>
      <c r="B19" s="56" t="inlineStr">
        <is>
          <t>Fichas F-DT levantadas</t>
        </is>
      </c>
      <c r="C19" s="56" t="inlineStr">
        <is>
          <t>La plantilla de campo trae las cinco fichas F-DT-01 a F-DT-05 (completitud 89.3 % de los campos esperados).</t>
        </is>
      </c>
      <c r="D19" s="56" t="inlineStr">
        <is>
          <t>CONFORME</t>
        </is>
      </c>
      <c r="E19" s="56" t="inlineStr">
        <is>
          <t>Sin acción.</t>
        </is>
      </c>
    </row>
    <row r="20">
      <c r="A20" s="57" t="inlineStr">
        <is>
          <t>F-02</t>
        </is>
      </c>
      <c r="B20" s="57" t="inlineStr">
        <is>
          <t>Cobertura de la integración</t>
        </is>
      </c>
      <c r="C20" s="57" t="inlineStr">
        <is>
          <t>Se declararon 93 de 114 hechos integrados (81.6 %); 21 quedan sin dato en ninguna fuente.</t>
        </is>
      </c>
      <c r="D20" s="57" t="inlineStr">
        <is>
          <t>CONFORME</t>
        </is>
      </c>
      <c r="E20" s="57" t="inlineStr">
        <is>
          <t>Sin acción.</t>
        </is>
      </c>
    </row>
    <row r="21">
      <c r="A21" s="56" t="inlineStr">
        <is>
          <t>H-01</t>
        </is>
      </c>
      <c r="B21" s="56" t="inlineStr">
        <is>
          <t>Rango de pendiente dominante</t>
        </is>
      </c>
      <c r="C21" s="56" t="inlineStr">
        <is>
          <t>La ficha DT declara «8-15% (Mod. inclinado)»; la estadística zonal sobre el MDE arroja una pendiente promedio de 0.00 %, que corresponde a la clase «0-8% (Plano-lig. inclinado)»</t>
        </is>
      </c>
      <c r="D21" s="56" t="inlineStr">
        <is>
          <t>NO SUSTANTIVA</t>
        </is>
      </c>
      <c r="E21" s="56"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22">
      <c r="A22" s="57" t="inlineStr">
        <is>
          <t>H-02</t>
        </is>
      </c>
      <c r="B22" s="57" t="inlineStr">
        <is>
          <t>Cobertura vegetal total</t>
        </is>
      </c>
      <c r="C22" s="57" t="inlineStr">
        <is>
          <t>La ficha DT estima 7 % de cobertura vegetal en campo; el NDVI mediana 2025 clasifica 40.78 % del polígono en clases de vegetación</t>
        </is>
      </c>
      <c r="D22" s="57" t="inlineStr">
        <is>
          <t>NO SUSTANTIVA</t>
        </is>
      </c>
      <c r="E22" s="57"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23">
      <c r="A23" s="56" t="inlineStr">
        <is>
          <t>H-03</t>
        </is>
      </c>
      <c r="B23" s="56" t="inlineStr">
        <is>
          <t>Representatividad del levantamiento</t>
        </is>
      </c>
      <c r="C23" s="56" t="inlineStr">
        <is>
          <t>Ninguna de las estaciones fotográficas georreferenciadas se localiza dentro del polígono del bloque</t>
        </is>
      </c>
      <c r="D23" s="56" t="inlineStr">
        <is>
          <t>SUSTANTIVA</t>
        </is>
      </c>
      <c r="E23" s="56" t="inlineStr">
        <is>
          <t>La verificación documenta el perímetro y la vista panorámica del bloque, no su interior. Los parámetros que exigen recorrido interno se consignan «Por determinar». (Verificación heredada de la ficha de resumen V6.)</t>
        </is>
      </c>
    </row>
    <row r="24">
      <c r="A24" s="57" t="inlineStr">
        <is>
          <t>H-04</t>
        </is>
      </c>
      <c r="B24" s="57" t="inlineStr">
        <is>
          <t>F-DT-01</t>
        </is>
      </c>
      <c r="C24" s="57" t="inlineStr">
        <is>
          <t>Ninguna ficha F-DT fue levantada en campo: la información procede de levantamiento fotogramétrico RPA (14-08-2026), cartografía NDVI/MSAVI e imagen Google Earth</t>
        </is>
      </c>
      <c r="D24" s="57" t="inlineStr">
        <is>
          <t>SUSTANTIVA</t>
        </is>
      </c>
      <c r="E24" s="57" t="inlineStr">
        <is>
          <t>Levantamiento de campo pendiente (Verificación heredada de la ficha de resumen V6.)</t>
        </is>
      </c>
    </row>
    <row r="25">
      <c r="A25" s="56" t="inlineStr">
        <is>
          <t>H-05</t>
        </is>
      </c>
      <c r="B25" s="56" t="inlineStr">
        <is>
          <t>F-DT-02</t>
        </is>
      </c>
      <c r="C25" s="56" t="inlineStr">
        <is>
          <t>Inventario georreferenciado de cárcavas NO ejecutado</t>
        </is>
      </c>
      <c r="D25" s="56" t="inlineStr">
        <is>
          <t>SUSTANTIVA</t>
        </is>
      </c>
      <c r="E25" s="56" t="inlineStr">
        <is>
          <t>La ausencia de registro no equivale a ausencia del proceso (Verificación heredada de la ficha de resumen V6.)</t>
        </is>
      </c>
    </row>
    <row r="26">
      <c r="A26" s="57" t="inlineStr">
        <is>
          <t>H-06</t>
        </is>
      </c>
      <c r="B26" s="57" t="inlineStr">
        <is>
          <t>F-DT-03</t>
        </is>
      </c>
      <c r="C26" s="57" t="inlineStr">
        <is>
          <t>Lista florística comunicada por la Subdirección para el ámbito 85-87; no procede de muestreo por parcela del bloque</t>
        </is>
      </c>
      <c r="D26" s="57" t="inlineStr">
        <is>
          <t>SUSTANTIVA</t>
        </is>
      </c>
      <c r="E26" s="57" t="inlineStr">
        <is>
          <t>Colecta y determinación botánica formal pendientes (Verificación heredada de la ficha de resumen V6.)</t>
        </is>
      </c>
    </row>
    <row r="27">
      <c r="A27" s="56" t="inlineStr">
        <is>
          <t>H-07</t>
        </is>
      </c>
      <c r="B27" s="56" t="inlineStr">
        <is>
          <t>F-DT-04</t>
        </is>
      </c>
      <c r="C27" s="56" t="inlineStr">
        <is>
          <t>Velocidad de degradación en blanco: no se dispone de serie Theil-Sen (TAU) ni de MSAVI multianual</t>
        </is>
      </c>
      <c r="D27" s="56" t="inlineStr">
        <is>
          <t>SUSTANTIVA</t>
        </is>
      </c>
      <c r="E27" s="56" t="inlineStr">
        <is>
          <t>Procesar serie temporal (Verificación heredada de la ficha de resumen V6.)</t>
        </is>
      </c>
    </row>
    <row r="28">
      <c r="A28" s="57" t="inlineStr">
        <is>
          <t>H-08</t>
        </is>
      </c>
      <c r="B28" s="57" t="inlineStr">
        <is>
          <t>F-DT-05</t>
        </is>
      </c>
      <c r="C28" s="57" t="inlineStr">
        <is>
          <t>Inventario hídrico no levantado en campo; coordenadas = centro del fotograma</t>
        </is>
      </c>
      <c r="D28" s="57" t="inlineStr">
        <is>
          <t>NO SUSTANTIVA</t>
        </is>
      </c>
      <c r="E28" s="57" t="inlineStr">
        <is>
          <t>Relevar con GPS (Verificación heredada de la ficha de resumen V6.)</t>
        </is>
      </c>
    </row>
    <row r="29">
      <c r="A29" s="56" t="inlineStr">
        <is>
          <t>H-09</t>
        </is>
      </c>
      <c r="B29" s="56" t="inlineStr">
        <is>
          <t>Ficha DT</t>
        </is>
      </c>
      <c r="C29" s="56" t="inlineStr">
        <is>
          <t>UTM del punto de registro (645 575 · 9 393 500) = valor por defecto de la plantilla; centroide de catálogo 642 200 · 9 411 072</t>
        </is>
      </c>
      <c r="D29" s="56" t="inlineStr">
        <is>
          <t>SUSTANTIVA</t>
        </is>
      </c>
      <c r="E29" s="56" t="inlineStr">
        <is>
          <t>Georreferencia por reponer (Verificación heredada de la ficha de resumen V6.)</t>
        </is>
      </c>
    </row>
    <row r="31">
      <c r="A31" s="58" t="inlineStr">
        <is>
          <t>RESUMEN</t>
        </is>
      </c>
      <c r="B31" s="59" t="inlineStr">
        <is>
          <t>21 verificaciones</t>
        </is>
      </c>
      <c r="C31" s="59" t="inlineStr">
        <is>
          <t>SUSTANTIVA: 7 · NO SUSTANTIVA: 4 · CONFORME: 10</t>
        </is>
      </c>
    </row>
    <row r="33">
      <c r="A33" s="60"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4:E4"/>
    <mergeCell ref="A2:E2"/>
    <mergeCell ref="A33:E33"/>
    <mergeCell ref="A1:E1"/>
    <mergeCell ref="A5:E5"/>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INTEGRACIÓN DE LA FICHA DE CAMPO — BLOQUE 85</t>
        </is>
      </c>
    </row>
    <row r="7">
      <c r="A7" s="54" t="inlineStr">
        <is>
          <t>A. HECHOS ACTUALIZADOS POR LA VERIFICACIÓN DE CAMPO</t>
        </is>
      </c>
    </row>
    <row r="8">
      <c r="A8" s="55" t="inlineStr">
        <is>
          <t>Sección</t>
        </is>
      </c>
      <c r="B8" s="55" t="inlineStr">
        <is>
          <t>Hecho</t>
        </is>
      </c>
      <c r="C8" s="55" t="inlineStr">
        <is>
          <t>Valor en la ficha V6</t>
        </is>
      </c>
      <c r="D8" s="55" t="inlineStr">
        <is>
          <t>Valor de campo vigente</t>
        </is>
      </c>
      <c r="E8" s="55" t="inlineStr">
        <is>
          <t>Fuente que manda</t>
        </is>
      </c>
    </row>
    <row r="9">
      <c r="A9" s="56" t="inlineStr">
        <is>
          <t>—</t>
        </is>
      </c>
      <c r="B9" s="56" t="inlineStr">
        <is>
          <t>Sin cambios: la ficha de campo confirma el libro V6</t>
        </is>
      </c>
      <c r="C9" s="56" t="inlineStr"/>
      <c r="D9" s="56" t="inlineStr"/>
      <c r="E9" s="56" t="inlineStr"/>
    </row>
    <row r="11">
      <c r="A11" s="54" t="inlineStr">
        <is>
          <t>B. HECHOS APORTADOS ÚNICAMENTE POR LA FICHA DE CAMPO</t>
        </is>
      </c>
    </row>
    <row r="12">
      <c r="A12" s="55" t="inlineStr">
        <is>
          <t>Sección</t>
        </is>
      </c>
      <c r="B12" s="55" t="inlineStr">
        <is>
          <t>Hecho</t>
        </is>
      </c>
      <c r="C12" s="55" t="inlineStr">
        <is>
          <t>Valor</t>
        </is>
      </c>
      <c r="D12" s="55" t="inlineStr">
        <is>
          <t>Unidad</t>
        </is>
      </c>
    </row>
    <row r="13">
      <c r="A13" s="56" t="inlineStr">
        <is>
          <t>1. Identificación y localización</t>
        </is>
      </c>
      <c r="B13" s="56" t="inlineStr">
        <is>
          <t>UTM ESTE del punto de muestreo (m)</t>
        </is>
      </c>
      <c r="C13" s="56" t="inlineStr">
        <is>
          <t>642211</t>
        </is>
      </c>
      <c r="D13" s="56" t="inlineStr">
        <is>
          <t>m</t>
        </is>
      </c>
    </row>
    <row r="14">
      <c r="A14" s="57" t="inlineStr">
        <is>
          <t>1. Identificación y localización</t>
        </is>
      </c>
      <c r="B14" s="57" t="inlineStr">
        <is>
          <t>UTM NORTE del punto de muestreo (m)</t>
        </is>
      </c>
      <c r="C14" s="57" t="inlineStr">
        <is>
          <t>9411112</t>
        </is>
      </c>
      <c r="D14" s="57" t="inlineStr">
        <is>
          <t>m</t>
        </is>
      </c>
    </row>
    <row r="15">
      <c r="A15" s="56" t="inlineStr">
        <is>
          <t>2. Parámetros físicos del terreno</t>
        </is>
      </c>
      <c r="B15" s="56" t="inlineStr">
        <is>
          <t>Piso altitudinal del punto de muestreo</t>
        </is>
      </c>
      <c r="C15" s="56" t="inlineStr">
        <is>
          <t>&lt;1000 m (Yunga)</t>
        </is>
      </c>
      <c r="D15" s="56" t="inlineStr"/>
    </row>
    <row r="16">
      <c r="A16" s="57" t="inlineStr">
        <is>
          <t>2. Parámetros físicos del terreno</t>
        </is>
      </c>
      <c r="B16" s="57" t="inlineStr">
        <is>
          <t>Paisaje dominante descrito en campo</t>
        </is>
      </c>
      <c r="C16" s="57" t="inlineStr">
        <is>
          <t>Lomada baja de piedemonte, de perfil convexo y planta arrineonada, adosada por el oeste al casco urbano del C.P. Dotor y al predio de la I.E. 'Ricardo Palma Soriano'. Superficie practicamente desprovista de cobertura lenosa, con estrato herbaceo ausente y una red reticulada muy densa de huellas de ganado (terracetas) que cubre la totalidad de la ladera. Cotas de 258 a 268 msnm sobre el transecto de 171 m levantado en Google Earth.</t>
        </is>
      </c>
      <c r="D16" s="57" t="inlineStr"/>
    </row>
    <row r="17">
      <c r="A17" s="56" t="inlineStr">
        <is>
          <t>2. Parámetros físicos del terreno</t>
        </is>
      </c>
      <c r="B17" s="56" t="inlineStr">
        <is>
          <t>Reptación de suelo</t>
        </is>
      </c>
      <c r="C17" s="56" t="inlineStr">
        <is>
          <t>Sí</t>
        </is>
      </c>
      <c r="D17" s="56" t="inlineStr"/>
    </row>
    <row r="18">
      <c r="A18" s="57" t="inlineStr">
        <is>
          <t>2. Parámetros físicos del terreno</t>
        </is>
      </c>
      <c r="B18" s="57" t="inlineStr">
        <is>
          <t>Deslizamientos antiguos</t>
        </is>
      </c>
      <c r="C18" s="57" t="inlineStr">
        <is>
          <t>No</t>
        </is>
      </c>
      <c r="D18" s="57" t="inlineStr"/>
    </row>
    <row r="19">
      <c r="A19" s="56" t="inlineStr">
        <is>
          <t>4. Suelos y erosión (F-DT-02)</t>
        </is>
      </c>
      <c r="B19" s="56" t="inlineStr">
        <is>
          <t>Nivel de erosión - síntesis de campo</t>
        </is>
      </c>
      <c r="C19" s="56" t="inlineStr">
        <is>
          <t>Fuerte (cárcavas incipientes)</t>
        </is>
      </c>
      <c r="D19" s="56" t="inlineStr"/>
    </row>
    <row r="20">
      <c r="A20" s="57" t="inlineStr">
        <is>
          <t>4. Suelos y erosión (F-DT-02)</t>
        </is>
      </c>
      <c r="B20" s="57" t="inlineStr">
        <is>
          <t>Sellamiento / costra superficial</t>
        </is>
      </c>
      <c r="C20" s="57" t="inlineStr">
        <is>
          <t>Sí</t>
        </is>
      </c>
      <c r="D20" s="57" t="inlineStr"/>
    </row>
    <row r="21">
      <c r="A21" s="56" t="inlineStr">
        <is>
          <t>4. Suelos y erosión (F-DT-02)</t>
        </is>
      </c>
      <c r="B21" s="56" t="inlineStr">
        <is>
          <t>Compactación por pisoteo</t>
        </is>
      </c>
      <c r="C21" s="56" t="inlineStr">
        <is>
          <t>Sí</t>
        </is>
      </c>
      <c r="D21" s="56" t="inlineStr"/>
    </row>
    <row r="22">
      <c r="A22" s="57" t="inlineStr">
        <is>
          <t>4. Suelos y erosión (F-DT-02)</t>
        </is>
      </c>
      <c r="B22" s="57" t="inlineStr">
        <is>
          <t>Raíces expuestas</t>
        </is>
      </c>
      <c r="C22" s="57" t="inlineStr">
        <is>
          <t>Sí</t>
        </is>
      </c>
      <c r="D22" s="57" t="inlineStr"/>
    </row>
    <row r="23">
      <c r="A23" s="56" t="inlineStr">
        <is>
          <t>4. Suelos y erosión (F-DT-02)</t>
        </is>
      </c>
      <c r="B23" s="56" t="inlineStr">
        <is>
          <t>Erosión laminar (% del bloque)</t>
        </is>
      </c>
      <c r="C23" s="56" t="inlineStr">
        <is>
          <t>85</t>
        </is>
      </c>
      <c r="D23" s="56" t="inlineStr">
        <is>
          <t>%</t>
        </is>
      </c>
    </row>
    <row r="24">
      <c r="A24" s="57" t="inlineStr">
        <is>
          <t>5. Ecosistema, cobertura y flora (F-DT-03)</t>
        </is>
      </c>
      <c r="B24" s="57" t="inlineStr">
        <is>
          <t>Cobertura del dosel (%)</t>
        </is>
      </c>
      <c r="C24" s="57" t="inlineStr">
        <is>
          <t>4</t>
        </is>
      </c>
      <c r="D24" s="57" t="inlineStr">
        <is>
          <t>%</t>
        </is>
      </c>
    </row>
    <row r="25">
      <c r="A25" s="56" t="inlineStr">
        <is>
          <t>5. Ecosistema, cobertura y flora (F-DT-03)</t>
        </is>
      </c>
      <c r="B25" s="56" t="inlineStr">
        <is>
          <t>Cobertura arbustiva (%)</t>
        </is>
      </c>
      <c r="C25" s="56" t="inlineStr">
        <is>
          <t>2</t>
        </is>
      </c>
      <c r="D25" s="56" t="inlineStr">
        <is>
          <t>%</t>
        </is>
      </c>
    </row>
    <row r="26">
      <c r="A26" s="57" t="inlineStr">
        <is>
          <t>5. Ecosistema, cobertura y flora (F-DT-03)</t>
        </is>
      </c>
      <c r="B26" s="57" t="inlineStr">
        <is>
          <t>Cobertura herbácea (%)</t>
        </is>
      </c>
      <c r="C26" s="57" t="inlineStr">
        <is>
          <t>1</t>
        </is>
      </c>
      <c r="D26" s="57" t="inlineStr">
        <is>
          <t>%</t>
        </is>
      </c>
    </row>
    <row r="27">
      <c r="A27" s="56" t="inlineStr">
        <is>
          <t>5. Ecosistema, cobertura y flora (F-DT-03)</t>
        </is>
      </c>
      <c r="B27" s="56" t="inlineStr">
        <is>
          <t>Cobertura de hojarasca (%)</t>
        </is>
      </c>
      <c r="C27" s="56" t="inlineStr">
        <is>
          <t>18</t>
        </is>
      </c>
      <c r="D27" s="56" t="inlineStr">
        <is>
          <t>%</t>
        </is>
      </c>
    </row>
    <row r="28">
      <c r="A28" s="57" t="inlineStr">
        <is>
          <t>5. Ecosistema, cobertura y flora (F-DT-03)</t>
        </is>
      </c>
      <c r="B28" s="57" t="inlineStr">
        <is>
          <t>Presencia de epífitas</t>
        </is>
      </c>
      <c r="C28" s="57" t="inlineStr">
        <is>
          <t>No</t>
        </is>
      </c>
      <c r="D28" s="57" t="inlineStr"/>
    </row>
    <row r="29">
      <c r="A29" s="56" t="inlineStr">
        <is>
          <t>5. Ecosistema, cobertura y flora (F-DT-03)</t>
        </is>
      </c>
      <c r="B29" s="56" t="inlineStr">
        <is>
          <t>Fenología dominante</t>
        </is>
      </c>
      <c r="C29" s="56" t="inlineStr">
        <is>
          <t>Caducifolio (hojas caídas)</t>
        </is>
      </c>
      <c r="D29" s="56" t="inlineStr"/>
    </row>
    <row r="30">
      <c r="A30" s="57" t="inlineStr">
        <is>
          <t>5. Ecosistema, cobertura y flora (F-DT-03)</t>
        </is>
      </c>
      <c r="B30" s="57" t="inlineStr">
        <is>
          <t>Especies clave georreferenciadas</t>
        </is>
      </c>
      <c r="C30" s="57" t="inlineStr">
        <is>
          <t>8</t>
        </is>
      </c>
      <c r="D30" s="57" t="inlineStr"/>
    </row>
    <row r="31">
      <c r="A31" s="56" t="inlineStr">
        <is>
          <t>6. Degradación, causas y urgencia (F-DT-04)</t>
        </is>
      </c>
      <c r="B31" s="56" t="inlineStr">
        <is>
          <t>Causas directas de la degradación</t>
        </is>
      </c>
      <c r="C31" s="56" t="inlineStr">
        <is>
          <t>Sobrepastoreo caprino/vacuno de caracter permanente y sin descanso, agravado por la contiguidad inmediata del casco urbano del C.P. Dotor y del predio de la I.E., que concentra el transito de ganado y de personas sobre la totalidad de la lomada.</t>
        </is>
      </c>
      <c r="D31" s="56" t="inlineStr"/>
    </row>
    <row r="32">
      <c r="A32" s="57" t="inlineStr">
        <is>
          <t>6. Degradación, causas y urgencia (F-DT-04)</t>
        </is>
      </c>
      <c r="B32" s="57" t="inlineStr">
        <is>
          <t>N.° de causas activas en la matriz F-DT-04</t>
        </is>
      </c>
      <c r="C32" s="57" t="inlineStr">
        <is>
          <t>2</t>
        </is>
      </c>
      <c r="D32" s="57" t="inlineStr"/>
    </row>
    <row r="33">
      <c r="A33" s="56" t="inlineStr">
        <is>
          <t>7. Hidrología, acceso y logística (F-DT-05)</t>
        </is>
      </c>
      <c r="B33" s="56" t="inlineStr">
        <is>
          <t>Escorrentía concentrada</t>
        </is>
      </c>
      <c r="C33" s="56" t="inlineStr">
        <is>
          <t>Sí</t>
        </is>
      </c>
      <c r="D33" s="56" t="inlineStr"/>
    </row>
    <row r="34">
      <c r="A34" s="57" t="inlineStr">
        <is>
          <t>7. Hidrología, acceso y logística (F-DT-05)</t>
        </is>
      </c>
      <c r="B34" s="57" t="inlineStr">
        <is>
          <t>Fuentes de agua inventariadas</t>
        </is>
      </c>
      <c r="C34" s="57" t="inlineStr">
        <is>
          <t>1</t>
        </is>
      </c>
      <c r="D34" s="57" t="inlineStr"/>
    </row>
    <row r="35">
      <c r="A35" s="56" t="inlineStr">
        <is>
          <t>7. Hidrología, acceso y logística (F-DT-05)</t>
        </is>
      </c>
      <c r="B35" s="56" t="inlineStr">
        <is>
          <t>Interferencia con riego</t>
        </is>
      </c>
      <c r="C35" s="56" t="inlineStr">
        <is>
          <t>No</t>
        </is>
      </c>
      <c r="D35" s="56" t="inlineStr"/>
    </row>
    <row r="36">
      <c r="A36" s="57" t="inlineStr">
        <is>
          <t>7. Hidrología, acceso y logística (F-DT-05)</t>
        </is>
      </c>
      <c r="B36" s="57" t="inlineStr">
        <is>
          <t>Vía principal de acceso</t>
        </is>
      </c>
      <c r="C36" s="57" t="inlineStr">
        <is>
          <t>Via afirmada de acceso a Dotor (San Juan de Bigote) - codigo MTC POR VERIFICAR</t>
        </is>
      </c>
      <c r="D36" s="57" t="inlineStr"/>
    </row>
    <row r="37">
      <c r="A37" s="56" t="inlineStr">
        <is>
          <t>7. Hidrología, acceso y logística (F-DT-05)</t>
        </is>
      </c>
      <c r="B37" s="56" t="inlineStr">
        <is>
          <t>Tipo de vía del tramo final</t>
        </is>
      </c>
      <c r="C37" s="56" t="inlineStr">
        <is>
          <t>Trocha carrozable</t>
        </is>
      </c>
      <c r="D37" s="56" t="inlineStr"/>
    </row>
    <row r="38">
      <c r="A38" s="57" t="inlineStr">
        <is>
          <t>7. Hidrología, acceso y logística (F-DT-05)</t>
        </is>
      </c>
      <c r="B38" s="57" t="inlineStr">
        <is>
          <t>Transitabilidad en época seca</t>
        </is>
      </c>
      <c r="C38" s="57" t="inlineStr">
        <is>
          <t>Alto</t>
        </is>
      </c>
      <c r="D38" s="57" t="inlineStr"/>
    </row>
    <row r="40">
      <c r="A40" s="54" t="inlineStr">
        <is>
          <t>C. PROCEDENCIA DE LOS HECHOS DECLARADOS</t>
        </is>
      </c>
    </row>
    <row r="41">
      <c r="A41" s="55" t="inlineStr">
        <is>
          <t>Fuente</t>
        </is>
      </c>
      <c r="B41" s="55" t="inlineStr">
        <is>
          <t>Hechos</t>
        </is>
      </c>
      <c r="C41" s="55" t="inlineStr">
        <is>
          <t>Alcance de la fuente</t>
        </is>
      </c>
    </row>
    <row r="42">
      <c r="A42" s="56" t="inlineStr">
        <is>
          <t>Dato de campo</t>
        </is>
      </c>
      <c r="B42" s="56" t="n">
        <v>52</v>
      </c>
      <c r="C42" s="56" t="inlineStr">
        <is>
          <t>Verificación en campo. Fichas F-DT-01 a F-DT-05 de la Plantilla DT Campo Check Validada V5, suscritas por el evaluador.</t>
        </is>
      </c>
    </row>
    <row r="43">
      <c r="A43" s="57" t="inlineStr">
        <is>
          <t>Gabinete (GIS / teledetección)</t>
        </is>
      </c>
      <c r="B43" s="57" t="n">
        <v>27</v>
      </c>
      <c r="C43" s="57" t="inlineStr">
        <is>
          <t>Gabinete. Estadística zonal sobre el MDE y compuestos Sentinel-2 (NDVI mediana 2025, MSAVI 2024 por clase DN).</t>
        </is>
      </c>
    </row>
    <row r="44">
      <c r="A44" s="56" t="inlineStr">
        <is>
          <t>Fuente oficial</t>
        </is>
      </c>
      <c r="B44" s="56" t="n">
        <v>14</v>
      </c>
      <c r="C44" s="56" t="inlineStr">
        <is>
          <t>Fuente oficial. Catálogo maestro Bloques V5/V6, división política INEI y codificación de microcuencas de la ANA.</t>
        </is>
      </c>
    </row>
    <row r="46">
      <c r="A46" s="54" t="inlineStr">
        <is>
          <t>D. ESTADO DEL CRUCE ENTRE FUENTES</t>
        </is>
      </c>
    </row>
    <row r="47">
      <c r="A47" s="55" t="inlineStr">
        <is>
          <t>Estado</t>
        </is>
      </c>
      <c r="B47" s="55" t="inlineStr">
        <is>
          <t>Hechos</t>
        </is>
      </c>
      <c r="C47" s="55" t="inlineStr">
        <is>
          <t>Significado</t>
        </is>
      </c>
    </row>
    <row r="48">
      <c r="A48" s="56" t="inlineStr">
        <is>
          <t>CONFORME</t>
        </is>
      </c>
      <c r="B48" s="56" t="n">
        <v>88</v>
      </c>
      <c r="C48" s="56" t="inlineStr">
        <is>
          <t>Las dos fuentes declaran lo mismo, o solo la fuente que manda sobre el hecho lo declara.</t>
        </is>
      </c>
    </row>
    <row r="49">
      <c r="A49" s="57" t="inlineStr">
        <is>
          <t>COMPLEMENTADO</t>
        </is>
      </c>
      <c r="B49" s="57" t="n">
        <v>5</v>
      </c>
      <c r="C49" s="57" t="inlineStr">
        <is>
          <t>Solo una de las fuentes lo declara y se adopta ese valor.</t>
        </is>
      </c>
    </row>
    <row r="50">
      <c r="A50" s="56" t="inlineStr">
        <is>
          <t>ACTUALIZADO</t>
        </is>
      </c>
      <c r="B50" s="56" t="n">
        <v>0</v>
      </c>
      <c r="C50" s="56" t="inlineStr">
        <is>
          <t>La verificación de campo vigente corrige lo que traía el libro de resumen.</t>
        </is>
      </c>
    </row>
    <row r="51">
      <c r="A51" s="57" t="inlineStr">
        <is>
          <t>DISCREPANTE</t>
        </is>
      </c>
      <c r="B51" s="57" t="n">
        <v>0</v>
      </c>
      <c r="C51" s="57" t="inlineStr">
        <is>
          <t>Las fuentes se contradicen; prevalece la que manda sobre el hecho y la otra queda declarada.</t>
        </is>
      </c>
    </row>
    <row r="52">
      <c r="A52" s="56" t="inlineStr">
        <is>
          <t>PENDIENTE</t>
        </is>
      </c>
      <c r="B52" s="56" t="n">
        <v>21</v>
      </c>
      <c r="C52" s="56"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81"/>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REGISTRO DE CAMPO F-DT-01 A F-DT-05 — BLOQUE 85</t>
        </is>
      </c>
    </row>
    <row r="7">
      <c r="A7" s="54" t="inlineStr">
        <is>
          <t>F-DT-02 · INVENTARIO DE CÁRCAVAS</t>
        </is>
      </c>
    </row>
    <row r="8">
      <c r="A8" s="55" t="inlineStr">
        <is>
          <t>Código</t>
        </is>
      </c>
      <c r="B8" s="55" t="inlineStr">
        <is>
          <t>Tipo</t>
        </is>
      </c>
      <c r="C8" s="55" t="inlineStr">
        <is>
          <t>UTM E ini.</t>
        </is>
      </c>
      <c r="D8" s="55" t="inlineStr">
        <is>
          <t>UTM N ini.</t>
        </is>
      </c>
      <c r="E8" s="55" t="inlineStr">
        <is>
          <t>Longitud (m)</t>
        </is>
      </c>
      <c r="F8" s="55" t="inlineStr">
        <is>
          <t>Prof. (m)</t>
        </is>
      </c>
      <c r="G8" s="55" t="inlineStr">
        <is>
          <t>Ancho (m)</t>
        </is>
      </c>
      <c r="H8" s="55" t="inlineStr">
        <is>
          <t>Estado</t>
        </is>
      </c>
      <c r="I8" s="55" t="inlineStr">
        <is>
          <t>Causa</t>
        </is>
      </c>
    </row>
    <row r="9">
      <c r="A9" s="56" t="inlineStr">
        <is>
          <t>Sin cárcavas inventariadas en el tramo verificado</t>
        </is>
      </c>
      <c r="B9" s="56" t="inlineStr"/>
      <c r="C9" s="56" t="inlineStr"/>
      <c r="D9" s="56" t="inlineStr"/>
      <c r="E9" s="56" t="inlineStr"/>
      <c r="F9" s="56" t="inlineStr"/>
      <c r="G9" s="56" t="inlineStr"/>
      <c r="H9" s="56" t="inlineStr"/>
      <c r="I9" s="56" t="inlineStr"/>
    </row>
    <row r="11">
      <c r="A11" s="54" t="inlineStr">
        <is>
          <t>F-DT-03 · ELENCO FLORÍSTICO</t>
        </is>
      </c>
    </row>
    <row r="12">
      <c r="A12" s="55" t="inlineStr">
        <is>
          <t>N.o</t>
        </is>
      </c>
      <c r="B12" s="55" t="inlineStr">
        <is>
          <t>Nombre común</t>
        </is>
      </c>
      <c r="C12" s="55" t="inlineStr">
        <is>
          <t>Nombre científico</t>
        </is>
      </c>
      <c r="D12" s="55" t="inlineStr">
        <is>
          <t>Familia</t>
        </is>
      </c>
      <c r="E12" s="55" t="inlineStr">
        <is>
          <t>Estrato</t>
        </is>
      </c>
      <c r="F12" s="55" t="inlineStr">
        <is>
          <t>Origen</t>
        </is>
      </c>
      <c r="G12" s="55" t="inlineStr">
        <is>
          <t>Abundancia</t>
        </is>
      </c>
      <c r="H12" s="55" t="inlineStr">
        <is>
          <t>DAP (cm)</t>
        </is>
      </c>
      <c r="I12" s="55" t="inlineStr">
        <is>
          <t>Altura (m)</t>
        </is>
      </c>
    </row>
    <row r="13">
      <c r="A13" s="56" t="inlineStr">
        <is>
          <t>1</t>
        </is>
      </c>
      <c r="B13" s="56" t="inlineStr">
        <is>
          <t>Ceibo</t>
        </is>
      </c>
      <c r="C13" s="56" t="inlineStr">
        <is>
          <t>Ceiba trischistandra</t>
        </is>
      </c>
      <c r="D13" s="56" t="inlineStr">
        <is>
          <t>Malvaceae</t>
        </is>
      </c>
      <c r="E13" s="56" t="inlineStr">
        <is>
          <t>Arbóreo medio (8-15 m)</t>
        </is>
      </c>
      <c r="F13" s="56" t="inlineStr">
        <is>
          <t>Nativa</t>
        </is>
      </c>
      <c r="G13" s="56" t="inlineStr"/>
      <c r="H13" s="56" t="n"/>
      <c r="I13" s="56" t="n"/>
    </row>
    <row r="14">
      <c r="A14" s="57" t="inlineStr">
        <is>
          <t>2</t>
        </is>
      </c>
      <c r="B14" s="57" t="inlineStr">
        <is>
          <t>Charán</t>
        </is>
      </c>
      <c r="C14" s="57" t="inlineStr">
        <is>
          <t>Coulteria paipai</t>
        </is>
      </c>
      <c r="D14" s="57" t="inlineStr">
        <is>
          <t>Fabaceae</t>
        </is>
      </c>
      <c r="E14" s="57" t="inlineStr">
        <is>
          <t>Arbóreo bajo (4-8 m)</t>
        </is>
      </c>
      <c r="F14" s="57" t="inlineStr">
        <is>
          <t>Nativa</t>
        </is>
      </c>
      <c r="G14" s="57" t="inlineStr"/>
      <c r="H14" s="57" t="n"/>
      <c r="I14" s="57" t="n"/>
    </row>
    <row r="15">
      <c r="A15" s="56" t="inlineStr">
        <is>
          <t>3</t>
        </is>
      </c>
      <c r="B15" s="56" t="inlineStr">
        <is>
          <t>Faique</t>
        </is>
      </c>
      <c r="C15" s="56" t="inlineStr">
        <is>
          <t>Vachellia macracantha</t>
        </is>
      </c>
      <c r="D15" s="56" t="inlineStr">
        <is>
          <t>Fabaceae</t>
        </is>
      </c>
      <c r="E15" s="56" t="inlineStr">
        <is>
          <t>Arbóreo bajo (4-8 m)</t>
        </is>
      </c>
      <c r="F15" s="56" t="inlineStr">
        <is>
          <t>Nativa</t>
        </is>
      </c>
      <c r="G15" s="56" t="inlineStr"/>
      <c r="H15" s="56" t="n"/>
      <c r="I15" s="56" t="n"/>
    </row>
    <row r="16">
      <c r="A16" s="57" t="inlineStr">
        <is>
          <t>4</t>
        </is>
      </c>
      <c r="B16" s="57" t="inlineStr">
        <is>
          <t>Algarrobo</t>
        </is>
      </c>
      <c r="C16" s="57" t="inlineStr">
        <is>
          <t>Neltuma pallida</t>
        </is>
      </c>
      <c r="D16" s="57" t="inlineStr">
        <is>
          <t>Fabaceae</t>
        </is>
      </c>
      <c r="E16" s="57" t="inlineStr">
        <is>
          <t>Arbóreo medio (8-15 m)</t>
        </is>
      </c>
      <c r="F16" s="57" t="inlineStr">
        <is>
          <t>Nativa</t>
        </is>
      </c>
      <c r="G16" s="57" t="inlineStr"/>
      <c r="H16" s="57" t="n"/>
      <c r="I16" s="57" t="n"/>
    </row>
    <row r="17">
      <c r="A17" s="56" t="inlineStr">
        <is>
          <t>5</t>
        </is>
      </c>
      <c r="B17" s="56" t="inlineStr">
        <is>
          <t>Sapote</t>
        </is>
      </c>
      <c r="C17" s="56" t="inlineStr">
        <is>
          <t>Colicodendron scabridum</t>
        </is>
      </c>
      <c r="D17" s="56" t="inlineStr">
        <is>
          <t>Capparaceae</t>
        </is>
      </c>
      <c r="E17" s="56" t="inlineStr">
        <is>
          <t>Arbóreo bajo (4-8 m)</t>
        </is>
      </c>
      <c r="F17" s="56" t="inlineStr">
        <is>
          <t>Nativa</t>
        </is>
      </c>
      <c r="G17" s="56" t="inlineStr"/>
      <c r="H17" s="56" t="n"/>
      <c r="I17" s="56" t="n"/>
    </row>
    <row r="18">
      <c r="A18" s="57" t="inlineStr">
        <is>
          <t>6</t>
        </is>
      </c>
      <c r="B18" s="57" t="inlineStr">
        <is>
          <t>Hualtaco</t>
        </is>
      </c>
      <c r="C18" s="57" t="inlineStr">
        <is>
          <t>Loxopterygium huasango</t>
        </is>
      </c>
      <c r="D18" s="57" t="inlineStr">
        <is>
          <t>Anacardiaceae</t>
        </is>
      </c>
      <c r="E18" s="57" t="inlineStr">
        <is>
          <t>Arbóreo medio (8-15 m)</t>
        </is>
      </c>
      <c r="F18" s="57" t="inlineStr">
        <is>
          <t>Nativa</t>
        </is>
      </c>
      <c r="G18" s="57" t="inlineStr"/>
      <c r="H18" s="57" t="n"/>
      <c r="I18" s="57" t="n"/>
    </row>
    <row r="19">
      <c r="A19" s="56" t="inlineStr">
        <is>
          <t>7</t>
        </is>
      </c>
      <c r="B19" s="56" t="inlineStr">
        <is>
          <t>Overo</t>
        </is>
      </c>
      <c r="C19" s="56" t="inlineStr">
        <is>
          <t>Cordia lutea</t>
        </is>
      </c>
      <c r="D19" s="56" t="inlineStr">
        <is>
          <t>Cordiaceae</t>
        </is>
      </c>
      <c r="E19" s="56" t="inlineStr">
        <is>
          <t>Arbustivo alto (1.5-4 m)</t>
        </is>
      </c>
      <c r="F19" s="56" t="inlineStr">
        <is>
          <t>Nativa</t>
        </is>
      </c>
      <c r="G19" s="56" t="inlineStr"/>
      <c r="H19" s="56" t="n"/>
      <c r="I19" s="56" t="n"/>
    </row>
    <row r="20">
      <c r="A20" s="57" t="inlineStr">
        <is>
          <t>8</t>
        </is>
      </c>
      <c r="B20" s="57" t="inlineStr">
        <is>
          <t>Cactáceas</t>
        </is>
      </c>
      <c r="C20" s="57" t="inlineStr">
        <is>
          <t>Cactaceae — género por verificar</t>
        </is>
      </c>
      <c r="D20" s="57" t="inlineStr">
        <is>
          <t>Cactaceae</t>
        </is>
      </c>
      <c r="E20" s="57" t="inlineStr">
        <is>
          <t>Arbustivo alto (1.5-4 m)</t>
        </is>
      </c>
      <c r="F20" s="57" t="inlineStr">
        <is>
          <t>Nativa</t>
        </is>
      </c>
      <c r="G20" s="57" t="inlineStr"/>
      <c r="H20" s="57" t="n"/>
      <c r="I20" s="57" t="n"/>
    </row>
    <row r="21">
      <c r="A21" s="56" t="inlineStr">
        <is>
          <t>9</t>
        </is>
      </c>
      <c r="B21" s="56" t="inlineStr">
        <is>
          <t>Borrachera</t>
        </is>
      </c>
      <c r="C21" s="56" t="inlineStr">
        <is>
          <t>Ipomoea carnea</t>
        </is>
      </c>
      <c r="D21" s="56" t="inlineStr">
        <is>
          <t>Convolvulaceae</t>
        </is>
      </c>
      <c r="E21" s="56" t="inlineStr">
        <is>
          <t>Arbustivo alto (1.5-4 m)</t>
        </is>
      </c>
      <c r="F21" s="56" t="inlineStr">
        <is>
          <t>Nativa</t>
        </is>
      </c>
      <c r="G21" s="56" t="inlineStr"/>
      <c r="H21" s="56" t="n"/>
      <c r="I21" s="56" t="n"/>
    </row>
    <row r="22">
      <c r="A22" s="57" t="inlineStr">
        <is>
          <t>10</t>
        </is>
      </c>
      <c r="B22" s="57" t="inlineStr">
        <is>
          <t>Palo santo</t>
        </is>
      </c>
      <c r="C22" s="57" t="inlineStr">
        <is>
          <t>Bursera graveolens</t>
        </is>
      </c>
      <c r="D22" s="57" t="inlineStr">
        <is>
          <t>Burseraceae</t>
        </is>
      </c>
      <c r="E22" s="57" t="inlineStr">
        <is>
          <t>Arbóreo bajo (4-8 m)</t>
        </is>
      </c>
      <c r="F22" s="57" t="inlineStr">
        <is>
          <t>Nativa</t>
        </is>
      </c>
      <c r="G22" s="57" t="inlineStr"/>
      <c r="H22" s="57" t="n"/>
      <c r="I22" s="57" t="n"/>
    </row>
    <row r="23">
      <c r="A23" s="56" t="inlineStr">
        <is>
          <t>11</t>
        </is>
      </c>
      <c r="B23" s="56" t="inlineStr">
        <is>
          <t>Frijolillo</t>
        </is>
      </c>
      <c r="C23" s="56" t="inlineStr">
        <is>
          <t>Determinación por verificar</t>
        </is>
      </c>
      <c r="D23" s="56" t="inlineStr">
        <is>
          <t>Por verificar</t>
        </is>
      </c>
      <c r="E23" s="56" t="inlineStr">
        <is>
          <t>Arbustivo alto (1.5-4 m)</t>
        </is>
      </c>
      <c r="F23" s="56" t="inlineStr">
        <is>
          <t>Nativa</t>
        </is>
      </c>
      <c r="G23" s="56" t="inlineStr"/>
      <c r="H23" s="56" t="n"/>
      <c r="I23" s="56" t="n"/>
    </row>
    <row r="24">
      <c r="A24" s="57" t="inlineStr">
        <is>
          <t>12</t>
        </is>
      </c>
      <c r="B24" s="57" t="inlineStr">
        <is>
          <t>Pasallo</t>
        </is>
      </c>
      <c r="C24" s="57" t="inlineStr">
        <is>
          <t>Eriotheca ruizii</t>
        </is>
      </c>
      <c r="D24" s="57" t="inlineStr">
        <is>
          <t>Malvaceae</t>
        </is>
      </c>
      <c r="E24" s="57" t="inlineStr">
        <is>
          <t>Arbóreo medio (8-15 m)</t>
        </is>
      </c>
      <c r="F24" s="57" t="inlineStr">
        <is>
          <t>Nativa</t>
        </is>
      </c>
      <c r="G24" s="57" t="inlineStr"/>
      <c r="H24" s="57" t="n"/>
      <c r="I24" s="57" t="n"/>
    </row>
    <row r="25">
      <c r="A25" s="56" t="inlineStr">
        <is>
          <t>13</t>
        </is>
      </c>
      <c r="B25" s="56" t="inlineStr">
        <is>
          <t>Barbasco</t>
        </is>
      </c>
      <c r="C25" s="56" t="inlineStr">
        <is>
          <t>Lonchocarpus sp.</t>
        </is>
      </c>
      <c r="D25" s="56" t="inlineStr">
        <is>
          <t>Fabaceae</t>
        </is>
      </c>
      <c r="E25" s="56" t="inlineStr">
        <is>
          <t>Arbustivo alto (1.5-4 m)</t>
        </is>
      </c>
      <c r="F25" s="56" t="inlineStr">
        <is>
          <t>Nativa</t>
        </is>
      </c>
      <c r="G25" s="56" t="inlineStr"/>
      <c r="H25" s="56" t="n"/>
      <c r="I25" s="56" t="n"/>
    </row>
    <row r="26">
      <c r="A26" s="57" t="inlineStr">
        <is>
          <t>14</t>
        </is>
      </c>
      <c r="B26" s="57" t="inlineStr">
        <is>
          <t>Chamelico</t>
        </is>
      </c>
      <c r="C26" s="57" t="inlineStr">
        <is>
          <t>Sapindus saponaria</t>
        </is>
      </c>
      <c r="D26" s="57" t="inlineStr">
        <is>
          <t>Sapindaceae</t>
        </is>
      </c>
      <c r="E26" s="57" t="inlineStr">
        <is>
          <t>Arbóreo bajo (4-8 m)</t>
        </is>
      </c>
      <c r="F26" s="57" t="inlineStr">
        <is>
          <t>Nativa</t>
        </is>
      </c>
      <c r="G26" s="57" t="inlineStr"/>
      <c r="H26" s="57" t="n"/>
      <c r="I26" s="57" t="n"/>
    </row>
    <row r="27">
      <c r="A27" s="56" t="inlineStr">
        <is>
          <t>15</t>
        </is>
      </c>
      <c r="B27" s="56" t="inlineStr">
        <is>
          <t>Huasimo</t>
        </is>
      </c>
      <c r="C27" s="56" t="inlineStr">
        <is>
          <t>Guazuma ulmifolia</t>
        </is>
      </c>
      <c r="D27" s="56" t="inlineStr">
        <is>
          <t>Malvaceae</t>
        </is>
      </c>
      <c r="E27" s="56" t="inlineStr">
        <is>
          <t>Arbóreo medio (8-15 m)</t>
        </is>
      </c>
      <c r="F27" s="56" t="inlineStr">
        <is>
          <t>Nativa</t>
        </is>
      </c>
      <c r="G27" s="56" t="inlineStr"/>
      <c r="H27" s="56" t="n"/>
      <c r="I27" s="56" t="n"/>
    </row>
    <row r="29">
      <c r="A29" s="54" t="inlineStr">
        <is>
          <t>F-DT-03 · ESPECIES CLAVE GEORREFERENCIADAS</t>
        </is>
      </c>
    </row>
    <row r="30">
      <c r="A30" s="55" t="inlineStr">
        <is>
          <t>N.o</t>
        </is>
      </c>
      <c r="B30" s="55" t="inlineStr">
        <is>
          <t>Especie</t>
        </is>
      </c>
      <c r="C30" s="55" t="inlineStr">
        <is>
          <t>Categoría</t>
        </is>
      </c>
      <c r="D30" s="55" t="inlineStr">
        <is>
          <t>Estado UICN</t>
        </is>
      </c>
      <c r="E30" s="55" t="inlineStr">
        <is>
          <t>UTM ESTE</t>
        </is>
      </c>
      <c r="F30" s="55" t="inlineStr">
        <is>
          <t>UTM NORTE</t>
        </is>
      </c>
      <c r="G30" s="55" t="inlineStr">
        <is>
          <t>N.° individuos</t>
        </is>
      </c>
      <c r="H30" s="55" t="inlineStr">
        <is>
          <t>Observación</t>
        </is>
      </c>
    </row>
    <row r="31">
      <c r="A31" s="56" t="inlineStr">
        <is>
          <t>1</t>
        </is>
      </c>
      <c r="B31" s="56" t="inlineStr">
        <is>
          <t>Hualtaco (Loxopterygium huasango)</t>
        </is>
      </c>
      <c r="C31" s="56" t="inlineStr">
        <is>
          <t>Amenazada (D.S. 043-2006-AG)</t>
        </is>
      </c>
      <c r="D31" s="56" t="inlineStr">
        <is>
          <t>CR — En Peligro Crítico</t>
        </is>
      </c>
      <c r="E31" s="56" t="n"/>
      <c r="F31" s="56" t="n"/>
      <c r="G31" s="56" t="n"/>
      <c r="H31" s="56" t="inlineStr"/>
    </row>
    <row r="32">
      <c r="A32" s="57" t="inlineStr">
        <is>
          <t>2</t>
        </is>
      </c>
      <c r="B32" s="57" t="inlineStr">
        <is>
          <t>Sapote (Colicodendron scabridum)</t>
        </is>
      </c>
      <c r="C32" s="57" t="inlineStr">
        <is>
          <t>Amenazada (D.S. 043-2006-AG)</t>
        </is>
      </c>
      <c r="D32" s="57" t="inlineStr">
        <is>
          <t>CR — En Peligro Crítico</t>
        </is>
      </c>
      <c r="E32" s="57" t="n"/>
      <c r="F32" s="57" t="n"/>
      <c r="G32" s="57" t="n"/>
      <c r="H32" s="57" t="inlineStr"/>
    </row>
    <row r="33">
      <c r="A33" s="56" t="inlineStr">
        <is>
          <t>3</t>
        </is>
      </c>
      <c r="B33" s="56" t="inlineStr">
        <is>
          <t>Palo santo (Bursera graveolens)</t>
        </is>
      </c>
      <c r="C33" s="56" t="inlineStr">
        <is>
          <t>Amenazada (D.S. 043-2006-AG)</t>
        </is>
      </c>
      <c r="D33" s="56" t="inlineStr">
        <is>
          <t>CR — En Peligro Crítico</t>
        </is>
      </c>
      <c r="E33" s="56" t="n"/>
      <c r="F33" s="56" t="n"/>
      <c r="G33" s="56" t="n"/>
      <c r="H33" s="56" t="inlineStr"/>
    </row>
    <row r="34">
      <c r="A34" s="57" t="inlineStr">
        <is>
          <t>4</t>
        </is>
      </c>
      <c r="B34" s="57" t="inlineStr">
        <is>
          <t>Algarrobo (Neltuma pallida)</t>
        </is>
      </c>
      <c r="C34" s="57" t="inlineStr">
        <is>
          <t>Amenazada (D.S. 043-2006-AG)</t>
        </is>
      </c>
      <c r="D34" s="57" t="inlineStr">
        <is>
          <t>VU — Vulnerable</t>
        </is>
      </c>
      <c r="E34" s="57" t="n"/>
      <c r="F34" s="57" t="n"/>
      <c r="G34" s="57" t="n"/>
      <c r="H34" s="57" t="inlineStr"/>
    </row>
    <row r="35">
      <c r="A35" s="56" t="inlineStr">
        <is>
          <t>5</t>
        </is>
      </c>
      <c r="B35" s="56" t="inlineStr">
        <is>
          <t>Faique (Vachellia macracantha)</t>
        </is>
      </c>
      <c r="C35" s="56" t="inlineStr">
        <is>
          <t>Amenazada (D.S. 043-2006-AG)</t>
        </is>
      </c>
      <c r="D35" s="56" t="inlineStr">
        <is>
          <t>NT — Casi Amenazado</t>
        </is>
      </c>
      <c r="E35" s="56" t="n"/>
      <c r="F35" s="56" t="n"/>
      <c r="G35" s="56" t="n"/>
      <c r="H35" s="56" t="inlineStr"/>
    </row>
    <row r="36">
      <c r="A36" s="57" t="inlineStr">
        <is>
          <t>6</t>
        </is>
      </c>
      <c r="B36" s="57" t="inlineStr">
        <is>
          <t>Ceibo (Ceiba trischistandra)</t>
        </is>
      </c>
      <c r="C36" s="57" t="inlineStr">
        <is>
          <t>Indicadora de buen estado</t>
        </is>
      </c>
      <c r="D36" s="57" t="inlineStr"/>
      <c r="E36" s="57" t="n"/>
      <c r="F36" s="57" t="n"/>
      <c r="G36" s="57" t="n"/>
      <c r="H36" s="57" t="inlineStr">
        <is>
          <t>Categoría bajo D.S. 043-2006-AG POR VERIFICAR.</t>
        </is>
      </c>
    </row>
    <row r="37">
      <c r="A37" s="56" t="inlineStr">
        <is>
          <t>7</t>
        </is>
      </c>
      <c r="B37" s="56" t="inlineStr">
        <is>
          <t>Pasallo (Eriotheca ruizii)</t>
        </is>
      </c>
      <c r="C37" s="56" t="inlineStr">
        <is>
          <t>Indicadora de buen estado</t>
        </is>
      </c>
      <c r="D37" s="56" t="inlineStr"/>
      <c r="E37" s="56" t="n"/>
      <c r="F37" s="56" t="n"/>
      <c r="G37" s="56" t="n"/>
      <c r="H37" s="56" t="inlineStr">
        <is>
          <t>Categoría bajo D.S. 043-2006-AG POR VERIFICAR.</t>
        </is>
      </c>
    </row>
    <row r="38">
      <c r="A38" s="57" t="inlineStr">
        <is>
          <t>8</t>
        </is>
      </c>
      <c r="B38" s="57" t="inlineStr">
        <is>
          <t>Borrachera (Ipomoea carnea)</t>
        </is>
      </c>
      <c r="C38" s="57" t="inlineStr">
        <is>
          <t>Indicadora de perturbación</t>
        </is>
      </c>
      <c r="D38" s="57" t="inlineStr">
        <is>
          <t>No aplica</t>
        </is>
      </c>
      <c r="E38" s="57" t="n"/>
      <c r="F38" s="57" t="n"/>
      <c r="G38" s="57" t="n"/>
      <c r="H38" s="57" t="inlineStr">
        <is>
          <t>Colonizadora de suelos alterados y sobrepastoreados; refuerza el diagnóstico de degradación.</t>
        </is>
      </c>
    </row>
    <row r="40">
      <c r="A40" s="54" t="inlineStr">
        <is>
          <t>F-DT-04 · MATRIZ DE CAUSAS DE DEGRADACIÓN</t>
        </is>
      </c>
    </row>
    <row r="41">
      <c r="A41" s="55" t="inlineStr">
        <is>
          <t>N.o</t>
        </is>
      </c>
      <c r="B41" s="55" t="inlineStr">
        <is>
          <t>Causa</t>
        </is>
      </c>
      <c r="C41" s="55" t="inlineStr">
        <is>
          <t>Presencia</t>
        </is>
      </c>
      <c r="D41" s="55" t="inlineStr">
        <is>
          <t>Intensidad</t>
        </is>
      </c>
      <c r="E41" s="55" t="inlineStr">
        <is>
          <t>Extensión</t>
        </is>
      </c>
      <c r="F41" s="55" t="inlineStr">
        <is>
          <t>Antigüedad</t>
        </is>
      </c>
      <c r="G41" s="55" t="inlineStr">
        <is>
          <t>Evidencia</t>
        </is>
      </c>
    </row>
    <row r="42">
      <c r="A42" s="56" t="inlineStr">
        <is>
          <t>1</t>
        </is>
      </c>
      <c r="B42" s="56" t="inlineStr">
        <is>
          <t>Sobrepastoreo (caprino/vacuno)</t>
        </is>
      </c>
      <c r="C42" s="56" t="inlineStr">
        <is>
          <t>Sí</t>
        </is>
      </c>
      <c r="D42" s="56" t="inlineStr">
        <is>
          <t>Muy fuerte</t>
        </is>
      </c>
      <c r="E42" s="56" t="inlineStr">
        <is>
          <t>95</t>
        </is>
      </c>
      <c r="F42" s="56" t="inlineStr"/>
      <c r="G42" s="56" t="inlineStr">
        <is>
          <t>Red reticulada continua de huellas de ganado sobre la totalidad del poligono (ortofoto RPA 14-08-2026); estrato herbaceo vivo practicamente ausente; regeneracion natural no detectable; pedestales y raices expuestas en la base de los pocos individuos lenosos.</t>
        </is>
      </c>
    </row>
    <row r="43">
      <c r="A43" s="57" t="inlineStr">
        <is>
          <t>2</t>
        </is>
      </c>
      <c r="B43" s="57" t="inlineStr">
        <is>
          <t>Tala para leña</t>
        </is>
      </c>
      <c r="C43" s="57" t="inlineStr"/>
      <c r="D43" s="57" t="inlineStr"/>
      <c r="E43" s="57" t="inlineStr"/>
      <c r="F43" s="57" t="inlineStr"/>
      <c r="G43" s="57" t="inlineStr"/>
    </row>
    <row r="44">
      <c r="A44" s="56" t="inlineStr">
        <is>
          <t>3</t>
        </is>
      </c>
      <c r="B44" s="56" t="inlineStr">
        <is>
          <t>Tala para carbón</t>
        </is>
      </c>
      <c r="C44" s="56" t="inlineStr"/>
      <c r="D44" s="56" t="inlineStr"/>
      <c r="E44" s="56" t="inlineStr"/>
      <c r="F44" s="56" t="inlineStr"/>
      <c r="G44" s="56" t="inlineStr"/>
    </row>
    <row r="45">
      <c r="A45" s="57" t="inlineStr">
        <is>
          <t>4</t>
        </is>
      </c>
      <c r="B45" s="57" t="inlineStr">
        <is>
          <t>Tala para madera</t>
        </is>
      </c>
      <c r="C45" s="57" t="inlineStr"/>
      <c r="D45" s="57" t="inlineStr"/>
      <c r="E45" s="57" t="inlineStr"/>
      <c r="F45" s="57" t="inlineStr"/>
      <c r="G45" s="57" t="inlineStr"/>
    </row>
    <row r="46">
      <c r="A46" s="56" t="inlineStr">
        <is>
          <t>5</t>
        </is>
      </c>
      <c r="B46" s="56" t="inlineStr">
        <is>
          <t>Quema (renovación de pastos)</t>
        </is>
      </c>
      <c r="C46" s="56" t="inlineStr"/>
      <c r="D46" s="56" t="inlineStr"/>
      <c r="E46" s="56" t="inlineStr"/>
      <c r="F46" s="56" t="inlineStr"/>
      <c r="G46" s="56" t="inlineStr"/>
    </row>
    <row r="47">
      <c r="A47" s="57" t="inlineStr">
        <is>
          <t>6</t>
        </is>
      </c>
      <c r="B47" s="57" t="inlineStr">
        <is>
          <t>Quema accidental / Incendio</t>
        </is>
      </c>
      <c r="C47" s="57" t="inlineStr"/>
      <c r="D47" s="57" t="inlineStr"/>
      <c r="E47" s="57" t="inlineStr"/>
      <c r="F47" s="57" t="inlineStr"/>
      <c r="G47" s="57" t="inlineStr"/>
    </row>
    <row r="48">
      <c r="A48" s="56" t="inlineStr">
        <is>
          <t>7</t>
        </is>
      </c>
      <c r="B48" s="56" t="inlineStr">
        <is>
          <t>Cambio de uso a agricultura</t>
        </is>
      </c>
      <c r="C48" s="56" t="inlineStr"/>
      <c r="D48" s="56" t="inlineStr"/>
      <c r="E48" s="56" t="inlineStr"/>
      <c r="F48" s="56" t="inlineStr"/>
      <c r="G48" s="56" t="inlineStr"/>
    </row>
    <row r="49">
      <c r="A49" s="57" t="inlineStr">
        <is>
          <t>8</t>
        </is>
      </c>
      <c r="B49" s="57" t="inlineStr">
        <is>
          <t>Cambio de uso a pastoreo</t>
        </is>
      </c>
      <c r="C49" s="57" t="inlineStr"/>
      <c r="D49" s="57" t="inlineStr"/>
      <c r="E49" s="57" t="inlineStr"/>
      <c r="F49" s="57" t="inlineStr"/>
      <c r="G49" s="57" t="inlineStr"/>
    </row>
    <row r="50">
      <c r="A50" s="56" t="inlineStr">
        <is>
          <t>9</t>
        </is>
      </c>
      <c r="B50" s="56" t="inlineStr">
        <is>
          <t>Expansión urbana / vial</t>
        </is>
      </c>
      <c r="C50" s="56" t="inlineStr">
        <is>
          <t>Sí</t>
        </is>
      </c>
      <c r="D50" s="56" t="inlineStr">
        <is>
          <t>Moderada</t>
        </is>
      </c>
      <c r="E50" s="56" t="inlineStr">
        <is>
          <t>15</t>
        </is>
      </c>
      <c r="F50" s="56" t="inlineStr"/>
      <c r="G50" s="56" t="inlineStr">
        <is>
          <t>Contacto directo por el oeste con el casco urbano del C.P. Dotor y con el predio cercado de la I.E. 'Ricardo Palma Soriano' (losas deportivas y modulos); via afirmada y trochas carrozables en el borde del poligono.</t>
        </is>
      </c>
    </row>
    <row r="51">
      <c r="A51" s="57" t="inlineStr">
        <is>
          <t>10</t>
        </is>
      </c>
      <c r="B51" s="57" t="inlineStr">
        <is>
          <t>Minería informal</t>
        </is>
      </c>
      <c r="C51" s="57" t="inlineStr"/>
      <c r="D51" s="57" t="inlineStr"/>
      <c r="E51" s="57" t="inlineStr"/>
      <c r="F51" s="57" t="inlineStr"/>
      <c r="G51" s="57" t="inlineStr"/>
    </row>
    <row r="52">
      <c r="A52" s="56" t="inlineStr">
        <is>
          <t>11</t>
        </is>
      </c>
      <c r="B52" s="56" t="inlineStr">
        <is>
          <t>Extracción de áridos (cauces)</t>
        </is>
      </c>
      <c r="C52" s="56" t="inlineStr"/>
      <c r="D52" s="56" t="inlineStr"/>
      <c r="E52" s="56" t="inlineStr"/>
      <c r="F52" s="56" t="inlineStr"/>
      <c r="G52" s="56" t="inlineStr"/>
    </row>
    <row r="53">
      <c r="A53" s="57" t="inlineStr">
        <is>
          <t>12</t>
        </is>
      </c>
      <c r="B53" s="57" t="inlineStr">
        <is>
          <t>Especies invasoras</t>
        </is>
      </c>
      <c r="C53" s="57" t="inlineStr"/>
      <c r="D53" s="57" t="inlineStr"/>
      <c r="E53" s="57" t="inlineStr"/>
      <c r="F53" s="57" t="inlineStr"/>
      <c r="G53" s="57" t="inlineStr"/>
    </row>
    <row r="54">
      <c r="A54" s="56" t="inlineStr">
        <is>
          <t>13</t>
        </is>
      </c>
      <c r="B54" s="56" t="inlineStr">
        <is>
          <t>Erosión natural severa</t>
        </is>
      </c>
      <c r="C54" s="56" t="inlineStr"/>
      <c r="D54" s="56" t="inlineStr"/>
      <c r="E54" s="56" t="inlineStr"/>
      <c r="F54" s="56" t="inlineStr"/>
      <c r="G54" s="56" t="inlineStr"/>
    </row>
    <row r="55">
      <c r="A55" s="57" t="inlineStr">
        <is>
          <t>14</t>
        </is>
      </c>
      <c r="B55" s="57" t="inlineStr">
        <is>
          <t>Sequía prolongada / CC</t>
        </is>
      </c>
      <c r="C55" s="57" t="inlineStr"/>
      <c r="D55" s="57" t="inlineStr"/>
      <c r="E55" s="57" t="inlineStr"/>
      <c r="F55" s="57" t="inlineStr"/>
      <c r="G55" s="57" t="inlineStr"/>
    </row>
    <row r="56">
      <c r="A56" s="56" t="inlineStr">
        <is>
          <t>15</t>
        </is>
      </c>
      <c r="B56" s="56" t="inlineStr">
        <is>
          <t>Plagas o enfermedades forestales</t>
        </is>
      </c>
      <c r="C56" s="56" t="inlineStr"/>
      <c r="D56" s="56" t="inlineStr"/>
      <c r="E56" s="56" t="inlineStr"/>
      <c r="F56" s="56" t="inlineStr"/>
      <c r="G56" s="56" t="inlineStr"/>
    </row>
    <row r="57">
      <c r="A57" s="57" t="inlineStr">
        <is>
          <t>16</t>
        </is>
      </c>
      <c r="B57" s="57" t="inlineStr">
        <is>
          <t>Otro</t>
        </is>
      </c>
      <c r="C57" s="57" t="inlineStr"/>
      <c r="D57" s="57" t="inlineStr"/>
      <c r="E57" s="57" t="inlineStr"/>
      <c r="F57" s="57" t="inlineStr"/>
      <c r="G57" s="57" t="inlineStr"/>
    </row>
    <row r="59">
      <c r="A59" s="54" t="inlineStr">
        <is>
          <t>F-DT-04 · INDICADORES CUANTITATIVOS</t>
        </is>
      </c>
    </row>
    <row r="60">
      <c r="A60" s="55" t="inlineStr">
        <is>
          <t>N.o</t>
        </is>
      </c>
      <c r="B60" s="55" t="inlineStr">
        <is>
          <t>Indicador</t>
        </is>
      </c>
      <c r="C60" s="55" t="inlineStr">
        <is>
          <t>Unidad</t>
        </is>
      </c>
      <c r="D60" s="55" t="inlineStr">
        <is>
          <t>Valor</t>
        </is>
      </c>
      <c r="E60" s="55" t="inlineStr">
        <is>
          <t>Fuente</t>
        </is>
      </c>
      <c r="F60" s="55" t="inlineStr">
        <is>
          <t>Umbral</t>
        </is>
      </c>
      <c r="G60" s="55" t="inlineStr">
        <is>
          <t>Nivel</t>
        </is>
      </c>
    </row>
    <row r="61">
      <c r="A61" s="56" t="inlineStr">
        <is>
          <t>1</t>
        </is>
      </c>
      <c r="B61" s="56" t="inlineStr">
        <is>
          <t>Cobertura vegetal total</t>
        </is>
      </c>
      <c r="C61" s="56" t="inlineStr">
        <is>
          <t>%</t>
        </is>
      </c>
      <c r="D61" s="56" t="inlineStr">
        <is>
          <t>7</t>
        </is>
      </c>
      <c r="E61" s="56" t="inlineStr">
        <is>
          <t>Fotointerpretacion ortofoto RPA 14-08-2026 + NDVI mediana 2025</t>
        </is>
      </c>
      <c r="F61" s="56" t="inlineStr">
        <is>
          <t>&gt;60% bueno; 30-60% medio; &lt;30% malo</t>
        </is>
      </c>
      <c r="G61" s="56" t="inlineStr">
        <is>
          <t>Alto</t>
        </is>
      </c>
    </row>
    <row r="62">
      <c r="A62" s="57" t="inlineStr">
        <is>
          <t>2</t>
        </is>
      </c>
      <c r="B62" s="57" t="inlineStr">
        <is>
          <t>Porcentaje de suelo desnudo</t>
        </is>
      </c>
      <c r="C62" s="57" t="inlineStr">
        <is>
          <t>%</t>
        </is>
      </c>
      <c r="D62" s="57" t="inlineStr">
        <is>
          <t>75</t>
        </is>
      </c>
      <c r="E62" s="57" t="inlineStr">
        <is>
          <t>Fotointerpretacion ortofoto RPA 14-08-2026</t>
        </is>
      </c>
      <c r="F62" s="57" t="inlineStr">
        <is>
          <t>&lt;10% bueno; 10-30% medio; &gt;30% malo</t>
        </is>
      </c>
      <c r="G62" s="57" t="inlineStr">
        <is>
          <t>Alto</t>
        </is>
      </c>
    </row>
    <row r="63">
      <c r="A63" s="56" t="inlineStr">
        <is>
          <t>3</t>
        </is>
      </c>
      <c r="B63" s="56" t="inlineStr">
        <is>
          <t>Densidad de cárcavas</t>
        </is>
      </c>
      <c r="C63" s="56" t="inlineStr">
        <is>
          <t>N°/ha</t>
        </is>
      </c>
      <c r="D63" s="56" t="inlineStr"/>
      <c r="E63" s="56" t="inlineStr">
        <is>
          <t>POR VERIFICAR - inventario de carcavas no ejecutado</t>
        </is>
      </c>
      <c r="F63" s="56" t="inlineStr">
        <is>
          <t>0 nulo; 1-3 medio; &gt;3 alto</t>
        </is>
      </c>
      <c r="G63" s="56" t="inlineStr"/>
    </row>
    <row r="64">
      <c r="A64" s="57" t="inlineStr">
        <is>
          <t>4</t>
        </is>
      </c>
      <c r="B64" s="57" t="inlineStr">
        <is>
          <t>Presencia de especies invasoras</t>
        </is>
      </c>
      <c r="C64" s="57" t="inlineStr">
        <is>
          <t>% área</t>
        </is>
      </c>
      <c r="D64" s="57" t="inlineStr"/>
      <c r="E64" s="57" t="inlineStr">
        <is>
          <t>POR VERIFICAR - no evaluado</t>
        </is>
      </c>
      <c r="F64" s="57" t="inlineStr">
        <is>
          <t>&lt;5% bueno; 5-20% medio; &gt;20% alto</t>
        </is>
      </c>
      <c r="G64" s="57" t="inlineStr"/>
    </row>
    <row r="65">
      <c r="A65" s="56" t="inlineStr">
        <is>
          <t>5</t>
        </is>
      </c>
      <c r="B65" s="56" t="inlineStr">
        <is>
          <t>Carga ganadera estimada</t>
        </is>
      </c>
      <c r="C65" s="56" t="inlineStr">
        <is>
          <t>UA/ha</t>
        </is>
      </c>
      <c r="D65" s="56" t="inlineStr"/>
      <c r="E65" s="56" t="inlineStr">
        <is>
          <t>POR VERIFICAR - requiere encuesta a tenedores de ganado</t>
        </is>
      </c>
      <c r="F65" s="56" t="inlineStr">
        <is>
          <t>Según tipo de ecosistema</t>
        </is>
      </c>
      <c r="G65" s="56" t="inlineStr"/>
    </row>
    <row r="66">
      <c r="A66" s="57" t="inlineStr">
        <is>
          <t>6</t>
        </is>
      </c>
      <c r="B66" s="57" t="inlineStr">
        <is>
          <t>Frecuencia de quemas últimos 5 años</t>
        </is>
      </c>
      <c r="C66" s="57" t="inlineStr">
        <is>
          <t>N°</t>
        </is>
      </c>
      <c r="D66" s="57" t="inlineStr"/>
      <c r="E66" s="57" t="inlineStr">
        <is>
          <t>POR VERIFICAR - requiere serie de cicatrices de quema</t>
        </is>
      </c>
      <c r="F66" s="57" t="inlineStr">
        <is>
          <t>0 nulo; 1-2 medio; &gt;2 alto</t>
        </is>
      </c>
      <c r="G66" s="57" t="inlineStr"/>
    </row>
    <row r="67">
      <c r="A67" s="56" t="inlineStr">
        <is>
          <t>7</t>
        </is>
      </c>
      <c r="B67" s="56" t="inlineStr">
        <is>
          <t>% área con pendiente &gt;50%</t>
        </is>
      </c>
      <c r="C67" s="56" t="inlineStr">
        <is>
          <t>%</t>
        </is>
      </c>
      <c r="D67" s="56" t="inlineStr"/>
      <c r="E67" s="56" t="inlineStr">
        <is>
          <t>POR VERIFICAR - estadistica zonal DEM no disponible para el bloque 85</t>
        </is>
      </c>
      <c r="F67" s="56" t="inlineStr">
        <is>
          <t>Factor de susceptibilidad</t>
        </is>
      </c>
      <c r="G67" s="56" t="inlineStr"/>
    </row>
    <row r="68">
      <c r="A68" s="57" t="inlineStr">
        <is>
          <t>8</t>
        </is>
      </c>
      <c r="B68" s="57" t="inlineStr">
        <is>
          <t>Distancia a vía vecinal más cercana</t>
        </is>
      </c>
      <c r="C68" s="57" t="inlineStr">
        <is>
          <t>m</t>
        </is>
      </c>
      <c r="D68" s="57" t="inlineStr">
        <is>
          <t>0</t>
        </is>
      </c>
      <c r="E68" s="57" t="inlineStr">
        <is>
          <t>El casco urbano de Dotor y la via afirmada colindan con el bloque</t>
        </is>
      </c>
      <c r="F68" s="57" t="inlineStr">
        <is>
          <t>A menor distancia → mayor presión</t>
        </is>
      </c>
      <c r="G68" s="57" t="inlineStr">
        <is>
          <t>Alto</t>
        </is>
      </c>
    </row>
    <row r="70">
      <c r="A70" s="54" t="inlineStr">
        <is>
          <t>F-DT-05 · FUENTES DE AGUA INVENTARIADAS</t>
        </is>
      </c>
    </row>
    <row r="71">
      <c r="A71" s="55" t="inlineStr">
        <is>
          <t>N.o</t>
        </is>
      </c>
      <c r="B71" s="55" t="inlineStr">
        <is>
          <t>Tipo de fuente</t>
        </is>
      </c>
      <c r="C71" s="55" t="inlineStr">
        <is>
          <t>UTM ESTE</t>
        </is>
      </c>
      <c r="D71" s="55" t="inlineStr">
        <is>
          <t>UTM NORTE</t>
        </is>
      </c>
      <c r="E71" s="55" t="inlineStr">
        <is>
          <t>Régimen</t>
        </is>
      </c>
      <c r="F71" s="55" t="inlineStr">
        <is>
          <t>Calidad</t>
        </is>
      </c>
      <c r="G71" s="55" t="inlineStr">
        <is>
          <t>Distancia (m)</t>
        </is>
      </c>
      <c r="H71" s="55" t="inlineStr">
        <is>
          <t>Uso / observación</t>
        </is>
      </c>
    </row>
    <row r="72">
      <c r="A72" s="56" t="inlineStr">
        <is>
          <t>1</t>
        </is>
      </c>
      <c r="B72" s="56" t="inlineStr">
        <is>
          <t>Canal de riego</t>
        </is>
      </c>
      <c r="C72" s="61" t="n">
        <v>642184</v>
      </c>
      <c r="D72" s="61" t="n">
        <v>9410274</v>
      </c>
      <c r="E72" s="56" t="inlineStr">
        <is>
          <t>Permanente</t>
        </is>
      </c>
      <c r="F72" s="56" t="inlineStr"/>
      <c r="G72" s="56" t="n"/>
      <c r="H72" s="56" t="inlineStr">
        <is>
          <t>Canal de conduccion que discurre por el fondo de valle al suroeste, asociado al sector Nueva Esperanza. Registrado en ortofoto RPA (DJI_0666, DJI_0720). Distancia al bloque 85 POR VERIFICAR; regimen y calidad no evaluados.</t>
        </is>
      </c>
    </row>
    <row r="75">
      <c r="A75" s="54" t="inlineStr">
        <is>
          <t>OBSERVACIONES DEL EVALUADOR POR FICHA</t>
        </is>
      </c>
    </row>
    <row r="76">
      <c r="A76" s="55" t="inlineStr">
        <is>
          <t>Ficha</t>
        </is>
      </c>
      <c r="B76" s="55" t="inlineStr">
        <is>
          <t>Observación registrada en campo</t>
        </is>
      </c>
    </row>
    <row r="77">
      <c r="A77" s="56" t="inlineStr">
        <is>
          <t>F-DT-01</t>
        </is>
      </c>
      <c r="B77" s="56" t="inlineStr">
        <is>
          <t>ALCANCE DE LA EVIDENCIA. El bloque 85 NO cuenta con fichas F-DT-01 a F-DT-05 levantadas en campo. La informacion consignada procede de: (i) levantamiento fotogrametrico con RPA (dron) del 14-08-2026, 13 fotogramas cenitales georreferenciados por EXIF sobre el ambito de los bloques 85-87; (ii) cartografia tematica NDVI mediana 2025 y MSAVI 2024 (Sentinel-2); (iii) imagen Google Earth / Airbus del 09-11-2023 y perfil de elevacion. Ningun campo ha sido estimado sin sustento documental. BLOQUE FUERA DEL CATALOGO MAESTRO. El bloque 85 no figura en la tabla auxiliar 'Bloques V4' (127 registros) ni en el catalogo Bloques V5. Solo aparece en el REPORTE_BLOQUES_V6 y en la capa cartografica rotulada 'Bloques extras'. Para habilitar los VLOOKUP de esta plantilla se anadio un registro con centroide obtenido por restitucion cartografica (E 642 180 / N 9 411 020, aproximado +/- 25 m). NO se ha modificado ninguna fuente primaria del proyecto. ALTITUD GPS EN BLANCO. La altitud registrada en el EXIF de los fotogramas (393 msnm) corresponde a la cota absoluta de la aeronave y no al terreno. La cota del terreno se situa en torno a 266 msnm segun Google Earth; se deja el campo vacio por no disponer de medicion GPS a nivel de suelo. PENDIENTE. La clase '8-15%' deriva de un unico transecto de 171 m (desnivel +6.4 / -10.6 m). POR VERIFICAR mediante estadistica zonal del DEM sobre el poligono. REPTACION. Se consigna 'Si' por la presencia generalizada de terracetas y microescalones de pisoteo visibles en la ortofoto; su origen es mixto (pisoteo + reptacion superficial) y requiere verificacion en campo. CAMPOS EN BLANCO: hora exacta de cada fotograma; altitud GPS de terreno; comunidad campesina.</t>
        </is>
      </c>
    </row>
    <row r="78">
      <c r="A78" s="57" t="inlineStr">
        <is>
          <t>F-DT-02</t>
        </is>
      </c>
      <c r="B78" s="57" t="inlineStr">
        <is>
          <t>SUSTENTO DE LA CALIFICACION. El nivel 'Fuerte (carcavas incipientes)' se deriva de fotointerpretacion de la ortofoto RPA del 14-08-2026 y no de medicion directa. Evidencias: (i) red reticulada de huellas de ganado continua sobre la totalidad de la ladera, que opera como surcos preferenciales; (ii) incisiones lineales convergentes de aspecto acarcavado en el flanco oriental del predio de la I.E. (fotograma DJI_0625); (iii) pavimento de gravas y remocion selectiva de la fraccion fina; (iv) ausencia total de estrato herbaceo protector. EROSION LAMINAR 85%. Cifra estimada por fotointerpretacion, concordante con el dominio de la clase MSAVI &lt;= 0.2650 en practicamente todo el poligono y con el 59.5% de la superficie clasificada como 'Tierra desnuda' en el NDVI mediana 2025. INVENTARIO DE CARCAVAS NO EJECUTADO. Las filas 22-31 se dejan vacias. No se dispone de recorrido de campo ni de mediciones de longitud, profundidad y ancho. La ausencia de registro NO equivale a ausencia del proceso. Quedan en blanco: numero total de carcavas, longitud total, porcentaje afectado, patron dominante y socavamiento de cauce. PRIORIDAD DE VERIFICACION: (a) transectos perpendiculares a las huellas de ganado para medir profundidad de incision; (b) inventario georreferenciado de las incisiones del flanco oriental de la I.E.; (c) calicata para caracterizar profundidad efectiva y pedregosidad.</t>
        </is>
      </c>
    </row>
    <row r="79">
      <c r="A79" s="56" t="inlineStr">
        <is>
          <t>F-DT-03</t>
        </is>
      </c>
      <c r="B79" s="56" t="inlineStr">
        <is>
          <t>ESTADO EXTREMO DE DEGRADACION. Con un MSAVI 2024 de 0.2289 el bloque 85 registra el valor MAS BAJO del universo de 129 bloques del REPORTE_BLOQUES_V6, cuya media es 0.4909. La clasificacion NDVI mediana 2025 sobre el poligono arroja: Tierra desnuda 59.5%, Vegetacion ligera 39.6%, Vegetacion mediana 0.9%, Vegetacion alta 0.0%. Ambos indices coinciden en el diagnostico pese a corresponder a anos y esquemas de clasificacion distintos. ORIGEN DE LA LISTA FLORISTICA. Las 12 especies corresponden a la relacion de especies representativas comunicada por la Subdireccion para el ambito de los bloques 85-87 (microcuenca C1081-Q9583), homologa a la registrada para el bloque 87 contiguo. NO proceden de un muestreo por parcela: no se consignan abundancia relativa, DAP ni altura, por carecer de transectos. Las determinaciones son PRELIMINARES y estan sujetas a colecta y determinacion botanica formal. El estrato indicado corresponde al habito tipico de cada especie en bosque estacionalmente seco, no al estrato en que fue efectivamente registrada. CATEGORIAS DE AMENAZA. Se consignan unicamente las cinco categorias con precedente establecido en el proyecto (Hualtaco CR, Sapote CR, Palo santo CR, Algarrobo VU, Faique NT). Ceibo, Pasallo, Charan y Frijolillo quedan SIN CATEGORIA por no haberse podido verificar su condicion bajo el D.S. 043-2006-AG. COORDENADAS DE ESPECIES CLAVE EN BLANCO. No se georreferencio ningun individuo: la resolucion de la ortofoto no permite determinacion taxonomica y no hubo recorrido de campo. COBERTURAS. Los porcentajes son estimaciones por fotointerpretacion de ortofoto RPA de agosto 2026 y de la clasificacion NDVI 2025; no son mediciones de campo. Suman 100%. CAUTELA ESTACIONAL MSAVI. El Bes-cm es caducifolio: las escenas Sentinel-2 obtenidas fuera de la estacion humeda (enero-abril) subestiman de forma sistematica la cobertura lenosa real, por lo que valores bajos de MSAVI no implican necesariamente degradacion. En este ambito, sin embargo, la ortofoto RPA del 14-08-2026 corrobora de forma independiente una cobertura lenosa muy baja, por lo que los valores no se consideran un artefacto estacional. CLASIFICACION DEL ECOSISTEMA. La asignacion Bes-cm se sustenta en la composicion floristica, el rango altitudinal (245-360 msnm) y la morfologia de lomada de piedemonte. POR VERIFICAR mediante interseccion con el Mapa Nacional de Ecosistemas del MINAM; el contacto con el Bes de llanura del valle del rio Bigote es proximo. CAMPOS EN BLANCO: parcela de muestreo y dimensiones; pendiente de parcela; altitud; coordenadas de esquina; altura del estrato dominante; altura maxima; DAP promedio.</t>
        </is>
      </c>
    </row>
    <row r="80">
      <c r="A80" s="57" t="inlineStr">
        <is>
          <t>F-DT-04</t>
        </is>
      </c>
      <c r="B80" s="57" t="inlineStr">
        <is>
          <t>VELOCIDAD DE DEGRADACION EN BLANCO. No se dispone de la serie temporal Theil-Sen (TAU) ni de MSAVI multianual para el bloque 85, por lo que no es posible calificar la tendencia. La comparacion entre el NDVI mediana 2025 y el MSAVI 2024 no permite inferir tendencia: son indices, anos y esquemas de clasificacion distintos. INDICADORES SIN VALOR. Densidad de carcavas, especies invasoras, carga ganadera, frecuencia de quemas y porcentaje de area con pendiente &gt; 50% quedan POR VERIFICAR por no existir levantamiento de campo ni estadistica zonal del DEM para este bloque. CAUSAS NO EVALUADAS. Tala para lena, carbon y madera; quemas; mineria informal; extraccion de aridos; especies invasoras; plagas forestales. La no consignacion NO equivale a ausencia: no fueron objeto de verificacion. CONGLOMERADO DE BLOQUES DEGRADADOS. Los bloques 83 a 87 (San Juan de Bigote, microcuenca C1081-Q9583) presentan los MSAVI mas bajos del proyecto: 0.3055, 0.2516, 0.2289, 0.2735 y 0.2487. Se recomienda tratarlos como una unidad de manejo continua y no como bloques aislados.</t>
        </is>
      </c>
    </row>
    <row r="81">
      <c r="A81" s="56" t="inlineStr">
        <is>
          <t>F-DT-05</t>
        </is>
      </c>
      <c r="B81" s="56" t="inlineStr">
        <is>
          <t>RECURSOS HIDRICOS. NO se identificaron fuentes de agua dentro del poligono del bloque 85 ni en su contorno inmediato. La unica entrada del inventario corresponde al canal de riego del fondo de valle, registrado a titulo referencial. El inventario NO fue levantado en campo: regimen, calidad, caudal y distancias quedan POR VERIFICAR. ESCORRENTIA CONCENTRADA. Se consigna 'Si' por la red de huellas de ganado que canaliza el flujo laminar hacia el borde occidental, es decir, HACIA el casco urbano de Dotor y el predio de la I.E. Esta condicion convierte al bloque en una fuente activa de peligro para elementos expuestos inmediatos. ACCESIBILIDAD. Es la condicion mas favorable del bloque: la via afirmada de acceso a Dotor bordea el limite occidental y la distancia a via vecinal es practicamente nula. La contrapartida es que esa misma accesibilidad explica la presion de pastoreo; toda medida de clausura debera dimensionar el control de accesos y la concertacion con la poblacion de Dotor. CAMPOS EN BLANCO: transitabilidad en epoca lluviosa; tiempos de viaje; senal celular y operador; alojamiento rural; autorizacion y contacto de Ronda Campesina; distancia a captacion poblacional; JASS asociada. Requieren verificacion en campo o consulta a la Subdireccion.</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99"/>
  <sheetViews>
    <sheetView workbookViewId="0">
      <selection activeCell="A1" sqref="A1"/>
    </sheetView>
  </sheetViews>
  <sheetFormatPr baseColWidth="8" defaultRowHeight="15"/>
  <cols>
    <col width="44" customWidth="1" min="1" max="1"/>
    <col width="18" customWidth="1" min="2" max="2"/>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GRÁFICOS DE LA INTEGRACIÓN — BLOQUE 85</t>
        </is>
      </c>
    </row>
    <row r="7">
      <c r="A7" s="54" t="inlineStr">
        <is>
          <t>Hechos declarados por fuente</t>
        </is>
      </c>
    </row>
    <row r="8">
      <c r="A8" s="55" t="inlineStr">
        <is>
          <t>Fuente</t>
        </is>
      </c>
      <c r="B8" s="55" t="inlineStr">
        <is>
          <t>Hechos</t>
        </is>
      </c>
    </row>
    <row r="9">
      <c r="A9" s="56" t="inlineStr">
        <is>
          <t>Dato de campo</t>
        </is>
      </c>
      <c r="B9" s="56" t="n">
        <v>52</v>
      </c>
    </row>
    <row r="10">
      <c r="A10" s="57" t="inlineStr">
        <is>
          <t>Gabinete (GIS / teledetección)</t>
        </is>
      </c>
      <c r="B10" s="57" t="n">
        <v>27</v>
      </c>
    </row>
    <row r="11">
      <c r="A11" s="56" t="inlineStr">
        <is>
          <t>Fuente oficial</t>
        </is>
      </c>
      <c r="B11" s="56" t="n">
        <v>14</v>
      </c>
    </row>
    <row r="28">
      <c r="A28" s="54" t="inlineStr">
        <is>
          <t>Estado del cruce entre fuentes</t>
        </is>
      </c>
    </row>
    <row r="29">
      <c r="A29" s="55" t="inlineStr">
        <is>
          <t>Estado</t>
        </is>
      </c>
      <c r="B29" s="55" t="inlineStr">
        <is>
          <t>Hechos</t>
        </is>
      </c>
    </row>
    <row r="30">
      <c r="A30" s="56" t="inlineStr">
        <is>
          <t>CONFORME</t>
        </is>
      </c>
      <c r="B30" s="56" t="n">
        <v>88</v>
      </c>
    </row>
    <row r="31">
      <c r="A31" s="57" t="inlineStr">
        <is>
          <t>COMPLEMENTADO</t>
        </is>
      </c>
      <c r="B31" s="57" t="n">
        <v>5</v>
      </c>
    </row>
    <row r="32">
      <c r="A32" s="56" t="inlineStr">
        <is>
          <t>ACTUALIZADO</t>
        </is>
      </c>
      <c r="B32" s="56" t="n">
        <v>0</v>
      </c>
    </row>
    <row r="33">
      <c r="A33" s="57" t="inlineStr">
        <is>
          <t>DISCREPANTE</t>
        </is>
      </c>
      <c r="B33" s="57" t="n">
        <v>0</v>
      </c>
    </row>
    <row r="34">
      <c r="A34" s="56" t="inlineStr">
        <is>
          <t>PENDIENTE</t>
        </is>
      </c>
      <c r="B34" s="56" t="n">
        <v>21</v>
      </c>
    </row>
    <row r="51">
      <c r="A51" s="54" t="inlineStr">
        <is>
          <t>Cobertura por estrato — campo (%)</t>
        </is>
      </c>
    </row>
    <row r="52">
      <c r="A52" s="55" t="inlineStr">
        <is>
          <t>Estrato</t>
        </is>
      </c>
      <c r="B52" s="55" t="inlineStr">
        <is>
          <t>% del área</t>
        </is>
      </c>
    </row>
    <row r="53">
      <c r="A53" s="56" t="inlineStr">
        <is>
          <t>Dosel</t>
        </is>
      </c>
      <c r="B53" s="62" t="n">
        <v>4</v>
      </c>
    </row>
    <row r="54">
      <c r="A54" s="57" t="inlineStr">
        <is>
          <t>Arbustiva</t>
        </is>
      </c>
      <c r="B54" s="63" t="n">
        <v>2</v>
      </c>
    </row>
    <row r="55">
      <c r="A55" s="56" t="inlineStr">
        <is>
          <t>Herbácea</t>
        </is>
      </c>
      <c r="B55" s="62" t="n">
        <v>1</v>
      </c>
    </row>
    <row r="56">
      <c r="A56" s="57" t="inlineStr">
        <is>
          <t>Hojarasca</t>
        </is>
      </c>
      <c r="B56" s="64" t="n">
        <v>18</v>
      </c>
    </row>
    <row r="57">
      <c r="A57" s="56" t="inlineStr">
        <is>
          <t>Suelo desnudo</t>
        </is>
      </c>
      <c r="B57" s="61" t="n">
        <v>75</v>
      </c>
    </row>
    <row r="74">
      <c r="A74" s="54" t="inlineStr">
        <is>
          <t>Causas activas de degradación (F-DT-04)</t>
        </is>
      </c>
    </row>
    <row r="75">
      <c r="A75" s="55" t="inlineStr">
        <is>
          <t>Causa</t>
        </is>
      </c>
      <c r="B75" s="55" t="inlineStr">
        <is>
          <t>Intensidad (1 ligera - 4 muy fuerte)</t>
        </is>
      </c>
    </row>
    <row r="76">
      <c r="A76" s="56" t="inlineStr">
        <is>
          <t>Sobrepastoreo (caprino/vacuno)</t>
        </is>
      </c>
      <c r="B76" s="56" t="n">
        <v>4</v>
      </c>
    </row>
    <row r="77">
      <c r="A77" s="57" t="inlineStr">
        <is>
          <t>Expansión urbana / vial</t>
        </is>
      </c>
      <c r="B77" s="57" t="n">
        <v>2</v>
      </c>
    </row>
    <row r="94">
      <c r="A94" s="54" t="inlineStr">
        <is>
          <t>Control de consistencia por calificación</t>
        </is>
      </c>
    </row>
    <row r="95">
      <c r="A95" s="55" t="inlineStr">
        <is>
          <t>Calificación</t>
        </is>
      </c>
      <c r="B95" s="55" t="inlineStr">
        <is>
          <t>Verificaciones</t>
        </is>
      </c>
    </row>
    <row r="96">
      <c r="A96" s="56" t="inlineStr">
        <is>
          <t>SUSTANTIVA</t>
        </is>
      </c>
      <c r="B96" s="56" t="n">
        <v>7</v>
      </c>
    </row>
    <row r="97">
      <c r="A97" s="57" t="inlineStr">
        <is>
          <t>NO SUSTANTIVA</t>
        </is>
      </c>
      <c r="B97" s="57" t="n">
        <v>4</v>
      </c>
    </row>
    <row r="98">
      <c r="A98" s="56" t="inlineStr">
        <is>
          <t>CORREGIDO</t>
        </is>
      </c>
      <c r="B98" s="56" t="n">
        <v>0</v>
      </c>
    </row>
    <row r="99">
      <c r="A99" s="57" t="inlineStr">
        <is>
          <t>CONFORME</t>
        </is>
      </c>
      <c r="B99" s="57" t="n">
        <v>10</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85 — IN Piura</dc:title>
  <dc:subject>Diagnóstico Territorial por bloque de intervención</dc:subject>
  <dcterms:created xsi:type="dcterms:W3CDTF">2026-09-08T03:40:00Z</dcterms:created>
  <dcterms:modified xsi:type="dcterms:W3CDTF">2026-09-11T20:22:34Z</dcterms:modified>
</cp:coreProperties>
</file>