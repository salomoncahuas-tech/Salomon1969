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integración'!B52</f>
            </strRef>
          </tx>
          <spPr>
            <a:ln>
              <a:prstDash val="solid"/>
            </a:ln>
          </spPr>
          <cat>
            <numRef>
              <f>'Gráficos de integración'!$A$53:$A$59</f>
            </numRef>
          </cat>
          <val>
            <numRef>
              <f>'Gráficos de integración'!$B$53:$B$59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integración'!B77</f>
            </strRef>
          </tx>
          <spPr>
            <a:ln>
              <a:prstDash val="solid"/>
            </a:ln>
          </spPr>
          <cat>
            <numRef>
              <f>'Gráficos de integración'!$A$78:$A$81</f>
            </numRef>
          </cat>
          <val>
            <numRef>
              <f>'Gráficos de integración'!$B$78:$B$81</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76</row>
      <rowOff>0</rowOff>
    </from>
    <ext cx="4320000" cy="288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80</t>
        </is>
      </c>
    </row>
    <row r="6" ht="24" customHeight="1">
      <c r="A6" s="4" t="inlineStr">
        <is>
          <t>Diagnóstico Territorial — Plantilla DT Campo Check Validada V5 | Sistema de referencia: UTM WGS 84 Zona 17S (EPSG:32717) · Integrado con la ficha de campo F-DT vigente (Plantilla_DT_Campo_Bloque80_IN_Piura.xlsx) — V7 - resumen V6 + campo F-DT integrado</t>
        </is>
      </c>
    </row>
    <row r="7"/>
    <row r="8" ht="18" customHeight="1">
      <c r="A8" s="5" t="inlineStr">
        <is>
          <t>1. IDENTIFICACIÓN Y LOCALIZACIÓN</t>
        </is>
      </c>
    </row>
    <row r="9">
      <c r="A9" s="6" t="inlineStr">
        <is>
          <t>Código del bloque</t>
        </is>
      </c>
      <c r="B9" s="7" t="inlineStr">
        <is>
          <t>80</t>
        </is>
      </c>
      <c r="C9" s="6" t="inlineStr">
        <is>
          <t>Microcuenca (catálogo)</t>
        </is>
      </c>
      <c r="D9" s="7" t="inlineStr">
        <is>
          <t>C1076-Q9593</t>
        </is>
      </c>
      <c r="E9" s="8" t="n"/>
      <c r="F9" s="8" t="n"/>
    </row>
    <row r="10">
      <c r="A10" s="6" t="inlineStr">
        <is>
          <t>Zona de planificación</t>
        </is>
      </c>
      <c r="B10" s="7" t="inlineStr">
        <is>
          <t>Z14</t>
        </is>
      </c>
      <c r="C10" s="6" t="inlineStr">
        <is>
          <t>Microcuenca declarada en ficha DT</t>
        </is>
      </c>
      <c r="D10" s="7" t="inlineStr">
        <is>
          <t>C1076-Q9593</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Yumbe · Cruz Roja</t>
        </is>
      </c>
      <c r="C13" s="6" t="inlineStr">
        <is>
          <t>Comunidad campesina</t>
        </is>
      </c>
      <c r="D13" s="7" t="inlineStr">
        <is>
          <t>Por verificar</t>
        </is>
      </c>
      <c r="E13" s="8" t="n"/>
      <c r="F13" s="8" t="n"/>
    </row>
    <row r="14">
      <c r="A14" s="6" t="inlineStr">
        <is>
          <t>Superficie de catálogo (V5/V6), ha</t>
        </is>
      </c>
      <c r="B14" s="7" t="n">
        <v>28.83</v>
      </c>
      <c r="C14" s="6" t="inlineStr">
        <is>
          <t>Fuente de superficie</t>
        </is>
      </c>
      <c r="D14" s="7" t="inlineStr">
        <is>
          <t>Catálogo maestro Bloques V5/V6</t>
        </is>
      </c>
      <c r="E14" s="8" t="n"/>
      <c r="F14" s="8" t="n"/>
    </row>
    <row r="15">
      <c r="A15" s="6" t="inlineStr">
        <is>
          <t>Centroide UTM ESTE (m)</t>
        </is>
      </c>
      <c r="B15" s="7" t="n">
        <v>657160</v>
      </c>
      <c r="C15" s="6" t="inlineStr">
        <is>
          <t>Centroide UTM NORTE (m)</t>
        </is>
      </c>
      <c r="D15" s="7" t="n">
        <v>9373050</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2180</v>
      </c>
      <c r="C19" s="6" t="inlineStr">
        <is>
          <t>Altitud máxima (msnm)</t>
        </is>
      </c>
      <c r="D19" s="7" t="n">
        <v>2491</v>
      </c>
      <c r="E19" s="8" t="n"/>
      <c r="F19" s="8" t="n"/>
    </row>
    <row r="20">
      <c r="A20" s="6" t="inlineStr">
        <is>
          <t>Amplitud altitudinal (m)</t>
        </is>
      </c>
      <c r="B20" s="7" t="n">
        <v>311</v>
      </c>
      <c r="C20" s="6" t="inlineStr">
        <is>
          <t>Piso altitudinal dominante</t>
        </is>
      </c>
      <c r="D20" s="7" t="inlineStr">
        <is>
          <t>2000-2500 m (Quechua alta)</t>
        </is>
      </c>
      <c r="E20" s="8" t="n"/>
      <c r="F20" s="8" t="n"/>
    </row>
    <row r="21">
      <c r="A21" s="6" t="inlineStr">
        <is>
          <t>Pendiente promedio (%)</t>
        </is>
      </c>
      <c r="B21" s="7" t="n">
        <v>32.9</v>
      </c>
      <c r="C21" s="6" t="inlineStr">
        <is>
          <t>Pendiente promedio (grados)</t>
        </is>
      </c>
      <c r="D21" s="7" t="n">
        <v>18.2</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0.5931</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(78.73 %)</t>
        </is>
      </c>
      <c r="E29" s="8" t="n"/>
      <c r="F29" s="8" t="n"/>
    </row>
    <row r="30">
      <c r="A30" s="6" t="inlineStr">
        <is>
          <t>Superficie clasificada NDVI 2025 (ha)</t>
        </is>
      </c>
      <c r="B30" s="7" t="n">
        <v>28.835</v>
      </c>
      <c r="C30" s="6" t="inlineStr">
        <is>
          <t>Desviación frente al catálogo (%)</t>
        </is>
      </c>
      <c r="D30" s="7" t="n">
        <v>0.02</v>
      </c>
      <c r="E30" s="8" t="n"/>
      <c r="F30" s="8" t="n"/>
    </row>
    <row r="31">
      <c r="A31" s="6" t="inlineStr">
        <is>
          <t>Superficie clasificada MSAVI 2024 (ha)</t>
        </is>
      </c>
      <c r="B31" s="38" t="n">
        <v>28.83</v>
      </c>
      <c r="C31" s="6" t="inlineStr">
        <is>
          <t>Desviación MSAVI frente al catálogo (%)</t>
        </is>
      </c>
      <c r="D31" s="39" t="n">
        <v>0</v>
      </c>
      <c r="E31" s="8" t="n"/>
      <c r="F31" s="8" t="n"/>
    </row>
    <row r="32">
      <c r="A32" s="6" t="inlineStr">
        <is>
          <t>Superficie bajo umbral MSAVI 0.4976 (ha)</t>
        </is>
      </c>
      <c r="B32" s="38" t="n">
        <v>4.868</v>
      </c>
      <c r="C32" s="6" t="inlineStr">
        <is>
          <t>% del bloque bajo umbral (brecha espectral)</t>
        </is>
      </c>
      <c r="D32" s="39" t="n">
        <v>16.88</v>
      </c>
      <c r="E32" s="8" t="n"/>
      <c r="F32" s="8" t="n"/>
    </row>
    <row r="33">
      <c r="A33" s="6" t="inlineStr">
        <is>
          <t>Clase DN dominante (MSAVI 2024)</t>
        </is>
      </c>
      <c r="B33" s="7" t="inlineStr">
        <is>
          <t>DN 5 · &gt; 0.6139 (Vigor alto)</t>
        </is>
      </c>
      <c r="C33" s="6" t="inlineStr">
        <is>
          <t>N.° de polígonos MSAVI del bloque</t>
        </is>
      </c>
      <c r="D33" s="40" t="n">
        <v>150</v>
      </c>
      <c r="E33" s="8" t="n"/>
      <c r="F33" s="8" t="n"/>
    </row>
    <row r="34"/>
    <row r="35" ht="18" customHeight="1">
      <c r="A35" s="5" t="inlineStr">
        <is>
          <t>4. ECOSISTEMA Y ESTADO DE CONSERVACIÓN</t>
        </is>
      </c>
    </row>
    <row r="36">
      <c r="A36" s="6" t="inlineStr">
        <is>
          <t>Tipo de ecosistema (UP)</t>
        </is>
      </c>
      <c r="B36" s="7" t="inlineStr">
        <is>
          <t>Matorral Andino subhúmedo (lectura de campo; confrontar con REPORTE_ECOSISTEMAS_BLOQUES_V5)</t>
        </is>
      </c>
      <c r="C36" s="6" t="inlineStr">
        <is>
          <t>Superficie de ecosistema (ha)</t>
        </is>
      </c>
      <c r="D36" s="7" t="inlineStr">
        <is>
          <t>Por determinar</t>
        </is>
      </c>
      <c r="E36" s="8" t="n"/>
      <c r="F36" s="8" t="n"/>
    </row>
    <row r="37">
      <c r="A37" s="6" t="inlineStr">
        <is>
          <t>Estado de conservación</t>
        </is>
      </c>
      <c r="B37" s="7" t="inlineStr">
        <is>
          <t>Alterado (intervención marcada)</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inlineStr">
        <is>
          <t>Por determinar</t>
        </is>
      </c>
      <c r="E38" s="8" t="n"/>
      <c r="F38" s="8" t="n"/>
    </row>
    <row r="39">
      <c r="A39" s="6" t="inlineStr">
        <is>
          <t>Suelo desnudo — campo (%)</t>
        </is>
      </c>
      <c r="B39" s="50" t="inlineStr">
        <is>
          <t>En blanco (no verificado)</t>
        </is>
      </c>
      <c r="C39" s="6" t="inlineStr">
        <is>
          <t>Regeneración natural</t>
        </is>
      </c>
      <c r="D39" s="50" t="inlineStr">
        <is>
          <t>En blanco (no verificado)</t>
        </is>
      </c>
      <c r="E39" s="8" t="n"/>
      <c r="F39" s="8" t="n"/>
    </row>
    <row r="40">
      <c r="A40" s="6" t="inlineStr">
        <is>
          <t>Nivel general de erosión</t>
        </is>
      </c>
      <c r="B40" s="7" t="inlineStr">
        <is>
          <t>Severa (cárcavas activas) — síntesis: Fuerte (cárcavas incipientes)</t>
        </is>
      </c>
      <c r="C40" s="6" t="inlineStr">
        <is>
          <t>N.° de cárcavas registradas</t>
        </is>
      </c>
      <c r="D40" s="7" t="n">
        <v>1</v>
      </c>
      <c r="E40" s="8" t="n"/>
      <c r="F40" s="8" t="n"/>
    </row>
    <row r="41">
      <c r="A41" s="6" t="inlineStr">
        <is>
          <t>Elenco florístico (n.° de taxones)</t>
        </is>
      </c>
      <c r="B41" s="7" t="n">
        <v>10</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Por verificar</t>
        </is>
      </c>
      <c r="C44" s="6" t="inlineStr">
        <is>
          <t>Fecha de evaluación</t>
        </is>
      </c>
      <c r="D44" s="7" t="inlineStr">
        <is>
          <t>2026-08-19</t>
        </is>
      </c>
      <c r="E44" s="8" t="n"/>
      <c r="F44" s="8" t="n"/>
    </row>
    <row r="45">
      <c r="A45" s="6" t="inlineStr">
        <is>
          <t>Hora de registro</t>
        </is>
      </c>
      <c r="B45" s="7" t="inlineStr">
        <is>
          <t>11:40 - 11:46 h</t>
        </is>
      </c>
      <c r="C45" s="6" t="inlineStr">
        <is>
          <t>Correlativo de ficha</t>
        </is>
      </c>
      <c r="D45" s="7" t="inlineStr">
        <is>
          <t>F-DT-01/B80</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instalada</t>
        </is>
      </c>
      <c r="E47" s="8" t="n"/>
      <c r="F47" s="8" t="n"/>
    </row>
    <row r="48">
      <c r="A48" s="6" t="inlineStr">
        <is>
          <t>Estaciones fotográficas georreferenciadas</t>
        </is>
      </c>
      <c r="B48" s="7" t="n">
        <v>11</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50" t="inlineStr">
        <is>
          <t>Sustitución del ecosistema natural por un mosaico agro-silvo-pastoril de especies introducidas, acelerada por la reciente habilitación vial que abarata el acceso y el transporte de productos. La infraestructura vial no es un factor más: es el habilitador que convierte la presión difusa en un frente continuo sobre el borde norte del bloque.</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80</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14.2956</v>
      </c>
      <c r="C10" s="19">
        <f>ROUND(B10/$B$15*100,2)</f>
        <v/>
      </c>
      <c r="D10" s="11" t="inlineStr">
        <is>
          <t>Vigor alto</t>
        </is>
      </c>
      <c r="E10" s="11" t="inlineStr">
        <is>
          <t>Sobre umbral</t>
        </is>
      </c>
    </row>
    <row r="11">
      <c r="A11" s="12" t="inlineStr">
        <is>
          <t>0.4976 - 0.6139 · DN 4</t>
        </is>
      </c>
      <c r="B11" s="32" t="n">
        <v>9.667</v>
      </c>
      <c r="C11" s="31">
        <f>ROUND(B11/$B$15*100,2)</f>
        <v/>
      </c>
      <c r="D11" s="13" t="inlineStr">
        <is>
          <t>Vigor moderado</t>
        </is>
      </c>
      <c r="E11" s="13" t="inlineStr">
        <is>
          <t>Sobre umbral</t>
        </is>
      </c>
    </row>
    <row r="12">
      <c r="A12" s="7" t="inlineStr">
        <is>
          <t>0.3813 - 0.4976 · DN 3</t>
        </is>
      </c>
      <c r="B12" s="18" t="n">
        <v>3.9394</v>
      </c>
      <c r="C12" s="19">
        <f>ROUND(B12/$B$15*100,2)</f>
        <v/>
      </c>
      <c r="D12" s="11" t="inlineStr">
        <is>
          <t>Vigor bajo</t>
        </is>
      </c>
      <c r="E12" s="11" t="inlineStr">
        <is>
          <t>BAJO umbral 0.4976</t>
        </is>
      </c>
    </row>
    <row r="13">
      <c r="A13" s="14" t="inlineStr">
        <is>
          <t>0.2650 - 0.3813 · DN 2</t>
        </is>
      </c>
      <c r="B13" s="20" t="n">
        <v>0.8687</v>
      </c>
      <c r="C13" s="21">
        <f>ROUND(B13/$B$15*100,2)</f>
        <v/>
      </c>
      <c r="D13" s="15" t="inlineStr">
        <is>
          <t>Vigor muy bajo</t>
        </is>
      </c>
      <c r="E13" s="15" t="inlineStr">
        <is>
          <t>BAJO umbral 0.4976</t>
        </is>
      </c>
    </row>
    <row r="14">
      <c r="A14" s="7" t="inlineStr">
        <is>
          <t>&lt;= 0.2650 · DN 1</t>
        </is>
      </c>
      <c r="B14" s="18" t="n">
        <v>0.0594</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150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28.83</v>
      </c>
      <c r="C18" s="49" t="inlineStr">
        <is>
          <t>—</t>
        </is>
      </c>
      <c r="D18" s="46" t="inlineStr">
        <is>
          <t>Desviación planimétrica frente al catálogo</t>
        </is>
      </c>
      <c r="E18" s="46" t="inlineStr">
        <is>
          <t>+0.00 %</t>
        </is>
      </c>
    </row>
    <row r="19">
      <c r="A19" s="16" t="inlineStr">
        <is>
          <t>MSAVI 2024 — MEDIA DEL BLOQUE</t>
        </is>
      </c>
      <c r="B19" s="17" t="n">
        <v>0.593069</v>
      </c>
      <c r="C19" s="17" t="inlineStr">
        <is>
          <t>—</t>
        </is>
      </c>
      <c r="D19" s="17" t="inlineStr">
        <is>
          <t>Vigor moderado · clase 0.4976 - 0.6139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150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(0.5931)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22.7018</v>
      </c>
      <c r="C25" s="19" t="n">
        <v>78.73</v>
      </c>
      <c r="D25" s="11" t="inlineStr">
        <is>
          <t>Dosel continuo, matorral denso o mosaico agroforestal</t>
        </is>
      </c>
      <c r="E25" s="11" t="inlineStr"/>
    </row>
    <row r="26">
      <c r="A26" s="14" t="inlineStr">
        <is>
          <t>Vegetación mediana</t>
        </is>
      </c>
      <c r="B26" s="20" t="n">
        <v>5.1677</v>
      </c>
      <c r="C26" s="21" t="n">
        <v>17.92</v>
      </c>
      <c r="D26" s="15" t="inlineStr">
        <is>
          <t>Pastizal cultivado, matorral ralo, parcelas agrícolas</t>
        </is>
      </c>
      <c r="E26" s="15" t="inlineStr"/>
    </row>
    <row r="27">
      <c r="A27" s="7" t="inlineStr">
        <is>
          <t>Vegetación ligera</t>
        </is>
      </c>
      <c r="B27" s="18" t="n">
        <v>0.7979000000000001</v>
      </c>
      <c r="C27" s="19" t="n">
        <v>2.77</v>
      </c>
      <c r="D27" s="11" t="inlineStr">
        <is>
          <t>Cobertura discontinua, suelo parcialmente expuesto</t>
        </is>
      </c>
      <c r="E27" s="11" t="inlineStr"/>
    </row>
    <row r="28">
      <c r="A28" s="14" t="inlineStr">
        <is>
          <t>Tierra desnuda</t>
        </is>
      </c>
      <c r="B28" s="20" t="n">
        <v>0.1681</v>
      </c>
      <c r="C28" s="21" t="n">
        <v>0.58</v>
      </c>
      <c r="D28" s="15" t="inlineStr">
        <is>
          <t>Suelo desnudo, afloramientos, plataformas y taludes</t>
        </is>
      </c>
      <c r="E28" s="15" t="inlineStr"/>
    </row>
    <row r="29">
      <c r="A29" s="16" t="inlineStr">
        <is>
          <t>TOTAL CLASIFICADO</t>
        </is>
      </c>
      <c r="B29" s="22">
        <f>SUM(B25:B28)</f>
        <v/>
      </c>
      <c r="C29" s="23">
        <f>SUM(C25:C28)</f>
        <v/>
      </c>
      <c r="D29" s="17" t="inlineStr"/>
      <c r="E29" s="17" t="inlineStr"/>
    </row>
    <row r="30">
      <c r="A30" s="24" t="inlineStr">
        <is>
          <t>Superficie de catálogo (V5/V6)</t>
        </is>
      </c>
      <c r="B30" s="25" t="n">
        <v>28.83</v>
      </c>
      <c r="C30" s="25" t="inlineStr">
        <is>
          <t>—</t>
        </is>
      </c>
      <c r="D30" s="25" t="inlineStr">
        <is>
          <t>Desviación planimétrica frente al catálogo</t>
        </is>
      </c>
      <c r="E30" s="25" t="inlineStr">
        <is>
          <t>+0.02 %</t>
        </is>
      </c>
    </row>
    <row r="32" ht="72"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2" s="41" t="n"/>
      <c r="C32" s="41" t="n"/>
      <c r="D32" s="41" t="n"/>
      <c r="E32" s="42"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80</t>
        </is>
      </c>
    </row>
    <row r="6" ht="24" customHeight="1">
      <c r="A6" s="4" t="inlineStr">
        <is>
          <t>Levantamiento del 2026-08-19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657095</v>
      </c>
      <c r="D10" s="26" t="n">
        <v>9373326</v>
      </c>
      <c r="E10" s="11" t="n">
        <v>283.6</v>
      </c>
      <c r="F10" s="11" t="inlineStr"/>
      <c r="G10" s="11" t="inlineStr">
        <is>
          <t>Coordenada consignada en F-DT-01</t>
        </is>
      </c>
    </row>
    <row r="11">
      <c r="A11" s="14" t="inlineStr">
        <is>
          <t>E-02</t>
        </is>
      </c>
      <c r="B11" s="15" t="inlineStr">
        <is>
          <t>Estación fotográfica</t>
        </is>
      </c>
      <c r="C11" s="27" t="n">
        <v>656960</v>
      </c>
      <c r="D11" s="27" t="n">
        <v>9373369</v>
      </c>
      <c r="E11" s="15" t="n">
        <v>376.5</v>
      </c>
      <c r="F11" s="15" t="inlineStr"/>
      <c r="G11" s="15" t="inlineStr">
        <is>
          <t>Registro fotográfico georreferenciado</t>
        </is>
      </c>
    </row>
    <row r="12">
      <c r="A12" s="7" t="inlineStr">
        <is>
          <t>E-04</t>
        </is>
      </c>
      <c r="B12" s="11" t="inlineStr">
        <is>
          <t>Estación fotográfica</t>
        </is>
      </c>
      <c r="C12" s="26" t="n">
        <v>657092</v>
      </c>
      <c r="D12" s="26" t="n">
        <v>9373324</v>
      </c>
      <c r="E12" s="11" t="n">
        <v>282.3</v>
      </c>
      <c r="F12" s="11" t="inlineStr"/>
      <c r="G12" s="11" t="inlineStr">
        <is>
          <t>Registro fotográfico georreferenciado</t>
        </is>
      </c>
    </row>
    <row r="13">
      <c r="A13" s="14" t="inlineStr">
        <is>
          <t>E-05</t>
        </is>
      </c>
      <c r="B13" s="15" t="inlineStr">
        <is>
          <t>Estación fotográfica</t>
        </is>
      </c>
      <c r="C13" s="27" t="n">
        <v>657095</v>
      </c>
      <c r="D13" s="27" t="n">
        <v>9373326</v>
      </c>
      <c r="E13" s="15" t="n">
        <v>283.6</v>
      </c>
      <c r="F13" s="15" t="inlineStr"/>
      <c r="G13" s="15" t="inlineStr">
        <is>
          <t>Registro fotográfico georreferenciado</t>
        </is>
      </c>
    </row>
    <row r="14">
      <c r="A14" s="7" t="inlineStr">
        <is>
          <t>E-08</t>
        </is>
      </c>
      <c r="B14" s="11" t="inlineStr">
        <is>
          <t>Estación fotográfica</t>
        </is>
      </c>
      <c r="C14" s="26" t="n">
        <v>657714</v>
      </c>
      <c r="D14" s="26" t="n">
        <v>9373163</v>
      </c>
      <c r="E14" s="11" t="n">
        <v>565.4</v>
      </c>
      <c r="F14" s="11" t="inlineStr"/>
      <c r="G14" s="11" t="inlineStr">
        <is>
          <t>Registro fotográfico georreferenciado</t>
        </is>
      </c>
    </row>
    <row r="15">
      <c r="A15" s="14" t="inlineStr">
        <is>
          <t>C-01</t>
        </is>
      </c>
      <c r="B15" s="15" t="inlineStr">
        <is>
          <t>Rasgo erosivo — Cárcava profunda (&gt;2 m)</t>
        </is>
      </c>
      <c r="C15" s="27" t="n">
        <v>656968</v>
      </c>
      <c r="D15" s="27" t="n">
        <v>9373395</v>
      </c>
      <c r="E15" s="15" t="n">
        <v>394.8</v>
      </c>
      <c r="F15" s="15" t="inlineStr">
        <is>
          <t>Activa</t>
        </is>
      </c>
      <c r="G15" s="15" t="inlineStr">
        <is>
          <t>Concentración natural de escorrentía</t>
        </is>
      </c>
    </row>
    <row r="16">
      <c r="A16" s="7" t="inlineStr">
        <is>
          <t>H-01</t>
        </is>
      </c>
      <c r="B16" s="11" t="inlineStr">
        <is>
          <t>Fuente de agua — Quebrada estacional</t>
        </is>
      </c>
      <c r="C16" s="26" t="n">
        <v>656960</v>
      </c>
      <c r="D16" s="26" t="n">
        <v>9373371</v>
      </c>
      <c r="E16" s="11" t="n">
        <v>378.2</v>
      </c>
      <c r="F16" s="11" t="inlineStr">
        <is>
          <t>Intermitente</t>
        </is>
      </c>
      <c r="G16" s="11" t="inlineStr">
        <is>
          <t>Canal encajonado con agua encharcada en agosto</t>
        </is>
      </c>
    </row>
    <row r="17">
      <c r="A17" s="16" t="inlineStr">
        <is>
          <t>TOTAL: 7 puntos</t>
        </is>
      </c>
      <c r="B17" s="17" t="inlineStr"/>
      <c r="C17" s="17" t="inlineStr"/>
      <c r="D17" s="17" t="inlineStr"/>
      <c r="E17" s="17" t="inlineStr"/>
      <c r="F17" s="17" t="inlineStr"/>
      <c r="G17" s="17" t="inlineStr"/>
    </row>
    <row r="19">
      <c r="A19" s="6" t="inlineStr">
        <is>
          <t>Centroide del bloque — UTM ESTE (m)</t>
        </is>
      </c>
      <c r="B19" s="7" t="n">
        <v>657160</v>
      </c>
      <c r="C19" s="6" t="inlineStr">
        <is>
          <t>Centroide del bloque — UTM NORTE (m)</t>
        </is>
      </c>
      <c r="D19" s="7" t="n">
        <v>9373050</v>
      </c>
      <c r="E19" s="8" t="n"/>
      <c r="F19" s="8" t="n"/>
      <c r="G19" s="8" t="n"/>
      <c r="H19" s="8" t="n"/>
    </row>
    <row r="20">
      <c r="A20" s="6" t="inlineStr">
        <is>
          <t>N.° de estaciones fotográficas declaradas</t>
        </is>
      </c>
      <c r="B20" s="7" t="n">
        <v>11</v>
      </c>
      <c r="C20" s="6" t="inlineStr">
        <is>
          <t>Estaciones dentro del polígono</t>
        </is>
      </c>
      <c r="D20" s="7" t="n">
        <v>0</v>
      </c>
      <c r="E20" s="8" t="n"/>
      <c r="F20" s="8" t="n"/>
      <c r="G20" s="8" t="n"/>
      <c r="H20" s="8" t="n"/>
    </row>
    <row r="22" ht="144" customHeight="1">
      <c r="A22"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LAS ONCE TOMAS FOTOGRÁFICAS DEL 19-08-2026 SE LOCALIZAN FUERA DEL POLÍGONO, entre 22.7 y 150.7 m de su límite (media 62 m), medidas por transformada de distancia sobre el polígono extraído del plano MSAVI y georreferenciado por su grilla UTM (tolerancia ±10-15 m). Superficie reconstruida sobre plano 29.360 ha frente a 28.830 ha del catálogo (+1.8%); centroide medido 657 156 E / 9 373 038 N frente al de catálogo 657 160 E / 9 373 050 N (Δ ≈ 13 m). Extensión E-O ≈ 867 m; N-S ≈ 573 m. Escarpes activos y remoción en masa ACREDITADOS FOTOGRÁFICAMENTE en el sector noroccidental (E-01 a E-03) y en los taludes de corte de la trocha (E-04 a E-11). Altitud GPS no registrada en el sello fotográfico.</t>
        </is>
      </c>
      <c r="B22" s="41" t="n"/>
      <c r="C22" s="41" t="n"/>
      <c r="D22" s="41" t="n"/>
      <c r="E22" s="41" t="n"/>
      <c r="F22" s="41" t="n"/>
      <c r="G22" s="42" t="n"/>
    </row>
  </sheetData>
  <mergeCells count="8">
    <mergeCell ref="A1:G1"/>
    <mergeCell ref="A8:G8"/>
    <mergeCell ref="A3:G3"/>
    <mergeCell ref="A6:G6"/>
    <mergeCell ref="A22:G22"/>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2"/>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C1076-Q9593 — BLOQUE 80</t>
        </is>
      </c>
    </row>
    <row r="6" ht="24" customHeight="1">
      <c r="A6" s="4" t="inlineStr">
        <is>
          <t>Distrito de Huarmaca · Provincia de Huancabamba · Comparación de los bloques preliminares de intervención de la misma microcuenca</t>
        </is>
      </c>
    </row>
    <row r="8" ht="18" customHeight="1">
      <c r="A8" s="5" t="inlineStr">
        <is>
          <t>BLOQUES DE LA MICROCUENCA C1076-Q9593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10</t>
        </is>
      </c>
      <c r="B10" s="28" t="n">
        <v>150.21</v>
      </c>
      <c r="C10" s="19" t="n">
        <v>28.67</v>
      </c>
      <c r="D10" s="11" t="inlineStr">
        <is>
          <t>912 – 1510</t>
        </is>
      </c>
      <c r="E10" s="11" t="n">
        <v>598</v>
      </c>
      <c r="F10" s="11" t="n">
        <v>27.39</v>
      </c>
      <c r="G10" s="18" t="n">
        <v>0.5465</v>
      </c>
      <c r="H10" s="19" t="n">
        <v>85.18000000000001</v>
      </c>
      <c r="I10" s="19" t="n">
        <v>28.51</v>
      </c>
    </row>
    <row r="11">
      <c r="A11" s="14" t="inlineStr">
        <is>
          <t>8</t>
        </is>
      </c>
      <c r="B11" s="29" t="n">
        <v>126.95</v>
      </c>
      <c r="C11" s="21" t="n">
        <v>24.23</v>
      </c>
      <c r="D11" s="15" t="inlineStr">
        <is>
          <t>1504 – 1970</t>
        </is>
      </c>
      <c r="E11" s="15" t="n">
        <v>466</v>
      </c>
      <c r="F11" s="15" t="n">
        <v>29.85</v>
      </c>
      <c r="G11" s="20" t="n">
        <v>0.5548</v>
      </c>
      <c r="H11" s="21" t="n">
        <v>72.25</v>
      </c>
      <c r="I11" s="21" t="n">
        <v>28.4</v>
      </c>
    </row>
    <row r="12">
      <c r="A12" s="7" t="inlineStr">
        <is>
          <t>16</t>
        </is>
      </c>
      <c r="B12" s="28" t="n">
        <v>83.33</v>
      </c>
      <c r="C12" s="19" t="n">
        <v>15.91</v>
      </c>
      <c r="D12" s="11" t="inlineStr">
        <is>
          <t>1349 – 1746</t>
        </is>
      </c>
      <c r="E12" s="11" t="n">
        <v>397</v>
      </c>
      <c r="F12" s="11" t="n">
        <v>22.34</v>
      </c>
      <c r="G12" s="18" t="n">
        <v>0.6284</v>
      </c>
      <c r="H12" s="19" t="n">
        <v>94.13</v>
      </c>
      <c r="I12" s="19" t="n">
        <v>7.3</v>
      </c>
    </row>
    <row r="13">
      <c r="A13" s="14" t="inlineStr">
        <is>
          <t>20</t>
        </is>
      </c>
      <c r="B13" s="29" t="n">
        <v>81.33</v>
      </c>
      <c r="C13" s="21" t="n">
        <v>15.52</v>
      </c>
      <c r="D13" s="15" t="inlineStr">
        <is>
          <t>1217 – 1607</t>
        </is>
      </c>
      <c r="E13" s="15" t="n">
        <v>390</v>
      </c>
      <c r="F13" s="15" t="n">
        <v>24.54</v>
      </c>
      <c r="G13" s="20" t="n">
        <v>0.4851</v>
      </c>
      <c r="H13" s="21" t="n">
        <v>52.44</v>
      </c>
      <c r="I13" s="21" t="n">
        <v>59.23</v>
      </c>
    </row>
    <row r="14">
      <c r="A14" s="12" t="inlineStr">
        <is>
          <t>► 80</t>
        </is>
      </c>
      <c r="B14" s="30" t="n">
        <v>28.83</v>
      </c>
      <c r="C14" s="31" t="n">
        <v>5.5</v>
      </c>
      <c r="D14" s="13" t="inlineStr">
        <is>
          <t>2180 – 2491</t>
        </is>
      </c>
      <c r="E14" s="13" t="n">
        <v>311</v>
      </c>
      <c r="F14" s="13" t="n">
        <v>32.9</v>
      </c>
      <c r="G14" s="32" t="n">
        <v>0.5931</v>
      </c>
      <c r="H14" s="31" t="n">
        <v>78.73</v>
      </c>
      <c r="I14" s="31" t="n">
        <v>16.88</v>
      </c>
    </row>
    <row r="15">
      <c r="A15" s="14" t="inlineStr">
        <is>
          <t>51</t>
        </is>
      </c>
      <c r="B15" s="29" t="n">
        <v>22.93</v>
      </c>
      <c r="C15" s="21" t="n">
        <v>4.38</v>
      </c>
      <c r="D15" s="15" t="inlineStr">
        <is>
          <t>1734 – 2018</t>
        </is>
      </c>
      <c r="E15" s="15" t="n">
        <v>284</v>
      </c>
      <c r="F15" s="15" t="n">
        <v>31.74</v>
      </c>
      <c r="G15" s="20" t="n">
        <v>0.5238</v>
      </c>
      <c r="H15" s="21" t="n">
        <v>69.45999999999999</v>
      </c>
      <c r="I15" s="21" t="n">
        <v>34.63</v>
      </c>
    </row>
    <row r="16">
      <c r="A16" s="7" t="inlineStr">
        <is>
          <t>76</t>
        </is>
      </c>
      <c r="B16" s="28" t="n">
        <v>19.62</v>
      </c>
      <c r="C16" s="19" t="n">
        <v>3.75</v>
      </c>
      <c r="D16" s="11" t="inlineStr">
        <is>
          <t>1647 – 1838</t>
        </is>
      </c>
      <c r="E16" s="11" t="n">
        <v>191</v>
      </c>
      <c r="F16" s="11" t="n">
        <v>26.25</v>
      </c>
      <c r="G16" s="18" t="n">
        <v>0.4925</v>
      </c>
      <c r="H16" s="19" t="n">
        <v>46.27</v>
      </c>
      <c r="I16" s="19" t="n">
        <v>54.14</v>
      </c>
    </row>
    <row r="17">
      <c r="A17" s="14" t="inlineStr">
        <is>
          <t>71</t>
        </is>
      </c>
      <c r="B17" s="29" t="n">
        <v>10.67</v>
      </c>
      <c r="C17" s="21" t="n">
        <v>2.04</v>
      </c>
      <c r="D17" s="15" t="inlineStr">
        <is>
          <t>1478 – 1609</t>
        </is>
      </c>
      <c r="E17" s="15" t="n">
        <v>131</v>
      </c>
      <c r="F17" s="15" t="n">
        <v>29.45</v>
      </c>
      <c r="G17" s="20" t="n">
        <v>0.5571</v>
      </c>
      <c r="H17" s="21" t="n">
        <v>81.37</v>
      </c>
      <c r="I17" s="21" t="n">
        <v>25.94</v>
      </c>
    </row>
    <row r="18">
      <c r="A18" s="16" t="inlineStr">
        <is>
          <t>TOTAL / PROMEDIO</t>
        </is>
      </c>
      <c r="B18" s="33">
        <f>SUM(B10:B17)</f>
        <v/>
      </c>
      <c r="C18" s="23">
        <f>SUM(C10:C17)</f>
        <v/>
      </c>
      <c r="D18" s="17" t="inlineStr">
        <is>
          <t>912 – 2491</t>
        </is>
      </c>
      <c r="E18" s="17" t="inlineStr"/>
      <c r="F18" s="17">
        <f>ROUND(AVERAGE(F10:F17),2)</f>
        <v/>
      </c>
      <c r="G18" s="22">
        <f>ROUND(AVERAGE(G10:G17),4)</f>
        <v/>
      </c>
      <c r="H18" s="23">
        <f>ROUND(AVERAGE(H10:H17),2)</f>
        <v/>
      </c>
      <c r="I18" s="23">
        <f>ROUND(AVERAGE(I10:I17),2)</f>
        <v/>
      </c>
    </row>
    <row r="20" ht="84" customHeight="1">
      <c r="A20" s="9" t="inlineStr">
        <is>
          <t>LECTURA INTRAMICROCUENCA. El bloque 80 ocupa el puesto 5 de 8 por superficie dentro de la microcuenca C1076-Q9593 (5.50 % de las 523.87 ha preliminares de la microcuenca). Su pendiente promedio (32.90 %, clase «25-50% (Mod. escarpado)») es la 8.ª más baja de 8 y se sitúa por encima del promedio de la microcuenca (28.06 %). Su MSAVI 2024 (0.5931) es el 2.º de 8 y queda por encima del promedio local (0.5477). Amplitud altitudinal del bloque: 311 m (2180–2491 msnm). El cuadro conserva todos los bloques catalogados en la microcuenca, incluidos los descartados en el tamizaje, para referencia del conjunto. Los bloques sin ficha DT figuran con sus parámetros de gabinete. BRECHA ESPECTRAL. El 16.88 % de la superficie del bloque (4.868 ha de 28.830 ha) se sitúa bajo el umbral MSAVI 0.4976, por debajo del promedio local de la microcuenca (31.88 %) calculado sobre los bloques con dato MSAVI disponible.</t>
        </is>
      </c>
      <c r="B20" s="41" t="n"/>
      <c r="C20" s="41" t="n"/>
      <c r="D20" s="41" t="n"/>
      <c r="E20" s="41" t="n"/>
      <c r="F20" s="41" t="n"/>
      <c r="G20" s="41" t="n"/>
      <c r="H20" s="41" t="n"/>
      <c r="I20" s="42" t="n"/>
    </row>
    <row r="22" ht="60" customHeight="1">
      <c r="A22"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2" s="41" t="n"/>
      <c r="C22" s="41" t="n"/>
      <c r="D22" s="41" t="n"/>
      <c r="E22" s="41" t="n"/>
      <c r="F22" s="41" t="n"/>
      <c r="G22" s="41" t="n"/>
      <c r="H22" s="41" t="n"/>
      <c r="I22" s="42" t="n"/>
    </row>
  </sheetData>
  <mergeCells count="9">
    <mergeCell ref="A2:I2"/>
    <mergeCell ref="A5:I5"/>
    <mergeCell ref="A1:I1"/>
    <mergeCell ref="A8:I8"/>
    <mergeCell ref="A3:I3"/>
    <mergeCell ref="A6:I6"/>
    <mergeCell ref="A22:I22"/>
    <mergeCell ref="A4:I4"/>
    <mergeCell ref="A20:I2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4"/>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80</t>
        </is>
      </c>
    </row>
    <row r="6">
      <c r="A6" s="52" t="inlineStr">
        <is>
          <t>Cruce de la ficha de campo F-DT vigente con la ficha de resumen de gabinete y el catálogo maestro. Integración 2026-09-11 20:22:33.</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«C1076-Q9593».</t>
        </is>
      </c>
      <c r="D9" s="56" t="inlineStr">
        <is>
          <t>CONFORME</t>
        </is>
      </c>
      <c r="E9" s="56" t="inlineStr">
        <is>
          <t>Sin acción.</t>
        </is>
      </c>
    </row>
    <row r="10">
      <c r="A10" s="57" t="inlineStr">
        <is>
          <t>G-02</t>
        </is>
      </c>
      <c r="B10" s="57" t="inlineStr">
        <is>
          <t>UTM del punto de muestreo</t>
        </is>
      </c>
      <c r="C10" s="57" t="inlineStr">
        <is>
          <t>El punto de muestreo declarado dista 283.6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La altitud GPS (2200 msnm) cae dentro del rango altitudinal del bloque (2180 - 2491 msnm).</t>
        </is>
      </c>
      <c r="D12" s="57" t="inlineStr">
        <is>
          <t>CONFORME</t>
        </is>
      </c>
      <c r="E12" s="57" t="inlineStr">
        <is>
          <t>Sin acción.</t>
        </is>
      </c>
    </row>
    <row r="13">
      <c r="A13" s="56" t="inlineStr">
        <is>
          <t>G-05</t>
        </is>
      </c>
      <c r="B13" s="56" t="inlineStr">
        <is>
          <t>Superficie NDVI vs. catálogo</t>
        </is>
      </c>
      <c r="C13" s="56" t="inlineStr">
        <is>
          <t>La superficie clasificada por el NDVI mediana 2025 (28.835 ha) se desvía 0.02 % de la superficie de catálogo (28.83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(28.830 ha) se desvía 0.00 % de la superficie de catálogo (28.83 ha).</t>
        </is>
      </c>
      <c r="D14" s="57" t="inlineStr">
        <is>
          <t>CONFORME</t>
        </is>
      </c>
      <c r="E14" s="57" t="inlineStr">
        <is>
          <t>Sin acción: la segmentación valida la geometría del bloque.</t>
        </is>
      </c>
    </row>
    <row r="15">
      <c r="A15" s="56" t="inlineStr">
        <is>
          <t>G-07</t>
        </is>
      </c>
      <c r="B15" s="56" t="inlineStr">
        <is>
          <t>Brecha espectral MSAVI</t>
        </is>
      </c>
      <c r="C15" s="56" t="inlineStr">
        <is>
          <t>El 16.88 % del bloque queda bajo el umbral 0.4976; superficie de brecha 4.8675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28.83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(0.5931) cae en la clase «0.4976 - 0.6139 (Vigor moderado)» y la clase DN dominante por superficie es «DN 5 · &gt; 0.6139 (Vigor alto)».</t>
        </is>
      </c>
      <c r="D17" s="56" t="inlineStr">
        <is>
          <t>NO SUSTANTIVA</t>
        </is>
      </c>
      <c r="E17" s="56" t="inlineStr">
        <is>
          <t>Se declaran ambas lecturas: la media resume el bloque y la clase dominante su reparto areal.</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I-01</t>
        </is>
      </c>
      <c r="B19" s="56" t="inlineStr">
        <is>
          <t>Causa subyacente principal</t>
        </is>
      </c>
      <c r="C19" s="56" t="inlineStr">
        <is>
          <t>El libro de resumen V6 consignaba «Sustitución del ecosistema natural por un mosaico agro-silvo-pastoril de especies introducidas, acelerada por la reciente apertura vial»; la ficha de campo vigente declara «Sustitución del ecosistema natural por un mosaico agro-silvo-pastoril de especies introducidas, acelerada por la reciente habilitación vial…».</t>
        </is>
      </c>
      <c r="D19" s="56" t="inlineStr">
        <is>
          <t>CORREGIDO</t>
        </is>
      </c>
      <c r="E19" s="56" t="inlineStr">
        <is>
          <t>Se adopta el valor de campo por ser la fuente que manda sobre el dato y la más reciente. El valor anterior queda declarado para trazabilidad.</t>
        </is>
      </c>
    </row>
    <row r="20">
      <c r="A20" s="57" t="inlineStr">
        <is>
          <t>F-01</t>
        </is>
      </c>
      <c r="B20" s="57" t="inlineStr">
        <is>
          <t>Fichas F-DT levantadas</t>
        </is>
      </c>
      <c r="C20" s="57" t="inlineStr">
        <is>
          <t>La plantilla de campo trae las cinco fichas F-DT-01 a F-DT-05 (completitud 85.7 % de los campos esperados).</t>
        </is>
      </c>
      <c r="D20" s="57" t="inlineStr">
        <is>
          <t>CONFORME</t>
        </is>
      </c>
      <c r="E20" s="57" t="inlineStr">
        <is>
          <t>Sin acción.</t>
        </is>
      </c>
    </row>
    <row r="21">
      <c r="A21" s="56" t="inlineStr">
        <is>
          <t>F-02</t>
        </is>
      </c>
      <c r="B21" s="56" t="inlineStr">
        <is>
          <t>Cobertura de la integración</t>
        </is>
      </c>
      <c r="C21" s="56" t="inlineStr">
        <is>
          <t>Se declararon 90 de 114 hechos integrados (78.9 %); 24 quedan sin dato en ninguna fuente.</t>
        </is>
      </c>
      <c r="D21" s="56" t="inlineStr">
        <is>
          <t>CONFORME</t>
        </is>
      </c>
      <c r="E21" s="56" t="inlineStr">
        <is>
          <t>Sin acción.</t>
        </is>
      </c>
    </row>
    <row r="22">
      <c r="A22" s="57" t="inlineStr">
        <is>
          <t>H-01</t>
        </is>
      </c>
      <c r="B22" s="57" t="inlineStr">
        <is>
          <t>Elenco florístico</t>
        </is>
      </c>
      <c r="C22" s="57" t="inlineStr">
        <is>
          <t>La ficha registra 10 taxones, por debajo del mínimo de 15 que exige el formato V5</t>
        </is>
      </c>
      <c r="D22" s="57" t="inlineStr">
        <is>
          <t>SUSTANTIVA</t>
        </is>
      </c>
      <c r="E22" s="57" t="inlineStr">
        <is>
          <t>Registro florístico preliminar, sin colecta ni determinación botánica formal. Debe cerrarse con colecta botánica en la siguiente campaña. (Verificación heredada de la ficha de resumen V6.)</t>
        </is>
      </c>
    </row>
    <row r="23">
      <c r="A23" s="56" t="inlineStr">
        <is>
          <t>H-02</t>
        </is>
      </c>
      <c r="B23" s="56" t="inlineStr">
        <is>
          <t>Representatividad del levantamiento</t>
        </is>
      </c>
      <c r="C23" s="56" t="inlineStr">
        <is>
          <t>Ninguna de las estaciones fotográficas georreferenciadas se localiza dentro del polígono del bloque</t>
        </is>
      </c>
      <c r="D23" s="56" t="inlineStr">
        <is>
          <t>SUSTANTIVA</t>
        </is>
      </c>
      <c r="E23" s="56" t="inlineStr">
        <is>
          <t>La verificación documenta el perímetro y la vista panorámica del bloque, no su interior. Los parámetros que exigen recorrido interno se consignan «Por determinar». (Verificación heredada de la ficha de resumen V6.)</t>
        </is>
      </c>
    </row>
    <row r="24">
      <c r="A24" s="57" t="inlineStr">
        <is>
          <t>H-03</t>
        </is>
      </c>
      <c r="B24" s="57" t="inlineStr">
        <is>
          <t>Centro poblado asociado</t>
        </is>
      </c>
      <c r="C24" s="57" t="inlineStr">
        <is>
          <t>La ficha DT declara «Yumbe · Cruz Roja»; el cruce INEI-Bloques V5 identifica 2 centro(s) poblado(s) en el bloque: CRUZ ROJA, YUMBE</t>
        </is>
      </c>
      <c r="D24" s="57" t="inlineStr">
        <is>
          <t>CONFORME</t>
        </is>
      </c>
      <c r="E24" s="57" t="inlineStr">
        <is>
          <t>Se conserva el registro de campo como referencia y se adopta el listado INEI para el diagnóstico social y el cálculo de población beneficiaria. (Verificación heredada de la ficha de resumen V6.)</t>
        </is>
      </c>
    </row>
    <row r="25">
      <c r="A25" s="56" t="inlineStr">
        <is>
          <t>H-04</t>
        </is>
      </c>
      <c r="B25" s="56" t="inlineStr">
        <is>
          <t>F-DT-01</t>
        </is>
      </c>
      <c r="C25" s="56" t="inlineStr">
        <is>
          <t>Las 11 tomas fotográficas se localizan FUERA del polígono (22.7 a 150.7 m, media 62 m)</t>
        </is>
      </c>
      <c r="D25" s="56" t="inlineStr">
        <is>
          <t>SUSTANTIVA</t>
        </is>
      </c>
      <c r="E25" s="56" t="inlineStr">
        <is>
          <t>La caracterización corresponde al entorno inmediato, no al interior (Verificación heredada de la ficha de resumen V6.)</t>
        </is>
      </c>
    </row>
    <row r="26">
      <c r="A26" s="57" t="inlineStr">
        <is>
          <t>H-05</t>
        </is>
      </c>
      <c r="B26" s="57" t="inlineStr">
        <is>
          <t>F-DT-02</t>
        </is>
      </c>
      <c r="C26" s="57" t="inlineStr">
        <is>
          <t>Nivel general de erosión «Severa» frente a síntesis «Fuerte»: dos calificaciones distintas en la misma ficha</t>
        </is>
      </c>
      <c r="D26" s="57" t="inlineStr">
        <is>
          <t>NO SUSTANTIVA</t>
        </is>
      </c>
      <c r="E26" s="57" t="inlineStr">
        <is>
          <t>Resolver en la carga definitiva (Verificación heredada de la ficha de resumen V6.)</t>
        </is>
      </c>
    </row>
    <row r="27">
      <c r="A27" s="56" t="inlineStr">
        <is>
          <t>H-06</t>
        </is>
      </c>
      <c r="B27" s="56" t="inlineStr">
        <is>
          <t>F-DT-03</t>
        </is>
      </c>
      <c r="C27" s="56" t="inlineStr">
        <is>
          <t>Lista florística de 10 registros frente al mínimo de 15; 6 de 10 taxones son introducidos o cultivos</t>
        </is>
      </c>
      <c r="D27" s="56" t="inlineStr">
        <is>
          <t>SUSTANTIVA</t>
        </is>
      </c>
      <c r="E27" s="56" t="inlineStr">
        <is>
          <t>Colecta botánica pendiente; excluir cultivos del área efectiva (Verificación heredada de la ficha de resumen V6.)</t>
        </is>
      </c>
    </row>
    <row r="28">
      <c r="A28" s="57" t="inlineStr">
        <is>
          <t>H-07</t>
        </is>
      </c>
      <c r="B28" s="57" t="inlineStr">
        <is>
          <t>F-DT-04</t>
        </is>
      </c>
      <c r="C28" s="57" t="inlineStr">
        <is>
          <t>7 de los 8 indicadores cuantitativos sin valor</t>
        </is>
      </c>
      <c r="D28" s="57" t="inlineStr">
        <is>
          <t>SUSTANTIVA</t>
        </is>
      </c>
      <c r="E28" s="57" t="inlineStr">
        <is>
          <t>Cuantificación pendiente (Verificación heredada de la ficha de resumen V6.)</t>
        </is>
      </c>
    </row>
    <row r="29">
      <c r="A29" s="56" t="inlineStr">
        <is>
          <t>H-08</t>
        </is>
      </c>
      <c r="B29" s="56" t="inlineStr">
        <is>
          <t>F-DT-05</t>
        </is>
      </c>
      <c r="C29" s="56" t="inlineStr">
        <is>
          <t>Agua encharcada en agosto sugiere régimen más persistente que el estacional declarado</t>
        </is>
      </c>
      <c r="D29" s="56" t="inlineStr">
        <is>
          <t>NO SUSTANTIVA</t>
        </is>
      </c>
      <c r="E29" s="56" t="inlineStr">
        <is>
          <t>Verificar régimen hídrico (Verificación heredada de la ficha de resumen V6.)</t>
        </is>
      </c>
    </row>
    <row r="30">
      <c r="A30" s="57" t="inlineStr">
        <is>
          <t>H-09</t>
        </is>
      </c>
      <c r="B30" s="57" t="inlineStr">
        <is>
          <t>Ficha DT</t>
        </is>
      </c>
      <c r="C30" s="57" t="inlineStr">
        <is>
          <t>Evaluador no consignado</t>
        </is>
      </c>
      <c r="D30" s="57" t="inlineStr">
        <is>
          <t>NO SUSTANTIVA</t>
        </is>
      </c>
      <c r="E30" s="57" t="inlineStr">
        <is>
          <t>Por verificar (Verificación heredada de la ficha de resumen V6.)</t>
        </is>
      </c>
    </row>
    <row r="32">
      <c r="A32" s="58" t="inlineStr">
        <is>
          <t>RESUMEN</t>
        </is>
      </c>
      <c r="B32" s="59" t="inlineStr">
        <is>
          <t>22 verificaciones</t>
        </is>
      </c>
      <c r="C32" s="59" t="inlineStr">
        <is>
          <t>SUSTANTIVA: 6 · NO SUSTANTIVA: 4 · CORREGIDO: 1 · CONFORME: 11</t>
        </is>
      </c>
    </row>
    <row r="34">
      <c r="A34"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34:E34"/>
    <mergeCell ref="A4:E4"/>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80</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6. Degradación, causas y urgencia (F-DT-04)</t>
        </is>
      </c>
      <c r="B9" s="56" t="inlineStr">
        <is>
          <t>Causa subyacente principal</t>
        </is>
      </c>
      <c r="C9" s="56" t="inlineStr">
        <is>
          <t>Sustitución del ecosistema natural por un mosaico agro-silvo-pastoril de especies introducidas, acelerada por la reciente apertura vial</t>
        </is>
      </c>
      <c r="D9" s="56" t="inlineStr">
        <is>
          <t>Sustitución del ecosistema natural por un mosaico agro-silvo-pastoril de especies introducidas, acelerada por la reciente habilitación vial que abarata el acceso y el transporte de productos. La infraestructura vial no es un factor más: es el habilitador que convierte la presión difusa en un frente continuo sobre el borde norte del bloque.</t>
        </is>
      </c>
      <c r="E9" s="56" t="inlineStr">
        <is>
          <t>Dato de campo</t>
        </is>
      </c>
    </row>
    <row r="11">
      <c r="A11" s="54" t="inlineStr">
        <is>
          <t>B. HECHOS APORTADOS ÚNICAMENTE POR LA FICHA DE CAMPO</t>
        </is>
      </c>
    </row>
    <row r="12">
      <c r="A12" s="55" t="inlineStr">
        <is>
          <t>Sección</t>
        </is>
      </c>
      <c r="B12" s="55" t="inlineStr">
        <is>
          <t>Hecho</t>
        </is>
      </c>
      <c r="C12" s="55" t="inlineStr">
        <is>
          <t>Valor</t>
        </is>
      </c>
      <c r="D12" s="55" t="inlineStr">
        <is>
          <t>Unidad</t>
        </is>
      </c>
    </row>
    <row r="13">
      <c r="A13" s="56" t="inlineStr">
        <is>
          <t>1. Identificación y localización</t>
        </is>
      </c>
      <c r="B13" s="56" t="inlineStr">
        <is>
          <t>UTM ESTE del punto de muestreo (m)</t>
        </is>
      </c>
      <c r="C13" s="56" t="inlineStr">
        <is>
          <t>657095</t>
        </is>
      </c>
      <c r="D13" s="56" t="inlineStr">
        <is>
          <t>m</t>
        </is>
      </c>
    </row>
    <row r="14">
      <c r="A14" s="57" t="inlineStr">
        <is>
          <t>1. Identificación y localización</t>
        </is>
      </c>
      <c r="B14" s="57" t="inlineStr">
        <is>
          <t>UTM NORTE del punto de muestreo (m)</t>
        </is>
      </c>
      <c r="C14" s="57" t="inlineStr">
        <is>
          <t>9373326</t>
        </is>
      </c>
      <c r="D14" s="57" t="inlineStr">
        <is>
          <t>m</t>
        </is>
      </c>
    </row>
    <row r="15">
      <c r="A15" s="56" t="inlineStr">
        <is>
          <t>2. Parámetros físicos del terreno</t>
        </is>
      </c>
      <c r="B15" s="56" t="inlineStr">
        <is>
          <t>Altitud GPS del punto de muestreo (msnm)</t>
        </is>
      </c>
      <c r="C15" s="56" t="inlineStr">
        <is>
          <t>≈ 2 200 msnm (cota de la trocha; sin registro GPS)</t>
        </is>
      </c>
      <c r="D15" s="56" t="inlineStr">
        <is>
          <t>msnm</t>
        </is>
      </c>
    </row>
    <row r="16">
      <c r="A16" s="57" t="inlineStr">
        <is>
          <t>2. Parámetros físicos del terreno</t>
        </is>
      </c>
      <c r="B16" s="57" t="inlineStr">
        <is>
          <t>Piso altitudinal del punto de muestreo</t>
        </is>
      </c>
      <c r="C16" s="57" t="inlineStr">
        <is>
          <t>2000-2500 m (Quechua alta)</t>
        </is>
      </c>
      <c r="D16" s="57" t="inlineStr"/>
    </row>
    <row r="17">
      <c r="A17" s="56" t="inlineStr">
        <is>
          <t>2. Parámetros físicos del terreno</t>
        </is>
      </c>
      <c r="B17" s="56" t="inlineStr">
        <is>
          <t>Paisaje dominante descrito en campo</t>
        </is>
      </c>
      <c r="C17" s="56" t="inlineStr">
        <is>
          <t>Ladera montañosa de exposición norte que desciende desde la divisoria del macizo (2 491 msnm) hasta el fondo de quebrada tributaria de la Q9593 (2 180 msnm). Mosaico de matorral andino denso a semidenso con plantaciones forestales exóticas de pino, eucalipto y ciprés en la cresta y en el tercio superior, alternado con pastizales cultivados y naturales, parcelas de maíz y un sector noroccidental de suelo descubierto asociado a una cicatriz de remoción en masa y a la quebrada encajonada. La trocha carrozable, de apertura reciente y plataforma ancha, bordea el límite norte a una distancia mínima de ≈ 12 m.</t>
        </is>
      </c>
      <c r="D17" s="56" t="inlineStr"/>
    </row>
    <row r="18">
      <c r="A18" s="57" t="inlineStr">
        <is>
          <t>2. Parámetros físicos del terreno</t>
        </is>
      </c>
      <c r="B18" s="57" t="inlineStr">
        <is>
          <t>Reptación de suelo</t>
        </is>
      </c>
      <c r="C18" s="57" t="inlineStr">
        <is>
          <t>No</t>
        </is>
      </c>
      <c r="D18" s="57" t="inlineStr"/>
    </row>
    <row r="19">
      <c r="A19" s="56" t="inlineStr">
        <is>
          <t>2. Parámetros físicos del terreno</t>
        </is>
      </c>
      <c r="B19" s="56" t="inlineStr">
        <is>
          <t>Deslizamientos antiguos</t>
        </is>
      </c>
      <c r="C19" s="56" t="inlineStr">
        <is>
          <t>Sí</t>
        </is>
      </c>
      <c r="D19" s="56" t="inlineStr"/>
    </row>
    <row r="20">
      <c r="A20" s="57" t="inlineStr">
        <is>
          <t>4. Suelos y erosión (F-DT-02)</t>
        </is>
      </c>
      <c r="B20" s="57" t="inlineStr">
        <is>
          <t>Nivel de erosión - síntesis de campo</t>
        </is>
      </c>
      <c r="C20" s="57" t="inlineStr">
        <is>
          <t>Fuerte (cárcavas incipientes)</t>
        </is>
      </c>
      <c r="D20" s="57" t="inlineStr"/>
    </row>
    <row r="21">
      <c r="A21" s="56" t="inlineStr">
        <is>
          <t>4. Suelos y erosión (F-DT-02)</t>
        </is>
      </c>
      <c r="B21" s="56" t="inlineStr">
        <is>
          <t>Sellamiento / costra superficial</t>
        </is>
      </c>
      <c r="C21" s="56" t="inlineStr">
        <is>
          <t>Sí</t>
        </is>
      </c>
      <c r="D21" s="56" t="inlineStr"/>
    </row>
    <row r="22">
      <c r="A22" s="57" t="inlineStr">
        <is>
          <t>4. Suelos y erosión (F-DT-02)</t>
        </is>
      </c>
      <c r="B22" s="57" t="inlineStr">
        <is>
          <t>Compactación por pisoteo</t>
        </is>
      </c>
      <c r="C22" s="57" t="inlineStr">
        <is>
          <t>Sí</t>
        </is>
      </c>
      <c r="D22" s="57" t="inlineStr"/>
    </row>
    <row r="23">
      <c r="A23" s="56" t="inlineStr">
        <is>
          <t>4. Suelos y erosión (F-DT-02)</t>
        </is>
      </c>
      <c r="B23" s="56" t="inlineStr">
        <is>
          <t>Raíces expuestas</t>
        </is>
      </c>
      <c r="C23" s="56" t="inlineStr">
        <is>
          <t>Sí</t>
        </is>
      </c>
      <c r="D23" s="56" t="inlineStr"/>
    </row>
    <row r="24">
      <c r="A24" s="57" t="inlineStr">
        <is>
          <t>4. Suelos y erosión (F-DT-02)</t>
        </is>
      </c>
      <c r="B24" s="57" t="inlineStr">
        <is>
          <t>Longitud total de cárcavas (m)</t>
        </is>
      </c>
      <c r="C24" s="57" t="inlineStr">
        <is>
          <t>Por medir</t>
        </is>
      </c>
      <c r="D24" s="57" t="inlineStr">
        <is>
          <t>m</t>
        </is>
      </c>
    </row>
    <row r="25">
      <c r="A25" s="56" t="inlineStr">
        <is>
          <t>4. Suelos y erosión (F-DT-02)</t>
        </is>
      </c>
      <c r="B25" s="56" t="inlineStr">
        <is>
          <t>Patrón de cárcavas</t>
        </is>
      </c>
      <c r="C25" s="56" t="inlineStr">
        <is>
          <t>Lineal</t>
        </is>
      </c>
      <c r="D25" s="56" t="inlineStr"/>
    </row>
    <row r="26">
      <c r="A26" s="57" t="inlineStr">
        <is>
          <t>4. Suelos y erosión (F-DT-02)</t>
        </is>
      </c>
      <c r="B26" s="57" t="inlineStr">
        <is>
          <t>Socavamiento de cauce</t>
        </is>
      </c>
      <c r="C26" s="57" t="inlineStr">
        <is>
          <t>Sí</t>
        </is>
      </c>
      <c r="D26" s="57" t="inlineStr"/>
    </row>
    <row r="27">
      <c r="A27" s="56" t="inlineStr">
        <is>
          <t>5. Ecosistema, cobertura y flora (F-DT-03)</t>
        </is>
      </c>
      <c r="B27" s="56" t="inlineStr">
        <is>
          <t>Fenología dominante</t>
        </is>
      </c>
      <c r="C27" s="56" t="inlineStr">
        <is>
          <t>Floración</t>
        </is>
      </c>
      <c r="D27" s="56" t="inlineStr"/>
    </row>
    <row r="28">
      <c r="A28" s="57" t="inlineStr">
        <is>
          <t>5. Ecosistema, cobertura y flora (F-DT-03)</t>
        </is>
      </c>
      <c r="B28" s="57" t="inlineStr">
        <is>
          <t>Dimensiones de la parcela (m)</t>
        </is>
      </c>
      <c r="C28" s="57" t="inlineStr">
        <is>
          <t>No aplica</t>
        </is>
      </c>
      <c r="D28" s="57" t="inlineStr"/>
    </row>
    <row r="29">
      <c r="A29" s="56" t="inlineStr">
        <is>
          <t>5. Ecosistema, cobertura y flora (F-DT-03)</t>
        </is>
      </c>
      <c r="B29" s="56" t="inlineStr">
        <is>
          <t>Pendiente de la parcela (%)</t>
        </is>
      </c>
      <c r="C29" s="56" t="inlineStr">
        <is>
          <t>32.90 (media zonal del MDE, no de parcela)</t>
        </is>
      </c>
      <c r="D29" s="56" t="inlineStr">
        <is>
          <t>%</t>
        </is>
      </c>
    </row>
    <row r="30">
      <c r="A30" s="57" t="inlineStr">
        <is>
          <t>5. Ecosistema, cobertura y flora (F-DT-03)</t>
        </is>
      </c>
      <c r="B30" s="57" t="inlineStr">
        <is>
          <t>Especies clave georreferenciadas</t>
        </is>
      </c>
      <c r="C30" s="57" t="inlineStr">
        <is>
          <t>4</t>
        </is>
      </c>
      <c r="D30" s="57" t="inlineStr"/>
    </row>
    <row r="31">
      <c r="A31" s="56" t="inlineStr">
        <is>
          <t>6. Degradación, causas y urgencia (F-DT-04)</t>
        </is>
      </c>
      <c r="B31" s="56" t="inlineStr">
        <is>
          <t>Causas directas de la degradación</t>
        </is>
      </c>
      <c r="C31" s="56" t="inlineStr">
        <is>
          <t>Apertura reciente de trocha carrozable sobre el límite norte con taludes de corte sin tratamiento; remoción en masa activa y erosión concentrada en el sector noroccidental; sustitución de la cobertura natural por plantaciones forestales exóticas en cresta y tercio superior; conversión a pastizal cultivado y parcelas de maíz en el tercio medio e inferior.</t>
        </is>
      </c>
      <c r="D31" s="56" t="inlineStr"/>
    </row>
    <row r="32">
      <c r="A32" s="57" t="inlineStr">
        <is>
          <t>6. Degradación, causas y urgencia (F-DT-04)</t>
        </is>
      </c>
      <c r="B32" s="57" t="inlineStr">
        <is>
          <t>N.° de causas activas en la matriz F-DT-04</t>
        </is>
      </c>
      <c r="C32" s="57" t="inlineStr">
        <is>
          <t>7</t>
        </is>
      </c>
      <c r="D32" s="57" t="inlineStr"/>
    </row>
    <row r="33">
      <c r="A33" s="56" t="inlineStr">
        <is>
          <t>7. Hidrología, acceso y logística (F-DT-05)</t>
        </is>
      </c>
      <c r="B33" s="56" t="inlineStr">
        <is>
          <t>Escorrentía concentrada</t>
        </is>
      </c>
      <c r="C33" s="56" t="inlineStr">
        <is>
          <t>Sí</t>
        </is>
      </c>
      <c r="D33" s="56" t="inlineStr"/>
    </row>
    <row r="34">
      <c r="A34" s="57" t="inlineStr">
        <is>
          <t>7. Hidrología, acceso y logística (F-DT-05)</t>
        </is>
      </c>
      <c r="B34" s="57" t="inlineStr">
        <is>
          <t>Fuentes de agua inventariadas</t>
        </is>
      </c>
      <c r="C34" s="57" t="inlineStr">
        <is>
          <t>1</t>
        </is>
      </c>
      <c r="D34" s="57" t="inlineStr"/>
    </row>
    <row r="35">
      <c r="A35" s="56" t="inlineStr">
        <is>
          <t>7. Hidrología, acceso y logística (F-DT-05)</t>
        </is>
      </c>
      <c r="B35" s="56" t="inlineStr">
        <is>
          <t>Vía principal de acceso</t>
        </is>
      </c>
      <c r="C35" s="56" t="inlineStr">
        <is>
          <t>Trocha carrozable Yumbe – Cruz Roja (denominación por confirmar)</t>
        </is>
      </c>
      <c r="D35" s="56" t="inlineStr"/>
    </row>
    <row r="36">
      <c r="A36" s="57" t="inlineStr">
        <is>
          <t>7. Hidrología, acceso y logística (F-DT-05)</t>
        </is>
      </c>
      <c r="B36" s="57" t="inlineStr">
        <is>
          <t>Tipo de vía del tramo final</t>
        </is>
      </c>
      <c r="C36" s="57" t="inlineStr">
        <is>
          <t>Trocha carrozable</t>
        </is>
      </c>
      <c r="D36" s="57" t="inlineStr"/>
    </row>
    <row r="37">
      <c r="A37" s="56" t="inlineStr">
        <is>
          <t>7. Hidrología, acceso y logística (F-DT-05)</t>
        </is>
      </c>
      <c r="B37" s="56" t="inlineStr">
        <is>
          <t>Transitabilidad en época seca</t>
        </is>
      </c>
      <c r="C37" s="56" t="inlineStr">
        <is>
          <t>Alto</t>
        </is>
      </c>
      <c r="D37" s="56" t="inlineStr"/>
    </row>
    <row r="38">
      <c r="A38" s="57" t="inlineStr">
        <is>
          <t>7. Hidrología, acceso y logística (F-DT-05)</t>
        </is>
      </c>
      <c r="B38" s="57" t="inlineStr">
        <is>
          <t>Transitabilidad en época lluviosa</t>
        </is>
      </c>
      <c r="C38" s="57" t="inlineStr">
        <is>
          <t>Bajo</t>
        </is>
      </c>
      <c r="D38" s="57" t="inlineStr"/>
    </row>
    <row r="40">
      <c r="A40" s="54" t="inlineStr">
        <is>
          <t>C. PROCEDENCIA DE LOS HECHOS DECLARADOS</t>
        </is>
      </c>
    </row>
    <row r="41">
      <c r="A41" s="55" t="inlineStr">
        <is>
          <t>Fuente</t>
        </is>
      </c>
      <c r="B41" s="55" t="inlineStr">
        <is>
          <t>Hechos</t>
        </is>
      </c>
      <c r="C41" s="55" t="inlineStr">
        <is>
          <t>Alcance de la fuente</t>
        </is>
      </c>
    </row>
    <row r="42">
      <c r="A42" s="56" t="inlineStr">
        <is>
          <t>Dato de campo</t>
        </is>
      </c>
      <c r="B42" s="56" t="n">
        <v>52</v>
      </c>
      <c r="C42" s="56" t="inlineStr">
        <is>
          <t>Verificación en campo. Fichas F-DT-01 a F-DT-05 de la Plantilla DT Campo Check Validada V5, suscritas por el evaluador.</t>
        </is>
      </c>
    </row>
    <row r="43">
      <c r="A43" s="57" t="inlineStr">
        <is>
          <t>Gabinete (GIS / teledetección)</t>
        </is>
      </c>
      <c r="B43" s="57" t="n">
        <v>24</v>
      </c>
      <c r="C43" s="57" t="inlineStr">
        <is>
          <t>Gabinete. Estadística zonal sobre el MDE y compuestos Sentinel-2 (NDVI mediana 2025, MSAVI 2024 por clase DN).</t>
        </is>
      </c>
    </row>
    <row r="44">
      <c r="A44" s="56" t="inlineStr">
        <is>
          <t>Fuente oficial</t>
        </is>
      </c>
      <c r="B44" s="56" t="n">
        <v>14</v>
      </c>
      <c r="C44" s="56" t="inlineStr">
        <is>
          <t>Fuente oficial. Catálogo maestro Bloques V5/V6, división política INEI y codificación de microcuencas de la ANA.</t>
        </is>
      </c>
    </row>
    <row r="46">
      <c r="A46" s="54" t="inlineStr">
        <is>
          <t>D. ESTADO DEL CRUCE ENTRE FUENTES</t>
        </is>
      </c>
    </row>
    <row r="47">
      <c r="A47" s="55" t="inlineStr">
        <is>
          <t>Estado</t>
        </is>
      </c>
      <c r="B47" s="55" t="inlineStr">
        <is>
          <t>Hechos</t>
        </is>
      </c>
      <c r="C47" s="55" t="inlineStr">
        <is>
          <t>Significado</t>
        </is>
      </c>
    </row>
    <row r="48">
      <c r="A48" s="56" t="inlineStr">
        <is>
          <t>CONFORME</t>
        </is>
      </c>
      <c r="B48" s="56" t="n">
        <v>87</v>
      </c>
      <c r="C48" s="56" t="inlineStr">
        <is>
          <t>Las dos fuentes declaran lo mismo, o solo la fuente que manda sobre el hecho lo declara.</t>
        </is>
      </c>
    </row>
    <row r="49">
      <c r="A49" s="57" t="inlineStr">
        <is>
          <t>COMPLEMENTADO</t>
        </is>
      </c>
      <c r="B49" s="57" t="n">
        <v>2</v>
      </c>
      <c r="C49" s="57" t="inlineStr">
        <is>
          <t>Solo una de las fuentes lo declara y se adopta ese valor.</t>
        </is>
      </c>
    </row>
    <row r="50">
      <c r="A50" s="56" t="inlineStr">
        <is>
          <t>ACTUALIZADO</t>
        </is>
      </c>
      <c r="B50" s="56" t="n">
        <v>1</v>
      </c>
      <c r="C50" s="56" t="inlineStr">
        <is>
          <t>La verificación de campo vigente corrige lo que traía el libro de resumen.</t>
        </is>
      </c>
    </row>
    <row r="51">
      <c r="A51" s="57" t="inlineStr">
        <is>
          <t>DISCREPANTE</t>
        </is>
      </c>
      <c r="B51" s="57" t="n">
        <v>0</v>
      </c>
      <c r="C51" s="57" t="inlineStr">
        <is>
          <t>Las fuentes se contradicen; prevalece la que manda sobre el hecho y la otra queda declarada.</t>
        </is>
      </c>
    </row>
    <row r="52">
      <c r="A52" s="56" t="inlineStr">
        <is>
          <t>PENDIENTE</t>
        </is>
      </c>
      <c r="B52" s="56" t="n">
        <v>24</v>
      </c>
      <c r="C52"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9"/>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80</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C-01</t>
        </is>
      </c>
      <c r="B9" s="56" t="inlineStr">
        <is>
          <t>Cárcava profunda (2-5 m)</t>
        </is>
      </c>
      <c r="C9" s="61" t="n">
        <v>656968</v>
      </c>
      <c r="D9" s="61" t="n">
        <v>9373395</v>
      </c>
      <c r="E9" s="56" t="n"/>
      <c r="F9" s="56" t="n"/>
      <c r="G9" s="56" t="n"/>
      <c r="H9" s="56" t="inlineStr">
        <is>
          <t>Activa</t>
        </is>
      </c>
      <c r="I9" s="56" t="inlineStr">
        <is>
          <t>Concentración natural de escorrentía</t>
        </is>
      </c>
    </row>
    <row r="11">
      <c r="A11" s="54" t="inlineStr">
        <is>
          <t>F-DT-03 · ELENCO FLORÍSTICO</t>
        </is>
      </c>
    </row>
    <row r="12">
      <c r="A12" s="55" t="inlineStr">
        <is>
          <t>N.o</t>
        </is>
      </c>
      <c r="B12" s="55" t="inlineStr">
        <is>
          <t>Nombre común</t>
        </is>
      </c>
      <c r="C12" s="55" t="inlineStr">
        <is>
          <t>Nombre científico</t>
        </is>
      </c>
      <c r="D12" s="55" t="inlineStr">
        <is>
          <t>Familia</t>
        </is>
      </c>
      <c r="E12" s="55" t="inlineStr">
        <is>
          <t>Estrato</t>
        </is>
      </c>
      <c r="F12" s="55" t="inlineStr">
        <is>
          <t>Origen</t>
        </is>
      </c>
      <c r="G12" s="55" t="inlineStr">
        <is>
          <t>Abundancia</t>
        </is>
      </c>
      <c r="H12" s="55" t="inlineStr">
        <is>
          <t>DAP (cm)</t>
        </is>
      </c>
      <c r="I12" s="55" t="inlineStr">
        <is>
          <t>Altura (m)</t>
        </is>
      </c>
    </row>
    <row r="13">
      <c r="A13" s="56" t="inlineStr">
        <is>
          <t>1</t>
        </is>
      </c>
      <c r="B13" s="56" t="inlineStr">
        <is>
          <t>Pino</t>
        </is>
      </c>
      <c r="C13" s="56" t="inlineStr">
        <is>
          <t>Pinus radiata / P. patula (por determinar)</t>
        </is>
      </c>
      <c r="D13" s="56" t="inlineStr">
        <is>
          <t>Pinaceae</t>
        </is>
      </c>
      <c r="E13" s="56" t="inlineStr">
        <is>
          <t>Arbóreo superior (&gt;15 m)</t>
        </is>
      </c>
      <c r="F13" s="56" t="inlineStr">
        <is>
          <t>Introducida</t>
        </is>
      </c>
      <c r="G13" s="56" t="inlineStr">
        <is>
          <t>Abundante (20-40%)</t>
        </is>
      </c>
      <c r="H13" s="56" t="n"/>
      <c r="I13" s="56" t="n"/>
    </row>
    <row r="14">
      <c r="A14" s="57" t="inlineStr">
        <is>
          <t>2</t>
        </is>
      </c>
      <c r="B14" s="57" t="inlineStr">
        <is>
          <t>Eucalipto</t>
        </is>
      </c>
      <c r="C14" s="57" t="inlineStr">
        <is>
          <t>Eucalyptus globulus</t>
        </is>
      </c>
      <c r="D14" s="57" t="inlineStr">
        <is>
          <t>Myrtaceae</t>
        </is>
      </c>
      <c r="E14" s="57" t="inlineStr">
        <is>
          <t>Arbóreo superior (&gt;15 m)</t>
        </is>
      </c>
      <c r="F14" s="57" t="inlineStr">
        <is>
          <t>Introducida</t>
        </is>
      </c>
      <c r="G14" s="57" t="inlineStr">
        <is>
          <t>Frecuente (5-20%)</t>
        </is>
      </c>
      <c r="H14" s="57" t="n"/>
      <c r="I14" s="57" t="n"/>
    </row>
    <row r="15">
      <c r="A15" s="56" t="inlineStr">
        <is>
          <t>3</t>
        </is>
      </c>
      <c r="B15" s="56" t="inlineStr">
        <is>
          <t>Ciprés</t>
        </is>
      </c>
      <c r="C15" s="56" t="inlineStr">
        <is>
          <t>Cupressus macrocarpa</t>
        </is>
      </c>
      <c r="D15" s="56" t="inlineStr">
        <is>
          <t>Cupressaceae</t>
        </is>
      </c>
      <c r="E15" s="56" t="inlineStr">
        <is>
          <t>Arbóreo medio (8-15 m)</t>
        </is>
      </c>
      <c r="F15" s="56" t="inlineStr">
        <is>
          <t>Introducida</t>
        </is>
      </c>
      <c r="G15" s="56" t="inlineStr">
        <is>
          <t>Ocasional (1-5%)</t>
        </is>
      </c>
      <c r="H15" s="56" t="n"/>
      <c r="I15" s="56" t="n"/>
    </row>
    <row r="16">
      <c r="A16" s="57" t="inlineStr">
        <is>
          <t>4</t>
        </is>
      </c>
      <c r="B16" s="57" t="inlineStr">
        <is>
          <t>Caña guayaquil</t>
        </is>
      </c>
      <c r="C16" s="57" t="inlineStr">
        <is>
          <t>Guadua angustifolia</t>
        </is>
      </c>
      <c r="D16" s="57" t="inlineStr">
        <is>
          <t>Poaceae</t>
        </is>
      </c>
      <c r="E16" s="57" t="inlineStr">
        <is>
          <t>Arbóreo bajo (4-8 m)</t>
        </is>
      </c>
      <c r="F16" s="57" t="inlineStr">
        <is>
          <t>Nativa</t>
        </is>
      </c>
      <c r="G16" s="57" t="inlineStr">
        <is>
          <t>Ocasional (1-5%)</t>
        </is>
      </c>
      <c r="H16" s="57" t="n"/>
      <c r="I16" s="57" t="n"/>
    </row>
    <row r="17">
      <c r="A17" s="56" t="inlineStr">
        <is>
          <t>5</t>
        </is>
      </c>
      <c r="B17" s="56" t="inlineStr">
        <is>
          <t>Chilca</t>
        </is>
      </c>
      <c r="C17" s="56" t="inlineStr">
        <is>
          <t>Baccharis latifolia</t>
        </is>
      </c>
      <c r="D17" s="56" t="inlineStr">
        <is>
          <t>Asteraceae</t>
        </is>
      </c>
      <c r="E17" s="56" t="inlineStr">
        <is>
          <t>Arbustivo alto (1.5-4 m)</t>
        </is>
      </c>
      <c r="F17" s="56" t="inlineStr">
        <is>
          <t>Nativa</t>
        </is>
      </c>
      <c r="G17" s="56" t="inlineStr">
        <is>
          <t>Frecuente (5-20%)</t>
        </is>
      </c>
      <c r="H17" s="56" t="n"/>
      <c r="I17" s="56" t="n"/>
    </row>
    <row r="18">
      <c r="A18" s="57" t="inlineStr">
        <is>
          <t>6</t>
        </is>
      </c>
      <c r="B18" s="57" t="inlineStr">
        <is>
          <t>Asteráceas arbustivas (por determinar)</t>
        </is>
      </c>
      <c r="C18" s="57" t="inlineStr">
        <is>
          <t>Asteraceae por determinar</t>
        </is>
      </c>
      <c r="D18" s="57" t="inlineStr">
        <is>
          <t>Asteraceae</t>
        </is>
      </c>
      <c r="E18" s="57" t="inlineStr">
        <is>
          <t>Arbustivo bajo (0.5-1.5 m)</t>
        </is>
      </c>
      <c r="F18" s="57" t="inlineStr">
        <is>
          <t>Nativa</t>
        </is>
      </c>
      <c r="G18" s="57" t="inlineStr">
        <is>
          <t>Frecuente (5-20%)</t>
        </is>
      </c>
      <c r="H18" s="57" t="n"/>
      <c r="I18" s="57" t="n"/>
    </row>
    <row r="19">
      <c r="A19" s="56" t="inlineStr">
        <is>
          <t>7</t>
        </is>
      </c>
      <c r="B19" s="56" t="inlineStr">
        <is>
          <t>Agave / penca</t>
        </is>
      </c>
      <c r="C19" s="56" t="inlineStr">
        <is>
          <t>Agave americana</t>
        </is>
      </c>
      <c r="D19" s="56" t="inlineStr">
        <is>
          <t>Asparagaceae</t>
        </is>
      </c>
      <c r="E19" s="56" t="inlineStr">
        <is>
          <t>Arbustivo alto (1.5-4 m)</t>
        </is>
      </c>
      <c r="F19" s="56" t="inlineStr">
        <is>
          <t>Introducida</t>
        </is>
      </c>
      <c r="G19" s="56" t="inlineStr">
        <is>
          <t>Ocasional (1-5%)</t>
        </is>
      </c>
      <c r="H19" s="56" t="n"/>
      <c r="I19" s="56" t="n"/>
    </row>
    <row r="20">
      <c r="A20" s="57" t="inlineStr">
        <is>
          <t>8</t>
        </is>
      </c>
      <c r="B20" s="57" t="inlineStr">
        <is>
          <t>Pastos cultivados</t>
        </is>
      </c>
      <c r="C20" s="57" t="inlineStr">
        <is>
          <t>Poaceae cultivadas (por determinar)</t>
        </is>
      </c>
      <c r="D20" s="57" t="inlineStr">
        <is>
          <t>Poaceae</t>
        </is>
      </c>
      <c r="E20" s="57" t="inlineStr">
        <is>
          <t>Herbáceo (&lt;0.5 m)</t>
        </is>
      </c>
      <c r="F20" s="57" t="inlineStr">
        <is>
          <t>Introducida</t>
        </is>
      </c>
      <c r="G20" s="57" t="inlineStr">
        <is>
          <t>Abundante (20-40%)</t>
        </is>
      </c>
      <c r="H20" s="57" t="n"/>
      <c r="I20" s="57" t="n"/>
    </row>
    <row r="21">
      <c r="A21" s="56" t="inlineStr">
        <is>
          <t>9</t>
        </is>
      </c>
      <c r="B21" s="56" t="inlineStr">
        <is>
          <t>Pastos naturales</t>
        </is>
      </c>
      <c r="C21" s="56" t="inlineStr">
        <is>
          <t>Poaceae nativas (por determinar)</t>
        </is>
      </c>
      <c r="D21" s="56" t="inlineStr">
        <is>
          <t>Poaceae</t>
        </is>
      </c>
      <c r="E21" s="56" t="inlineStr">
        <is>
          <t>Herbáceo (&lt;0.5 m)</t>
        </is>
      </c>
      <c r="F21" s="56" t="inlineStr">
        <is>
          <t>Nativa</t>
        </is>
      </c>
      <c r="G21" s="56" t="inlineStr">
        <is>
          <t>Frecuente (5-20%)</t>
        </is>
      </c>
      <c r="H21" s="56" t="n"/>
      <c r="I21" s="56" t="n"/>
    </row>
    <row r="22">
      <c r="A22" s="57" t="inlineStr">
        <is>
          <t>10</t>
        </is>
      </c>
      <c r="B22" s="57" t="inlineStr">
        <is>
          <t>Maíz (cultivo)</t>
        </is>
      </c>
      <c r="C22" s="57" t="inlineStr">
        <is>
          <t>Zea mays</t>
        </is>
      </c>
      <c r="D22" s="57" t="inlineStr">
        <is>
          <t>Poaceae</t>
        </is>
      </c>
      <c r="E22" s="57" t="inlineStr">
        <is>
          <t>Herbáceo (&lt;0.5 m)</t>
        </is>
      </c>
      <c r="F22" s="57" t="inlineStr">
        <is>
          <t>Introducida</t>
        </is>
      </c>
      <c r="G22" s="57" t="inlineStr">
        <is>
          <t>Ocasional (1-5%)</t>
        </is>
      </c>
      <c r="H22" s="57" t="n"/>
      <c r="I22" s="57" t="n"/>
    </row>
    <row r="24">
      <c r="A24" s="54" t="inlineStr">
        <is>
          <t>F-DT-03 · ESPECIES CLAVE GEORREFERENCIADAS</t>
        </is>
      </c>
    </row>
    <row r="25">
      <c r="A25" s="55" t="inlineStr">
        <is>
          <t>N.o</t>
        </is>
      </c>
      <c r="B25" s="55" t="inlineStr">
        <is>
          <t>Especie</t>
        </is>
      </c>
      <c r="C25" s="55" t="inlineStr">
        <is>
          <t>Categoría</t>
        </is>
      </c>
      <c r="D25" s="55" t="inlineStr">
        <is>
          <t>Estado UICN</t>
        </is>
      </c>
      <c r="E25" s="55" t="inlineStr">
        <is>
          <t>UTM ESTE</t>
        </is>
      </c>
      <c r="F25" s="55" t="inlineStr">
        <is>
          <t>UTM NORTE</t>
        </is>
      </c>
      <c r="G25" s="55" t="inlineStr">
        <is>
          <t>N.° individuos</t>
        </is>
      </c>
      <c r="H25" s="55" t="inlineStr">
        <is>
          <t>Observación</t>
        </is>
      </c>
    </row>
    <row r="26">
      <c r="A26" s="56" t="inlineStr">
        <is>
          <t>1</t>
        </is>
      </c>
      <c r="B26" s="56" t="inlineStr">
        <is>
          <t>Pinus sp. / Eucalyptus globulus / Cupressus macrocarpa</t>
        </is>
      </c>
      <c r="C26" s="56" t="inlineStr">
        <is>
          <t>Indicadora de perturbación</t>
        </is>
      </c>
      <c r="D26" s="56" t="inlineStr">
        <is>
          <t>No aplica</t>
        </is>
      </c>
      <c r="E26" s="61" t="n">
        <v>657714</v>
      </c>
      <c r="F26" s="61" t="n">
        <v>9373163</v>
      </c>
      <c r="G26" s="56" t="n"/>
      <c r="H26" s="56" t="inlineStr">
        <is>
          <t>Plantaciones exóticas de alta demanda hídrica en la cresta y tercio superior de un bloque de cabecera: pasivo para la regulación hídrica</t>
        </is>
      </c>
    </row>
    <row r="27">
      <c r="A27" s="57" t="inlineStr">
        <is>
          <t>2</t>
        </is>
      </c>
      <c r="B27" s="57" t="inlineStr">
        <is>
          <t>Baccharis latifolia (chilca)</t>
        </is>
      </c>
      <c r="C27" s="57" t="inlineStr">
        <is>
          <t>Indicadora de perturbación</t>
        </is>
      </c>
      <c r="D27" s="57" t="inlineStr">
        <is>
          <t>No aplica</t>
        </is>
      </c>
      <c r="E27" s="62" t="n">
        <v>657092</v>
      </c>
      <c r="F27" s="62" t="n">
        <v>9373324</v>
      </c>
      <c r="G27" s="57" t="n"/>
      <c r="H27" s="57" t="inlineStr">
        <is>
          <t>Pionera colonizadora de taludes y material removido: primera opción para estabilización biológica de la cicatriz y de los cortes de la trocha</t>
        </is>
      </c>
    </row>
    <row r="28">
      <c r="A28" s="56" t="inlineStr">
        <is>
          <t>3</t>
        </is>
      </c>
      <c r="B28" s="56" t="inlineStr">
        <is>
          <t>Guadua angustifolia (caña guayaquil)</t>
        </is>
      </c>
      <c r="C28" s="56" t="inlineStr">
        <is>
          <t>Clave cultural</t>
        </is>
      </c>
      <c r="D28" s="56" t="inlineStr">
        <is>
          <t>No aplica</t>
        </is>
      </c>
      <c r="E28" s="61" t="n">
        <v>656960</v>
      </c>
      <c r="F28" s="61" t="n">
        <v>9373369</v>
      </c>
      <c r="G28" s="56" t="n"/>
      <c r="H28" s="56" t="inlineStr">
        <is>
          <t>Nativa de fondo de quebrada, alto valor de uso y de control de socavamiento de márgenes</t>
        </is>
      </c>
    </row>
    <row r="29">
      <c r="A29" s="57" t="inlineStr">
        <is>
          <t>4</t>
        </is>
      </c>
      <c r="B29" s="57" t="inlineStr">
        <is>
          <t>Agave americana (penca)</t>
        </is>
      </c>
      <c r="C29" s="57" t="inlineStr">
        <is>
          <t>Indicadora de perturbación</t>
        </is>
      </c>
      <c r="D29" s="57" t="inlineStr">
        <is>
          <t>No aplica</t>
        </is>
      </c>
      <c r="E29" s="62" t="n">
        <v>657095</v>
      </c>
      <c r="F29" s="62" t="n">
        <v>9373326</v>
      </c>
      <c r="G29" s="57" t="n"/>
      <c r="H29" s="57" t="inlineStr">
        <is>
          <t>Marca los subsectores de mayor insolación y déficit hídrico edáfico; uso tradicional en cercos vivos</t>
        </is>
      </c>
    </row>
    <row r="31">
      <c r="A31" s="54" t="inlineStr">
        <is>
          <t>F-DT-04 · MATRIZ DE CAUSAS DE DEGRADACIÓN</t>
        </is>
      </c>
    </row>
    <row r="32">
      <c r="A32" s="55" t="inlineStr">
        <is>
          <t>N.o</t>
        </is>
      </c>
      <c r="B32" s="55" t="inlineStr">
        <is>
          <t>Causa</t>
        </is>
      </c>
      <c r="C32" s="55" t="inlineStr">
        <is>
          <t>Presencia</t>
        </is>
      </c>
      <c r="D32" s="55" t="inlineStr">
        <is>
          <t>Intensidad</t>
        </is>
      </c>
      <c r="E32" s="55" t="inlineStr">
        <is>
          <t>Extensión</t>
        </is>
      </c>
      <c r="F32" s="55" t="inlineStr">
        <is>
          <t>Antigüedad</t>
        </is>
      </c>
      <c r="G32" s="55" t="inlineStr">
        <is>
          <t>Evidencia</t>
        </is>
      </c>
    </row>
    <row r="33">
      <c r="A33" s="56" t="inlineStr">
        <is>
          <t>1</t>
        </is>
      </c>
      <c r="B33" s="56" t="inlineStr">
        <is>
          <t>Sobrepastoreo (caprino/vacuno)</t>
        </is>
      </c>
      <c r="C33" s="56" t="inlineStr">
        <is>
          <t>Sí</t>
        </is>
      </c>
      <c r="D33" s="56" t="inlineStr">
        <is>
          <t>Moderada</t>
        </is>
      </c>
      <c r="E33" s="56" t="inlineStr"/>
      <c r="F33" s="56" t="inlineStr">
        <is>
          <t>Por determinar</t>
        </is>
      </c>
      <c r="G33" s="56" t="inlineStr">
        <is>
          <t>Pastizales cultivados y naturales en el tercio medio e inferior con superficie descubierta entre matas (E-05, E-06, E-07)</t>
        </is>
      </c>
    </row>
    <row r="34">
      <c r="A34" s="57" t="inlineStr">
        <is>
          <t>2</t>
        </is>
      </c>
      <c r="B34" s="57" t="inlineStr">
        <is>
          <t>Tala para leña</t>
        </is>
      </c>
      <c r="C34" s="57" t="inlineStr">
        <is>
          <t>Sí</t>
        </is>
      </c>
      <c r="D34" s="57" t="inlineStr">
        <is>
          <t>Ligera</t>
        </is>
      </c>
      <c r="E34" s="57" t="inlineStr"/>
      <c r="F34" s="57" t="inlineStr">
        <is>
          <t>Por determinar</t>
        </is>
      </c>
      <c r="G34" s="57" t="inlineStr">
        <is>
          <t>Extracción no cuantificada; sin acopios de leña registrados en las estaciones recorridas</t>
        </is>
      </c>
    </row>
    <row r="35">
      <c r="A35" s="56" t="inlineStr">
        <is>
          <t>3</t>
        </is>
      </c>
      <c r="B35" s="56" t="inlineStr">
        <is>
          <t>Tala para carbón</t>
        </is>
      </c>
      <c r="C35" s="56" t="inlineStr">
        <is>
          <t>No</t>
        </is>
      </c>
      <c r="D35" s="56" t="inlineStr">
        <is>
          <t>Nula</t>
        </is>
      </c>
      <c r="E35" s="56" t="inlineStr"/>
      <c r="F35" s="56" t="inlineStr"/>
      <c r="G35" s="56" t="inlineStr">
        <is>
          <t>Sin hornos ni evidencia observada en el recorrido</t>
        </is>
      </c>
    </row>
    <row r="36">
      <c r="A36" s="57" t="inlineStr">
        <is>
          <t>4</t>
        </is>
      </c>
      <c r="B36" s="57" t="inlineStr">
        <is>
          <t>Tala para madera</t>
        </is>
      </c>
      <c r="C36" s="57" t="inlineStr">
        <is>
          <t>Sí</t>
        </is>
      </c>
      <c r="D36" s="57" t="inlineStr">
        <is>
          <t>Moderada</t>
        </is>
      </c>
      <c r="E36" s="57" t="inlineStr"/>
      <c r="F36" s="57" t="inlineStr">
        <is>
          <t>Por determinar</t>
        </is>
      </c>
      <c r="G36" s="57" t="inlineStr">
        <is>
          <t>Plantaciones de pino y eucalipto en cresta y tercio superior con evidencia de aprovechamiento (E-08, E-11)</t>
        </is>
      </c>
    </row>
    <row r="37">
      <c r="A37" s="56" t="inlineStr">
        <is>
          <t>5</t>
        </is>
      </c>
      <c r="B37" s="56" t="inlineStr">
        <is>
          <t>Quema (renovación de pastos)</t>
        </is>
      </c>
      <c r="C37" s="56" t="inlineStr"/>
      <c r="D37" s="56" t="inlineStr"/>
      <c r="E37" s="56" t="inlineStr"/>
      <c r="F37" s="56" t="inlineStr"/>
      <c r="G37" s="56" t="inlineStr"/>
    </row>
    <row r="38">
      <c r="A38" s="57" t="inlineStr">
        <is>
          <t>6</t>
        </is>
      </c>
      <c r="B38" s="57" t="inlineStr">
        <is>
          <t>Quema accidental / Incendio</t>
        </is>
      </c>
      <c r="C38" s="57" t="inlineStr"/>
      <c r="D38" s="57" t="inlineStr"/>
      <c r="E38" s="57" t="inlineStr"/>
      <c r="F38" s="57" t="inlineStr"/>
      <c r="G38" s="57" t="inlineStr"/>
    </row>
    <row r="39">
      <c r="A39" s="56" t="inlineStr">
        <is>
          <t>7</t>
        </is>
      </c>
      <c r="B39" s="56" t="inlineStr">
        <is>
          <t>Cambio de uso a agricultura</t>
        </is>
      </c>
      <c r="C39" s="56" t="inlineStr">
        <is>
          <t>Sí</t>
        </is>
      </c>
      <c r="D39" s="56" t="inlineStr">
        <is>
          <t>Moderada</t>
        </is>
      </c>
      <c r="E39" s="56" t="inlineStr"/>
      <c r="F39" s="56" t="inlineStr">
        <is>
          <t>Por determinar</t>
        </is>
      </c>
      <c r="G39" s="56" t="inlineStr">
        <is>
          <t>Parcelas de maíz y frutales en franjas de ladera dentro del borde sur y oriental (E-06, E-07, E-10)</t>
        </is>
      </c>
    </row>
    <row r="40">
      <c r="A40" s="57" t="inlineStr">
        <is>
          <t>8</t>
        </is>
      </c>
      <c r="B40" s="57" t="inlineStr">
        <is>
          <t>Cambio de uso a pastoreo</t>
        </is>
      </c>
      <c r="C40" s="57" t="inlineStr">
        <is>
          <t>Sí</t>
        </is>
      </c>
      <c r="D40" s="57" t="inlineStr">
        <is>
          <t>Moderada</t>
        </is>
      </c>
      <c r="E40" s="57" t="inlineStr"/>
      <c r="F40" s="57" t="inlineStr">
        <is>
          <t>Por determinar</t>
        </is>
      </c>
      <c r="G40" s="57" t="inlineStr">
        <is>
          <t>Conversión a pastizal cultivado en el tercio medio; competencia con la regeneración natural</t>
        </is>
      </c>
    </row>
    <row r="41">
      <c r="A41" s="56" t="inlineStr">
        <is>
          <t>9</t>
        </is>
      </c>
      <c r="B41" s="56" t="inlineStr">
        <is>
          <t>Expansión urbana / vial</t>
        </is>
      </c>
      <c r="C41" s="56" t="inlineStr">
        <is>
          <t>Sí</t>
        </is>
      </c>
      <c r="D41" s="56" t="inlineStr">
        <is>
          <t>Fuerte</t>
        </is>
      </c>
      <c r="E41" s="56" t="inlineStr"/>
      <c r="F41" s="56" t="inlineStr">
        <is>
          <t>&lt; 2 años</t>
        </is>
      </c>
      <c r="G41" s="56" t="inlineStr">
        <is>
          <t>CAUSA DOMINANTE DEL BORDE. Trocha carrozable de apertura reciente sobre el límite norte, a 12 m del polígono, con taludes de corte sin banquetas, cunetas ni revegetación y plataforma con material sin confinar (E-03, E-04, E-08 a E-11)</t>
        </is>
      </c>
    </row>
    <row r="42">
      <c r="A42" s="57" t="inlineStr">
        <is>
          <t>10</t>
        </is>
      </c>
      <c r="B42" s="57" t="inlineStr">
        <is>
          <t>Minería informal</t>
        </is>
      </c>
      <c r="C42" s="57" t="inlineStr"/>
      <c r="D42" s="57" t="inlineStr"/>
      <c r="E42" s="57" t="inlineStr"/>
      <c r="F42" s="57" t="inlineStr"/>
      <c r="G42" s="57" t="inlineStr"/>
    </row>
    <row r="43">
      <c r="A43" s="56" t="inlineStr">
        <is>
          <t>11</t>
        </is>
      </c>
      <c r="B43" s="56" t="inlineStr">
        <is>
          <t>Extracción de áridos (cauces)</t>
        </is>
      </c>
      <c r="C43" s="56" t="inlineStr"/>
      <c r="D43" s="56" t="inlineStr"/>
      <c r="E43" s="56" t="inlineStr"/>
      <c r="F43" s="56" t="inlineStr"/>
      <c r="G43" s="56" t="inlineStr"/>
    </row>
    <row r="44">
      <c r="A44" s="57" t="inlineStr">
        <is>
          <t>12</t>
        </is>
      </c>
      <c r="B44" s="57" t="inlineStr">
        <is>
          <t>Especies invasoras</t>
        </is>
      </c>
      <c r="C44" s="57" t="inlineStr"/>
      <c r="D44" s="57" t="inlineStr"/>
      <c r="E44" s="57" t="inlineStr"/>
      <c r="F44" s="57" t="inlineStr"/>
      <c r="G44" s="57" t="inlineStr"/>
    </row>
    <row r="45">
      <c r="A45" s="56" t="inlineStr">
        <is>
          <t>13</t>
        </is>
      </c>
      <c r="B45" s="56" t="inlineStr">
        <is>
          <t>Erosión natural severa</t>
        </is>
      </c>
      <c r="C45" s="56" t="inlineStr">
        <is>
          <t>Sí</t>
        </is>
      </c>
      <c r="D45" s="56" t="inlineStr">
        <is>
          <t>Fuerte</t>
        </is>
      </c>
      <c r="E45" s="56" t="inlineStr"/>
      <c r="F45" s="56" t="inlineStr">
        <is>
          <t>&lt; 2 años</t>
        </is>
      </c>
      <c r="G45" s="56" t="inlineStr">
        <is>
          <t>Cicatriz de remoción en masa y canal de evacuación con material grueso y bancos socavados en el sector noroccidental (E-01, E-02); coincide con el núcleo MSAVI de cobertura muy escasa y crítica</t>
        </is>
      </c>
    </row>
    <row r="46">
      <c r="A46" s="57" t="inlineStr">
        <is>
          <t>14</t>
        </is>
      </c>
      <c r="B46" s="57" t="inlineStr">
        <is>
          <t>Sequía prolongada / CC</t>
        </is>
      </c>
      <c r="C46" s="57" t="inlineStr"/>
      <c r="D46" s="57" t="inlineStr"/>
      <c r="E46" s="57" t="inlineStr"/>
      <c r="F46" s="57" t="inlineStr"/>
      <c r="G46" s="57" t="inlineStr"/>
    </row>
    <row r="47">
      <c r="A47" s="56" t="inlineStr">
        <is>
          <t>15</t>
        </is>
      </c>
      <c r="B47" s="56" t="inlineStr">
        <is>
          <t>Plagas o enfermedades forestales</t>
        </is>
      </c>
      <c r="C47" s="56" t="inlineStr"/>
      <c r="D47" s="56" t="inlineStr"/>
      <c r="E47" s="56" t="inlineStr"/>
      <c r="F47" s="56" t="inlineStr"/>
      <c r="G47" s="56" t="inlineStr"/>
    </row>
    <row r="48">
      <c r="A48" s="57" t="inlineStr">
        <is>
          <t>16</t>
        </is>
      </c>
      <c r="B48" s="57" t="inlineStr">
        <is>
          <t>Otro</t>
        </is>
      </c>
      <c r="C48" s="57" t="inlineStr"/>
      <c r="D48" s="57" t="inlineStr"/>
      <c r="E48" s="57" t="inlineStr"/>
      <c r="F48" s="57" t="inlineStr"/>
      <c r="G48" s="57" t="inlineStr"/>
    </row>
    <row r="50">
      <c r="A50" s="54" t="inlineStr">
        <is>
          <t>F-DT-04 · INDICADORES CUANTITATIVOS</t>
        </is>
      </c>
    </row>
    <row r="51">
      <c r="A51" s="55" t="inlineStr">
        <is>
          <t>N.o</t>
        </is>
      </c>
      <c r="B51" s="55" t="inlineStr">
        <is>
          <t>Indicador</t>
        </is>
      </c>
      <c r="C51" s="55" t="inlineStr">
        <is>
          <t>Unidad</t>
        </is>
      </c>
      <c r="D51" s="55" t="inlineStr">
        <is>
          <t>Valor</t>
        </is>
      </c>
      <c r="E51" s="55" t="inlineStr">
        <is>
          <t>Fuente</t>
        </is>
      </c>
      <c r="F51" s="55" t="inlineStr">
        <is>
          <t>Umbral</t>
        </is>
      </c>
      <c r="G51" s="55" t="inlineStr">
        <is>
          <t>Nivel</t>
        </is>
      </c>
    </row>
    <row r="52">
      <c r="A52" s="56" t="inlineStr">
        <is>
          <t>1</t>
        </is>
      </c>
      <c r="B52" s="56" t="inlineStr">
        <is>
          <t>Cobertura vegetal total</t>
        </is>
      </c>
      <c r="C52" s="56" t="inlineStr">
        <is>
          <t>%</t>
        </is>
      </c>
      <c r="D52" s="56" t="inlineStr">
        <is>
          <t>Por determinar</t>
        </is>
      </c>
      <c r="E52" s="56" t="inlineStr">
        <is>
          <t>Pendiente de medición en campo</t>
        </is>
      </c>
      <c r="F52" s="56" t="inlineStr">
        <is>
          <t>&gt;60% bueno; 30-60% medio; &lt;30% malo</t>
        </is>
      </c>
      <c r="G52" s="56" t="inlineStr"/>
    </row>
    <row r="53">
      <c r="A53" s="57" t="inlineStr">
        <is>
          <t>2</t>
        </is>
      </c>
      <c r="B53" s="57" t="inlineStr">
        <is>
          <t>Porcentaje de suelo desnudo</t>
        </is>
      </c>
      <c r="C53" s="57" t="inlineStr">
        <is>
          <t>%</t>
        </is>
      </c>
      <c r="D53" s="57" t="inlineStr">
        <is>
          <t>Por determinar</t>
        </is>
      </c>
      <c r="E53" s="57" t="inlineStr">
        <is>
          <t>Pendiente de medición en campo</t>
        </is>
      </c>
      <c r="F53" s="57" t="inlineStr">
        <is>
          <t>&lt;10% bueno; 10-30% medio; &gt;30% malo</t>
        </is>
      </c>
      <c r="G53" s="57" t="inlineStr"/>
    </row>
    <row r="54">
      <c r="A54" s="56" t="inlineStr">
        <is>
          <t>3</t>
        </is>
      </c>
      <c r="B54" s="56" t="inlineStr">
        <is>
          <t>Densidad de cárcavas</t>
        </is>
      </c>
      <c r="C54" s="56" t="inlineStr">
        <is>
          <t>N°/ha</t>
        </is>
      </c>
      <c r="D54" s="56" t="inlineStr">
        <is>
          <t>Por determinar</t>
        </is>
      </c>
      <c r="E54" s="56" t="inlineStr">
        <is>
          <t>Inventario de cárcavas no ejecutado</t>
        </is>
      </c>
      <c r="F54" s="56" t="inlineStr">
        <is>
          <t>0 nulo; 1-3 medio; &gt;3 alto</t>
        </is>
      </c>
      <c r="G54" s="56" t="inlineStr"/>
    </row>
    <row r="55">
      <c r="A55" s="57" t="inlineStr">
        <is>
          <t>4</t>
        </is>
      </c>
      <c r="B55" s="57" t="inlineStr">
        <is>
          <t>Presencia de especies invasoras</t>
        </is>
      </c>
      <c r="C55" s="57" t="inlineStr">
        <is>
          <t>% área</t>
        </is>
      </c>
      <c r="D55" s="57" t="inlineStr">
        <is>
          <t>Por determinar</t>
        </is>
      </c>
      <c r="E55" s="57" t="inlineStr">
        <is>
          <t>Sin verificación</t>
        </is>
      </c>
      <c r="F55" s="57" t="inlineStr">
        <is>
          <t>&lt;5% bueno; 5-20% medio; &gt;20% alto</t>
        </is>
      </c>
      <c r="G55" s="57" t="inlineStr"/>
    </row>
    <row r="56">
      <c r="A56" s="56" t="inlineStr">
        <is>
          <t>5</t>
        </is>
      </c>
      <c r="B56" s="56" t="inlineStr">
        <is>
          <t>Carga ganadera estimada</t>
        </is>
      </c>
      <c r="C56" s="56" t="inlineStr">
        <is>
          <t>UA/ha</t>
        </is>
      </c>
      <c r="D56" s="56" t="inlineStr">
        <is>
          <t>Por determinar</t>
        </is>
      </c>
      <c r="E56" s="56" t="inlineStr">
        <is>
          <t>Sin conteo de ganado</t>
        </is>
      </c>
      <c r="F56" s="56" t="inlineStr">
        <is>
          <t>Según tipo de ecosistema</t>
        </is>
      </c>
      <c r="G56" s="56" t="inlineStr"/>
    </row>
    <row r="57">
      <c r="A57" s="57" t="inlineStr">
        <is>
          <t>6</t>
        </is>
      </c>
      <c r="B57" s="57" t="inlineStr">
        <is>
          <t>Frecuencia de quemas últimos 5 años</t>
        </is>
      </c>
      <c r="C57" s="57" t="inlineStr">
        <is>
          <t>N°</t>
        </is>
      </c>
      <c r="D57" s="57" t="inlineStr">
        <is>
          <t>Por determinar</t>
        </is>
      </c>
      <c r="E57" s="57" t="inlineStr">
        <is>
          <t>Sin registro de quemas</t>
        </is>
      </c>
      <c r="F57" s="57" t="inlineStr">
        <is>
          <t>0 nulo; 1-2 medio; &gt;2 alto</t>
        </is>
      </c>
      <c r="G57" s="57" t="inlineStr"/>
    </row>
    <row r="58">
      <c r="A58" s="56" t="inlineStr">
        <is>
          <t>7</t>
        </is>
      </c>
      <c r="B58" s="56" t="inlineStr">
        <is>
          <t>% área con pendiente &gt;50%</t>
        </is>
      </c>
      <c r="C58" s="56" t="inlineStr">
        <is>
          <t>%</t>
        </is>
      </c>
      <c r="D58" s="56" t="inlineStr">
        <is>
          <t>Por determinar</t>
        </is>
      </c>
      <c r="E58" s="56" t="inlineStr">
        <is>
          <t>Pendiente estadística zonal sobre MDE</t>
        </is>
      </c>
      <c r="F58" s="56" t="inlineStr">
        <is>
          <t>Factor de susceptibilidad</t>
        </is>
      </c>
      <c r="G58" s="56" t="inlineStr"/>
    </row>
    <row r="59">
      <c r="A59" s="57" t="inlineStr">
        <is>
          <t>8</t>
        </is>
      </c>
      <c r="B59" s="57" t="inlineStr">
        <is>
          <t>Distancia a vía vecinal más cercana</t>
        </is>
      </c>
      <c r="C59" s="57" t="inlineStr">
        <is>
          <t>m</t>
        </is>
      </c>
      <c r="D59" s="57" t="inlineStr">
        <is>
          <t>≈ 12</t>
        </is>
      </c>
      <c r="E59" s="57" t="inlineStr">
        <is>
          <t>Medición sobre plano MSAVI georreferenciado</t>
        </is>
      </c>
      <c r="F59" s="57" t="inlineStr">
        <is>
          <t>A menor distancia → mayor presión</t>
        </is>
      </c>
      <c r="G59" s="57" t="inlineStr">
        <is>
          <t>Alto</t>
        </is>
      </c>
    </row>
    <row r="61">
      <c r="A61" s="54" t="inlineStr">
        <is>
          <t>F-DT-05 · FUENTES DE AGUA INVENTARIADAS</t>
        </is>
      </c>
    </row>
    <row r="62">
      <c r="A62" s="55" t="inlineStr">
        <is>
          <t>N.o</t>
        </is>
      </c>
      <c r="B62" s="55" t="inlineStr">
        <is>
          <t>Tipo de fuente</t>
        </is>
      </c>
      <c r="C62" s="55" t="inlineStr">
        <is>
          <t>UTM ESTE</t>
        </is>
      </c>
      <c r="D62" s="55" t="inlineStr">
        <is>
          <t>UTM NORTE</t>
        </is>
      </c>
      <c r="E62" s="55" t="inlineStr">
        <is>
          <t>Régimen</t>
        </is>
      </c>
      <c r="F62" s="55" t="inlineStr">
        <is>
          <t>Calidad</t>
        </is>
      </c>
      <c r="G62" s="55" t="inlineStr">
        <is>
          <t>Distancia (m)</t>
        </is>
      </c>
      <c r="H62" s="55" t="inlineStr">
        <is>
          <t>Uso / observación</t>
        </is>
      </c>
    </row>
    <row r="63">
      <c r="A63" s="56" t="inlineStr">
        <is>
          <t>1</t>
        </is>
      </c>
      <c r="B63" s="56" t="inlineStr">
        <is>
          <t>Quebrada estacional</t>
        </is>
      </c>
      <c r="C63" s="61" t="n">
        <v>656960</v>
      </c>
      <c r="D63" s="61" t="n">
        <v>9373371</v>
      </c>
      <c r="E63" s="56" t="inlineStr">
        <is>
          <t>Intermitente</t>
        </is>
      </c>
      <c r="F63" s="56" t="inlineStr">
        <is>
          <t>Mala (turbia, con olor o color)</t>
        </is>
      </c>
      <c r="G63" s="61" t="n">
        <v>25</v>
      </c>
      <c r="H63" s="56" t="inlineStr">
        <is>
          <t>Canal encajonado con agua encharcada turbia en plena época seca (19-08-2026, 11:40 h); bancos socavados y arrastre de material grueso. Tributaria de la Q9593. Titularidad y uso por verificar.</t>
        </is>
      </c>
    </row>
    <row r="66">
      <c r="A66" s="54" t="inlineStr">
        <is>
          <t>OBSERVACIONES DEL EVALUADOR POR FICHA</t>
        </is>
      </c>
    </row>
    <row r="67">
      <c r="A67" s="55" t="inlineStr">
        <is>
          <t>Ficha</t>
        </is>
      </c>
      <c r="B67" s="55" t="inlineStr">
        <is>
          <t>Observación registrada en campo</t>
        </is>
      </c>
    </row>
    <row r="68">
      <c r="A68" s="56" t="inlineStr">
        <is>
          <t>F-DT-03</t>
        </is>
      </c>
      <c r="B68" s="56" t="inlineStr">
        <is>
          <t>Ficha NO diligenciada en campo. Lista florística PRELIMINAR e INCOMPLETA: 10 registros frente al mínimo de 15 exigido por el formato; faltan 5. Binomios no confirmados taxonómicamente; sin colecta botánica ni parcela de muestreo instalada. Coberturas por estrato, alturas, DAP, regeneración natural y epífitas NO fueron medidas y se dejan en blanco por aplicación del principio de no fabricación de datos. Hallazgo sustantivo: seis de los diez taxones son introducidos o cultivos (pino, eucalipto, ciprés, agave, pastos cultivados y maíz), de modo que la fracción efectivamente natural del inventario es minoritaria; la superficie de cultivos y pastos cultivados debe excluirse del área efectiva en el tamizaje predial. La adscripción a Matorral Andino subhúmedo procede de la lectura de campo y del rango altitudinal (2 180 – 2 491 msnm, Quechua alta) y debe confrontarse con el REPORTE_ECOSISTEMAS_BLOQUES_V5, dado que los bloques vecinos de la microcuenca C1076-Q9593 figuran catalogados como Bes-cm.</t>
        </is>
      </c>
    </row>
    <row r="69">
      <c r="A69" s="57" t="inlineStr">
        <is>
          <t>F-DT-05</t>
        </is>
      </c>
      <c r="B69" s="57" t="inlineStr">
        <is>
          <t>Ficha NO diligenciada en campo. Se registra una sola fuente, digitalizada desde las fotografías E-01 y E-02; no se levantaron manantiales, captaciones ni infraestructura de riego con GPS. Bloque en posición de CABECERA: divisoria del macizo a 2 491 msnm y drenaje propio hacia la quebrada tributaria de la Q9593, lo que lo sitúa en la ZONA DE ORIGEN del peligro generador de inundaciones (PGI). La presencia de agua encharcada en agosto sugiere un régimen más persistente que el estacional y debe verificarse. Pendientes: JASS, captación poblacional, distancias y tiempos de viaje, señal celular y operador, alojamiento rural, interferencia con obras de riego y autorización de Ronda Campesina. Los campos con lista controlada (interferencia con riego, señal celular, operador, alojamiento y Ronda Campesina) se dejan EN BLANCO por no haber sido verificados, en aplicación del principio de no fabricación de datos.</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1"/>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80</t>
        </is>
      </c>
    </row>
    <row r="7">
      <c r="A7" s="54" t="inlineStr">
        <is>
          <t>Hechos declarados por fuente</t>
        </is>
      </c>
    </row>
    <row r="8">
      <c r="A8" s="55" t="inlineStr">
        <is>
          <t>Fuente</t>
        </is>
      </c>
      <c r="B8" s="55" t="inlineStr">
        <is>
          <t>Hechos</t>
        </is>
      </c>
    </row>
    <row r="9">
      <c r="A9" s="56" t="inlineStr">
        <is>
          <t>Dato de campo</t>
        </is>
      </c>
      <c r="B9" s="56" t="n">
        <v>52</v>
      </c>
    </row>
    <row r="10">
      <c r="A10" s="57" t="inlineStr">
        <is>
          <t>Gabinete (GIS / teledetección)</t>
        </is>
      </c>
      <c r="B10" s="57" t="n">
        <v>24</v>
      </c>
    </row>
    <row r="11">
      <c r="A11" s="56" t="inlineStr">
        <is>
          <t>Fuente oficial</t>
        </is>
      </c>
      <c r="B11" s="56" t="n">
        <v>14</v>
      </c>
    </row>
    <row r="28">
      <c r="A28" s="54" t="inlineStr">
        <is>
          <t>Estado del cruce entre fuentes</t>
        </is>
      </c>
    </row>
    <row r="29">
      <c r="A29" s="55" t="inlineStr">
        <is>
          <t>Estado</t>
        </is>
      </c>
      <c r="B29" s="55" t="inlineStr">
        <is>
          <t>Hechos</t>
        </is>
      </c>
    </row>
    <row r="30">
      <c r="A30" s="56" t="inlineStr">
        <is>
          <t>CONFORME</t>
        </is>
      </c>
      <c r="B30" s="56" t="n">
        <v>87</v>
      </c>
    </row>
    <row r="31">
      <c r="A31" s="57" t="inlineStr">
        <is>
          <t>COMPLEMENTADO</t>
        </is>
      </c>
      <c r="B31" s="57" t="n">
        <v>2</v>
      </c>
    </row>
    <row r="32">
      <c r="A32" s="56" t="inlineStr">
        <is>
          <t>ACTUALIZADO</t>
        </is>
      </c>
      <c r="B32" s="56" t="n">
        <v>1</v>
      </c>
    </row>
    <row r="33">
      <c r="A33" s="57" t="inlineStr">
        <is>
          <t>DISCREPANTE</t>
        </is>
      </c>
      <c r="B33" s="57" t="n">
        <v>0</v>
      </c>
    </row>
    <row r="34">
      <c r="A34" s="56" t="inlineStr">
        <is>
          <t>PENDIENTE</t>
        </is>
      </c>
      <c r="B34" s="56" t="n">
        <v>24</v>
      </c>
    </row>
    <row r="51">
      <c r="A51" s="54" t="inlineStr">
        <is>
          <t>Causas activas de degradación (F-DT-04)</t>
        </is>
      </c>
    </row>
    <row r="52">
      <c r="A52" s="55" t="inlineStr">
        <is>
          <t>Causa</t>
        </is>
      </c>
      <c r="B52" s="55" t="inlineStr">
        <is>
          <t>Intensidad (1 ligera - 4 muy fuerte)</t>
        </is>
      </c>
    </row>
    <row r="53">
      <c r="A53" s="56" t="inlineStr">
        <is>
          <t>Erosión natural severa</t>
        </is>
      </c>
      <c r="B53" s="56" t="n">
        <v>3</v>
      </c>
    </row>
    <row r="54">
      <c r="A54" s="57" t="inlineStr">
        <is>
          <t>Expansión urbana / vial</t>
        </is>
      </c>
      <c r="B54" s="57" t="n">
        <v>3</v>
      </c>
    </row>
    <row r="55">
      <c r="A55" s="56" t="inlineStr">
        <is>
          <t>Cambio de uso a agricultura</t>
        </is>
      </c>
      <c r="B55" s="56" t="n">
        <v>2</v>
      </c>
    </row>
    <row r="56">
      <c r="A56" s="57" t="inlineStr">
        <is>
          <t>Cambio de uso a pastoreo</t>
        </is>
      </c>
      <c r="B56" s="57" t="n">
        <v>2</v>
      </c>
    </row>
    <row r="57">
      <c r="A57" s="56" t="inlineStr">
        <is>
          <t>Sobrepastoreo (caprino/vacuno)</t>
        </is>
      </c>
      <c r="B57" s="56" t="n">
        <v>2</v>
      </c>
    </row>
    <row r="58">
      <c r="A58" s="57" t="inlineStr">
        <is>
          <t>Tala para madera</t>
        </is>
      </c>
      <c r="B58" s="57" t="n">
        <v>2</v>
      </c>
    </row>
    <row r="59">
      <c r="A59" s="56" t="inlineStr">
        <is>
          <t>Tala para leña</t>
        </is>
      </c>
      <c r="B59" s="56" t="n">
        <v>1</v>
      </c>
    </row>
    <row r="76">
      <c r="A76" s="54" t="inlineStr">
        <is>
          <t>Control de consistencia por calificación</t>
        </is>
      </c>
    </row>
    <row r="77">
      <c r="A77" s="55" t="inlineStr">
        <is>
          <t>Calificación</t>
        </is>
      </c>
      <c r="B77" s="55" t="inlineStr">
        <is>
          <t>Verificaciones</t>
        </is>
      </c>
    </row>
    <row r="78">
      <c r="A78" s="56" t="inlineStr">
        <is>
          <t>SUSTANTIVA</t>
        </is>
      </c>
      <c r="B78" s="56" t="n">
        <v>6</v>
      </c>
    </row>
    <row r="79">
      <c r="A79" s="57" t="inlineStr">
        <is>
          <t>NO SUSTANTIVA</t>
        </is>
      </c>
      <c r="B79" s="57" t="n">
        <v>4</v>
      </c>
    </row>
    <row r="80">
      <c r="A80" s="56" t="inlineStr">
        <is>
          <t>CORREGIDO</t>
        </is>
      </c>
      <c r="B80" s="56" t="n">
        <v>1</v>
      </c>
    </row>
    <row r="81">
      <c r="A81" s="57" t="inlineStr">
        <is>
          <t>CONFORME</t>
        </is>
      </c>
      <c r="B81" s="57" t="n">
        <v>11</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80 — IN Piura</dc:title>
  <dc:subject>Diagnóstico Territorial por bloque de intervención</dc:subject>
  <dcterms:created xsi:type="dcterms:W3CDTF">2026-09-08T03:39:57Z</dcterms:created>
  <dcterms:modified xsi:type="dcterms:W3CDTF">2026-09-11T20:22:33Z</dcterms:modified>
</cp:coreProperties>
</file>