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integración'!$A$66:$A$69</f>
            </numRef>
          </cat>
          <val>
            <numRef>
              <f>'Gráficos de integración'!$B$66:$B$69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47</t>
        </is>
      </c>
    </row>
    <row r="6" ht="24" customHeight="1">
      <c r="A6" s="4" t="inlineStr">
        <is>
          <t>Diagnóstico Territorial — Plantilla DT Campo Check Validada V5 | Sistema de referencia: UTM WGS 84 Zona 17S (EPSG:32717) · Integrado con la ficha de campo F-DT vigente (Plantilla_DT_Campo_Bloque47_IN_Piura.xlsx) — V7 - resumen V6 + campo F-DT integrado</t>
        </is>
      </c>
    </row>
    <row r="7"/>
    <row r="8" ht="18" customHeight="1">
      <c r="A8" s="5" t="inlineStr">
        <is>
          <t>1. IDENTIFICACIÓN Y LOCALIZACIÓN</t>
        </is>
      </c>
    </row>
    <row r="9">
      <c r="A9" s="6" t="inlineStr">
        <is>
          <t>Código del bloque</t>
        </is>
      </c>
      <c r="B9" s="7" t="inlineStr">
        <is>
          <t>47</t>
        </is>
      </c>
      <c r="C9" s="6" t="inlineStr">
        <is>
          <t>Microcuenca (catálogo)</t>
        </is>
      </c>
      <c r="D9" s="7" t="inlineStr">
        <is>
          <t>C1076-Q9586</t>
        </is>
      </c>
      <c r="E9" s="8" t="n"/>
      <c r="F9" s="8" t="n"/>
    </row>
    <row r="10">
      <c r="A10" s="6" t="inlineStr">
        <is>
          <t>Zona de planificación</t>
        </is>
      </c>
      <c r="B10" s="7" t="inlineStr">
        <is>
          <t>Z12</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Gáspar</t>
        </is>
      </c>
      <c r="C13" s="6" t="inlineStr">
        <is>
          <t>Comunidad campesina</t>
        </is>
      </c>
      <c r="D13" s="7" t="inlineStr">
        <is>
          <t>Por verificar</t>
        </is>
      </c>
      <c r="E13" s="8" t="n"/>
      <c r="F13" s="8" t="n"/>
    </row>
    <row r="14">
      <c r="A14" s="6" t="inlineStr">
        <is>
          <t>Superficie de catálogo (V5/V6), ha</t>
        </is>
      </c>
      <c r="B14" s="7" t="n">
        <v>13.55</v>
      </c>
      <c r="C14" s="6" t="inlineStr">
        <is>
          <t>Fuente de superficie</t>
        </is>
      </c>
      <c r="D14" s="7" t="inlineStr">
        <is>
          <t>Catálogo maestro Bloques V5/V6</t>
        </is>
      </c>
      <c r="E14" s="8" t="n"/>
      <c r="F14" s="8" t="n"/>
    </row>
    <row r="15">
      <c r="A15" s="6" t="inlineStr">
        <is>
          <t>Centroide UTM ESTE (m)</t>
        </is>
      </c>
      <c r="B15" s="7" t="n">
        <v>659649</v>
      </c>
      <c r="C15" s="6" t="inlineStr">
        <is>
          <t>Centroide UTM NORTE (m)</t>
        </is>
      </c>
      <c r="D15" s="7" t="n">
        <v>9401436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2105</v>
      </c>
      <c r="C19" s="6" t="inlineStr">
        <is>
          <t>Altitud máxima (msnm)</t>
        </is>
      </c>
      <c r="D19" s="7" t="n">
        <v>2333</v>
      </c>
      <c r="E19" s="8" t="n"/>
      <c r="F19" s="8" t="n"/>
    </row>
    <row r="20">
      <c r="A20" s="6" t="inlineStr">
        <is>
          <t>Amplitud altitudinal (m)</t>
        </is>
      </c>
      <c r="B20" s="7" t="n">
        <v>228</v>
      </c>
      <c r="C20" s="6" t="inlineStr">
        <is>
          <t>Piso altitudinal dominante</t>
        </is>
      </c>
      <c r="D20" s="7" t="inlineStr">
        <is>
          <t>2000-2500 m (Quechua alta)</t>
        </is>
      </c>
      <c r="E20" s="8" t="n"/>
      <c r="F20" s="8" t="n"/>
    </row>
    <row r="21">
      <c r="A21" s="6" t="inlineStr">
        <is>
          <t>Pendiente promedio (%)</t>
        </is>
      </c>
      <c r="B21" s="7" t="n">
        <v>32.43</v>
      </c>
      <c r="C21" s="6" t="inlineStr">
        <is>
          <t>Pendiente promedio (grados)</t>
        </is>
      </c>
      <c r="D21" s="7" t="n">
        <v>18</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0.5936</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(91.26 %)</t>
        </is>
      </c>
      <c r="E29" s="8" t="n"/>
      <c r="F29" s="8" t="n"/>
    </row>
    <row r="30">
      <c r="A30" s="6" t="inlineStr">
        <is>
          <t>Superficie clasificada NDVI 2025 (ha)</t>
        </is>
      </c>
      <c r="B30" s="7" t="n">
        <v>13.554</v>
      </c>
      <c r="C30" s="6" t="inlineStr">
        <is>
          <t>Desviación frente al catálogo (%)</t>
        </is>
      </c>
      <c r="D30" s="7" t="n">
        <v>0.03</v>
      </c>
      <c r="E30" s="8" t="n"/>
      <c r="F30" s="8" t="n"/>
    </row>
    <row r="31">
      <c r="A31" s="6" t="inlineStr">
        <is>
          <t>Superficie clasificada MSAVI 2024 (ha)</t>
        </is>
      </c>
      <c r="B31" s="38" t="n">
        <v>13.551</v>
      </c>
      <c r="C31" s="6" t="inlineStr">
        <is>
          <t>Desviación MSAVI frente al catálogo (%)</t>
        </is>
      </c>
      <c r="D31" s="39" t="n">
        <v>0.01</v>
      </c>
      <c r="E31" s="8" t="n"/>
      <c r="F31" s="8" t="n"/>
    </row>
    <row r="32">
      <c r="A32" s="6" t="inlineStr">
        <is>
          <t>Superficie bajo umbral MSAVI 0.4976 (ha)</t>
        </is>
      </c>
      <c r="B32" s="38" t="n">
        <v>1.334</v>
      </c>
      <c r="C32" s="6" t="inlineStr">
        <is>
          <t>% del bloque bajo umbral (brecha espectral)</t>
        </is>
      </c>
      <c r="D32" s="39" t="n">
        <v>9.84</v>
      </c>
      <c r="E32" s="8" t="n"/>
      <c r="F32" s="8" t="n"/>
    </row>
    <row r="33">
      <c r="A33" s="6" t="inlineStr">
        <is>
          <t>Clase DN dominante (MSAVI 2024)</t>
        </is>
      </c>
      <c r="B33" s="7" t="inlineStr">
        <is>
          <t>DN 4 · 0.4976 - 0.6139 (Vigor moderado)</t>
        </is>
      </c>
      <c r="C33" s="6" t="inlineStr">
        <is>
          <t>N.° de polígonos MSAVI del bloque</t>
        </is>
      </c>
      <c r="D33" s="40" t="n">
        <v>34</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5 ha</t>
        </is>
      </c>
      <c r="E36" s="8" t="n"/>
      <c r="F36" s="8" t="n"/>
    </row>
    <row r="37">
      <c r="A37" s="6" t="inlineStr">
        <is>
          <t>Estado de conservación</t>
        </is>
      </c>
      <c r="B37" s="7" t="inlineStr">
        <is>
          <t>Medianamente alterado</t>
        </is>
      </c>
      <c r="C37" s="6" t="inlineStr">
        <is>
          <t>Uso actual dominante del suelo</t>
        </is>
      </c>
      <c r="D37" s="7" t="inlineStr">
        <is>
          <t>Agricultura secano</t>
        </is>
      </c>
      <c r="E37" s="8" t="n"/>
      <c r="F37" s="8" t="n"/>
    </row>
    <row r="38">
      <c r="A38" s="6" t="inlineStr">
        <is>
          <t>Tipo de cobertura dominante</t>
        </is>
      </c>
      <c r="B38" s="7" t="inlineStr">
        <is>
          <t>Cultivo anual</t>
        </is>
      </c>
      <c r="C38" s="6" t="inlineStr">
        <is>
          <t>Cobertura vegetal total — campo (%)</t>
        </is>
      </c>
      <c r="D38" s="7" t="n">
        <v>20</v>
      </c>
      <c r="E38" s="8" t="n"/>
      <c r="F38" s="8" t="n"/>
    </row>
    <row r="39">
      <c r="A39" s="6" t="inlineStr">
        <is>
          <t>Suelo desnudo — campo (%)</t>
        </is>
      </c>
      <c r="B39" s="7" t="n">
        <v>2</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t>
        </is>
      </c>
      <c r="C44" s="6" t="inlineStr">
        <is>
          <t>Fecha de evaluación</t>
        </is>
      </c>
      <c r="D44" s="7" t="inlineStr">
        <is>
          <t>2026-08-04</t>
        </is>
      </c>
      <c r="E44" s="8" t="n"/>
      <c r="F44" s="8" t="n"/>
    </row>
    <row r="45">
      <c r="A45" s="6" t="inlineStr">
        <is>
          <t>Hora de registro</t>
        </is>
      </c>
      <c r="B45" s="7" t="inlineStr">
        <is>
          <t>10:22</t>
        </is>
      </c>
      <c r="C45" s="6" t="inlineStr">
        <is>
          <t>Correlativo de ficha</t>
        </is>
      </c>
      <c r="D45" s="7" t="inlineStr">
        <is>
          <t>F-DT-01/B47</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consignada</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Por determinar (no consignado en campo)</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47</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5.5901</v>
      </c>
      <c r="C10" s="19">
        <f>ROUND(B10/$B$15*100,2)</f>
        <v/>
      </c>
      <c r="D10" s="11" t="inlineStr">
        <is>
          <t>Vigor alto</t>
        </is>
      </c>
      <c r="E10" s="11" t="inlineStr">
        <is>
          <t>Sobre umbral</t>
        </is>
      </c>
    </row>
    <row r="11">
      <c r="A11" s="12" t="inlineStr">
        <is>
          <t>0.4976 - 0.6139 · DN 4</t>
        </is>
      </c>
      <c r="B11" s="32" t="n">
        <v>6.6276</v>
      </c>
      <c r="C11" s="31">
        <f>ROUND(B11/$B$15*100,2)</f>
        <v/>
      </c>
      <c r="D11" s="13" t="inlineStr">
        <is>
          <t>Vigor moderado</t>
        </is>
      </c>
      <c r="E11" s="13" t="inlineStr">
        <is>
          <t>Sobre umbral</t>
        </is>
      </c>
    </row>
    <row r="12">
      <c r="A12" s="7" t="inlineStr">
        <is>
          <t>0.3813 - 0.4976 · DN 3</t>
        </is>
      </c>
      <c r="B12" s="18" t="n">
        <v>1.3336</v>
      </c>
      <c r="C12" s="19">
        <f>ROUND(B12/$B$15*100,2)</f>
        <v/>
      </c>
      <c r="D12" s="11" t="inlineStr">
        <is>
          <t>Vigor bajo</t>
        </is>
      </c>
      <c r="E12" s="11" t="inlineStr">
        <is>
          <t>BAJO umbral 0.4976</t>
        </is>
      </c>
    </row>
    <row r="13">
      <c r="A13" s="14" t="inlineStr">
        <is>
          <t>0.2650 - 0.3813 · DN 2</t>
        </is>
      </c>
      <c r="B13" s="20" t="n">
        <v>0</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34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13.55</v>
      </c>
      <c r="C18" s="49" t="inlineStr">
        <is>
          <t>—</t>
        </is>
      </c>
      <c r="D18" s="46" t="inlineStr">
        <is>
          <t>Desviación planimétrica frente al catálogo</t>
        </is>
      </c>
      <c r="E18" s="46" t="inlineStr">
        <is>
          <t>+0.01 %</t>
        </is>
      </c>
    </row>
    <row r="19">
      <c r="A19" s="16" t="inlineStr">
        <is>
          <t>MSAVI 2024 — MEDIA DEL BLOQUE</t>
        </is>
      </c>
      <c r="B19" s="17" t="n">
        <v>0.593628</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34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(0.5936)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12.3684</v>
      </c>
      <c r="C25" s="19" t="n">
        <v>91.26000000000001</v>
      </c>
      <c r="D25" s="11" t="inlineStr">
        <is>
          <t>Dosel continuo, matorral denso o mosaico agroforestal</t>
        </is>
      </c>
      <c r="E25" s="11" t="inlineStr"/>
    </row>
    <row r="26">
      <c r="A26" s="14" t="inlineStr">
        <is>
          <t>Vegetación mediana</t>
        </is>
      </c>
      <c r="B26" s="20" t="n">
        <v>1.1852</v>
      </c>
      <c r="C26" s="21" t="n">
        <v>8.74</v>
      </c>
      <c r="D26" s="15" t="inlineStr">
        <is>
          <t>Pastizal cultivado, matorral ralo, parcelas agrícolas</t>
        </is>
      </c>
      <c r="E26" s="15" t="inlineStr"/>
    </row>
    <row r="27">
      <c r="A27" s="16" t="inlineStr">
        <is>
          <t>TOTAL CLASIFICADO</t>
        </is>
      </c>
      <c r="B27" s="22">
        <f>SUM(B25:B26)</f>
        <v/>
      </c>
      <c r="C27" s="23">
        <f>SUM(C25:C26)</f>
        <v/>
      </c>
      <c r="D27" s="17" t="inlineStr"/>
      <c r="E27" s="17" t="inlineStr"/>
    </row>
    <row r="28">
      <c r="A28" s="24" t="inlineStr">
        <is>
          <t>Superficie de catálogo (V5/V6)</t>
        </is>
      </c>
      <c r="B28" s="25" t="n">
        <v>13.55</v>
      </c>
      <c r="C28" s="25" t="inlineStr">
        <is>
          <t>—</t>
        </is>
      </c>
      <c r="D28" s="25" t="inlineStr">
        <is>
          <t>Desviación planimétrica frente al catálogo</t>
        </is>
      </c>
      <c r="E28" s="25" t="inlineStr">
        <is>
          <t>+0.03 %</t>
        </is>
      </c>
    </row>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20 % frente a un 91.26 % del polígono clasificado como «Vegetación alta» por el NDVI 2025; la observación de campo corresponde a una parcela o recorrido puntual y no es estadísticamente representativa de las 13.550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47</t>
        </is>
      </c>
    </row>
    <row r="6" ht="24" customHeight="1">
      <c r="A6" s="4" t="inlineStr">
        <is>
          <t>Levantamiento del 2026-08-04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659813</v>
      </c>
      <c r="D10" s="26" t="n">
        <v>9401357</v>
      </c>
      <c r="E10" s="11" t="n">
        <v>182</v>
      </c>
      <c r="F10" s="11" t="inlineStr"/>
      <c r="G10" s="11" t="inlineStr">
        <is>
          <t>Coordenada consignada en F-DT-01</t>
        </is>
      </c>
    </row>
    <row r="11">
      <c r="A11" s="14" t="inlineStr">
        <is>
          <t>H-01</t>
        </is>
      </c>
      <c r="B11" s="15" t="inlineStr">
        <is>
          <t>Fuente de agua — Quebrada estacional</t>
        </is>
      </c>
      <c r="C11" s="27" t="inlineStr">
        <is>
          <t>Por determinar</t>
        </is>
      </c>
      <c r="D11" s="27" t="inlineStr">
        <is>
          <t>Por determinar</t>
        </is>
      </c>
      <c r="E11" s="15" t="inlineStr"/>
      <c r="F11" s="15" t="inlineStr">
        <is>
          <t>Efímero</t>
        </is>
      </c>
      <c r="G11" s="15" t="inlineStr">
        <is>
          <t>Quebrada s/n colindante</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659649</v>
      </c>
      <c r="C14" s="6" t="inlineStr">
        <is>
          <t>Centroide del bloque — UTM NORTE (m)</t>
        </is>
      </c>
      <c r="D14" s="7" t="n">
        <v>9401436</v>
      </c>
      <c r="E14" s="8" t="n"/>
      <c r="F14" s="8" t="n"/>
      <c r="G14" s="8" t="n"/>
      <c r="H14" s="8" t="n"/>
    </row>
    <row r="15">
      <c r="A15" s="6" t="inlineStr">
        <is>
          <t>N.° de estaciones fotográficas declaradas</t>
        </is>
      </c>
      <c r="B15" s="7" t="inlineStr">
        <is>
          <t>Sin registro en la ficha DT</t>
        </is>
      </c>
      <c r="C15" s="6" t="inlineStr">
        <is>
          <t>Estaciones dentro del polígono</t>
        </is>
      </c>
      <c r="D15" s="7" t="inlineStr">
        <is>
          <t>Por determinar</t>
        </is>
      </c>
      <c r="E15" s="8" t="n"/>
      <c r="F15" s="8" t="n"/>
      <c r="G15" s="8" t="n"/>
      <c r="H15" s="8" t="n"/>
    </row>
    <row r="17" ht="120"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Ladera de montaña alta con pendiente general menor al 60%, que se incrementa al ascender. El acceso se realiza a pie por laderas que han sufrido DESLIZAMIENTOS a causa de la construcción de un camino. La ladera se emplea para pastoreo extensivo de ganado vacuno del centro poblado próximo. NOTA DE GABINETE (SESDI): el campo «¿Reptación de suelo observada?» se registró como «No» en la ficha, EN CONTRADICCIÓN con la observación textual que reporta reptación. Se mantiene el valor de la ficha y se deja constancia de la inconsistencia.</t>
        </is>
      </c>
      <c r="B17" s="41" t="n"/>
      <c r="C17" s="41" t="n"/>
      <c r="D17" s="41" t="n"/>
      <c r="E17" s="41" t="n"/>
      <c r="F17" s="41" t="n"/>
      <c r="G17" s="42"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C1076-Q9586 — BLOQUE 47</t>
        </is>
      </c>
    </row>
    <row r="6" ht="24" customHeight="1">
      <c r="A6" s="4" t="inlineStr">
        <is>
          <t>Distrito de San Miguel de El Faique · Provincia de Huancabamba · Comparación de los bloques preliminares de intervención de la misma microcuenca</t>
        </is>
      </c>
    </row>
    <row r="8" ht="18" customHeight="1">
      <c r="A8" s="5" t="inlineStr">
        <is>
          <t>BLOQUES DE LA MICROCUENCA C1076-Q9586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9</t>
        </is>
      </c>
      <c r="B10" s="28" t="n">
        <v>109.86</v>
      </c>
      <c r="C10" s="19" t="n">
        <v>40.1</v>
      </c>
      <c r="D10" s="11" t="inlineStr">
        <is>
          <t>1529 – 2264</t>
        </is>
      </c>
      <c r="E10" s="11" t="n">
        <v>735</v>
      </c>
      <c r="F10" s="11" t="n">
        <v>34.82</v>
      </c>
      <c r="G10" s="18" t="n">
        <v>0.5745</v>
      </c>
      <c r="H10" s="19" t="n">
        <v>90.23999999999999</v>
      </c>
      <c r="I10" s="19" t="n">
        <v>11.68</v>
      </c>
    </row>
    <row r="11">
      <c r="A11" s="14" t="inlineStr">
        <is>
          <t>M22B1</t>
        </is>
      </c>
      <c r="B11" s="29" t="n">
        <v>55.17</v>
      </c>
      <c r="C11" s="21" t="n">
        <v>20.14</v>
      </c>
      <c r="D11" s="15" t="inlineStr">
        <is>
          <t>3216 – 3436</t>
        </is>
      </c>
      <c r="E11" s="15" t="n">
        <v>220</v>
      </c>
      <c r="F11" s="15" t="n">
        <v>19.98</v>
      </c>
      <c r="G11" s="20" t="n">
        <v>0.594</v>
      </c>
      <c r="H11" s="21" t="n">
        <v>91.05</v>
      </c>
      <c r="I11" s="21" t="n">
        <v>4.1</v>
      </c>
    </row>
    <row r="12">
      <c r="A12" s="7" t="inlineStr">
        <is>
          <t>35</t>
        </is>
      </c>
      <c r="B12" s="28" t="n">
        <v>30.8</v>
      </c>
      <c r="C12" s="19" t="n">
        <v>11.24</v>
      </c>
      <c r="D12" s="11" t="inlineStr">
        <is>
          <t>1376 – 1621</t>
        </is>
      </c>
      <c r="E12" s="11" t="n">
        <v>245</v>
      </c>
      <c r="F12" s="11" t="n">
        <v>33.66</v>
      </c>
      <c r="G12" s="18" t="n">
        <v>0.6245000000000001</v>
      </c>
      <c r="H12" s="19" t="n">
        <v>98.17</v>
      </c>
      <c r="I12" s="19" t="n">
        <v>1.19</v>
      </c>
    </row>
    <row r="13">
      <c r="A13" s="14" t="inlineStr">
        <is>
          <t>44</t>
        </is>
      </c>
      <c r="B13" s="29" t="n">
        <v>28.23</v>
      </c>
      <c r="C13" s="21" t="n">
        <v>10.3</v>
      </c>
      <c r="D13" s="15" t="inlineStr">
        <is>
          <t>3091 – 3277</t>
        </is>
      </c>
      <c r="E13" s="15" t="n">
        <v>186</v>
      </c>
      <c r="F13" s="15" t="n">
        <v>22.21</v>
      </c>
      <c r="G13" s="20" t="n">
        <v>0.5113</v>
      </c>
      <c r="H13" s="21" t="n">
        <v>83.84999999999999</v>
      </c>
      <c r="I13" s="21" t="n">
        <v>52.06</v>
      </c>
    </row>
    <row r="14">
      <c r="A14" s="7" t="inlineStr">
        <is>
          <t>43</t>
        </is>
      </c>
      <c r="B14" s="28" t="n">
        <v>23.17</v>
      </c>
      <c r="C14" s="19" t="n">
        <v>8.460000000000001</v>
      </c>
      <c r="D14" s="11" t="inlineStr">
        <is>
          <t>251 – 811</t>
        </is>
      </c>
      <c r="E14" s="11" t="n">
        <v>560</v>
      </c>
      <c r="F14" s="11" t="n">
        <v>31.39</v>
      </c>
      <c r="G14" s="18" t="n">
        <v>0.5515</v>
      </c>
      <c r="H14" s="19" t="n">
        <v>78.91</v>
      </c>
      <c r="I14" s="19" t="n">
        <v>21.28</v>
      </c>
    </row>
    <row r="15">
      <c r="A15" s="12" t="inlineStr">
        <is>
          <t>► 47</t>
        </is>
      </c>
      <c r="B15" s="30" t="n">
        <v>13.55</v>
      </c>
      <c r="C15" s="31" t="n">
        <v>4.95</v>
      </c>
      <c r="D15" s="13" t="inlineStr">
        <is>
          <t>2105 – 2333</t>
        </is>
      </c>
      <c r="E15" s="13" t="n">
        <v>228</v>
      </c>
      <c r="F15" s="13" t="n">
        <v>32.43</v>
      </c>
      <c r="G15" s="32" t="n">
        <v>0.5936</v>
      </c>
      <c r="H15" s="31" t="n">
        <v>91.26000000000001</v>
      </c>
      <c r="I15" s="31" t="n">
        <v>9.84</v>
      </c>
    </row>
    <row r="16">
      <c r="A16" s="7" t="inlineStr">
        <is>
          <t>67</t>
        </is>
      </c>
      <c r="B16" s="28" t="n">
        <v>13.18</v>
      </c>
      <c r="C16" s="19" t="n">
        <v>4.81</v>
      </c>
      <c r="D16" s="11" t="inlineStr">
        <is>
          <t>1575 – 1770</t>
        </is>
      </c>
      <c r="E16" s="11" t="n">
        <v>195</v>
      </c>
      <c r="F16" s="11" t="n">
        <v>30.33</v>
      </c>
      <c r="G16" s="18" t="n">
        <v>0.6052999999999999</v>
      </c>
      <c r="H16" s="19" t="n">
        <v>97.5</v>
      </c>
      <c r="I16" s="19" t="n">
        <v>2.12</v>
      </c>
    </row>
    <row r="17">
      <c r="A17" s="16" t="inlineStr">
        <is>
          <t>TOTAL / PROMEDIO</t>
        </is>
      </c>
      <c r="B17" s="33">
        <f>SUM(B10:B16)</f>
        <v/>
      </c>
      <c r="C17" s="23">
        <f>SUM(C10:C16)</f>
        <v/>
      </c>
      <c r="D17" s="17" t="inlineStr">
        <is>
          <t>251 – 3436</t>
        </is>
      </c>
      <c r="E17" s="17" t="inlineStr"/>
      <c r="F17" s="17">
        <f>ROUND(AVERAGE(F10:F16),2)</f>
        <v/>
      </c>
      <c r="G17" s="22">
        <f>ROUND(AVERAGE(G10:G16),4)</f>
        <v/>
      </c>
      <c r="H17" s="23">
        <f>ROUND(AVERAGE(H10:H16),2)</f>
        <v/>
      </c>
      <c r="I17" s="23">
        <f>ROUND(AVERAGE(I10:I16),2)</f>
        <v/>
      </c>
    </row>
    <row r="19" ht="84" customHeight="1">
      <c r="A19" s="9" t="inlineStr">
        <is>
          <t>LECTURA INTRAMICROCUENCA. El bloque 47 ocupa el puesto 6 de 7 por superficie dentro de la microcuenca C1076-Q9586 (4.95 % de las 273.96 ha preliminares de la microcuenca). Su pendiente promedio (32.43 %, clase «25-50% (Mod. escarpado)») es la 5.ª más baja de 7 y se sitúa por encima del promedio de la microcuenca (29.26 %). Su MSAVI 2024 (0.5936) es el 4.º de 7 y queda por encima del promedio local (0.5793). Amplitud altitudinal del bloque: 228 m (2105–2333 msnm). El cuadro conserva todos los bloques catalogados en la microcuenca, incluidos los descartados en el tamizaje, para referencia del conjunto. Los bloques sin ficha DT figuran con sus parámetros de gabinete. BRECHA ESPECTRAL. El 9.84 % de la superficie del bloque (1.334 ha de 13.551 ha) se sitúa bajo el umbral MSAVI 0.4976, por debajo del promedio local de la microcuenca (14.61 %) calculado sobre los bloques con dato MSAVI disponible.</t>
        </is>
      </c>
      <c r="B19" s="41" t="n"/>
      <c r="C19" s="41" t="n"/>
      <c r="D19" s="41" t="n"/>
      <c r="E19" s="41" t="n"/>
      <c r="F19" s="41" t="n"/>
      <c r="G19" s="41" t="n"/>
      <c r="H19" s="41" t="n"/>
      <c r="I19" s="42" t="n"/>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1" t="n"/>
      <c r="C21" s="41" t="n"/>
      <c r="D21" s="41" t="n"/>
      <c r="E21" s="41" t="n"/>
      <c r="F21" s="41" t="n"/>
      <c r="G21" s="41" t="n"/>
      <c r="H21" s="41" t="n"/>
      <c r="I21" s="42" t="n"/>
    </row>
  </sheetData>
  <mergeCells count="9">
    <mergeCell ref="A19:I19"/>
    <mergeCell ref="A2:I2"/>
    <mergeCell ref="A5:I5"/>
    <mergeCell ref="A1:I1"/>
    <mergeCell ref="A8:I8"/>
    <mergeCell ref="A3:I3"/>
    <mergeCell ref="A6:I6"/>
    <mergeCell ref="A4:I4"/>
    <mergeCell ref="A21:I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7"/>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47</t>
        </is>
      </c>
    </row>
    <row r="6">
      <c r="A6" s="51" t="inlineStr">
        <is>
          <t>Cruce de la ficha de campo F-DT vigente con la ficha de resumen de gabinete y el catálogo maestro. Integración 2026-09-11 21:26:26.</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«C1076-Q9586».</t>
        </is>
      </c>
      <c r="D9" s="55" t="inlineStr">
        <is>
          <t>CONFORME</t>
        </is>
      </c>
      <c r="E9" s="55" t="inlineStr">
        <is>
          <t>Sin acción.</t>
        </is>
      </c>
    </row>
    <row r="10">
      <c r="A10" s="56" t="inlineStr">
        <is>
          <t>G-02</t>
        </is>
      </c>
      <c r="B10" s="56" t="inlineStr">
        <is>
          <t>UTM del punto de muestreo</t>
        </is>
      </c>
      <c r="C10" s="56" t="inlineStr">
        <is>
          <t>El punto de muestreo declarado dista 182.0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La altitud GPS (2100 msnm) cae dentro del rango altitudinal del bloque (2105 - 2333 msnm).</t>
        </is>
      </c>
      <c r="D12" s="56" t="inlineStr">
        <is>
          <t>CONFORME</t>
        </is>
      </c>
      <c r="E12" s="56" t="inlineStr">
        <is>
          <t>Sin acción.</t>
        </is>
      </c>
    </row>
    <row r="13">
      <c r="A13" s="55" t="inlineStr">
        <is>
          <t>G-05</t>
        </is>
      </c>
      <c r="B13" s="55" t="inlineStr">
        <is>
          <t>Superficie NDVI vs. catálogo</t>
        </is>
      </c>
      <c r="C13" s="55" t="inlineStr">
        <is>
          <t>La superficie clasificada por el NDVI mediana 2025 (13.554 ha) se desvía 0.03 % de la superficie de catálogo (13.55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(13.551 ha) se desvía 0.01 % de la superficie de catálogo (13.55 ha).</t>
        </is>
      </c>
      <c r="D14" s="56" t="inlineStr">
        <is>
          <t>CONFORME</t>
        </is>
      </c>
      <c r="E14" s="56" t="inlineStr">
        <is>
          <t>Sin acción: la segmentación valida la geometría del bloque.</t>
        </is>
      </c>
    </row>
    <row r="15">
      <c r="A15" s="55" t="inlineStr">
        <is>
          <t>G-07</t>
        </is>
      </c>
      <c r="B15" s="55" t="inlineStr">
        <is>
          <t>Brecha espectral MSAVI</t>
        </is>
      </c>
      <c r="C15" s="55" t="inlineStr">
        <is>
          <t>El 9.84 % del bloque queda bajo el umbral 0.4976; superficie de brecha 1.3336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13.55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(0.5936) cae en la clase «0.4976 - 0.6139 (Vigor moderado)» y la clase DN dominante por superficie es «DN 4 · 0.4976 - 0.6139 (Vigor moderado)».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F-01</t>
        </is>
      </c>
      <c r="B19" s="55" t="inlineStr">
        <is>
          <t>Fichas F-DT levantadas</t>
        </is>
      </c>
      <c r="C19" s="55" t="inlineStr">
        <is>
          <t>La plantilla de campo trae las cinco fichas F-DT-01 a F-DT-05 (completitud 92.9 % de los campos esperados).</t>
        </is>
      </c>
      <c r="D19" s="55" t="inlineStr">
        <is>
          <t>CONFORME</t>
        </is>
      </c>
      <c r="E19" s="55" t="inlineStr">
        <is>
          <t>Sin acción.</t>
        </is>
      </c>
    </row>
    <row r="20">
      <c r="A20" s="56" t="inlineStr">
        <is>
          <t>F-02</t>
        </is>
      </c>
      <c r="B20" s="56" t="inlineStr">
        <is>
          <t>Cobertura de la integración</t>
        </is>
      </c>
      <c r="C20" s="56" t="inlineStr">
        <is>
          <t>Se declararon 96 de 114 hechos integrados (84.2 %); 18 quedan sin dato en ninguna fuente.</t>
        </is>
      </c>
      <c r="D20" s="56" t="inlineStr">
        <is>
          <t>CONFORME</t>
        </is>
      </c>
      <c r="E20" s="56" t="inlineStr">
        <is>
          <t>Sin acción.</t>
        </is>
      </c>
    </row>
    <row r="21">
      <c r="A21" s="55" t="inlineStr">
        <is>
          <t>H-01</t>
        </is>
      </c>
      <c r="B21" s="55" t="inlineStr">
        <is>
          <t>Cobertura vegetal total</t>
        </is>
      </c>
      <c r="C21" s="55" t="inlineStr">
        <is>
          <t>La ficha DT estima 20 % de cobertura vegetal en campo; el NDVI mediana 2025 clasifica 100.00 % del polígono en clases de vegetación</t>
        </is>
      </c>
      <c r="D21" s="55" t="inlineStr">
        <is>
          <t>NO SUSTANTIVA</t>
        </is>
      </c>
      <c r="E21" s="55"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2">
      <c r="A22" s="56" t="inlineStr">
        <is>
          <t>H-02</t>
        </is>
      </c>
      <c r="B22" s="56" t="inlineStr">
        <is>
          <t>Elenco florístico</t>
        </is>
      </c>
      <c r="C22" s="56" t="inlineStr">
        <is>
          <t>La ficha registra 5 taxones, por debajo del mínimo de 15 que exige el formato V5</t>
        </is>
      </c>
      <c r="D22" s="56" t="inlineStr">
        <is>
          <t>SUSTANTIVA</t>
        </is>
      </c>
      <c r="E22" s="56" t="inlineStr">
        <is>
          <t>Registro florístico preliminar, sin colecta ni determinación botánica formal. Debe cerrarse con colecta botánica en la siguiente campaña. (Verificación heredada de la ficha de resumen V6.)</t>
        </is>
      </c>
    </row>
    <row r="23">
      <c r="A23" s="55" t="inlineStr">
        <is>
          <t>H-03</t>
        </is>
      </c>
      <c r="B23" s="55" t="inlineStr">
        <is>
          <t>Centro poblado asociado</t>
        </is>
      </c>
      <c r="C23" s="55" t="inlineStr">
        <is>
          <t>La ficha DT declara «Gáspar»; el cruce INEI-Bloques V5 identifica 1 centro(s) poblado(s) en el bloque: GASPAR</t>
        </is>
      </c>
      <c r="D23" s="55" t="inlineStr">
        <is>
          <t>NO SUSTANTIVA</t>
        </is>
      </c>
      <c r="E23" s="55" t="inlineStr">
        <is>
          <t>Se conserva el registro de campo como referencia y se adopta el listado INEI para el diagnóstico social y el cálculo de población beneficiaria. (Verificación heredada de la ficha de resumen V6.)</t>
        </is>
      </c>
    </row>
    <row r="25">
      <c r="A25" s="57" t="inlineStr">
        <is>
          <t>RESUMEN</t>
        </is>
      </c>
      <c r="B25" s="58" t="inlineStr">
        <is>
          <t>15 verificaciones</t>
        </is>
      </c>
      <c r="C25" s="58" t="inlineStr">
        <is>
          <t>SUSTANTIVA: 2 · NO SUSTANTIVA: 2 · CONFORME: 11</t>
        </is>
      </c>
    </row>
    <row r="27">
      <c r="A27"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6:E6"/>
    <mergeCell ref="A27:E27"/>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47</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t>
        </is>
      </c>
      <c r="B9" s="55" t="inlineStr">
        <is>
          <t>Sin cambios: la ficha de campo confirma el libro V6</t>
        </is>
      </c>
      <c r="C9" s="55" t="inlineStr"/>
      <c r="D9" s="55" t="inlineStr"/>
      <c r="E9" s="55" t="inlineStr"/>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659813</t>
        </is>
      </c>
      <c r="D13" s="55" t="inlineStr">
        <is>
          <t>m</t>
        </is>
      </c>
    </row>
    <row r="14">
      <c r="A14" s="56" t="inlineStr">
        <is>
          <t>1. Identificación y localización</t>
        </is>
      </c>
      <c r="B14" s="56" t="inlineStr">
        <is>
          <t>UTM NORTE del punto de muestreo (m)</t>
        </is>
      </c>
      <c r="C14" s="56" t="inlineStr">
        <is>
          <t>9401357</t>
        </is>
      </c>
      <c r="D14" s="56" t="inlineStr">
        <is>
          <t>m</t>
        </is>
      </c>
    </row>
    <row r="15">
      <c r="A15" s="55" t="inlineStr">
        <is>
          <t>2. Parámetros físicos del terreno</t>
        </is>
      </c>
      <c r="B15" s="55" t="inlineStr">
        <is>
          <t>Altitud GPS del punto de muestreo (msnm)</t>
        </is>
      </c>
      <c r="C15" s="55" t="inlineStr">
        <is>
          <t>2100</t>
        </is>
      </c>
      <c r="D15" s="55" t="inlineStr">
        <is>
          <t>msnm</t>
        </is>
      </c>
    </row>
    <row r="16">
      <c r="A16" s="56" t="inlineStr">
        <is>
          <t>2. Parámetros físicos del terreno</t>
        </is>
      </c>
      <c r="B16" s="56" t="inlineStr">
        <is>
          <t>Piso altitudinal del punto de muestreo</t>
        </is>
      </c>
      <c r="C16" s="56" t="inlineStr">
        <is>
          <t>2000-2500 m (Quechua alta)</t>
        </is>
      </c>
      <c r="D16" s="56" t="inlineStr"/>
    </row>
    <row r="17">
      <c r="A17" s="55" t="inlineStr">
        <is>
          <t>2. Parámetros físicos del terreno</t>
        </is>
      </c>
      <c r="B17" s="55" t="inlineStr">
        <is>
          <t>Paisaje dominante descrito en campo</t>
        </is>
      </c>
      <c r="C17" s="55" t="inlineStr">
        <is>
          <t>Sistema de laderas convexo-cóncavas tributarias de la quebrada Q9586 (microcuenca C1076), con altitudes de 2 100 a 2 300 msnm y desniveles internos. Paisaje de montaña dominado por matorral andino en mosaico con zona agrícola.</t>
        </is>
      </c>
      <c r="D17" s="55" t="inlineStr"/>
    </row>
    <row r="18">
      <c r="A18" s="56" t="inlineStr">
        <is>
          <t>2. Parámetros físicos del terreno</t>
        </is>
      </c>
      <c r="B18" s="56" t="inlineStr">
        <is>
          <t>Reptación de suelo</t>
        </is>
      </c>
      <c r="C18" s="56" t="inlineStr">
        <is>
          <t>No</t>
        </is>
      </c>
      <c r="D18" s="56" t="inlineStr"/>
    </row>
    <row r="19">
      <c r="A19" s="55" t="inlineStr">
        <is>
          <t>2. Parámetros físicos del terreno</t>
        </is>
      </c>
      <c r="B19" s="55" t="inlineStr">
        <is>
          <t>Deslizamientos antiguos</t>
        </is>
      </c>
      <c r="C19" s="55" t="inlineStr">
        <is>
          <t>Sí</t>
        </is>
      </c>
      <c r="D19" s="55" t="inlineStr"/>
    </row>
    <row r="20">
      <c r="A20" s="56" t="inlineStr">
        <is>
          <t>4. Suelos y erosión (F-DT-02)</t>
        </is>
      </c>
      <c r="B20" s="56" t="inlineStr">
        <is>
          <t>Nivel de erosión - síntesis de campo</t>
        </is>
      </c>
      <c r="C20" s="56" t="inlineStr">
        <is>
          <t>Moderada (surcos)</t>
        </is>
      </c>
      <c r="D20" s="56" t="inlineStr"/>
    </row>
    <row r="21">
      <c r="A21" s="55" t="inlineStr">
        <is>
          <t>4. Suelos y erosión (F-DT-02)</t>
        </is>
      </c>
      <c r="B21" s="55" t="inlineStr">
        <is>
          <t>Compactación por pisoteo</t>
        </is>
      </c>
      <c r="C21" s="55" t="inlineStr">
        <is>
          <t>Sí</t>
        </is>
      </c>
      <c r="D21" s="55" t="inlineStr"/>
    </row>
    <row r="22">
      <c r="A22" s="56" t="inlineStr">
        <is>
          <t>4. Suelos y erosión (F-DT-02)</t>
        </is>
      </c>
      <c r="B22" s="56" t="inlineStr">
        <is>
          <t>Longitud total de cárcavas (m)</t>
        </is>
      </c>
      <c r="C22" s="56" t="inlineStr">
        <is>
          <t>0</t>
        </is>
      </c>
      <c r="D22" s="56" t="inlineStr">
        <is>
          <t>m</t>
        </is>
      </c>
    </row>
    <row r="23">
      <c r="A23" s="55" t="inlineStr">
        <is>
          <t>5. Ecosistema, cobertura y flora (F-DT-03)</t>
        </is>
      </c>
      <c r="B23" s="55" t="inlineStr">
        <is>
          <t>Cobertura del dosel (%)</t>
        </is>
      </c>
      <c r="C23" s="55" t="inlineStr">
        <is>
          <t>5</t>
        </is>
      </c>
      <c r="D23" s="55" t="inlineStr">
        <is>
          <t>%</t>
        </is>
      </c>
    </row>
    <row r="24">
      <c r="A24" s="56" t="inlineStr">
        <is>
          <t>5. Ecosistema, cobertura y flora (F-DT-03)</t>
        </is>
      </c>
      <c r="B24" s="56" t="inlineStr">
        <is>
          <t>Cobertura arbustiva (%)</t>
        </is>
      </c>
      <c r="C24" s="56" t="inlineStr">
        <is>
          <t>5</t>
        </is>
      </c>
      <c r="D24" s="56" t="inlineStr">
        <is>
          <t>%</t>
        </is>
      </c>
    </row>
    <row r="25">
      <c r="A25" s="55" t="inlineStr">
        <is>
          <t>5. Ecosistema, cobertura y flora (F-DT-03)</t>
        </is>
      </c>
      <c r="B25" s="55" t="inlineStr">
        <is>
          <t>Cobertura herbácea (%)</t>
        </is>
      </c>
      <c r="C25" s="55" t="inlineStr">
        <is>
          <t>10</t>
        </is>
      </c>
      <c r="D25" s="55" t="inlineStr">
        <is>
          <t>%</t>
        </is>
      </c>
    </row>
    <row r="26">
      <c r="A26" s="56" t="inlineStr">
        <is>
          <t>5. Ecosistema, cobertura y flora (F-DT-03)</t>
        </is>
      </c>
      <c r="B26" s="56" t="inlineStr">
        <is>
          <t>Cobertura de hojarasca (%)</t>
        </is>
      </c>
      <c r="C26" s="56" t="inlineStr">
        <is>
          <t>5</t>
        </is>
      </c>
      <c r="D26" s="56" t="inlineStr">
        <is>
          <t>%</t>
        </is>
      </c>
    </row>
    <row r="27">
      <c r="A27" s="55" t="inlineStr">
        <is>
          <t>5. Ecosistema, cobertura y flora (F-DT-03)</t>
        </is>
      </c>
      <c r="B27" s="55" t="inlineStr">
        <is>
          <t>Altura del estrato dominante (m)</t>
        </is>
      </c>
      <c r="C27" s="55" t="inlineStr">
        <is>
          <t>8</t>
        </is>
      </c>
      <c r="D27" s="55" t="inlineStr">
        <is>
          <t>m</t>
        </is>
      </c>
    </row>
    <row r="28">
      <c r="A28" s="56" t="inlineStr">
        <is>
          <t>5. Ecosistema, cobertura y flora (F-DT-03)</t>
        </is>
      </c>
      <c r="B28" s="56" t="inlineStr">
        <is>
          <t>Altura máxima registrada (m)</t>
        </is>
      </c>
      <c r="C28" s="56" t="inlineStr">
        <is>
          <t>10</t>
        </is>
      </c>
      <c r="D28" s="56" t="inlineStr">
        <is>
          <t>m</t>
        </is>
      </c>
    </row>
    <row r="29">
      <c r="A29" s="55" t="inlineStr">
        <is>
          <t>5. Ecosistema, cobertura y flora (F-DT-03)</t>
        </is>
      </c>
      <c r="B29" s="55" t="inlineStr">
        <is>
          <t>DAP promedio (cm)</t>
        </is>
      </c>
      <c r="C29" s="55" t="inlineStr">
        <is>
          <t>15</t>
        </is>
      </c>
      <c r="D29" s="55" t="inlineStr">
        <is>
          <t>cm</t>
        </is>
      </c>
    </row>
    <row r="30">
      <c r="A30" s="56" t="inlineStr">
        <is>
          <t>5. Ecosistema, cobertura y flora (F-DT-03)</t>
        </is>
      </c>
      <c r="B30" s="56" t="inlineStr">
        <is>
          <t>Presencia de epífitas</t>
        </is>
      </c>
      <c r="C30" s="56" t="inlineStr">
        <is>
          <t>No</t>
        </is>
      </c>
      <c r="D30" s="56" t="inlineStr"/>
    </row>
    <row r="31">
      <c r="A31" s="55" t="inlineStr">
        <is>
          <t>5. Ecosistema, cobertura y flora (F-DT-03)</t>
        </is>
      </c>
      <c r="B31" s="55" t="inlineStr">
        <is>
          <t>Fenología dominante</t>
        </is>
      </c>
      <c r="C31" s="55" t="inlineStr">
        <is>
          <t>Vegetativo</t>
        </is>
      </c>
      <c r="D31" s="55" t="inlineStr"/>
    </row>
    <row r="32">
      <c r="A32" s="56" t="inlineStr">
        <is>
          <t>5. Ecosistema, cobertura y flora (F-DT-03)</t>
        </is>
      </c>
      <c r="B32" s="56" t="inlineStr">
        <is>
          <t>Dimensiones de la parcela (m)</t>
        </is>
      </c>
      <c r="C32" s="56" t="inlineStr">
        <is>
          <t>No consignadas</t>
        </is>
      </c>
      <c r="D32" s="56" t="inlineStr"/>
    </row>
    <row r="33">
      <c r="A33" s="55" t="inlineStr">
        <is>
          <t>5. Ecosistema, cobertura y flora (F-DT-03)</t>
        </is>
      </c>
      <c r="B33" s="55" t="inlineStr">
        <is>
          <t>Pendiente de la parcela (%)</t>
        </is>
      </c>
      <c r="C33" s="55" t="inlineStr">
        <is>
          <t>32.43</t>
        </is>
      </c>
      <c r="D33" s="55" t="inlineStr">
        <is>
          <t>%</t>
        </is>
      </c>
    </row>
    <row r="34">
      <c r="A34" s="56" t="inlineStr">
        <is>
          <t>6. Degradación, causas y urgencia (F-DT-04)</t>
        </is>
      </c>
      <c r="B34" s="56" t="inlineStr">
        <is>
          <t>Causas directas de la degradación</t>
        </is>
      </c>
      <c r="C34" s="56" t="inlineStr">
        <is>
          <t>El matorral ha perdido cobertura vegetal como consecuencia del cambio de uso de suelo, que ha dado paso a parcelas agrícolas destinadas al cultivo de pastos forrajeros, así como a áreas de pastoreo para ganado vacuno.</t>
        </is>
      </c>
      <c r="D34" s="56" t="inlineStr"/>
    </row>
    <row r="35">
      <c r="A35" s="55" t="inlineStr">
        <is>
          <t>6. Degradación, causas y urgencia (F-DT-04)</t>
        </is>
      </c>
      <c r="B35" s="55" t="inlineStr">
        <is>
          <t>N.° de causas activas en la matriz F-DT-04</t>
        </is>
      </c>
      <c r="C35" s="55" t="inlineStr">
        <is>
          <t>4</t>
        </is>
      </c>
      <c r="D35" s="55" t="inlineStr"/>
    </row>
    <row r="36">
      <c r="A36" s="56" t="inlineStr">
        <is>
          <t>7. Hidrología, acceso y logística (F-DT-05)</t>
        </is>
      </c>
      <c r="B36" s="56" t="inlineStr">
        <is>
          <t>Escorrentía concentrada</t>
        </is>
      </c>
      <c r="C36" s="56" t="inlineStr">
        <is>
          <t>Sí</t>
        </is>
      </c>
      <c r="D36" s="56" t="inlineStr"/>
    </row>
    <row r="37">
      <c r="A37" s="55" t="inlineStr">
        <is>
          <t>7. Hidrología, acceso y logística (F-DT-05)</t>
        </is>
      </c>
      <c r="B37" s="55" t="inlineStr">
        <is>
          <t>Fuentes de agua inventariadas</t>
        </is>
      </c>
      <c r="C37" s="55" t="inlineStr">
        <is>
          <t>1</t>
        </is>
      </c>
      <c r="D37" s="55" t="inlineStr"/>
    </row>
    <row r="38">
      <c r="A38" s="56" t="inlineStr">
        <is>
          <t>7. Hidrología, acceso y logística (F-DT-05)</t>
        </is>
      </c>
      <c r="B38" s="56" t="inlineStr">
        <is>
          <t>Vía principal de acceso</t>
        </is>
      </c>
      <c r="C38" s="56" t="inlineStr">
        <is>
          <t>Vía afirmada San Miguel – Huancabamba, margen izquierda de una quebrada s/n</t>
        </is>
      </c>
      <c r="D38" s="56" t="inlineStr"/>
    </row>
    <row r="39">
      <c r="A39" s="55" t="inlineStr">
        <is>
          <t>7. Hidrología, acceso y logística (F-DT-05)</t>
        </is>
      </c>
      <c r="B39" s="55" t="inlineStr">
        <is>
          <t>Tipo de vía del tramo final</t>
        </is>
      </c>
      <c r="C39" s="55" t="inlineStr">
        <is>
          <t>Vecinal afirmada</t>
        </is>
      </c>
      <c r="D39" s="55" t="inlineStr"/>
    </row>
    <row r="40">
      <c r="A40" s="56" t="inlineStr">
        <is>
          <t>7. Hidrología, acceso y logística (F-DT-05)</t>
        </is>
      </c>
      <c r="B40" s="56" t="inlineStr">
        <is>
          <t>Transitabilidad en época seca</t>
        </is>
      </c>
      <c r="C40" s="56" t="inlineStr">
        <is>
          <t>Medio</t>
        </is>
      </c>
      <c r="D40" s="56" t="inlineStr"/>
    </row>
    <row r="41">
      <c r="A41" s="55" t="inlineStr">
        <is>
          <t>7. Hidrología, acceso y logística (F-DT-05)</t>
        </is>
      </c>
      <c r="B41" s="55" t="inlineStr">
        <is>
          <t>Transitabilidad en época lluviosa</t>
        </is>
      </c>
      <c r="C41" s="55" t="inlineStr">
        <is>
          <t>Bajo</t>
        </is>
      </c>
      <c r="D41" s="55" t="inlineStr"/>
    </row>
    <row r="42">
      <c r="A42" s="56" t="inlineStr">
        <is>
          <t>7. Hidrología, acceso y logística (F-DT-05)</t>
        </is>
      </c>
      <c r="B42" s="56" t="inlineStr">
        <is>
          <t>Operador con cobertura</t>
        </is>
      </c>
      <c r="C42" s="56" t="inlineStr">
        <is>
          <t>Otro</t>
        </is>
      </c>
      <c r="D42" s="56" t="inlineStr"/>
    </row>
    <row r="43">
      <c r="A43" s="55" t="inlineStr">
        <is>
          <t>7. Hidrología, acceso y logística (F-DT-05)</t>
        </is>
      </c>
      <c r="B43" s="55" t="inlineStr">
        <is>
          <t>Requiere coordinación con ronda / comunidad</t>
        </is>
      </c>
      <c r="C43" s="55" t="inlineStr">
        <is>
          <t>Sí</t>
        </is>
      </c>
      <c r="D43" s="55" t="inlineStr"/>
    </row>
    <row r="45">
      <c r="A45" s="53" t="inlineStr">
        <is>
          <t>C. PROCEDENCIA DE LOS HECHOS DECLARADOS</t>
        </is>
      </c>
    </row>
    <row r="46">
      <c r="A46" s="54" t="inlineStr">
        <is>
          <t>Fuente</t>
        </is>
      </c>
      <c r="B46" s="54" t="inlineStr">
        <is>
          <t>Hechos</t>
        </is>
      </c>
      <c r="C46" s="54" t="inlineStr">
        <is>
          <t>Alcance de la fuente</t>
        </is>
      </c>
    </row>
    <row r="47">
      <c r="A47" s="55" t="inlineStr">
        <is>
          <t>Dato de campo</t>
        </is>
      </c>
      <c r="B47" s="55" t="n">
        <v>61</v>
      </c>
      <c r="C47" s="55" t="inlineStr">
        <is>
          <t>Verificación en campo. Fichas F-DT-01 a F-DT-05 de la Plantilla DT Campo Check Validada V5, suscritas por el evaluador.</t>
        </is>
      </c>
    </row>
    <row r="48">
      <c r="A48" s="56" t="inlineStr">
        <is>
          <t>Gabinete (GIS / teledetección)</t>
        </is>
      </c>
      <c r="B48" s="56" t="n">
        <v>21</v>
      </c>
      <c r="C48" s="56" t="inlineStr">
        <is>
          <t>Gabinete. Estadística zonal sobre el MDE y compuestos Sentinel-2 (NDVI mediana 2025, MSAVI 2024 por clase DN).</t>
        </is>
      </c>
    </row>
    <row r="49">
      <c r="A49" s="55" t="inlineStr">
        <is>
          <t>Fuente oficial</t>
        </is>
      </c>
      <c r="B49" s="55" t="n">
        <v>14</v>
      </c>
      <c r="C49" s="55" t="inlineStr">
        <is>
          <t>Fuente oficial. Catálogo maestro Bloques V5/V6, división política INEI y codificación de microcuencas de la ANA.</t>
        </is>
      </c>
    </row>
    <row r="51">
      <c r="A51" s="53" t="inlineStr">
        <is>
          <t>D. ESTADO DEL CRUCE ENTRE FUENTES</t>
        </is>
      </c>
    </row>
    <row r="52">
      <c r="A52" s="54" t="inlineStr">
        <is>
          <t>Estado</t>
        </is>
      </c>
      <c r="B52" s="54" t="inlineStr">
        <is>
          <t>Hechos</t>
        </is>
      </c>
      <c r="C52" s="54" t="inlineStr">
        <is>
          <t>Significado</t>
        </is>
      </c>
    </row>
    <row r="53">
      <c r="A53" s="55" t="inlineStr">
        <is>
          <t>CONFORME</t>
        </is>
      </c>
      <c r="B53" s="55" t="n">
        <v>96</v>
      </c>
      <c r="C53" s="55" t="inlineStr">
        <is>
          <t>Las dos fuentes declaran lo mismo, o solo la fuente que manda sobre el hecho lo declara.</t>
        </is>
      </c>
    </row>
    <row r="54">
      <c r="A54" s="56" t="inlineStr">
        <is>
          <t>COMPLEMENTADO</t>
        </is>
      </c>
      <c r="B54" s="56" t="n">
        <v>0</v>
      </c>
      <c r="C54" s="56" t="inlineStr">
        <is>
          <t>Solo una de las fuentes lo declara y se adopta ese valor.</t>
        </is>
      </c>
    </row>
    <row r="55">
      <c r="A55" s="55" t="inlineStr">
        <is>
          <t>ACTUALIZADO</t>
        </is>
      </c>
      <c r="B55" s="55" t="n">
        <v>0</v>
      </c>
      <c r="C55" s="55" t="inlineStr">
        <is>
          <t>La verificación de campo vigente corrige lo que traía el libro de resumen.</t>
        </is>
      </c>
    </row>
    <row r="56">
      <c r="A56" s="56" t="inlineStr">
        <is>
          <t>DISCREPANTE</t>
        </is>
      </c>
      <c r="B56" s="56" t="n">
        <v>0</v>
      </c>
      <c r="C56" s="56" t="inlineStr">
        <is>
          <t>Las fuentes se contradicen; prevalece la que manda sobre el hecho y la otra queda declarada.</t>
        </is>
      </c>
    </row>
    <row r="57">
      <c r="A57" s="55" t="inlineStr">
        <is>
          <t>PENDIENTE</t>
        </is>
      </c>
      <c r="B57" s="55" t="n">
        <v>18</v>
      </c>
      <c r="C57"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47</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Sin cárcavas inventariadas en el tramo verificado</t>
        </is>
      </c>
      <c r="B9" s="55" t="inlineStr"/>
      <c r="C9" s="55" t="inlineStr"/>
      <c r="D9" s="55" t="inlineStr"/>
      <c r="E9" s="55" t="inlineStr"/>
      <c r="F9" s="55" t="inlineStr"/>
      <c r="G9" s="55" t="inlineStr"/>
      <c r="H9" s="55" t="inlineStr"/>
      <c r="I9" s="55" t="inlineStr"/>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Chachacomo</t>
        </is>
      </c>
      <c r="C13" s="55" t="inlineStr">
        <is>
          <t>Escallonia sp. (por confirmar)</t>
        </is>
      </c>
      <c r="D13" s="55" t="inlineStr">
        <is>
          <t>Escalloniaceae</t>
        </is>
      </c>
      <c r="E13" s="55" t="inlineStr">
        <is>
          <t>Arbóreo bajo (4-8 m)</t>
        </is>
      </c>
      <c r="F13" s="55" t="inlineStr">
        <is>
          <t>Nativa</t>
        </is>
      </c>
      <c r="G13" s="55" t="inlineStr">
        <is>
          <t>Ocasional (1-5%)</t>
        </is>
      </c>
      <c r="H13" s="60" t="n">
        <v>15</v>
      </c>
      <c r="I13" s="61" t="n">
        <v>5</v>
      </c>
    </row>
    <row r="14">
      <c r="A14" s="56" t="inlineStr">
        <is>
          <t>2</t>
        </is>
      </c>
      <c r="B14" s="56" t="inlineStr">
        <is>
          <t>Roble</t>
        </is>
      </c>
      <c r="C14" s="56" t="inlineStr">
        <is>
          <t>Por determinar</t>
        </is>
      </c>
      <c r="D14" s="56" t="inlineStr">
        <is>
          <t>Por determinar</t>
        </is>
      </c>
      <c r="E14" s="56" t="inlineStr">
        <is>
          <t>Arbóreo bajo (4-8 m)</t>
        </is>
      </c>
      <c r="F14" s="56" t="inlineStr">
        <is>
          <t>Nativa</t>
        </is>
      </c>
      <c r="G14" s="56" t="inlineStr">
        <is>
          <t>Ocasional (1-5%)</t>
        </is>
      </c>
      <c r="H14" s="62" t="n">
        <v>30</v>
      </c>
      <c r="I14" s="63" t="n">
        <v>7</v>
      </c>
    </row>
    <row r="15">
      <c r="A15" s="55" t="inlineStr">
        <is>
          <t>3</t>
        </is>
      </c>
      <c r="B15" s="55" t="inlineStr">
        <is>
          <t>Nogal</t>
        </is>
      </c>
      <c r="C15" s="55" t="inlineStr">
        <is>
          <t>Juglans neotropica (por confirmar)</t>
        </is>
      </c>
      <c r="D15" s="55" t="inlineStr">
        <is>
          <t>Juglandaceae</t>
        </is>
      </c>
      <c r="E15" s="55" t="inlineStr">
        <is>
          <t>Arbóreo medio (8-15 m)</t>
        </is>
      </c>
      <c r="F15" s="55" t="inlineStr">
        <is>
          <t>Nativa</t>
        </is>
      </c>
      <c r="G15" s="55" t="inlineStr">
        <is>
          <t>Ocasional (1-5%)</t>
        </is>
      </c>
      <c r="H15" s="60" t="n">
        <v>25</v>
      </c>
      <c r="I15" s="60" t="n">
        <v>10</v>
      </c>
    </row>
    <row r="16">
      <c r="A16" s="56" t="inlineStr">
        <is>
          <t>4</t>
        </is>
      </c>
      <c r="B16" s="56" t="inlineStr">
        <is>
          <t>Pastos cultivados</t>
        </is>
      </c>
      <c r="C16" s="56" t="inlineStr">
        <is>
          <t>Por determinar</t>
        </is>
      </c>
      <c r="D16" s="56" t="inlineStr">
        <is>
          <t>Poaceae</t>
        </is>
      </c>
      <c r="E16" s="56" t="inlineStr">
        <is>
          <t>Herbáceo (&lt;0.5 m)</t>
        </is>
      </c>
      <c r="F16" s="56" t="inlineStr">
        <is>
          <t>Introducida</t>
        </is>
      </c>
      <c r="G16" s="56" t="inlineStr">
        <is>
          <t>Abundante (20-40%)</t>
        </is>
      </c>
      <c r="H16" s="56" t="n"/>
      <c r="I16" s="56" t="n"/>
    </row>
    <row r="17">
      <c r="A17" s="55" t="inlineStr">
        <is>
          <t>5</t>
        </is>
      </c>
      <c r="B17" s="55" t="inlineStr">
        <is>
          <t>Maíz</t>
        </is>
      </c>
      <c r="C17" s="55" t="inlineStr">
        <is>
          <t>Zea mays</t>
        </is>
      </c>
      <c r="D17" s="55" t="inlineStr">
        <is>
          <t>Poaceae</t>
        </is>
      </c>
      <c r="E17" s="55" t="inlineStr">
        <is>
          <t>Herbáceo (&lt;0.5 m)</t>
        </is>
      </c>
      <c r="F17" s="55" t="inlineStr">
        <is>
          <t>Introducida</t>
        </is>
      </c>
      <c r="G17" s="55" t="inlineStr">
        <is>
          <t>Frecuente (5-20%)</t>
        </is>
      </c>
      <c r="H17" s="55" t="n"/>
      <c r="I17" s="55" t="n"/>
    </row>
    <row r="19">
      <c r="A19" s="53" t="inlineStr">
        <is>
          <t>F-DT-03 · ESPECIES CLAVE GEORREFERENCIADAS</t>
        </is>
      </c>
    </row>
    <row r="20">
      <c r="A20" s="54" t="inlineStr">
        <is>
          <t>N.o</t>
        </is>
      </c>
      <c r="B20" s="54" t="inlineStr">
        <is>
          <t>Especie</t>
        </is>
      </c>
      <c r="C20" s="54" t="inlineStr">
        <is>
          <t>Categoría</t>
        </is>
      </c>
      <c r="D20" s="54" t="inlineStr">
        <is>
          <t>Estado UICN</t>
        </is>
      </c>
      <c r="E20" s="54" t="inlineStr">
        <is>
          <t>UTM ESTE</t>
        </is>
      </c>
      <c r="F20" s="54" t="inlineStr">
        <is>
          <t>UTM NORTE</t>
        </is>
      </c>
      <c r="G20" s="54" t="inlineStr">
        <is>
          <t>N.° individuos</t>
        </is>
      </c>
      <c r="H20" s="54" t="inlineStr">
        <is>
          <t>Observación</t>
        </is>
      </c>
    </row>
    <row r="22">
      <c r="A22" s="53" t="inlineStr">
        <is>
          <t>F-DT-04 · MATRIZ DE CAUSAS DE DEGRADACIÓN</t>
        </is>
      </c>
    </row>
    <row r="23">
      <c r="A23" s="54" t="inlineStr">
        <is>
          <t>N.o</t>
        </is>
      </c>
      <c r="B23" s="54" t="inlineStr">
        <is>
          <t>Causa</t>
        </is>
      </c>
      <c r="C23" s="54" t="inlineStr">
        <is>
          <t>Presencia</t>
        </is>
      </c>
      <c r="D23" s="54" t="inlineStr">
        <is>
          <t>Intensidad</t>
        </is>
      </c>
      <c r="E23" s="54" t="inlineStr">
        <is>
          <t>Extensión</t>
        </is>
      </c>
      <c r="F23" s="54" t="inlineStr">
        <is>
          <t>Antigüedad</t>
        </is>
      </c>
      <c r="G23" s="54" t="inlineStr">
        <is>
          <t>Evidencia</t>
        </is>
      </c>
    </row>
    <row r="24">
      <c r="A24" s="55" t="inlineStr">
        <is>
          <t>1</t>
        </is>
      </c>
      <c r="B24" s="55" t="inlineStr">
        <is>
          <t>Sobrepastoreo (caprino/vacuno)</t>
        </is>
      </c>
      <c r="C24" s="55" t="inlineStr">
        <is>
          <t>Sí</t>
        </is>
      </c>
      <c r="D24" s="55" t="inlineStr">
        <is>
          <t>Moderada</t>
        </is>
      </c>
      <c r="E24" s="55" t="inlineStr">
        <is>
          <t>30</t>
        </is>
      </c>
      <c r="F24" s="55" t="inlineStr">
        <is>
          <t>30</t>
        </is>
      </c>
      <c r="G24" s="55" t="inlineStr">
        <is>
          <t>Se evidenció presencia de ganado vacuno en la zona.</t>
        </is>
      </c>
    </row>
    <row r="25">
      <c r="A25" s="56" t="inlineStr">
        <is>
          <t>2</t>
        </is>
      </c>
      <c r="B25" s="56" t="inlineStr">
        <is>
          <t>Tala para leña</t>
        </is>
      </c>
      <c r="C25" s="56" t="inlineStr">
        <is>
          <t>Sí</t>
        </is>
      </c>
      <c r="D25" s="56" t="inlineStr">
        <is>
          <t>Ligera</t>
        </is>
      </c>
      <c r="E25" s="56" t="inlineStr">
        <is>
          <t>10</t>
        </is>
      </c>
      <c r="F25" s="56" t="inlineStr">
        <is>
          <t>30</t>
        </is>
      </c>
      <c r="G25" s="56" t="inlineStr">
        <is>
          <t>Se observó leña apilada en los patios de las viviendas.</t>
        </is>
      </c>
    </row>
    <row r="26">
      <c r="A26" s="55" t="inlineStr">
        <is>
          <t>3</t>
        </is>
      </c>
      <c r="B26" s="55" t="inlineStr">
        <is>
          <t>Tala para carbón</t>
        </is>
      </c>
      <c r="C26" s="55" t="inlineStr"/>
      <c r="D26" s="55" t="inlineStr"/>
      <c r="E26" s="55" t="inlineStr"/>
      <c r="F26" s="55" t="inlineStr"/>
      <c r="G26" s="55" t="inlineStr"/>
    </row>
    <row r="27">
      <c r="A27" s="56" t="inlineStr">
        <is>
          <t>4</t>
        </is>
      </c>
      <c r="B27" s="56" t="inlineStr">
        <is>
          <t>Tala para madera</t>
        </is>
      </c>
      <c r="C27" s="56" t="inlineStr"/>
      <c r="D27" s="56" t="inlineStr"/>
      <c r="E27" s="56" t="inlineStr"/>
      <c r="F27" s="56" t="inlineStr"/>
      <c r="G27" s="56" t="inlineStr"/>
    </row>
    <row r="28">
      <c r="A28" s="55" t="inlineStr">
        <is>
          <t>5</t>
        </is>
      </c>
      <c r="B28" s="55" t="inlineStr">
        <is>
          <t>Quema (renovación de pastos)</t>
        </is>
      </c>
      <c r="C28" s="55" t="inlineStr"/>
      <c r="D28" s="55" t="inlineStr"/>
      <c r="E28" s="55" t="inlineStr"/>
      <c r="F28" s="55" t="inlineStr"/>
      <c r="G28" s="55" t="inlineStr"/>
    </row>
    <row r="29">
      <c r="A29" s="56" t="inlineStr">
        <is>
          <t>6</t>
        </is>
      </c>
      <c r="B29" s="56" t="inlineStr">
        <is>
          <t>Quema accidental / Incendio</t>
        </is>
      </c>
      <c r="C29" s="56" t="inlineStr"/>
      <c r="D29" s="56" t="inlineStr"/>
      <c r="E29" s="56" t="inlineStr"/>
      <c r="F29" s="56" t="inlineStr"/>
      <c r="G29" s="56" t="inlineStr"/>
    </row>
    <row r="30">
      <c r="A30" s="55" t="inlineStr">
        <is>
          <t>7</t>
        </is>
      </c>
      <c r="B30" s="55" t="inlineStr">
        <is>
          <t>Cambio de uso a agricultura</t>
        </is>
      </c>
      <c r="C30" s="55" t="inlineStr">
        <is>
          <t>Sí</t>
        </is>
      </c>
      <c r="D30" s="55" t="inlineStr">
        <is>
          <t>Moderada</t>
        </is>
      </c>
      <c r="E30" s="55" t="inlineStr">
        <is>
          <t>50</t>
        </is>
      </c>
      <c r="F30" s="55" t="inlineStr">
        <is>
          <t>30</t>
        </is>
      </c>
      <c r="G30" s="55" t="inlineStr">
        <is>
          <t>Se evidenciaron parcelas de cultivos de caña y pastos.</t>
        </is>
      </c>
    </row>
    <row r="31">
      <c r="A31" s="56" t="inlineStr">
        <is>
          <t>8</t>
        </is>
      </c>
      <c r="B31" s="56" t="inlineStr">
        <is>
          <t>Cambio de uso a pastoreo</t>
        </is>
      </c>
      <c r="C31" s="56" t="inlineStr">
        <is>
          <t>Sí</t>
        </is>
      </c>
      <c r="D31" s="56" t="inlineStr">
        <is>
          <t>Moderada</t>
        </is>
      </c>
      <c r="E31" s="56" t="inlineStr">
        <is>
          <t>30</t>
        </is>
      </c>
      <c r="F31" s="56" t="inlineStr">
        <is>
          <t>30</t>
        </is>
      </c>
      <c r="G31" s="56" t="inlineStr">
        <is>
          <t>Se evidenció presencia de ganado vacuno por la zona.</t>
        </is>
      </c>
    </row>
    <row r="32">
      <c r="A32" s="55" t="inlineStr">
        <is>
          <t>9</t>
        </is>
      </c>
      <c r="B32" s="55" t="inlineStr">
        <is>
          <t>Expansión urbana / vial</t>
        </is>
      </c>
      <c r="C32" s="55" t="inlineStr"/>
      <c r="D32" s="55" t="inlineStr"/>
      <c r="E32" s="55" t="inlineStr"/>
      <c r="F32" s="55" t="inlineStr"/>
      <c r="G32" s="55" t="inlineStr"/>
    </row>
    <row r="33">
      <c r="A33" s="56" t="inlineStr">
        <is>
          <t>10</t>
        </is>
      </c>
      <c r="B33" s="56" t="inlineStr">
        <is>
          <t>Minería informal</t>
        </is>
      </c>
      <c r="C33" s="56" t="inlineStr"/>
      <c r="D33" s="56" t="inlineStr"/>
      <c r="E33" s="56" t="inlineStr"/>
      <c r="F33" s="56" t="inlineStr"/>
      <c r="G33" s="56" t="inlineStr"/>
    </row>
    <row r="34">
      <c r="A34" s="55" t="inlineStr">
        <is>
          <t>11</t>
        </is>
      </c>
      <c r="B34" s="55" t="inlineStr">
        <is>
          <t>Extracción de áridos (cauces)</t>
        </is>
      </c>
      <c r="C34" s="55" t="inlineStr"/>
      <c r="D34" s="55" t="inlineStr"/>
      <c r="E34" s="55" t="inlineStr"/>
      <c r="F34" s="55" t="inlineStr"/>
      <c r="G34" s="55" t="inlineStr"/>
    </row>
    <row r="35">
      <c r="A35" s="56" t="inlineStr">
        <is>
          <t>12</t>
        </is>
      </c>
      <c r="B35" s="56" t="inlineStr">
        <is>
          <t>Especies invasoras</t>
        </is>
      </c>
      <c r="C35" s="56" t="inlineStr"/>
      <c r="D35" s="56" t="inlineStr"/>
      <c r="E35" s="56" t="inlineStr"/>
      <c r="F35" s="56" t="inlineStr"/>
      <c r="G35" s="56" t="inlineStr"/>
    </row>
    <row r="36">
      <c r="A36" s="55" t="inlineStr">
        <is>
          <t>13</t>
        </is>
      </c>
      <c r="B36" s="55" t="inlineStr">
        <is>
          <t>Erosión natural severa</t>
        </is>
      </c>
      <c r="C36" s="55" t="inlineStr"/>
      <c r="D36" s="55" t="inlineStr"/>
      <c r="E36" s="55" t="inlineStr"/>
      <c r="F36" s="55" t="inlineStr"/>
      <c r="G36" s="55" t="inlineStr"/>
    </row>
    <row r="37">
      <c r="A37" s="56" t="inlineStr">
        <is>
          <t>14</t>
        </is>
      </c>
      <c r="B37" s="56" t="inlineStr">
        <is>
          <t>Sequía prolongada / CC</t>
        </is>
      </c>
      <c r="C37" s="56" t="inlineStr"/>
      <c r="D37" s="56" t="inlineStr"/>
      <c r="E37" s="56" t="inlineStr"/>
      <c r="F37" s="56" t="inlineStr"/>
      <c r="G37" s="56" t="inlineStr"/>
    </row>
    <row r="38">
      <c r="A38" s="55" t="inlineStr">
        <is>
          <t>15</t>
        </is>
      </c>
      <c r="B38" s="55" t="inlineStr">
        <is>
          <t>Plagas o enfermedades forestales</t>
        </is>
      </c>
      <c r="C38" s="55" t="inlineStr"/>
      <c r="D38" s="55" t="inlineStr"/>
      <c r="E38" s="55" t="inlineStr"/>
      <c r="F38" s="55" t="inlineStr"/>
      <c r="G38" s="55" t="inlineStr"/>
    </row>
    <row r="39">
      <c r="A39" s="56" t="inlineStr">
        <is>
          <t>16</t>
        </is>
      </c>
      <c r="B39" s="56" t="inlineStr">
        <is>
          <t>Otro</t>
        </is>
      </c>
      <c r="C39" s="56" t="inlineStr"/>
      <c r="D39" s="56" t="inlineStr"/>
      <c r="E39" s="56" t="inlineStr"/>
      <c r="F39" s="56" t="inlineStr"/>
      <c r="G39" s="56" t="inlineStr"/>
    </row>
    <row r="41">
      <c r="A41" s="53" t="inlineStr">
        <is>
          <t>F-DT-04 · INDICADORES CUANTITATIVOS</t>
        </is>
      </c>
    </row>
    <row r="42">
      <c r="A42" s="54" t="inlineStr">
        <is>
          <t>N.o</t>
        </is>
      </c>
      <c r="B42" s="54" t="inlineStr">
        <is>
          <t>Indicador</t>
        </is>
      </c>
      <c r="C42" s="54" t="inlineStr">
        <is>
          <t>Unidad</t>
        </is>
      </c>
      <c r="D42" s="54" t="inlineStr">
        <is>
          <t>Valor</t>
        </is>
      </c>
      <c r="E42" s="54" t="inlineStr">
        <is>
          <t>Fuente</t>
        </is>
      </c>
      <c r="F42" s="54" t="inlineStr">
        <is>
          <t>Umbral</t>
        </is>
      </c>
      <c r="G42" s="54" t="inlineStr">
        <is>
          <t>Nivel</t>
        </is>
      </c>
    </row>
    <row r="43">
      <c r="A43" s="55" t="inlineStr">
        <is>
          <t>1</t>
        </is>
      </c>
      <c r="B43" s="55" t="inlineStr">
        <is>
          <t>Cobertura vegetal total</t>
        </is>
      </c>
      <c r="C43" s="55" t="inlineStr">
        <is>
          <t>%</t>
        </is>
      </c>
      <c r="D43" s="55" t="inlineStr">
        <is>
          <t>5</t>
        </is>
      </c>
      <c r="E43" s="55" t="inlineStr">
        <is>
          <t>Campo + MSAVI 2024 (gabinete)</t>
        </is>
      </c>
      <c r="F43" s="55" t="inlineStr">
        <is>
          <t>&gt;60% bueno; 30-60% medio; &lt;30% malo</t>
        </is>
      </c>
      <c r="G43" s="55" t="inlineStr">
        <is>
          <t>Bajo</t>
        </is>
      </c>
    </row>
    <row r="44">
      <c r="A44" s="56" t="inlineStr">
        <is>
          <t>2</t>
        </is>
      </c>
      <c r="B44" s="56" t="inlineStr">
        <is>
          <t>Porcentaje de suelo desnudo</t>
        </is>
      </c>
      <c r="C44" s="56" t="inlineStr">
        <is>
          <t>%</t>
        </is>
      </c>
      <c r="D44" s="56" t="inlineStr">
        <is>
          <t>5</t>
        </is>
      </c>
      <c r="E44" s="56" t="inlineStr">
        <is>
          <t>Estimación visual de campo</t>
        </is>
      </c>
      <c r="F44" s="56" t="inlineStr">
        <is>
          <t>&lt;10% bueno; 10-30% medio; &gt;30% malo</t>
        </is>
      </c>
      <c r="G44" s="56" t="inlineStr">
        <is>
          <t>Bajo</t>
        </is>
      </c>
    </row>
    <row r="45">
      <c r="A45" s="55" t="inlineStr">
        <is>
          <t>3</t>
        </is>
      </c>
      <c r="B45" s="55" t="inlineStr">
        <is>
          <t>Densidad de cárcavas</t>
        </is>
      </c>
      <c r="C45" s="55" t="inlineStr">
        <is>
          <t>N°/ha</t>
        </is>
      </c>
      <c r="D45" s="55" t="inlineStr">
        <is>
          <t>1</t>
        </is>
      </c>
      <c r="E45" s="55" t="inlineStr">
        <is>
          <t>Estimación visual de campo</t>
        </is>
      </c>
      <c r="F45" s="55" t="inlineStr">
        <is>
          <t>0 nulo; 1-3 medio; &gt;3 alto</t>
        </is>
      </c>
      <c r="G45" s="55" t="inlineStr">
        <is>
          <t>Medio</t>
        </is>
      </c>
    </row>
    <row r="46">
      <c r="A46" s="56" t="inlineStr">
        <is>
          <t>4</t>
        </is>
      </c>
      <c r="B46" s="56" t="inlineStr">
        <is>
          <t>Presencia de especies invasoras</t>
        </is>
      </c>
      <c r="C46" s="56" t="inlineStr">
        <is>
          <t>% área</t>
        </is>
      </c>
      <c r="D46" s="56" t="inlineStr">
        <is>
          <t>0</t>
        </is>
      </c>
      <c r="E46" s="56" t="inlineStr">
        <is>
          <t>Estimación visual de campo</t>
        </is>
      </c>
      <c r="F46" s="56" t="inlineStr">
        <is>
          <t>&lt;5% bueno; 5-20% medio; &gt;20% alto</t>
        </is>
      </c>
      <c r="G46" s="56" t="inlineStr">
        <is>
          <t>Bajo</t>
        </is>
      </c>
    </row>
    <row r="47">
      <c r="A47" s="55" t="inlineStr">
        <is>
          <t>5</t>
        </is>
      </c>
      <c r="B47" s="55" t="inlineStr">
        <is>
          <t>Carga ganadera estimada</t>
        </is>
      </c>
      <c r="C47" s="55" t="inlineStr">
        <is>
          <t>UA/ha</t>
        </is>
      </c>
      <c r="D47" s="55" t="inlineStr">
        <is>
          <t>3</t>
        </is>
      </c>
      <c r="E47" s="55" t="inlineStr">
        <is>
          <t>Estimación visual de campo</t>
        </is>
      </c>
      <c r="F47" s="55" t="inlineStr">
        <is>
          <t>Según tipo de ecosistema</t>
        </is>
      </c>
      <c r="G47" s="55" t="inlineStr">
        <is>
          <t>Medio</t>
        </is>
      </c>
    </row>
    <row r="48">
      <c r="A48" s="56" t="inlineStr">
        <is>
          <t>6</t>
        </is>
      </c>
      <c r="B48" s="56" t="inlineStr">
        <is>
          <t>Frecuencia de quemas últimos 5 años</t>
        </is>
      </c>
      <c r="C48" s="56" t="inlineStr">
        <is>
          <t>N°</t>
        </is>
      </c>
      <c r="D48" s="56" t="inlineStr">
        <is>
          <t>1</t>
        </is>
      </c>
      <c r="E48" s="56" t="inlineStr">
        <is>
          <t>Estimación visual de campo</t>
        </is>
      </c>
      <c r="F48" s="56" t="inlineStr">
        <is>
          <t>0 nulo; 1-2 medio; &gt;2 alto</t>
        </is>
      </c>
      <c r="G48" s="56" t="inlineStr">
        <is>
          <t>Medio</t>
        </is>
      </c>
    </row>
    <row r="49">
      <c r="A49" s="55" t="inlineStr">
        <is>
          <t>7</t>
        </is>
      </c>
      <c r="B49" s="55" t="inlineStr">
        <is>
          <t>% área con pendiente &gt;50%</t>
        </is>
      </c>
      <c r="C49" s="55" t="inlineStr">
        <is>
          <t>%</t>
        </is>
      </c>
      <c r="D49" s="55" t="inlineStr">
        <is>
          <t>30</t>
        </is>
      </c>
      <c r="E49" s="55" t="inlineStr">
        <is>
          <t>Estimación visual de campo</t>
        </is>
      </c>
      <c r="F49" s="55" t="inlineStr">
        <is>
          <t>Factor de susceptibilidad</t>
        </is>
      </c>
      <c r="G49" s="55" t="inlineStr">
        <is>
          <t>Alto</t>
        </is>
      </c>
    </row>
    <row r="50">
      <c r="A50" s="56" t="inlineStr">
        <is>
          <t>8</t>
        </is>
      </c>
      <c r="B50" s="56" t="inlineStr">
        <is>
          <t>Distancia a vía vecinal más cercana</t>
        </is>
      </c>
      <c r="C50" s="56" t="inlineStr">
        <is>
          <t>m</t>
        </is>
      </c>
      <c r="D50" s="56" t="inlineStr">
        <is>
          <t>500</t>
        </is>
      </c>
      <c r="E50" s="56" t="inlineStr">
        <is>
          <t>Estimación visual de campo</t>
        </is>
      </c>
      <c r="F50" s="56" t="inlineStr">
        <is>
          <t>A menor distancia → mayor presión</t>
        </is>
      </c>
      <c r="G50" s="56" t="inlineStr">
        <is>
          <t>Medio</t>
        </is>
      </c>
    </row>
    <row r="52">
      <c r="A52" s="53" t="inlineStr">
        <is>
          <t>F-DT-05 · FUENTES DE AGUA INVENTARIADAS</t>
        </is>
      </c>
    </row>
    <row r="53">
      <c r="A53" s="54" t="inlineStr">
        <is>
          <t>N.o</t>
        </is>
      </c>
      <c r="B53" s="54" t="inlineStr">
        <is>
          <t>Tipo de fuente</t>
        </is>
      </c>
      <c r="C53" s="54" t="inlineStr">
        <is>
          <t>UTM ESTE</t>
        </is>
      </c>
      <c r="D53" s="54" t="inlineStr">
        <is>
          <t>UTM NORTE</t>
        </is>
      </c>
      <c r="E53" s="54" t="inlineStr">
        <is>
          <t>Régimen</t>
        </is>
      </c>
      <c r="F53" s="54" t="inlineStr">
        <is>
          <t>Calidad</t>
        </is>
      </c>
      <c r="G53" s="54" t="inlineStr">
        <is>
          <t>Distancia (m)</t>
        </is>
      </c>
      <c r="H53" s="54" t="inlineStr">
        <is>
          <t>Uso / observación</t>
        </is>
      </c>
    </row>
    <row r="54">
      <c r="A54" s="55" t="inlineStr">
        <is>
          <t>1</t>
        </is>
      </c>
      <c r="B54" s="55" t="inlineStr">
        <is>
          <t>Quebrada estacional</t>
        </is>
      </c>
      <c r="C54" s="55" t="n"/>
      <c r="D54" s="55" t="n"/>
      <c r="E54" s="55" t="inlineStr">
        <is>
          <t>Efímero</t>
        </is>
      </c>
      <c r="F54" s="55" t="inlineStr">
        <is>
          <t>No evaluable</t>
        </is>
      </c>
      <c r="G54" s="55" t="n"/>
      <c r="H54" s="55" t="inlineStr">
        <is>
          <t>Quebrada s/n colindante al bloque (margen izquierda), tributaria de Q9586. Coordenadas no levantadas con GPS.</t>
        </is>
      </c>
    </row>
    <row r="57">
      <c r="A57" s="53" t="inlineStr">
        <is>
          <t>OBSERVACIONES DEL EVALUADOR POR FICHA</t>
        </is>
      </c>
    </row>
    <row r="58">
      <c r="A58" s="54" t="inlineStr">
        <is>
          <t>Ficha</t>
        </is>
      </c>
      <c r="B58" s="54" t="inlineStr">
        <is>
          <t>Observación registrada en campo</t>
        </is>
      </c>
    </row>
    <row r="59">
      <c r="A59" s="55" t="inlineStr">
        <is>
          <t>F-DT-01</t>
        </is>
      </c>
      <c r="B59" s="55" t="inlineStr">
        <is>
          <t>El bloque es una ladera de montaña alta, con pendiente general menor al 60 %, que se incrementa al ascender por el terreno. Se encuentra a una altitud aproximada de 2 100 msnm. El acceso se realiza a pie por laderas que han sufrido deslizamientos a causa de la construcción de un camino. Presenta afloramientos rocosos con piedras medianas a grandes dispersas en el área. La ladera es empleada para el pastoreo extensivo de ganado vacuno perteneciente al centro poblado próximo al bloque; la mayor parte del área y sus alrededores presentan pastos cultivados. El suelo del bloque presenta erosión hídrica y por sobrepastoreo. En la ladera se observan estrías y surcos dejados por el tránsito habitual del ganado. Algunas zonas presentan reptación. Existen caminos de herradura dentro del bloque y considerable cantidad de piedras grandes a rocas semienterradas. NOTA DE GABINETE (SESDI): el campo «¿Reptación de suelo observada?» se registró como «No» en la ficha, en contradicción con la observación textual que reporta reptación. Se mantiene el valor de la ficha y se deja constancia de la inconsistencia (D-01).</t>
        </is>
      </c>
    </row>
    <row r="60">
      <c r="A60" s="56" t="inlineStr">
        <is>
          <t>F-DT-02</t>
        </is>
      </c>
      <c r="B60" s="56" t="inlineStr">
        <is>
          <t>FICHA F-DT-02 NO LEVANTADA EN CAMPO. El ANEXO de fichas del bloque contiene únicamente los formatos F-DT-01, F-DT-03 y F-DT-04. Los valores consignados aquí se derivan de las observaciones textuales de F-DT-01 y de los indicadores cuantitativos de F-DT-04, y tienen carácter preliminar. INVENTARIO GEORREFERENCIADO DE CÁRCAVAS NO EJECUTADO: 0 cárcavas registradas NO equivale a ausencia verificada. La densidad de cárcavas declarada en F-DT-04 es de 1 N°/ha, lo que resulta incompatible con un inventario vacío y debe resolverse en campo. El porcentaje del bloque afectado por cárcavas y la erosión laminar quedan supeditados al ortomosaico y al modelo digital de superficie.</t>
        </is>
      </c>
    </row>
    <row r="61">
      <c r="A61" s="55" t="inlineStr">
        <is>
          <t>F-DT-03</t>
        </is>
      </c>
      <c r="B61" s="55" t="inlineStr">
        <is>
          <t>Al momento de la evaluación la cobertura vegetal del área corresponde a un ecosistema de matorral andino fragmentado, dominado principalmente por pastos cultivados para forraje y zonas de pastoreo. Existen árboles remanentes dispersos utilizados como sombra para el ganado. En el rodal remanente la altura promedio de los individuos arbóreos es menor a 5 m y el diámetro a la altura del pecho promedio es de 15 cm. La vegetación es nativa y la mayoría de los individuos se encuentra en fase vegetativa. Próximo al bloque existen viviendas y pobladores que reforestan con pino y eucalipto (exóticas) y ciprés fuera de sus casas. Sobresalen especies nativas arbóreas como chachacomo (Escallonia sp.), roble y nogal, entre otras propias de la zona. NOTA DE GABINETE (SESDI): registro florístico de 5 especies frente al mínimo de 15 exigido por la ficha; sin nombre científico ni familia confirmados en campo y sección de especies clave/indicadoras en blanco. La altura promedio declarada en el texto (&lt;5 m) difiere de la consignada en la estructura (8 m). Los nombres científicos incorporados son preliminares de gabinete y requieren colecta y determinación botánica formal (D-02, D-03).</t>
        </is>
      </c>
    </row>
    <row r="62">
      <c r="A62" s="56" t="inlineStr">
        <is>
          <t>F-DT-04</t>
        </is>
      </c>
      <c r="B62" s="56" t="inlineStr">
        <is>
          <t>Considerar evaluar e integrar áreas de los alrededores del bloque donde se evidencien deslizamientos; hay aprobación de la población. Redelimitar el bloque priorizando las áreas próximas al centro poblado y desestimando las áreas donde el ecosistema se encuentra conservado. En el centro poblado los pobladores tienen ganado vacuno que liberan para que pastoree en las áreas que corresponden al bloque. Hay presencia de casas muy próximas al bloque. Existen cercos dentro del bloque.</t>
        </is>
      </c>
    </row>
    <row r="63">
      <c r="A63" s="55" t="inlineStr">
        <is>
          <t>F-DT-05</t>
        </is>
      </c>
      <c r="B63" s="55" t="inlineStr">
        <is>
          <t>FICHA F-DT-05 NO LEVANTADA EN CAMPO. Los datos de acceso proceden de la narrativa del entregable de campo; el inventario de fuentes no cuenta con coordenadas GPS ni con medición de caudal o distancia. El bloque se ubica en la ZONA DE ORIGEN del peligro generador de inundaciones (PGI), no en la zona de impacto: la intervención actúa sobre la generación de escorrentía aguas arriba y no sobre la llanura de inundación. Quedan por determinar: JASS y captación poblacional asociada, distancia a fuentes de uso doméstico, señal celular y operador, tiempos de viaje desde las capitales distrital y provincial, alojamiento rural y contacto responsable de la Ronda Campesina.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47</t>
        </is>
      </c>
    </row>
    <row r="7">
      <c r="A7" s="53" t="inlineStr">
        <is>
          <t>Hechos declarados por fuente</t>
        </is>
      </c>
    </row>
    <row r="8">
      <c r="A8" s="54" t="inlineStr">
        <is>
          <t>Fuente</t>
        </is>
      </c>
      <c r="B8" s="54" t="inlineStr">
        <is>
          <t>Hechos</t>
        </is>
      </c>
    </row>
    <row r="9">
      <c r="A9" s="55" t="inlineStr">
        <is>
          <t>Dato de campo</t>
        </is>
      </c>
      <c r="B9" s="55" t="n">
        <v>61</v>
      </c>
    </row>
    <row r="10">
      <c r="A10" s="56" t="inlineStr">
        <is>
          <t>Gabinete (GIS / teledetección)</t>
        </is>
      </c>
      <c r="B10" s="56" t="n">
        <v>21</v>
      </c>
    </row>
    <row r="11">
      <c r="A11" s="55" t="inlineStr">
        <is>
          <t>Fuente oficial</t>
        </is>
      </c>
      <c r="B11" s="55" t="n">
        <v>14</v>
      </c>
    </row>
    <row r="26">
      <c r="A26" s="53" t="inlineStr">
        <is>
          <t>Estado del cruce entre fuentes</t>
        </is>
      </c>
    </row>
    <row r="27">
      <c r="A27" s="54" t="inlineStr">
        <is>
          <t>Estado</t>
        </is>
      </c>
      <c r="B27" s="54" t="inlineStr">
        <is>
          <t>Hechos</t>
        </is>
      </c>
    </row>
    <row r="28">
      <c r="A28" s="55" t="inlineStr">
        <is>
          <t>CONFORME</t>
        </is>
      </c>
      <c r="B28" s="55" t="n">
        <v>96</v>
      </c>
    </row>
    <row r="29">
      <c r="A29" s="56" t="inlineStr">
        <is>
          <t>COMPLEMENTADO</t>
        </is>
      </c>
      <c r="B29" s="56" t="n">
        <v>0</v>
      </c>
    </row>
    <row r="30">
      <c r="A30" s="55" t="inlineStr">
        <is>
          <t>ACTUALIZADO</t>
        </is>
      </c>
      <c r="B30" s="55" t="n">
        <v>0</v>
      </c>
    </row>
    <row r="31">
      <c r="A31" s="56" t="inlineStr">
        <is>
          <t>DISCREPANTE</t>
        </is>
      </c>
      <c r="B31" s="56" t="n">
        <v>0</v>
      </c>
    </row>
    <row r="32">
      <c r="A32" s="55" t="inlineStr">
        <is>
          <t>PENDIENTE</t>
        </is>
      </c>
      <c r="B32" s="55" t="n">
        <v>18</v>
      </c>
    </row>
    <row r="45">
      <c r="A45" s="53" t="inlineStr">
        <is>
          <t>Cobertura por estrato — campo (%)</t>
        </is>
      </c>
    </row>
    <row r="46">
      <c r="A46" s="54" t="inlineStr">
        <is>
          <t>Estrato</t>
        </is>
      </c>
      <c r="B46" s="54" t="inlineStr">
        <is>
          <t>% del área</t>
        </is>
      </c>
    </row>
    <row r="47">
      <c r="A47" s="55" t="inlineStr">
        <is>
          <t>Dosel</t>
        </is>
      </c>
      <c r="B47" s="61" t="n">
        <v>5</v>
      </c>
    </row>
    <row r="48">
      <c r="A48" s="56" t="inlineStr">
        <is>
          <t>Arbustiva</t>
        </is>
      </c>
      <c r="B48" s="63" t="n">
        <v>5</v>
      </c>
    </row>
    <row r="49">
      <c r="A49" s="55" t="inlineStr">
        <is>
          <t>Herbácea</t>
        </is>
      </c>
      <c r="B49" s="60" t="n">
        <v>10</v>
      </c>
    </row>
    <row r="50">
      <c r="A50" s="56" t="inlineStr">
        <is>
          <t>Hojarasca</t>
        </is>
      </c>
      <c r="B50" s="63" t="n">
        <v>5</v>
      </c>
    </row>
    <row r="51">
      <c r="A51" s="55" t="inlineStr">
        <is>
          <t>Suelo desnudo</t>
        </is>
      </c>
      <c r="B51" s="61" t="n">
        <v>2</v>
      </c>
    </row>
    <row r="64">
      <c r="A64" s="53" t="inlineStr">
        <is>
          <t>Causas activas de degradación (F-DT-04)</t>
        </is>
      </c>
    </row>
    <row r="65">
      <c r="A65" s="54" t="inlineStr">
        <is>
          <t>Causa</t>
        </is>
      </c>
      <c r="B65" s="54" t="inlineStr">
        <is>
          <t>Intensidad (1 ligera - 4 muy fuerte)</t>
        </is>
      </c>
    </row>
    <row r="66">
      <c r="A66" s="55" t="inlineStr">
        <is>
          <t>Cambio de uso a agricultura</t>
        </is>
      </c>
      <c r="B66" s="55" t="n">
        <v>2</v>
      </c>
    </row>
    <row r="67">
      <c r="A67" s="56" t="inlineStr">
        <is>
          <t>Cambio de uso a pastoreo</t>
        </is>
      </c>
      <c r="B67" s="56" t="n">
        <v>2</v>
      </c>
    </row>
    <row r="68">
      <c r="A68" s="55" t="inlineStr">
        <is>
          <t>Sobrepastoreo (caprino/vacuno)</t>
        </is>
      </c>
      <c r="B68" s="55" t="n">
        <v>2</v>
      </c>
    </row>
    <row r="69">
      <c r="A69" s="56" t="inlineStr">
        <is>
          <t>Tala para leña</t>
        </is>
      </c>
      <c r="B69" s="56" t="n">
        <v>1</v>
      </c>
    </row>
    <row r="83">
      <c r="A83" s="53" t="inlineStr">
        <is>
          <t>Control de consistencia por calificación</t>
        </is>
      </c>
    </row>
    <row r="84">
      <c r="A84" s="54" t="inlineStr">
        <is>
          <t>Calificación</t>
        </is>
      </c>
      <c r="B84" s="54" t="inlineStr">
        <is>
          <t>Verificaciones</t>
        </is>
      </c>
    </row>
    <row r="85">
      <c r="A85" s="55" t="inlineStr">
        <is>
          <t>SUSTANTIVA</t>
        </is>
      </c>
      <c r="B85" s="55" t="n">
        <v>2</v>
      </c>
    </row>
    <row r="86">
      <c r="A86" s="56" t="inlineStr">
        <is>
          <t>NO SUSTANTIVA</t>
        </is>
      </c>
      <c r="B86" s="56" t="n">
        <v>2</v>
      </c>
    </row>
    <row r="87">
      <c r="A87" s="55" t="inlineStr">
        <is>
          <t>CORREGIDO</t>
        </is>
      </c>
      <c r="B87" s="55" t="n">
        <v>0</v>
      </c>
    </row>
    <row r="88">
      <c r="A88" s="56" t="inlineStr">
        <is>
          <t>CONFORME</t>
        </is>
      </c>
      <c r="B88" s="56"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47 — IN Piura</dc:title>
  <dc:subject>Diagnóstico Territorial por bloque de intervención</dc:subject>
  <dcterms:created xsi:type="dcterms:W3CDTF">2026-09-08T03:39:56Z</dcterms:created>
  <dcterms:modified xsi:type="dcterms:W3CDTF">2026-09-11T21:26:26Z</dcterms:modified>
</cp:coreProperties>
</file>