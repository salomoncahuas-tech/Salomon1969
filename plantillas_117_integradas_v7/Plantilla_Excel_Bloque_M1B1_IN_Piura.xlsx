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integración'!$A$66:$A$75</f>
            </numRef>
          </cat>
          <val>
            <numRef>
              <f>'Gráficos de integración'!$B$66:$B$75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M1B1</t>
        </is>
      </c>
    </row>
    <row r="6" ht="24" customHeight="1">
      <c r="A6" s="4" t="inlineStr">
        <is>
          <t>Diagnóstico Territorial — Plantilla DT Campo Check Validada V5 | Sistema de referencia: UTM WGS 84 Zona 17S (EPSG:32717) · Integrado con la ficha de campo F-DT vigente (DT_M1B1_llenado.xlsx) — V7 - resumen V6 + campo F-DT integrado</t>
        </is>
      </c>
    </row>
    <row r="7"/>
    <row r="8" ht="18" customHeight="1">
      <c r="A8" s="5" t="inlineStr">
        <is>
          <t>1. IDENTIFICACIÓN Y LOCALIZACIÓN</t>
        </is>
      </c>
    </row>
    <row r="9">
      <c r="A9" s="6" t="inlineStr">
        <is>
          <t>Código del bloque</t>
        </is>
      </c>
      <c r="B9" s="7" t="inlineStr">
        <is>
          <t>M1B1</t>
        </is>
      </c>
      <c r="C9" s="6" t="inlineStr">
        <is>
          <t>Microcuenca (catálogo)</t>
        </is>
      </c>
      <c r="D9" s="7" t="inlineStr">
        <is>
          <t>C1077-Q9580</t>
        </is>
      </c>
      <c r="E9" s="8" t="n"/>
      <c r="F9" s="8" t="n"/>
    </row>
    <row r="10">
      <c r="A10" s="6" t="inlineStr">
        <is>
          <t>Zona de planificación</t>
        </is>
      </c>
      <c r="B10" s="7" t="inlineStr">
        <is>
          <t>Z06</t>
        </is>
      </c>
      <c r="C10" s="6" t="inlineStr">
        <is>
          <t>Microcuenca declarada en ficha DT</t>
        </is>
      </c>
      <c r="D10" s="7" t="inlineStr">
        <is>
          <t>C1077-Q9580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Río Seco</t>
        </is>
      </c>
      <c r="C13" s="6" t="inlineStr">
        <is>
          <t>Comunidad campesina</t>
        </is>
      </c>
      <c r="D13" s="49" t="inlineStr">
        <is>
          <t>No aplica formalmente — el ámbito corresponde a predios rurales individuales y sectores asociados al CP Río Seco, distrito Buenos Aires; no se identificó comunidad campesina titulada.</t>
        </is>
      </c>
      <c r="E13" s="8" t="n"/>
      <c r="F13" s="8" t="n"/>
    </row>
    <row r="14">
      <c r="A14" s="6" t="inlineStr">
        <is>
          <t>Superficie de catálogo (V5/V6), ha</t>
        </is>
      </c>
      <c r="B14" s="7" t="n">
        <v>188.8</v>
      </c>
      <c r="C14" s="6" t="inlineStr">
        <is>
          <t>Fuente de superficie</t>
        </is>
      </c>
      <c r="D14" s="7" t="inlineStr">
        <is>
          <t>Catálogo maestro Bloques V5/V6</t>
        </is>
      </c>
      <c r="E14" s="8" t="n"/>
      <c r="F14" s="8" t="n"/>
    </row>
    <row r="15">
      <c r="A15" s="6" t="inlineStr">
        <is>
          <t>Centroide UTM ESTE (m)</t>
        </is>
      </c>
      <c r="B15" s="7" t="n">
        <v>617695</v>
      </c>
      <c r="C15" s="6" t="inlineStr">
        <is>
          <t>Centroide UTM NORTE (m)</t>
        </is>
      </c>
      <c r="D15" s="7" t="n">
        <v>9409136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173</v>
      </c>
      <c r="C19" s="6" t="inlineStr">
        <is>
          <t>Altitud máxima (msnm)</t>
        </is>
      </c>
      <c r="D19" s="7" t="n">
        <v>477</v>
      </c>
      <c r="E19" s="8" t="n"/>
      <c r="F19" s="8" t="n"/>
    </row>
    <row r="20">
      <c r="A20" s="6" t="inlineStr">
        <is>
          <t>Amplitud altitudinal (m)</t>
        </is>
      </c>
      <c r="B20" s="7" t="n">
        <v>304</v>
      </c>
      <c r="C20" s="6" t="inlineStr">
        <is>
          <t>Piso altitudinal dominante</t>
        </is>
      </c>
      <c r="D20" s="7" t="inlineStr">
        <is>
          <t>&lt;1000 m (Yunga)</t>
        </is>
      </c>
      <c r="E20" s="8" t="n"/>
      <c r="F20" s="8" t="n"/>
    </row>
    <row r="21">
      <c r="A21" s="6" t="inlineStr">
        <is>
          <t>Pendiente promedio (%)</t>
        </is>
      </c>
      <c r="B21" s="7" t="n">
        <v>18.7</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0.3193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(57.13 %)</t>
        </is>
      </c>
      <c r="E29" s="8" t="n"/>
      <c r="F29" s="8" t="n"/>
    </row>
    <row r="30">
      <c r="A30" s="6" t="inlineStr">
        <is>
          <t>Superficie clasificada NDVI 2025 (ha)</t>
        </is>
      </c>
      <c r="B30" s="7" t="n">
        <v>188.883</v>
      </c>
      <c r="C30" s="6" t="inlineStr">
        <is>
          <t>Desviación frente al catálogo (%)</t>
        </is>
      </c>
      <c r="D30" s="7" t="n">
        <v>0.04</v>
      </c>
      <c r="E30" s="8" t="n"/>
      <c r="F30" s="8" t="n"/>
    </row>
    <row r="31">
      <c r="A31" s="6" t="inlineStr">
        <is>
          <t>Superficie clasificada MSAVI 2024 (ha)</t>
        </is>
      </c>
      <c r="B31" s="37" t="n">
        <v>188.797</v>
      </c>
      <c r="C31" s="6" t="inlineStr">
        <is>
          <t>Desviación MSAVI frente al catálogo (%)</t>
        </is>
      </c>
      <c r="D31" s="38" t="n">
        <v>0</v>
      </c>
      <c r="E31" s="8" t="n"/>
      <c r="F31" s="8" t="n"/>
    </row>
    <row r="32">
      <c r="A32" s="6" t="inlineStr">
        <is>
          <t>Superficie bajo umbral MSAVI 0.4976 (ha)</t>
        </is>
      </c>
      <c r="B32" s="37" t="n">
        <v>187.627</v>
      </c>
      <c r="C32" s="6" t="inlineStr">
        <is>
          <t>% del bloque bajo umbral (brecha espectral)</t>
        </is>
      </c>
      <c r="D32" s="38" t="n">
        <v>99.38</v>
      </c>
      <c r="E32" s="8" t="n"/>
      <c r="F32" s="8" t="n"/>
    </row>
    <row r="33">
      <c r="A33" s="6" t="inlineStr">
        <is>
          <t>Clase DN dominante (MSAVI 2024)</t>
        </is>
      </c>
      <c r="B33" s="7" t="inlineStr">
        <is>
          <t>DN 2 · 0.2650 - 0.3813 (Vigor muy bajo)</t>
        </is>
      </c>
      <c r="C33" s="6" t="inlineStr">
        <is>
          <t>N.° de polígonos MSAVI del bloque</t>
        </is>
      </c>
      <c r="D33" s="39" t="n">
        <v>510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185 ha (de 188.80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 Ing. Héctor Salomón Cahuas Miller / Ing. Juan Carlos Domínguez Varas</t>
        </is>
      </c>
      <c r="C44" s="6" t="inlineStr">
        <is>
          <t>Fecha de evaluación</t>
        </is>
      </c>
      <c r="D44" s="7" t="inlineStr">
        <is>
          <t>2026-05-22</t>
        </is>
      </c>
      <c r="E44" s="8" t="n"/>
      <c r="F44" s="8" t="n"/>
    </row>
    <row r="45">
      <c r="A45" s="6" t="inlineStr">
        <is>
          <t>Hora de registro</t>
        </is>
      </c>
      <c r="B45" s="7" t="inlineStr">
        <is>
          <t>07:07 h</t>
        </is>
      </c>
      <c r="C45" s="6" t="inlineStr">
        <is>
          <t>Correlativo de ficha</t>
        </is>
      </c>
      <c r="D45" s="7" t="inlineStr">
        <is>
          <t>DT-M1B1-001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49" t="inlineStr">
        <is>
          <t>Dependencia económica de la población rural respecto de los recursos del bosque seco (leña, pastoreo) sumada a la débil gobernanza territorial y a la presión climática (sequías).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0.1188</v>
      </c>
      <c r="C10" s="19">
        <f>ROUND(B10/$B$15*100,2)</f>
        <v/>
      </c>
      <c r="D10" s="11" t="inlineStr">
        <is>
          <t>Vigor alto</t>
        </is>
      </c>
      <c r="E10" s="11" t="inlineStr">
        <is>
          <t>Sobre umbral</t>
        </is>
      </c>
    </row>
    <row r="11">
      <c r="A11" s="12" t="inlineStr">
        <is>
          <t>0.4976 - 0.6139 · DN 4</t>
        </is>
      </c>
      <c r="B11" s="20" t="n">
        <v>1.0516</v>
      </c>
      <c r="C11" s="21">
        <f>ROUND(B11/$B$15*100,2)</f>
        <v/>
      </c>
      <c r="D11" s="13" t="inlineStr">
        <is>
          <t>Vigor moderado</t>
        </is>
      </c>
      <c r="E11" s="13" t="inlineStr">
        <is>
          <t>Sobre umbral</t>
        </is>
      </c>
    </row>
    <row r="12">
      <c r="A12" s="7" t="inlineStr">
        <is>
          <t>0.3813 - 0.4976 · DN 3</t>
        </is>
      </c>
      <c r="B12" s="18" t="n">
        <v>23.9701</v>
      </c>
      <c r="C12" s="19">
        <f>ROUND(B12/$B$15*100,2)</f>
        <v/>
      </c>
      <c r="D12" s="11" t="inlineStr">
        <is>
          <t>Vigor bajo</t>
        </is>
      </c>
      <c r="E12" s="11" t="inlineStr">
        <is>
          <t>BAJO umbral 0.4976</t>
        </is>
      </c>
    </row>
    <row r="13">
      <c r="A13" s="14" t="inlineStr">
        <is>
          <t>0.2650 - 0.3813 · DN 2</t>
        </is>
      </c>
      <c r="B13" s="30" t="n">
        <v>124.7542</v>
      </c>
      <c r="C13" s="29">
        <f>ROUND(B13/$B$15*100,2)</f>
        <v/>
      </c>
      <c r="D13" s="15" t="inlineStr">
        <is>
          <t>Vigor muy bajo</t>
        </is>
      </c>
      <c r="E13" s="15" t="inlineStr">
        <is>
          <t>BAJO umbral 0.4976</t>
        </is>
      </c>
    </row>
    <row r="14">
      <c r="A14" s="7" t="inlineStr">
        <is>
          <t>&lt;= 0.2650 · DN 1</t>
        </is>
      </c>
      <c r="B14" s="18" t="n">
        <v>38.9022</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510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188.8</v>
      </c>
      <c r="C18" s="48" t="inlineStr">
        <is>
          <t>—</t>
        </is>
      </c>
      <c r="D18" s="45" t="inlineStr">
        <is>
          <t>Desviación planimétrica frente al catálogo</t>
        </is>
      </c>
      <c r="E18" s="45" t="inlineStr">
        <is>
          <t>+0.00 %</t>
        </is>
      </c>
    </row>
    <row r="19">
      <c r="A19" s="16" t="inlineStr">
        <is>
          <t>MSAVI 2024 — MEDIA DEL BLOQUE</t>
        </is>
      </c>
      <c r="B19" s="17" t="n">
        <v>0.319305</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(0.3193)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1.3213</v>
      </c>
      <c r="C25" s="19" t="n">
        <v>0.7</v>
      </c>
      <c r="D25" s="11" t="inlineStr">
        <is>
          <t>Dosel continuo, matorral denso o mosaico agroforestal</t>
        </is>
      </c>
      <c r="E25" s="11" t="inlineStr"/>
    </row>
    <row r="26">
      <c r="A26" s="12" t="inlineStr">
        <is>
          <t>Vegetación mediana</t>
        </is>
      </c>
      <c r="B26" s="20" t="n">
        <v>77.7757</v>
      </c>
      <c r="C26" s="21" t="n">
        <v>41.18</v>
      </c>
      <c r="D26" s="13" t="inlineStr">
        <is>
          <t>Pastizal cultivado, matorral ralo, parcelas agrícolas</t>
        </is>
      </c>
      <c r="E26" s="13" t="inlineStr"/>
    </row>
    <row r="27">
      <c r="A27" s="7" t="inlineStr">
        <is>
          <t>Vegetación ligera</t>
        </is>
      </c>
      <c r="B27" s="18" t="n">
        <v>107.9118</v>
      </c>
      <c r="C27" s="19" t="n">
        <v>57.13</v>
      </c>
      <c r="D27" s="11" t="inlineStr">
        <is>
          <t>Cobertura discontinua, suelo parcialmente expuesto</t>
        </is>
      </c>
      <c r="E27" s="11" t="inlineStr"/>
    </row>
    <row r="28">
      <c r="A28" s="12" t="inlineStr">
        <is>
          <t>Tierra desnuda</t>
        </is>
      </c>
      <c r="B28" s="20" t="n">
        <v>1.8743</v>
      </c>
      <c r="C28" s="21" t="n">
        <v>0.99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188.8</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0.70 % del polígono clasificado como «Vegetación alta» por el NDVI 2025; la observación de campo corresponde a una parcela o recorrido puntual y no es estadísticamente representativa de las 188.800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M1B1</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618460</v>
      </c>
      <c r="D10" s="26" t="n">
        <v>9410690</v>
      </c>
      <c r="E10" s="11" t="n">
        <v>1732.1</v>
      </c>
      <c r="F10" s="11" t="inlineStr"/>
      <c r="G10" s="11" t="inlineStr">
        <is>
          <t>Coordenada consignada en F-DT-01</t>
        </is>
      </c>
    </row>
    <row r="11">
      <c r="A11" s="12" t="inlineStr">
        <is>
          <t>C-01</t>
        </is>
      </c>
      <c r="B11" s="13" t="inlineStr">
        <is>
          <t>Rasgo erosivo — Cárcava somera (0.5-2 m) — 380 m long., 1.0 m prof., 1.5 m ancho</t>
        </is>
      </c>
      <c r="C11" s="27" t="n">
        <v>618300</v>
      </c>
      <c r="D11" s="27" t="n">
        <v>9410540</v>
      </c>
      <c r="E11" s="13" t="n">
        <v>1528.8</v>
      </c>
      <c r="F11" s="13" t="inlineStr">
        <is>
          <t>Semi-activa</t>
        </is>
      </c>
      <c r="G11" s="13" t="inlineStr">
        <is>
          <t>Concentración natural de escorrentía</t>
        </is>
      </c>
    </row>
    <row r="12">
      <c r="A12" s="7" t="inlineStr">
        <is>
          <t>H-01</t>
        </is>
      </c>
      <c r="B12" s="11" t="inlineStr">
        <is>
          <t>Fuente de agua — Quebrada estacional</t>
        </is>
      </c>
      <c r="C12" s="26" t="n">
        <v>618620</v>
      </c>
      <c r="D12" s="26" t="n">
        <v>9410820</v>
      </c>
      <c r="E12" s="11" t="n">
        <v>1921.3</v>
      </c>
      <c r="F12" s="11" t="inlineStr">
        <is>
          <t>Estacional</t>
        </is>
      </c>
      <c r="G12" s="11" t="inlineStr">
        <is>
          <t>Quebrada de Río Seco</t>
        </is>
      </c>
    </row>
    <row r="13">
      <c r="A13" s="12" t="inlineStr">
        <is>
          <t>H-02</t>
        </is>
      </c>
      <c r="B13" s="13" t="inlineStr">
        <is>
          <t>Fuente de agua — Río</t>
        </is>
      </c>
      <c r="C13" s="27" t="n">
        <v>619050</v>
      </c>
      <c r="D13" s="27" t="n">
        <v>9411000</v>
      </c>
      <c r="E13" s="13" t="n">
        <v>2304.5</v>
      </c>
      <c r="F13" s="13" t="inlineStr">
        <is>
          <t>Permanente</t>
        </is>
      </c>
      <c r="G13" s="13" t="inlineStr">
        <is>
          <t>Cauce de Río Seco al norte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617695</v>
      </c>
      <c r="C16" s="6" t="inlineStr">
        <is>
          <t>Centroide del bloque — UTM NORTE (m)</t>
        </is>
      </c>
      <c r="D16" s="7" t="n">
        <v>9409136</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56"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ingreso se realizó el 22-05-2026 desde la carretera Morropón-Buenos Aires, con punto de partida al pie del bloque (CP Río Seco), donde SE CONSTATÓ UN MURO DE CONTENCIÓN Y DESVÍO DE CAUCE de quebrada estacional que protege al CP de las avenidas en temporada de lluvias. El recorrido cubrió el sector basal y medio del flanco NE (cotas ≈235 a ≈360 msnm); EL SECTOR ALTO Y ROCOSO (refugio relictual de especies del ecosistema) NO FUE RECORRIDO por pendiente y tiempo. Si bien no se observaron remociones en masa activas ni escarpes extensos, LOS AFLORAMIENTOS ROCOSOS EN PENDIENTES FUERTES CONFIGURAN SUSCEPTIBILIDAD A CAÍDA DE ROCAS; el peligro dominante del bloque es LA GENERACIÓN DE ESCORRENTÍA CONCENTRADA hacia la Quebrada de Río Seco (zona de origen de inundaciones aguas abajo).</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C1077-Q9580 — BLOQUE M1B1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C1077-Q9580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M1B1</t>
        </is>
      </c>
      <c r="B10" s="28" t="n">
        <v>188.8</v>
      </c>
      <c r="C10" s="29" t="n">
        <v>100</v>
      </c>
      <c r="D10" s="15" t="inlineStr">
        <is>
          <t>173 – 477</t>
        </is>
      </c>
      <c r="E10" s="15" t="n">
        <v>304</v>
      </c>
      <c r="F10" s="15" t="n">
        <v>18.7</v>
      </c>
      <c r="G10" s="30" t="n">
        <v>0.3193</v>
      </c>
      <c r="H10" s="29" t="n">
        <v>0.7</v>
      </c>
      <c r="I10" s="29" t="n">
        <v>99.38</v>
      </c>
    </row>
    <row r="11">
      <c r="A11" s="16" t="inlineStr">
        <is>
          <t>TOTAL / PROMEDIO</t>
        </is>
      </c>
      <c r="B11" s="31">
        <f>SUM(B10:B10)</f>
        <v/>
      </c>
      <c r="C11" s="23">
        <f>SUM(C10:C10)</f>
        <v/>
      </c>
      <c r="D11" s="17" t="inlineStr">
        <is>
          <t>173 – 477</t>
        </is>
      </c>
      <c r="E11" s="17" t="inlineStr"/>
      <c r="F11" s="17">
        <f>ROUND(AVERAGE(F10:F10),2)</f>
        <v/>
      </c>
      <c r="G11" s="22">
        <f>ROUND(AVERAGE(G10:G10),4)</f>
        <v/>
      </c>
      <c r="H11" s="23">
        <f>ROUND(AVERAGE(H10:H10),2)</f>
        <v/>
      </c>
      <c r="I11" s="23">
        <f>ROUND(AVERAGE(I10:I10),2)</f>
        <v/>
      </c>
    </row>
    <row r="13" ht="84" customHeight="1">
      <c r="A13" s="9" t="inlineStr">
        <is>
          <t>LECTURA INTRAMICROCUENCA. El bloque M1B1 ocupa el puesto 1 de 1 por superficie dentro de la microcuenca C1077-Q9580 (100.00 % de las 188.80 ha preliminares de la microcuenca). Su pendiente promedio (18.70 %, clase «15-25% (Fuert. inclinado)») es la 1.ª más baja de 1 y se sitúa por encima del promedio de la microcuenca (18.70 %). Su MSAVI 2024 (0.3193) es el 1.º de 1 y queda por debajo del promedio local (0.3193). Amplitud altitudinal del bloque: 304 m (173–477 msnm). El cuadro conserva todos los bloques catalogados en la microcuenca, incluidos los descartados en el tamizaje, para referencia del conjunto. Los bloques sin ficha DT figuran con sus parámetros de gabinete. BRECHA ESPECTRAL. El 99.38 % de la superficie del bloque (187.627 ha de 188.797 ha) se sitúa bajo el umbral MSAVI 0.4976, igual al promedio local de la microcuenca (99.38 %) calculado sobre los bloques con dato MSAVI disponible.</t>
        </is>
      </c>
      <c r="B13" s="40" t="n"/>
      <c r="C13" s="40" t="n"/>
      <c r="D13" s="40" t="n"/>
      <c r="E13" s="40" t="n"/>
      <c r="F13" s="40" t="n"/>
      <c r="G13" s="40" t="n"/>
      <c r="H13" s="40" t="n"/>
      <c r="I13" s="41" t="n"/>
    </row>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5" s="40" t="n"/>
      <c r="C15" s="40" t="n"/>
      <c r="D15" s="40" t="n"/>
      <c r="E15" s="40" t="n"/>
      <c r="F15" s="40" t="n"/>
      <c r="G15" s="40" t="n"/>
      <c r="H15" s="40" t="n"/>
      <c r="I15" s="41" t="n"/>
    </row>
  </sheetData>
  <mergeCells count="9">
    <mergeCell ref="A15:I15"/>
    <mergeCell ref="A2:I2"/>
    <mergeCell ref="A5:I5"/>
    <mergeCell ref="A13:I13"/>
    <mergeCell ref="A1:I1"/>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M1B1</t>
        </is>
      </c>
    </row>
    <row r="6">
      <c r="A6" s="51" t="inlineStr">
        <is>
          <t>Cruce de la ficha de campo F-DT vigente con la ficha de resumen de gabinete y el catálogo maestro. Integración 2026-09-11 21:26:34.</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«C1077-Q9580».</t>
        </is>
      </c>
      <c r="D9" s="55" t="inlineStr">
        <is>
          <t>CONFORME</t>
        </is>
      </c>
      <c r="E9" s="55" t="inlineStr">
        <is>
          <t>Sin acción.</t>
        </is>
      </c>
    </row>
    <row r="10">
      <c r="A10" s="56" t="inlineStr">
        <is>
          <t>G-02</t>
        </is>
      </c>
      <c r="B10" s="56" t="inlineStr">
        <is>
          <t>UTM del punto de muestreo</t>
        </is>
      </c>
      <c r="C10" s="56" t="inlineStr">
        <is>
          <t>El punto de muestreo declarado dista 1775.9 m del centroide del bloque, por encima del radio de control de 1500 m.</t>
        </is>
      </c>
      <c r="D10" s="56" t="inlineStr">
        <is>
          <t>NO SUSTANTIVA</t>
        </is>
      </c>
      <c r="E10" s="56" t="inlineStr">
        <is>
          <t>Se verifica en gabinete si la estación cae dentro del polígono; el dato de campo se conserva como referencia de acceso.</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(340 msnm) cae dentro del rango altitudinal del bloque (173 - 477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(188.883 ha) se desvía 0.04 % de la superficie de catálogo (188.80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(188.797 ha) se desvía -0.00 % de la superficie de catálogo (188.80 ha).</t>
        </is>
      </c>
      <c r="D14" s="56" t="inlineStr">
        <is>
          <t>CONFORME</t>
        </is>
      </c>
      <c r="E14" s="56" t="inlineStr">
        <is>
          <t>Sin acción: la segmentación valida la geometría del bloque.</t>
        </is>
      </c>
    </row>
    <row r="15">
      <c r="A15" s="55" t="inlineStr">
        <is>
          <t>G-07</t>
        </is>
      </c>
      <c r="B15" s="55" t="inlineStr">
        <is>
          <t>Brecha espectral MSAVI</t>
        </is>
      </c>
      <c r="C15" s="55" t="inlineStr">
        <is>
          <t>El 99.38 % del bloque queda bajo el umbral 0.4976; superficie de brecha 187.63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188.80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(0.3193)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Comunidad campesina</t>
        </is>
      </c>
      <c r="C19" s="55" t="inlineStr">
        <is>
          <t>El libro de resumen V6 consignaba «No aplica formalmente — predios rurales individuales y sectores asociados al CP Río Seco»; la ficha de campo vigente declara «No aplica formalmente — el ámbito corresponde a predios rurales individuales y sectores asociados al CP Río Seco, distrito Buenos Aires; no…».</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Causa subyacente principal</t>
        </is>
      </c>
      <c r="C20" s="56" t="inlineStr">
        <is>
          <t>El libro de resumen V6 consignaba «Dependencia económica de la población rural respecto de los recursos del bosque seco (leña, pastoreo) sumada a la presión climática»; la ficha de campo vigente declara «Dependencia económica de la población rural respecto de los recursos del bosque seco (leña, pastoreo) sumada a la débil gobernanza territor…».</t>
        </is>
      </c>
      <c r="D20" s="56" t="inlineStr">
        <is>
          <t>CORREGIDO</t>
        </is>
      </c>
      <c r="E20" s="56" t="inlineStr">
        <is>
          <t>Se adopta el valor de campo por ser la fuente que manda sobre el dato y la más reciente. El valor anterior queda declarado para trazabilidad.</t>
        </is>
      </c>
    </row>
    <row r="21">
      <c r="A21" s="55" t="inlineStr">
        <is>
          <t>F-01</t>
        </is>
      </c>
      <c r="B21" s="55" t="inlineStr">
        <is>
          <t>Fichas F-DT levantadas</t>
        </is>
      </c>
      <c r="C21" s="55" t="inlineStr">
        <is>
          <t>La plantilla de campo trae las cinco fichas F-DT-01 a F-DT-05 (completitud 100.0 % de los campos esperados).</t>
        </is>
      </c>
      <c r="D21" s="55" t="inlineStr">
        <is>
          <t>CONFORME</t>
        </is>
      </c>
      <c r="E21" s="55" t="inlineStr">
        <is>
          <t>Sin acción.</t>
        </is>
      </c>
    </row>
    <row r="22">
      <c r="A22" s="56" t="inlineStr">
        <is>
          <t>F-02</t>
        </is>
      </c>
      <c r="B22" s="56" t="inlineStr">
        <is>
          <t>Cobertura de la integración</t>
        </is>
      </c>
      <c r="C22" s="56" t="inlineStr">
        <is>
          <t>Se declararon 110 de 114 hechos integrados (96.5 %); 4 quedan sin dato en ninguna fuente.</t>
        </is>
      </c>
      <c r="D22" s="56" t="inlineStr">
        <is>
          <t>CONFORME</t>
        </is>
      </c>
      <c r="E22" s="56" t="inlineStr">
        <is>
          <t>Sin acción.</t>
        </is>
      </c>
    </row>
    <row r="23">
      <c r="A23" s="55" t="inlineStr">
        <is>
          <t>H-01</t>
        </is>
      </c>
      <c r="B23" s="55" t="inlineStr">
        <is>
          <t>Rango de pendiente dominante</t>
        </is>
      </c>
      <c r="C23" s="55" t="inlineStr">
        <is>
          <t>La ficha DT declara «25-50% (Mod. escarpado)»; la estadística zonal sobre el MDE arroja una pendiente promedio de 18.70 %, que corresponde a la clase «15-25% (Fuert. inclinado)»</t>
        </is>
      </c>
      <c r="D23" s="55" t="inlineStr">
        <is>
          <t>NO SUSTANTIVA</t>
        </is>
      </c>
      <c r="E23"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6" t="inlineStr">
        <is>
          <t>H-02</t>
        </is>
      </c>
      <c r="B24" s="56" t="inlineStr">
        <is>
          <t>Cobertura vegetal total</t>
        </is>
      </c>
      <c r="C24" s="56" t="inlineStr">
        <is>
          <t>La ficha DT estima 60 % de cobertura vegetal en campo; el NDVI mediana 2025 clasifica 99.01 % del polígono en clases de vegetación</t>
        </is>
      </c>
      <c r="D24" s="56" t="inlineStr">
        <is>
          <t>NO SUSTANTIVA</t>
        </is>
      </c>
      <c r="E24"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5" t="inlineStr">
        <is>
          <t>H-03</t>
        </is>
      </c>
      <c r="B25" s="55" t="inlineStr">
        <is>
          <t>Elenco florístico</t>
        </is>
      </c>
      <c r="C25" s="55" t="inlineStr">
        <is>
          <t>La ficha registra 13 taxones, por debajo del mínimo de 15 que exige el formato V5</t>
        </is>
      </c>
      <c r="D25" s="55" t="inlineStr">
        <is>
          <t>SUSTANTIVA</t>
        </is>
      </c>
      <c r="E25" s="55" t="inlineStr">
        <is>
          <t>Registro florístico preliminar, sin colecta ni determinación botánica formal. Debe cerrarse con colecta botánica en la siguiente campaña. (Verificación heredada de la ficha de resumen V6.)</t>
        </is>
      </c>
    </row>
    <row r="26">
      <c r="A26" s="56" t="inlineStr">
        <is>
          <t>H-04</t>
        </is>
      </c>
      <c r="B26" s="56" t="inlineStr">
        <is>
          <t>Representatividad del levantamiento</t>
        </is>
      </c>
      <c r="C26" s="56" t="inlineStr">
        <is>
          <t>Ninguna de las estaciones fotográficas georreferenciadas se localiza dentro del polígono del bloque</t>
        </is>
      </c>
      <c r="D26" s="56" t="inlineStr">
        <is>
          <t>SUSTANTIVA</t>
        </is>
      </c>
      <c r="E26" s="56" t="inlineStr">
        <is>
          <t>La verificación documenta el perímetro y la vista panorámica del bloque, no su interior. Los parámetros que exigen recorrido interno se consignan «Por determinar». (Verificación heredada de la ficha de resumen V6.)</t>
        </is>
      </c>
    </row>
    <row r="27">
      <c r="A27" s="55" t="inlineStr">
        <is>
          <t>H-05</t>
        </is>
      </c>
      <c r="B27" s="55" t="inlineStr">
        <is>
          <t>Centro poblado asociado</t>
        </is>
      </c>
      <c r="C27" s="55" t="inlineStr">
        <is>
          <t>La ficha DT declara «Río Seco»; el cruce INEI-Bloques V5 identifica 1 centro(s) poblado(s) en el bloque: RIO SECO</t>
        </is>
      </c>
      <c r="D27" s="55" t="inlineStr">
        <is>
          <t>NO SUSTANTIVA</t>
        </is>
      </c>
      <c r="E27" s="55" t="inlineStr">
        <is>
          <t>Se conserva el registro de campo como referencia y se adopta el listado INEI para el diagnóstico social y el cálculo de población beneficiaria. (Verificación heredada de la ficha de resumen V6.)</t>
        </is>
      </c>
    </row>
    <row r="28">
      <c r="A28" s="56" t="inlineStr">
        <is>
          <t>H-06</t>
        </is>
      </c>
      <c r="B28" s="56" t="inlineStr">
        <is>
          <t>Plan de Ingreso</t>
        </is>
      </c>
      <c r="C28" s="56" t="inlineStr">
        <is>
          <t>Altitud = 0 msnm (captura por defecto del aplicativo)</t>
        </is>
      </c>
      <c r="D28" s="56" t="inlineStr">
        <is>
          <t>CORREGIDO</t>
        </is>
      </c>
      <c r="E28" s="56" t="inlineStr">
        <is>
          <t>Se reemplaza por la altitud GPS de campo (340 msnm) (Verificación heredada de la ficha de resumen V6.)</t>
        </is>
      </c>
    </row>
    <row r="29">
      <c r="A29" s="55" t="inlineStr">
        <is>
          <t>H-07</t>
        </is>
      </c>
      <c r="B29" s="55" t="inlineStr">
        <is>
          <t>F-DT-01</t>
        </is>
      </c>
      <c r="C29" s="55" t="inlineStr">
        <is>
          <t>El sector alto y rocoso del bloque —refugio relictual de las especies del ecosistema— NO fue recorrido</t>
        </is>
      </c>
      <c r="D29" s="55" t="inlineStr">
        <is>
          <t>SUSTANTIVA</t>
        </is>
      </c>
      <c r="E29" s="55" t="inlineStr">
        <is>
          <t>La caracterización del sector alto queda pendiente (Verificación heredada de la ficha de resumen V6.)</t>
        </is>
      </c>
    </row>
    <row r="30">
      <c r="A30" s="56" t="inlineStr">
        <is>
          <t>H-08</t>
        </is>
      </c>
      <c r="B30" s="56" t="inlineStr">
        <is>
          <t>F-DT-03</t>
        </is>
      </c>
      <c r="C30" s="56" t="inlineStr">
        <is>
          <t>Listado florístico preliminar; nombres científicos sujetos a colecta botánica</t>
        </is>
      </c>
      <c r="D30" s="56" t="inlineStr">
        <is>
          <t>NO SUSTANTIVA</t>
        </is>
      </c>
      <c r="E30" s="56" t="inlineStr">
        <is>
          <t>Determinación formal pendiente (Verificación heredada de la ficha de resumen V6.)</t>
        </is>
      </c>
    </row>
    <row r="31">
      <c r="A31" s="55" t="inlineStr">
        <is>
          <t>H-09</t>
        </is>
      </c>
      <c r="B31" s="55" t="inlineStr">
        <is>
          <t>F-DT-04</t>
        </is>
      </c>
      <c r="C31" s="55" t="inlineStr">
        <is>
          <t>Especies invasoras al 30% del área (Ipomoea carnea, no palatable): nivel ALTO</t>
        </is>
      </c>
      <c r="D31" s="55" t="inlineStr">
        <is>
          <t>SUSTANTIVA</t>
        </is>
      </c>
      <c r="E31" s="55" t="inlineStr">
        <is>
          <t>Requiere medida específica de control en el diseño de la revegetación (Verificación heredada de la ficha de resumen V6.)</t>
        </is>
      </c>
    </row>
    <row r="33">
      <c r="A33" s="57" t="inlineStr">
        <is>
          <t>RESUMEN</t>
        </is>
      </c>
      <c r="B33" s="58" t="inlineStr">
        <is>
          <t>23 verificaciones</t>
        </is>
      </c>
      <c r="C33" s="58" t="inlineStr">
        <is>
          <t>SUSTANTIVA: 5 · NO SUSTANTIVA: 5 · CORREGIDO: 3 · CONFORME: 10</t>
        </is>
      </c>
    </row>
    <row r="35">
      <c r="A35"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M1B1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1. Identificación y localización</t>
        </is>
      </c>
      <c r="B9" s="55" t="inlineStr">
        <is>
          <t>Comunidad campesina</t>
        </is>
      </c>
      <c r="C9" s="55" t="inlineStr">
        <is>
          <t>No aplica formalmente — predios rurales individuales y sectores asociados al CP Río Seco</t>
        </is>
      </c>
      <c r="D9" s="55" t="inlineStr">
        <is>
          <t>No aplica formalmente — el ámbito corresponde a predios rurales individuales y sectores asociados al CP Río Seco, distrito Buenos Aires; no se identificó comunidad campesina titulada.</t>
        </is>
      </c>
      <c r="E9" s="55" t="inlineStr">
        <is>
          <t>Dato de campo</t>
        </is>
      </c>
    </row>
    <row r="10">
      <c r="A10" s="56" t="inlineStr">
        <is>
          <t>6. Degradación, causas y urgencia (F-DT-04)</t>
        </is>
      </c>
      <c r="B10" s="56" t="inlineStr">
        <is>
          <t>Causa subyacente principal</t>
        </is>
      </c>
      <c r="C10" s="56" t="inlineStr">
        <is>
          <t>Dependencia económica de la población rural respecto de los recursos del bosque seco (leña, pastoreo) sumada a la presión climática</t>
        </is>
      </c>
      <c r="D10" s="56" t="inlineStr">
        <is>
          <t>Dependencia económica de la población rural respecto de los recursos del bosque seco (leña, pastoreo) sumada a la débil gobernanza territorial y a la presión climática (sequías).</t>
        </is>
      </c>
      <c r="E10" s="56" t="inlineStr">
        <is>
          <t>Dato de campo</t>
        </is>
      </c>
    </row>
    <row r="12">
      <c r="A12" s="53" t="inlineStr">
        <is>
          <t>B. HECHOS APORTADOS ÚNICAMENTE POR LA FICHA DE CAMPO</t>
        </is>
      </c>
    </row>
    <row r="13">
      <c r="A13" s="54" t="inlineStr">
        <is>
          <t>Sección</t>
        </is>
      </c>
      <c r="B13" s="54" t="inlineStr">
        <is>
          <t>Hecho</t>
        </is>
      </c>
      <c r="C13" s="54" t="inlineStr">
        <is>
          <t>Valor</t>
        </is>
      </c>
      <c r="D13" s="54" t="inlineStr">
        <is>
          <t>Unidad</t>
        </is>
      </c>
    </row>
    <row r="14">
      <c r="A14" s="55" t="inlineStr">
        <is>
          <t>1. Identificación y localización</t>
        </is>
      </c>
      <c r="B14" s="55" t="inlineStr">
        <is>
          <t>UTM ESTE del punto de muestreo (m)</t>
        </is>
      </c>
      <c r="C14" s="55" t="inlineStr">
        <is>
          <t>618476</t>
        </is>
      </c>
      <c r="D14" s="55" t="inlineStr">
        <is>
          <t>m</t>
        </is>
      </c>
    </row>
    <row r="15">
      <c r="A15" s="56" t="inlineStr">
        <is>
          <t>1. Identificación y localización</t>
        </is>
      </c>
      <c r="B15" s="56" t="inlineStr">
        <is>
          <t>UTM NORTE del punto de muestreo (m)</t>
        </is>
      </c>
      <c r="C15" s="56" t="inlineStr">
        <is>
          <t>9410731</t>
        </is>
      </c>
      <c r="D15" s="56" t="inlineStr">
        <is>
          <t>m</t>
        </is>
      </c>
    </row>
    <row r="16">
      <c r="A16" s="55" t="inlineStr">
        <is>
          <t>2. Parámetros físicos del terreno</t>
        </is>
      </c>
      <c r="B16" s="55" t="inlineStr">
        <is>
          <t>Altitud GPS del punto de muestreo (msnm)</t>
        </is>
      </c>
      <c r="C16" s="55" t="inlineStr">
        <is>
          <t>340</t>
        </is>
      </c>
      <c r="D16" s="55" t="inlineStr">
        <is>
          <t>msnm</t>
        </is>
      </c>
    </row>
    <row r="17">
      <c r="A17" s="56" t="inlineStr">
        <is>
          <t>2. Parámetros físicos del terreno</t>
        </is>
      </c>
      <c r="B17" s="56" t="inlineStr">
        <is>
          <t>Piso altitudinal del punto de muestreo</t>
        </is>
      </c>
      <c r="C17" s="56" t="inlineStr">
        <is>
          <t>&lt;1000 m (Yunga)</t>
        </is>
      </c>
      <c r="D17" s="56" t="inlineStr"/>
    </row>
    <row r="18">
      <c r="A18" s="55" t="inlineStr">
        <is>
          <t>2. Parámetros físicos del terreno</t>
        </is>
      </c>
      <c r="B18" s="55" t="inlineStr">
        <is>
          <t>Paisaje dominante descrito en campo</t>
        </is>
      </c>
      <c r="C18" s="55" t="inlineStr">
        <is>
          <t>Flanco oriental del Cerro Tinajones: laderas de colina alta a montaña baja con afloramientos rocosos, cubiertas por bosque estacionalmente seco degradado a matorral xerófilo abierto, con relictos de Charán, Palo Santo y Hualtaco en las cotas altas e inaccesibles, cactáceas columnares dispersas y abundante Ipomoea carnea ("borrachera"). Disecciones por quebradas estacionales que drenan hacia la Quebrada de Río Seco. Vista dominante hacia el valle del río Piura al este.</t>
        </is>
      </c>
      <c r="D18" s="55" t="inlineStr"/>
    </row>
    <row r="19">
      <c r="A19" s="56" t="inlineStr">
        <is>
          <t>2. Parámetros físicos del terreno</t>
        </is>
      </c>
      <c r="B19" s="56" t="inlineStr">
        <is>
          <t>Reptación de suelo</t>
        </is>
      </c>
      <c r="C19" s="56" t="inlineStr">
        <is>
          <t>No</t>
        </is>
      </c>
      <c r="D19" s="56" t="inlineStr"/>
    </row>
    <row r="20">
      <c r="A20" s="55" t="inlineStr">
        <is>
          <t>2. Parámetros físicos del terreno</t>
        </is>
      </c>
      <c r="B20" s="55" t="inlineStr">
        <is>
          <t>Deslizamientos antiguos</t>
        </is>
      </c>
      <c r="C20" s="55" t="inlineStr">
        <is>
          <t>No</t>
        </is>
      </c>
      <c r="D20" s="55" t="inlineStr"/>
    </row>
    <row r="21">
      <c r="A21" s="56" t="inlineStr">
        <is>
          <t>4. Suelos y erosión (F-DT-02)</t>
        </is>
      </c>
      <c r="B21" s="56" t="inlineStr">
        <is>
          <t>Nivel de erosión - síntesis de campo</t>
        </is>
      </c>
      <c r="C21" s="56" t="inlineStr">
        <is>
          <t>Moderada (surcos)</t>
        </is>
      </c>
      <c r="D21" s="56" t="inlineStr"/>
    </row>
    <row r="22">
      <c r="A22" s="55" t="inlineStr">
        <is>
          <t>4. Suelos y erosión (F-DT-02)</t>
        </is>
      </c>
      <c r="B22" s="55" t="inlineStr">
        <is>
          <t>Sellamiento / costra superficial</t>
        </is>
      </c>
      <c r="C22" s="55" t="inlineStr">
        <is>
          <t>Sí</t>
        </is>
      </c>
      <c r="D22" s="55" t="inlineStr"/>
    </row>
    <row r="23">
      <c r="A23" s="56" t="inlineStr">
        <is>
          <t>4. Suelos y erosión (F-DT-02)</t>
        </is>
      </c>
      <c r="B23" s="56" t="inlineStr">
        <is>
          <t>Compactación por pisoteo</t>
        </is>
      </c>
      <c r="C23" s="56" t="inlineStr">
        <is>
          <t>Sí</t>
        </is>
      </c>
      <c r="D23" s="56" t="inlineStr"/>
    </row>
    <row r="24">
      <c r="A24" s="55" t="inlineStr">
        <is>
          <t>4. Suelos y erosión (F-DT-02)</t>
        </is>
      </c>
      <c r="B24" s="55" t="inlineStr">
        <is>
          <t>Raíces expuestas</t>
        </is>
      </c>
      <c r="C24" s="55" t="inlineStr">
        <is>
          <t>Sí</t>
        </is>
      </c>
      <c r="D24" s="55" t="inlineStr"/>
    </row>
    <row r="25">
      <c r="A25" s="56" t="inlineStr">
        <is>
          <t>4. Suelos y erosión (F-DT-02)</t>
        </is>
      </c>
      <c r="B25" s="56" t="inlineStr">
        <is>
          <t>Longitud total de cárcavas (m)</t>
        </is>
      </c>
      <c r="C25" s="56" t="inlineStr">
        <is>
          <t>380</t>
        </is>
      </c>
      <c r="D25" s="56" t="inlineStr">
        <is>
          <t>m</t>
        </is>
      </c>
    </row>
    <row r="26">
      <c r="A26" s="55" t="inlineStr">
        <is>
          <t>4. Suelos y erosión (F-DT-02)</t>
        </is>
      </c>
      <c r="B26" s="55" t="inlineStr">
        <is>
          <t>% del bloque afectado por cárcavas</t>
        </is>
      </c>
      <c r="C26" s="55" t="inlineStr">
        <is>
          <t>5</t>
        </is>
      </c>
      <c r="D26" s="55" t="inlineStr">
        <is>
          <t>%</t>
        </is>
      </c>
    </row>
    <row r="27">
      <c r="A27" s="56" t="inlineStr">
        <is>
          <t>4. Suelos y erosión (F-DT-02)</t>
        </is>
      </c>
      <c r="B27" s="56" t="inlineStr">
        <is>
          <t>Erosión laminar (% del bloque)</t>
        </is>
      </c>
      <c r="C27" s="56" t="inlineStr">
        <is>
          <t>15</t>
        </is>
      </c>
      <c r="D27" s="56" t="inlineStr">
        <is>
          <t>%</t>
        </is>
      </c>
    </row>
    <row r="28">
      <c r="A28" s="55" t="inlineStr">
        <is>
          <t>4. Suelos y erosión (F-DT-02)</t>
        </is>
      </c>
      <c r="B28" s="55" t="inlineStr">
        <is>
          <t>Patrón de cárcavas</t>
        </is>
      </c>
      <c r="C28" s="55" t="inlineStr">
        <is>
          <t>Dendrítico</t>
        </is>
      </c>
      <c r="D28" s="55" t="inlineStr"/>
    </row>
    <row r="29">
      <c r="A29" s="56" t="inlineStr">
        <is>
          <t>4. Suelos y erosión (F-DT-02)</t>
        </is>
      </c>
      <c r="B29" s="56" t="inlineStr">
        <is>
          <t>Socavamiento de cauce</t>
        </is>
      </c>
      <c r="C29" s="56" t="inlineStr">
        <is>
          <t>Sí</t>
        </is>
      </c>
      <c r="D29" s="56" t="inlineStr"/>
    </row>
    <row r="30">
      <c r="A30" s="55" t="inlineStr">
        <is>
          <t>5. Ecosistema, cobertura y flora (F-DT-03)</t>
        </is>
      </c>
      <c r="B30" s="55" t="inlineStr">
        <is>
          <t>Cobertura del dosel (%)</t>
        </is>
      </c>
      <c r="C30" s="55" t="inlineStr">
        <is>
          <t>25</t>
        </is>
      </c>
      <c r="D30" s="55" t="inlineStr">
        <is>
          <t>%</t>
        </is>
      </c>
    </row>
    <row r="31">
      <c r="A31" s="56" t="inlineStr">
        <is>
          <t>5. Ecosistema, cobertura y flora (F-DT-03)</t>
        </is>
      </c>
      <c r="B31" s="56" t="inlineStr">
        <is>
          <t>Cobertura arbustiva (%)</t>
        </is>
      </c>
      <c r="C31" s="56" t="inlineStr">
        <is>
          <t>35</t>
        </is>
      </c>
      <c r="D31" s="56" t="inlineStr">
        <is>
          <t>%</t>
        </is>
      </c>
    </row>
    <row r="32">
      <c r="A32" s="55" t="inlineStr">
        <is>
          <t>5. Ecosistema, cobertura y flora (F-DT-03)</t>
        </is>
      </c>
      <c r="B32" s="55" t="inlineStr">
        <is>
          <t>Cobertura herbácea (%)</t>
        </is>
      </c>
      <c r="C32" s="55" t="inlineStr">
        <is>
          <t>30</t>
        </is>
      </c>
      <c r="D32" s="55" t="inlineStr">
        <is>
          <t>%</t>
        </is>
      </c>
    </row>
    <row r="33">
      <c r="A33" s="56" t="inlineStr">
        <is>
          <t>5. Ecosistema, cobertura y flora (F-DT-03)</t>
        </is>
      </c>
      <c r="B33" s="56" t="inlineStr">
        <is>
          <t>Cobertura de hojarasca (%)</t>
        </is>
      </c>
      <c r="C33" s="56" t="inlineStr">
        <is>
          <t>10</t>
        </is>
      </c>
      <c r="D33" s="56" t="inlineStr">
        <is>
          <t>%</t>
        </is>
      </c>
    </row>
    <row r="34">
      <c r="A34" s="55" t="inlineStr">
        <is>
          <t>5. Ecosistema, cobertura y flora (F-DT-03)</t>
        </is>
      </c>
      <c r="B34" s="55" t="inlineStr">
        <is>
          <t>Altura del estrato dominante (m)</t>
        </is>
      </c>
      <c r="C34" s="55" t="inlineStr">
        <is>
          <t>4</t>
        </is>
      </c>
      <c r="D34" s="55" t="inlineStr">
        <is>
          <t>m</t>
        </is>
      </c>
    </row>
    <row r="35">
      <c r="A35" s="56" t="inlineStr">
        <is>
          <t>5. Ecosistema, cobertura y flora (F-DT-03)</t>
        </is>
      </c>
      <c r="B35" s="56" t="inlineStr">
        <is>
          <t>Altura máxima registrada (m)</t>
        </is>
      </c>
      <c r="C35" s="56" t="inlineStr">
        <is>
          <t>8</t>
        </is>
      </c>
      <c r="D35" s="56" t="inlineStr">
        <is>
          <t>m</t>
        </is>
      </c>
    </row>
    <row r="36">
      <c r="A36" s="55" t="inlineStr">
        <is>
          <t>5. Ecosistema, cobertura y flora (F-DT-03)</t>
        </is>
      </c>
      <c r="B36" s="55" t="inlineStr">
        <is>
          <t>DAP promedio (cm)</t>
        </is>
      </c>
      <c r="C36" s="55" t="inlineStr">
        <is>
          <t>18</t>
        </is>
      </c>
      <c r="D36" s="55" t="inlineStr">
        <is>
          <t>cm</t>
        </is>
      </c>
    </row>
    <row r="37">
      <c r="A37" s="56" t="inlineStr">
        <is>
          <t>5. Ecosistema, cobertura y flora (F-DT-03)</t>
        </is>
      </c>
      <c r="B37" s="56" t="inlineStr">
        <is>
          <t>Presencia de epífitas</t>
        </is>
      </c>
      <c r="C37" s="56" t="inlineStr">
        <is>
          <t>No</t>
        </is>
      </c>
      <c r="D37" s="56" t="inlineStr"/>
    </row>
    <row r="38">
      <c r="A38" s="55" t="inlineStr">
        <is>
          <t>5. Ecosistema, cobertura y flora (F-DT-03)</t>
        </is>
      </c>
      <c r="B38" s="55" t="inlineStr">
        <is>
          <t>Fenología dominante</t>
        </is>
      </c>
      <c r="C38" s="55" t="inlineStr">
        <is>
          <t>Vegetativo</t>
        </is>
      </c>
      <c r="D38" s="55" t="inlineStr"/>
    </row>
    <row r="39">
      <c r="A39" s="56" t="inlineStr">
        <is>
          <t>5. Ecosistema, cobertura y flora (F-DT-03)</t>
        </is>
      </c>
      <c r="B39" s="56" t="inlineStr">
        <is>
          <t>Dimensiones de la parcela (m)</t>
        </is>
      </c>
      <c r="C39" s="56" t="inlineStr">
        <is>
          <t>50 × 20</t>
        </is>
      </c>
      <c r="D39" s="56" t="inlineStr"/>
    </row>
    <row r="40">
      <c r="A40" s="55" t="inlineStr">
        <is>
          <t>5. Ecosistema, cobertura y flora (F-DT-03)</t>
        </is>
      </c>
      <c r="B40" s="55" t="inlineStr">
        <is>
          <t>Pendiente de la parcela (%)</t>
        </is>
      </c>
      <c r="C40" s="55" t="inlineStr">
        <is>
          <t>30</t>
        </is>
      </c>
      <c r="D40" s="55" t="inlineStr">
        <is>
          <t>%</t>
        </is>
      </c>
    </row>
    <row r="41">
      <c r="A41" s="56" t="inlineStr">
        <is>
          <t>5. Ecosistema, cobertura y flora (F-DT-03)</t>
        </is>
      </c>
      <c r="B41" s="56" t="inlineStr">
        <is>
          <t>Especies clave georreferenciadas</t>
        </is>
      </c>
      <c r="C41" s="56" t="inlineStr">
        <is>
          <t>5</t>
        </is>
      </c>
      <c r="D41" s="56" t="inlineStr"/>
    </row>
    <row r="42">
      <c r="A42" s="55" t="inlineStr">
        <is>
          <t>6. Degradación, causas y urgencia (F-DT-04)</t>
        </is>
      </c>
      <c r="B42" s="55" t="inlineStr">
        <is>
          <t>Causas directas de la degradación</t>
        </is>
      </c>
      <c r="C42" s="55" t="inlineStr">
        <is>
          <t>Sobrepastoreo caprino, tala selectiva para leña/carbón, expansión de Ipomoea carnea y erosión hídrica en laderas rocosas.</t>
        </is>
      </c>
      <c r="D42" s="55" t="inlineStr"/>
    </row>
    <row r="43">
      <c r="A43" s="56" t="inlineStr">
        <is>
          <t>6. Degradación, causas y urgencia (F-DT-04)</t>
        </is>
      </c>
      <c r="B43" s="56" t="inlineStr">
        <is>
          <t>N.° de causas activas en la matriz F-DT-04</t>
        </is>
      </c>
      <c r="C43" s="56" t="inlineStr">
        <is>
          <t>10</t>
        </is>
      </c>
      <c r="D43" s="56" t="inlineStr"/>
    </row>
    <row r="44">
      <c r="A44" s="55" t="inlineStr">
        <is>
          <t>7. Hidrología, acceso y logística (F-DT-05)</t>
        </is>
      </c>
      <c r="B44" s="55" t="inlineStr">
        <is>
          <t>Escorrentía concentrada</t>
        </is>
      </c>
      <c r="C44" s="55" t="inlineStr">
        <is>
          <t>Sí</t>
        </is>
      </c>
      <c r="D44" s="55" t="inlineStr"/>
    </row>
    <row r="45">
      <c r="A45" s="56" t="inlineStr">
        <is>
          <t>7. Hidrología, acceso y logística (F-DT-05)</t>
        </is>
      </c>
      <c r="B45" s="56" t="inlineStr">
        <is>
          <t>Fuentes de agua inventariadas</t>
        </is>
      </c>
      <c r="C45" s="56" t="inlineStr">
        <is>
          <t>2</t>
        </is>
      </c>
      <c r="D45" s="56" t="inlineStr"/>
    </row>
    <row r="46">
      <c r="A46" s="55" t="inlineStr">
        <is>
          <t>7. Hidrología, acceso y logística (F-DT-05)</t>
        </is>
      </c>
      <c r="B46" s="55" t="inlineStr">
        <is>
          <t>Distancia a captación (m)</t>
        </is>
      </c>
      <c r="C46" s="55" t="inlineStr">
        <is>
          <t>600</t>
        </is>
      </c>
      <c r="D46" s="55" t="inlineStr">
        <is>
          <t>m</t>
        </is>
      </c>
    </row>
    <row r="47">
      <c r="A47" s="56" t="inlineStr">
        <is>
          <t>7. Hidrología, acceso y logística (F-DT-05)</t>
        </is>
      </c>
      <c r="B47" s="56" t="inlineStr">
        <is>
          <t>Interferencia con riego</t>
        </is>
      </c>
      <c r="C47" s="56" t="inlineStr">
        <is>
          <t>No</t>
        </is>
      </c>
      <c r="D47" s="56" t="inlineStr"/>
    </row>
    <row r="48">
      <c r="A48" s="55" t="inlineStr">
        <is>
          <t>7. Hidrología, acceso y logística (F-DT-05)</t>
        </is>
      </c>
      <c r="B48" s="55" t="inlineStr">
        <is>
          <t>Vía principal de acceso</t>
        </is>
      </c>
      <c r="C48" s="55" t="inlineStr">
        <is>
          <t>Vía Morropón–Buenos Aires; desvío y trocha al CP Río Seco; ascenso por camino de herradura</t>
        </is>
      </c>
      <c r="D48" s="55" t="inlineStr"/>
    </row>
    <row r="49">
      <c r="A49" s="56" t="inlineStr">
        <is>
          <t>7. Hidrología, acceso y logística (F-DT-05)</t>
        </is>
      </c>
      <c r="B49" s="56" t="inlineStr">
        <is>
          <t>Tipo de vía del tramo final</t>
        </is>
      </c>
      <c r="C49" s="56" t="inlineStr">
        <is>
          <t>Camino de herradura</t>
        </is>
      </c>
      <c r="D49" s="56" t="inlineStr"/>
    </row>
    <row r="50">
      <c r="A50" s="55" t="inlineStr">
        <is>
          <t>7. Hidrología, acceso y logística (F-DT-05)</t>
        </is>
      </c>
      <c r="B50" s="55" t="inlineStr">
        <is>
          <t>Transitabilidad en época seca</t>
        </is>
      </c>
      <c r="C50" s="55" t="inlineStr">
        <is>
          <t>Alto</t>
        </is>
      </c>
      <c r="D50" s="55" t="inlineStr"/>
    </row>
    <row r="51">
      <c r="A51" s="56" t="inlineStr">
        <is>
          <t>7. Hidrología, acceso y logística (F-DT-05)</t>
        </is>
      </c>
      <c r="B51" s="56" t="inlineStr">
        <is>
          <t>Transitabilidad en época lluviosa</t>
        </is>
      </c>
      <c r="C51" s="56" t="inlineStr">
        <is>
          <t>Bajo</t>
        </is>
      </c>
      <c r="D51" s="56" t="inlineStr"/>
    </row>
    <row r="52">
      <c r="A52" s="55" t="inlineStr">
        <is>
          <t>7. Hidrología, acceso y logística (F-DT-05)</t>
        </is>
      </c>
      <c r="B52" s="55" t="inlineStr">
        <is>
          <t>Tiempo a la capital distrital (min)</t>
        </is>
      </c>
      <c r="C52" s="55" t="inlineStr">
        <is>
          <t>30</t>
        </is>
      </c>
      <c r="D52" s="55" t="inlineStr">
        <is>
          <t>min</t>
        </is>
      </c>
    </row>
    <row r="53">
      <c r="A53" s="56" t="inlineStr">
        <is>
          <t>7. Hidrología, acceso y logística (F-DT-05)</t>
        </is>
      </c>
      <c r="B53" s="56" t="inlineStr">
        <is>
          <t>Señal celular</t>
        </is>
      </c>
      <c r="C53" s="56" t="inlineStr">
        <is>
          <t>Parcial</t>
        </is>
      </c>
      <c r="D53" s="56" t="inlineStr"/>
    </row>
    <row r="54">
      <c r="A54" s="55" t="inlineStr">
        <is>
          <t>7. Hidrología, acceso y logística (F-DT-05)</t>
        </is>
      </c>
      <c r="B54" s="55" t="inlineStr">
        <is>
          <t>Operador con cobertura</t>
        </is>
      </c>
      <c r="C54" s="55" t="inlineStr">
        <is>
          <t>Bitel</t>
        </is>
      </c>
      <c r="D54" s="55" t="inlineStr"/>
    </row>
    <row r="55">
      <c r="A55" s="56" t="inlineStr">
        <is>
          <t>7. Hidrología, acceso y logística (F-DT-05)</t>
        </is>
      </c>
      <c r="B55" s="56" t="inlineStr">
        <is>
          <t>Alojamiento disponible en la zona</t>
        </is>
      </c>
      <c r="C55" s="56" t="inlineStr">
        <is>
          <t>No</t>
        </is>
      </c>
      <c r="D55" s="56" t="inlineStr"/>
    </row>
    <row r="56">
      <c r="A56" s="55" t="inlineStr">
        <is>
          <t>7. Hidrología, acceso y logística (F-DT-05)</t>
        </is>
      </c>
      <c r="B56" s="55" t="inlineStr">
        <is>
          <t>Requiere coordinación con ronda / comunidad</t>
        </is>
      </c>
      <c r="C56" s="55" t="inlineStr">
        <is>
          <t>No</t>
        </is>
      </c>
      <c r="D56" s="55" t="inlineStr"/>
    </row>
    <row r="58">
      <c r="A58" s="53" t="inlineStr">
        <is>
          <t>C. PROCEDENCIA DE LOS HECHOS DECLARADOS</t>
        </is>
      </c>
    </row>
    <row r="59">
      <c r="A59" s="54" t="inlineStr">
        <is>
          <t>Fuente</t>
        </is>
      </c>
      <c r="B59" s="54" t="inlineStr">
        <is>
          <t>Hechos</t>
        </is>
      </c>
      <c r="C59" s="54" t="inlineStr">
        <is>
          <t>Alcance de la fuente</t>
        </is>
      </c>
    </row>
    <row r="60">
      <c r="A60" s="55" t="inlineStr">
        <is>
          <t>Dato de campo</t>
        </is>
      </c>
      <c r="B60" s="55" t="n">
        <v>75</v>
      </c>
      <c r="C60" s="55" t="inlineStr">
        <is>
          <t>Verificación en campo. Fichas F-DT-01 a F-DT-05 de la Plantilla DT Campo Check Validada V5, suscritas por el evaluador.</t>
        </is>
      </c>
    </row>
    <row r="61">
      <c r="A61" s="56" t="inlineStr">
        <is>
          <t>Gabinete (GIS / teledetección)</t>
        </is>
      </c>
      <c r="B61" s="56" t="n">
        <v>21</v>
      </c>
      <c r="C61" s="56" t="inlineStr">
        <is>
          <t>Gabinete. Estadística zonal sobre el MDE y compuestos Sentinel-2 (NDVI mediana 2025, MSAVI 2024 por clase DN).</t>
        </is>
      </c>
    </row>
    <row r="62">
      <c r="A62" s="55" t="inlineStr">
        <is>
          <t>Fuente oficial</t>
        </is>
      </c>
      <c r="B62" s="55" t="n">
        <v>14</v>
      </c>
      <c r="C62" s="55" t="inlineStr">
        <is>
          <t>Fuente oficial. Catálogo maestro Bloques V5/V6, división política INEI y codificación de microcuencas de la ANA.</t>
        </is>
      </c>
    </row>
    <row r="64">
      <c r="A64" s="53" t="inlineStr">
        <is>
          <t>D. ESTADO DEL CRUCE ENTRE FUENTES</t>
        </is>
      </c>
    </row>
    <row r="65">
      <c r="A65" s="54" t="inlineStr">
        <is>
          <t>Estado</t>
        </is>
      </c>
      <c r="B65" s="54" t="inlineStr">
        <is>
          <t>Hechos</t>
        </is>
      </c>
      <c r="C65" s="54" t="inlineStr">
        <is>
          <t>Significado</t>
        </is>
      </c>
    </row>
    <row r="66">
      <c r="A66" s="55" t="inlineStr">
        <is>
          <t>CONFORME</t>
        </is>
      </c>
      <c r="B66" s="55" t="n">
        <v>108</v>
      </c>
      <c r="C66" s="55" t="inlineStr">
        <is>
          <t>Las dos fuentes declaran lo mismo, o solo la fuente que manda sobre el hecho lo declara.</t>
        </is>
      </c>
    </row>
    <row r="67">
      <c r="A67" s="56" t="inlineStr">
        <is>
          <t>COMPLEMENTADO</t>
        </is>
      </c>
      <c r="B67" s="56" t="n">
        <v>0</v>
      </c>
      <c r="C67" s="56" t="inlineStr">
        <is>
          <t>Solo una de las fuentes lo declara y se adopta ese valor.</t>
        </is>
      </c>
    </row>
    <row r="68">
      <c r="A68" s="55" t="inlineStr">
        <is>
          <t>ACTUALIZADO</t>
        </is>
      </c>
      <c r="B68" s="55" t="n">
        <v>2</v>
      </c>
      <c r="C68" s="55" t="inlineStr">
        <is>
          <t>La verificación de campo vigente corrige lo que traía el libro de resumen.</t>
        </is>
      </c>
    </row>
    <row r="69">
      <c r="A69" s="56" t="inlineStr">
        <is>
          <t>DISCREPANTE</t>
        </is>
      </c>
      <c r="B69" s="56" t="n">
        <v>0</v>
      </c>
      <c r="C69" s="56" t="inlineStr">
        <is>
          <t>Las fuentes se contradicen; prevalece la que manda sobre el hecho y la otra queda declarada.</t>
        </is>
      </c>
    </row>
    <row r="70">
      <c r="A70" s="55" t="inlineStr">
        <is>
          <t>PENDIENTE</t>
        </is>
      </c>
      <c r="B70" s="55" t="n">
        <v>4</v>
      </c>
      <c r="C70"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M1B1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somera (0.5-2 m)</t>
        </is>
      </c>
      <c r="C9" s="60" t="n">
        <v>618300</v>
      </c>
      <c r="D9" s="60" t="n">
        <v>9410540</v>
      </c>
      <c r="E9" s="60" t="n">
        <v>380</v>
      </c>
      <c r="F9" s="61" t="n">
        <v>1</v>
      </c>
      <c r="G9" s="61" t="n">
        <v>1.5</v>
      </c>
      <c r="H9" s="55" t="inlineStr">
        <is>
          <t>Semi-activa</t>
        </is>
      </c>
      <c r="I9" s="55" t="inlineStr">
        <is>
          <t>Concentración natural de escorrentía</t>
        </is>
      </c>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Charán</t>
        </is>
      </c>
      <c r="C13" s="55" t="inlineStr">
        <is>
          <t>Caesalpinia paipai</t>
        </is>
      </c>
      <c r="D13" s="55" t="inlineStr">
        <is>
          <t>Fabaceae</t>
        </is>
      </c>
      <c r="E13" s="55" t="inlineStr">
        <is>
          <t>Arbóreo bajo (4-8 m)</t>
        </is>
      </c>
      <c r="F13" s="55" t="inlineStr">
        <is>
          <t>Nativa</t>
        </is>
      </c>
      <c r="G13" s="55" t="inlineStr">
        <is>
          <t>Frecuente (5-20%)</t>
        </is>
      </c>
      <c r="H13" s="60" t="n">
        <v>22</v>
      </c>
      <c r="I13" s="61" t="n">
        <v>6</v>
      </c>
    </row>
    <row r="14">
      <c r="A14" s="56" t="inlineStr">
        <is>
          <t>2</t>
        </is>
      </c>
      <c r="B14" s="56" t="inlineStr">
        <is>
          <t>Palo Santo</t>
        </is>
      </c>
      <c r="C14" s="56" t="inlineStr">
        <is>
          <t>Bursera graveolens</t>
        </is>
      </c>
      <c r="D14" s="56" t="inlineStr">
        <is>
          <t>Burseraceae</t>
        </is>
      </c>
      <c r="E14" s="56" t="inlineStr">
        <is>
          <t>Arbóreo medio (8-15 m)</t>
        </is>
      </c>
      <c r="F14" s="56" t="inlineStr">
        <is>
          <t>Nativa</t>
        </is>
      </c>
      <c r="G14" s="56" t="inlineStr">
        <is>
          <t>Frecuente (5-20%)</t>
        </is>
      </c>
      <c r="H14" s="62" t="n">
        <v>25</v>
      </c>
      <c r="I14" s="63" t="n">
        <v>8</v>
      </c>
    </row>
    <row r="15">
      <c r="A15" s="55" t="inlineStr">
        <is>
          <t>3</t>
        </is>
      </c>
      <c r="B15" s="55" t="inlineStr">
        <is>
          <t>Hualtaco</t>
        </is>
      </c>
      <c r="C15" s="55" t="inlineStr">
        <is>
          <t>Loxopterygium huasango</t>
        </is>
      </c>
      <c r="D15" s="55" t="inlineStr">
        <is>
          <t>Anacardiaceae</t>
        </is>
      </c>
      <c r="E15" s="55" t="inlineStr">
        <is>
          <t>Arbóreo medio (8-15 m)</t>
        </is>
      </c>
      <c r="F15" s="55" t="inlineStr">
        <is>
          <t>Nativa</t>
        </is>
      </c>
      <c r="G15" s="55" t="inlineStr">
        <is>
          <t>Ocasional (1-5%)</t>
        </is>
      </c>
      <c r="H15" s="60" t="n">
        <v>30</v>
      </c>
      <c r="I15" s="61" t="n">
        <v>9</v>
      </c>
    </row>
    <row r="16">
      <c r="A16" s="56" t="inlineStr">
        <is>
          <t>4</t>
        </is>
      </c>
      <c r="B16" s="56" t="inlineStr">
        <is>
          <t>Faique</t>
        </is>
      </c>
      <c r="C16" s="56" t="inlineStr">
        <is>
          <t>Vachellia macracantha</t>
        </is>
      </c>
      <c r="D16" s="56" t="inlineStr">
        <is>
          <t>Fabaceae</t>
        </is>
      </c>
      <c r="E16" s="56" t="inlineStr">
        <is>
          <t>Arbóreo bajo (4-8 m)</t>
        </is>
      </c>
      <c r="F16" s="56" t="inlineStr">
        <is>
          <t>Nativa</t>
        </is>
      </c>
      <c r="G16" s="56" t="inlineStr">
        <is>
          <t>Ocasional (1-5%)</t>
        </is>
      </c>
      <c r="H16" s="62" t="n">
        <v>18</v>
      </c>
      <c r="I16" s="63" t="n">
        <v>5</v>
      </c>
    </row>
    <row r="17">
      <c r="A17" s="55" t="inlineStr">
        <is>
          <t>5</t>
        </is>
      </c>
      <c r="B17" s="55" t="inlineStr">
        <is>
          <t>Pasallo</t>
        </is>
      </c>
      <c r="C17" s="55" t="inlineStr">
        <is>
          <t>Eriotheca ruizii</t>
        </is>
      </c>
      <c r="D17" s="55" t="inlineStr">
        <is>
          <t>Malvaceae</t>
        </is>
      </c>
      <c r="E17" s="55" t="inlineStr">
        <is>
          <t>Arbóreo medio (8-15 m)</t>
        </is>
      </c>
      <c r="F17" s="55" t="inlineStr">
        <is>
          <t>Nativa</t>
        </is>
      </c>
      <c r="G17" s="55" t="inlineStr">
        <is>
          <t>Rara (&lt;1%)</t>
        </is>
      </c>
      <c r="H17" s="60" t="n">
        <v>35</v>
      </c>
      <c r="I17" s="61" t="n">
        <v>8</v>
      </c>
    </row>
    <row r="18">
      <c r="A18" s="56" t="inlineStr">
        <is>
          <t>6</t>
        </is>
      </c>
      <c r="B18" s="56" t="inlineStr">
        <is>
          <t>Sapote</t>
        </is>
      </c>
      <c r="C18" s="56" t="inlineStr">
        <is>
          <t>Capparis scabrida</t>
        </is>
      </c>
      <c r="D18" s="56" t="inlineStr">
        <is>
          <t>Capparaceae</t>
        </is>
      </c>
      <c r="E18" s="56" t="inlineStr">
        <is>
          <t>Arbustivo alto (1.5-4 m)</t>
        </is>
      </c>
      <c r="F18" s="56" t="inlineStr">
        <is>
          <t>Nativa</t>
        </is>
      </c>
      <c r="G18" s="56" t="inlineStr">
        <is>
          <t>Ocasional (1-5%)</t>
        </is>
      </c>
      <c r="H18" s="56" t="n"/>
      <c r="I18" s="63" t="n">
        <v>3</v>
      </c>
    </row>
    <row r="19">
      <c r="A19" s="55" t="inlineStr">
        <is>
          <t>7</t>
        </is>
      </c>
      <c r="B19" s="55" t="inlineStr">
        <is>
          <t>Vichayo</t>
        </is>
      </c>
      <c r="C19" s="55" t="inlineStr">
        <is>
          <t>Capparis ovalifolia</t>
        </is>
      </c>
      <c r="D19" s="55" t="inlineStr">
        <is>
          <t>Capparaceae</t>
        </is>
      </c>
      <c r="E19" s="55" t="inlineStr">
        <is>
          <t>Arbustivo alto (1.5-4 m)</t>
        </is>
      </c>
      <c r="F19" s="55" t="inlineStr">
        <is>
          <t>Nativa</t>
        </is>
      </c>
      <c r="G19" s="55" t="inlineStr">
        <is>
          <t>Frecuente (5-20%)</t>
        </is>
      </c>
      <c r="H19" s="55" t="n"/>
      <c r="I19" s="61" t="n">
        <v>2.5</v>
      </c>
    </row>
    <row r="20">
      <c r="A20" s="56" t="inlineStr">
        <is>
          <t>8</t>
        </is>
      </c>
      <c r="B20" s="56" t="inlineStr">
        <is>
          <t>Overo</t>
        </is>
      </c>
      <c r="C20" s="56" t="inlineStr">
        <is>
          <t>Cordia lutea</t>
        </is>
      </c>
      <c r="D20" s="56" t="inlineStr">
        <is>
          <t>Boraginaceae</t>
        </is>
      </c>
      <c r="E20" s="56" t="inlineStr">
        <is>
          <t>Arbustivo alto (1.5-4 m)</t>
        </is>
      </c>
      <c r="F20" s="56" t="inlineStr">
        <is>
          <t>Nativa</t>
        </is>
      </c>
      <c r="G20" s="56" t="inlineStr">
        <is>
          <t>Frecuente (5-20%)</t>
        </is>
      </c>
      <c r="H20" s="56" t="n"/>
      <c r="I20" s="63" t="n">
        <v>3</v>
      </c>
    </row>
    <row r="21">
      <c r="A21" s="55" t="inlineStr">
        <is>
          <t>9</t>
        </is>
      </c>
      <c r="B21" s="55" t="inlineStr">
        <is>
          <t>Cactus columnar (cardo)</t>
        </is>
      </c>
      <c r="C21" s="55" t="inlineStr">
        <is>
          <t>Armatocereus cartwrightianus</t>
        </is>
      </c>
      <c r="D21" s="55" t="inlineStr">
        <is>
          <t>Cactaceae</t>
        </is>
      </c>
      <c r="E21" s="55" t="inlineStr">
        <is>
          <t>Arbustivo alto (1.5-4 m)</t>
        </is>
      </c>
      <c r="F21" s="55" t="inlineStr">
        <is>
          <t>Nativa</t>
        </is>
      </c>
      <c r="G21" s="55" t="inlineStr">
        <is>
          <t>Ocasional (1-5%)</t>
        </is>
      </c>
      <c r="H21" s="55" t="n"/>
      <c r="I21" s="61" t="n">
        <v>4</v>
      </c>
    </row>
    <row r="22">
      <c r="A22" s="56" t="inlineStr">
        <is>
          <t>10</t>
        </is>
      </c>
      <c r="B22" s="56" t="inlineStr">
        <is>
          <t>Uña de gato</t>
        </is>
      </c>
      <c r="C22" s="56" t="inlineStr">
        <is>
          <t>Mimosa sp. (preliminar)</t>
        </is>
      </c>
      <c r="D22" s="56" t="inlineStr">
        <is>
          <t>Fabaceae</t>
        </is>
      </c>
      <c r="E22" s="56" t="inlineStr">
        <is>
          <t>Arbustivo bajo (0.5-1.5 m)</t>
        </is>
      </c>
      <c r="F22" s="56" t="inlineStr">
        <is>
          <t>Nativa</t>
        </is>
      </c>
      <c r="G22" s="56" t="inlineStr">
        <is>
          <t>Frecuente (5-20%)</t>
        </is>
      </c>
      <c r="H22" s="56" t="n"/>
      <c r="I22" s="63" t="n">
        <v>1.5</v>
      </c>
    </row>
    <row r="23">
      <c r="A23" s="55" t="inlineStr">
        <is>
          <t>11</t>
        </is>
      </c>
      <c r="B23" s="55" t="inlineStr">
        <is>
          <t>Borrachera</t>
        </is>
      </c>
      <c r="C23" s="55" t="inlineStr">
        <is>
          <t>Ipomoea carnea</t>
        </is>
      </c>
      <c r="D23" s="55" t="inlineStr">
        <is>
          <t>Convolvulaceae</t>
        </is>
      </c>
      <c r="E23" s="55" t="inlineStr">
        <is>
          <t>Arbustivo bajo (0.5-1.5 m)</t>
        </is>
      </c>
      <c r="F23" s="55" t="inlineStr">
        <is>
          <t>Nativa</t>
        </is>
      </c>
      <c r="G23" s="55" t="inlineStr">
        <is>
          <t>Abundante (20-40%)</t>
        </is>
      </c>
      <c r="H23" s="55" t="n"/>
      <c r="I23" s="61" t="n">
        <v>1.5</v>
      </c>
    </row>
    <row r="24">
      <c r="A24" s="56" t="inlineStr">
        <is>
          <t>12</t>
        </is>
      </c>
      <c r="B24" s="56" t="inlineStr">
        <is>
          <t>Cun cun / aromo</t>
        </is>
      </c>
      <c r="C24" s="56" t="inlineStr">
        <is>
          <t>Mimosa acantholoba</t>
        </is>
      </c>
      <c r="D24" s="56" t="inlineStr">
        <is>
          <t>Fabaceae</t>
        </is>
      </c>
      <c r="E24" s="56" t="inlineStr">
        <is>
          <t>Arbustivo bajo (0.5-1.5 m)</t>
        </is>
      </c>
      <c r="F24" s="56" t="inlineStr">
        <is>
          <t>Nativa</t>
        </is>
      </c>
      <c r="G24" s="56" t="inlineStr">
        <is>
          <t>Ocasional (1-5%)</t>
        </is>
      </c>
      <c r="H24" s="56" t="n"/>
      <c r="I24" s="63" t="n">
        <v>1.2</v>
      </c>
    </row>
    <row r="25">
      <c r="A25" s="55" t="inlineStr">
        <is>
          <t>13</t>
        </is>
      </c>
      <c r="B25" s="55" t="inlineStr">
        <is>
          <t>Pasto natural</t>
        </is>
      </c>
      <c r="C25" s="55" t="inlineStr">
        <is>
          <t>Cenchrus echinatus</t>
        </is>
      </c>
      <c r="D25" s="55" t="inlineStr">
        <is>
          <t>Poaceae</t>
        </is>
      </c>
      <c r="E25" s="55" t="inlineStr">
        <is>
          <t>Herbáceo (&lt;0.5 m)</t>
        </is>
      </c>
      <c r="F25" s="55" t="inlineStr">
        <is>
          <t>Nativa</t>
        </is>
      </c>
      <c r="G25" s="55" t="inlineStr">
        <is>
          <t>Abundante (20-40%)</t>
        </is>
      </c>
      <c r="H25" s="55" t="n"/>
      <c r="I25" s="55" t="n"/>
    </row>
    <row r="27">
      <c r="A27" s="53" t="inlineStr">
        <is>
          <t>F-DT-03 · ESPECIES CLAVE GEORREFERENCIADAS</t>
        </is>
      </c>
    </row>
    <row r="28">
      <c r="A28" s="54" t="inlineStr">
        <is>
          <t>N.o</t>
        </is>
      </c>
      <c r="B28" s="54" t="inlineStr">
        <is>
          <t>Especie</t>
        </is>
      </c>
      <c r="C28" s="54" t="inlineStr">
        <is>
          <t>Categoría</t>
        </is>
      </c>
      <c r="D28" s="54" t="inlineStr">
        <is>
          <t>Estado UICN</t>
        </is>
      </c>
      <c r="E28" s="54" t="inlineStr">
        <is>
          <t>UTM ESTE</t>
        </is>
      </c>
      <c r="F28" s="54" t="inlineStr">
        <is>
          <t>UTM NORTE</t>
        </is>
      </c>
      <c r="G28" s="54" t="inlineStr">
        <is>
          <t>N.° individuos</t>
        </is>
      </c>
      <c r="H28" s="54" t="inlineStr">
        <is>
          <t>Observación</t>
        </is>
      </c>
    </row>
    <row r="29">
      <c r="A29" s="55" t="inlineStr">
        <is>
          <t>1</t>
        </is>
      </c>
      <c r="B29" s="55" t="inlineStr">
        <is>
          <t>Loxopterygium huasango (Hualtaco)</t>
        </is>
      </c>
      <c r="C29" s="55" t="inlineStr">
        <is>
          <t>Amenazada (D.S. 043-2006-AG)</t>
        </is>
      </c>
      <c r="D29" s="55" t="inlineStr">
        <is>
          <t>CR — En Peligro Crítico</t>
        </is>
      </c>
      <c r="E29" s="60" t="n">
        <v>618470</v>
      </c>
      <c r="F29" s="60" t="n">
        <v>9410760</v>
      </c>
      <c r="G29" s="61" t="n">
        <v>3</v>
      </c>
      <c r="H29" s="55" t="inlineStr">
        <is>
          <t>Relictos en cotas altas; madera de alto valor, fuerte presión histórica</t>
        </is>
      </c>
    </row>
    <row r="30">
      <c r="A30" s="56" t="inlineStr">
        <is>
          <t>2</t>
        </is>
      </c>
      <c r="B30" s="56" t="inlineStr">
        <is>
          <t>Bursera graveolens (Palo Santo)</t>
        </is>
      </c>
      <c r="C30" s="56" t="inlineStr">
        <is>
          <t>Amenazada (D.S. 043-2006-AG)</t>
        </is>
      </c>
      <c r="D30" s="56" t="inlineStr">
        <is>
          <t>CR — En Peligro Crítico</t>
        </is>
      </c>
      <c r="E30" s="62" t="n">
        <v>618499</v>
      </c>
      <c r="F30" s="62" t="n">
        <v>9410777</v>
      </c>
      <c r="G30" s="63" t="n">
        <v>8</v>
      </c>
      <c r="H30" s="56" t="inlineStr">
        <is>
          <t>Individuos dispersos; especie aromática de uso tradicional</t>
        </is>
      </c>
    </row>
    <row r="31">
      <c r="A31" s="55" t="inlineStr">
        <is>
          <t>3</t>
        </is>
      </c>
      <c r="B31" s="55" t="inlineStr">
        <is>
          <t>Capparis scabrida (Sapote)</t>
        </is>
      </c>
      <c r="C31" s="55" t="inlineStr">
        <is>
          <t>Amenazada (D.S. 043-2006-AG)</t>
        </is>
      </c>
      <c r="D31" s="55" t="inlineStr">
        <is>
          <t>CR — En Peligro Crítico</t>
        </is>
      </c>
      <c r="E31" s="60" t="n">
        <v>618463</v>
      </c>
      <c r="F31" s="60" t="n">
        <v>9410709</v>
      </c>
      <c r="G31" s="61" t="n">
        <v>5</v>
      </c>
      <c r="H31" s="55" t="inlineStr">
        <is>
          <t>Presente en estrato arbustivo alto</t>
        </is>
      </c>
    </row>
    <row r="32">
      <c r="A32" s="56" t="inlineStr">
        <is>
          <t>4</t>
        </is>
      </c>
      <c r="B32" s="56" t="inlineStr">
        <is>
          <t>Caesalpinia paipai (Charán)</t>
        </is>
      </c>
      <c r="C32" s="56" t="inlineStr">
        <is>
          <t>Indicadora de buen estado</t>
        </is>
      </c>
      <c r="D32" s="56" t="inlineStr">
        <is>
          <t>No aplica</t>
        </is>
      </c>
      <c r="E32" s="62" t="n">
        <v>618530</v>
      </c>
      <c r="F32" s="62" t="n">
        <v>9410746</v>
      </c>
      <c r="G32" s="62" t="n">
        <v>12</v>
      </c>
      <c r="H32" s="56" t="inlineStr">
        <is>
          <t>Especie estructurante del dosel del bosque seco de colina</t>
        </is>
      </c>
    </row>
    <row r="33">
      <c r="A33" s="55" t="inlineStr">
        <is>
          <t>5</t>
        </is>
      </c>
      <c r="B33" s="55" t="inlineStr">
        <is>
          <t>Armatocereus cartwrightianus (Cactus columnar)</t>
        </is>
      </c>
      <c r="C33" s="55" t="inlineStr">
        <is>
          <t>Endémica norte / Piura</t>
        </is>
      </c>
      <c r="D33" s="55" t="inlineStr">
        <is>
          <t>NE — No Evaluado</t>
        </is>
      </c>
      <c r="E33" s="60" t="n">
        <v>618438</v>
      </c>
      <c r="F33" s="60" t="n">
        <v>9410652</v>
      </c>
      <c r="G33" s="61" t="n">
        <v>6</v>
      </c>
      <c r="H33" s="55" t="inlineStr">
        <is>
          <t>Indicador de aridez; estrato suculento del ecosistema</t>
        </is>
      </c>
    </row>
    <row r="35">
      <c r="A35" s="53" t="inlineStr">
        <is>
          <t>F-DT-04 · MATRIZ DE CAUSAS DE DEGRADACIÓN</t>
        </is>
      </c>
    </row>
    <row r="36">
      <c r="A36" s="54" t="inlineStr">
        <is>
          <t>N.o</t>
        </is>
      </c>
      <c r="B36" s="54" t="inlineStr">
        <is>
          <t>Causa</t>
        </is>
      </c>
      <c r="C36" s="54" t="inlineStr">
        <is>
          <t>Presencia</t>
        </is>
      </c>
      <c r="D36" s="54" t="inlineStr">
        <is>
          <t>Intensidad</t>
        </is>
      </c>
      <c r="E36" s="54" t="inlineStr">
        <is>
          <t>Extensión</t>
        </is>
      </c>
      <c r="F36" s="54" t="inlineStr">
        <is>
          <t>Antigüedad</t>
        </is>
      </c>
      <c r="G36" s="54" t="inlineStr">
        <is>
          <t>Evidencia</t>
        </is>
      </c>
    </row>
    <row r="37">
      <c r="A37" s="55" t="inlineStr">
        <is>
          <t>1</t>
        </is>
      </c>
      <c r="B37" s="55" t="inlineStr">
        <is>
          <t>Sobrepastoreo (caprino/vacuno)</t>
        </is>
      </c>
      <c r="C37" s="55" t="inlineStr">
        <is>
          <t>Sí</t>
        </is>
      </c>
      <c r="D37" s="55" t="inlineStr">
        <is>
          <t>Moderada</t>
        </is>
      </c>
      <c r="E37" s="55" t="inlineStr">
        <is>
          <t>60</t>
        </is>
      </c>
      <c r="F37" s="55" t="inlineStr">
        <is>
          <t>20</t>
        </is>
      </c>
      <c r="G37" s="55" t="inlineStr">
        <is>
          <t>Ramoneo de rebrotes, sendas de ganado caprino y terracetas de pisoteo en laderas</t>
        </is>
      </c>
    </row>
    <row r="38">
      <c r="A38" s="56" t="inlineStr">
        <is>
          <t>2</t>
        </is>
      </c>
      <c r="B38" s="56" t="inlineStr">
        <is>
          <t>Tala para leña</t>
        </is>
      </c>
      <c r="C38" s="56" t="inlineStr">
        <is>
          <t>Sí</t>
        </is>
      </c>
      <c r="D38" s="56" t="inlineStr">
        <is>
          <t>Moderada</t>
        </is>
      </c>
      <c r="E38" s="56" t="inlineStr">
        <is>
          <t>35</t>
        </is>
      </c>
      <c r="F38" s="56" t="inlineStr">
        <is>
          <t>20</t>
        </is>
      </c>
      <c r="G38" s="56" t="inlineStr">
        <is>
          <t>Tocones y cortes de Charán/Faique para leña (ver fotografía de tocón)</t>
        </is>
      </c>
    </row>
    <row r="39">
      <c r="A39" s="55" t="inlineStr">
        <is>
          <t>3</t>
        </is>
      </c>
      <c r="B39" s="55" t="inlineStr">
        <is>
          <t>Tala para carbón</t>
        </is>
      </c>
      <c r="C39" s="55" t="inlineStr">
        <is>
          <t>Sí</t>
        </is>
      </c>
      <c r="D39" s="55" t="inlineStr">
        <is>
          <t>Ligera</t>
        </is>
      </c>
      <c r="E39" s="55" t="inlineStr">
        <is>
          <t>10</t>
        </is>
      </c>
      <c r="F39" s="55" t="inlineStr">
        <is>
          <t>15</t>
        </is>
      </c>
      <c r="G39" s="55" t="inlineStr">
        <is>
          <t>Indicios antiguos de posible de extracción selectiva para carbón</t>
        </is>
      </c>
    </row>
    <row r="40">
      <c r="A40" s="56" t="inlineStr">
        <is>
          <t>4</t>
        </is>
      </c>
      <c r="B40" s="56" t="inlineStr">
        <is>
          <t>Tala para madera</t>
        </is>
      </c>
      <c r="C40" s="56" t="inlineStr">
        <is>
          <t>Sí</t>
        </is>
      </c>
      <c r="D40" s="56" t="inlineStr">
        <is>
          <t>Ligera</t>
        </is>
      </c>
      <c r="E40" s="56" t="inlineStr">
        <is>
          <t>10</t>
        </is>
      </c>
      <c r="F40" s="56" t="inlineStr">
        <is>
          <t>20</t>
        </is>
      </c>
      <c r="G40" s="56" t="inlineStr">
        <is>
          <t>Extracción histórica de Hualtaco por su madera dura</t>
        </is>
      </c>
    </row>
    <row r="41">
      <c r="A41" s="55" t="inlineStr">
        <is>
          <t>5</t>
        </is>
      </c>
      <c r="B41" s="55" t="inlineStr">
        <is>
          <t>Quema (renovación de pastos)</t>
        </is>
      </c>
      <c r="C41" s="55" t="inlineStr">
        <is>
          <t>No</t>
        </is>
      </c>
      <c r="D41" s="55" t="inlineStr">
        <is>
          <t>Nula</t>
        </is>
      </c>
      <c r="E41" s="55" t="inlineStr">
        <is>
          <t>0</t>
        </is>
      </c>
      <c r="F41" s="55" t="inlineStr"/>
      <c r="G41" s="55" t="inlineStr">
        <is>
          <t>Sin rastros recientes de quema de pastos</t>
        </is>
      </c>
    </row>
    <row r="42">
      <c r="A42" s="56" t="inlineStr">
        <is>
          <t>6</t>
        </is>
      </c>
      <c r="B42" s="56" t="inlineStr">
        <is>
          <t>Quema accidental / Incendio</t>
        </is>
      </c>
      <c r="C42" s="56" t="inlineStr">
        <is>
          <t>No</t>
        </is>
      </c>
      <c r="D42" s="56" t="inlineStr">
        <is>
          <t>Nula</t>
        </is>
      </c>
      <c r="E42" s="56" t="inlineStr">
        <is>
          <t>0</t>
        </is>
      </c>
      <c r="F42" s="56" t="inlineStr"/>
      <c r="G42" s="56" t="inlineStr">
        <is>
          <t>Sin evidencia de incendios</t>
        </is>
      </c>
    </row>
    <row r="43">
      <c r="A43" s="55" t="inlineStr">
        <is>
          <t>7</t>
        </is>
      </c>
      <c r="B43" s="55" t="inlineStr">
        <is>
          <t>Cambio de uso a agricultura</t>
        </is>
      </c>
      <c r="C43" s="55" t="inlineStr">
        <is>
          <t>No</t>
        </is>
      </c>
      <c r="D43" s="55" t="inlineStr">
        <is>
          <t>Nula</t>
        </is>
      </c>
      <c r="E43" s="55" t="inlineStr">
        <is>
          <t>0</t>
        </is>
      </c>
      <c r="F43" s="55" t="inlineStr"/>
      <c r="G43" s="55" t="inlineStr">
        <is>
          <t>Agricultura confinada al fondo de valle, fuera del bloque</t>
        </is>
      </c>
    </row>
    <row r="44">
      <c r="A44" s="56" t="inlineStr">
        <is>
          <t>8</t>
        </is>
      </c>
      <c r="B44" s="56" t="inlineStr">
        <is>
          <t>Cambio de uso a pastoreo</t>
        </is>
      </c>
      <c r="C44" s="56" t="inlineStr">
        <is>
          <t>Sí</t>
        </is>
      </c>
      <c r="D44" s="56" t="inlineStr">
        <is>
          <t>Ligera</t>
        </is>
      </c>
      <c r="E44" s="56" t="inlineStr">
        <is>
          <t>20</t>
        </is>
      </c>
      <c r="F44" s="56" t="inlineStr">
        <is>
          <t>15</t>
        </is>
      </c>
      <c r="G44" s="56" t="inlineStr">
        <is>
          <t>Apertura de áreas para pastoreo extensivo</t>
        </is>
      </c>
    </row>
    <row r="45">
      <c r="A45" s="55" t="inlineStr">
        <is>
          <t>9</t>
        </is>
      </c>
      <c r="B45" s="55" t="inlineStr">
        <is>
          <t>Expansión urbana / vial</t>
        </is>
      </c>
      <c r="C45" s="55" t="inlineStr">
        <is>
          <t>Sí</t>
        </is>
      </c>
      <c r="D45" s="55" t="inlineStr">
        <is>
          <t>Ligera</t>
        </is>
      </c>
      <c r="E45" s="55" t="inlineStr">
        <is>
          <t>5</t>
        </is>
      </c>
      <c r="F45" s="55" t="inlineStr">
        <is>
          <t>10</t>
        </is>
      </c>
      <c r="G45" s="55" t="inlineStr">
        <is>
          <t>CP Río Seco y trochas/caminos al pie del bloque</t>
        </is>
      </c>
    </row>
    <row r="46">
      <c r="A46" s="56" t="inlineStr">
        <is>
          <t>10</t>
        </is>
      </c>
      <c r="B46" s="56" t="inlineStr">
        <is>
          <t>Minería informal</t>
        </is>
      </c>
      <c r="C46" s="56" t="inlineStr">
        <is>
          <t>No</t>
        </is>
      </c>
      <c r="D46" s="56" t="inlineStr">
        <is>
          <t>Nula</t>
        </is>
      </c>
      <c r="E46" s="56" t="inlineStr">
        <is>
          <t>0</t>
        </is>
      </c>
      <c r="F46" s="56" t="inlineStr"/>
      <c r="G46" s="56" t="inlineStr">
        <is>
          <t>No observada</t>
        </is>
      </c>
    </row>
    <row r="47">
      <c r="A47" s="55" t="inlineStr">
        <is>
          <t>11</t>
        </is>
      </c>
      <c r="B47" s="55" t="inlineStr">
        <is>
          <t>Extracción de áridos (cauces)</t>
        </is>
      </c>
      <c r="C47" s="55" t="inlineStr">
        <is>
          <t>Sí</t>
        </is>
      </c>
      <c r="D47" s="55" t="inlineStr">
        <is>
          <t>Ligera</t>
        </is>
      </c>
      <c r="E47" s="55" t="inlineStr">
        <is>
          <t>5</t>
        </is>
      </c>
      <c r="F47" s="55" t="inlineStr">
        <is>
          <t>10</t>
        </is>
      </c>
      <c r="G47" s="55" t="inlineStr">
        <is>
          <t>Extracción puntual de áridos en cauce de Quebrada de Río Seco</t>
        </is>
      </c>
    </row>
    <row r="48">
      <c r="A48" s="56" t="inlineStr">
        <is>
          <t>12</t>
        </is>
      </c>
      <c r="B48" s="56" t="inlineStr">
        <is>
          <t>Especies invasoras</t>
        </is>
      </c>
      <c r="C48" s="56" t="inlineStr">
        <is>
          <t>Sí</t>
        </is>
      </c>
      <c r="D48" s="56" t="inlineStr">
        <is>
          <t>Moderada</t>
        </is>
      </c>
      <c r="E48" s="56" t="inlineStr">
        <is>
          <t>30</t>
        </is>
      </c>
      <c r="F48" s="56" t="inlineStr">
        <is>
          <t>10</t>
        </is>
      </c>
      <c r="G48" s="56" t="inlineStr">
        <is>
          <t>Expansión de Ipomoea carnea ("borrachera"), no palatable</t>
        </is>
      </c>
    </row>
    <row r="49">
      <c r="A49" s="55" t="inlineStr">
        <is>
          <t>13</t>
        </is>
      </c>
      <c r="B49" s="55" t="inlineStr">
        <is>
          <t>Erosión natural severa</t>
        </is>
      </c>
      <c r="C49" s="55" t="inlineStr">
        <is>
          <t>Sí</t>
        </is>
      </c>
      <c r="D49" s="55" t="inlineStr">
        <is>
          <t>Moderada</t>
        </is>
      </c>
      <c r="E49" s="55" t="inlineStr">
        <is>
          <t>25</t>
        </is>
      </c>
      <c r="F49" s="55" t="inlineStr"/>
      <c r="G49" s="55" t="inlineStr">
        <is>
          <t>Laderas rocosas con erosión hídrica y susceptibilidad a caída de rocas</t>
        </is>
      </c>
    </row>
    <row r="50">
      <c r="A50" s="56" t="inlineStr">
        <is>
          <t>14</t>
        </is>
      </c>
      <c r="B50" s="56" t="inlineStr">
        <is>
          <t>Sequía prolongada / CC</t>
        </is>
      </c>
      <c r="C50" s="56" t="inlineStr">
        <is>
          <t>Sí</t>
        </is>
      </c>
      <c r="D50" s="56" t="inlineStr">
        <is>
          <t>Moderada</t>
        </is>
      </c>
      <c r="E50" s="56" t="inlineStr">
        <is>
          <t>100</t>
        </is>
      </c>
      <c r="F50" s="56" t="inlineStr"/>
      <c r="G50" s="56" t="inlineStr">
        <is>
          <t>Estrés hídrico estacional; déficit hídrico futuro proyectado (SSP5-8.5)</t>
        </is>
      </c>
    </row>
    <row r="51">
      <c r="A51" s="55" t="inlineStr">
        <is>
          <t>15</t>
        </is>
      </c>
      <c r="B51" s="55" t="inlineStr">
        <is>
          <t>Plagas o enfermedades forestales</t>
        </is>
      </c>
      <c r="C51" s="55" t="inlineStr">
        <is>
          <t>No</t>
        </is>
      </c>
      <c r="D51" s="55" t="inlineStr">
        <is>
          <t>Nula</t>
        </is>
      </c>
      <c r="E51" s="55" t="inlineStr">
        <is>
          <t>0</t>
        </is>
      </c>
      <c r="F51" s="55" t="inlineStr"/>
      <c r="G51" s="55" t="inlineStr">
        <is>
          <t>Dosel sin sintomatología fitosanitaria relevante</t>
        </is>
      </c>
    </row>
    <row r="52">
      <c r="A52" s="56" t="inlineStr">
        <is>
          <t>16</t>
        </is>
      </c>
      <c r="B52" s="56" t="inlineStr">
        <is>
          <t>Otro</t>
        </is>
      </c>
      <c r="C52" s="56" t="inlineStr">
        <is>
          <t>No</t>
        </is>
      </c>
      <c r="D52" s="56" t="inlineStr">
        <is>
          <t>Nula</t>
        </is>
      </c>
      <c r="E52" s="56" t="inlineStr">
        <is>
          <t>0</t>
        </is>
      </c>
      <c r="F52" s="56" t="inlineStr"/>
      <c r="G52" s="56" t="inlineStr">
        <is>
          <t>—</t>
        </is>
      </c>
    </row>
    <row r="54">
      <c r="A54" s="53" t="inlineStr">
        <is>
          <t>F-DT-04 · INDICADORES CUANTITATIVOS</t>
        </is>
      </c>
    </row>
    <row r="55">
      <c r="A55" s="54" t="inlineStr">
        <is>
          <t>N.o</t>
        </is>
      </c>
      <c r="B55" s="54" t="inlineStr">
        <is>
          <t>Indicador</t>
        </is>
      </c>
      <c r="C55" s="54" t="inlineStr">
        <is>
          <t>Unidad</t>
        </is>
      </c>
      <c r="D55" s="54" t="inlineStr">
        <is>
          <t>Valor</t>
        </is>
      </c>
      <c r="E55" s="54" t="inlineStr">
        <is>
          <t>Fuente</t>
        </is>
      </c>
      <c r="F55" s="54" t="inlineStr">
        <is>
          <t>Umbral</t>
        </is>
      </c>
      <c r="G55" s="54" t="inlineStr">
        <is>
          <t>Nivel</t>
        </is>
      </c>
    </row>
    <row r="56">
      <c r="A56" s="55" t="inlineStr">
        <is>
          <t>1</t>
        </is>
      </c>
      <c r="B56" s="55" t="inlineStr">
        <is>
          <t>Cobertura vegetal total</t>
        </is>
      </c>
      <c r="C56" s="55" t="inlineStr">
        <is>
          <t>%</t>
        </is>
      </c>
      <c r="D56" s="55" t="inlineStr">
        <is>
          <t>60</t>
        </is>
      </c>
      <c r="E56" s="55" t="inlineStr">
        <is>
          <t>Campo + MSAVI Piura 2024</t>
        </is>
      </c>
      <c r="F56" s="55" t="inlineStr">
        <is>
          <t>&gt;60% bueno; 30-60% medio; &lt;30% malo</t>
        </is>
      </c>
      <c r="G56" s="55" t="inlineStr">
        <is>
          <t>Medio</t>
        </is>
      </c>
    </row>
    <row r="57">
      <c r="A57" s="56" t="inlineStr">
        <is>
          <t>2</t>
        </is>
      </c>
      <c r="B57" s="56" t="inlineStr">
        <is>
          <t>Porcentaje de suelo desnudo</t>
        </is>
      </c>
      <c r="C57" s="56" t="inlineStr">
        <is>
          <t>%</t>
        </is>
      </c>
      <c r="D57" s="56" t="inlineStr">
        <is>
          <t>20</t>
        </is>
      </c>
      <c r="E57" s="56" t="inlineStr">
        <is>
          <t>Observación de campo</t>
        </is>
      </c>
      <c r="F57" s="56" t="inlineStr">
        <is>
          <t>&lt;10% bueno; 10-30% medio; &gt;30% malo</t>
        </is>
      </c>
      <c r="G57" s="56" t="inlineStr">
        <is>
          <t>Medio</t>
        </is>
      </c>
    </row>
    <row r="58">
      <c r="A58" s="55" t="inlineStr">
        <is>
          <t>3</t>
        </is>
      </c>
      <c r="B58" s="55" t="inlineStr">
        <is>
          <t>Densidad de cárcavas</t>
        </is>
      </c>
      <c r="C58" s="55" t="inlineStr">
        <is>
          <t>N°/ha</t>
        </is>
      </c>
      <c r="D58" s="55" t="inlineStr">
        <is>
          <t>0.5</t>
        </is>
      </c>
      <c r="E58" s="55" t="inlineStr">
        <is>
          <t>Campo + análisis GIS</t>
        </is>
      </c>
      <c r="F58" s="55" t="inlineStr">
        <is>
          <t>0 nulo; 1-3 medio; &gt;3 alto</t>
        </is>
      </c>
      <c r="G58" s="55" t="inlineStr">
        <is>
          <t>Bajo</t>
        </is>
      </c>
    </row>
    <row r="59">
      <c r="A59" s="56" t="inlineStr">
        <is>
          <t>4</t>
        </is>
      </c>
      <c r="B59" s="56" t="inlineStr">
        <is>
          <t>Presencia de especies invasoras</t>
        </is>
      </c>
      <c r="C59" s="56" t="inlineStr">
        <is>
          <t>% área</t>
        </is>
      </c>
      <c r="D59" s="56" t="inlineStr">
        <is>
          <t>30</t>
        </is>
      </c>
      <c r="E59" s="56" t="inlineStr">
        <is>
          <t>Observación de campo</t>
        </is>
      </c>
      <c r="F59" s="56" t="inlineStr">
        <is>
          <t>&lt;5% bueno; 5-20% medio; &gt;20% alto</t>
        </is>
      </c>
      <c r="G59" s="56" t="inlineStr">
        <is>
          <t>Alto</t>
        </is>
      </c>
    </row>
    <row r="60">
      <c r="A60" s="55" t="inlineStr">
        <is>
          <t>5</t>
        </is>
      </c>
      <c r="B60" s="55" t="inlineStr">
        <is>
          <t>Carga ganadera estimada</t>
        </is>
      </c>
      <c r="C60" s="55" t="inlineStr">
        <is>
          <t>UA/ha</t>
        </is>
      </c>
      <c r="D60" s="55" t="inlineStr">
        <is>
          <t>0.5</t>
        </is>
      </c>
      <c r="E60" s="55" t="inlineStr">
        <is>
          <t>Estimación de campo</t>
        </is>
      </c>
      <c r="F60" s="55" t="inlineStr">
        <is>
          <t>Según tipo de ecosistema</t>
        </is>
      </c>
      <c r="G60" s="55" t="inlineStr">
        <is>
          <t>Medio</t>
        </is>
      </c>
    </row>
    <row r="61">
      <c r="A61" s="56" t="inlineStr">
        <is>
          <t>6</t>
        </is>
      </c>
      <c r="B61" s="56" t="inlineStr">
        <is>
          <t>Frecuencia de quemas últimos 5 años</t>
        </is>
      </c>
      <c r="C61" s="56" t="inlineStr">
        <is>
          <t>N°</t>
        </is>
      </c>
      <c r="D61" s="56" t="inlineStr">
        <is>
          <t>1</t>
        </is>
      </c>
      <c r="E61" s="56" t="inlineStr">
        <is>
          <t>Entrevista a poblador local</t>
        </is>
      </c>
      <c r="F61" s="56" t="inlineStr">
        <is>
          <t>0 nulo; 1-2 medio; &gt;2 alto</t>
        </is>
      </c>
      <c r="G61" s="56" t="inlineStr">
        <is>
          <t>Bajo</t>
        </is>
      </c>
    </row>
    <row r="62">
      <c r="A62" s="55" t="inlineStr">
        <is>
          <t>7</t>
        </is>
      </c>
      <c r="B62" s="55" t="inlineStr">
        <is>
          <t>% área con pendiente &gt;50%</t>
        </is>
      </c>
      <c r="C62" s="55" t="inlineStr">
        <is>
          <t>%</t>
        </is>
      </c>
      <c r="D62" s="55" t="inlineStr">
        <is>
          <t>25</t>
        </is>
      </c>
      <c r="E62" s="55" t="inlineStr">
        <is>
          <t>DEM / análisis GIS</t>
        </is>
      </c>
      <c r="F62" s="55" t="inlineStr">
        <is>
          <t>Factor de susceptibilidad</t>
        </is>
      </c>
      <c r="G62" s="55" t="inlineStr">
        <is>
          <t>Medio</t>
        </is>
      </c>
    </row>
    <row r="63">
      <c r="A63" s="56" t="inlineStr">
        <is>
          <t>8</t>
        </is>
      </c>
      <c r="B63" s="56" t="inlineStr">
        <is>
          <t>Distancia a vía vecinal más cercana</t>
        </is>
      </c>
      <c r="C63" s="56" t="inlineStr">
        <is>
          <t>m</t>
        </is>
      </c>
      <c r="D63" s="56" t="inlineStr">
        <is>
          <t>200</t>
        </is>
      </c>
      <c r="E63" s="56" t="inlineStr">
        <is>
          <t>GIS / red vial MTC</t>
        </is>
      </c>
      <c r="F63" s="56" t="inlineStr">
        <is>
          <t>A menor distancia → mayor presión</t>
        </is>
      </c>
      <c r="G63" s="56" t="inlineStr">
        <is>
          <t>Medio</t>
        </is>
      </c>
    </row>
    <row r="65">
      <c r="A65" s="53" t="inlineStr">
        <is>
          <t>F-DT-05 · FUENTES DE AGUA INVENTARIADAS</t>
        </is>
      </c>
    </row>
    <row r="66">
      <c r="A66" s="54" t="inlineStr">
        <is>
          <t>N.o</t>
        </is>
      </c>
      <c r="B66" s="54" t="inlineStr">
        <is>
          <t>Tipo de fuente</t>
        </is>
      </c>
      <c r="C66" s="54" t="inlineStr">
        <is>
          <t>UTM ESTE</t>
        </is>
      </c>
      <c r="D66" s="54" t="inlineStr">
        <is>
          <t>UTM NORTE</t>
        </is>
      </c>
      <c r="E66" s="54" t="inlineStr">
        <is>
          <t>Régimen</t>
        </is>
      </c>
      <c r="F66" s="54" t="inlineStr">
        <is>
          <t>Calidad</t>
        </is>
      </c>
      <c r="G66" s="54" t="inlineStr">
        <is>
          <t>Distancia (m)</t>
        </is>
      </c>
      <c r="H66" s="54" t="inlineStr">
        <is>
          <t>Uso / observación</t>
        </is>
      </c>
    </row>
    <row r="67">
      <c r="A67" s="55" t="inlineStr">
        <is>
          <t>1</t>
        </is>
      </c>
      <c r="B67" s="55" t="inlineStr">
        <is>
          <t>Quebrada estacional</t>
        </is>
      </c>
      <c r="C67" s="60" t="n">
        <v>618620</v>
      </c>
      <c r="D67" s="60" t="n">
        <v>9410820</v>
      </c>
      <c r="E67" s="55" t="inlineStr">
        <is>
          <t>Estacional (lluvias)</t>
        </is>
      </c>
      <c r="F67" s="55" t="inlineStr">
        <is>
          <t>No evaluable</t>
        </is>
      </c>
      <c r="G67" s="61" t="n">
        <v>0</v>
      </c>
      <c r="H67" s="55" t="inlineStr">
        <is>
          <t>Quebrada de Río Seco; genera flujos hacia el CP Río Seco; cauce protegido con muro de contención y desvío</t>
        </is>
      </c>
    </row>
    <row r="68">
      <c r="A68" s="56" t="inlineStr">
        <is>
          <t>2</t>
        </is>
      </c>
      <c r="B68" s="56" t="inlineStr">
        <is>
          <t>Río</t>
        </is>
      </c>
      <c r="C68" s="62" t="n">
        <v>619050</v>
      </c>
      <c r="D68" s="62" t="n">
        <v>9411000</v>
      </c>
      <c r="E68" s="56" t="inlineStr">
        <is>
          <t>Permanente</t>
        </is>
      </c>
      <c r="F68" s="56" t="inlineStr">
        <is>
          <t>Regular (ligeramente turbia o con sedimentos)</t>
        </is>
      </c>
      <c r="G68" s="62" t="n">
        <v>350</v>
      </c>
      <c r="H68" s="56" t="inlineStr">
        <is>
          <t>Cauce de Río Seco al NE del bloque</t>
        </is>
      </c>
    </row>
    <row r="71">
      <c r="A71" s="53" t="inlineStr">
        <is>
          <t>OBSERVACIONES DEL EVALUADOR POR FICHA</t>
        </is>
      </c>
    </row>
    <row r="72">
      <c r="A72" s="54" t="inlineStr">
        <is>
          <t>Ficha</t>
        </is>
      </c>
      <c r="B72" s="54" t="inlineStr">
        <is>
          <t>Observación registrada en campo</t>
        </is>
      </c>
    </row>
    <row r="73">
      <c r="A73" s="55" t="inlineStr">
        <is>
          <t>F-DT-01</t>
        </is>
      </c>
      <c r="B73" s="55" t="inlineStr">
        <is>
          <t>OBSERVACIONES: El ingreso se realizó el 22-05-2026 desde la carretera Morropón–Buenos Aires, con punto de partida al pie del bloque (CP Río Seco), donde se constató un muro de contención y desvío de cauce de quebrada estacional que protege al CP de las avenidas en temporada de lluvias. El recorrido cubrió el sector basal y medio del flanco NE (cotas ~235 a ~360 msnm); el sector alto y rocoso (refugio relictual de especies del ecosistema) no fue recorrido por pendiente y tiempo. Si bien no se observaron remociones en masa activas ni escarpes extensos, los afloramientos rocosos en pendientes fuertes configuran susceptibilidad a caída de rocas; el peligro dominante del bloque es la generación de escorrentía concentrada hacia la Quebrada de Río Seco (zona de origen de inundaciones aguas abajo).</t>
        </is>
      </c>
    </row>
    <row r="74">
      <c r="A74" s="56" t="inlineStr">
        <is>
          <t>F-DT-02</t>
        </is>
      </c>
      <c r="B74" s="56" t="inlineStr">
        <is>
          <t>OBSERVACIONES: Predomina la erosión hídrica laminar y en surcos sobre laderas con suelo parcialmente expuesto; el carcavamiento es incipiente y se concentra a lo largo de las líneas de drenaje que descienden hacia la Quebrada de Río Seco. Se registró socavamiento del cauce de la quebrada en su tramo bajo, motivo de la obra de protección (muro de contención) del CP Río Seco. La densidad de cárcavas es baja, pero la concentración de escorrentía y el sobrepastoreo aceleran los procesos erosivos. Urgencia de control: media, con prioridad en obras de control de escorrentía en cabecera (zanjas de infiltración, terrazas de formación lenta y barreras vivas).</t>
        </is>
      </c>
    </row>
    <row r="75">
      <c r="A75" s="55" t="inlineStr">
        <is>
          <t>F-DT-03</t>
        </is>
      </c>
      <c r="B75" s="55" t="inlineStr">
        <is>
          <t>OBSERVACIONES: El bloque corresponde al ecosistema Bosque estacionalmente seco de colina y montaña (Bes-cm). El estado de conservación es medianamente alterado: las especies representativas (Charán, Palo Santo, Hualtaco) persisten principalmente como relictos en las partes altas e inaccesibles, mientras que las cotas bajas y medias presentan matorral xerófilo abierto con expansión de Ipomoea carnea (no palatable por el ganado) y cobertura herbácea estacional. Se confirman tres especies arbóreas categorizadas en Peligro Crítico (CR) por el D.S. 043-2006-AG: Hualtaco, Palo Santo y Sapote. La fenología corresponde al inicio de la estación seca (vegetativa con caducifolia parcial). Listado florístico preliminar; nombres científicos sujetos a verificación con colecta botánica.</t>
        </is>
      </c>
    </row>
    <row r="76">
      <c r="A76" s="56" t="inlineStr">
        <is>
          <t>F-DT-04</t>
        </is>
      </c>
      <c r="B76" s="56" t="inlineStr">
        <is>
          <t>OBSERVACIONES: Las causas directas de degradación son mayoritariamente antrópicas (sobrepastoreo y tala selectiva), potenciadas por la presión climática. La cobertura vegetal total (~60%) y el suelo desnudo (~20%) sitúan al bloque en condición intermedia, coherente con los valores bajos de MSAVI 2024 (predominio de la clase 0.265–0.381). La degradación es de velocidad moderada y parcialmente reversible mediante medidas de infraestructura natural (revegetación con especies nativas, clausura temporal, manejo de pastizales) acompañadas de gobernanza comunitaria. Urgencia de intervención: alta, dada la función del bloque como zona de origen de escorrentía que afecta al CP Río Seco.</t>
        </is>
      </c>
    </row>
    <row r="77">
      <c r="A77" s="55" t="inlineStr">
        <is>
          <t>F-DT-05</t>
        </is>
      </c>
      <c r="B77" s="55" t="inlineStr">
        <is>
          <t>OBSERVACIONES: El bloque no contiene fuentes de agua permanentes; las fuentes son estacionales y asociadas a la Quebrada de Río Seco, que en temporada de lluvias genera avenidas hacia el CP Río Seco (motivo de la obra de protección observada). El bloque cumple función de zona de recarga e infiltración en laderas, por lo que las medidas de infraestructura natural en cabecera tendrían efecto directo sobre la regulación hídrica y el control de escorrentía. El acceso es vehicular hasta el CP Río Seco y luego a pie (camino de herradura), con transitabilidad alta en seca y limitada en lluvias.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M1B1</t>
        </is>
      </c>
    </row>
    <row r="7">
      <c r="A7" s="53" t="inlineStr">
        <is>
          <t>Hechos declarados por fuente</t>
        </is>
      </c>
    </row>
    <row r="8">
      <c r="A8" s="54" t="inlineStr">
        <is>
          <t>Fuente</t>
        </is>
      </c>
      <c r="B8" s="54" t="inlineStr">
        <is>
          <t>Hechos</t>
        </is>
      </c>
    </row>
    <row r="9">
      <c r="A9" s="55" t="inlineStr">
        <is>
          <t>Dato de campo</t>
        </is>
      </c>
      <c r="B9" s="55" t="n">
        <v>75</v>
      </c>
    </row>
    <row r="10">
      <c r="A10" s="56" t="inlineStr">
        <is>
          <t>Gabinete (GIS / teledetección)</t>
        </is>
      </c>
      <c r="B10" s="56" t="n">
        <v>21</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108</v>
      </c>
    </row>
    <row r="29">
      <c r="A29" s="56" t="inlineStr">
        <is>
          <t>COMPLEMENTADO</t>
        </is>
      </c>
      <c r="B29" s="56" t="n">
        <v>0</v>
      </c>
    </row>
    <row r="30">
      <c r="A30" s="55" t="inlineStr">
        <is>
          <t>ACTUALIZADO</t>
        </is>
      </c>
      <c r="B30" s="55" t="n">
        <v>2</v>
      </c>
    </row>
    <row r="31">
      <c r="A31" s="56" t="inlineStr">
        <is>
          <t>DISCREPANTE</t>
        </is>
      </c>
      <c r="B31" s="56" t="n">
        <v>0</v>
      </c>
    </row>
    <row r="32">
      <c r="A32" s="55" t="inlineStr">
        <is>
          <t>PENDIENTE</t>
        </is>
      </c>
      <c r="B32" s="55" t="n">
        <v>4</v>
      </c>
    </row>
    <row r="45">
      <c r="A45" s="53" t="inlineStr">
        <is>
          <t>Cobertura por estrato — campo (%)</t>
        </is>
      </c>
    </row>
    <row r="46">
      <c r="A46" s="54" t="inlineStr">
        <is>
          <t>Estrato</t>
        </is>
      </c>
      <c r="B46" s="54" t="inlineStr">
        <is>
          <t>% del área</t>
        </is>
      </c>
    </row>
    <row r="47">
      <c r="A47" s="55" t="inlineStr">
        <is>
          <t>Dosel</t>
        </is>
      </c>
      <c r="B47" s="60" t="n">
        <v>25</v>
      </c>
    </row>
    <row r="48">
      <c r="A48" s="56" t="inlineStr">
        <is>
          <t>Arbustiva</t>
        </is>
      </c>
      <c r="B48" s="62" t="n">
        <v>35</v>
      </c>
    </row>
    <row r="49">
      <c r="A49" s="55" t="inlineStr">
        <is>
          <t>Herbácea</t>
        </is>
      </c>
      <c r="B49" s="60" t="n">
        <v>30</v>
      </c>
    </row>
    <row r="50">
      <c r="A50" s="56" t="inlineStr">
        <is>
          <t>Hojarasca</t>
        </is>
      </c>
      <c r="B50" s="62" t="n">
        <v>10</v>
      </c>
    </row>
    <row r="51">
      <c r="A51" s="55" t="inlineStr">
        <is>
          <t>Suelo desnudo</t>
        </is>
      </c>
      <c r="B51" s="60" t="n">
        <v>20</v>
      </c>
    </row>
    <row r="64">
      <c r="A64" s="53" t="inlineStr">
        <is>
          <t>Causas activas de degradación (F-DT-04)</t>
        </is>
      </c>
    </row>
    <row r="65">
      <c r="A65" s="54" t="inlineStr">
        <is>
          <t>Causa</t>
        </is>
      </c>
      <c r="B65" s="54" t="inlineStr">
        <is>
          <t>Intensidad (1 ligera - 4 muy fuerte)</t>
        </is>
      </c>
    </row>
    <row r="66">
      <c r="A66" s="55" t="inlineStr">
        <is>
          <t>Erosión natural severa</t>
        </is>
      </c>
      <c r="B66" s="55" t="n">
        <v>2</v>
      </c>
    </row>
    <row r="67">
      <c r="A67" s="56" t="inlineStr">
        <is>
          <t>Especies invasoras</t>
        </is>
      </c>
      <c r="B67" s="56" t="n">
        <v>2</v>
      </c>
    </row>
    <row r="68">
      <c r="A68" s="55" t="inlineStr">
        <is>
          <t>Sequía prolongada / CC</t>
        </is>
      </c>
      <c r="B68" s="55" t="n">
        <v>2</v>
      </c>
    </row>
    <row r="69">
      <c r="A69" s="56" t="inlineStr">
        <is>
          <t>Sobrepastoreo (caprino/vacuno)</t>
        </is>
      </c>
      <c r="B69" s="56" t="n">
        <v>2</v>
      </c>
    </row>
    <row r="70">
      <c r="A70" s="55" t="inlineStr">
        <is>
          <t>Tala para leña</t>
        </is>
      </c>
      <c r="B70" s="55" t="n">
        <v>2</v>
      </c>
    </row>
    <row r="71">
      <c r="A71" s="56" t="inlineStr">
        <is>
          <t>Cambio de uso a pastoreo</t>
        </is>
      </c>
      <c r="B71" s="56" t="n">
        <v>1</v>
      </c>
    </row>
    <row r="72">
      <c r="A72" s="55" t="inlineStr">
        <is>
          <t>Expansión urbana / vial</t>
        </is>
      </c>
      <c r="B72" s="55" t="n">
        <v>1</v>
      </c>
    </row>
    <row r="73">
      <c r="A73" s="56" t="inlineStr">
        <is>
          <t>Extracción de áridos (cauces)</t>
        </is>
      </c>
      <c r="B73" s="56" t="n">
        <v>1</v>
      </c>
    </row>
    <row r="74">
      <c r="A74" s="55" t="inlineStr">
        <is>
          <t>Tala para carbón</t>
        </is>
      </c>
      <c r="B74" s="55" t="n">
        <v>1</v>
      </c>
    </row>
    <row r="75">
      <c r="A75" s="56" t="inlineStr">
        <is>
          <t>Tala para madera</t>
        </is>
      </c>
      <c r="B75" s="56" t="n">
        <v>1</v>
      </c>
    </row>
    <row r="83">
      <c r="A83" s="53" t="inlineStr">
        <is>
          <t>Control de consistencia por calificación</t>
        </is>
      </c>
    </row>
    <row r="84">
      <c r="A84" s="54" t="inlineStr">
        <is>
          <t>Calificación</t>
        </is>
      </c>
      <c r="B84" s="54" t="inlineStr">
        <is>
          <t>Verificaciones</t>
        </is>
      </c>
    </row>
    <row r="85">
      <c r="A85" s="55" t="inlineStr">
        <is>
          <t>SUSTANTIVA</t>
        </is>
      </c>
      <c r="B85" s="55" t="n">
        <v>5</v>
      </c>
    </row>
    <row r="86">
      <c r="A86" s="56" t="inlineStr">
        <is>
          <t>NO SUSTANTIVA</t>
        </is>
      </c>
      <c r="B86" s="56" t="n">
        <v>5</v>
      </c>
    </row>
    <row r="87">
      <c r="A87" s="55" t="inlineStr">
        <is>
          <t>CORREGIDO</t>
        </is>
      </c>
      <c r="B87" s="55" t="n">
        <v>3</v>
      </c>
    </row>
    <row r="88">
      <c r="A88" s="56" t="inlineStr">
        <is>
          <t>CONFORME</t>
        </is>
      </c>
      <c r="B88" s="56"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M1B1 — IN Piura</dc:title>
  <dc:subject>Diagnóstico Territorial por bloque de intervención</dc:subject>
  <dcterms:created xsi:type="dcterms:W3CDTF">2026-09-08T03:39:58Z</dcterms:created>
  <dcterms:modified xsi:type="dcterms:W3CDTF">2026-09-11T21:26:34Z</dcterms:modified>
</cp:coreProperties>
</file>