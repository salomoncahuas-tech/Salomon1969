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integración'!$A$47:$A$54</f>
            </numRef>
          </cat>
          <val>
            <numRef>
              <f>'Gráficos de integración'!$B$47:$B$54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76</t>
        </is>
      </c>
    </row>
    <row r="6" ht="24" customHeight="1">
      <c r="A6" s="4" t="inlineStr">
        <is>
          <t>Diagnóstico Territorial — Plantilla DT Campo Check Validada V5 | Sistema de referencia: UTM WGS 84 Zona 17S (EPSG:32717) · Integrado con la ficha de campo F-DT vigente (Plantilla_DT_Campo_Bloque76_IN_Piura.xlsx) — V7 - resumen V6 + campo F-DT integrado</t>
        </is>
      </c>
    </row>
    <row r="7"/>
    <row r="8" ht="18" customHeight="1">
      <c r="A8" s="5" t="inlineStr">
        <is>
          <t>1. IDENTIFICACIÓN Y LOCALIZACIÓN</t>
        </is>
      </c>
    </row>
    <row r="9">
      <c r="A9" s="6" t="inlineStr">
        <is>
          <t>Código del bloque</t>
        </is>
      </c>
      <c r="B9" s="7" t="inlineStr">
        <is>
          <t>76</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Sahuate Hualanga · Hualanga</t>
        </is>
      </c>
      <c r="C13" s="6" t="inlineStr">
        <is>
          <t>Comunidad campesina</t>
        </is>
      </c>
      <c r="D13" s="7" t="inlineStr">
        <is>
          <t>Por verificar</t>
        </is>
      </c>
      <c r="E13" s="8" t="n"/>
      <c r="F13" s="8" t="n"/>
    </row>
    <row r="14">
      <c r="A14" s="6" t="inlineStr">
        <is>
          <t>Superficie de catálogo (V5/V6), ha</t>
        </is>
      </c>
      <c r="B14" s="7" t="n">
        <v>19.62</v>
      </c>
      <c r="C14" s="6" t="inlineStr">
        <is>
          <t>Fuente de superficie</t>
        </is>
      </c>
      <c r="D14" s="7" t="inlineStr">
        <is>
          <t>Catálogo maestro Bloques V5/V6</t>
        </is>
      </c>
      <c r="E14" s="8" t="n"/>
      <c r="F14" s="8" t="n"/>
    </row>
    <row r="15">
      <c r="A15" s="6" t="inlineStr">
        <is>
          <t>Centroide UTM ESTE (m)</t>
        </is>
      </c>
      <c r="B15" s="7" t="n">
        <v>657922</v>
      </c>
      <c r="C15" s="6" t="inlineStr">
        <is>
          <t>Centroide UTM NORTE (m)</t>
        </is>
      </c>
      <c r="D15" s="7" t="n">
        <v>9377477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1647</v>
      </c>
      <c r="C19" s="6" t="inlineStr">
        <is>
          <t>Altitud máxima (msnm)</t>
        </is>
      </c>
      <c r="D19" s="7" t="n">
        <v>1838</v>
      </c>
      <c r="E19" s="8" t="n"/>
      <c r="F19" s="8" t="n"/>
    </row>
    <row r="20">
      <c r="A20" s="6" t="inlineStr">
        <is>
          <t>Amplitud altitudinal (m)</t>
        </is>
      </c>
      <c r="B20" s="7" t="n">
        <v>191</v>
      </c>
      <c r="C20" s="6" t="inlineStr">
        <is>
          <t>Piso altitudinal dominante</t>
        </is>
      </c>
      <c r="D20" s="7" t="inlineStr">
        <is>
          <t>1500-2000 m (Quechua media)</t>
        </is>
      </c>
      <c r="E20" s="8" t="n"/>
      <c r="F20" s="8" t="n"/>
    </row>
    <row r="21">
      <c r="A21" s="6" t="inlineStr">
        <is>
          <t>Pendiente promedio (%)</t>
        </is>
      </c>
      <c r="B21" s="7" t="n">
        <v>26.25</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0.4925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(51.48 %)</t>
        </is>
      </c>
      <c r="E29" s="8" t="n"/>
      <c r="F29" s="8" t="n"/>
    </row>
    <row r="30">
      <c r="A30" s="6" t="inlineStr">
        <is>
          <t>Superficie clasificada NDVI 2025 (ha)</t>
        </is>
      </c>
      <c r="B30" s="7" t="n">
        <v>19.619</v>
      </c>
      <c r="C30" s="6" t="inlineStr">
        <is>
          <t>Desviación frente al catálogo (%)</t>
        </is>
      </c>
      <c r="D30" s="7" t="n">
        <v>-0.01</v>
      </c>
      <c r="E30" s="8" t="n"/>
      <c r="F30" s="8" t="n"/>
    </row>
    <row r="31">
      <c r="A31" s="6" t="inlineStr">
        <is>
          <t>Superficie clasificada MSAVI 2024 (ha)</t>
        </is>
      </c>
      <c r="B31" s="38" t="n">
        <v>19.615</v>
      </c>
      <c r="C31" s="6" t="inlineStr">
        <is>
          <t>Desviación MSAVI frente al catálogo (%)</t>
        </is>
      </c>
      <c r="D31" s="39" t="n">
        <v>-0.02</v>
      </c>
      <c r="E31" s="8" t="n"/>
      <c r="F31" s="8" t="n"/>
    </row>
    <row r="32">
      <c r="A32" s="6" t="inlineStr">
        <is>
          <t>Superficie bajo umbral MSAVI 0.4976 (ha)</t>
        </is>
      </c>
      <c r="B32" s="38" t="n">
        <v>10.619</v>
      </c>
      <c r="C32" s="6" t="inlineStr">
        <is>
          <t>% del bloque bajo umbral (brecha espectral)</t>
        </is>
      </c>
      <c r="D32" s="39" t="n">
        <v>54.14</v>
      </c>
      <c r="E32" s="8" t="n"/>
      <c r="F32" s="8" t="n"/>
    </row>
    <row r="33">
      <c r="A33" s="6" t="inlineStr">
        <is>
          <t>Clase DN dominante (MSAVI 2024)</t>
        </is>
      </c>
      <c r="B33" s="7" t="inlineStr">
        <is>
          <t>DN 3 · 0.3813 - 0.4976 (Vigor bajo)</t>
        </is>
      </c>
      <c r="C33" s="6" t="inlineStr">
        <is>
          <t>N.° de polígonos MSAVI del bloque</t>
        </is>
      </c>
      <c r="D33" s="40" t="n">
        <v>99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por continuidad con bloques vecinos</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Fuerte (cárcavas incipientes) — describe el BORDE OCCIDENTAL y el corredor vial</t>
        </is>
      </c>
      <c r="C40" s="6" t="inlineStr">
        <is>
          <t>N.° de cárcavas registradas</t>
        </is>
      </c>
      <c r="D40" s="7" t="n">
        <v>2</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Pedro Talledo Hernández</t>
        </is>
      </c>
      <c r="C44" s="6" t="inlineStr">
        <is>
          <t>Fecha de evaluación</t>
        </is>
      </c>
      <c r="D44" s="7" t="inlineStr">
        <is>
          <t>2026-08-19</t>
        </is>
      </c>
      <c r="E44" s="8" t="n"/>
      <c r="F44" s="8" t="n"/>
    </row>
    <row r="45">
      <c r="A45" s="6" t="inlineStr">
        <is>
          <t>Hora de registro</t>
        </is>
      </c>
      <c r="B45" s="7" t="inlineStr">
        <is>
          <t>14:20 - 14:29 h</t>
        </is>
      </c>
      <c r="C45" s="6" t="inlineStr">
        <is>
          <t>Correlativo de ficha</t>
        </is>
      </c>
      <c r="D45" s="7" t="inlineStr">
        <is>
          <t>F-DT-01 / B-76 / 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 (prellenado de gabinete)</t>
        </is>
      </c>
      <c r="E47" s="8" t="n"/>
      <c r="F47" s="8" t="n"/>
    </row>
    <row r="48">
      <c r="A48" s="6" t="inlineStr">
        <is>
          <t>Estaciones fotográficas georreferenciadas</t>
        </is>
      </c>
      <c r="B48" s="7" t="n">
        <v>10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familiar de subsistencia en ladera —maíz en secano y ganadería caprina extensiva— sin alternativas productivas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1.8539</v>
      </c>
      <c r="C10" s="19">
        <f>ROUND(B10/$B$15*100,2)</f>
        <v/>
      </c>
      <c r="D10" s="11" t="inlineStr">
        <is>
          <t>Vigor alto</t>
        </is>
      </c>
      <c r="E10" s="11" t="inlineStr">
        <is>
          <t>Sobre umbral</t>
        </is>
      </c>
    </row>
    <row r="11">
      <c r="A11" s="12" t="inlineStr">
        <is>
          <t>0.4976 - 0.6139 · DN 4</t>
        </is>
      </c>
      <c r="B11" s="20" t="n">
        <v>7.1417</v>
      </c>
      <c r="C11" s="21">
        <f>ROUND(B11/$B$15*100,2)</f>
        <v/>
      </c>
      <c r="D11" s="13" t="inlineStr">
        <is>
          <t>Vigor moderado</t>
        </is>
      </c>
      <c r="E11" s="13" t="inlineStr">
        <is>
          <t>Sobre umbral</t>
        </is>
      </c>
    </row>
    <row r="12">
      <c r="A12" s="14" t="inlineStr">
        <is>
          <t>0.3813 - 0.4976 · DN 3</t>
        </is>
      </c>
      <c r="B12" s="32" t="n">
        <v>9.005699999999999</v>
      </c>
      <c r="C12" s="31">
        <f>ROUND(B12/$B$15*100,2)</f>
        <v/>
      </c>
      <c r="D12" s="15" t="inlineStr">
        <is>
          <t>Vigor bajo</t>
        </is>
      </c>
      <c r="E12" s="15" t="inlineStr">
        <is>
          <t>BAJO umbral 0.4976</t>
        </is>
      </c>
    </row>
    <row r="13">
      <c r="A13" s="12" t="inlineStr">
        <is>
          <t>0.2650 - 0.3813 · DN 2</t>
        </is>
      </c>
      <c r="B13" s="20" t="n">
        <v>1.6138</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99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19.62</v>
      </c>
      <c r="C18" s="49" t="inlineStr">
        <is>
          <t>—</t>
        </is>
      </c>
      <c r="D18" s="46" t="inlineStr">
        <is>
          <t>Desviación planimétrica frente al catálogo</t>
        </is>
      </c>
      <c r="E18" s="46" t="inlineStr">
        <is>
          <t>-0.02 %</t>
        </is>
      </c>
    </row>
    <row r="19">
      <c r="A19" s="16" t="inlineStr">
        <is>
          <t>MSAVI 2024 — MEDIA DEL BLOQUE</t>
        </is>
      </c>
      <c r="B19" s="17" t="n">
        <v>0.492462</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(0.4925)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9.078200000000001</v>
      </c>
      <c r="C25" s="19" t="n">
        <v>46.27</v>
      </c>
      <c r="D25" s="11" t="inlineStr">
        <is>
          <t>Dosel continuo, matorral denso o mosaico agroforestal</t>
        </is>
      </c>
      <c r="E25" s="11" t="inlineStr"/>
    </row>
    <row r="26">
      <c r="A26" s="12" t="inlineStr">
        <is>
          <t>Vegetación mediana</t>
        </is>
      </c>
      <c r="B26" s="20" t="n">
        <v>10.0995</v>
      </c>
      <c r="C26" s="21" t="n">
        <v>51.48</v>
      </c>
      <c r="D26" s="13" t="inlineStr">
        <is>
          <t>Pastizal cultivado, matorral ralo, parcelas agrícolas</t>
        </is>
      </c>
      <c r="E26" s="13" t="inlineStr"/>
    </row>
    <row r="27">
      <c r="A27" s="7" t="inlineStr">
        <is>
          <t>Vegetación ligera</t>
        </is>
      </c>
      <c r="B27" s="18" t="n">
        <v>0.441</v>
      </c>
      <c r="C27" s="19" t="n">
        <v>2.25</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19.62</v>
      </c>
      <c r="C29" s="25" t="inlineStr">
        <is>
          <t>—</t>
        </is>
      </c>
      <c r="D29" s="25" t="inlineStr">
        <is>
          <t>Desviación planimétrica frente al catálogo</t>
        </is>
      </c>
      <c r="E29" s="25" t="inlineStr">
        <is>
          <t>-0.01 %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76</t>
        </is>
      </c>
    </row>
    <row r="6" ht="24" customHeight="1">
      <c r="A6" s="4" t="inlineStr">
        <is>
          <t>Levantamiento del 2026-08-19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657922</v>
      </c>
      <c r="D10" s="26" t="n">
        <v>9377480</v>
      </c>
      <c r="E10" s="11" t="n">
        <v>3</v>
      </c>
      <c r="F10" s="11" t="inlineStr"/>
      <c r="G10" s="11" t="inlineStr">
        <is>
          <t>Coordenada consignada en F-DT-01</t>
        </is>
      </c>
    </row>
    <row r="11">
      <c r="A11" s="12" t="inlineStr">
        <is>
          <t>E-01</t>
        </is>
      </c>
      <c r="B11" s="13" t="inlineStr">
        <is>
          <t>Estación fotográfica</t>
        </is>
      </c>
      <c r="C11" s="27" t="n">
        <v>657704</v>
      </c>
      <c r="D11" s="27" t="n">
        <v>9377627</v>
      </c>
      <c r="E11" s="13" t="n">
        <v>264.6</v>
      </c>
      <c r="F11" s="13" t="inlineStr"/>
      <c r="G11" s="13" t="inlineStr">
        <is>
          <t>Registro fotográfico georreferenciado</t>
        </is>
      </c>
    </row>
    <row r="12">
      <c r="A12" s="7" t="inlineStr">
        <is>
          <t>E-02</t>
        </is>
      </c>
      <c r="B12" s="11" t="inlineStr">
        <is>
          <t>Estación fotográfica</t>
        </is>
      </c>
      <c r="C12" s="26" t="n">
        <v>657727</v>
      </c>
      <c r="D12" s="26" t="n">
        <v>9377637</v>
      </c>
      <c r="E12" s="11" t="n">
        <v>252.2</v>
      </c>
      <c r="F12" s="11" t="inlineStr"/>
      <c r="G12" s="11" t="inlineStr">
        <is>
          <t>Registro fotográfico georreferenciado</t>
        </is>
      </c>
    </row>
    <row r="13">
      <c r="A13" s="12" t="inlineStr">
        <is>
          <t>E-06</t>
        </is>
      </c>
      <c r="B13" s="13" t="inlineStr">
        <is>
          <t>Estación fotográfica</t>
        </is>
      </c>
      <c r="C13" s="27" t="n">
        <v>657551</v>
      </c>
      <c r="D13" s="27" t="n">
        <v>9377519</v>
      </c>
      <c r="E13" s="13" t="n">
        <v>373.4</v>
      </c>
      <c r="F13" s="13" t="inlineStr"/>
      <c r="G13" s="13" t="inlineStr">
        <is>
          <t>Registro fotográfico georreferenciado</t>
        </is>
      </c>
    </row>
    <row r="14">
      <c r="A14" s="7" t="inlineStr">
        <is>
          <t>E-08</t>
        </is>
      </c>
      <c r="B14" s="11" t="inlineStr">
        <is>
          <t>Estación fotográfica</t>
        </is>
      </c>
      <c r="C14" s="26" t="n">
        <v>657554</v>
      </c>
      <c r="D14" s="26" t="n">
        <v>9377128</v>
      </c>
      <c r="E14" s="11" t="n">
        <v>507.2</v>
      </c>
      <c r="F14" s="11" t="inlineStr"/>
      <c r="G14" s="11" t="inlineStr">
        <is>
          <t>Registro fotográfico georreferenciado</t>
        </is>
      </c>
    </row>
    <row r="15">
      <c r="A15" s="12" t="inlineStr">
        <is>
          <t>C-01</t>
        </is>
      </c>
      <c r="B15" s="13" t="inlineStr">
        <is>
          <t>Rasgo erosivo — Cárcava somera (0.5-2 m)</t>
        </is>
      </c>
      <c r="C15" s="27" t="n">
        <v>657703</v>
      </c>
      <c r="D15" s="27" t="n">
        <v>9377569</v>
      </c>
      <c r="E15" s="13" t="n">
        <v>237.5</v>
      </c>
      <c r="F15" s="13" t="inlineStr">
        <is>
          <t>Activa</t>
        </is>
      </c>
      <c r="G15" s="13" t="inlineStr">
        <is>
          <t>Concentración natural de escorrentía</t>
        </is>
      </c>
    </row>
    <row r="16">
      <c r="A16" s="7" t="inlineStr">
        <is>
          <t>C-02</t>
        </is>
      </c>
      <c r="B16" s="11" t="inlineStr">
        <is>
          <t>Rasgo erosivo — Cárcava incipiente</t>
        </is>
      </c>
      <c r="C16" s="26" t="n">
        <v>657554</v>
      </c>
      <c r="D16" s="26" t="n">
        <v>9377128</v>
      </c>
      <c r="E16" s="11" t="n">
        <v>507.2</v>
      </c>
      <c r="F16" s="11" t="inlineStr">
        <is>
          <t>Activa</t>
        </is>
      </c>
      <c r="G16" s="11" t="inlineStr">
        <is>
          <t>Cambio de uso del suelo</t>
        </is>
      </c>
    </row>
    <row r="17">
      <c r="A17" s="12" t="inlineStr">
        <is>
          <t>H-01</t>
        </is>
      </c>
      <c r="B17" s="13" t="inlineStr">
        <is>
          <t>Fuente de agua — Quebrada estacional</t>
        </is>
      </c>
      <c r="C17" s="27" t="n">
        <v>657703</v>
      </c>
      <c r="D17" s="27" t="n">
        <v>9377569</v>
      </c>
      <c r="E17" s="13" t="n">
        <v>237.5</v>
      </c>
      <c r="F17" s="13" t="inlineStr">
        <is>
          <t>Estacional</t>
        </is>
      </c>
      <c r="G17" s="13" t="inlineStr">
        <is>
          <t>Vaguada de fondo pedregoso, sin obra de cruce</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657922</v>
      </c>
      <c r="C20" s="6" t="inlineStr">
        <is>
          <t>Centroide del bloque — UTM NORTE (m)</t>
        </is>
      </c>
      <c r="D20" s="7" t="n">
        <v>9377477</v>
      </c>
      <c r="E20" s="8" t="n"/>
      <c r="F20" s="8" t="n"/>
      <c r="G20" s="8" t="n"/>
      <c r="H20" s="8" t="n"/>
    </row>
    <row r="21">
      <c r="A21" s="6" t="inlineStr">
        <is>
          <t>N.° de estaciones fotográficas declaradas</t>
        </is>
      </c>
      <c r="B21" s="7" t="n">
        <v>10</v>
      </c>
      <c r="C21" s="6" t="inlineStr">
        <is>
          <t>Estaciones dentro del polígono</t>
        </is>
      </c>
      <c r="D21" s="7" t="n">
        <v>0</v>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DEL 19-08-2026 — recorrido vehicular por la trocha Hualanga-Sahuate con registro fotográfico georreferenciado; 10 tomas en 4 posiciones. LA FICHA NO FUE DILIGENCIADA EN CAMPO: los valores son PRELLENADO DE GABINETE a partir de estadística zonal sobre el MDE, catálogos maestros y clasificación de los planos temáticos MSAVI 2024 y NDVI mediana 2025. CONTROL GEOMÉTRICO: LAS 10 ESTACIONES SE LOCALIZAN FUERA DEL POLÍGONO, entre ~45 y ~169 m de su límite occidental y septentrional; EL INTERIOR DEL BLOQUE NO FUE VERIFICADO. Las coordenadas del punto de muestreo corresponden al CENTROIDE del polígono, no a un punto GPS de campo. La altitud consignada es la cota media del MDE (rango 1 647-1 838 msnm); NO se registró altitud GPS. Indicios: afloramientos de roca meteorizada y saprolito, taludes de corte activos de 2-5 m y colapso del borde de plataforma observados en el CORREDOR VIAL PERIMETRAL (E-04 a E-09); su ocurrencia dentro del polígono NO ha sido verificada. Pendiente promedio del bloque (MDE) = 26.25%; exposición dominante deducida de la disposición de las curvas de nivel.</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76</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2" t="inlineStr">
        <is>
          <t>8</t>
        </is>
      </c>
      <c r="B11" s="29" t="n">
        <v>126.95</v>
      </c>
      <c r="C11" s="21" t="n">
        <v>24.23</v>
      </c>
      <c r="D11" s="13" t="inlineStr">
        <is>
          <t>1504 – 1970</t>
        </is>
      </c>
      <c r="E11" s="13" t="n">
        <v>466</v>
      </c>
      <c r="F11" s="13" t="n">
        <v>29.85</v>
      </c>
      <c r="G11" s="20" t="n">
        <v>0.5548</v>
      </c>
      <c r="H11" s="21" t="n">
        <v>72.25</v>
      </c>
      <c r="I11" s="21"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2" t="inlineStr">
        <is>
          <t>20</t>
        </is>
      </c>
      <c r="B13" s="29" t="n">
        <v>81.33</v>
      </c>
      <c r="C13" s="21" t="n">
        <v>15.52</v>
      </c>
      <c r="D13" s="13" t="inlineStr">
        <is>
          <t>1217 – 1607</t>
        </is>
      </c>
      <c r="E13" s="13" t="n">
        <v>390</v>
      </c>
      <c r="F13" s="13" t="n">
        <v>24.54</v>
      </c>
      <c r="G13" s="20" t="n">
        <v>0.4851</v>
      </c>
      <c r="H13" s="21" t="n">
        <v>52.44</v>
      </c>
      <c r="I13" s="21" t="n">
        <v>59.23</v>
      </c>
    </row>
    <row r="14">
      <c r="A14" s="7" t="inlineStr">
        <is>
          <t>80</t>
        </is>
      </c>
      <c r="B14" s="28" t="n">
        <v>28.83</v>
      </c>
      <c r="C14" s="19" t="n">
        <v>5.5</v>
      </c>
      <c r="D14" s="11" t="inlineStr">
        <is>
          <t>2180 – 2491</t>
        </is>
      </c>
      <c r="E14" s="11" t="n">
        <v>311</v>
      </c>
      <c r="F14" s="11" t="n">
        <v>32.9</v>
      </c>
      <c r="G14" s="18" t="n">
        <v>0.5931</v>
      </c>
      <c r="H14" s="19" t="n">
        <v>78.73</v>
      </c>
      <c r="I14" s="19" t="n">
        <v>16.88</v>
      </c>
    </row>
    <row r="15">
      <c r="A15" s="12" t="inlineStr">
        <is>
          <t>51</t>
        </is>
      </c>
      <c r="B15" s="29" t="n">
        <v>22.93</v>
      </c>
      <c r="C15" s="21" t="n">
        <v>4.38</v>
      </c>
      <c r="D15" s="13" t="inlineStr">
        <is>
          <t>1734 – 2018</t>
        </is>
      </c>
      <c r="E15" s="13" t="n">
        <v>284</v>
      </c>
      <c r="F15" s="13" t="n">
        <v>31.74</v>
      </c>
      <c r="G15" s="20" t="n">
        <v>0.5238</v>
      </c>
      <c r="H15" s="21" t="n">
        <v>69.45999999999999</v>
      </c>
      <c r="I15" s="21" t="n">
        <v>34.63</v>
      </c>
    </row>
    <row r="16">
      <c r="A16" s="14" t="inlineStr">
        <is>
          <t>► 76</t>
        </is>
      </c>
      <c r="B16" s="30" t="n">
        <v>19.62</v>
      </c>
      <c r="C16" s="31" t="n">
        <v>3.75</v>
      </c>
      <c r="D16" s="15" t="inlineStr">
        <is>
          <t>1647 – 1838</t>
        </is>
      </c>
      <c r="E16" s="15" t="n">
        <v>191</v>
      </c>
      <c r="F16" s="15" t="n">
        <v>26.25</v>
      </c>
      <c r="G16" s="32" t="n">
        <v>0.4925</v>
      </c>
      <c r="H16" s="31" t="n">
        <v>46.27</v>
      </c>
      <c r="I16" s="31" t="n">
        <v>54.14</v>
      </c>
    </row>
    <row r="17">
      <c r="A17" s="12" t="inlineStr">
        <is>
          <t>71</t>
        </is>
      </c>
      <c r="B17" s="29" t="n">
        <v>10.67</v>
      </c>
      <c r="C17" s="21" t="n">
        <v>2.04</v>
      </c>
      <c r="D17" s="13" t="inlineStr">
        <is>
          <t>1478 – 1609</t>
        </is>
      </c>
      <c r="E17" s="13" t="n">
        <v>131</v>
      </c>
      <c r="F17" s="13"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20" ht="84" customHeight="1">
      <c r="A20" s="9" t="inlineStr">
        <is>
          <t>LECTURA INTRAMICROCUENCA. El bloque 76 ocupa el puesto 7 de 8 por superficie dentro de la microcuenca C1076-Q9593 (3.75 % de las 523.87 ha preliminares de la microcuenca). Su pendiente promedio (26.25 %, clase «25-50% (Mod. escarpado)») es la 3.ª más baja de 8 y se sitúa por debajo del promedio de la microcuenca (28.06 %). Su MSAVI 2024 (0.4925) es el 7.º de 8 y queda por debajo del promedio local (0.5477). Amplitud altitudinal del bloque: 191 m (1647–1838 msnm). El cuadro conserva todos los bloques catalogados en la microcuenca, incluidos los descartados en el tamizaje, para referencia del conjunto. Los bloques sin ficha DT figuran con sus parámetros de gabinete. BRECHA ESPECTRAL. El 54.14 % de la superficie del bloque (10.619 ha de 19.615 ha) se sitúa bajo el umbral MSAVI 0.4976, por encima del promedio local de la microcuenca (31.88 %) calculado sobre los bloques con dato MSAVI disponible.</t>
        </is>
      </c>
      <c r="B20" s="41" t="n"/>
      <c r="C20" s="41" t="n"/>
      <c r="D20" s="41" t="n"/>
      <c r="E20" s="41" t="n"/>
      <c r="F20" s="41" t="n"/>
      <c r="G20" s="41" t="n"/>
      <c r="H20" s="41" t="n"/>
      <c r="I20" s="42"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1" t="n"/>
      <c r="I22" s="42" t="n"/>
    </row>
  </sheetData>
  <mergeCells count="9">
    <mergeCell ref="A2:I2"/>
    <mergeCell ref="A5:I5"/>
    <mergeCell ref="A1:I1"/>
    <mergeCell ref="A8:I8"/>
    <mergeCell ref="A3:I3"/>
    <mergeCell ref="A6:I6"/>
    <mergeCell ref="A22:I22"/>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76</t>
        </is>
      </c>
    </row>
    <row r="6">
      <c r="A6" s="52" t="inlineStr">
        <is>
          <t>Cruce de la ficha de campo F-DT vigente con la ficha de resumen de gabinete y el catálogo maestro. Integración 2026-09-11 21:26:30.</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«C1076-Q9593».</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(1743 msnm) cae dentro del rango altitudinal del bloque (1647 - 1838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(19.619 ha) se desvía -0.01 % de la superficie de catálogo (19.62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(19.615 ha) se desvía -0.03 % de la superficie de catálogo (19.62 ha).</t>
        </is>
      </c>
      <c r="D14" s="57" t="inlineStr">
        <is>
          <t>CONFORME</t>
        </is>
      </c>
      <c r="E14" s="57" t="inlineStr">
        <is>
          <t>Sin acción: la segmentación valida la geometría del bloque.</t>
        </is>
      </c>
    </row>
    <row r="15">
      <c r="A15" s="56" t="inlineStr">
        <is>
          <t>G-07</t>
        </is>
      </c>
      <c r="B15" s="56" t="inlineStr">
        <is>
          <t>Brecha espectral MSAVI</t>
        </is>
      </c>
      <c r="C15" s="56" t="inlineStr">
        <is>
          <t>El 54.14 % del bloque queda bajo el umbral 0.4976; superficie de brecha 10.62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19.62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(0.4925) cae en la clase «0.3813 - 0.4976 (Vigor bajo)» y la clase DN dominante por superficie es «DN 3 · 0.3813 - 0.4976 (Vigor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78.6 % de los campos esperados).</t>
        </is>
      </c>
      <c r="D19" s="56" t="inlineStr">
        <is>
          <t>CONFORME</t>
        </is>
      </c>
      <c r="E19" s="56" t="inlineStr">
        <is>
          <t>Sin acción.</t>
        </is>
      </c>
    </row>
    <row r="20">
      <c r="A20" s="57" t="inlineStr">
        <is>
          <t>F-02</t>
        </is>
      </c>
      <c r="B20" s="57" t="inlineStr">
        <is>
          <t>Cobertura de la integración</t>
        </is>
      </c>
      <c r="C20" s="57" t="inlineStr">
        <is>
          <t>Se declararon 89 de 114 hechos integrados (78.1 %); 25 quedan sin dato en ninguna fuente.</t>
        </is>
      </c>
      <c r="D20" s="57" t="inlineStr">
        <is>
          <t>CONFORME</t>
        </is>
      </c>
      <c r="E20" s="57" t="inlineStr">
        <is>
          <t>Sin acción.</t>
        </is>
      </c>
    </row>
    <row r="21">
      <c r="A21" s="56" t="inlineStr">
        <is>
          <t>H-01</t>
        </is>
      </c>
      <c r="B21" s="56" t="inlineStr">
        <is>
          <t>Dimensiones del inventario de cárcavas</t>
        </is>
      </c>
      <c r="C21" s="56" t="inlineStr">
        <is>
          <t>Se registran 2 rasgos erosivos, pero longitud, profundidad y ancho no fueron medidos instrumentalmente</t>
        </is>
      </c>
      <c r="D21" s="56" t="inlineStr">
        <is>
          <t>NO SUSTANTIVA</t>
        </is>
      </c>
      <c r="E21" s="56" t="inlineStr">
        <is>
          <t>El conteo registrado no debe usarse para calcular densidad de cárcavas por hectárea. Pendiente de levantamiento con GPS submétrico. (Verificación heredada de la ficha de resumen V6.)</t>
        </is>
      </c>
    </row>
    <row r="22">
      <c r="A22" s="57" t="inlineStr">
        <is>
          <t>H-02</t>
        </is>
      </c>
      <c r="B22" s="57" t="inlineStr">
        <is>
          <t>Elenco florístico</t>
        </is>
      </c>
      <c r="C22" s="57" t="inlineStr">
        <is>
          <t>La ficha registra 11 taxones, por debajo del mínimo de 15 que exige el formato V5</t>
        </is>
      </c>
      <c r="D22" s="57" t="inlineStr">
        <is>
          <t>SUSTANTIVA</t>
        </is>
      </c>
      <c r="E22" s="57" t="inlineStr">
        <is>
          <t>Registro florístico preliminar, sin colecta ni determinación botánica formal. Debe cerrarse con colecta botánica en la siguiente campaña. (Verificación heredada de la ficha de resumen V6.)</t>
        </is>
      </c>
    </row>
    <row r="23">
      <c r="A23" s="56" t="inlineStr">
        <is>
          <t>H-03</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H-04</t>
        </is>
      </c>
      <c r="B24" s="57" t="inlineStr">
        <is>
          <t>Centro poblado asociado</t>
        </is>
      </c>
      <c r="C24" s="57" t="inlineStr">
        <is>
          <t>La ficha DT declara «Sahuate Hualanga · Hualanga»; el cruce INEI-Bloques V5 identifica 2 centro(s) poblado(s) en el bloque: HUALANGA, SAHUATE HUALANGA</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5">
      <c r="A25" s="56" t="inlineStr">
        <is>
          <t>H-05</t>
        </is>
      </c>
      <c r="B25" s="56" t="inlineStr">
        <is>
          <t>Ficha DT</t>
        </is>
      </c>
      <c r="C25" s="56" t="inlineStr">
        <is>
          <t>La ficha consigna microcuenca C1076-Q9584; el catálogo maestro asigna al bloque 76 la microcuenca C1076-Q9593</t>
        </is>
      </c>
      <c r="D25" s="56" t="inlineStr">
        <is>
          <t>SUSTANTIVA</t>
        </is>
      </c>
      <c r="E25" s="56" t="inlineStr">
        <is>
          <t>Valor por defecto de la plantilla; se conserva el del catálogo (Verificación heredada de la ficha de resumen V6.)</t>
        </is>
      </c>
    </row>
    <row r="26">
      <c r="A26" s="57" t="inlineStr">
        <is>
          <t>H-06</t>
        </is>
      </c>
      <c r="B26" s="57" t="inlineStr">
        <is>
          <t>Fichas F-DT-01 a F-DT-05</t>
        </is>
      </c>
      <c r="C26" s="57" t="inlineStr">
        <is>
          <t>NO DILIGENCIADAS EN CAMPO: prellenado de gabinete</t>
        </is>
      </c>
      <c r="D26" s="57" t="inlineStr">
        <is>
          <t>SUSTANTIVA</t>
        </is>
      </c>
      <c r="E26" s="57" t="inlineStr">
        <is>
          <t>Levantamiento de campo pendiente (Verificación heredada de la ficha de resumen V6.)</t>
        </is>
      </c>
    </row>
    <row r="27">
      <c r="A27" s="56" t="inlineStr">
        <is>
          <t>H-07</t>
        </is>
      </c>
      <c r="B27" s="56" t="inlineStr">
        <is>
          <t>F-DT-02</t>
        </is>
      </c>
      <c r="C27" s="56" t="inlineStr">
        <is>
          <t>Las 2 cárcavas inventariadas se ubican fuera del polígono y sus dimensiones no fueron medidas</t>
        </is>
      </c>
      <c r="D27" s="56" t="inlineStr">
        <is>
          <t>SUSTANTIVA</t>
        </is>
      </c>
      <c r="E27" s="56" t="inlineStr">
        <is>
          <t>Inventario interior pendiente (Verificación heredada de la ficha de resumen V6.)</t>
        </is>
      </c>
    </row>
    <row r="28">
      <c r="A28" s="57" t="inlineStr">
        <is>
          <t>H-08</t>
        </is>
      </c>
      <c r="B28" s="57" t="inlineStr">
        <is>
          <t>F-DT-03</t>
        </is>
      </c>
      <c r="C28" s="57" t="inlineStr">
        <is>
          <t>Lista florística de 11 taxones frente al mínimo de 15; coberturas, alturas y DAP sin medición</t>
        </is>
      </c>
      <c r="D28" s="57" t="inlineStr">
        <is>
          <t>SUSTANTIVA</t>
        </is>
      </c>
      <c r="E28" s="57" t="inlineStr">
        <is>
          <t>Colecta botánica y medición dasométrica pendientes (Verificación heredada de la ficha de resumen V6.)</t>
        </is>
      </c>
    </row>
    <row r="29">
      <c r="A29" s="56" t="inlineStr">
        <is>
          <t>H-09</t>
        </is>
      </c>
      <c r="B29" s="56" t="inlineStr">
        <is>
          <t>F-DT-04</t>
        </is>
      </c>
      <c r="C29" s="56" t="inlineStr">
        <is>
          <t>54.64% del bloque (10.717 ha) bajo umbral MSAVI 0.4976, pero la causalidad solo está acreditada en la franja perimetral</t>
        </is>
      </c>
      <c r="D29" s="56" t="inlineStr">
        <is>
          <t>SUSTANTIVA</t>
        </is>
      </c>
      <c r="E29" s="56" t="inlineStr">
        <is>
          <t>Requiere comparación multitemporal del MSAVI (Verificación heredada de la ficha de resumen V6.)</t>
        </is>
      </c>
    </row>
    <row r="31">
      <c r="A31" s="58" t="inlineStr">
        <is>
          <t>RESUMEN</t>
        </is>
      </c>
      <c r="B31" s="59" t="inlineStr">
        <is>
          <t>21 verificaciones</t>
        </is>
      </c>
      <c r="C31" s="59" t="inlineStr">
        <is>
          <t>SUSTANTIVA: 8 · NO SUSTANTIVA: 1 · CONFORME: 12</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76</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657922</t>
        </is>
      </c>
      <c r="D13" s="56" t="inlineStr">
        <is>
          <t>m</t>
        </is>
      </c>
    </row>
    <row r="14">
      <c r="A14" s="57" t="inlineStr">
        <is>
          <t>1. Identificación y localización</t>
        </is>
      </c>
      <c r="B14" s="57" t="inlineStr">
        <is>
          <t>UTM NORTE del punto de muestreo (m)</t>
        </is>
      </c>
      <c r="C14" s="57" t="inlineStr">
        <is>
          <t>9377477</t>
        </is>
      </c>
      <c r="D14" s="57" t="inlineStr">
        <is>
          <t>m</t>
        </is>
      </c>
    </row>
    <row r="15">
      <c r="A15" s="56" t="inlineStr">
        <is>
          <t>2. Parámetros físicos del terreno</t>
        </is>
      </c>
      <c r="B15" s="56" t="inlineStr">
        <is>
          <t>Altitud GPS del punto de muestreo (msnm)</t>
        </is>
      </c>
      <c r="C15" s="56" t="inlineStr">
        <is>
          <t>1743</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Ladera de montaña de exposición NO que desciende desde la divisoria de 1 838 msnm (SE) hasta 1 647 msnm (NO), tributaria de la quebrada Q9593. Mosaico de matorral seco espinoso con faique y agave, pastizal natural en fuerte estiaje, parcelas de maíz en secano sobre ladera, rodales dispersos de eucalipto y huertos familiares de plátano en el entorno de los caseríos Hualanga y Sahuate Hualanga. Trocha carrozable con taludes de corte frescos en el borde occidental y septentrional del bloque.</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Fuerte (cárcavas incipientes)</t>
        </is>
      </c>
      <c r="D20" s="57" t="inlineStr"/>
    </row>
    <row r="21">
      <c r="A21" s="56" t="inlineStr">
        <is>
          <t>4. Suelos y erosión (F-DT-02)</t>
        </is>
      </c>
      <c r="B21" s="56" t="inlineStr">
        <is>
          <t>Sellamiento / costra superficial</t>
        </is>
      </c>
      <c r="C21" s="56" t="inlineStr">
        <is>
          <t>Sí</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Sí</t>
        </is>
      </c>
      <c r="D23" s="56" t="inlineStr"/>
    </row>
    <row r="24">
      <c r="A24" s="57" t="inlineStr">
        <is>
          <t>4. Suelos y erosión (F-DT-02)</t>
        </is>
      </c>
      <c r="B24" s="57" t="inlineStr">
        <is>
          <t>Patrón de cárcavas</t>
        </is>
      </c>
      <c r="C24" s="57" t="inlineStr">
        <is>
          <t>Lineal</t>
        </is>
      </c>
      <c r="D24" s="57" t="inlineStr"/>
    </row>
    <row r="25">
      <c r="A25" s="56" t="inlineStr">
        <is>
          <t>4. Suelos y erosión (F-DT-02)</t>
        </is>
      </c>
      <c r="B25" s="56" t="inlineStr">
        <is>
          <t>Socavamiento de cauce</t>
        </is>
      </c>
      <c r="C25" s="56" t="inlineStr">
        <is>
          <t>Sí</t>
        </is>
      </c>
      <c r="D25" s="56" t="inlineStr"/>
    </row>
    <row r="26">
      <c r="A26" s="57" t="inlineStr">
        <is>
          <t>5. Ecosistema, cobertura y flora (F-DT-03)</t>
        </is>
      </c>
      <c r="B26" s="57" t="inlineStr">
        <is>
          <t>Presencia de epífitas</t>
        </is>
      </c>
      <c r="C26" s="57" t="inlineStr">
        <is>
          <t>No</t>
        </is>
      </c>
      <c r="D26" s="57" t="inlineStr"/>
    </row>
    <row r="27">
      <c r="A27" s="56" t="inlineStr">
        <is>
          <t>5. Ecosistema, cobertura y flora (F-DT-03)</t>
        </is>
      </c>
      <c r="B27" s="56" t="inlineStr">
        <is>
          <t>Fenología dominante</t>
        </is>
      </c>
      <c r="C27" s="56" t="inlineStr">
        <is>
          <t>Caducifolio (hojas caídas)</t>
        </is>
      </c>
      <c r="D27" s="56" t="inlineStr"/>
    </row>
    <row r="28">
      <c r="A28" s="57" t="inlineStr">
        <is>
          <t>5. Ecosistema, cobertura y flora (F-DT-03)</t>
        </is>
      </c>
      <c r="B28" s="57" t="inlineStr">
        <is>
          <t>Dimensiones de la parcela (m)</t>
        </is>
      </c>
      <c r="C28" s="57" t="inlineStr">
        <is>
          <t>No aplica</t>
        </is>
      </c>
      <c r="D28" s="57" t="inlineStr"/>
    </row>
    <row r="29">
      <c r="A29" s="56" t="inlineStr">
        <is>
          <t>5. Ecosistema, cobertura y flora (F-DT-03)</t>
        </is>
      </c>
      <c r="B29" s="56" t="inlineStr">
        <is>
          <t>Pendiente de la parcela (%)</t>
        </is>
      </c>
      <c r="C29" s="56" t="inlineStr">
        <is>
          <t>26.25</t>
        </is>
      </c>
      <c r="D29" s="56" t="inlineStr">
        <is>
          <t>%</t>
        </is>
      </c>
    </row>
    <row r="30">
      <c r="A30" s="57" t="inlineStr">
        <is>
          <t>5. Ecosistema, cobertura y flora (F-DT-03)</t>
        </is>
      </c>
      <c r="B30" s="57" t="inlineStr">
        <is>
          <t>Especies clave georreferenciadas</t>
        </is>
      </c>
      <c r="C30" s="57" t="inlineStr">
        <is>
          <t>5</t>
        </is>
      </c>
      <c r="D30" s="57" t="inlineStr"/>
    </row>
    <row r="31">
      <c r="A31" s="56" t="inlineStr">
        <is>
          <t>6. Degradación, causas y urgencia (F-DT-04)</t>
        </is>
      </c>
      <c r="B31" s="56" t="inlineStr">
        <is>
          <t>Causas directas de la degradación</t>
        </is>
      </c>
      <c r="C31" s="56" t="inlineStr">
        <is>
          <t>(1) Cambio de uso a agricultura: habilitación de parcelas de maíz en secano sobre ladera de 25-50 %, con desbroce reciente en el borde occidental — causa dominante. (2) Expansión vial: trocha carrozable Hualanga–Sahuate con cortes frescos, sin drenaje ni tratamiento de taludes ni de excedentes — causa codominante y de mayor urgencia temporal. (3) Sobrepastoreo caprino sobre suelo desnudo con terracillas de pisoteo. (4) Erosión concentrada asociada a (1) y (2): cárcava somera en vaguada sin obra de cruce y colapso de borde de parcela. (5) Extracción de leña y presencia de especies introducidas, ambas de intensidad ligera.</t>
        </is>
      </c>
      <c r="D31" s="56" t="inlineStr"/>
    </row>
    <row r="32">
      <c r="A32" s="57" t="inlineStr">
        <is>
          <t>6. Degradación, causas y urgencia (F-DT-04)</t>
        </is>
      </c>
      <c r="B32" s="57" t="inlineStr">
        <is>
          <t>N.° de causas activas en la matriz F-DT-04</t>
        </is>
      </c>
      <c r="C32" s="57" t="inlineStr">
        <is>
          <t>8</t>
        </is>
      </c>
      <c r="D32" s="57" t="inlineStr"/>
    </row>
    <row r="33">
      <c r="A33" s="56" t="inlineStr">
        <is>
          <t>7. Hidrología, acceso y logística (F-DT-05)</t>
        </is>
      </c>
      <c r="B33" s="56" t="inlineStr">
        <is>
          <t>Escorrentía concentrada</t>
        </is>
      </c>
      <c r="C33" s="56" t="inlineStr">
        <is>
          <t>Sí</t>
        </is>
      </c>
      <c r="D33" s="56" t="inlineStr"/>
    </row>
    <row r="34">
      <c r="A34" s="57" t="inlineStr">
        <is>
          <t>7. Hidrología, acceso y logística (F-DT-05)</t>
        </is>
      </c>
      <c r="B34" s="57" t="inlineStr">
        <is>
          <t>Fuentes de agua inventariadas</t>
        </is>
      </c>
      <c r="C34" s="57" t="inlineStr">
        <is>
          <t>1</t>
        </is>
      </c>
      <c r="D34" s="57" t="inlineStr"/>
    </row>
    <row r="35">
      <c r="A35" s="56" t="inlineStr">
        <is>
          <t>7. Hidrología, acceso y logística (F-DT-05)</t>
        </is>
      </c>
      <c r="B35" s="56" t="inlineStr">
        <is>
          <t>Vía principal de acceso</t>
        </is>
      </c>
      <c r="C35" s="56" t="inlineStr">
        <is>
          <t>Trocha carrozable Hualanga – Sahuate Hualanga (sin código MTC verificado)</t>
        </is>
      </c>
      <c r="D35" s="56" t="inlineStr"/>
    </row>
    <row r="36">
      <c r="A36" s="57" t="inlineStr">
        <is>
          <t>7. Hidrología, acceso y logística (F-DT-05)</t>
        </is>
      </c>
      <c r="B36" s="57" t="inlineStr">
        <is>
          <t>Tipo de vía del tramo final</t>
        </is>
      </c>
      <c r="C36" s="57" t="inlineStr">
        <is>
          <t>Trocha carrozable</t>
        </is>
      </c>
      <c r="D36" s="57" t="inlineStr"/>
    </row>
    <row r="37">
      <c r="A37" s="56" t="inlineStr">
        <is>
          <t>7. Hidrología, acceso y logística (F-DT-05)</t>
        </is>
      </c>
      <c r="B37" s="56" t="inlineStr">
        <is>
          <t>Transitabilidad en época seca</t>
        </is>
      </c>
      <c r="C37" s="56" t="inlineStr">
        <is>
          <t>Medio</t>
        </is>
      </c>
      <c r="D37" s="56" t="inlineStr"/>
    </row>
    <row r="38">
      <c r="A38" s="57" t="inlineStr">
        <is>
          <t>7. Hidrología, acceso y logística (F-DT-05)</t>
        </is>
      </c>
      <c r="B38" s="57" t="inlineStr">
        <is>
          <t>Transitabilidad en época lluviosa</t>
        </is>
      </c>
      <c r="C38" s="57" t="inlineStr">
        <is>
          <t>Bajo</t>
        </is>
      </c>
      <c r="D38" s="57" t="inlineStr"/>
    </row>
    <row r="40">
      <c r="A40" s="54" t="inlineStr">
        <is>
          <t>C. PROCEDENCIA DE LOS HECHOS DECLARADOS</t>
        </is>
      </c>
    </row>
    <row r="41">
      <c r="A41" s="55" t="inlineStr">
        <is>
          <t>Fuente</t>
        </is>
      </c>
      <c r="B41" s="55" t="inlineStr">
        <is>
          <t>Hechos</t>
        </is>
      </c>
      <c r="C41" s="55" t="inlineStr">
        <is>
          <t>Alcance de la fuente</t>
        </is>
      </c>
    </row>
    <row r="42">
      <c r="A42" s="56" t="inlineStr">
        <is>
          <t>Dato de campo</t>
        </is>
      </c>
      <c r="B42" s="56" t="n">
        <v>52</v>
      </c>
      <c r="C42" s="56" t="inlineStr">
        <is>
          <t>Verificación en campo. Fichas F-DT-01 a F-DT-05 de la Plantilla DT Campo Check Validada V5, suscritas por el evaluador.</t>
        </is>
      </c>
    </row>
    <row r="43">
      <c r="A43" s="57" t="inlineStr">
        <is>
          <t>Gabinete (GIS / teledetección)</t>
        </is>
      </c>
      <c r="B43" s="57" t="n">
        <v>23</v>
      </c>
      <c r="C43" s="57" t="inlineStr">
        <is>
          <t>Gabinete. Estadística zonal sobre el MDE y compuestos Sentinel-2 (NDVI mediana 2025, MSAVI 2024 por clase DN).</t>
        </is>
      </c>
    </row>
    <row r="44">
      <c r="A44" s="56" t="inlineStr">
        <is>
          <t>Fuente oficial</t>
        </is>
      </c>
      <c r="B44" s="56" t="n">
        <v>14</v>
      </c>
      <c r="C44" s="56" t="inlineStr">
        <is>
          <t>Fuente oficial. Catálogo maestro Bloques V5/V6, división política INEI y codificación de microcuencas de la ANA.</t>
        </is>
      </c>
    </row>
    <row r="46">
      <c r="A46" s="54" t="inlineStr">
        <is>
          <t>D. ESTADO DEL CRUCE ENTRE FUENTES</t>
        </is>
      </c>
    </row>
    <row r="47">
      <c r="A47" s="55" t="inlineStr">
        <is>
          <t>Estado</t>
        </is>
      </c>
      <c r="B47" s="55" t="inlineStr">
        <is>
          <t>Hechos</t>
        </is>
      </c>
      <c r="C47" s="55" t="inlineStr">
        <is>
          <t>Significado</t>
        </is>
      </c>
    </row>
    <row r="48">
      <c r="A48" s="56" t="inlineStr">
        <is>
          <t>CONFORME</t>
        </is>
      </c>
      <c r="B48" s="56" t="n">
        <v>87</v>
      </c>
      <c r="C48" s="56" t="inlineStr">
        <is>
          <t>Las dos fuentes declaran lo mismo, o solo la fuente que manda sobre el hecho lo declara.</t>
        </is>
      </c>
    </row>
    <row r="49">
      <c r="A49" s="57" t="inlineStr">
        <is>
          <t>COMPLEMENTADO</t>
        </is>
      </c>
      <c r="B49" s="57" t="n">
        <v>2</v>
      </c>
      <c r="C49" s="57" t="inlineStr">
        <is>
          <t>Solo una de las fuentes lo declara y se adopta ese valor.</t>
        </is>
      </c>
    </row>
    <row r="50">
      <c r="A50" s="56" t="inlineStr">
        <is>
          <t>ACTUALIZADO</t>
        </is>
      </c>
      <c r="B50" s="56" t="n">
        <v>0</v>
      </c>
      <c r="C50" s="56" t="inlineStr">
        <is>
          <t>La verificación de campo vigente corrige lo que traía el libro de resumen.</t>
        </is>
      </c>
    </row>
    <row r="51">
      <c r="A51" s="57" t="inlineStr">
        <is>
          <t>DISCREPANTE</t>
        </is>
      </c>
      <c r="B51" s="57" t="n">
        <v>0</v>
      </c>
      <c r="C51" s="57" t="inlineStr">
        <is>
          <t>Las fuentes se contradicen; prevalece la que manda sobre el hecho y la otra queda declarada.</t>
        </is>
      </c>
    </row>
    <row r="52">
      <c r="A52" s="56" t="inlineStr">
        <is>
          <t>PENDIENTE</t>
        </is>
      </c>
      <c r="B52" s="56" t="n">
        <v>25</v>
      </c>
      <c r="C52"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76</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somera (0.5-2 m)</t>
        </is>
      </c>
      <c r="C9" s="61" t="n">
        <v>657703</v>
      </c>
      <c r="D9" s="61" t="n">
        <v>9377569</v>
      </c>
      <c r="E9" s="56" t="n"/>
      <c r="F9" s="56" t="n"/>
      <c r="G9" s="56" t="n"/>
      <c r="H9" s="56" t="inlineStr">
        <is>
          <t>Activa</t>
        </is>
      </c>
      <c r="I9" s="56" t="inlineStr">
        <is>
          <t>Concentración natural de escorrentía</t>
        </is>
      </c>
    </row>
    <row r="10">
      <c r="A10" s="57" t="inlineStr">
        <is>
          <t>C-02</t>
        </is>
      </c>
      <c r="B10" s="57" t="inlineStr">
        <is>
          <t>Cárcava incipiente (30-50 cm)</t>
        </is>
      </c>
      <c r="C10" s="62" t="n">
        <v>657554</v>
      </c>
      <c r="D10" s="62" t="n">
        <v>9377128</v>
      </c>
      <c r="E10" s="57" t="n"/>
      <c r="F10" s="57" t="n"/>
      <c r="G10" s="57" t="n"/>
      <c r="H10" s="57" t="inlineStr">
        <is>
          <t>Activa</t>
        </is>
      </c>
      <c r="I10" s="57" t="inlineStr">
        <is>
          <t>Cambio de uso del suelo</t>
        </is>
      </c>
    </row>
    <row r="12">
      <c r="A12" s="54" t="inlineStr">
        <is>
          <t>F-DT-03 · ELENCO FLORÍSTICO</t>
        </is>
      </c>
    </row>
    <row r="13">
      <c r="A13" s="55" t="inlineStr">
        <is>
          <t>N.o</t>
        </is>
      </c>
      <c r="B13" s="55" t="inlineStr">
        <is>
          <t>Nombre común</t>
        </is>
      </c>
      <c r="C13" s="55" t="inlineStr">
        <is>
          <t>Nombre científico</t>
        </is>
      </c>
      <c r="D13" s="55" t="inlineStr">
        <is>
          <t>Familia</t>
        </is>
      </c>
      <c r="E13" s="55" t="inlineStr">
        <is>
          <t>Estrato</t>
        </is>
      </c>
      <c r="F13" s="55" t="inlineStr">
        <is>
          <t>Origen</t>
        </is>
      </c>
      <c r="G13" s="55" t="inlineStr">
        <is>
          <t>Abundancia</t>
        </is>
      </c>
      <c r="H13" s="55" t="inlineStr">
        <is>
          <t>DAP (cm)</t>
        </is>
      </c>
      <c r="I13" s="55" t="inlineStr">
        <is>
          <t>Altura (m)</t>
        </is>
      </c>
    </row>
    <row r="14">
      <c r="A14" s="56" t="inlineStr">
        <is>
          <t>1</t>
        </is>
      </c>
      <c r="B14" s="56" t="inlineStr">
        <is>
          <t>Faique / algarrobo espinoso</t>
        </is>
      </c>
      <c r="C14" s="56" t="inlineStr">
        <is>
          <t>Vachellia macracantha</t>
        </is>
      </c>
      <c r="D14" s="56" t="inlineStr">
        <is>
          <t>Fabaceae</t>
        </is>
      </c>
      <c r="E14" s="56" t="inlineStr">
        <is>
          <t>Arbóreo bajo (4-8 m)</t>
        </is>
      </c>
      <c r="F14" s="56" t="inlineStr">
        <is>
          <t>Nativa</t>
        </is>
      </c>
      <c r="G14" s="56" t="inlineStr">
        <is>
          <t>Frecuente (5-20%)</t>
        </is>
      </c>
      <c r="H14" s="56" t="n"/>
      <c r="I14" s="56" t="n"/>
    </row>
    <row r="15">
      <c r="A15" s="57" t="inlineStr">
        <is>
          <t>2</t>
        </is>
      </c>
      <c r="B15" s="57" t="inlineStr">
        <is>
          <t>Chilca</t>
        </is>
      </c>
      <c r="C15" s="57" t="inlineStr">
        <is>
          <t>Baccharis spp.</t>
        </is>
      </c>
      <c r="D15" s="57" t="inlineStr">
        <is>
          <t>Asteraceae</t>
        </is>
      </c>
      <c r="E15" s="57" t="inlineStr">
        <is>
          <t>Arbustivo alto (1.5-4 m)</t>
        </is>
      </c>
      <c r="F15" s="57" t="inlineStr">
        <is>
          <t>Nativa</t>
        </is>
      </c>
      <c r="G15" s="57" t="inlineStr">
        <is>
          <t>Frecuente (5-20%)</t>
        </is>
      </c>
      <c r="H15" s="57" t="n"/>
      <c r="I15" s="57" t="n"/>
    </row>
    <row r="16">
      <c r="A16" s="56" t="inlineStr">
        <is>
          <t>3</t>
        </is>
      </c>
      <c r="B16" s="56" t="inlineStr">
        <is>
          <t>Agave / penca</t>
        </is>
      </c>
      <c r="C16" s="56" t="inlineStr">
        <is>
          <t>Agave americana</t>
        </is>
      </c>
      <c r="D16" s="56" t="inlineStr">
        <is>
          <t>Asparagaceae</t>
        </is>
      </c>
      <c r="E16" s="56" t="inlineStr">
        <is>
          <t>Arbustivo alto (1.5-4 m)</t>
        </is>
      </c>
      <c r="F16" s="56" t="inlineStr">
        <is>
          <t>Introducida</t>
        </is>
      </c>
      <c r="G16" s="56" t="inlineStr">
        <is>
          <t>Ocasional (1-5%)</t>
        </is>
      </c>
      <c r="H16" s="56" t="n"/>
      <c r="I16" s="56" t="n"/>
    </row>
    <row r="17">
      <c r="A17" s="57" t="inlineStr">
        <is>
          <t>4</t>
        </is>
      </c>
      <c r="B17" s="57" t="inlineStr">
        <is>
          <t>Eucalipto</t>
        </is>
      </c>
      <c r="C17" s="57" t="inlineStr">
        <is>
          <t>Eucalyptus globulus</t>
        </is>
      </c>
      <c r="D17" s="57" t="inlineStr">
        <is>
          <t>Myrtaceae</t>
        </is>
      </c>
      <c r="E17" s="57" t="inlineStr">
        <is>
          <t>Arbóreo superior (&gt;15 m)</t>
        </is>
      </c>
      <c r="F17" s="57" t="inlineStr">
        <is>
          <t>Introducida</t>
        </is>
      </c>
      <c r="G17" s="57" t="inlineStr">
        <is>
          <t>Ocasional (1-5%)</t>
        </is>
      </c>
      <c r="H17" s="57" t="n"/>
      <c r="I17" s="57" t="n"/>
    </row>
    <row r="18">
      <c r="A18" s="56" t="inlineStr">
        <is>
          <t>5</t>
        </is>
      </c>
      <c r="B18" s="56" t="inlineStr">
        <is>
          <t>Ciprés (por determinar)</t>
        </is>
      </c>
      <c r="C18" s="56" t="inlineStr">
        <is>
          <t>Cupressus sp.</t>
        </is>
      </c>
      <c r="D18" s="56" t="inlineStr">
        <is>
          <t>Cupressaceae</t>
        </is>
      </c>
      <c r="E18" s="56" t="inlineStr">
        <is>
          <t>Arbóreo medio (8-15 m)</t>
        </is>
      </c>
      <c r="F18" s="56" t="inlineStr">
        <is>
          <t>Introducida</t>
        </is>
      </c>
      <c r="G18" s="56" t="inlineStr">
        <is>
          <t>Rara (&lt;1%)</t>
        </is>
      </c>
      <c r="H18" s="56" t="n"/>
      <c r="I18" s="56" t="n"/>
    </row>
    <row r="19">
      <c r="A19" s="57" t="inlineStr">
        <is>
          <t>6</t>
        </is>
      </c>
      <c r="B19" s="57" t="inlineStr">
        <is>
          <t>Gramíneas / pastos naturales</t>
        </is>
      </c>
      <c r="C19" s="57" t="inlineStr">
        <is>
          <t>Poaceae por determinar</t>
        </is>
      </c>
      <c r="D19" s="57" t="inlineStr">
        <is>
          <t>Poaceae</t>
        </is>
      </c>
      <c r="E19" s="57" t="inlineStr">
        <is>
          <t>Herbáceo (&lt;0.5 m)</t>
        </is>
      </c>
      <c r="F19" s="57" t="inlineStr">
        <is>
          <t>Nativa</t>
        </is>
      </c>
      <c r="G19" s="57" t="inlineStr">
        <is>
          <t>Abundante (20-40%)</t>
        </is>
      </c>
      <c r="H19" s="57" t="n"/>
      <c r="I19" s="57" t="n"/>
    </row>
    <row r="20">
      <c r="A20" s="56" t="inlineStr">
        <is>
          <t>7</t>
        </is>
      </c>
      <c r="B20" s="56" t="inlineStr">
        <is>
          <t>Arbusto de flor blanca</t>
        </is>
      </c>
      <c r="C20" s="56" t="inlineStr">
        <is>
          <t>Asteraceae por determinar</t>
        </is>
      </c>
      <c r="D20" s="56" t="inlineStr">
        <is>
          <t>Asteraceae</t>
        </is>
      </c>
      <c r="E20" s="56" t="inlineStr">
        <is>
          <t>Arbustivo alto (1.5-4 m)</t>
        </is>
      </c>
      <c r="F20" s="56" t="inlineStr">
        <is>
          <t>Nativa</t>
        </is>
      </c>
      <c r="G20" s="56" t="inlineStr">
        <is>
          <t>Frecuente (5-20%)</t>
        </is>
      </c>
      <c r="H20" s="56" t="n"/>
      <c r="I20" s="56" t="n"/>
    </row>
    <row r="21">
      <c r="A21" s="57" t="inlineStr">
        <is>
          <t>8</t>
        </is>
      </c>
      <c r="B21" s="57" t="inlineStr">
        <is>
          <t>Arbusto perennifolio de hoja ancha (por determinar)</t>
        </is>
      </c>
      <c r="C21" s="57" t="inlineStr">
        <is>
          <t>Por determinar</t>
        </is>
      </c>
      <c r="D21" s="57" t="inlineStr">
        <is>
          <t>Por determinar</t>
        </is>
      </c>
      <c r="E21" s="57" t="inlineStr">
        <is>
          <t>Arbustivo alto (1.5-4 m)</t>
        </is>
      </c>
      <c r="F21" s="57" t="inlineStr">
        <is>
          <t>Nativa</t>
        </is>
      </c>
      <c r="G21" s="57" t="inlineStr">
        <is>
          <t>Frecuente (5-20%)</t>
        </is>
      </c>
      <c r="H21" s="57" t="n"/>
      <c r="I21" s="57" t="n"/>
    </row>
    <row r="22">
      <c r="A22" s="56" t="inlineStr">
        <is>
          <t>9</t>
        </is>
      </c>
      <c r="B22" s="56" t="inlineStr">
        <is>
          <t>Maíz (cultivo)</t>
        </is>
      </c>
      <c r="C22" s="56" t="inlineStr">
        <is>
          <t>Zea mays</t>
        </is>
      </c>
      <c r="D22" s="56" t="inlineStr">
        <is>
          <t>Poaceae</t>
        </is>
      </c>
      <c r="E22" s="56" t="inlineStr">
        <is>
          <t>Herbáceo (&lt;0.5 m)</t>
        </is>
      </c>
      <c r="F22" s="56" t="inlineStr">
        <is>
          <t>Introducida</t>
        </is>
      </c>
      <c r="G22" s="56" t="inlineStr">
        <is>
          <t>Frecuente (5-20%)</t>
        </is>
      </c>
      <c r="H22" s="56" t="n"/>
      <c r="I22" s="56" t="n"/>
    </row>
    <row r="23">
      <c r="A23" s="57" t="inlineStr">
        <is>
          <t>10</t>
        </is>
      </c>
      <c r="B23" s="57" t="inlineStr">
        <is>
          <t>Plátano (cultivo)</t>
        </is>
      </c>
      <c r="C23" s="57" t="inlineStr">
        <is>
          <t>Musa × paradisiaca</t>
        </is>
      </c>
      <c r="D23" s="57" t="inlineStr">
        <is>
          <t>Musaceae</t>
        </is>
      </c>
      <c r="E23" s="57" t="inlineStr">
        <is>
          <t>Arbóreo bajo (4-8 m)</t>
        </is>
      </c>
      <c r="F23" s="57" t="inlineStr">
        <is>
          <t>Introducida</t>
        </is>
      </c>
      <c r="G23" s="57" t="inlineStr">
        <is>
          <t>Ocasional (1-5%)</t>
        </is>
      </c>
      <c r="H23" s="57" t="n"/>
      <c r="I23" s="57" t="n"/>
    </row>
    <row r="24">
      <c r="A24" s="56" t="inlineStr">
        <is>
          <t>11</t>
        </is>
      </c>
      <c r="B24" s="56" t="inlineStr">
        <is>
          <t>Pastos cultivados</t>
        </is>
      </c>
      <c r="C24" s="56" t="inlineStr">
        <is>
          <t>Por determinar</t>
        </is>
      </c>
      <c r="D24" s="56" t="inlineStr">
        <is>
          <t>Poaceae</t>
        </is>
      </c>
      <c r="E24" s="56" t="inlineStr">
        <is>
          <t>Herbáceo (&lt;0.5 m)</t>
        </is>
      </c>
      <c r="F24" s="56" t="inlineStr">
        <is>
          <t>Introducida</t>
        </is>
      </c>
      <c r="G24" s="56" t="inlineStr">
        <is>
          <t>Ocasional (1-5%)</t>
        </is>
      </c>
      <c r="H24" s="56" t="n"/>
      <c r="I24" s="56" t="n"/>
    </row>
    <row r="26">
      <c r="A26" s="54" t="inlineStr">
        <is>
          <t>F-DT-03 · ESPECIES CLAVE GEORREFERENCIADAS</t>
        </is>
      </c>
    </row>
    <row r="27">
      <c r="A27" s="55" t="inlineStr">
        <is>
          <t>N.o</t>
        </is>
      </c>
      <c r="B27" s="55" t="inlineStr">
        <is>
          <t>Especie</t>
        </is>
      </c>
      <c r="C27" s="55" t="inlineStr">
        <is>
          <t>Categoría</t>
        </is>
      </c>
      <c r="D27" s="55" t="inlineStr">
        <is>
          <t>Estado UICN</t>
        </is>
      </c>
      <c r="E27" s="55" t="inlineStr">
        <is>
          <t>UTM ESTE</t>
        </is>
      </c>
      <c r="F27" s="55" t="inlineStr">
        <is>
          <t>UTM NORTE</t>
        </is>
      </c>
      <c r="G27" s="55" t="inlineStr">
        <is>
          <t>N.° individuos</t>
        </is>
      </c>
      <c r="H27" s="55" t="inlineStr">
        <is>
          <t>Observación</t>
        </is>
      </c>
    </row>
    <row r="28">
      <c r="A28" s="56" t="inlineStr">
        <is>
          <t>1</t>
        </is>
      </c>
      <c r="B28" s="56" t="inlineStr">
        <is>
          <t>Vachellia macracantha (faique)</t>
        </is>
      </c>
      <c r="C28" s="56" t="inlineStr">
        <is>
          <t>Indicadora de perturbación</t>
        </is>
      </c>
      <c r="D28" s="56" t="inlineStr">
        <is>
          <t>No aplica</t>
        </is>
      </c>
      <c r="E28" s="61" t="n">
        <v>657554</v>
      </c>
      <c r="F28" s="61" t="n">
        <v>9377128</v>
      </c>
      <c r="G28" s="56" t="n"/>
      <c r="H28" s="56" t="inlineStr">
        <is>
          <t>Dominante del estrato arbóreo en laderas de fuerte insolación; confirma la adscripción a bosque estacionalmente seco y el déficit hídrico edáfico</t>
        </is>
      </c>
    </row>
    <row r="29">
      <c r="A29" s="57" t="inlineStr">
        <is>
          <t>2</t>
        </is>
      </c>
      <c r="B29" s="57" t="inlineStr">
        <is>
          <t>Baccharis spp. (chilca)</t>
        </is>
      </c>
      <c r="C29" s="57" t="inlineStr">
        <is>
          <t>Indicadora de perturbación</t>
        </is>
      </c>
      <c r="D29" s="57" t="inlineStr">
        <is>
          <t>No aplica</t>
        </is>
      </c>
      <c r="E29" s="62" t="n">
        <v>657551</v>
      </c>
      <c r="F29" s="62" t="n">
        <v>9377519</v>
      </c>
      <c r="G29" s="57" t="n"/>
      <c r="H29" s="57" t="inlineStr">
        <is>
          <t>Colonizadora de taludes y bordes alterados; señal de recolonización espontánea de superficies removidas</t>
        </is>
      </c>
    </row>
    <row r="30">
      <c r="A30" s="56" t="inlineStr">
        <is>
          <t>3</t>
        </is>
      </c>
      <c r="B30" s="56" t="inlineStr">
        <is>
          <t>Agave americana (agave / penca)</t>
        </is>
      </c>
      <c r="C30" s="56" t="inlineStr">
        <is>
          <t>Indicadora de perturbación</t>
        </is>
      </c>
      <c r="D30" s="56" t="inlineStr">
        <is>
          <t>No aplica</t>
        </is>
      </c>
      <c r="E30" s="61" t="n">
        <v>657727</v>
      </c>
      <c r="F30" s="61" t="n">
        <v>9377637</v>
      </c>
      <c r="G30" s="56" t="n"/>
      <c r="H30" s="56" t="inlineStr">
        <is>
          <t>Asociada a linderos y suelos someros degradados; uso local como cerco vivo</t>
        </is>
      </c>
    </row>
    <row r="31">
      <c r="A31" s="57" t="inlineStr">
        <is>
          <t>4</t>
        </is>
      </c>
      <c r="B31" s="57" t="inlineStr">
        <is>
          <t>Eucalyptus globulus (eucalipto)</t>
        </is>
      </c>
      <c r="C31" s="57" t="inlineStr">
        <is>
          <t>Indicadora de perturbación</t>
        </is>
      </c>
      <c r="D31" s="57" t="inlineStr">
        <is>
          <t>No aplica</t>
        </is>
      </c>
      <c r="E31" s="62" t="n">
        <v>657704</v>
      </c>
      <c r="F31" s="62" t="n">
        <v>9377627</v>
      </c>
      <c r="G31" s="57" t="n"/>
      <c r="H31" s="57" t="inlineStr">
        <is>
          <t>Plantones en línea sobre el borde de la trocha; especie introducida de alta demanda hídrica</t>
        </is>
      </c>
    </row>
    <row r="32">
      <c r="A32" s="56" t="inlineStr">
        <is>
          <t>5</t>
        </is>
      </c>
      <c r="B32" s="56" t="inlineStr">
        <is>
          <t>Poaceae (pastizal natural en estiaje)</t>
        </is>
      </c>
      <c r="C32" s="56" t="inlineStr">
        <is>
          <t>Indicadora de perturbación</t>
        </is>
      </c>
      <c r="D32" s="56" t="inlineStr">
        <is>
          <t>No aplica</t>
        </is>
      </c>
      <c r="E32" s="61" t="n">
        <v>657554</v>
      </c>
      <c r="F32" s="61" t="n">
        <v>9377128</v>
      </c>
      <c r="G32" s="56" t="n"/>
      <c r="H32" s="56" t="inlineStr">
        <is>
          <t>Cobertura herbácea seca con terracillas de pisoteo caprino; sustenta la calificación de sobrepastoreo</t>
        </is>
      </c>
    </row>
    <row r="34">
      <c r="A34" s="54" t="inlineStr">
        <is>
          <t>F-DT-04 · MATRIZ DE CAUSAS DE DEGRADACIÓN</t>
        </is>
      </c>
    </row>
    <row r="35">
      <c r="A35" s="55" t="inlineStr">
        <is>
          <t>N.o</t>
        </is>
      </c>
      <c r="B35" s="55" t="inlineStr">
        <is>
          <t>Causa</t>
        </is>
      </c>
      <c r="C35" s="55" t="inlineStr">
        <is>
          <t>Presencia</t>
        </is>
      </c>
      <c r="D35" s="55" t="inlineStr">
        <is>
          <t>Intensidad</t>
        </is>
      </c>
      <c r="E35" s="55" t="inlineStr">
        <is>
          <t>Extensión</t>
        </is>
      </c>
      <c r="F35" s="55" t="inlineStr">
        <is>
          <t>Antigüedad</t>
        </is>
      </c>
      <c r="G35" s="55" t="inlineStr">
        <is>
          <t>Evidencia</t>
        </is>
      </c>
    </row>
    <row r="36">
      <c r="A36" s="56" t="inlineStr">
        <is>
          <t>1</t>
        </is>
      </c>
      <c r="B36" s="56" t="inlineStr">
        <is>
          <t>Sobrepastoreo (caprino/vacuno)</t>
        </is>
      </c>
      <c r="C36" s="56" t="inlineStr">
        <is>
          <t>Sí</t>
        </is>
      </c>
      <c r="D36" s="56" t="inlineStr">
        <is>
          <t>Moderada</t>
        </is>
      </c>
      <c r="E36" s="56" t="inlineStr">
        <is>
          <t>Por determinar</t>
        </is>
      </c>
      <c r="F36" s="56" t="inlineStr">
        <is>
          <t>Por determinar</t>
        </is>
      </c>
      <c r="G36" s="56" t="inlineStr">
        <is>
          <t>Ganado caprino en pastoreo libre sobre ladera con suelo desnudo y terracillas de pisoteo (E-04); pastizal natural ramoneado en estiaje. Carga no cuantificada</t>
        </is>
      </c>
    </row>
    <row r="37">
      <c r="A37" s="57" t="inlineStr">
        <is>
          <t>2</t>
        </is>
      </c>
      <c r="B37" s="57" t="inlineStr">
        <is>
          <t>Tala para leña</t>
        </is>
      </c>
      <c r="C37" s="57" t="inlineStr">
        <is>
          <t>Sí</t>
        </is>
      </c>
      <c r="D37" s="57" t="inlineStr">
        <is>
          <t>Ligera</t>
        </is>
      </c>
      <c r="E37" s="57" t="inlineStr">
        <is>
          <t>Por determinar</t>
        </is>
      </c>
      <c r="F37" s="57" t="inlineStr">
        <is>
          <t>Por determinar</t>
        </is>
      </c>
      <c r="G37" s="57" t="inlineStr">
        <is>
          <t>Extracción selectiva de leña en el matorral seco perimetral; sin cuantificación</t>
        </is>
      </c>
    </row>
    <row r="38">
      <c r="A38" s="56" t="inlineStr">
        <is>
          <t>3</t>
        </is>
      </c>
      <c r="B38" s="56" t="inlineStr">
        <is>
          <t>Tala para carbón</t>
        </is>
      </c>
      <c r="C38" s="56" t="inlineStr"/>
      <c r="D38" s="56" t="inlineStr"/>
      <c r="E38" s="56" t="inlineStr"/>
      <c r="F38" s="56" t="inlineStr"/>
      <c r="G38" s="56" t="inlineStr"/>
    </row>
    <row r="39">
      <c r="A39" s="57" t="inlineStr">
        <is>
          <t>4</t>
        </is>
      </c>
      <c r="B39" s="57" t="inlineStr">
        <is>
          <t>Tala para madera</t>
        </is>
      </c>
      <c r="C39" s="57" t="inlineStr">
        <is>
          <t>No</t>
        </is>
      </c>
      <c r="D39" s="57" t="inlineStr">
        <is>
          <t>Nula</t>
        </is>
      </c>
      <c r="E39" s="57" t="inlineStr"/>
      <c r="F39" s="57" t="inlineStr"/>
      <c r="G39" s="57" t="inlineStr">
        <is>
          <t>No observada</t>
        </is>
      </c>
    </row>
    <row r="40">
      <c r="A40" s="56" t="inlineStr">
        <is>
          <t>5</t>
        </is>
      </c>
      <c r="B40" s="56" t="inlineStr">
        <is>
          <t>Quema (renovación de pastos)</t>
        </is>
      </c>
      <c r="C40" s="56" t="inlineStr">
        <is>
          <t>No</t>
        </is>
      </c>
      <c r="D40" s="56" t="inlineStr">
        <is>
          <t>Nula</t>
        </is>
      </c>
      <c r="E40" s="56" t="inlineStr"/>
      <c r="F40" s="56" t="inlineStr"/>
      <c r="G40" s="56" t="inlineStr">
        <is>
          <t>No se observaron áreas quemadas recientes ni cicatrices de fuego en las estaciones registradas</t>
        </is>
      </c>
    </row>
    <row r="41">
      <c r="A41" s="57" t="inlineStr">
        <is>
          <t>6</t>
        </is>
      </c>
      <c r="B41" s="57" t="inlineStr">
        <is>
          <t>Quema accidental / Incendio</t>
        </is>
      </c>
      <c r="C41" s="57" t="inlineStr"/>
      <c r="D41" s="57" t="inlineStr"/>
      <c r="E41" s="57" t="inlineStr"/>
      <c r="F41" s="57" t="inlineStr"/>
      <c r="G41" s="57" t="inlineStr"/>
    </row>
    <row r="42">
      <c r="A42" s="56" t="inlineStr">
        <is>
          <t>7</t>
        </is>
      </c>
      <c r="B42" s="56" t="inlineStr">
        <is>
          <t>Cambio de uso a agricultura</t>
        </is>
      </c>
      <c r="C42" s="56" t="inlineStr">
        <is>
          <t>Sí</t>
        </is>
      </c>
      <c r="D42" s="56" t="inlineStr">
        <is>
          <t>Fuerte</t>
        </is>
      </c>
      <c r="E42" s="56" t="inlineStr">
        <is>
          <t>Por determinar</t>
        </is>
      </c>
      <c r="F42" s="56" t="inlineStr">
        <is>
          <t>&lt; 5</t>
        </is>
      </c>
      <c r="G42" s="56" t="inlineStr">
        <is>
          <t>CAUSA DOMINANTE. Parcelas de maíz en secano sobre ladera de 25-50 %, con desbroce reciente y restos de roza tendidos sobre el suelo (E-08, E-09, E-10); frentes de habilitación activos en el borde occidental del bloque</t>
        </is>
      </c>
    </row>
    <row r="43">
      <c r="A43" s="57" t="inlineStr">
        <is>
          <t>8</t>
        </is>
      </c>
      <c r="B43" s="57" t="inlineStr">
        <is>
          <t>Cambio de uso a pastoreo</t>
        </is>
      </c>
      <c r="C43" s="57" t="inlineStr">
        <is>
          <t>Sí</t>
        </is>
      </c>
      <c r="D43" s="57" t="inlineStr">
        <is>
          <t>Moderada</t>
        </is>
      </c>
      <c r="E43" s="57" t="inlineStr">
        <is>
          <t>Por determinar</t>
        </is>
      </c>
      <c r="F43" s="57" t="inlineStr">
        <is>
          <t>Por determinar</t>
        </is>
      </c>
      <c r="G43" s="57" t="inlineStr">
        <is>
          <t>Conversión de matorral a pastizal de pastoreo extensivo en el interfluvio occidental</t>
        </is>
      </c>
    </row>
    <row r="44">
      <c r="A44" s="56" t="inlineStr">
        <is>
          <t>9</t>
        </is>
      </c>
      <c r="B44" s="56" t="inlineStr">
        <is>
          <t>Expansión urbana / vial</t>
        </is>
      </c>
      <c r="C44" s="56" t="inlineStr">
        <is>
          <t>Sí</t>
        </is>
      </c>
      <c r="D44" s="56" t="inlineStr">
        <is>
          <t>Fuerte</t>
        </is>
      </c>
      <c r="E44" s="56" t="inlineStr">
        <is>
          <t>Por determinar</t>
        </is>
      </c>
      <c r="F44" s="56" t="inlineStr">
        <is>
          <t>&lt; 2</t>
        </is>
      </c>
      <c r="G44" s="56" t="inlineStr">
        <is>
          <t>CAUSA CODOMINANTE. Trocha carrozable Hualanga–Sahuate con cortes frescos de 2-5 m, sin banquetas, drenaje ni revegetación; plataforma sin afirmado, excedente vertido sobre el flanco de aguas abajo y vaguada intersectada sin obra de cruce (E-04 a E-07, E-10). Viviendas dispersas sobre el borde</t>
        </is>
      </c>
    </row>
    <row r="45">
      <c r="A45" s="57" t="inlineStr">
        <is>
          <t>10</t>
        </is>
      </c>
      <c r="B45" s="57" t="inlineStr">
        <is>
          <t>Minería informal</t>
        </is>
      </c>
      <c r="C45" s="57" t="inlineStr"/>
      <c r="D45" s="57" t="inlineStr"/>
      <c r="E45" s="57" t="inlineStr"/>
      <c r="F45" s="57" t="inlineStr"/>
      <c r="G45" s="57" t="inlineStr"/>
    </row>
    <row r="46">
      <c r="A46" s="56" t="inlineStr">
        <is>
          <t>11</t>
        </is>
      </c>
      <c r="B46" s="56" t="inlineStr">
        <is>
          <t>Extracción de áridos (cauces)</t>
        </is>
      </c>
      <c r="C46" s="56" t="inlineStr"/>
      <c r="D46" s="56" t="inlineStr"/>
      <c r="E46" s="56" t="inlineStr"/>
      <c r="F46" s="56" t="inlineStr"/>
      <c r="G46" s="56" t="inlineStr"/>
    </row>
    <row r="47">
      <c r="A47" s="57" t="inlineStr">
        <is>
          <t>12</t>
        </is>
      </c>
      <c r="B47" s="57" t="inlineStr">
        <is>
          <t>Especies invasoras</t>
        </is>
      </c>
      <c r="C47" s="57" t="inlineStr">
        <is>
          <t>Sí</t>
        </is>
      </c>
      <c r="D47" s="57" t="inlineStr">
        <is>
          <t>Ligera</t>
        </is>
      </c>
      <c r="E47" s="57" t="inlineStr">
        <is>
          <t>Por determinar</t>
        </is>
      </c>
      <c r="F47" s="57" t="inlineStr">
        <is>
          <t>Por determinar</t>
        </is>
      </c>
      <c r="G47" s="57" t="inlineStr">
        <is>
          <t>Rodales y plantones de eucalipto y ejemplar de ciprés en el borde de la trocha; comportamiento invasor NO verificado</t>
        </is>
      </c>
    </row>
    <row r="48">
      <c r="A48" s="56" t="inlineStr">
        <is>
          <t>13</t>
        </is>
      </c>
      <c r="B48" s="56" t="inlineStr">
        <is>
          <t>Erosión natural severa</t>
        </is>
      </c>
      <c r="C48" s="56" t="inlineStr">
        <is>
          <t>Sí</t>
        </is>
      </c>
      <c r="D48" s="56" t="inlineStr">
        <is>
          <t>Moderada</t>
        </is>
      </c>
      <c r="E48" s="56" t="inlineStr">
        <is>
          <t>Por determinar</t>
        </is>
      </c>
      <c r="F48" s="56" t="inlineStr">
        <is>
          <t>&lt; 2</t>
        </is>
      </c>
      <c r="G48" s="56" t="inlineStr">
        <is>
          <t>Cárcava somera activa en vaguada sin obra de cruce (E-04, E-05); escarpe de colapso en borde de parcela desbrozada (E-08, E-09); socavamiento del borde de plataforma (E-07)</t>
        </is>
      </c>
    </row>
    <row r="49">
      <c r="A49" s="57" t="inlineStr">
        <is>
          <t>14</t>
        </is>
      </c>
      <c r="B49" s="57" t="inlineStr">
        <is>
          <t>Sequía prolongada / CC</t>
        </is>
      </c>
      <c r="C49" s="57" t="inlineStr">
        <is>
          <t>Sí</t>
        </is>
      </c>
      <c r="D49" s="57" t="inlineStr">
        <is>
          <t>Moderada</t>
        </is>
      </c>
      <c r="E49" s="57" t="inlineStr">
        <is>
          <t>Por determinar</t>
        </is>
      </c>
      <c r="F49" s="57" t="inlineStr">
        <is>
          <t>Por determinar</t>
        </is>
      </c>
      <c r="G49" s="57" t="inlineStr">
        <is>
          <t>Estiaje marcado con defoliación generalizada y pastizal seco al 19-08-2026; déficit hídrico futuro proyectado para el ámbito (MPI-ESM1-2HR, SSP 5-8.5, 2021-2040)</t>
        </is>
      </c>
    </row>
    <row r="50">
      <c r="A50" s="56" t="inlineStr">
        <is>
          <t>15</t>
        </is>
      </c>
      <c r="B50" s="56" t="inlineStr">
        <is>
          <t>Plagas o enfermedades forestales</t>
        </is>
      </c>
      <c r="C50" s="56" t="inlineStr"/>
      <c r="D50" s="56" t="inlineStr"/>
      <c r="E50" s="56" t="inlineStr"/>
      <c r="F50" s="56" t="inlineStr"/>
      <c r="G50" s="56" t="inlineStr"/>
    </row>
    <row r="51">
      <c r="A51" s="57" t="inlineStr">
        <is>
          <t>16</t>
        </is>
      </c>
      <c r="B51" s="57" t="inlineStr">
        <is>
          <t>Otro</t>
        </is>
      </c>
      <c r="C51" s="57" t="inlineStr"/>
      <c r="D51" s="57" t="inlineStr"/>
      <c r="E51" s="57" t="inlineStr"/>
      <c r="F51" s="57" t="inlineStr"/>
      <c r="G51" s="57" t="inlineStr"/>
    </row>
    <row r="53">
      <c r="A53" s="54" t="inlineStr">
        <is>
          <t>F-DT-04 · INDICADORES CUANTITATIVOS</t>
        </is>
      </c>
    </row>
    <row r="54">
      <c r="A54" s="55" t="inlineStr">
        <is>
          <t>N.o</t>
        </is>
      </c>
      <c r="B54" s="55" t="inlineStr">
        <is>
          <t>Indicador</t>
        </is>
      </c>
      <c r="C54" s="55" t="inlineStr">
        <is>
          <t>Unidad</t>
        </is>
      </c>
      <c r="D54" s="55" t="inlineStr">
        <is>
          <t>Valor</t>
        </is>
      </c>
      <c r="E54" s="55" t="inlineStr">
        <is>
          <t>Fuente</t>
        </is>
      </c>
      <c r="F54" s="55" t="inlineStr">
        <is>
          <t>Umbral</t>
        </is>
      </c>
      <c r="G54" s="55" t="inlineStr">
        <is>
          <t>Nivel</t>
        </is>
      </c>
    </row>
    <row r="55">
      <c r="A55" s="56" t="inlineStr">
        <is>
          <t>1</t>
        </is>
      </c>
      <c r="B55" s="56" t="inlineStr">
        <is>
          <t>Cobertura vegetal total</t>
        </is>
      </c>
      <c r="C55" s="56" t="inlineStr">
        <is>
          <t>%</t>
        </is>
      </c>
      <c r="D55" s="56" t="inlineStr">
        <is>
          <t>Por determinar</t>
        </is>
      </c>
      <c r="E55" s="56" t="inlineStr">
        <is>
          <t>No cuantificada en campo</t>
        </is>
      </c>
      <c r="F55" s="56" t="inlineStr">
        <is>
          <t>&gt;60% bueno; 30-60% medio; &lt;30% malo</t>
        </is>
      </c>
      <c r="G55" s="56" t="inlineStr"/>
    </row>
    <row r="56">
      <c r="A56" s="57" t="inlineStr">
        <is>
          <t>2</t>
        </is>
      </c>
      <c r="B56" s="57" t="inlineStr">
        <is>
          <t>Porcentaje de suelo desnudo</t>
        </is>
      </c>
      <c r="C56" s="57" t="inlineStr">
        <is>
          <t>%</t>
        </is>
      </c>
      <c r="D56" s="57" t="inlineStr">
        <is>
          <t>Por determinar</t>
        </is>
      </c>
      <c r="E56" s="57" t="inlineStr">
        <is>
          <t>No cuantificada en campo</t>
        </is>
      </c>
      <c r="F56" s="57" t="inlineStr">
        <is>
          <t>&lt;10% bueno; 10-30% medio; &gt;30% malo</t>
        </is>
      </c>
      <c r="G56" s="57" t="inlineStr"/>
    </row>
    <row r="57">
      <c r="A57" s="56" t="inlineStr">
        <is>
          <t>3</t>
        </is>
      </c>
      <c r="B57" s="56" t="inlineStr">
        <is>
          <t>Densidad de cárcavas</t>
        </is>
      </c>
      <c r="C57" s="56" t="inlineStr">
        <is>
          <t>N°/ha</t>
        </is>
      </c>
      <c r="D57" s="56" t="inlineStr">
        <is>
          <t>Por determinar</t>
        </is>
      </c>
      <c r="E57" s="56" t="inlineStr">
        <is>
          <t>Sin inventario (F-DT-02 no levantada)</t>
        </is>
      </c>
      <c r="F57" s="56" t="inlineStr">
        <is>
          <t>0 nulo; 1-3 medio; &gt;3 alto</t>
        </is>
      </c>
      <c r="G57" s="56" t="inlineStr"/>
    </row>
    <row r="58">
      <c r="A58" s="57" t="inlineStr">
        <is>
          <t>4</t>
        </is>
      </c>
      <c r="B58" s="57" t="inlineStr">
        <is>
          <t>Presencia de especies invasoras</t>
        </is>
      </c>
      <c r="C58" s="57" t="inlineStr">
        <is>
          <t>% área</t>
        </is>
      </c>
      <c r="D58" s="57" t="inlineStr">
        <is>
          <t>Por determinar</t>
        </is>
      </c>
      <c r="E58" s="57" t="inlineStr">
        <is>
          <t>No cuantificada</t>
        </is>
      </c>
      <c r="F58" s="57" t="inlineStr">
        <is>
          <t>&lt;5% bueno; 5-20% medio; &gt;20% alto</t>
        </is>
      </c>
      <c r="G58" s="57" t="inlineStr"/>
    </row>
    <row r="59">
      <c r="A59" s="56" t="inlineStr">
        <is>
          <t>5</t>
        </is>
      </c>
      <c r="B59" s="56" t="inlineStr">
        <is>
          <t>Carga ganadera estimada</t>
        </is>
      </c>
      <c r="C59" s="56" t="inlineStr">
        <is>
          <t>UA/ha</t>
        </is>
      </c>
      <c r="D59" s="56" t="inlineStr">
        <is>
          <t>Por determinar</t>
        </is>
      </c>
      <c r="E59" s="56" t="inlineStr">
        <is>
          <t>Sin conteo de hato</t>
        </is>
      </c>
      <c r="F59" s="56" t="inlineStr">
        <is>
          <t>Según tipo de ecosistema</t>
        </is>
      </c>
      <c r="G59" s="56" t="inlineStr"/>
    </row>
    <row r="60">
      <c r="A60" s="57" t="inlineStr">
        <is>
          <t>6</t>
        </is>
      </c>
      <c r="B60" s="57" t="inlineStr">
        <is>
          <t>Frecuencia de quemas últimos 5 años</t>
        </is>
      </c>
      <c r="C60" s="57" t="inlineStr">
        <is>
          <t>N°</t>
        </is>
      </c>
      <c r="D60" s="57" t="inlineStr">
        <is>
          <t>Por determinar</t>
        </is>
      </c>
      <c r="E60" s="57" t="inlineStr">
        <is>
          <t>Sin registro</t>
        </is>
      </c>
      <c r="F60" s="57" t="inlineStr">
        <is>
          <t>0 nulo; 1-2 medio; &gt;2 alto</t>
        </is>
      </c>
      <c r="G60" s="57" t="inlineStr"/>
    </row>
    <row r="61">
      <c r="A61" s="56" t="inlineStr">
        <is>
          <t>7</t>
        </is>
      </c>
      <c r="B61" s="56" t="inlineStr">
        <is>
          <t>% área con pendiente &gt;50%</t>
        </is>
      </c>
      <c r="C61" s="56" t="inlineStr">
        <is>
          <t>%</t>
        </is>
      </c>
      <c r="D61" s="56" t="inlineStr">
        <is>
          <t>Por determinar</t>
        </is>
      </c>
      <c r="E61" s="56" t="inlineStr">
        <is>
          <t>Requiere reclasificación del MDE</t>
        </is>
      </c>
      <c r="F61" s="56" t="inlineStr">
        <is>
          <t>Factor de susceptibilidad</t>
        </is>
      </c>
      <c r="G61" s="56" t="inlineStr"/>
    </row>
    <row r="62">
      <c r="A62" s="57" t="inlineStr">
        <is>
          <t>8</t>
        </is>
      </c>
      <c r="B62" s="57" t="inlineStr">
        <is>
          <t>Distancia a vía vecinal más cercana</t>
        </is>
      </c>
      <c r="C62" s="57" t="inlineStr">
        <is>
          <t>m</t>
        </is>
      </c>
      <c r="D62" s="57" t="inlineStr">
        <is>
          <t>≈ 45</t>
        </is>
      </c>
      <c r="E62" s="57" t="inlineStr">
        <is>
          <t>Estaciones fotográficas 19-08-2026 · medición planimétrica sobre plano georreferenciado</t>
        </is>
      </c>
      <c r="F62" s="57" t="inlineStr">
        <is>
          <t>A menor distancia → mayor presión</t>
        </is>
      </c>
      <c r="G62" s="57" t="inlineStr">
        <is>
          <t>Alto</t>
        </is>
      </c>
    </row>
    <row r="64">
      <c r="A64" s="54" t="inlineStr">
        <is>
          <t>F-DT-05 · FUENTES DE AGUA INVENTARIADAS</t>
        </is>
      </c>
    </row>
    <row r="65">
      <c r="A65" s="55" t="inlineStr">
        <is>
          <t>N.o</t>
        </is>
      </c>
      <c r="B65" s="55" t="inlineStr">
        <is>
          <t>Tipo de fuente</t>
        </is>
      </c>
      <c r="C65" s="55" t="inlineStr">
        <is>
          <t>UTM ESTE</t>
        </is>
      </c>
      <c r="D65" s="55" t="inlineStr">
        <is>
          <t>UTM NORTE</t>
        </is>
      </c>
      <c r="E65" s="55" t="inlineStr">
        <is>
          <t>Régimen</t>
        </is>
      </c>
      <c r="F65" s="55" t="inlineStr">
        <is>
          <t>Calidad</t>
        </is>
      </c>
      <c r="G65" s="55" t="inlineStr">
        <is>
          <t>Distancia (m)</t>
        </is>
      </c>
      <c r="H65" s="55" t="inlineStr">
        <is>
          <t>Uso / observación</t>
        </is>
      </c>
    </row>
    <row r="66">
      <c r="A66" s="56" t="inlineStr">
        <is>
          <t>1</t>
        </is>
      </c>
      <c r="B66" s="56" t="inlineStr">
        <is>
          <t>Quebrada estacional</t>
        </is>
      </c>
      <c r="C66" s="61" t="n">
        <v>657703</v>
      </c>
      <c r="D66" s="61" t="n">
        <v>9377569</v>
      </c>
      <c r="E66" s="56" t="inlineStr">
        <is>
          <t>Estacional (lluvias)</t>
        </is>
      </c>
      <c r="F66" s="56" t="inlineStr">
        <is>
          <t>No evaluable</t>
        </is>
      </c>
      <c r="G66" s="61" t="n">
        <v>45</v>
      </c>
      <c r="H66" s="56" t="inlineStr">
        <is>
          <t>Vaguada de fondo pedregoso intersectada por la trocha, SIN obra de cruce ni alcantarilla; seca al momento de la visita, con evidencia de arrastre de gravas y bolonería (E-04, E-05). Coordenada = estación fotográfica, no punto GPS de la fuente</t>
        </is>
      </c>
    </row>
    <row r="69">
      <c r="A69" s="54" t="inlineStr">
        <is>
          <t>OBSERVACIONES DEL EVALUADOR POR FICHA</t>
        </is>
      </c>
    </row>
    <row r="70">
      <c r="A70" s="55" t="inlineStr">
        <is>
          <t>Ficha</t>
        </is>
      </c>
      <c r="B70" s="55" t="inlineStr">
        <is>
          <t>Observación registrada en campo</t>
        </is>
      </c>
    </row>
    <row r="71">
      <c r="A71" s="56" t="inlineStr">
        <is>
          <t>F-DT-01</t>
        </is>
      </c>
      <c r="B71" s="56" t="inlineStr">
        <is>
          <t>VERIFICACIÓN DE CAMPO DEL 19-08-2026 — recorrido vehicular por la trocha Hualanga–Sahuate con registro fotográfico georreferenciado (sello UTM 17M impreso); 10 tomas en 4 posiciones. LA FICHA NO FUE DILIGENCIADA EN CAMPO: los valores consignados son un PRELLENADO DE GABINETE a partir de estadística zonal sobre el MDE, catálogos maestros (Bloques V5, Bloques V4, CP´s y Bloques V5) y clasificación de los planos temáticos MSAVI 2024 y NDVI mediana 2025. || CONTROL GEOMÉTRICO: las 10 estaciones se localizan FUERA del polígono, entre ~45 y ~169 m de su límite occidental y septentrional; el interior del bloque NO fue verificado. || Las coordenadas del punto de muestreo corresponden al CENTROIDE del polígono (tabla Bloques V4), no a un punto GPS de campo. La altitud consignada es la cota media del MDE (rango 1 647 – 1 838 msnm); NO se registró altitud GPS. || Indicios 26/27/30: afloramientos de roca meteorizada y saprolito, taludes de corte activos de 2–5 m y colapso del borde de plataforma observados en el corredor vial perimetral (E-04, E-05, E-06, E-07, E-08, E-09); su ocurrencia dentro del polígono no ha sido verificada. || Pendiente promedio del bloque (MDE) = 26.25 %; exposición dominante deducida de la disposición de las curvas de nivel (1 600 al NO – 1 850 al SE).</t>
        </is>
      </c>
    </row>
    <row r="72">
      <c r="A72" s="57" t="inlineStr">
        <is>
          <t>F-DT-02</t>
        </is>
      </c>
      <c r="B72" s="57" t="inlineStr">
        <is>
          <t>FICHA NO LEVANTADA EN CAMPO. El INVENTARIO GEORREFERENCIADO DE CÁRCAVAS NO FUE EJECUTADO: los dos registros consignados proceden de fotointerpretación de las estaciones del 19-08-2026 y se ubican FUERA del polígono (a ~45 m y ~169 m de su límite); sus dimensiones (longitud, profundidad y ancho) NO fueron medidas. La ausencia de más registros no equivale a ausencia verificada. || EVIDENCIA FOTOGRÁFICA: (a) vaguada/cárcava somera de fondo pedregoso con taludes desnudos de coluvión pardo-amarillento y saprolito, sin obra de cruce ni control (E-04, E-05); (b) escarpe de colapso de 0.4–0.8 m en el borde de una parcela recién desbrozada sobre ladera, con material removido y restos de roza (E-08, E-09); (c) taludes de corte de 2–5 m sin banquetas ni revegetación a lo largo de la trocha, con acanaladuras y surcos incipientes y socavamiento del borde exterior de plataforma (E-06, E-07, E-10); (d) suelo desnudo continuo y terracillas de pisoteo de ganado caprino en el interfluvio de E-04. || El nivel de erosión consignado describe el BORDE OCCIDENTAL y el corredor vial, no necesariamente el conjunto del bloque, cuyo interior no fue verificado. Requiere levantamiento con F-DT-02 completa e inventario dentro del polígono.</t>
        </is>
      </c>
    </row>
    <row r="73">
      <c r="A73" s="56" t="inlineStr">
        <is>
          <t>F-DT-03</t>
        </is>
      </c>
      <c r="B73" s="56" t="inlineStr">
        <is>
          <t>FICHA NO LEVANTADA EN CAMPO — prellenado de gabinete a partir de fotointerpretación de las 10 estaciones del 19-08-2026 y de las especies declaradas por el evaluador. || LISTA FLORÍSTICA PRELIMINAR E INCOMPLETA: 11 taxones registrados frente al mínimo de 15 exigido por la ficha (FALTAN 4). Ningún binomio ha sido confirmado taxonómicamente; tres entradas carecen de determinación genérica. || NO se instalaron parcelas de muestreo, NO hubo colecta botánica y NO se midieron coberturas por estrato, alturas ni DAP: todos esos campos quedan como 'Por determinar' y NO fueron inferidos. || Cuatro de los once taxones son introducidos (eucalipto, ciprés, plátano, pastos cultivados) y tres corresponden a cultivos, lo que confirma el carácter de mosaico agro-forestal del borde del bloque. || La adscripción al Bes-cm se sostiene por continuidad con los bloques vecinos de la microcuenca C1076-Q9593 y por la fisonomía observada (faique, agave, pastizal en estiaje) entre 1 647 y 1 838 msnm; su verificación contra la capa nacional de ecosistemas del MINAM es acción de cierre. || AUSENCIA DE EPÍFITAS: a diferencia de los bloques 8 y 16 de la misma microcuenca, no se observó epifitismo de bromeliáceas, lo que es coherente con un régimen de menor condensación de neblina en esta posición del territorio.</t>
        </is>
      </c>
    </row>
    <row r="74">
      <c r="A74" s="57" t="inlineStr">
        <is>
          <t>F-DT-04</t>
        </is>
      </c>
      <c r="B74" s="57" t="inlineStr">
        <is>
          <t>FICHA NO LEVANTADA EN CAMPO — matriz construida en gabinete por fotointerpretación de las 10 estaciones del 19-08-2026, todas ellas FUERA del polígono (~45 a ~169 m). Las causas descritas corresponden al BORDE OCCIDENTAL y al corredor vial; su extensión al interior del bloque NO ha sido verificada. || Las causas 17 (carbón), 20 (incendio), 24 (minería informal), 25 (áridos), 29 (plagas) y 30 (otro) se dejan sin registro por falta de observación; la ausencia de registro NO equivale a ausencia verificada. || INDICADOR CLAVE: el 54.64 % del bloque (10.717 ha) se sitúa bajo el umbral MSAVI de 0.4976 (clasificación planimétrica del plano MSAVI_Piura_2024), superficie de referencia para el indicador de brecha de la R.M. N° 00213-2024-MINAM. || La atribución causal es sólida para la franja perimetral occidental pero NO autoriza a imputar a la vía y a la agricultura la totalidad de las 10.717 ha bajo umbral: se requiere comparación multitemporal del MSAVI anterior y posterior a la apertura de la trocha.</t>
        </is>
      </c>
    </row>
    <row r="75">
      <c r="A75" s="56" t="inlineStr">
        <is>
          <t>F-DT-05</t>
        </is>
      </c>
      <c r="B75" s="56" t="inlineStr">
        <is>
          <t>FICHA PARCIAL — no levantada en campo. NO se ejecutó inventario de manantiales con GPS, NO se identificó JASS ni captación poblacional, NO se midieron tiempos de viaje, NO se verificó señal celular ni alojamiento rural y NO se estableció contacto con la Ronda Campesina; todos esos campos quedan como 'Por determinar' y NO fueron inferidos. || El único elemento hídrico registrado es la vaguada estacional intersectada por la trocha (E-04/E-05), sin obra de cruce: deficiencia técnica del trazo y foco de erosión concentrada. || El bloque se declara EN ZONA DE RECARGA HÍDRICA por su posición de ladera media-alta en cabecera del drenaje de la quebrada Q9593 (zona de ORIGEN del peligro generador de inundaciones), no por medición directa. || ACCESIBILIDAD: la trocha Hualanga–Sahuate bordea el límite occidental y septentrional del bloque y permite acceso 4x4 hasta su borde; transitabilidad media en estiaje y baja en época lluviosa por ausencia total de obras de drenaje. La vía NO figura en las capas de red vial del proyecto y debe incorporarse a los filtros de exclusión y buffers.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76</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23</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87</v>
      </c>
    </row>
    <row r="29">
      <c r="A29" s="57" t="inlineStr">
        <is>
          <t>COMPLEMENTADO</t>
        </is>
      </c>
      <c r="B29" s="57" t="n">
        <v>2</v>
      </c>
    </row>
    <row r="30">
      <c r="A30" s="56" t="inlineStr">
        <is>
          <t>ACTUALIZADO</t>
        </is>
      </c>
      <c r="B30" s="56" t="n">
        <v>0</v>
      </c>
    </row>
    <row r="31">
      <c r="A31" s="57" t="inlineStr">
        <is>
          <t>DISCREPANTE</t>
        </is>
      </c>
      <c r="B31" s="57" t="n">
        <v>0</v>
      </c>
    </row>
    <row r="32">
      <c r="A32" s="56" t="inlineStr">
        <is>
          <t>PENDIENTE</t>
        </is>
      </c>
      <c r="B32" s="56" t="n">
        <v>25</v>
      </c>
    </row>
    <row r="45">
      <c r="A45" s="54" t="inlineStr">
        <is>
          <t>Causas activas de degradación (F-DT-04)</t>
        </is>
      </c>
    </row>
    <row r="46">
      <c r="A46" s="55" t="inlineStr">
        <is>
          <t>Causa</t>
        </is>
      </c>
      <c r="B46" s="55" t="inlineStr">
        <is>
          <t>Intensidad (1 ligera - 4 muy fuerte)</t>
        </is>
      </c>
    </row>
    <row r="47">
      <c r="A47" s="56" t="inlineStr">
        <is>
          <t>Cambio de uso a agricultura</t>
        </is>
      </c>
      <c r="B47" s="56" t="n">
        <v>3</v>
      </c>
    </row>
    <row r="48">
      <c r="A48" s="57" t="inlineStr">
        <is>
          <t>Expansión urbana / vial</t>
        </is>
      </c>
      <c r="B48" s="57" t="n">
        <v>3</v>
      </c>
    </row>
    <row r="49">
      <c r="A49" s="56" t="inlineStr">
        <is>
          <t>Cambio de uso a pastoreo</t>
        </is>
      </c>
      <c r="B49" s="56" t="n">
        <v>2</v>
      </c>
    </row>
    <row r="50">
      <c r="A50" s="57" t="inlineStr">
        <is>
          <t>Erosión natural severa</t>
        </is>
      </c>
      <c r="B50" s="57" t="n">
        <v>2</v>
      </c>
    </row>
    <row r="51">
      <c r="A51" s="56" t="inlineStr">
        <is>
          <t>Sequía prolongada / CC</t>
        </is>
      </c>
      <c r="B51" s="56" t="n">
        <v>2</v>
      </c>
    </row>
    <row r="52">
      <c r="A52" s="57" t="inlineStr">
        <is>
          <t>Sobrepastoreo (caprino/vacuno)</t>
        </is>
      </c>
      <c r="B52" s="57" t="n">
        <v>2</v>
      </c>
    </row>
    <row r="53">
      <c r="A53" s="56" t="inlineStr">
        <is>
          <t>Especies invasoras</t>
        </is>
      </c>
      <c r="B53" s="56" t="n">
        <v>1</v>
      </c>
    </row>
    <row r="54">
      <c r="A54" s="57" t="inlineStr">
        <is>
          <t>Tala para leña</t>
        </is>
      </c>
      <c r="B54" s="57" t="n">
        <v>1</v>
      </c>
    </row>
    <row r="64">
      <c r="A64" s="54" t="inlineStr">
        <is>
          <t>Control de consistencia por calificación</t>
        </is>
      </c>
    </row>
    <row r="65">
      <c r="A65" s="55" t="inlineStr">
        <is>
          <t>Calificación</t>
        </is>
      </c>
      <c r="B65" s="55" t="inlineStr">
        <is>
          <t>Verificaciones</t>
        </is>
      </c>
    </row>
    <row r="66">
      <c r="A66" s="56" t="inlineStr">
        <is>
          <t>SUSTANTIVA</t>
        </is>
      </c>
      <c r="B66" s="56" t="n">
        <v>8</v>
      </c>
    </row>
    <row r="67">
      <c r="A67" s="57" t="inlineStr">
        <is>
          <t>NO SUSTANTIVA</t>
        </is>
      </c>
      <c r="B67" s="57" t="n">
        <v>1</v>
      </c>
    </row>
    <row r="68">
      <c r="A68" s="56" t="inlineStr">
        <is>
          <t>CORREGIDO</t>
        </is>
      </c>
      <c r="B68" s="56" t="n">
        <v>0</v>
      </c>
    </row>
    <row r="69">
      <c r="A69" s="57" t="inlineStr">
        <is>
          <t>CONFORME</t>
        </is>
      </c>
      <c r="B6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76 — IN Piura</dc:title>
  <dc:subject>Diagnóstico Territorial por bloque de intervención</dc:subject>
  <dcterms:created xsi:type="dcterms:W3CDTF">2026-09-08T03:39:57Z</dcterms:created>
  <dcterms:modified xsi:type="dcterms:W3CDTF">2026-09-11T21:26:30Z</dcterms:modified>
</cp:coreProperties>
</file>