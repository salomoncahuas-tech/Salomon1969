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integración'!B73</f>
            </strRef>
          </tx>
          <spPr>
            <a:ln>
              <a:prstDash val="solid"/>
            </a:ln>
          </spPr>
          <cat>
            <numRef>
              <f>'Gráficos de integración'!$A$74:$A$76</f>
            </numRef>
          </cat>
          <val>
            <numRef>
              <f>'Gráficos de integración'!$B$74:$B$76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integración'!B94</f>
            </strRef>
          </tx>
          <spPr>
            <a:ln>
              <a:prstDash val="solid"/>
            </a:ln>
          </spPr>
          <cat>
            <numRef>
              <f>'Gráficos de integración'!$A$95:$A$98</f>
            </numRef>
          </cat>
          <val>
            <numRef>
              <f>'Gráficos de integración'!$B$95:$B$98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22</t>
        </is>
      </c>
    </row>
    <row r="6" ht="24" customHeight="1">
      <c r="A6" s="4" t="inlineStr">
        <is>
          <t>Diagnóstico Territorial — Plantilla DT Campo Check Validada V5 | Sistema de referencia: UTM WGS 84 Zona 17S (EPSG:32717) · Integrado con la ficha de campo F-DT vigente (FDT_Bloque22_IN_Piura_V5_19Ago.xlsx) — V7 - resumen V6 + campo F-DT integrado</t>
        </is>
      </c>
    </row>
    <row r="7"/>
    <row r="8" ht="18" customHeight="1">
      <c r="A8" s="5" t="inlineStr">
        <is>
          <t>1. IDENTIFICACIÓN Y LOCALIZACIÓN</t>
        </is>
      </c>
    </row>
    <row r="9">
      <c r="A9" s="6" t="inlineStr">
        <is>
          <t>Código del bloque</t>
        </is>
      </c>
      <c r="B9" s="7" t="inlineStr">
        <is>
          <t>22</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Platanal Bajo</t>
        </is>
      </c>
      <c r="C13" s="6" t="inlineStr">
        <is>
          <t>Comunidad campesina</t>
        </is>
      </c>
      <c r="D13" s="7" t="inlineStr">
        <is>
          <t>Asociación de pequeños propietarios «San Francisco de Asís» (F-DS-01)</t>
        </is>
      </c>
      <c r="E13" s="8" t="n"/>
      <c r="F13" s="8" t="n"/>
    </row>
    <row r="14">
      <c r="A14" s="6" t="inlineStr">
        <is>
          <t>Superficie de catálogo (V5/V6), ha</t>
        </is>
      </c>
      <c r="B14" s="7" t="n">
        <v>79.33</v>
      </c>
      <c r="C14" s="6" t="inlineStr">
        <is>
          <t>Fuente de superficie</t>
        </is>
      </c>
      <c r="D14" s="7" t="inlineStr">
        <is>
          <t>Catálogo maestro Bloques V5/V6</t>
        </is>
      </c>
      <c r="E14" s="8" t="n"/>
      <c r="F14" s="8" t="n"/>
    </row>
    <row r="15">
      <c r="A15" s="6" t="inlineStr">
        <is>
          <t>Centroide UTM ESTE (m)</t>
        </is>
      </c>
      <c r="B15" s="7" t="n">
        <v>601122</v>
      </c>
      <c r="C15" s="6" t="inlineStr">
        <is>
          <t>Centroide UTM NORTE (m)</t>
        </is>
      </c>
      <c r="D15" s="7" t="n">
        <v>9443651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235</v>
      </c>
      <c r="C19" s="6" t="inlineStr">
        <is>
          <t>Altitud máxima (msnm)</t>
        </is>
      </c>
      <c r="D19" s="7" t="n">
        <v>596</v>
      </c>
      <c r="E19" s="8" t="n"/>
      <c r="F19" s="8" t="n"/>
    </row>
    <row r="20">
      <c r="A20" s="6" t="inlineStr">
        <is>
          <t>Amplitud altitudinal (m)</t>
        </is>
      </c>
      <c r="B20" s="7" t="n">
        <v>361</v>
      </c>
      <c r="C20" s="6" t="inlineStr">
        <is>
          <t>Piso altitudinal dominante</t>
        </is>
      </c>
      <c r="D20" s="7" t="inlineStr">
        <is>
          <t>&lt;1000 m (Yunga)</t>
        </is>
      </c>
      <c r="E20" s="8" t="n"/>
      <c r="F20" s="8" t="n"/>
    </row>
    <row r="21">
      <c r="A21" s="6" t="inlineStr">
        <is>
          <t>Pendiente promedio (%)</t>
        </is>
      </c>
      <c r="B21" s="7" t="n">
        <v>22.51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0.4232</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ligera (66.29 %)</t>
        </is>
      </c>
      <c r="E29" s="8" t="n"/>
      <c r="F29" s="8" t="n"/>
    </row>
    <row r="30">
      <c r="A30" s="6" t="inlineStr">
        <is>
          <t>Superficie clasificada NDVI 2025 (ha)</t>
        </is>
      </c>
      <c r="B30" s="7" t="n">
        <v>79.374</v>
      </c>
      <c r="C30" s="6" t="inlineStr">
        <is>
          <t>Desviación frente al catálogo (%)</t>
        </is>
      </c>
      <c r="D30" s="7" t="n">
        <v>0.06</v>
      </c>
      <c r="E30" s="8" t="n"/>
      <c r="F30" s="8" t="n"/>
    </row>
    <row r="31">
      <c r="A31" s="6" t="inlineStr">
        <is>
          <t>Superficie clasificada MSAVI 2024 (ha)</t>
        </is>
      </c>
      <c r="B31" s="37" t="n">
        <v>79.33</v>
      </c>
      <c r="C31" s="6" t="inlineStr">
        <is>
          <t>Desviación MSAVI frente al catálogo (%)</t>
        </is>
      </c>
      <c r="D31" s="38" t="n">
        <v>0</v>
      </c>
      <c r="E31" s="8" t="n"/>
      <c r="F31" s="8" t="n"/>
    </row>
    <row r="32">
      <c r="A32" s="6" t="inlineStr">
        <is>
          <t>Superficie bajo umbral MSAVI 0.4976 (ha)</t>
        </is>
      </c>
      <c r="B32" s="37" t="n">
        <v>74.009</v>
      </c>
      <c r="C32" s="6" t="inlineStr">
        <is>
          <t>% del bloque bajo umbral (brecha espectral)</t>
        </is>
      </c>
      <c r="D32" s="38" t="n">
        <v>93.29000000000001</v>
      </c>
      <c r="E32" s="8" t="n"/>
      <c r="F32" s="8" t="n"/>
    </row>
    <row r="33">
      <c r="A33" s="6" t="inlineStr">
        <is>
          <t>Clase DN dominante (MSAVI 2024)</t>
        </is>
      </c>
      <c r="B33" s="7" t="inlineStr">
        <is>
          <t>DN 3 · 0.3813 - 0.4976 (Vigor bajo)</t>
        </is>
      </c>
      <c r="C33" s="6" t="inlineStr">
        <is>
          <t>N.° de polígonos MSAVI del bloque</t>
        </is>
      </c>
      <c r="D33" s="39" t="n">
        <v>217</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79.33 ha</t>
        </is>
      </c>
      <c r="E36" s="8" t="n"/>
      <c r="F36" s="8" t="n"/>
    </row>
    <row r="37">
      <c r="A37" s="6" t="inlineStr">
        <is>
          <t>Estado de conservación</t>
        </is>
      </c>
      <c r="B37" s="7" t="inlineStr">
        <is>
          <t>Levemente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n">
        <v>95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49" t="inlineStr">
        <is>
          <t>Ligera (laminar)</t>
        </is>
      </c>
      <c r="C40" s="6" t="inlineStr">
        <is>
          <t>N.° de cárcavas registradas</t>
        </is>
      </c>
      <c r="D40" s="49" t="inlineStr">
        <is>
          <t>0</t>
        </is>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49" t="inlineStr">
        <is>
          <t>Ing. Juan Carlos Dominguez Varas - Especialista en Infraestructura Verde - ANIN/DIME-SESDI</t>
        </is>
      </c>
      <c r="C44" s="6" t="inlineStr">
        <is>
          <t>Fecha de evaluación</t>
        </is>
      </c>
      <c r="D44" s="7" t="inlineStr">
        <is>
          <t>2026-07-03</t>
        </is>
      </c>
      <c r="E44" s="8" t="n"/>
      <c r="F44" s="8" t="n"/>
    </row>
    <row r="45">
      <c r="A45" s="6" t="inlineStr">
        <is>
          <t>Hora de registro</t>
        </is>
      </c>
      <c r="B45" s="7" t="inlineStr">
        <is>
          <t>15:06</t>
        </is>
      </c>
      <c r="C45" s="6" t="inlineStr">
        <is>
          <t>Correlativo de ficha</t>
        </is>
      </c>
      <c r="D45" s="49" t="inlineStr">
        <is>
          <t>22-DT01-2026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Evaluacion a escala de bloque (recorrido / transecto)</t>
        </is>
      </c>
      <c r="E47" s="8" t="n"/>
      <c r="F47" s="8" t="n"/>
    </row>
    <row r="48">
      <c r="A48" s="6" t="inlineStr">
        <is>
          <t>Estaciones fotográficas georreferenciadas</t>
        </is>
      </c>
      <c r="B48" s="7" t="inlineStr">
        <is>
          <t>Sin registro en la ficha DT</t>
        </is>
      </c>
      <c r="C48" s="6" t="inlineStr">
        <is>
          <t>Modalidad de acceso</t>
        </is>
      </c>
      <c r="D48" s="7" t="inlineStr">
        <is>
          <t>Por determinar</t>
        </is>
      </c>
      <c r="E48" s="8" t="n"/>
      <c r="F48" s="8" t="n"/>
    </row>
    <row r="49"/>
    <row r="50" ht="18" customHeight="1">
      <c r="A50" s="5" t="inlineStr">
        <is>
          <t>6. SÍNTESIS PARA LA GESTIÓN DEL RIESGO EN CONTEXTO DE CAMBIO CLIMÁTICO</t>
        </is>
      </c>
    </row>
    <row r="51">
      <c r="A51" s="6" t="inlineStr">
        <is>
          <t>Causa subyacente principal</t>
        </is>
      </c>
      <c r="B51" s="49"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Por determinar</t>
        </is>
      </c>
      <c r="C53" s="6" t="inlineStr">
        <is>
          <t>Zona de recarga hídrica</t>
        </is>
      </c>
      <c r="D53" s="7" t="inlineStr">
        <is>
          <t>Por determinar</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0.0977</v>
      </c>
      <c r="C10" s="19">
        <f>ROUND(B10/$B$15*100,2)</f>
        <v/>
      </c>
      <c r="D10" s="11" t="inlineStr">
        <is>
          <t>Vigor alto</t>
        </is>
      </c>
      <c r="E10" s="11" t="inlineStr">
        <is>
          <t>Sobre umbral</t>
        </is>
      </c>
    </row>
    <row r="11">
      <c r="A11" s="12" t="inlineStr">
        <is>
          <t>0.4976 - 0.6139 · DN 4</t>
        </is>
      </c>
      <c r="B11" s="20" t="n">
        <v>5.2242</v>
      </c>
      <c r="C11" s="21">
        <f>ROUND(B11/$B$15*100,2)</f>
        <v/>
      </c>
      <c r="D11" s="13" t="inlineStr">
        <is>
          <t>Vigor moderado</t>
        </is>
      </c>
      <c r="E11" s="13" t="inlineStr">
        <is>
          <t>Sobre umbral</t>
        </is>
      </c>
    </row>
    <row r="12">
      <c r="A12" s="14" t="inlineStr">
        <is>
          <t>0.3813 - 0.4976 · DN 3</t>
        </is>
      </c>
      <c r="B12" s="31" t="n">
        <v>58.3306</v>
      </c>
      <c r="C12" s="30">
        <f>ROUND(B12/$B$15*100,2)</f>
        <v/>
      </c>
      <c r="D12" s="15" t="inlineStr">
        <is>
          <t>Vigor bajo</t>
        </is>
      </c>
      <c r="E12" s="15" t="inlineStr">
        <is>
          <t>BAJO umbral 0.4976</t>
        </is>
      </c>
    </row>
    <row r="13">
      <c r="A13" s="12" t="inlineStr">
        <is>
          <t>0.2650 - 0.3813 · DN 2</t>
        </is>
      </c>
      <c r="B13" s="20" t="n">
        <v>15.6779</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217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79.33</v>
      </c>
      <c r="C18" s="48" t="inlineStr">
        <is>
          <t>—</t>
        </is>
      </c>
      <c r="D18" s="45" t="inlineStr">
        <is>
          <t>Desviación planimétrica frente al catálogo</t>
        </is>
      </c>
      <c r="E18" s="45" t="inlineStr">
        <is>
          <t>+0.00 %</t>
        </is>
      </c>
    </row>
    <row r="19">
      <c r="A19" s="16" t="inlineStr">
        <is>
          <t>MSAVI 2024 — MEDIA DEL BLOQUE</t>
        </is>
      </c>
      <c r="B19" s="17" t="n">
        <v>0.42317</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217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(0.4232)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0.2579</v>
      </c>
      <c r="C25" s="19" t="n">
        <v>0.32</v>
      </c>
      <c r="D25" s="11" t="inlineStr">
        <is>
          <t>Dosel continuo, matorral denso o mosaico agroforestal</t>
        </is>
      </c>
      <c r="E25" s="11" t="inlineStr"/>
    </row>
    <row r="26">
      <c r="A26" s="12" t="inlineStr">
        <is>
          <t>Vegetación mediana</t>
        </is>
      </c>
      <c r="B26" s="20" t="n">
        <v>26.4754</v>
      </c>
      <c r="C26" s="21" t="n">
        <v>33.36</v>
      </c>
      <c r="D26" s="13" t="inlineStr">
        <is>
          <t>Pastizal cultivado, matorral ralo, parcelas agrícolas</t>
        </is>
      </c>
      <c r="E26" s="13" t="inlineStr"/>
    </row>
    <row r="27">
      <c r="A27" s="7" t="inlineStr">
        <is>
          <t>Vegetación ligera</t>
        </is>
      </c>
      <c r="B27" s="18" t="n">
        <v>52.6206</v>
      </c>
      <c r="C27" s="19" t="n">
        <v>66.29000000000001</v>
      </c>
      <c r="D27" s="11" t="inlineStr">
        <is>
          <t>Cobertura discontinua, suelo parcialmente expuesto</t>
        </is>
      </c>
      <c r="E27" s="11" t="inlineStr"/>
    </row>
    <row r="28">
      <c r="A28" s="12" t="inlineStr">
        <is>
          <t>Tierra desnuda</t>
        </is>
      </c>
      <c r="B28" s="20" t="n">
        <v>0.0198</v>
      </c>
      <c r="C28" s="21" t="n">
        <v>0.02</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79.33</v>
      </c>
      <c r="C30" s="25" t="inlineStr">
        <is>
          <t>—</t>
        </is>
      </c>
      <c r="D30" s="25" t="inlineStr">
        <is>
          <t>Desviación planimétrica frente al catálogo</t>
        </is>
      </c>
      <c r="E30" s="25" t="inlineStr">
        <is>
          <t>+0.06 %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95 % frente a un 0.32 % del polígono clasificado como «Vegetación alta» por el NDVI 2025; la observación de campo corresponde a una parcela o recorrido puntual y no es estadísticamente representativa de las 79.330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22</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67016.39999999999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601122</v>
      </c>
      <c r="C13" s="6" t="inlineStr">
        <is>
          <t>Centroide del bloque — UTM NORTE (m)</t>
        </is>
      </c>
      <c r="D13" s="7" t="n">
        <v>9443651</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Laderas de colina media, pendientes inferiores al 60% y altitud ~250 msnm. Una quebrada conduce las aguas pluviales hacia un badén en la vía afirmada al pie del bloque; desembocan en el río atravesando el CCPP y áreas de cultivo, lo que genera preocupación entre los pobladores en temporada de lluvias. No se evidenciaron surcos ni cárcavas en formación. Pastoreo caprino de bajo impacto y extracción de leña de intensidad reducida.</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22</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7" t="n">
        <v>258.84</v>
      </c>
      <c r="C10" s="19" t="n">
        <v>29.57</v>
      </c>
      <c r="D10" s="11" t="inlineStr">
        <is>
          <t>553 – 1517</t>
        </is>
      </c>
      <c r="E10" s="11" t="n">
        <v>964</v>
      </c>
      <c r="F10" s="11" t="n">
        <v>29.82</v>
      </c>
      <c r="G10" s="18" t="n">
        <v>0.5087</v>
      </c>
      <c r="H10" s="19" t="n">
        <v>58.63</v>
      </c>
      <c r="I10" s="19" t="n">
        <v>48.4</v>
      </c>
    </row>
    <row r="11">
      <c r="A11" s="12" t="inlineStr">
        <is>
          <t>M17B4</t>
        </is>
      </c>
      <c r="B11" s="28" t="n">
        <v>124.71</v>
      </c>
      <c r="C11" s="21" t="n">
        <v>14.25</v>
      </c>
      <c r="D11" s="13" t="inlineStr">
        <is>
          <t>294 – 629</t>
        </is>
      </c>
      <c r="E11" s="13" t="n">
        <v>335</v>
      </c>
      <c r="F11" s="13" t="n">
        <v>18.69</v>
      </c>
      <c r="G11" s="20" t="n">
        <v>0.4235</v>
      </c>
      <c r="H11" s="21" t="n">
        <v>3.97</v>
      </c>
      <c r="I11" s="21" t="n">
        <v>91.94</v>
      </c>
    </row>
    <row r="12">
      <c r="A12" s="7" t="inlineStr">
        <is>
          <t>M17B6</t>
        </is>
      </c>
      <c r="B12" s="27" t="n">
        <v>106.54</v>
      </c>
      <c r="C12" s="19" t="n">
        <v>12.17</v>
      </c>
      <c r="D12" s="11" t="inlineStr">
        <is>
          <t>403 – 1049</t>
        </is>
      </c>
      <c r="E12" s="11" t="n">
        <v>646</v>
      </c>
      <c r="F12" s="11" t="n">
        <v>23.42</v>
      </c>
      <c r="G12" s="18" t="n">
        <v>0.4464</v>
      </c>
      <c r="H12" s="19" t="n">
        <v>18.53</v>
      </c>
      <c r="I12" s="19" t="n">
        <v>81.81999999999999</v>
      </c>
    </row>
    <row r="13">
      <c r="A13" s="14" t="inlineStr">
        <is>
          <t>► 22</t>
        </is>
      </c>
      <c r="B13" s="29" t="n">
        <v>79.33</v>
      </c>
      <c r="C13" s="30" t="n">
        <v>9.06</v>
      </c>
      <c r="D13" s="15" t="inlineStr">
        <is>
          <t>235 – 596</t>
        </is>
      </c>
      <c r="E13" s="15" t="n">
        <v>361</v>
      </c>
      <c r="F13" s="15" t="n">
        <v>22.51</v>
      </c>
      <c r="G13" s="31" t="n">
        <v>0.4232</v>
      </c>
      <c r="H13" s="30" t="n">
        <v>0.32</v>
      </c>
      <c r="I13" s="30" t="n">
        <v>93.29000000000001</v>
      </c>
    </row>
    <row r="14">
      <c r="A14" s="7" t="inlineStr">
        <is>
          <t>27</t>
        </is>
      </c>
      <c r="B14" s="27" t="n">
        <v>78.15000000000001</v>
      </c>
      <c r="C14" s="19" t="n">
        <v>8.93</v>
      </c>
      <c r="D14" s="11" t="inlineStr">
        <is>
          <t>1518 – 1895</t>
        </is>
      </c>
      <c r="E14" s="11" t="n">
        <v>377</v>
      </c>
      <c r="F14" s="11" t="n">
        <v>30.25</v>
      </c>
      <c r="G14" s="18" t="n">
        <v>0.5323</v>
      </c>
      <c r="H14" s="19" t="n">
        <v>64.75</v>
      </c>
      <c r="I14" s="19" t="n">
        <v>37.5</v>
      </c>
    </row>
    <row r="15">
      <c r="A15" s="12" t="inlineStr">
        <is>
          <t>M17B10</t>
        </is>
      </c>
      <c r="B15" s="28" t="n">
        <v>75.36</v>
      </c>
      <c r="C15" s="21" t="n">
        <v>8.609999999999999</v>
      </c>
      <c r="D15" s="13" t="inlineStr">
        <is>
          <t>466 – 902</t>
        </is>
      </c>
      <c r="E15" s="13" t="n">
        <v>436</v>
      </c>
      <c r="F15" s="13" t="n">
        <v>25.94</v>
      </c>
      <c r="G15" s="20" t="n">
        <v>0.4725</v>
      </c>
      <c r="H15" s="21" t="n">
        <v>29.2</v>
      </c>
      <c r="I15" s="21" t="n">
        <v>73.33</v>
      </c>
    </row>
    <row r="16">
      <c r="A16" s="7" t="inlineStr">
        <is>
          <t>M17B5</t>
        </is>
      </c>
      <c r="B16" s="27" t="n">
        <v>74.03</v>
      </c>
      <c r="C16" s="19" t="n">
        <v>8.460000000000001</v>
      </c>
      <c r="D16" s="11" t="inlineStr">
        <is>
          <t>794 – 1317</t>
        </is>
      </c>
      <c r="E16" s="11" t="n">
        <v>523</v>
      </c>
      <c r="F16" s="11" t="n">
        <v>27.42</v>
      </c>
      <c r="G16" s="18" t="n">
        <v>0.5482</v>
      </c>
      <c r="H16" s="19" t="n">
        <v>61.34</v>
      </c>
      <c r="I16" s="19" t="n">
        <v>28.94</v>
      </c>
    </row>
    <row r="17">
      <c r="A17" s="12" t="inlineStr">
        <is>
          <t>M17B1</t>
        </is>
      </c>
      <c r="B17" s="28" t="n">
        <v>42.45</v>
      </c>
      <c r="C17" s="21" t="n">
        <v>4.85</v>
      </c>
      <c r="D17" s="13" t="inlineStr">
        <is>
          <t>177 – 313</t>
        </is>
      </c>
      <c r="E17" s="13" t="n">
        <v>136</v>
      </c>
      <c r="F17" s="13" t="n">
        <v>14.73</v>
      </c>
      <c r="G17" s="20" t="n">
        <v>0.3323</v>
      </c>
      <c r="H17" s="21" t="n">
        <v>0</v>
      </c>
      <c r="I17" s="21" t="n">
        <v>99.84</v>
      </c>
    </row>
    <row r="18">
      <c r="A18" s="7" t="inlineStr">
        <is>
          <t>32</t>
        </is>
      </c>
      <c r="B18" s="27"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2">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0" t="n"/>
      <c r="C20" s="40" t="n"/>
      <c r="D20" s="40" t="n"/>
      <c r="E20" s="40" t="n"/>
      <c r="F20" s="40" t="n"/>
      <c r="G20" s="40" t="n"/>
      <c r="H20" s="40" t="n"/>
      <c r="I20" s="41" t="n"/>
    </row>
    <row r="22" ht="84" customHeight="1">
      <c r="A22" s="9" t="inlineStr">
        <is>
          <t>LECTURA INTRAMICROCUENCA. El bloque 22 ocupa el puesto 4 de 9 por superficie dentro de la microcuenca C1096-Q9556 (9.06 % de las 875.24 ha preliminares de la microcuenca). Su pendiente promedio (22.51 %, clase «15-25% (Fuert. inclinado)») es la 4.ª más baja de 9 y se sitúa por debajo del promedio de la microcuenca (22.85 %). Su MSAVI 2024 (0.4232) es el 7.º de 9 y queda por debajo del promedio local (0.4510). Amplitud altitudinal del bloque: 361 m (235–596 msnm). El cuadro conserva todos los bloques catalogados en la microcuenca, incluidos los descartados en el tamizaje, para referencia del conjunto. Los bloques sin ficha DT figuran con sus parámetros de gabinete. BRECHA ESPECTRAL. El 93.29 % de la superficie del bloque (74.009 ha de 79.330 ha) se sitúa bajo el umbral MSAVI 0.4976, por encima del promedio local de la microcuenca (69.38 %) calculado sobre los bloques con dato MSAVI disponible.</t>
        </is>
      </c>
      <c r="B22" s="40" t="n"/>
      <c r="C22" s="40" t="n"/>
      <c r="D22" s="40" t="n"/>
      <c r="E22" s="40" t="n"/>
      <c r="F22" s="40" t="n"/>
      <c r="G22" s="40" t="n"/>
      <c r="H22" s="40" t="n"/>
      <c r="I22" s="41"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0" t="n"/>
      <c r="C24" s="40" t="n"/>
      <c r="D24" s="40" t="n"/>
      <c r="E24" s="40" t="n"/>
      <c r="F24" s="40" t="n"/>
      <c r="G24" s="40" t="n"/>
      <c r="H24" s="40" t="n"/>
      <c r="I24" s="41"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22</t>
        </is>
      </c>
    </row>
    <row r="6">
      <c r="A6" s="51" t="inlineStr">
        <is>
          <t>Cruce de la ficha de campo F-DT vigente con la ficha de resumen de gabinete y el catálogo maestro. Integración 2026-09-11 20:22:25.</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«C1096-Q9556».</t>
        </is>
      </c>
      <c r="D9" s="55" t="inlineStr">
        <is>
          <t>CONFORME</t>
        </is>
      </c>
      <c r="E9" s="55" t="inlineStr">
        <is>
          <t>Sin acción.</t>
        </is>
      </c>
    </row>
    <row r="10">
      <c r="A10" s="56" t="inlineStr">
        <is>
          <t>G-02</t>
        </is>
      </c>
      <c r="B10" s="56" t="inlineStr">
        <is>
          <t>UTM del punto de muestreo</t>
        </is>
      </c>
      <c r="C10" s="56" t="inlineStr">
        <is>
          <t>El punto de muestreo declarado dista 802.0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(206 msnm) cae dentro del rango altitudinal del bloque (235 - 596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(79.374 ha) se desvía 0.06 % de la superficie de catálogo (79.33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(79.330 ha) se desvía 0.00 % de la superficie de catálogo (79.33 ha).</t>
        </is>
      </c>
      <c r="D14" s="56" t="inlineStr">
        <is>
          <t>CONFORME</t>
        </is>
      </c>
      <c r="E14" s="56" t="inlineStr">
        <is>
          <t>Sin acción: la segmentación valida la geometría del bloque.</t>
        </is>
      </c>
    </row>
    <row r="15">
      <c r="A15" s="55" t="inlineStr">
        <is>
          <t>G-07</t>
        </is>
      </c>
      <c r="B15" s="55" t="inlineStr">
        <is>
          <t>Brecha espectral MSAVI</t>
        </is>
      </c>
      <c r="C15" s="55" t="inlineStr">
        <is>
          <t>El 93.29 % del bloque queda bajo el umbral 0.4976; superficie de brecha 74.01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79.33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(0.4232) cae en la clase «0.3813 - 0.4976 (Vigor bajo)» y la clase DN dominante por superficie es «DN 3 · 0.3813 - 0.4976 (Vigor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Nivel general de erosión</t>
        </is>
      </c>
      <c r="C19" s="55" t="inlineStr">
        <is>
          <t>El libro de resumen V6 consignaba «No consignado (F-DT-02 sin diligenciar)»; la ficha de campo vigente declara «Ligera (laminar)».</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N.° de cárcavas registradas</t>
        </is>
      </c>
      <c r="C20" s="56" t="inlineStr">
        <is>
          <t>El libro de resumen V6 consignaba «Sin inventario»; la ficha de campo vigente declara «0».</t>
        </is>
      </c>
      <c r="D20" s="56" t="inlineStr">
        <is>
          <t>CORREGIDO</t>
        </is>
      </c>
      <c r="E20" s="56" t="inlineStr">
        <is>
          <t>Se adopta el valor de campo por ser la fuente que manda sobre el dato y la más reciente. El valor anterior queda declarado para trazabilidad.</t>
        </is>
      </c>
    </row>
    <row r="21">
      <c r="A21" s="55" t="inlineStr">
        <is>
          <t>I-03</t>
        </is>
      </c>
      <c r="B21" s="55" t="inlineStr">
        <is>
          <t>Parcela de muestreo</t>
        </is>
      </c>
      <c r="C21" s="55" t="inlineStr">
        <is>
          <t>El libro de resumen V6 consignaba «No instalada»; la ficha de campo vigente declara «Evaluacion a escala de bloque (recorrido / transecto)».</t>
        </is>
      </c>
      <c r="D21" s="55" t="inlineStr">
        <is>
          <t>CORREGIDO</t>
        </is>
      </c>
      <c r="E21" s="55" t="inlineStr">
        <is>
          <t>Se adopta el valor de campo por ser la fuente que manda sobre el dato y la más reciente. El valor anterior queda declarado para trazabilidad.</t>
        </is>
      </c>
    </row>
    <row r="22">
      <c r="A22" s="56" t="inlineStr">
        <is>
          <t>I-04</t>
        </is>
      </c>
      <c r="B22" s="56" t="inlineStr">
        <is>
          <t>Responsable de la evaluación</t>
        </is>
      </c>
      <c r="C22" s="56" t="inlineStr">
        <is>
          <t>El libro de resumen V6 consignaba «Juan Domínguez»; la ficha de campo vigente declara «Ing. Juan Carlos Dominguez Varas - Especialista en Infraestructura Verde - ANIN/DIME-SESDI».</t>
        </is>
      </c>
      <c r="D22" s="56" t="inlineStr">
        <is>
          <t>CORREGIDO</t>
        </is>
      </c>
      <c r="E22" s="56" t="inlineStr">
        <is>
          <t>Se adopta el valor de campo por ser la fuente que manda sobre el dato y la más reciente. El valor anterior queda declarado para trazabilidad.</t>
        </is>
      </c>
    </row>
    <row r="23">
      <c r="A23" s="55" t="inlineStr">
        <is>
          <t>I-05</t>
        </is>
      </c>
      <c r="B23" s="55" t="inlineStr">
        <is>
          <t>Correlativo de ficha</t>
        </is>
      </c>
      <c r="C23" s="55" t="inlineStr">
        <is>
          <t>El libro de resumen V6 consignaba «Por registrar»; la ficha de campo vigente declara «22-DT01-2026».</t>
        </is>
      </c>
      <c r="D23" s="55" t="inlineStr">
        <is>
          <t>CORREGIDO</t>
        </is>
      </c>
      <c r="E23" s="55" t="inlineStr">
        <is>
          <t>Se adopta el valor de campo por ser la fuente que manda sobre el dato y la más reciente. El valor anterior queda declarado para trazabilidad.</t>
        </is>
      </c>
    </row>
    <row r="24">
      <c r="A24" s="56" t="inlineStr">
        <is>
          <t>F-01</t>
        </is>
      </c>
      <c r="B24" s="56" t="inlineStr">
        <is>
          <t>Fichas F-DT levantadas</t>
        </is>
      </c>
      <c r="C24" s="56" t="inlineStr">
        <is>
          <t>La plantilla de campo trae las cinco fichas F-DT-01 a F-DT-05 (completitud 92.9 % de los campos esperados).</t>
        </is>
      </c>
      <c r="D24" s="56" t="inlineStr">
        <is>
          <t>CONFORME</t>
        </is>
      </c>
      <c r="E24" s="56" t="inlineStr">
        <is>
          <t>Sin acción.</t>
        </is>
      </c>
    </row>
    <row r="25">
      <c r="A25" s="55" t="inlineStr">
        <is>
          <t>F-02</t>
        </is>
      </c>
      <c r="B25" s="55" t="inlineStr">
        <is>
          <t>Cobertura de la integración</t>
        </is>
      </c>
      <c r="C25" s="55" t="inlineStr">
        <is>
          <t>Se declararon 98 de 114 hechos integrados (86.0 %); 16 quedan sin dato en ninguna fuente.</t>
        </is>
      </c>
      <c r="D25" s="55" t="inlineStr">
        <is>
          <t>CONFORME</t>
        </is>
      </c>
      <c r="E25" s="55" t="inlineStr">
        <is>
          <t>Sin acción.</t>
        </is>
      </c>
    </row>
    <row r="26">
      <c r="A26" s="56" t="inlineStr">
        <is>
          <t>H-01</t>
        </is>
      </c>
      <c r="B26" s="56" t="inlineStr">
        <is>
          <t>Rango de pendiente dominante</t>
        </is>
      </c>
      <c r="C26" s="56" t="inlineStr">
        <is>
          <t>La ficha DT declara «25-50% (Mod. escarpado)»; la estadística zonal sobre el MDE arroja una pendiente promedio de 22.51 %, que corresponde a la clase «15-25% (Fuert. inclinado)»</t>
        </is>
      </c>
      <c r="D26" s="56" t="inlineStr">
        <is>
          <t>NO SUSTANTIVA</t>
        </is>
      </c>
      <c r="E26"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7">
      <c r="A27" s="55" t="inlineStr">
        <is>
          <t>H-02</t>
        </is>
      </c>
      <c r="B27" s="55" t="inlineStr">
        <is>
          <t>Inventario georreferenciado de cárcavas</t>
        </is>
      </c>
      <c r="C27" s="55" t="inlineStr">
        <is>
          <t>El inventario de cárcavas no fue ejecutado o no consta en la ficha DT</t>
        </is>
      </c>
      <c r="D27" s="55" t="inlineStr">
        <is>
          <t>SUSTANTIVA</t>
        </is>
      </c>
      <c r="E27" s="55"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8">
      <c r="A28" s="56" t="inlineStr">
        <is>
          <t>H-03</t>
        </is>
      </c>
      <c r="B28" s="56" t="inlineStr">
        <is>
          <t>Elenco florístico</t>
        </is>
      </c>
      <c r="C28" s="56" t="inlineStr">
        <is>
          <t>La ficha registra 7 taxones, por debajo del mínimo de 15 que exige el formato V5</t>
        </is>
      </c>
      <c r="D28" s="56" t="inlineStr">
        <is>
          <t>SUSTANTIVA</t>
        </is>
      </c>
      <c r="E28" s="56" t="inlineStr">
        <is>
          <t>Registro florístico preliminar, sin colecta ni determinación botánica formal. Debe cerrarse con colecta botánica en la siguiente campaña. (Verificación heredada de la ficha de resumen V6.)</t>
        </is>
      </c>
    </row>
    <row r="29">
      <c r="A29" s="55" t="inlineStr">
        <is>
          <t>H-04</t>
        </is>
      </c>
      <c r="B29" s="55" t="inlineStr">
        <is>
          <t>Centro poblado asociado</t>
        </is>
      </c>
      <c r="C29" s="55" t="inlineStr">
        <is>
          <t>La ficha DT declara «Platanal Bajo»; el cruce INEI-Bloques V5 identifica 1 centro(s) poblado(s) en el bloque: PLATANAL BAJO</t>
        </is>
      </c>
      <c r="D29" s="55" t="inlineStr">
        <is>
          <t>CONFORME</t>
        </is>
      </c>
      <c r="E29" s="55" t="inlineStr">
        <is>
          <t>Se conserva el registro de campo como referencia y se adopta el listado INEI para el diagnóstico social y el cálculo de población beneficiaria. (Verificación heredada de la ficha de resumen V6.)</t>
        </is>
      </c>
    </row>
    <row r="31">
      <c r="A31" s="57" t="inlineStr">
        <is>
          <t>RESUMEN</t>
        </is>
      </c>
      <c r="B31" s="58" t="inlineStr">
        <is>
          <t>21 verificaciones</t>
        </is>
      </c>
      <c r="C31" s="58" t="inlineStr">
        <is>
          <t>SUSTANTIVA: 3 · NO SUSTANTIVA: 1 · CORREGIDO: 5 · CONFORME: 12</t>
        </is>
      </c>
    </row>
    <row r="33">
      <c r="A33"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22</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4. Suelos y erosión (F-DT-02)</t>
        </is>
      </c>
      <c r="B9" s="55" t="inlineStr">
        <is>
          <t>Nivel general de erosión</t>
        </is>
      </c>
      <c r="C9" s="55" t="inlineStr">
        <is>
          <t>No consignado (F-DT-02 sin diligenciar)</t>
        </is>
      </c>
      <c r="D9" s="55" t="inlineStr">
        <is>
          <t>Ligera (laminar)</t>
        </is>
      </c>
      <c r="E9" s="55" t="inlineStr">
        <is>
          <t>Dato de campo</t>
        </is>
      </c>
    </row>
    <row r="10">
      <c r="A10" s="56" t="inlineStr">
        <is>
          <t>4. Suelos y erosión (F-DT-02)</t>
        </is>
      </c>
      <c r="B10" s="56" t="inlineStr">
        <is>
          <t>N.° de cárcavas registradas</t>
        </is>
      </c>
      <c r="C10" s="56" t="inlineStr">
        <is>
          <t>Sin inventario</t>
        </is>
      </c>
      <c r="D10" s="56" t="inlineStr">
        <is>
          <t>0</t>
        </is>
      </c>
      <c r="E10" s="56" t="inlineStr">
        <is>
          <t>Dato de campo</t>
        </is>
      </c>
    </row>
    <row r="11">
      <c r="A11" s="55" t="inlineStr">
        <is>
          <t>5. Ecosistema, cobertura y flora (F-DT-03)</t>
        </is>
      </c>
      <c r="B11" s="55" t="inlineStr">
        <is>
          <t>Parcela de muestreo</t>
        </is>
      </c>
      <c r="C11" s="55" t="inlineStr">
        <is>
          <t>No instalada</t>
        </is>
      </c>
      <c r="D11" s="55" t="inlineStr">
        <is>
          <t>Evaluacion a escala de bloque (recorrido / transecto)</t>
        </is>
      </c>
      <c r="E11" s="55" t="inlineStr">
        <is>
          <t>Dato de campo</t>
        </is>
      </c>
    </row>
    <row r="12">
      <c r="A12" s="56" t="inlineStr">
        <is>
          <t>8. Responsable y modalidad de la evaluación</t>
        </is>
      </c>
      <c r="B12" s="56" t="inlineStr">
        <is>
          <t>Responsable de la evaluación</t>
        </is>
      </c>
      <c r="C12" s="56" t="inlineStr">
        <is>
          <t>Juan Domínguez</t>
        </is>
      </c>
      <c r="D12" s="56" t="inlineStr">
        <is>
          <t>Ing. Juan Carlos Dominguez Varas - Especialista en Infraestructura Verde - ANIN/DIME-SESDI</t>
        </is>
      </c>
      <c r="E12" s="56" t="inlineStr">
        <is>
          <t>Dato de campo</t>
        </is>
      </c>
    </row>
    <row r="13">
      <c r="A13" s="55" t="inlineStr">
        <is>
          <t>8. Responsable y modalidad de la evaluación</t>
        </is>
      </c>
      <c r="B13" s="55" t="inlineStr">
        <is>
          <t>Correlativo de ficha</t>
        </is>
      </c>
      <c r="C13" s="55" t="inlineStr">
        <is>
          <t>Por registrar</t>
        </is>
      </c>
      <c r="D13" s="55" t="inlineStr">
        <is>
          <t>22-DT01-2026</t>
        </is>
      </c>
      <c r="E13" s="55" t="inlineStr">
        <is>
          <t>Dato de campo</t>
        </is>
      </c>
    </row>
    <row r="15">
      <c r="A15" s="53" t="inlineStr">
        <is>
          <t>B. HECHOS APORTADOS ÚNICAMENTE POR LA FICHA DE CAMPO</t>
        </is>
      </c>
    </row>
    <row r="16">
      <c r="A16" s="54" t="inlineStr">
        <is>
          <t>Sección</t>
        </is>
      </c>
      <c r="B16" s="54" t="inlineStr">
        <is>
          <t>Hecho</t>
        </is>
      </c>
      <c r="C16" s="54" t="inlineStr">
        <is>
          <t>Valor</t>
        </is>
      </c>
      <c r="D16" s="54" t="inlineStr">
        <is>
          <t>Unidad</t>
        </is>
      </c>
    </row>
    <row r="17">
      <c r="A17" s="55" t="inlineStr">
        <is>
          <t>1. Identificación y localización</t>
        </is>
      </c>
      <c r="B17" s="55" t="inlineStr">
        <is>
          <t>UTM ESTE del punto de muestreo (m)</t>
        </is>
      </c>
      <c r="C17" s="55" t="inlineStr">
        <is>
          <t>601081</t>
        </is>
      </c>
      <c r="D17" s="55" t="inlineStr">
        <is>
          <t>m</t>
        </is>
      </c>
    </row>
    <row r="18">
      <c r="A18" s="56" t="inlineStr">
        <is>
          <t>1. Identificación y localización</t>
        </is>
      </c>
      <c r="B18" s="56" t="inlineStr">
        <is>
          <t>UTM NORTE del punto de muestreo (m)</t>
        </is>
      </c>
      <c r="C18" s="56" t="inlineStr">
        <is>
          <t>9442850</t>
        </is>
      </c>
      <c r="D18" s="56" t="inlineStr">
        <is>
          <t>m</t>
        </is>
      </c>
    </row>
    <row r="19">
      <c r="A19" s="55" t="inlineStr">
        <is>
          <t>2. Parámetros físicos del terreno</t>
        </is>
      </c>
      <c r="B19" s="55" t="inlineStr">
        <is>
          <t>Altitud GPS del punto de muestreo (msnm)</t>
        </is>
      </c>
      <c r="C19" s="55" t="inlineStr">
        <is>
          <t>206</t>
        </is>
      </c>
      <c r="D19" s="55" t="inlineStr">
        <is>
          <t>msnm</t>
        </is>
      </c>
    </row>
    <row r="20">
      <c r="A20" s="56" t="inlineStr">
        <is>
          <t>2. Parámetros físicos del terreno</t>
        </is>
      </c>
      <c r="B20" s="56" t="inlineStr">
        <is>
          <t>Piso altitudinal del punto de muestreo</t>
        </is>
      </c>
      <c r="C20" s="56" t="inlineStr">
        <is>
          <t>&lt;1000 m (Yunga)</t>
        </is>
      </c>
      <c r="D20" s="56" t="inlineStr"/>
    </row>
    <row r="21">
      <c r="A21" s="55" t="inlineStr">
        <is>
          <t>2. Parámetros físicos del terreno</t>
        </is>
      </c>
      <c r="B21" s="55" t="inlineStr">
        <is>
          <t>Paisaje dominante descrito en campo</t>
        </is>
      </c>
      <c r="C21" s="55" t="inlineStr">
        <is>
          <t>Sistema de laderas convexo-concavas tributarias de la quebrada Q9556 (microcuenca C1096-Q9556), de colina media, con rango altitudinal de bloque 235-596 msnm (desnivel 361 m) y pendiente media de 22.51 grados equivalente a 41.5 %. Bosque estacionalmente seco de colina y montana con dosel continuo; quebrada s/n de regimen estacional que atraviesa el bloque de N a S y descarga a un baden en la via afirmada al pie del bloque, aguas arriba del CP Platanal Bajo.</t>
        </is>
      </c>
      <c r="D21" s="55" t="inlineStr"/>
    </row>
    <row r="22">
      <c r="A22" s="56" t="inlineStr">
        <is>
          <t>2. Parámetros físicos del terreno</t>
        </is>
      </c>
      <c r="B22" s="56" t="inlineStr">
        <is>
          <t>Reptación de suelo</t>
        </is>
      </c>
      <c r="C22" s="56" t="inlineStr">
        <is>
          <t>No</t>
        </is>
      </c>
      <c r="D22" s="56" t="inlineStr"/>
    </row>
    <row r="23">
      <c r="A23" s="55" t="inlineStr">
        <is>
          <t>2. Parámetros físicos del terreno</t>
        </is>
      </c>
      <c r="B23" s="55" t="inlineStr">
        <is>
          <t>Deslizamientos antiguos</t>
        </is>
      </c>
      <c r="C23" s="55" t="inlineStr">
        <is>
          <t>No</t>
        </is>
      </c>
      <c r="D23" s="55" t="inlineStr"/>
    </row>
    <row r="24">
      <c r="A24" s="56" t="inlineStr">
        <is>
          <t>4. Suelos y erosión (F-DT-02)</t>
        </is>
      </c>
      <c r="B24" s="56" t="inlineStr">
        <is>
          <t>Nivel de erosión - síntesis de campo</t>
        </is>
      </c>
      <c r="C24" s="56" t="inlineStr">
        <is>
          <t>Ligera (laminar)</t>
        </is>
      </c>
      <c r="D24" s="56" t="inlineStr"/>
    </row>
    <row r="25">
      <c r="A25" s="55" t="inlineStr">
        <is>
          <t>4. Suelos y erosión (F-DT-02)</t>
        </is>
      </c>
      <c r="B25" s="55" t="inlineStr">
        <is>
          <t>Sellamiento / costra superficial</t>
        </is>
      </c>
      <c r="C25" s="55" t="inlineStr">
        <is>
          <t>No</t>
        </is>
      </c>
      <c r="D25" s="55" t="inlineStr"/>
    </row>
    <row r="26">
      <c r="A26" s="56" t="inlineStr">
        <is>
          <t>4. Suelos y erosión (F-DT-02)</t>
        </is>
      </c>
      <c r="B26" s="56" t="inlineStr">
        <is>
          <t>Compactación por pisoteo</t>
        </is>
      </c>
      <c r="C26" s="56" t="inlineStr">
        <is>
          <t>No</t>
        </is>
      </c>
      <c r="D26" s="56" t="inlineStr"/>
    </row>
    <row r="27">
      <c r="A27" s="55" t="inlineStr">
        <is>
          <t>4. Suelos y erosión (F-DT-02)</t>
        </is>
      </c>
      <c r="B27" s="55" t="inlineStr">
        <is>
          <t>Raíces expuestas</t>
        </is>
      </c>
      <c r="C27" s="55" t="inlineStr">
        <is>
          <t>No</t>
        </is>
      </c>
      <c r="D27" s="55" t="inlineStr"/>
    </row>
    <row r="28">
      <c r="A28" s="56" t="inlineStr">
        <is>
          <t>4. Suelos y erosión (F-DT-02)</t>
        </is>
      </c>
      <c r="B28" s="56" t="inlineStr">
        <is>
          <t>Longitud total de cárcavas (m)</t>
        </is>
      </c>
      <c r="C28" s="56" t="inlineStr">
        <is>
          <t>0</t>
        </is>
      </c>
      <c r="D28" s="56" t="inlineStr">
        <is>
          <t>m</t>
        </is>
      </c>
    </row>
    <row r="29">
      <c r="A29" s="55" t="inlineStr">
        <is>
          <t>4. Suelos y erosión (F-DT-02)</t>
        </is>
      </c>
      <c r="B29" s="55" t="inlineStr">
        <is>
          <t>% del bloque afectado por cárcavas</t>
        </is>
      </c>
      <c r="C29" s="55" t="inlineStr">
        <is>
          <t>0</t>
        </is>
      </c>
      <c r="D29" s="55" t="inlineStr">
        <is>
          <t>%</t>
        </is>
      </c>
    </row>
    <row r="30">
      <c r="A30" s="56" t="inlineStr">
        <is>
          <t>4. Suelos y erosión (F-DT-02)</t>
        </is>
      </c>
      <c r="B30" s="56" t="inlineStr">
        <is>
          <t>Socavamiento de cauce</t>
        </is>
      </c>
      <c r="C30" s="56" t="inlineStr">
        <is>
          <t>No</t>
        </is>
      </c>
      <c r="D30" s="56" t="inlineStr"/>
    </row>
    <row r="31">
      <c r="A31" s="55" t="inlineStr">
        <is>
          <t>5. Ecosistema, cobertura y flora (F-DT-03)</t>
        </is>
      </c>
      <c r="B31" s="55" t="inlineStr">
        <is>
          <t>Cobertura del dosel (%)</t>
        </is>
      </c>
      <c r="C31" s="55" t="inlineStr">
        <is>
          <t>95</t>
        </is>
      </c>
      <c r="D31" s="55" t="inlineStr">
        <is>
          <t>%</t>
        </is>
      </c>
    </row>
    <row r="32">
      <c r="A32" s="56" t="inlineStr">
        <is>
          <t>5. Ecosistema, cobertura y flora (F-DT-03)</t>
        </is>
      </c>
      <c r="B32" s="56" t="inlineStr">
        <is>
          <t>Cobertura herbácea (%)</t>
        </is>
      </c>
      <c r="C32" s="56" t="inlineStr">
        <is>
          <t>20</t>
        </is>
      </c>
      <c r="D32" s="56" t="inlineStr">
        <is>
          <t>%</t>
        </is>
      </c>
    </row>
    <row r="33">
      <c r="A33" s="55" t="inlineStr">
        <is>
          <t>5. Ecosistema, cobertura y flora (F-DT-03)</t>
        </is>
      </c>
      <c r="B33" s="55" t="inlineStr">
        <is>
          <t>Altura máxima registrada (m)</t>
        </is>
      </c>
      <c r="C33" s="55" t="inlineStr">
        <is>
          <t>12</t>
        </is>
      </c>
      <c r="D33" s="55" t="inlineStr">
        <is>
          <t>m</t>
        </is>
      </c>
    </row>
    <row r="34">
      <c r="A34" s="56" t="inlineStr">
        <is>
          <t>5. Ecosistema, cobertura y flora (F-DT-03)</t>
        </is>
      </c>
      <c r="B34" s="56" t="inlineStr">
        <is>
          <t>Presencia de epífitas</t>
        </is>
      </c>
      <c r="C34" s="56" t="inlineStr">
        <is>
          <t>No</t>
        </is>
      </c>
      <c r="D34" s="56" t="inlineStr"/>
    </row>
    <row r="35">
      <c r="A35" s="55" t="inlineStr">
        <is>
          <t>5. Ecosistema, cobertura y flora (F-DT-03)</t>
        </is>
      </c>
      <c r="B35" s="55" t="inlineStr">
        <is>
          <t>Fenología dominante</t>
        </is>
      </c>
      <c r="C35" s="55" t="inlineStr">
        <is>
          <t>Floración</t>
        </is>
      </c>
      <c r="D35" s="55" t="inlineStr"/>
    </row>
    <row r="36">
      <c r="A36" s="56" t="inlineStr">
        <is>
          <t>5. Ecosistema, cobertura y flora (F-DT-03)</t>
        </is>
      </c>
      <c r="B36" s="56" t="inlineStr">
        <is>
          <t>Dimensiones de la parcela (m)</t>
        </is>
      </c>
      <c r="C36" s="56" t="inlineStr">
        <is>
          <t>No aplica (evaluacion a escala de bloque)</t>
        </is>
      </c>
      <c r="D36" s="56" t="inlineStr"/>
    </row>
    <row r="37">
      <c r="A37" s="55" t="inlineStr">
        <is>
          <t>5. Ecosistema, cobertura y flora (F-DT-03)</t>
        </is>
      </c>
      <c r="B37" s="55" t="inlineStr">
        <is>
          <t>Pendiente de la parcela (%)</t>
        </is>
      </c>
      <c r="C37" s="55" t="inlineStr">
        <is>
          <t>41.45</t>
        </is>
      </c>
      <c r="D37" s="55" t="inlineStr">
        <is>
          <t>%</t>
        </is>
      </c>
    </row>
    <row r="38">
      <c r="A38" s="56" t="inlineStr">
        <is>
          <t>5. Ecosistema, cobertura y flora (F-DT-03)</t>
        </is>
      </c>
      <c r="B38" s="56" t="inlineStr">
        <is>
          <t>Especies clave georreferenciadas</t>
        </is>
      </c>
      <c r="C38" s="56" t="inlineStr">
        <is>
          <t>1</t>
        </is>
      </c>
      <c r="D38" s="56" t="inlineStr"/>
    </row>
    <row r="39">
      <c r="A39" s="55" t="inlineStr">
        <is>
          <t>6. Degradación, causas y urgencia (F-DT-04)</t>
        </is>
      </c>
      <c r="B39" s="55" t="inlineStr">
        <is>
          <t>Causas directas de la degradación</t>
        </is>
      </c>
      <c r="C39" s="55" t="inlineStr">
        <is>
          <t>La degradacion leve del ecosistema se debe principalmente al pastoreo de ganado caprino y a la extraccion de lena para uso domestico por parte de la poblacion de Platanal Bajo; se suma una expansion urbana/vial incipiente al pie del bloque. Ambas presiones son de intensidad ligera y de extension acotada al borde del poligono.</t>
        </is>
      </c>
      <c r="D39" s="55" t="inlineStr"/>
    </row>
    <row r="40">
      <c r="A40" s="56" t="inlineStr">
        <is>
          <t>6. Degradación, causas y urgencia (F-DT-04)</t>
        </is>
      </c>
      <c r="B40" s="56" t="inlineStr">
        <is>
          <t>N.° de causas activas en la matriz F-DT-04</t>
        </is>
      </c>
      <c r="C40" s="56" t="inlineStr">
        <is>
          <t>3</t>
        </is>
      </c>
      <c r="D40" s="56" t="inlineStr"/>
    </row>
    <row r="41">
      <c r="A41" s="55" t="inlineStr">
        <is>
          <t>7. Hidrología, acceso y logística (F-DT-05)</t>
        </is>
      </c>
      <c r="B41" s="55" t="inlineStr">
        <is>
          <t>Escorrentía concentrada</t>
        </is>
      </c>
      <c r="C41" s="55" t="inlineStr">
        <is>
          <t>No</t>
        </is>
      </c>
      <c r="D41" s="55" t="inlineStr"/>
    </row>
    <row r="42">
      <c r="A42" s="56" t="inlineStr">
        <is>
          <t>7. Hidrología, acceso y logística (F-DT-05)</t>
        </is>
      </c>
      <c r="B42" s="56" t="inlineStr">
        <is>
          <t>Fuentes de agua inventariadas</t>
        </is>
      </c>
      <c r="C42" s="56" t="inlineStr">
        <is>
          <t>1</t>
        </is>
      </c>
      <c r="D42" s="56" t="inlineStr"/>
    </row>
    <row r="43">
      <c r="A43" s="55" t="inlineStr">
        <is>
          <t>7. Hidrología, acceso y logística (F-DT-05)</t>
        </is>
      </c>
      <c r="B43" s="55" t="inlineStr">
        <is>
          <t>Vía principal de acceso</t>
        </is>
      </c>
      <c r="C43" s="55" t="inlineStr">
        <is>
          <t>Via vecinal afirmada Chulucanas - Platanal Bajo (codigo de ruta MTC por confirmar)</t>
        </is>
      </c>
      <c r="D43" s="55" t="inlineStr"/>
    </row>
    <row r="44">
      <c r="A44" s="56" t="inlineStr">
        <is>
          <t>7. Hidrología, acceso y logística (F-DT-05)</t>
        </is>
      </c>
      <c r="B44" s="56" t="inlineStr">
        <is>
          <t>Tipo de vía del tramo final</t>
        </is>
      </c>
      <c r="C44" s="56" t="inlineStr">
        <is>
          <t>Vecinal afirmada</t>
        </is>
      </c>
      <c r="D44" s="56" t="inlineStr"/>
    </row>
    <row r="45">
      <c r="A45" s="55" t="inlineStr">
        <is>
          <t>7. Hidrología, acceso y logística (F-DT-05)</t>
        </is>
      </c>
      <c r="B45" s="55" t="inlineStr">
        <is>
          <t>Transitabilidad en época seca</t>
        </is>
      </c>
      <c r="C45" s="55" t="inlineStr">
        <is>
          <t>Alto</t>
        </is>
      </c>
      <c r="D45" s="55" t="inlineStr"/>
    </row>
    <row r="46">
      <c r="A46" s="56" t="inlineStr">
        <is>
          <t>7. Hidrología, acceso y logística (F-DT-05)</t>
        </is>
      </c>
      <c r="B46" s="56" t="inlineStr">
        <is>
          <t>Operador con cobertura</t>
        </is>
      </c>
      <c r="C46" s="56" t="inlineStr">
        <is>
          <t>Claro</t>
        </is>
      </c>
      <c r="D46" s="56" t="inlineStr"/>
    </row>
    <row r="47">
      <c r="A47" s="55" t="inlineStr">
        <is>
          <t>7. Hidrología, acceso y logística (F-DT-05)</t>
        </is>
      </c>
      <c r="B47" s="55" t="inlineStr">
        <is>
          <t>Requiere coordinación con ronda / comunidad</t>
        </is>
      </c>
      <c r="C47" s="55" t="inlineStr">
        <is>
          <t>No</t>
        </is>
      </c>
      <c r="D47" s="55" t="inlineStr"/>
    </row>
    <row r="49">
      <c r="A49" s="53" t="inlineStr">
        <is>
          <t>C. PROCEDENCIA DE LOS HECHOS DECLARADOS</t>
        </is>
      </c>
    </row>
    <row r="50">
      <c r="A50" s="54" t="inlineStr">
        <is>
          <t>Fuente</t>
        </is>
      </c>
      <c r="B50" s="54" t="inlineStr">
        <is>
          <t>Hechos</t>
        </is>
      </c>
      <c r="C50" s="54" t="inlineStr">
        <is>
          <t>Alcance de la fuente</t>
        </is>
      </c>
    </row>
    <row r="51">
      <c r="A51" s="55" t="inlineStr">
        <is>
          <t>Dato de campo</t>
        </is>
      </c>
      <c r="B51" s="55" t="n">
        <v>62</v>
      </c>
      <c r="C51" s="55" t="inlineStr">
        <is>
          <t>Verificación en campo. Fichas F-DT-01 a F-DT-05 de la Plantilla DT Campo Check Validada V5, suscritas por el evaluador.</t>
        </is>
      </c>
    </row>
    <row r="52">
      <c r="A52" s="56" t="inlineStr">
        <is>
          <t>Gabinete (GIS / teledetección)</t>
        </is>
      </c>
      <c r="B52" s="56" t="n">
        <v>22</v>
      </c>
      <c r="C52" s="56" t="inlineStr">
        <is>
          <t>Gabinete. Estadística zonal sobre el MDE y compuestos Sentinel-2 (NDVI mediana 2025, MSAVI 2024 por clase DN).</t>
        </is>
      </c>
    </row>
    <row r="53">
      <c r="A53" s="55" t="inlineStr">
        <is>
          <t>Fuente oficial</t>
        </is>
      </c>
      <c r="B53" s="55" t="n">
        <v>14</v>
      </c>
      <c r="C53" s="55" t="inlineStr">
        <is>
          <t>Fuente oficial. Catálogo maestro Bloques V5/V6, división política INEI y codificación de microcuencas de la ANA.</t>
        </is>
      </c>
    </row>
    <row r="55">
      <c r="A55" s="53" t="inlineStr">
        <is>
          <t>D. ESTADO DEL CRUCE ENTRE FUENTES</t>
        </is>
      </c>
    </row>
    <row r="56">
      <c r="A56" s="54" t="inlineStr">
        <is>
          <t>Estado</t>
        </is>
      </c>
      <c r="B56" s="54" t="inlineStr">
        <is>
          <t>Hechos</t>
        </is>
      </c>
      <c r="C56" s="54" t="inlineStr">
        <is>
          <t>Significado</t>
        </is>
      </c>
    </row>
    <row r="57">
      <c r="A57" s="55" t="inlineStr">
        <is>
          <t>CONFORME</t>
        </is>
      </c>
      <c r="B57" s="55" t="n">
        <v>92</v>
      </c>
      <c r="C57" s="55" t="inlineStr">
        <is>
          <t>Las dos fuentes declaran lo mismo, o solo la fuente que manda sobre el hecho lo declara.</t>
        </is>
      </c>
    </row>
    <row r="58">
      <c r="A58" s="56" t="inlineStr">
        <is>
          <t>COMPLEMENTADO</t>
        </is>
      </c>
      <c r="B58" s="56" t="n">
        <v>1</v>
      </c>
      <c r="C58" s="56" t="inlineStr">
        <is>
          <t>Solo una de las fuentes lo declara y se adopta ese valor.</t>
        </is>
      </c>
    </row>
    <row r="59">
      <c r="A59" s="55" t="inlineStr">
        <is>
          <t>ACTUALIZADO</t>
        </is>
      </c>
      <c r="B59" s="55" t="n">
        <v>5</v>
      </c>
      <c r="C59" s="55" t="inlineStr">
        <is>
          <t>La verificación de campo vigente corrige lo que traía el libro de resumen.</t>
        </is>
      </c>
    </row>
    <row r="60">
      <c r="A60" s="56" t="inlineStr">
        <is>
          <t>DISCREPANTE</t>
        </is>
      </c>
      <c r="B60" s="56" t="n">
        <v>0</v>
      </c>
      <c r="C60" s="56" t="inlineStr">
        <is>
          <t>Las fuentes se contradicen; prevalece la que manda sobre el hecho y la otra queda declarada.</t>
        </is>
      </c>
    </row>
    <row r="61">
      <c r="A61" s="55" t="inlineStr">
        <is>
          <t>PENDIENTE</t>
        </is>
      </c>
      <c r="B61" s="55" t="n">
        <v>16</v>
      </c>
      <c r="C61"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22</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Faique</t>
        </is>
      </c>
      <c r="C13" s="55" t="inlineStr">
        <is>
          <t>Vachellia macracantha (por confirmar)</t>
        </is>
      </c>
      <c r="D13" s="55" t="inlineStr">
        <is>
          <t>Fabaceae</t>
        </is>
      </c>
      <c r="E13" s="55" t="inlineStr">
        <is>
          <t>Arbóreo bajo (4-8 m)</t>
        </is>
      </c>
      <c r="F13" s="55" t="inlineStr">
        <is>
          <t>Nativa</t>
        </is>
      </c>
      <c r="G13" s="55" t="inlineStr"/>
      <c r="H13" s="60" t="n">
        <v>20</v>
      </c>
      <c r="I13" s="61" t="n">
        <v>6</v>
      </c>
    </row>
    <row r="14">
      <c r="A14" s="56" t="inlineStr">
        <is>
          <t>2</t>
        </is>
      </c>
      <c r="B14" s="56" t="inlineStr">
        <is>
          <t>Algarrobo</t>
        </is>
      </c>
      <c r="C14" s="56" t="inlineStr">
        <is>
          <t>Neltuma pallida (por confirmar)</t>
        </is>
      </c>
      <c r="D14" s="56" t="inlineStr">
        <is>
          <t>Fabaceae</t>
        </is>
      </c>
      <c r="E14" s="56" t="inlineStr">
        <is>
          <t>Arbóreo medio (8-15 m)</t>
        </is>
      </c>
      <c r="F14" s="56" t="inlineStr">
        <is>
          <t>Nativa</t>
        </is>
      </c>
      <c r="G14" s="56" t="inlineStr"/>
      <c r="H14" s="62" t="n">
        <v>30</v>
      </c>
      <c r="I14" s="62" t="n">
        <v>10</v>
      </c>
    </row>
    <row r="15">
      <c r="A15" s="55" t="inlineStr">
        <is>
          <t>3</t>
        </is>
      </c>
      <c r="B15" s="55" t="inlineStr">
        <is>
          <t>Pasallo</t>
        </is>
      </c>
      <c r="C15" s="55" t="inlineStr">
        <is>
          <t>Eriotheca ruizii (por confirmar)</t>
        </is>
      </c>
      <c r="D15" s="55" t="inlineStr">
        <is>
          <t>Malvaceae</t>
        </is>
      </c>
      <c r="E15" s="55" t="inlineStr">
        <is>
          <t>Arbóreo medio (8-15 m)</t>
        </is>
      </c>
      <c r="F15" s="55" t="inlineStr">
        <is>
          <t>Nativa</t>
        </is>
      </c>
      <c r="G15" s="55" t="inlineStr"/>
      <c r="H15" s="60" t="n">
        <v>35</v>
      </c>
      <c r="I15" s="61" t="n">
        <v>8</v>
      </c>
    </row>
    <row r="16">
      <c r="A16" s="56" t="inlineStr">
        <is>
          <t>4</t>
        </is>
      </c>
      <c r="B16" s="56" t="inlineStr">
        <is>
          <t>Charán</t>
        </is>
      </c>
      <c r="C16" s="56" t="inlineStr">
        <is>
          <t>Caesalpinia paipai (por confirmar)</t>
        </is>
      </c>
      <c r="D16" s="56" t="inlineStr">
        <is>
          <t>Fabaceae</t>
        </is>
      </c>
      <c r="E16" s="56" t="inlineStr">
        <is>
          <t>Arbóreo bajo (4-8 m)</t>
        </is>
      </c>
      <c r="F16" s="56" t="inlineStr">
        <is>
          <t>Nativa</t>
        </is>
      </c>
      <c r="G16" s="56" t="inlineStr"/>
      <c r="H16" s="62" t="n">
        <v>25</v>
      </c>
      <c r="I16" s="63" t="n">
        <v>5</v>
      </c>
    </row>
    <row r="17">
      <c r="A17" s="55" t="inlineStr">
        <is>
          <t>5</t>
        </is>
      </c>
      <c r="B17" s="55" t="inlineStr">
        <is>
          <t>Overo</t>
        </is>
      </c>
      <c r="C17" s="55" t="inlineStr">
        <is>
          <t>Cordia lutea (por confirmar)</t>
        </is>
      </c>
      <c r="D17" s="55" t="inlineStr">
        <is>
          <t>Cordiaceae</t>
        </is>
      </c>
      <c r="E17" s="55" t="inlineStr">
        <is>
          <t>Arbustivo alto (1.5-4 m)</t>
        </is>
      </c>
      <c r="F17" s="55" t="inlineStr">
        <is>
          <t>Nativa</t>
        </is>
      </c>
      <c r="G17" s="55" t="inlineStr"/>
      <c r="H17" s="60" t="n">
        <v>15</v>
      </c>
      <c r="I17" s="61" t="n">
        <v>3</v>
      </c>
    </row>
    <row r="18">
      <c r="A18" s="56" t="inlineStr">
        <is>
          <t>6</t>
        </is>
      </c>
      <c r="B18" s="56" t="inlineStr">
        <is>
          <t>Borrachera</t>
        </is>
      </c>
      <c r="C18" s="56" t="inlineStr">
        <is>
          <t>Ipomoea carnea (por confirmar)</t>
        </is>
      </c>
      <c r="D18" s="56" t="inlineStr">
        <is>
          <t>Convolvulaceae</t>
        </is>
      </c>
      <c r="E18" s="56" t="inlineStr">
        <is>
          <t>Arbustivo bajo (0.5-1.5 m)</t>
        </is>
      </c>
      <c r="F18" s="56" t="inlineStr">
        <is>
          <t>Nativa</t>
        </is>
      </c>
      <c r="G18" s="56" t="inlineStr"/>
      <c r="H18" s="63" t="n">
        <v>5</v>
      </c>
      <c r="I18" s="63" t="n">
        <v>2</v>
      </c>
    </row>
    <row r="19">
      <c r="A19" s="55" t="inlineStr">
        <is>
          <t>7</t>
        </is>
      </c>
      <c r="B19" s="55" t="inlineStr">
        <is>
          <t>Cardos</t>
        </is>
      </c>
      <c r="C19" s="55" t="inlineStr">
        <is>
          <t>Cactaceae indet. (por confirmar)</t>
        </is>
      </c>
      <c r="D19" s="55" t="inlineStr">
        <is>
          <t>Cactaceae</t>
        </is>
      </c>
      <c r="E19" s="55" t="inlineStr">
        <is>
          <t>Arbustivo alto (1.5-4 m)</t>
        </is>
      </c>
      <c r="F19" s="55" t="inlineStr">
        <is>
          <t>Nativa</t>
        </is>
      </c>
      <c r="G19" s="55" t="inlineStr"/>
      <c r="H19" s="60" t="n">
        <v>10</v>
      </c>
      <c r="I19" s="61" t="n">
        <v>4</v>
      </c>
    </row>
    <row r="21">
      <c r="A21" s="53" t="inlineStr">
        <is>
          <t>F-DT-03 · ESPECIES CLAVE GEORREFERENCIADAS</t>
        </is>
      </c>
    </row>
    <row r="22">
      <c r="A22" s="54" t="inlineStr">
        <is>
          <t>N.o</t>
        </is>
      </c>
      <c r="B22" s="54" t="inlineStr">
        <is>
          <t>Especie</t>
        </is>
      </c>
      <c r="C22" s="54" t="inlineStr">
        <is>
          <t>Categoría</t>
        </is>
      </c>
      <c r="D22" s="54" t="inlineStr">
        <is>
          <t>Estado UICN</t>
        </is>
      </c>
      <c r="E22" s="54" t="inlineStr">
        <is>
          <t>UTM ESTE</t>
        </is>
      </c>
      <c r="F22" s="54" t="inlineStr">
        <is>
          <t>UTM NORTE</t>
        </is>
      </c>
      <c r="G22" s="54" t="inlineStr">
        <is>
          <t>N.° individuos</t>
        </is>
      </c>
      <c r="H22" s="54" t="inlineStr">
        <is>
          <t>Observación</t>
        </is>
      </c>
    </row>
    <row r="23">
      <c r="A23" s="55" t="inlineStr">
        <is>
          <t>1</t>
        </is>
      </c>
      <c r="B23" s="55" t="inlineStr">
        <is>
          <t>Pasallo — Eriotheca ruizii</t>
        </is>
      </c>
      <c r="C23" s="55" t="inlineStr">
        <is>
          <t>Amenazada (D.S. 043-2006-AG)</t>
        </is>
      </c>
      <c r="D23" s="55" t="inlineStr">
        <is>
          <t>VU — Vulnerable</t>
        </is>
      </c>
      <c r="E23" s="55" t="n"/>
      <c r="F23" s="55" t="n"/>
      <c r="G23" s="55" t="n"/>
      <c r="H23" s="55" t="inlineStr">
        <is>
          <t>Registrado en el inventario preliminar del bloque (DAP medio 35 cm, altura 8 m). Coordenadas, numero de individuos y fotografia por levantar.</t>
        </is>
      </c>
    </row>
    <row r="25">
      <c r="A25" s="53" t="inlineStr">
        <is>
          <t>F-DT-04 · MATRIZ DE CAUSAS DE DEGRADACIÓN</t>
        </is>
      </c>
    </row>
    <row r="26">
      <c r="A26" s="54" t="inlineStr">
        <is>
          <t>N.o</t>
        </is>
      </c>
      <c r="B26" s="54" t="inlineStr">
        <is>
          <t>Causa</t>
        </is>
      </c>
      <c r="C26" s="54" t="inlineStr">
        <is>
          <t>Presencia</t>
        </is>
      </c>
      <c r="D26" s="54" t="inlineStr">
        <is>
          <t>Intensidad</t>
        </is>
      </c>
      <c r="E26" s="54" t="inlineStr">
        <is>
          <t>Extensión</t>
        </is>
      </c>
      <c r="F26" s="54" t="inlineStr">
        <is>
          <t>Antigüedad</t>
        </is>
      </c>
      <c r="G26" s="54" t="inlineStr">
        <is>
          <t>Evidencia</t>
        </is>
      </c>
    </row>
    <row r="27">
      <c r="A27" s="55" t="inlineStr">
        <is>
          <t>1</t>
        </is>
      </c>
      <c r="B27" s="55" t="inlineStr">
        <is>
          <t>Sobrepastoreo (caprino/vacuno)</t>
        </is>
      </c>
      <c r="C27" s="55" t="inlineStr">
        <is>
          <t>Sí</t>
        </is>
      </c>
      <c r="D27" s="55" t="inlineStr">
        <is>
          <t>Ligera</t>
        </is>
      </c>
      <c r="E27" s="55" t="inlineStr">
        <is>
          <t>15</t>
        </is>
      </c>
      <c r="F27" s="55" t="inlineStr">
        <is>
          <t>30</t>
        </is>
      </c>
      <c r="G27" s="55" t="inlineStr">
        <is>
          <t>Se observo ganado caprino en el entorno del CP Platanal Bajo; ramoneo de bajo impacto</t>
        </is>
      </c>
    </row>
    <row r="28">
      <c r="A28" s="56" t="inlineStr">
        <is>
          <t>2</t>
        </is>
      </c>
      <c r="B28" s="56" t="inlineStr">
        <is>
          <t>Tala para leña</t>
        </is>
      </c>
      <c r="C28" s="56" t="inlineStr">
        <is>
          <t>Sí</t>
        </is>
      </c>
      <c r="D28" s="56" t="inlineStr">
        <is>
          <t>Ligera</t>
        </is>
      </c>
      <c r="E28" s="56" t="inlineStr">
        <is>
          <t>5</t>
        </is>
      </c>
      <c r="F28" s="56" t="inlineStr">
        <is>
          <t>30</t>
        </is>
      </c>
      <c r="G28" s="56" t="inlineStr">
        <is>
          <t>Se observo lena apilada en viviendas del CP, extraida de areas proximas al bloque</t>
        </is>
      </c>
    </row>
    <row r="29">
      <c r="A29" s="55" t="inlineStr">
        <is>
          <t>3</t>
        </is>
      </c>
      <c r="B29" s="55" t="inlineStr">
        <is>
          <t>Tala para carbón</t>
        </is>
      </c>
      <c r="C29" s="55" t="inlineStr"/>
      <c r="D29" s="55" t="inlineStr"/>
      <c r="E29" s="55" t="inlineStr"/>
      <c r="F29" s="55" t="inlineStr"/>
      <c r="G29" s="55" t="inlineStr"/>
    </row>
    <row r="30">
      <c r="A30" s="56" t="inlineStr">
        <is>
          <t>4</t>
        </is>
      </c>
      <c r="B30" s="56" t="inlineStr">
        <is>
          <t>Tala para madera</t>
        </is>
      </c>
      <c r="C30" s="56" t="inlineStr"/>
      <c r="D30" s="56" t="inlineStr"/>
      <c r="E30" s="56" t="inlineStr"/>
      <c r="F30" s="56" t="inlineStr"/>
      <c r="G30" s="56" t="inlineStr"/>
    </row>
    <row r="31">
      <c r="A31" s="55" t="inlineStr">
        <is>
          <t>5</t>
        </is>
      </c>
      <c r="B31" s="55" t="inlineStr">
        <is>
          <t>Quema (renovación de pastos)</t>
        </is>
      </c>
      <c r="C31" s="55" t="inlineStr"/>
      <c r="D31" s="55" t="inlineStr"/>
      <c r="E31" s="55" t="inlineStr"/>
      <c r="F31" s="55" t="inlineStr"/>
      <c r="G31" s="55" t="inlineStr"/>
    </row>
    <row r="32">
      <c r="A32" s="56" t="inlineStr">
        <is>
          <t>6</t>
        </is>
      </c>
      <c r="B32" s="56" t="inlineStr">
        <is>
          <t>Quema accidental / Incendio</t>
        </is>
      </c>
      <c r="C32" s="56" t="inlineStr"/>
      <c r="D32" s="56" t="inlineStr"/>
      <c r="E32" s="56" t="inlineStr"/>
      <c r="F32" s="56" t="inlineStr"/>
      <c r="G32" s="56" t="inlineStr"/>
    </row>
    <row r="33">
      <c r="A33" s="55" t="inlineStr">
        <is>
          <t>7</t>
        </is>
      </c>
      <c r="B33" s="55" t="inlineStr">
        <is>
          <t>Cambio de uso a agricultura</t>
        </is>
      </c>
      <c r="C33" s="55" t="inlineStr"/>
      <c r="D33" s="55" t="inlineStr"/>
      <c r="E33" s="55" t="inlineStr"/>
      <c r="F33" s="55" t="inlineStr"/>
      <c r="G33" s="55" t="inlineStr"/>
    </row>
    <row r="34">
      <c r="A34" s="56" t="inlineStr">
        <is>
          <t>8</t>
        </is>
      </c>
      <c r="B34" s="56" t="inlineStr">
        <is>
          <t>Cambio de uso a pastoreo</t>
        </is>
      </c>
      <c r="C34" s="56" t="inlineStr"/>
      <c r="D34" s="56" t="inlineStr"/>
      <c r="E34" s="56" t="inlineStr"/>
      <c r="F34" s="56" t="inlineStr"/>
      <c r="G34" s="56" t="inlineStr"/>
    </row>
    <row r="35">
      <c r="A35" s="55" t="inlineStr">
        <is>
          <t>9</t>
        </is>
      </c>
      <c r="B35" s="55" t="inlineStr">
        <is>
          <t>Expansión urbana / vial</t>
        </is>
      </c>
      <c r="C35" s="55" t="inlineStr">
        <is>
          <t>Sí</t>
        </is>
      </c>
      <c r="D35" s="55" t="inlineStr">
        <is>
          <t>Ligera</t>
        </is>
      </c>
      <c r="E35" s="55" t="inlineStr">
        <is>
          <t>2</t>
        </is>
      </c>
      <c r="F35" s="55" t="inlineStr">
        <is>
          <t>10</t>
        </is>
      </c>
      <c r="G35" s="55" t="inlineStr">
        <is>
          <t>Se observaron nuevas edificaciones y ampliacion vial al pie del bloque</t>
        </is>
      </c>
    </row>
    <row r="36">
      <c r="A36" s="56" t="inlineStr">
        <is>
          <t>10</t>
        </is>
      </c>
      <c r="B36" s="56" t="inlineStr">
        <is>
          <t>Minería informal</t>
        </is>
      </c>
      <c r="C36" s="56" t="inlineStr"/>
      <c r="D36" s="56" t="inlineStr"/>
      <c r="E36" s="56" t="inlineStr"/>
      <c r="F36" s="56" t="inlineStr"/>
      <c r="G36" s="56" t="inlineStr"/>
    </row>
    <row r="37">
      <c r="A37" s="55" t="inlineStr">
        <is>
          <t>11</t>
        </is>
      </c>
      <c r="B37" s="55" t="inlineStr">
        <is>
          <t>Extracción de áridos (cauces)</t>
        </is>
      </c>
      <c r="C37" s="55" t="inlineStr"/>
      <c r="D37" s="55" t="inlineStr"/>
      <c r="E37" s="55" t="inlineStr"/>
      <c r="F37" s="55" t="inlineStr"/>
      <c r="G37" s="55" t="inlineStr"/>
    </row>
    <row r="38">
      <c r="A38" s="56" t="inlineStr">
        <is>
          <t>12</t>
        </is>
      </c>
      <c r="B38" s="56" t="inlineStr">
        <is>
          <t>Especies invasoras</t>
        </is>
      </c>
      <c r="C38" s="56" t="inlineStr"/>
      <c r="D38" s="56" t="inlineStr"/>
      <c r="E38" s="56" t="inlineStr"/>
      <c r="F38" s="56" t="inlineStr"/>
      <c r="G38" s="56" t="inlineStr"/>
    </row>
    <row r="39">
      <c r="A39" s="55" t="inlineStr">
        <is>
          <t>13</t>
        </is>
      </c>
      <c r="B39" s="55" t="inlineStr">
        <is>
          <t>Erosión natural severa</t>
        </is>
      </c>
      <c r="C39" s="55" t="inlineStr"/>
      <c r="D39" s="55" t="inlineStr"/>
      <c r="E39" s="55" t="inlineStr"/>
      <c r="F39" s="55" t="inlineStr"/>
      <c r="G39" s="55" t="inlineStr"/>
    </row>
    <row r="40">
      <c r="A40" s="56" t="inlineStr">
        <is>
          <t>14</t>
        </is>
      </c>
      <c r="B40" s="56" t="inlineStr">
        <is>
          <t>Sequía prolongada / CC</t>
        </is>
      </c>
      <c r="C40" s="56" t="inlineStr"/>
      <c r="D40" s="56" t="inlineStr"/>
      <c r="E40" s="56" t="inlineStr"/>
      <c r="F40" s="56" t="inlineStr"/>
      <c r="G40" s="56" t="inlineStr"/>
    </row>
    <row r="41">
      <c r="A41" s="55" t="inlineStr">
        <is>
          <t>15</t>
        </is>
      </c>
      <c r="B41" s="55" t="inlineStr">
        <is>
          <t>Plagas o enfermedades forestales</t>
        </is>
      </c>
      <c r="C41" s="55" t="inlineStr"/>
      <c r="D41" s="55" t="inlineStr"/>
      <c r="E41" s="55" t="inlineStr"/>
      <c r="F41" s="55" t="inlineStr"/>
      <c r="G41" s="55" t="inlineStr"/>
    </row>
    <row r="42">
      <c r="A42" s="56" t="inlineStr">
        <is>
          <t>16</t>
        </is>
      </c>
      <c r="B42" s="56" t="inlineStr">
        <is>
          <t>Otro</t>
        </is>
      </c>
      <c r="C42" s="56" t="inlineStr"/>
      <c r="D42" s="56" t="inlineStr"/>
      <c r="E42" s="56" t="inlineStr"/>
      <c r="F42" s="56" t="inlineStr"/>
      <c r="G42" s="56" t="inlineStr"/>
    </row>
    <row r="44">
      <c r="A44" s="53" t="inlineStr">
        <is>
          <t>F-DT-04 · INDICADORES CUANTITATIVOS</t>
        </is>
      </c>
    </row>
    <row r="45">
      <c r="A45" s="54" t="inlineStr">
        <is>
          <t>N.o</t>
        </is>
      </c>
      <c r="B45" s="54" t="inlineStr">
        <is>
          <t>Indicador</t>
        </is>
      </c>
      <c r="C45" s="54" t="inlineStr">
        <is>
          <t>Unidad</t>
        </is>
      </c>
      <c r="D45" s="54" t="inlineStr">
        <is>
          <t>Valor</t>
        </is>
      </c>
      <c r="E45" s="54" t="inlineStr">
        <is>
          <t>Fuente</t>
        </is>
      </c>
      <c r="F45" s="54" t="inlineStr">
        <is>
          <t>Umbral</t>
        </is>
      </c>
      <c r="G45" s="54" t="inlineStr">
        <is>
          <t>Nivel</t>
        </is>
      </c>
    </row>
    <row r="46">
      <c r="A46" s="55" t="inlineStr">
        <is>
          <t>1</t>
        </is>
      </c>
      <c r="B46" s="55" t="inlineStr">
        <is>
          <t>Cobertura vegetal total</t>
        </is>
      </c>
      <c r="C46" s="55" t="inlineStr">
        <is>
          <t>%</t>
        </is>
      </c>
      <c r="D46" s="55" t="inlineStr">
        <is>
          <t>95</t>
        </is>
      </c>
      <c r="E46" s="55" t="inlineStr">
        <is>
          <t>Estimacion visual de campo; contraste MSAVI 2024 = 0.4232</t>
        </is>
      </c>
      <c r="F46" s="55" t="inlineStr">
        <is>
          <t>&gt;60% bueno; 30-60% medio; &lt;30% malo</t>
        </is>
      </c>
      <c r="G46" s="55" t="inlineStr">
        <is>
          <t>Alto</t>
        </is>
      </c>
    </row>
    <row r="47">
      <c r="A47" s="56" t="inlineStr">
        <is>
          <t>2</t>
        </is>
      </c>
      <c r="B47" s="56" t="inlineStr">
        <is>
          <t>Porcentaje de suelo desnudo</t>
        </is>
      </c>
      <c r="C47" s="56" t="inlineStr">
        <is>
          <t>%</t>
        </is>
      </c>
      <c r="D47" s="56" t="inlineStr">
        <is>
          <t>5</t>
        </is>
      </c>
      <c r="E47" s="56" t="inlineStr">
        <is>
          <t>Estimacion visual de campo</t>
        </is>
      </c>
      <c r="F47" s="56" t="inlineStr">
        <is>
          <t>&lt;10% bueno; 10-30% medio; &gt;30% malo</t>
        </is>
      </c>
      <c r="G47" s="56" t="inlineStr">
        <is>
          <t>Bajo</t>
        </is>
      </c>
    </row>
    <row r="48">
      <c r="A48" s="55" t="inlineStr">
        <is>
          <t>3</t>
        </is>
      </c>
      <c r="B48" s="55" t="inlineStr">
        <is>
          <t>Densidad de cárcavas</t>
        </is>
      </c>
      <c r="C48" s="55" t="inlineStr">
        <is>
          <t>N°/ha</t>
        </is>
      </c>
      <c r="D48" s="55" t="inlineStr">
        <is>
          <t>1</t>
        </is>
      </c>
      <c r="E48" s="55" t="inlineStr">
        <is>
          <t>Estimacion visual (sin inventario georreferenciado)</t>
        </is>
      </c>
      <c r="F48" s="55" t="inlineStr">
        <is>
          <t>0 nulo; 1-3 medio; &gt;3 alto</t>
        </is>
      </c>
      <c r="G48" s="55" t="inlineStr">
        <is>
          <t>Bajo</t>
        </is>
      </c>
    </row>
    <row r="49">
      <c r="A49" s="56" t="inlineStr">
        <is>
          <t>4</t>
        </is>
      </c>
      <c r="B49" s="56" t="inlineStr">
        <is>
          <t>Presencia de especies invasoras</t>
        </is>
      </c>
      <c r="C49" s="56" t="inlineStr">
        <is>
          <t>% área</t>
        </is>
      </c>
      <c r="D49" s="56" t="inlineStr">
        <is>
          <t>0</t>
        </is>
      </c>
      <c r="E49" s="56" t="inlineStr">
        <is>
          <t>Estimacion visual de campo</t>
        </is>
      </c>
      <c r="F49" s="56" t="inlineStr">
        <is>
          <t>&lt;5% bueno; 5-20% medio; &gt;20% alto</t>
        </is>
      </c>
      <c r="G49" s="56" t="inlineStr">
        <is>
          <t>Bajo</t>
        </is>
      </c>
    </row>
    <row r="50">
      <c r="A50" s="55" t="inlineStr">
        <is>
          <t>5</t>
        </is>
      </c>
      <c r="B50" s="55" t="inlineStr">
        <is>
          <t>Carga ganadera estimada</t>
        </is>
      </c>
      <c r="C50" s="55" t="inlineStr">
        <is>
          <t>UA/ha</t>
        </is>
      </c>
      <c r="D50" s="55" t="inlineStr">
        <is>
          <t>1</t>
        </is>
      </c>
      <c r="E50" s="55" t="inlineStr">
        <is>
          <t>Estimacion visual de campo</t>
        </is>
      </c>
      <c r="F50" s="55" t="inlineStr">
        <is>
          <t>Según tipo de ecosistema</t>
        </is>
      </c>
      <c r="G50" s="55" t="inlineStr">
        <is>
          <t>Bajo</t>
        </is>
      </c>
    </row>
    <row r="51">
      <c r="A51" s="56" t="inlineStr">
        <is>
          <t>6</t>
        </is>
      </c>
      <c r="B51" s="56" t="inlineStr">
        <is>
          <t>Frecuencia de quemas últimos 5 años</t>
        </is>
      </c>
      <c r="C51" s="56" t="inlineStr">
        <is>
          <t>N°</t>
        </is>
      </c>
      <c r="D51" s="56" t="inlineStr">
        <is>
          <t>0</t>
        </is>
      </c>
      <c r="E51" s="56" t="inlineStr">
        <is>
          <t>Estimacion visual de campo</t>
        </is>
      </c>
      <c r="F51" s="56" t="inlineStr">
        <is>
          <t>0 nulo; 1-2 medio; &gt;2 alto</t>
        </is>
      </c>
      <c r="G51" s="56" t="inlineStr">
        <is>
          <t>Bajo</t>
        </is>
      </c>
    </row>
    <row r="52">
      <c r="A52" s="55" t="inlineStr">
        <is>
          <t>7</t>
        </is>
      </c>
      <c r="B52" s="55" t="inlineStr">
        <is>
          <t>% área con pendiente &gt;50%</t>
        </is>
      </c>
      <c r="C52" s="55" t="inlineStr">
        <is>
          <t>%</t>
        </is>
      </c>
      <c r="D52" s="55" t="inlineStr">
        <is>
          <t>40</t>
        </is>
      </c>
      <c r="E52" s="55" t="inlineStr">
        <is>
          <t>Estimacion visual de campo (pendiente media DEM = 41.5 %)</t>
        </is>
      </c>
      <c r="F52" s="55" t="inlineStr">
        <is>
          <t>Factor de susceptibilidad</t>
        </is>
      </c>
      <c r="G52" s="55" t="inlineStr">
        <is>
          <t>Medio</t>
        </is>
      </c>
    </row>
    <row r="53">
      <c r="A53" s="56" t="inlineStr">
        <is>
          <t>8</t>
        </is>
      </c>
      <c r="B53" s="56" t="inlineStr">
        <is>
          <t>Distancia a vía vecinal más cercana</t>
        </is>
      </c>
      <c r="C53" s="56" t="inlineStr">
        <is>
          <t>m</t>
        </is>
      </c>
      <c r="D53" s="56" t="inlineStr">
        <is>
          <t>250</t>
        </is>
      </c>
      <c r="E53" s="56" t="inlineStr">
        <is>
          <t>Estimacion visual de campo</t>
        </is>
      </c>
      <c r="F53" s="56" t="inlineStr">
        <is>
          <t>A menor distancia → mayor presión</t>
        </is>
      </c>
      <c r="G53" s="56" t="inlineStr">
        <is>
          <t>Medio</t>
        </is>
      </c>
    </row>
    <row r="55">
      <c r="A55" s="53" t="inlineStr">
        <is>
          <t>F-DT-05 · FUENTES DE AGUA INVENTARIADAS</t>
        </is>
      </c>
    </row>
    <row r="56">
      <c r="A56" s="54" t="inlineStr">
        <is>
          <t>N.o</t>
        </is>
      </c>
      <c r="B56" s="54" t="inlineStr">
        <is>
          <t>Tipo de fuente</t>
        </is>
      </c>
      <c r="C56" s="54" t="inlineStr">
        <is>
          <t>UTM ESTE</t>
        </is>
      </c>
      <c r="D56" s="54" t="inlineStr">
        <is>
          <t>UTM NORTE</t>
        </is>
      </c>
      <c r="E56" s="54" t="inlineStr">
        <is>
          <t>Régimen</t>
        </is>
      </c>
      <c r="F56" s="54" t="inlineStr">
        <is>
          <t>Calidad</t>
        </is>
      </c>
      <c r="G56" s="54" t="inlineStr">
        <is>
          <t>Distancia (m)</t>
        </is>
      </c>
      <c r="H56" s="54" t="inlineStr">
        <is>
          <t>Uso / observación</t>
        </is>
      </c>
    </row>
    <row r="57">
      <c r="A57" s="55" t="inlineStr">
        <is>
          <t>1</t>
        </is>
      </c>
      <c r="B57" s="55" t="inlineStr">
        <is>
          <t>Quebrada estacional</t>
        </is>
      </c>
      <c r="C57" s="55" t="n"/>
      <c r="D57" s="55" t="n"/>
      <c r="E57" s="55" t="inlineStr">
        <is>
          <t>Estacional (lluvias)</t>
        </is>
      </c>
      <c r="F57" s="55" t="inlineStr">
        <is>
          <t>No evaluable</t>
        </is>
      </c>
      <c r="G57" s="61" t="n">
        <v>0</v>
      </c>
      <c r="H57" s="55" t="inlineStr">
        <is>
          <t>Quebrada s/n tributaria de Q9556 que atraviesa el bloque de N a S y descarga en un baden de la via afirmada al pie del bloque; seca al momento de la visita. Coordenadas de inicio/fin por levantar.</t>
        </is>
      </c>
    </row>
    <row r="60">
      <c r="A60" s="53" t="inlineStr">
        <is>
          <t>OBSERVACIONES DEL EVALUADOR POR FICHA</t>
        </is>
      </c>
    </row>
    <row r="61">
      <c r="A61" s="54" t="inlineStr">
        <is>
          <t>Ficha</t>
        </is>
      </c>
      <c r="B61" s="54" t="inlineStr">
        <is>
          <t>Observación registrada en campo</t>
        </is>
      </c>
    </row>
    <row r="62">
      <c r="A62" s="55" t="inlineStr">
        <is>
          <t>F-DT-01</t>
        </is>
      </c>
      <c r="B62" s="55" t="inlineStr">
        <is>
          <t>PARAMETROS DE GABINETE (capa Bloques V5 / DEM): altitud minima 235 msnm, altitud maxima 596 msnm, desnivel 361 m; pendiente media del bloque 22.51 grados = 41.5 %; MSAVI 2024 medio 0.4232; area 79.33 ha. La pendiente media (41.5 %) es coherente con el rango de pendiente dominante declarado en campo (25-50 %). | DISCREPANCIAS DETECTADAS Y NO SILENCIADAS: (a) la ficha exportada de la aplicacion consigna en el encabezado F-DT microcuenca "C1076-Q9584" y coordenadas 645575 E / 9393500 N, valores INCOMPATIBLES con el bloque 22 (corresponden a otro ambito); se corrigen por la tabla maestra Bloques V4/V5 (C1096-Q9556; centroide 601122 E / 9443651 N) y por la evidencia cartografica (Google Earth y mapa MSAVI). (b) La Tabla 3 del Primer Entregable OS 2841 consigna para el bloque 22 las coordenadas 617078 E / 9426985 N, tambien INCOMPATIBLES; se descartan. (c) El encabezado de la ficha registra "Altitud: 0 msnm" (dato no capturado); se usa la altitud GPS del punto de muestreo (206 msnm). (d) La capa MSAVI rotula el poligono como "B4_2"; la correspondencia de rotulo con el codigo 22 debe homologarse en la base cartografica. | POR VERIFICAR: brujula de exposicion, geologia local (carta INGEMMET), delimitacion definitiva del poligono.</t>
        </is>
      </c>
    </row>
    <row r="63">
      <c r="A63" s="56" t="inlineStr">
        <is>
          <t>F-DT-02</t>
        </is>
      </c>
      <c r="B63" s="56" t="inlineStr">
        <is>
          <t>La ficha F-DT-02 NO fue diligenciada en la aplicacion de campo. Los valores aqui consignados se reconstruyen a partir del informe narrativo de la misma brigada y de la misma visita (Primer Entregable OS 2841-2026, Ing. J. C. Dominguez Varas), que registra textualmente: nivel general de erosion bajo, sin evidencia de sellamiento superficial, costras, compactacion por pisoteo, raices expuestas, surcos ni carcavas en formacion; se observan piedras de tamano pequeno a mediano en superficie. | DISCREPANCIA: el indicador 3 de la ficha F-DT-04 consigna densidad de carcavas = 1 N/ha (nivel Bajo), mientras que el informe narrativo declara densidad nula. Se mantiene el inventario en 0 carcavas por ausencia de registro georreferenciado, y se deja constancia del conflicto para su verificacion en campo. | POR DETERMINAR (requiere calicata y analisis de laboratorio): textura, profundidad efectiva, pedregosidad superficial, color Munsell, materia organica, pH y drenaje. No se estiman.</t>
        </is>
      </c>
    </row>
    <row r="64">
      <c r="A64" s="55" t="inlineStr">
        <is>
          <t>F-DT-03</t>
        </is>
      </c>
      <c r="B64" s="55" t="inlineStr">
        <is>
          <t>INVENTARIO PRELIMINAR: se registran 7 especies, por debajo del minimo de 15 de la ficha, por tratarse de un reconocimiento rapido sin parcelas de muestreo. Los nombres cientificos y familias son atribuciones preliminares a partir del nombre comun local y quedan "por confirmar" mediante colecta y determinacion botanica formal; no se colectaron muestras. La columna Abundancia no fue registrada en campo y se deja en blanco (no se estima). Las coberturas son estimaciones oculares de campo (03/07/2026) apoyadas en el MSAVI 2024 (valor medio del bloque 0.4232, clase 0.3813-0.4976 dominante). | El campo "pendiente promedio de la parcela" se completa con la pendiente media del BLOQUE derivada del DEM: 22.51 grados = 41.5 %, por haberse evaluado a escala de bloque. | Lectura de campo: cobertura conservada, impacto antropico muy leve; sin claros ni areas deforestadas dentro del bloque; mayor presencia de estrato arbustivo en el sector proximo al CP Platanal Bajo. Categorias de conservacion de las especies restantes: por determinar.</t>
        </is>
      </c>
    </row>
    <row r="65">
      <c r="A65" s="56" t="inlineStr">
        <is>
          <t>F-DT-05</t>
        </is>
      </c>
      <c r="B65" s="56" t="inlineStr">
        <is>
          <t>La ficha F-DT-05 no registro inventario de fuentes en campo. Se consigna la unica fuente documentada por el informe narrativo de la visita: quebrada estacional que atraviesa el bloque y descarga a un baden en la via afirmada; sus aguas pluviales continuan hacia el rio atravesando el CP Platanal Bajo y areas de cultivo, lo que constituye la preocupacion expresada por la poblacion durante la temporada de lluvias. No se registraron fuentes permanentes, zonas de recarga activa ni escorrentia concentrada durante la visita, realizada en tiempo seco; la calificacion "No" de los items 3.1 a 3.3 corresponde a AUSENCIA DE EVIDENCIA EN CONDICIONES SECAS, no a ausencia comprobada en temporada humeda. | POR VERIFICAR: coordenadas de la quebrada y del baden; distancia y ubicacion de la captacion poblacional; denominacion y directiva de la JASS; existencia de obras de riego interferidas; transitabilidad en epoca lluviosa (el baden evidencia cruce de flujo pluvial sobre la via); tiempos de viaje desde Chulucanas (capital distrital y provincial); calidad de senal celular en el interior del bloque; alojamiento rural. | La coordinacion social se realiza con la junta directiva del caserio Platanal Bajo y con la Asociacion de pequenos propietarios "San Francisco de Asis"; no existe comunidad campesina ni Ronda Campesina reportada (F-DS-01/F-DS-02).</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22</t>
        </is>
      </c>
    </row>
    <row r="7">
      <c r="A7" s="53" t="inlineStr">
        <is>
          <t>Hechos declarados por fuente</t>
        </is>
      </c>
    </row>
    <row r="8">
      <c r="A8" s="54" t="inlineStr">
        <is>
          <t>Fuente</t>
        </is>
      </c>
      <c r="B8" s="54" t="inlineStr">
        <is>
          <t>Hechos</t>
        </is>
      </c>
    </row>
    <row r="9">
      <c r="A9" s="55" t="inlineStr">
        <is>
          <t>Dato de campo</t>
        </is>
      </c>
      <c r="B9" s="55" t="n">
        <v>62</v>
      </c>
    </row>
    <row r="10">
      <c r="A10" s="56" t="inlineStr">
        <is>
          <t>Gabinete (GIS / teledetección)</t>
        </is>
      </c>
      <c r="B10" s="56" t="n">
        <v>22</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92</v>
      </c>
    </row>
    <row r="31">
      <c r="A31" s="56" t="inlineStr">
        <is>
          <t>COMPLEMENTADO</t>
        </is>
      </c>
      <c r="B31" s="56" t="n">
        <v>1</v>
      </c>
    </row>
    <row r="32">
      <c r="A32" s="55" t="inlineStr">
        <is>
          <t>ACTUALIZADO</t>
        </is>
      </c>
      <c r="B32" s="55" t="n">
        <v>5</v>
      </c>
    </row>
    <row r="33">
      <c r="A33" s="56" t="inlineStr">
        <is>
          <t>DISCREPANTE</t>
        </is>
      </c>
      <c r="B33" s="56" t="n">
        <v>0</v>
      </c>
    </row>
    <row r="34">
      <c r="A34" s="55" t="inlineStr">
        <is>
          <t>PENDIENTE</t>
        </is>
      </c>
      <c r="B34" s="55" t="n">
        <v>16</v>
      </c>
    </row>
    <row r="51">
      <c r="A51" s="53" t="inlineStr">
        <is>
          <t>Cobertura por estrato — campo (%)</t>
        </is>
      </c>
    </row>
    <row r="52">
      <c r="A52" s="54" t="inlineStr">
        <is>
          <t>Estrato</t>
        </is>
      </c>
      <c r="B52" s="54" t="inlineStr">
        <is>
          <t>% del área</t>
        </is>
      </c>
    </row>
    <row r="53">
      <c r="A53" s="55" t="inlineStr">
        <is>
          <t>Dosel</t>
        </is>
      </c>
      <c r="B53" s="60" t="n">
        <v>95</v>
      </c>
    </row>
    <row r="54">
      <c r="A54" s="56" t="inlineStr">
        <is>
          <t>Herbácea</t>
        </is>
      </c>
      <c r="B54" s="62" t="n">
        <v>20</v>
      </c>
    </row>
    <row r="55">
      <c r="A55" s="55" t="inlineStr">
        <is>
          <t>Suelo desnudo</t>
        </is>
      </c>
      <c r="B55" s="61" t="n">
        <v>5</v>
      </c>
    </row>
    <row r="72">
      <c r="A72" s="53" t="inlineStr">
        <is>
          <t>Causas activas de degradación (F-DT-04)</t>
        </is>
      </c>
    </row>
    <row r="73">
      <c r="A73" s="54" t="inlineStr">
        <is>
          <t>Causa</t>
        </is>
      </c>
      <c r="B73" s="54" t="inlineStr">
        <is>
          <t>Intensidad (1 ligera - 4 muy fuerte)</t>
        </is>
      </c>
    </row>
    <row r="74">
      <c r="A74" s="55" t="inlineStr">
        <is>
          <t>Expansión urbana / vial</t>
        </is>
      </c>
      <c r="B74" s="55" t="n">
        <v>1</v>
      </c>
    </row>
    <row r="75">
      <c r="A75" s="56" t="inlineStr">
        <is>
          <t>Sobrepastoreo (caprino/vacuno)</t>
        </is>
      </c>
      <c r="B75" s="56" t="n">
        <v>1</v>
      </c>
    </row>
    <row r="76">
      <c r="A76" s="55" t="inlineStr">
        <is>
          <t>Tala para leña</t>
        </is>
      </c>
      <c r="B76" s="55" t="n">
        <v>1</v>
      </c>
    </row>
    <row r="93">
      <c r="A93" s="53" t="inlineStr">
        <is>
          <t>Control de consistencia por calificación</t>
        </is>
      </c>
    </row>
    <row r="94">
      <c r="A94" s="54" t="inlineStr">
        <is>
          <t>Calificación</t>
        </is>
      </c>
      <c r="B94" s="54" t="inlineStr">
        <is>
          <t>Verificaciones</t>
        </is>
      </c>
    </row>
    <row r="95">
      <c r="A95" s="55" t="inlineStr">
        <is>
          <t>SUSTANTIVA</t>
        </is>
      </c>
      <c r="B95" s="55" t="n">
        <v>3</v>
      </c>
    </row>
    <row r="96">
      <c r="A96" s="56" t="inlineStr">
        <is>
          <t>NO SUSTANTIVA</t>
        </is>
      </c>
      <c r="B96" s="56" t="n">
        <v>1</v>
      </c>
    </row>
    <row r="97">
      <c r="A97" s="55" t="inlineStr">
        <is>
          <t>CORREGIDO</t>
        </is>
      </c>
      <c r="B97" s="55" t="n">
        <v>5</v>
      </c>
    </row>
    <row r="98">
      <c r="A98" s="56" t="inlineStr">
        <is>
          <t>CONFORME</t>
        </is>
      </c>
      <c r="B98"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22 — IN Piura</dc:title>
  <dc:subject>Diagnóstico Territorial por bloque de intervención</dc:subject>
  <dcterms:created xsi:type="dcterms:W3CDTF">2026-09-08T03:39:56Z</dcterms:created>
  <dcterms:modified xsi:type="dcterms:W3CDTF">2026-09-11T20:22:26Z</dcterms:modified>
</cp:coreProperties>
</file>