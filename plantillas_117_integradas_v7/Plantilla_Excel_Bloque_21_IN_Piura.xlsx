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integración'!$A$76:$A$82</f>
            </numRef>
          </cat>
          <val>
            <numRef>
              <f>'Gráficos de integración'!$B$76:$B$82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integración'!B100</f>
            </strRef>
          </tx>
          <spPr>
            <a:ln>
              <a:prstDash val="solid"/>
            </a:ln>
          </spPr>
          <cat>
            <numRef>
              <f>'Gráficos de integración'!$A$101:$A$104</f>
            </numRef>
          </cat>
          <val>
            <numRef>
              <f>'Gráficos de integración'!$B$101:$B$104</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99</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21</t>
        </is>
      </c>
    </row>
    <row r="6" ht="24" customHeight="1">
      <c r="A6" s="4" t="inlineStr">
        <is>
          <t>Diagnóstico Territorial — Plantilla DT Campo Check Validada V5 | Sistema de referencia: UTM WGS 84 Zona 17S (EPSG:32717) · Integrado con la ficha de campo F-DT vigente (Plantilla_DT_Campo_Bloque21_IN_Piura.xlsx) — V7 - resumen V6 + campo F-DT integrado</t>
        </is>
      </c>
    </row>
    <row r="7"/>
    <row r="8" ht="18" customHeight="1">
      <c r="A8" s="5" t="inlineStr">
        <is>
          <t>1. IDENTIFICACIÓN Y LOCALIZACIÓN</t>
        </is>
      </c>
    </row>
    <row r="9">
      <c r="A9" s="6" t="inlineStr">
        <is>
          <t>Código del bloque</t>
        </is>
      </c>
      <c r="B9" s="7" t="inlineStr">
        <is>
          <t>21</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Huamala Alto</t>
        </is>
      </c>
      <c r="C13" s="6" t="inlineStr">
        <is>
          <t>Comunidad campesina</t>
        </is>
      </c>
      <c r="D13" s="7" t="inlineStr">
        <is>
          <t>Por verificar (tamizaje predial y diagnóstico social pendientes)</t>
        </is>
      </c>
      <c r="E13" s="8" t="n"/>
      <c r="F13" s="8" t="n"/>
    </row>
    <row r="14">
      <c r="A14" s="6" t="inlineStr">
        <is>
          <t>Superficie de catálogo (V5/V6), ha</t>
        </is>
      </c>
      <c r="B14" s="7" t="n">
        <v>84.23</v>
      </c>
      <c r="C14" s="6" t="inlineStr">
        <is>
          <t>Fuente de superficie</t>
        </is>
      </c>
      <c r="D14" s="7" t="inlineStr">
        <is>
          <t>Catálogo maestro Bloques V5/V6</t>
        </is>
      </c>
      <c r="E14" s="8" t="n"/>
      <c r="F14" s="8" t="n"/>
    </row>
    <row r="15">
      <c r="A15" s="6" t="inlineStr">
        <is>
          <t>Centroide UTM ESTE (m)</t>
        </is>
      </c>
      <c r="B15" s="7" t="n">
        <v>654604</v>
      </c>
      <c r="C15" s="6" t="inlineStr">
        <is>
          <t>Centroide UTM NORTE (m)</t>
        </is>
      </c>
      <c r="D15" s="7" t="n">
        <v>9417736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1353</v>
      </c>
      <c r="C19" s="6" t="inlineStr">
        <is>
          <t>Altitud máxima (msnm)</t>
        </is>
      </c>
      <c r="D19" s="7" t="n">
        <v>2004</v>
      </c>
      <c r="E19" s="8" t="n"/>
      <c r="F19" s="8" t="n"/>
    </row>
    <row r="20">
      <c r="A20" s="6" t="inlineStr">
        <is>
          <t>Amplitud altitudinal (m)</t>
        </is>
      </c>
      <c r="B20" s="7" t="n">
        <v>651</v>
      </c>
      <c r="C20" s="6" t="inlineStr">
        <is>
          <t>Piso altitudinal dominante</t>
        </is>
      </c>
      <c r="D20" s="7" t="inlineStr">
        <is>
          <t>1500-2000 m (Quechua media)</t>
        </is>
      </c>
      <c r="E20" s="8" t="n"/>
      <c r="F20" s="8" t="n"/>
    </row>
    <row r="21">
      <c r="A21" s="6" t="inlineStr">
        <is>
          <t>Pendiente promedio (%)</t>
        </is>
      </c>
      <c r="B21" s="7" t="n">
        <v>31.71</v>
      </c>
      <c r="C21" s="6" t="inlineStr">
        <is>
          <t>Pendiente promedio (grados)</t>
        </is>
      </c>
      <c r="D21" s="7" t="n">
        <v>17.6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0.6201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(89.39 %)</t>
        </is>
      </c>
      <c r="E29" s="8" t="n"/>
      <c r="F29" s="8" t="n"/>
    </row>
    <row r="30">
      <c r="A30" s="6" t="inlineStr">
        <is>
          <t>Superficie clasificada NDVI 2025 (ha)</t>
        </is>
      </c>
      <c r="B30" s="7" t="n">
        <v>84.244</v>
      </c>
      <c r="C30" s="6" t="inlineStr">
        <is>
          <t>Desviación frente al catálogo (%)</t>
        </is>
      </c>
      <c r="D30" s="7" t="n">
        <v>0.02</v>
      </c>
      <c r="E30" s="8" t="n"/>
      <c r="F30" s="8" t="n"/>
    </row>
    <row r="31">
      <c r="A31" s="6" t="inlineStr">
        <is>
          <t>Superficie clasificada MSAVI 2024 (ha)</t>
        </is>
      </c>
      <c r="B31" s="38" t="n">
        <v>84.227</v>
      </c>
      <c r="C31" s="6" t="inlineStr">
        <is>
          <t>Desviación MSAVI frente al catálogo (%)</t>
        </is>
      </c>
      <c r="D31" s="39" t="n">
        <v>0</v>
      </c>
      <c r="E31" s="8" t="n"/>
      <c r="F31" s="8" t="n"/>
    </row>
    <row r="32">
      <c r="A32" s="6" t="inlineStr">
        <is>
          <t>Superficie bajo umbral MSAVI 0.4976 (ha)</t>
        </is>
      </c>
      <c r="B32" s="38" t="n">
        <v>4.357</v>
      </c>
      <c r="C32" s="6" t="inlineStr">
        <is>
          <t>% del bloque bajo umbral (brecha espectral)</t>
        </is>
      </c>
      <c r="D32" s="39" t="n">
        <v>5.17</v>
      </c>
      <c r="E32" s="8" t="n"/>
      <c r="F32" s="8" t="n"/>
    </row>
    <row r="33">
      <c r="A33" s="6" t="inlineStr">
        <is>
          <t>Clase DN dominante (MSAVI 2024)</t>
        </is>
      </c>
      <c r="B33" s="7" t="inlineStr">
        <is>
          <t>DN 5 · &gt; 0.6139 (Vigor alto)</t>
        </is>
      </c>
      <c r="C33" s="6" t="inlineStr">
        <is>
          <t>N.° de polígonos MSAVI del bloque</t>
        </is>
      </c>
      <c r="D33" s="40" t="n">
        <v>195</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Por determinar (recorte de la capa oficial MINAM)</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90</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(resp. brigada) / Ing. Albert Flores Mendoza (operador RPAS)</t>
        </is>
      </c>
      <c r="C44" s="6" t="inlineStr">
        <is>
          <t>Fecha de evaluación</t>
        </is>
      </c>
      <c r="D44" s="7" t="inlineStr">
        <is>
          <t>2026-08-10</t>
        </is>
      </c>
      <c r="E44" s="8" t="n"/>
      <c r="F44" s="8" t="n"/>
    </row>
    <row r="45">
      <c r="A45" s="6" t="inlineStr">
        <is>
          <t>Hora de registro</t>
        </is>
      </c>
      <c r="B45" s="50" t="inlineStr">
        <is>
          <t>Vuelo 10:40 – 11:20 h (aprox., por confirmar con bitácora RPAS)</t>
        </is>
      </c>
      <c r="C45" s="6" t="inlineStr">
        <is>
          <t>Correlativo de ficha</t>
        </is>
      </c>
      <c r="D45" s="7" t="inlineStr">
        <is>
          <t>F-DT-01/B21-2026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 caracterización por fotointerpretación del vuelo RPAS</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50" t="inlineStr">
        <is>
          <t>Ocupación productiva de ladera de fuerte pendiente sin prácticas de conservación de suelos, en un contexto de accesibilidad vial consolidada hacia el caserío Huamala Alto.</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41.1843</v>
      </c>
      <c r="C10" s="31">
        <f>ROUND(B10/$B$15*100,2)</f>
        <v/>
      </c>
      <c r="D10" s="12" t="inlineStr">
        <is>
          <t>Vigor alto</t>
        </is>
      </c>
      <c r="E10" s="12" t="inlineStr">
        <is>
          <t>Sobre umbral</t>
        </is>
      </c>
    </row>
    <row r="11">
      <c r="A11" s="13" t="inlineStr">
        <is>
          <t>0.4976 - 0.6139 · DN 4</t>
        </is>
      </c>
      <c r="B11" s="20" t="n">
        <v>38.6852</v>
      </c>
      <c r="C11" s="21">
        <f>ROUND(B11/$B$15*100,2)</f>
        <v/>
      </c>
      <c r="D11" s="14" t="inlineStr">
        <is>
          <t>Vigor moderado</t>
        </is>
      </c>
      <c r="E11" s="14" t="inlineStr">
        <is>
          <t>Sobre umbral</t>
        </is>
      </c>
    </row>
    <row r="12">
      <c r="A12" s="7" t="inlineStr">
        <is>
          <t>0.3813 - 0.4976 · DN 3</t>
        </is>
      </c>
      <c r="B12" s="18" t="n">
        <v>4.3472</v>
      </c>
      <c r="C12" s="19">
        <f>ROUND(B12/$B$15*100,2)</f>
        <v/>
      </c>
      <c r="D12" s="15" t="inlineStr">
        <is>
          <t>Vigor bajo</t>
        </is>
      </c>
      <c r="E12" s="15" t="inlineStr">
        <is>
          <t>BAJO umbral 0.4976</t>
        </is>
      </c>
    </row>
    <row r="13">
      <c r="A13" s="13" t="inlineStr">
        <is>
          <t>0.2650 - 0.3813 · DN 2</t>
        </is>
      </c>
      <c r="B13" s="20" t="n">
        <v>0.009900000000000001</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195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84.23</v>
      </c>
      <c r="C18" s="49" t="inlineStr">
        <is>
          <t>—</t>
        </is>
      </c>
      <c r="D18" s="46" t="inlineStr">
        <is>
          <t>Desviación planimétrica frente al catálogo</t>
        </is>
      </c>
      <c r="E18" s="46" t="inlineStr">
        <is>
          <t>+0.00 %</t>
        </is>
      </c>
    </row>
    <row r="19">
      <c r="A19" s="16" t="inlineStr">
        <is>
          <t>MSAVI 2024 — MEDIA DEL BLOQUE</t>
        </is>
      </c>
      <c r="B19" s="17" t="n">
        <v>0.620078</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195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(0.6201)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75.3058</v>
      </c>
      <c r="C25" s="19" t="n">
        <v>89.39</v>
      </c>
      <c r="D25" s="15" t="inlineStr">
        <is>
          <t>Dosel continuo, matorral denso o mosaico agroforestal</t>
        </is>
      </c>
      <c r="E25" s="15" t="inlineStr"/>
    </row>
    <row r="26">
      <c r="A26" s="13" t="inlineStr">
        <is>
          <t>Vegetación mediana</t>
        </is>
      </c>
      <c r="B26" s="20" t="n">
        <v>8.521699999999999</v>
      </c>
      <c r="C26" s="21" t="n">
        <v>10.12</v>
      </c>
      <c r="D26" s="14" t="inlineStr">
        <is>
          <t>Pastizal cultivado, matorral ralo, parcelas agrícolas</t>
        </is>
      </c>
      <c r="E26" s="14" t="inlineStr"/>
    </row>
    <row r="27">
      <c r="A27" s="7" t="inlineStr">
        <is>
          <t>Vegetación ligera</t>
        </is>
      </c>
      <c r="B27" s="18" t="n">
        <v>0.4167</v>
      </c>
      <c r="C27" s="19" t="n">
        <v>0.49</v>
      </c>
      <c r="D27" s="15" t="inlineStr">
        <is>
          <t>Cobertura discontinua, suelo parcialmente expuesto</t>
        </is>
      </c>
      <c r="E27" s="15" t="inlineStr"/>
    </row>
    <row r="28">
      <c r="A28" s="16" t="inlineStr">
        <is>
          <t>TOTAL CLASIFICADO</t>
        </is>
      </c>
      <c r="B28" s="22">
        <f>SUM(B25:B27)</f>
        <v/>
      </c>
      <c r="C28" s="23">
        <f>SUM(C25:C27)</f>
        <v/>
      </c>
      <c r="D28" s="17" t="inlineStr"/>
      <c r="E28" s="17" t="inlineStr"/>
    </row>
    <row r="29">
      <c r="A29" s="24" t="inlineStr">
        <is>
          <t>Superficie de catálogo (V5/V6)</t>
        </is>
      </c>
      <c r="B29" s="25" t="n">
        <v>84.23</v>
      </c>
      <c r="C29" s="25" t="inlineStr">
        <is>
          <t>—</t>
        </is>
      </c>
      <c r="D29" s="25" t="inlineStr">
        <is>
          <t>Desviación planimétrica frente al catálogo</t>
        </is>
      </c>
      <c r="E29" s="25" t="inlineStr">
        <is>
          <t>+0.02 %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89.39 % del polígono clasificado como «Vegetación alta» por el NDVI 2025; la observación de campo corresponde a una parcela o recorrido puntual y no es estadísticamente representativa de las 84.230 ha del bloque.</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21</t>
        </is>
      </c>
    </row>
    <row r="6" ht="24" customHeight="1">
      <c r="A6" s="4" t="inlineStr">
        <is>
          <t>Levantamiento del 2026-08-10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654604</v>
      </c>
      <c r="D10" s="26" t="n">
        <v>9417736</v>
      </c>
      <c r="E10" s="15" t="n">
        <v>0</v>
      </c>
      <c r="F10" s="15" t="inlineStr"/>
      <c r="G10" s="15" t="inlineStr">
        <is>
          <t>Coordenada consignada en F-DT-01</t>
        </is>
      </c>
    </row>
    <row r="11">
      <c r="A11" s="13" t="inlineStr">
        <is>
          <t>H-01</t>
        </is>
      </c>
      <c r="B11" s="14" t="inlineStr">
        <is>
          <t>Fuente de agua — Quebrada permanente</t>
        </is>
      </c>
      <c r="C11" s="27" t="inlineStr">
        <is>
          <t>Por verificar</t>
        </is>
      </c>
      <c r="D11" s="27" t="inlineStr">
        <is>
          <t>Por verificar</t>
        </is>
      </c>
      <c r="E11" s="14" t="inlineStr"/>
      <c r="F11" s="14" t="inlineStr">
        <is>
          <t>Permanente</t>
        </is>
      </c>
      <c r="G11" s="14" t="inlineStr">
        <is>
          <t>Cauce principal</t>
        </is>
      </c>
    </row>
    <row r="12">
      <c r="A12" s="7" t="inlineStr">
        <is>
          <t>H-02</t>
        </is>
      </c>
      <c r="B12" s="15" t="inlineStr">
        <is>
          <t>Fuente de agua — Quebrada estacional</t>
        </is>
      </c>
      <c r="C12" s="26" t="inlineStr">
        <is>
          <t>Por verificar</t>
        </is>
      </c>
      <c r="D12" s="26" t="inlineStr">
        <is>
          <t>Por verificar</t>
        </is>
      </c>
      <c r="E12" s="15" t="inlineStr"/>
      <c r="F12" s="15" t="inlineStr">
        <is>
          <t>Estacional</t>
        </is>
      </c>
      <c r="G12" s="15" t="inlineStr">
        <is>
          <t>Cauces tributarios</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654604</v>
      </c>
      <c r="C15" s="6" t="inlineStr">
        <is>
          <t>Centroide del bloque — UTM NORTE (m)</t>
        </is>
      </c>
      <c r="D15" s="7" t="n">
        <v>9417736</v>
      </c>
      <c r="E15" s="8" t="n"/>
      <c r="F15" s="8" t="n"/>
      <c r="G15" s="8" t="n"/>
      <c r="H15" s="8" t="n"/>
    </row>
    <row r="16">
      <c r="A16" s="6" t="inlineStr">
        <is>
          <t>N.° de estaciones fotográficas declaradas</t>
        </is>
      </c>
      <c r="B16" s="7" t="inlineStr">
        <is>
          <t>Sin registro en la ficha DT</t>
        </is>
      </c>
      <c r="C16" s="6" t="inlineStr">
        <is>
          <t>Estaciones dentro del polígono</t>
        </is>
      </c>
      <c r="D16" s="7" t="inlineStr">
        <is>
          <t>Por determinar</t>
        </is>
      </c>
      <c r="E16" s="8" t="n"/>
      <c r="F16" s="8" t="n"/>
      <c r="G16" s="8" t="n"/>
      <c r="H16" s="8" t="n"/>
    </row>
    <row r="18" ht="108"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por VUELO DE DRON (RPAS); no se ejecutó recorrido peatonal interior. Las coordenadas corresponden al CENTROIDE del bloque (catálogo V5), no a un punto GPS de muestreo; la altitud de 1575 msnm es interpolada de curvas de nivel. Rango altitudinal por MDE: 1353-2004 msnm (amplitud 651 m); pendiente promedio zonal 31.71%. El polígono aparece rotulado «B4_2» en la capa MSAVI: reconciliar con el código 21.</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21</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5" t="inlineStr">
        <is>
          <t>1171 – 1769</t>
        </is>
      </c>
      <c r="E10" s="15" t="n">
        <v>598</v>
      </c>
      <c r="F10" s="15" t="n">
        <v>31.55</v>
      </c>
      <c r="G10" s="18" t="n">
        <v>0.6403</v>
      </c>
      <c r="H10" s="19" t="n">
        <v>94.08</v>
      </c>
      <c r="I10" s="19" t="n">
        <v>8.84</v>
      </c>
    </row>
    <row r="11">
      <c r="A11" s="13" t="inlineStr">
        <is>
          <t>M30B5</t>
        </is>
      </c>
      <c r="B11" s="29" t="n">
        <v>90.90000000000001</v>
      </c>
      <c r="C11" s="21" t="n">
        <v>16.46</v>
      </c>
      <c r="D11" s="14" t="inlineStr">
        <is>
          <t>1782 – 2307</t>
        </is>
      </c>
      <c r="E11" s="14" t="n">
        <v>525</v>
      </c>
      <c r="F11" s="14" t="n">
        <v>21.23</v>
      </c>
      <c r="G11" s="20" t="n">
        <v>0.5564</v>
      </c>
      <c r="H11" s="21" t="n">
        <v>79.45999999999999</v>
      </c>
      <c r="I11" s="21" t="n">
        <v>33.03</v>
      </c>
    </row>
    <row r="12">
      <c r="A12" s="11" t="inlineStr">
        <is>
          <t>► 21</t>
        </is>
      </c>
      <c r="B12" s="30" t="n">
        <v>84.23</v>
      </c>
      <c r="C12" s="31" t="n">
        <v>15.25</v>
      </c>
      <c r="D12" s="12" t="inlineStr">
        <is>
          <t>1353 – 2004</t>
        </is>
      </c>
      <c r="E12" s="12" t="n">
        <v>651</v>
      </c>
      <c r="F12" s="12" t="n">
        <v>31.71</v>
      </c>
      <c r="G12" s="32" t="n">
        <v>0.6201</v>
      </c>
      <c r="H12" s="31" t="n">
        <v>89.39</v>
      </c>
      <c r="I12" s="31" t="n">
        <v>5.17</v>
      </c>
    </row>
    <row r="13">
      <c r="A13" s="13" t="inlineStr">
        <is>
          <t>28</t>
        </is>
      </c>
      <c r="B13" s="29" t="n">
        <v>52.97</v>
      </c>
      <c r="C13" s="21" t="n">
        <v>9.59</v>
      </c>
      <c r="D13" s="14" t="inlineStr">
        <is>
          <t>1462 – 1856</t>
        </is>
      </c>
      <c r="E13" s="14" t="n">
        <v>394</v>
      </c>
      <c r="F13" s="14" t="n">
        <v>30.36</v>
      </c>
      <c r="G13" s="20" t="n">
        <v>0.6394</v>
      </c>
      <c r="H13" s="21" t="n">
        <v>96.64</v>
      </c>
      <c r="I13" s="21" t="n">
        <v>0.93</v>
      </c>
    </row>
    <row r="14">
      <c r="A14" s="7" t="inlineStr">
        <is>
          <t>26</t>
        </is>
      </c>
      <c r="B14" s="28" t="n">
        <v>46.96</v>
      </c>
      <c r="C14" s="19" t="n">
        <v>8.5</v>
      </c>
      <c r="D14" s="15" t="inlineStr">
        <is>
          <t>1260 – 1855</t>
        </is>
      </c>
      <c r="E14" s="15" t="n">
        <v>595</v>
      </c>
      <c r="F14" s="15" t="n">
        <v>32.26</v>
      </c>
      <c r="G14" s="18" t="n">
        <v>0.6733</v>
      </c>
      <c r="H14" s="19" t="n">
        <v>97.29000000000001</v>
      </c>
      <c r="I14" s="19" t="n">
        <v>2.35</v>
      </c>
    </row>
    <row r="15">
      <c r="A15" s="13" t="inlineStr">
        <is>
          <t>60</t>
        </is>
      </c>
      <c r="B15" s="29" t="n">
        <v>40.13</v>
      </c>
      <c r="C15" s="21" t="n">
        <v>7.27</v>
      </c>
      <c r="D15" s="14" t="inlineStr">
        <is>
          <t>1638 – 2073</t>
        </is>
      </c>
      <c r="E15" s="14" t="n">
        <v>435</v>
      </c>
      <c r="F15" s="14" t="n">
        <v>32.67</v>
      </c>
      <c r="G15" s="20" t="n">
        <v>0.6745</v>
      </c>
      <c r="H15" s="21" t="n">
        <v>99.90000000000001</v>
      </c>
      <c r="I15" s="21" t="n">
        <v>0.61</v>
      </c>
    </row>
    <row r="16">
      <c r="A16" s="7" t="inlineStr">
        <is>
          <t>64</t>
        </is>
      </c>
      <c r="B16" s="28" t="n">
        <v>35.77</v>
      </c>
      <c r="C16" s="19" t="n">
        <v>6.48</v>
      </c>
      <c r="D16" s="15" t="inlineStr">
        <is>
          <t>2412 – 2651</t>
        </is>
      </c>
      <c r="E16" s="15" t="n">
        <v>239</v>
      </c>
      <c r="F16" s="15" t="n">
        <v>28.18</v>
      </c>
      <c r="G16" s="18" t="n">
        <v>0.5254</v>
      </c>
      <c r="H16" s="19" t="n">
        <v>78.22</v>
      </c>
      <c r="I16" s="19" t="n">
        <v>41.48</v>
      </c>
    </row>
    <row r="17">
      <c r="A17" s="13" t="inlineStr">
        <is>
          <t>37</t>
        </is>
      </c>
      <c r="B17" s="29" t="n">
        <v>35.49</v>
      </c>
      <c r="C17" s="21" t="n">
        <v>6.43</v>
      </c>
      <c r="D17" s="14" t="inlineStr">
        <is>
          <t>1184 – 1455</t>
        </is>
      </c>
      <c r="E17" s="14" t="n">
        <v>271</v>
      </c>
      <c r="F17" s="14" t="n">
        <v>23.59</v>
      </c>
      <c r="G17" s="20" t="n">
        <v>0.6588000000000001</v>
      </c>
      <c r="H17" s="21" t="n">
        <v>98.02</v>
      </c>
      <c r="I17" s="21" t="n">
        <v>1.92</v>
      </c>
    </row>
    <row r="18">
      <c r="A18" s="7" t="inlineStr">
        <is>
          <t>30</t>
        </is>
      </c>
      <c r="B18" s="28" t="n">
        <v>34.87</v>
      </c>
      <c r="C18" s="19" t="n">
        <v>6.31</v>
      </c>
      <c r="D18" s="15" t="inlineStr">
        <is>
          <t>1216 – 1541</t>
        </is>
      </c>
      <c r="E18" s="15" t="n">
        <v>325</v>
      </c>
      <c r="F18" s="15" t="n">
        <v>27.91</v>
      </c>
      <c r="G18" s="18" t="n">
        <v>0.6637999999999999</v>
      </c>
      <c r="H18" s="19" t="n">
        <v>99.38</v>
      </c>
      <c r="I18" s="19" t="n">
        <v>1.31</v>
      </c>
    </row>
    <row r="19">
      <c r="A19" s="13" t="inlineStr">
        <is>
          <t>40</t>
        </is>
      </c>
      <c r="B19" s="29" t="n">
        <v>28.52</v>
      </c>
      <c r="C19" s="21" t="n">
        <v>5.16</v>
      </c>
      <c r="D19" s="14" t="inlineStr">
        <is>
          <t>1407 – 1656</t>
        </is>
      </c>
      <c r="E19" s="14" t="n">
        <v>249</v>
      </c>
      <c r="F19" s="14" t="n">
        <v>31.4</v>
      </c>
      <c r="G19" s="20" t="n">
        <v>0.6401</v>
      </c>
      <c r="H19" s="21" t="n">
        <v>99.55</v>
      </c>
      <c r="I19" s="21" t="n">
        <v>2.9</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c r="I20" s="23">
        <f>ROUND(AVERAGE(I10:I19),2)</f>
        <v/>
      </c>
    </row>
    <row r="22" ht="84" customHeight="1">
      <c r="A22" s="9" t="inlineStr">
        <is>
          <t>LECTURA INTRAMICROCUENCA. El bloque 21 ocupa el puesto 3 de 10 por superficie dentro de la microcuenca C1081-Q9591 (15.25 % de las 552.18 ha preliminares de la microcuenca). Su pendiente promedio (31.71 %, clase «25-50% (Mod. escarpado)») es la 8.ª más baja de 10 y se sitúa por encima del promedio de la microcuenca (29.09 %). Su MSAVI 2024 (0.6201) es el 8.º de 10 y queda por debajo del promedio local (0.6292). Amplitud altitudinal del bloque: 651 m (1353–2004 msnm). El cuadro conserva todos los bloques catalogados en la microcuenca, incluidos los descartados en el tamizaje, para referencia del conjunto. Los bloques sin ficha DT figuran con sus parámetros de gabinete. BRECHA ESPECTRAL. El 5.17 % de la superficie del bloque (4.357 ha de 84.227 ha) se sitúa bajo el umbral MSAVI 0.4976, por debajo del promedio local de la microcuenca (9.85 %)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9">
    <mergeCell ref="A2:I2"/>
    <mergeCell ref="A5:I5"/>
    <mergeCell ref="A1:I1"/>
    <mergeCell ref="A8:I8"/>
    <mergeCell ref="A3:I3"/>
    <mergeCell ref="A6:I6"/>
    <mergeCell ref="A22:I22"/>
    <mergeCell ref="A4:I4"/>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21</t>
        </is>
      </c>
    </row>
    <row r="6">
      <c r="A6" s="52" t="inlineStr">
        <is>
          <t>Cruce de la ficha de campo F-DT vigente con la ficha de resumen de gabinete y el catálogo maestro. Integración 2026-09-11 20:22:25.</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«C1081-Q9591».</t>
        </is>
      </c>
      <c r="D9" s="56" t="inlineStr">
        <is>
          <t>CONFORME</t>
        </is>
      </c>
      <c r="E9" s="56" t="inlineStr">
        <is>
          <t>Sin acción.</t>
        </is>
      </c>
    </row>
    <row r="10">
      <c r="A10" s="57" t="inlineStr">
        <is>
          <t>G-02</t>
        </is>
      </c>
      <c r="B10" s="57" t="inlineStr">
        <is>
          <t>UTM del punto de muestreo</t>
        </is>
      </c>
      <c r="C10" s="57" t="inlineStr">
        <is>
          <t>El punto de muestreo declarado dista 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(1575 msnm) cae dentro del rango altitudinal del bloque (1353 - 2004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(84.244 ha) se desvía 0.02 % de la superficie de catálogo (84.23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(84.227 ha) se desvía -0.00 % de la superficie de catálogo (84.23 ha).</t>
        </is>
      </c>
      <c r="D14" s="57" t="inlineStr">
        <is>
          <t>CONFORME</t>
        </is>
      </c>
      <c r="E14" s="57" t="inlineStr">
        <is>
          <t>Sin acción: la segmentación valida la geometría del bloque.</t>
        </is>
      </c>
    </row>
    <row r="15">
      <c r="A15" s="56" t="inlineStr">
        <is>
          <t>G-07</t>
        </is>
      </c>
      <c r="B15" s="56" t="inlineStr">
        <is>
          <t>Brecha espectral MSAVI</t>
        </is>
      </c>
      <c r="C15" s="56" t="inlineStr">
        <is>
          <t>El 5.17 % del bloque queda bajo el umbral 0.4976; superficie de brecha 4.3571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84.23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(0.6201)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Causa subyacente principal</t>
        </is>
      </c>
      <c r="C19" s="56" t="inlineStr">
        <is>
          <t>El libro de resumen V6 consignaba «Ocupación productiva de ladera de fuerte pendiente sin prácticas de conservación de suelos, en contexto de accesibilidad vial»; la ficha de campo vigente declara «Ocupación productiva de ladera de fuerte pendiente sin prácticas de conservación de suelos, en un contexto de accesibilidad vial consolidad…».</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Hora de registro</t>
        </is>
      </c>
      <c r="C20" s="57" t="inlineStr">
        <is>
          <t>El libro de resumen V6 consignaba «Vuelo 10:40 - 11:20 h (por confirmar con bitácora RPAS)»; la ficha de campo vigente declara «Vuelo 10:40 – 11:20 h (aprox., por confirmar con bitácora RPAS)».</t>
        </is>
      </c>
      <c r="D20" s="57" t="inlineStr">
        <is>
          <t>CORREGIDO</t>
        </is>
      </c>
      <c r="E20" s="57" t="inlineStr">
        <is>
          <t>Se adopta el valor de campo por ser la fuente que manda sobre el dato y la más reciente. El valor anterior queda declarado para trazabilidad.</t>
        </is>
      </c>
    </row>
    <row r="21">
      <c r="A21" s="56" t="inlineStr">
        <is>
          <t>F-01</t>
        </is>
      </c>
      <c r="B21" s="56" t="inlineStr">
        <is>
          <t>Fichas F-DT levantadas</t>
        </is>
      </c>
      <c r="C21" s="56" t="inlineStr">
        <is>
          <t>La plantilla de campo trae las cinco fichas F-DT-01 a F-DT-05 (completitud 96.4 % de los campos esperados).</t>
        </is>
      </c>
      <c r="D21" s="56" t="inlineStr">
        <is>
          <t>CONFORME</t>
        </is>
      </c>
      <c r="E21" s="56" t="inlineStr">
        <is>
          <t>Sin acción.</t>
        </is>
      </c>
    </row>
    <row r="22">
      <c r="A22" s="57" t="inlineStr">
        <is>
          <t>F-02</t>
        </is>
      </c>
      <c r="B22" s="57" t="inlineStr">
        <is>
          <t>Cobertura de la integración</t>
        </is>
      </c>
      <c r="C22" s="57" t="inlineStr">
        <is>
          <t>Se declararon 95 de 114 hechos integrados (83.3 %); 19 quedan sin dato en ninguna fuente.</t>
        </is>
      </c>
      <c r="D22" s="57" t="inlineStr">
        <is>
          <t>CONFORME</t>
        </is>
      </c>
      <c r="E22" s="57" t="inlineStr">
        <is>
          <t>Sin acción.</t>
        </is>
      </c>
    </row>
    <row r="23">
      <c r="A23" s="56" t="inlineStr">
        <is>
          <t>H-01</t>
        </is>
      </c>
      <c r="B23" s="56" t="inlineStr">
        <is>
          <t>Dimensiones del inventario de cárcavas</t>
        </is>
      </c>
      <c r="C23" s="56" t="inlineStr">
        <is>
          <t>Se registran 0 rasgos erosivos, pero longitud, profundidad y ancho no fueron medidos instrumentalmente</t>
        </is>
      </c>
      <c r="D23" s="56" t="inlineStr">
        <is>
          <t>NO SUSTANTIVA</t>
        </is>
      </c>
      <c r="E23" s="56" t="inlineStr">
        <is>
          <t>El conteo registrado no debe usarse para calcular densidad de cárcavas por hectárea. Pendiente de levantamiento con GPS submétrico. (Verificación heredada de la ficha de resumen V6.)</t>
        </is>
      </c>
    </row>
    <row r="24">
      <c r="A24" s="57" t="inlineStr">
        <is>
          <t>H-02</t>
        </is>
      </c>
      <c r="B24" s="57" t="inlineStr">
        <is>
          <t>Centro poblado asociado</t>
        </is>
      </c>
      <c r="C24" s="57" t="inlineStr">
        <is>
          <t>La ficha DT declara «Huamala Alto»; el cruce INEI-Bloques V5 identifica 1 centro(s) poblado(s) en el bloque: HUAMALA ALTO</t>
        </is>
      </c>
      <c r="D24" s="57" t="inlineStr">
        <is>
          <t>CONFORME</t>
        </is>
      </c>
      <c r="E24" s="57" t="inlineStr">
        <is>
          <t>Se conserva el registro de campo como referencia y se adopta el listado INEI para el diagnóstico social y el cálculo de población beneficiaria. (Verificación heredada de la ficha de resumen V6.)</t>
        </is>
      </c>
    </row>
    <row r="26">
      <c r="A26" s="58" t="inlineStr">
        <is>
          <t>RESUMEN</t>
        </is>
      </c>
      <c r="B26" s="59" t="inlineStr">
        <is>
          <t>16 verificaciones</t>
        </is>
      </c>
      <c r="C26" s="59" t="inlineStr">
        <is>
          <t>SUSTANTIVA: 1 · NO SUSTANTIVA: 1 · CORREGIDO: 2 · CONFORME: 12</t>
        </is>
      </c>
    </row>
    <row r="28">
      <c r="A28"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28:E28"/>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21</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6. Degradación, causas y urgencia (F-DT-04)</t>
        </is>
      </c>
      <c r="B9" s="56" t="inlineStr">
        <is>
          <t>Causa subyacente principal</t>
        </is>
      </c>
      <c r="C9" s="56" t="inlineStr">
        <is>
          <t>Ocupación productiva de ladera de fuerte pendiente sin prácticas de conservación de suelos, en contexto de accesibilidad vial</t>
        </is>
      </c>
      <c r="D9" s="56" t="inlineStr">
        <is>
          <t>Ocupación productiva de ladera de fuerte pendiente sin prácticas de conservación de suelos, en un contexto de accesibilidad vial consolidada hacia el caserío Huamala Alto.</t>
        </is>
      </c>
      <c r="E9" s="56" t="inlineStr">
        <is>
          <t>Dato de campo</t>
        </is>
      </c>
    </row>
    <row r="10">
      <c r="A10" s="57" t="inlineStr">
        <is>
          <t>8. Responsable y modalidad de la evaluación</t>
        </is>
      </c>
      <c r="B10" s="57" t="inlineStr">
        <is>
          <t>Hora de registro</t>
        </is>
      </c>
      <c r="C10" s="57" t="inlineStr">
        <is>
          <t>Vuelo 10:40 - 11:20 h (por confirmar con bitácora RPAS)</t>
        </is>
      </c>
      <c r="D10" s="57" t="inlineStr">
        <is>
          <t>Vuelo 10:40 – 11:20 h (aprox., por confirmar con bitácora RPAS)</t>
        </is>
      </c>
      <c r="E10" s="57" t="inlineStr">
        <is>
          <t>Dato de campo</t>
        </is>
      </c>
    </row>
    <row r="12">
      <c r="A12" s="54" t="inlineStr">
        <is>
          <t>B. HECHOS APORTADOS ÚNICAMENTE POR LA FICHA DE CAMPO</t>
        </is>
      </c>
    </row>
    <row r="13">
      <c r="A13" s="55" t="inlineStr">
        <is>
          <t>Sección</t>
        </is>
      </c>
      <c r="B13" s="55" t="inlineStr">
        <is>
          <t>Hecho</t>
        </is>
      </c>
      <c r="C13" s="55" t="inlineStr">
        <is>
          <t>Valor</t>
        </is>
      </c>
      <c r="D13" s="55" t="inlineStr">
        <is>
          <t>Unidad</t>
        </is>
      </c>
    </row>
    <row r="14">
      <c r="A14" s="56" t="inlineStr">
        <is>
          <t>1. Identificación y localización</t>
        </is>
      </c>
      <c r="B14" s="56" t="inlineStr">
        <is>
          <t>UTM ESTE del punto de muestreo (m)</t>
        </is>
      </c>
      <c r="C14" s="56" t="inlineStr">
        <is>
          <t>654604</t>
        </is>
      </c>
      <c r="D14" s="56" t="inlineStr">
        <is>
          <t>m</t>
        </is>
      </c>
    </row>
    <row r="15">
      <c r="A15" s="57" t="inlineStr">
        <is>
          <t>1. Identificación y localización</t>
        </is>
      </c>
      <c r="B15" s="57" t="inlineStr">
        <is>
          <t>UTM NORTE del punto de muestreo (m)</t>
        </is>
      </c>
      <c r="C15" s="57" t="inlineStr">
        <is>
          <t>9417736</t>
        </is>
      </c>
      <c r="D15" s="57" t="inlineStr">
        <is>
          <t>m</t>
        </is>
      </c>
    </row>
    <row r="16">
      <c r="A16" s="56" t="inlineStr">
        <is>
          <t>2. Parámetros físicos del terreno</t>
        </is>
      </c>
      <c r="B16" s="56" t="inlineStr">
        <is>
          <t>Altitud GPS del punto de muestreo (msnm)</t>
        </is>
      </c>
      <c r="C16" s="56" t="inlineStr">
        <is>
          <t>1575</t>
        </is>
      </c>
      <c r="D16" s="56" t="inlineStr">
        <is>
          <t>msnm</t>
        </is>
      </c>
    </row>
    <row r="17">
      <c r="A17" s="57" t="inlineStr">
        <is>
          <t>2. Parámetros físicos del terreno</t>
        </is>
      </c>
      <c r="B17" s="57" t="inlineStr">
        <is>
          <t>Piso altitudinal del punto de muestreo</t>
        </is>
      </c>
      <c r="C17" s="57" t="inlineStr">
        <is>
          <t>1500-2000 m (Quechua media)</t>
        </is>
      </c>
      <c r="D17" s="57" t="inlineStr"/>
    </row>
    <row r="18">
      <c r="A18" s="56" t="inlineStr">
        <is>
          <t>2. Parámetros físicos del terreno</t>
        </is>
      </c>
      <c r="B18" s="56" t="inlineStr">
        <is>
          <t>Paisaje dominante descrito en campo</t>
        </is>
      </c>
      <c r="C18" s="56" t="inlineStr">
        <is>
          <t>Ladera de montaña de exposición NO, disectada por quebradas y dominada por un macizo rocoso con farallones y saltos de agua en la divisoria. Mosaico de pastizal cultivado, matorral y relictos arbóreos en fondos de quebrada, con parcelas agroforestales y vivienda dispersa sobre la trocha carrozable del flanco norte.</t>
        </is>
      </c>
      <c r="D18" s="56" t="inlineStr"/>
    </row>
    <row r="19">
      <c r="A19" s="57" t="inlineStr">
        <is>
          <t>2. Parámetros físicos del terreno</t>
        </is>
      </c>
      <c r="B19" s="57" t="inlineStr">
        <is>
          <t>Reptación de suelo</t>
        </is>
      </c>
      <c r="C19" s="57" t="inlineStr">
        <is>
          <t>Sí</t>
        </is>
      </c>
      <c r="D19" s="57" t="inlineStr"/>
    </row>
    <row r="20">
      <c r="A20" s="56" t="inlineStr">
        <is>
          <t>2. Parámetros físicos del terreno</t>
        </is>
      </c>
      <c r="B20" s="56" t="inlineStr">
        <is>
          <t>Deslizamientos antiguos</t>
        </is>
      </c>
      <c r="C20" s="56" t="inlineStr">
        <is>
          <t>Sí</t>
        </is>
      </c>
      <c r="D20" s="56" t="inlineStr"/>
    </row>
    <row r="21">
      <c r="A21" s="57" t="inlineStr">
        <is>
          <t>4. Suelos y erosión (F-DT-02)</t>
        </is>
      </c>
      <c r="B21" s="57" t="inlineStr">
        <is>
          <t>Nivel de erosión - síntesis de campo</t>
        </is>
      </c>
      <c r="C21" s="57" t="inlineStr">
        <is>
          <t>Moderada (surcos)</t>
        </is>
      </c>
      <c r="D21" s="57" t="inlineStr"/>
    </row>
    <row r="22">
      <c r="A22" s="56" t="inlineStr">
        <is>
          <t>4. Suelos y erosión (F-DT-02)</t>
        </is>
      </c>
      <c r="B22" s="56" t="inlineStr">
        <is>
          <t>Compactación por pisoteo</t>
        </is>
      </c>
      <c r="C22" s="56" t="inlineStr">
        <is>
          <t>Sí</t>
        </is>
      </c>
      <c r="D22" s="56" t="inlineStr"/>
    </row>
    <row r="23">
      <c r="A23" s="57" t="inlineStr">
        <is>
          <t>4. Suelos y erosión (F-DT-02)</t>
        </is>
      </c>
      <c r="B23" s="57" t="inlineStr">
        <is>
          <t>Socavamiento de cauce</t>
        </is>
      </c>
      <c r="C23" s="57" t="inlineStr">
        <is>
          <t>Sí</t>
        </is>
      </c>
      <c r="D23" s="57" t="inlineStr"/>
    </row>
    <row r="24">
      <c r="A24" s="56" t="inlineStr">
        <is>
          <t>5. Ecosistema, cobertura y flora (F-DT-03)</t>
        </is>
      </c>
      <c r="B24" s="56" t="inlineStr">
        <is>
          <t>Cobertura del dosel (%)</t>
        </is>
      </c>
      <c r="C24" s="56" t="inlineStr">
        <is>
          <t>15</t>
        </is>
      </c>
      <c r="D24" s="56" t="inlineStr">
        <is>
          <t>%</t>
        </is>
      </c>
    </row>
    <row r="25">
      <c r="A25" s="57" t="inlineStr">
        <is>
          <t>5. Ecosistema, cobertura y flora (F-DT-03)</t>
        </is>
      </c>
      <c r="B25" s="57" t="inlineStr">
        <is>
          <t>Cobertura arbustiva (%)</t>
        </is>
      </c>
      <c r="C25" s="57" t="inlineStr">
        <is>
          <t>35</t>
        </is>
      </c>
      <c r="D25" s="57" t="inlineStr">
        <is>
          <t>%</t>
        </is>
      </c>
    </row>
    <row r="26">
      <c r="A26" s="56" t="inlineStr">
        <is>
          <t>5. Ecosistema, cobertura y flora (F-DT-03)</t>
        </is>
      </c>
      <c r="B26" s="56" t="inlineStr">
        <is>
          <t>Cobertura herbácea (%)</t>
        </is>
      </c>
      <c r="C26" s="56" t="inlineStr">
        <is>
          <t>40</t>
        </is>
      </c>
      <c r="D26" s="56" t="inlineStr">
        <is>
          <t>%</t>
        </is>
      </c>
    </row>
    <row r="27">
      <c r="A27" s="57" t="inlineStr">
        <is>
          <t>5. Ecosistema, cobertura y flora (F-DT-03)</t>
        </is>
      </c>
      <c r="B27" s="57" t="inlineStr">
        <is>
          <t>Cobertura de hojarasca (%)</t>
        </is>
      </c>
      <c r="C27" s="57" t="inlineStr">
        <is>
          <t>10</t>
        </is>
      </c>
      <c r="D27" s="57" t="inlineStr">
        <is>
          <t>%</t>
        </is>
      </c>
    </row>
    <row r="28">
      <c r="A28" s="56" t="inlineStr">
        <is>
          <t>5. Ecosistema, cobertura y flora (F-DT-03)</t>
        </is>
      </c>
      <c r="B28" s="56" t="inlineStr">
        <is>
          <t>Altura del estrato dominante (m)</t>
        </is>
      </c>
      <c r="C28" s="56" t="inlineStr">
        <is>
          <t>2.5</t>
        </is>
      </c>
      <c r="D28" s="56" t="inlineStr">
        <is>
          <t>m</t>
        </is>
      </c>
    </row>
    <row r="29">
      <c r="A29" s="57" t="inlineStr">
        <is>
          <t>5. Ecosistema, cobertura y flora (F-DT-03)</t>
        </is>
      </c>
      <c r="B29" s="57" t="inlineStr">
        <is>
          <t>Altura máxima registrada (m)</t>
        </is>
      </c>
      <c r="C29" s="57" t="inlineStr">
        <is>
          <t>20</t>
        </is>
      </c>
      <c r="D29" s="57" t="inlineStr">
        <is>
          <t>m</t>
        </is>
      </c>
    </row>
    <row r="30">
      <c r="A30" s="56" t="inlineStr">
        <is>
          <t>5. Ecosistema, cobertura y flora (F-DT-03)</t>
        </is>
      </c>
      <c r="B30" s="56" t="inlineStr">
        <is>
          <t>Presencia de epífitas</t>
        </is>
      </c>
      <c r="C30" s="56" t="inlineStr">
        <is>
          <t>Sí</t>
        </is>
      </c>
      <c r="D30" s="56" t="inlineStr"/>
    </row>
    <row r="31">
      <c r="A31" s="57" t="inlineStr">
        <is>
          <t>5. Ecosistema, cobertura y flora (F-DT-03)</t>
        </is>
      </c>
      <c r="B31" s="57" t="inlineStr">
        <is>
          <t>Fenología dominante</t>
        </is>
      </c>
      <c r="C31" s="57" t="inlineStr">
        <is>
          <t>Vegetativo</t>
        </is>
      </c>
      <c r="D31" s="57" t="inlineStr"/>
    </row>
    <row r="32">
      <c r="A32" s="56" t="inlineStr">
        <is>
          <t>5. Ecosistema, cobertura y flora (F-DT-03)</t>
        </is>
      </c>
      <c r="B32" s="56" t="inlineStr">
        <is>
          <t>Dimensiones de la parcela (m)</t>
        </is>
      </c>
      <c r="C32" s="56" t="inlineStr">
        <is>
          <t>No aplica</t>
        </is>
      </c>
      <c r="D32" s="56" t="inlineStr"/>
    </row>
    <row r="33">
      <c r="A33" s="57" t="inlineStr">
        <is>
          <t>5. Ecosistema, cobertura y flora (F-DT-03)</t>
        </is>
      </c>
      <c r="B33" s="57" t="inlineStr">
        <is>
          <t>Pendiente de la parcela (%)</t>
        </is>
      </c>
      <c r="C33" s="57" t="inlineStr">
        <is>
          <t>31.71</t>
        </is>
      </c>
      <c r="D33" s="57" t="inlineStr">
        <is>
          <t>%</t>
        </is>
      </c>
    </row>
    <row r="34">
      <c r="A34" s="56" t="inlineStr">
        <is>
          <t>5. Ecosistema, cobertura y flora (F-DT-03)</t>
        </is>
      </c>
      <c r="B34" s="56" t="inlineStr">
        <is>
          <t>Especies clave georreferenciadas</t>
        </is>
      </c>
      <c r="C34" s="56" t="inlineStr">
        <is>
          <t>6</t>
        </is>
      </c>
      <c r="D34" s="56" t="inlineStr"/>
    </row>
    <row r="35">
      <c r="A35" s="57" t="inlineStr">
        <is>
          <t>6. Degradación, causas y urgencia (F-DT-04)</t>
        </is>
      </c>
      <c r="B35" s="57" t="inlineStr">
        <is>
          <t>Causas directas de la degradación</t>
        </is>
      </c>
      <c r="C35" s="57" t="inlineStr">
        <is>
          <t>Conversión de matorral y relictos arbóreos a pastizal cultivado y a parcelas agrícolas en ladera; sobrepastoreo vacuno con compactación y terracetas; apertura de trocha carrozable con taludes de corte inestables; erosión natural severa localizada en cicatrices de deslizamiento y cabeceras de quebrada.</t>
        </is>
      </c>
      <c r="D35" s="57" t="inlineStr"/>
    </row>
    <row r="36">
      <c r="A36" s="56" t="inlineStr">
        <is>
          <t>6. Degradación, causas y urgencia (F-DT-04)</t>
        </is>
      </c>
      <c r="B36" s="56" t="inlineStr">
        <is>
          <t>N.° de causas activas en la matriz F-DT-04</t>
        </is>
      </c>
      <c r="C36" s="56" t="inlineStr">
        <is>
          <t>7</t>
        </is>
      </c>
      <c r="D36" s="56" t="inlineStr"/>
    </row>
    <row r="37">
      <c r="A37" s="57" t="inlineStr">
        <is>
          <t>7. Hidrología, acceso y logística (F-DT-05)</t>
        </is>
      </c>
      <c r="B37" s="57" t="inlineStr">
        <is>
          <t>Escorrentía concentrada</t>
        </is>
      </c>
      <c r="C37" s="57" t="inlineStr">
        <is>
          <t>Sí</t>
        </is>
      </c>
      <c r="D37" s="57" t="inlineStr"/>
    </row>
    <row r="38">
      <c r="A38" s="56" t="inlineStr">
        <is>
          <t>7. Hidrología, acceso y logística (F-DT-05)</t>
        </is>
      </c>
      <c r="B38" s="56" t="inlineStr">
        <is>
          <t>Fuentes de agua inventariadas</t>
        </is>
      </c>
      <c r="C38" s="56" t="inlineStr">
        <is>
          <t>2</t>
        </is>
      </c>
      <c r="D38" s="56" t="inlineStr"/>
    </row>
    <row r="39">
      <c r="A39" s="57" t="inlineStr">
        <is>
          <t>7. Hidrología, acceso y logística (F-DT-05)</t>
        </is>
      </c>
      <c r="B39" s="57" t="inlineStr">
        <is>
          <t>Vía principal de acceso</t>
        </is>
      </c>
      <c r="C39" s="57" t="inlineStr">
        <is>
          <t>Trocha carrozable Canchaque – Huamala Alto (código de ruta por verificar con el MTC)</t>
        </is>
      </c>
      <c r="D39" s="57" t="inlineStr"/>
    </row>
    <row r="40">
      <c r="A40" s="56" t="inlineStr">
        <is>
          <t>7. Hidrología, acceso y logística (F-DT-05)</t>
        </is>
      </c>
      <c r="B40" s="56" t="inlineStr">
        <is>
          <t>Tipo de vía del tramo final</t>
        </is>
      </c>
      <c r="C40" s="56" t="inlineStr">
        <is>
          <t>Trocha carrozable</t>
        </is>
      </c>
      <c r="D40" s="56" t="inlineStr"/>
    </row>
    <row r="41">
      <c r="A41" s="57" t="inlineStr">
        <is>
          <t>7. Hidrología, acceso y logística (F-DT-05)</t>
        </is>
      </c>
      <c r="B41" s="57" t="inlineStr">
        <is>
          <t>Transitabilidad en época seca</t>
        </is>
      </c>
      <c r="C41" s="57" t="inlineStr">
        <is>
          <t>Medio</t>
        </is>
      </c>
      <c r="D41" s="57" t="inlineStr"/>
    </row>
    <row r="42">
      <c r="A42" s="56" t="inlineStr">
        <is>
          <t>7. Hidrología, acceso y logística (F-DT-05)</t>
        </is>
      </c>
      <c r="B42" s="56" t="inlineStr">
        <is>
          <t>Transitabilidad en época lluviosa</t>
        </is>
      </c>
      <c r="C42" s="56" t="inlineStr">
        <is>
          <t>Bajo</t>
        </is>
      </c>
      <c r="D42" s="56" t="inlineStr"/>
    </row>
    <row r="43">
      <c r="A43" s="57" t="inlineStr">
        <is>
          <t>7. Hidrología, acceso y logística (F-DT-05)</t>
        </is>
      </c>
      <c r="B43" s="57" t="inlineStr">
        <is>
          <t>Requiere coordinación con ronda / comunidad</t>
        </is>
      </c>
      <c r="C43" s="57" t="inlineStr">
        <is>
          <t>Sí</t>
        </is>
      </c>
      <c r="D43" s="57" t="inlineStr"/>
    </row>
    <row r="45">
      <c r="A45" s="54" t="inlineStr">
        <is>
          <t>C. PROCEDENCIA DE LOS HECHOS DECLARADOS</t>
        </is>
      </c>
    </row>
    <row r="46">
      <c r="A46" s="55" t="inlineStr">
        <is>
          <t>Fuente</t>
        </is>
      </c>
      <c r="B46" s="55" t="inlineStr">
        <is>
          <t>Hechos</t>
        </is>
      </c>
      <c r="C46" s="55" t="inlineStr">
        <is>
          <t>Alcance de la fuente</t>
        </is>
      </c>
    </row>
    <row r="47">
      <c r="A47" s="56" t="inlineStr">
        <is>
          <t>Dato de campo</t>
        </is>
      </c>
      <c r="B47" s="56" t="n">
        <v>61</v>
      </c>
      <c r="C47" s="56" t="inlineStr">
        <is>
          <t>Verificación en campo. Fichas F-DT-01 a F-DT-05 de la Plantilla DT Campo Check Validada V5, suscritas por el evaluador.</t>
        </is>
      </c>
    </row>
    <row r="48">
      <c r="A48" s="57" t="inlineStr">
        <is>
          <t>Gabinete (GIS / teledetección)</t>
        </is>
      </c>
      <c r="B48" s="57" t="n">
        <v>20</v>
      </c>
      <c r="C48" s="57" t="inlineStr">
        <is>
          <t>Gabinete. Estadística zonal sobre el MDE y compuestos Sentinel-2 (NDVI mediana 2025, MSAVI 2024 por clase DN).</t>
        </is>
      </c>
    </row>
    <row r="49">
      <c r="A49" s="56" t="inlineStr">
        <is>
          <t>Fuente oficial</t>
        </is>
      </c>
      <c r="B49" s="56" t="n">
        <v>14</v>
      </c>
      <c r="C49" s="56" t="inlineStr">
        <is>
          <t>Fuente oficial. Catálogo maestro Bloques V5/V6, división política INEI y codificación de microcuencas de la ANA.</t>
        </is>
      </c>
    </row>
    <row r="51">
      <c r="A51" s="54" t="inlineStr">
        <is>
          <t>D. ESTADO DEL CRUCE ENTRE FUENTES</t>
        </is>
      </c>
    </row>
    <row r="52">
      <c r="A52" s="55" t="inlineStr">
        <is>
          <t>Estado</t>
        </is>
      </c>
      <c r="B52" s="55" t="inlineStr">
        <is>
          <t>Hechos</t>
        </is>
      </c>
      <c r="C52" s="55" t="inlineStr">
        <is>
          <t>Significado</t>
        </is>
      </c>
    </row>
    <row r="53">
      <c r="A53" s="56" t="inlineStr">
        <is>
          <t>CONFORME</t>
        </is>
      </c>
      <c r="B53" s="56" t="n">
        <v>93</v>
      </c>
      <c r="C53" s="56" t="inlineStr">
        <is>
          <t>Las dos fuentes declaran lo mismo, o solo la fuente que manda sobre el hecho lo declara.</t>
        </is>
      </c>
    </row>
    <row r="54">
      <c r="A54" s="57" t="inlineStr">
        <is>
          <t>COMPLEMENTADO</t>
        </is>
      </c>
      <c r="B54" s="57" t="n">
        <v>0</v>
      </c>
      <c r="C54" s="57" t="inlineStr">
        <is>
          <t>Solo una de las fuentes lo declara y se adopta ese valor.</t>
        </is>
      </c>
    </row>
    <row r="55">
      <c r="A55" s="56" t="inlineStr">
        <is>
          <t>ACTUALIZADO</t>
        </is>
      </c>
      <c r="B55" s="56" t="n">
        <v>2</v>
      </c>
      <c r="C55" s="56" t="inlineStr">
        <is>
          <t>La verificación de campo vigente corrige lo que traía el libro de resumen.</t>
        </is>
      </c>
    </row>
    <row r="56">
      <c r="A56" s="57" t="inlineStr">
        <is>
          <t>DISCREPANTE</t>
        </is>
      </c>
      <c r="B56" s="57" t="n">
        <v>0</v>
      </c>
      <c r="C56" s="57" t="inlineStr">
        <is>
          <t>Las fuentes se contradicen; prevalece la que manda sobre el hecho y la otra queda declarada.</t>
        </is>
      </c>
    </row>
    <row r="57">
      <c r="A57" s="56" t="inlineStr">
        <is>
          <t>PENDIENTE</t>
        </is>
      </c>
      <c r="B57" s="56" t="n">
        <v>19</v>
      </c>
      <c r="C57"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21</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Eucalipto</t>
        </is>
      </c>
      <c r="C13" s="56" t="inlineStr">
        <is>
          <t>Eucalyptus globulus</t>
        </is>
      </c>
      <c r="D13" s="56" t="inlineStr">
        <is>
          <t>Myrtaceae</t>
        </is>
      </c>
      <c r="E13" s="56" t="inlineStr">
        <is>
          <t>Arbóreo superior (&gt;15 m)</t>
        </is>
      </c>
      <c r="F13" s="56" t="inlineStr">
        <is>
          <t>Introducida</t>
        </is>
      </c>
      <c r="G13" s="56" t="inlineStr">
        <is>
          <t>Frecuente (5-20%)</t>
        </is>
      </c>
      <c r="H13" s="56" t="n"/>
      <c r="I13" s="61" t="n">
        <v>20</v>
      </c>
    </row>
    <row r="14">
      <c r="A14" s="57" t="inlineStr">
        <is>
          <t>2</t>
        </is>
      </c>
      <c r="B14" s="57" t="inlineStr">
        <is>
          <t>Grevilea</t>
        </is>
      </c>
      <c r="C14" s="57" t="inlineStr">
        <is>
          <t>Grevillea robusta</t>
        </is>
      </c>
      <c r="D14" s="57" t="inlineStr">
        <is>
          <t>Proteaceae</t>
        </is>
      </c>
      <c r="E14" s="57" t="inlineStr">
        <is>
          <t>Arbóreo medio (8-15 m)</t>
        </is>
      </c>
      <c r="F14" s="57" t="inlineStr">
        <is>
          <t>Introducida</t>
        </is>
      </c>
      <c r="G14" s="57" t="inlineStr">
        <is>
          <t>Frecuente (5-20%)</t>
        </is>
      </c>
      <c r="H14" s="57" t="n"/>
      <c r="I14" s="62" t="n">
        <v>12</v>
      </c>
    </row>
    <row r="15">
      <c r="A15" s="56" t="inlineStr">
        <is>
          <t>3</t>
        </is>
      </c>
      <c r="B15" s="56" t="inlineStr">
        <is>
          <t>Higuerón</t>
        </is>
      </c>
      <c r="C15" s="56" t="inlineStr">
        <is>
          <t>Ficus sp.</t>
        </is>
      </c>
      <c r="D15" s="56" t="inlineStr">
        <is>
          <t>Moraceae</t>
        </is>
      </c>
      <c r="E15" s="56" t="inlineStr">
        <is>
          <t>Arbóreo superior (&gt;15 m)</t>
        </is>
      </c>
      <c r="F15" s="56" t="inlineStr">
        <is>
          <t>Nativa</t>
        </is>
      </c>
      <c r="G15" s="56" t="inlineStr">
        <is>
          <t>Ocasional (1-5%)</t>
        </is>
      </c>
      <c r="H15" s="56" t="n"/>
      <c r="I15" s="61" t="n">
        <v>16</v>
      </c>
    </row>
    <row r="16">
      <c r="A16" s="57" t="inlineStr">
        <is>
          <t>4</t>
        </is>
      </c>
      <c r="B16" s="57" t="inlineStr">
        <is>
          <t>Pacae</t>
        </is>
      </c>
      <c r="C16" s="57" t="inlineStr">
        <is>
          <t>Inga feuillei</t>
        </is>
      </c>
      <c r="D16" s="57" t="inlineStr">
        <is>
          <t>Fabaceae</t>
        </is>
      </c>
      <c r="E16" s="57" t="inlineStr">
        <is>
          <t>Arbóreo medio (8-15 m)</t>
        </is>
      </c>
      <c r="F16" s="57" t="inlineStr">
        <is>
          <t>Nativa</t>
        </is>
      </c>
      <c r="G16" s="57" t="inlineStr">
        <is>
          <t>Frecuente (5-20%)</t>
        </is>
      </c>
      <c r="H16" s="57" t="n"/>
      <c r="I16" s="62" t="n">
        <v>10</v>
      </c>
    </row>
    <row r="17">
      <c r="A17" s="56" t="inlineStr">
        <is>
          <t>5</t>
        </is>
      </c>
      <c r="B17" s="56" t="inlineStr">
        <is>
          <t>Faique</t>
        </is>
      </c>
      <c r="C17" s="56" t="inlineStr">
        <is>
          <t>Vachellia macracantha</t>
        </is>
      </c>
      <c r="D17" s="56" t="inlineStr">
        <is>
          <t>Fabaceae</t>
        </is>
      </c>
      <c r="E17" s="56" t="inlineStr">
        <is>
          <t>Arbóreo bajo (4-8 m)</t>
        </is>
      </c>
      <c r="F17" s="56" t="inlineStr">
        <is>
          <t>Nativa</t>
        </is>
      </c>
      <c r="G17" s="56" t="inlineStr">
        <is>
          <t>Ocasional (1-5%)</t>
        </is>
      </c>
      <c r="H17" s="56" t="n"/>
      <c r="I17" s="63" t="n">
        <v>6</v>
      </c>
    </row>
    <row r="18">
      <c r="A18" s="57" t="inlineStr">
        <is>
          <t>6</t>
        </is>
      </c>
      <c r="B18" s="57" t="inlineStr">
        <is>
          <t>Caña guayaquil / bambú</t>
        </is>
      </c>
      <c r="C18" s="57" t="inlineStr">
        <is>
          <t>Guadua angustifolia</t>
        </is>
      </c>
      <c r="D18" s="57" t="inlineStr">
        <is>
          <t>Poaceae</t>
        </is>
      </c>
      <c r="E18" s="57" t="inlineStr">
        <is>
          <t>Arbóreo medio (8-15 m)</t>
        </is>
      </c>
      <c r="F18" s="57" t="inlineStr">
        <is>
          <t>Nativa</t>
        </is>
      </c>
      <c r="G18" s="57" t="inlineStr">
        <is>
          <t>Ocasional (1-5%)</t>
        </is>
      </c>
      <c r="H18" s="57" t="n"/>
      <c r="I18" s="62" t="n">
        <v>12</v>
      </c>
    </row>
    <row r="19">
      <c r="A19" s="56" t="inlineStr">
        <is>
          <t>7</t>
        </is>
      </c>
      <c r="B19" s="56" t="inlineStr">
        <is>
          <t>Cítricos (naranjo, lima)</t>
        </is>
      </c>
      <c r="C19" s="56" t="inlineStr">
        <is>
          <t>Citrus spp.</t>
        </is>
      </c>
      <c r="D19" s="56" t="inlineStr">
        <is>
          <t>Rutaceae</t>
        </is>
      </c>
      <c r="E19" s="56" t="inlineStr">
        <is>
          <t>Arbóreo bajo (4-8 m)</t>
        </is>
      </c>
      <c r="F19" s="56" t="inlineStr">
        <is>
          <t>Introducida</t>
        </is>
      </c>
      <c r="G19" s="56" t="inlineStr">
        <is>
          <t>Ocasional (1-5%)</t>
        </is>
      </c>
      <c r="H19" s="56" t="n"/>
      <c r="I19" s="63" t="n">
        <v>5</v>
      </c>
    </row>
    <row r="20">
      <c r="A20" s="57" t="inlineStr">
        <is>
          <t>8</t>
        </is>
      </c>
      <c r="B20" s="57" t="inlineStr">
        <is>
          <t>Chilca</t>
        </is>
      </c>
      <c r="C20" s="57" t="inlineStr">
        <is>
          <t>Baccharis latifolia</t>
        </is>
      </c>
      <c r="D20" s="57" t="inlineStr">
        <is>
          <t>Asteraceae</t>
        </is>
      </c>
      <c r="E20" s="57" t="inlineStr">
        <is>
          <t>Arbustivo alto (1.5-4 m)</t>
        </is>
      </c>
      <c r="F20" s="57" t="inlineStr">
        <is>
          <t>Nativa</t>
        </is>
      </c>
      <c r="G20" s="57" t="inlineStr">
        <is>
          <t>Abundante (20-40%)</t>
        </is>
      </c>
      <c r="H20" s="57" t="n"/>
      <c r="I20" s="64" t="n">
        <v>2.5</v>
      </c>
    </row>
    <row r="21">
      <c r="A21" s="56" t="inlineStr">
        <is>
          <t>9</t>
        </is>
      </c>
      <c r="B21" s="56" t="inlineStr">
        <is>
          <t>Agave / penca</t>
        </is>
      </c>
      <c r="C21" s="56" t="inlineStr">
        <is>
          <t>Agave americana</t>
        </is>
      </c>
      <c r="D21" s="56" t="inlineStr">
        <is>
          <t>Asparagaceae</t>
        </is>
      </c>
      <c r="E21" s="56" t="inlineStr">
        <is>
          <t>Arbustivo alto (1.5-4 m)</t>
        </is>
      </c>
      <c r="F21" s="56" t="inlineStr">
        <is>
          <t>Introducida</t>
        </is>
      </c>
      <c r="G21" s="56" t="inlineStr">
        <is>
          <t>Frecuente (5-20%)</t>
        </is>
      </c>
      <c r="H21" s="56" t="n"/>
      <c r="I21" s="63" t="n">
        <v>2</v>
      </c>
    </row>
    <row r="22">
      <c r="A22" s="57" t="inlineStr">
        <is>
          <t>10</t>
        </is>
      </c>
      <c r="B22" s="57" t="inlineStr">
        <is>
          <t>Falsa yuca</t>
        </is>
      </c>
      <c r="C22" s="57" t="inlineStr">
        <is>
          <t>Por determinar (cf. Yucca sp.)</t>
        </is>
      </c>
      <c r="D22" s="57" t="inlineStr">
        <is>
          <t>Por determinar</t>
        </is>
      </c>
      <c r="E22" s="57" t="inlineStr">
        <is>
          <t>Arbustivo alto (1.5-4 m)</t>
        </is>
      </c>
      <c r="F22" s="57" t="inlineStr">
        <is>
          <t>Por determinar</t>
        </is>
      </c>
      <c r="G22" s="57" t="inlineStr">
        <is>
          <t>Ocasional (1-5%)</t>
        </is>
      </c>
      <c r="H22" s="57" t="n"/>
      <c r="I22" s="64" t="n">
        <v>2.5</v>
      </c>
    </row>
    <row r="23">
      <c r="A23" s="56" t="inlineStr">
        <is>
          <t>11</t>
        </is>
      </c>
      <c r="B23" s="56" t="inlineStr">
        <is>
          <t>Plátano (cultivo)</t>
        </is>
      </c>
      <c r="C23" s="56" t="inlineStr">
        <is>
          <t>Musa × paradisiaca</t>
        </is>
      </c>
      <c r="D23" s="56" t="inlineStr">
        <is>
          <t>Musaceae</t>
        </is>
      </c>
      <c r="E23" s="56" t="inlineStr">
        <is>
          <t>Arbustivo alto (1.5-4 m)</t>
        </is>
      </c>
      <c r="F23" s="56" t="inlineStr">
        <is>
          <t>Introducida</t>
        </is>
      </c>
      <c r="G23" s="56" t="inlineStr">
        <is>
          <t>Frecuente (5-20%)</t>
        </is>
      </c>
      <c r="H23" s="56" t="n"/>
      <c r="I23" s="63" t="n">
        <v>3.5</v>
      </c>
    </row>
    <row r="24">
      <c r="A24" s="57" t="inlineStr">
        <is>
          <t>12</t>
        </is>
      </c>
      <c r="B24" s="57" t="inlineStr">
        <is>
          <t>Café (cultivo)</t>
        </is>
      </c>
      <c r="C24" s="57" t="inlineStr">
        <is>
          <t>Coffea arabica</t>
        </is>
      </c>
      <c r="D24" s="57" t="inlineStr">
        <is>
          <t>Rubiaceae</t>
        </is>
      </c>
      <c r="E24" s="57" t="inlineStr">
        <is>
          <t>Arbustivo alto (1.5-4 m)</t>
        </is>
      </c>
      <c r="F24" s="57" t="inlineStr">
        <is>
          <t>Introducida</t>
        </is>
      </c>
      <c r="G24" s="57" t="inlineStr">
        <is>
          <t>Frecuente (5-20%)</t>
        </is>
      </c>
      <c r="H24" s="57" t="n"/>
      <c r="I24" s="64" t="n">
        <v>2</v>
      </c>
    </row>
    <row r="25">
      <c r="A25" s="56" t="inlineStr">
        <is>
          <t>13</t>
        </is>
      </c>
      <c r="B25" s="56" t="inlineStr">
        <is>
          <t>Caña de azúcar (cultivo)</t>
        </is>
      </c>
      <c r="C25" s="56" t="inlineStr">
        <is>
          <t>Saccharum officinarum</t>
        </is>
      </c>
      <c r="D25" s="56" t="inlineStr">
        <is>
          <t>Poaceae</t>
        </is>
      </c>
      <c r="E25" s="56" t="inlineStr">
        <is>
          <t>Arbustivo alto (1.5-4 m)</t>
        </is>
      </c>
      <c r="F25" s="56" t="inlineStr">
        <is>
          <t>Introducida</t>
        </is>
      </c>
      <c r="G25" s="56" t="inlineStr">
        <is>
          <t>Ocasional (1-5%)</t>
        </is>
      </c>
      <c r="H25" s="56" t="n"/>
      <c r="I25" s="63" t="n">
        <v>2.5</v>
      </c>
    </row>
    <row r="26">
      <c r="A26" s="57" t="inlineStr">
        <is>
          <t>14</t>
        </is>
      </c>
      <c r="B26" s="57" t="inlineStr">
        <is>
          <t>Maíz (cultivo)</t>
        </is>
      </c>
      <c r="C26" s="57" t="inlineStr">
        <is>
          <t>Zea mays</t>
        </is>
      </c>
      <c r="D26" s="57" t="inlineStr">
        <is>
          <t>Poaceae</t>
        </is>
      </c>
      <c r="E26" s="57" t="inlineStr">
        <is>
          <t>Arbustivo alto (1.5-4 m)</t>
        </is>
      </c>
      <c r="F26" s="57" t="inlineStr">
        <is>
          <t>Introducida</t>
        </is>
      </c>
      <c r="G26" s="57" t="inlineStr">
        <is>
          <t>Frecuente (5-20%)</t>
        </is>
      </c>
      <c r="H26" s="57" t="n"/>
      <c r="I26" s="64" t="n">
        <v>2</v>
      </c>
    </row>
    <row r="27">
      <c r="A27" s="56" t="inlineStr">
        <is>
          <t>15</t>
        </is>
      </c>
      <c r="B27" s="56" t="inlineStr">
        <is>
          <t>Pastos cultivados</t>
        </is>
      </c>
      <c r="C27" s="56" t="inlineStr">
        <is>
          <t>Brachiaria sp. / Pennisetum sp.</t>
        </is>
      </c>
      <c r="D27" s="56" t="inlineStr">
        <is>
          <t>Poaceae</t>
        </is>
      </c>
      <c r="E27" s="56" t="inlineStr">
        <is>
          <t>Herbáceo (&lt;0.5 m)</t>
        </is>
      </c>
      <c r="F27" s="56" t="inlineStr">
        <is>
          <t>Introducida</t>
        </is>
      </c>
      <c r="G27" s="56" t="inlineStr">
        <is>
          <t>Dominante (&gt;40%)</t>
        </is>
      </c>
      <c r="H27" s="56" t="n"/>
      <c r="I27" s="63" t="n">
        <v>0.4</v>
      </c>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Ficus sp. (Higuerón)</t>
        </is>
      </c>
      <c r="C31" s="56" t="inlineStr">
        <is>
          <t>Indicadora de buen estado</t>
        </is>
      </c>
      <c r="D31" s="56" t="inlineStr">
        <is>
          <t>No aplica</t>
        </is>
      </c>
      <c r="E31" s="56" t="n"/>
      <c r="F31" s="56" t="n"/>
      <c r="G31" s="56" t="n"/>
      <c r="H31" s="56" t="inlineStr">
        <is>
          <t>Relictos en fondos de quebrada; indicador de humedad permanente</t>
        </is>
      </c>
    </row>
    <row r="32">
      <c r="A32" s="57" t="inlineStr">
        <is>
          <t>2</t>
        </is>
      </c>
      <c r="B32" s="57" t="inlineStr">
        <is>
          <t>Inga feuillei (Pacae)</t>
        </is>
      </c>
      <c r="C32" s="57" t="inlineStr">
        <is>
          <t>Indicadora de buen estado</t>
        </is>
      </c>
      <c r="D32" s="57" t="inlineStr">
        <is>
          <t>NE — No Evaluado</t>
        </is>
      </c>
      <c r="E32" s="57" t="n"/>
      <c r="F32" s="57" t="n"/>
      <c r="G32" s="57" t="n"/>
      <c r="H32" s="57" t="inlineStr">
        <is>
          <t>Nativa de sombra en mosaico agroforestal; indicador de humedad</t>
        </is>
      </c>
    </row>
    <row r="33">
      <c r="A33" s="56" t="inlineStr">
        <is>
          <t>3</t>
        </is>
      </c>
      <c r="B33" s="56" t="inlineStr">
        <is>
          <t>Guadua angustifolia (Caña guayaquil)</t>
        </is>
      </c>
      <c r="C33" s="56" t="inlineStr">
        <is>
          <t>Clave cultural</t>
        </is>
      </c>
      <c r="D33" s="56" t="inlineStr">
        <is>
          <t>NE — No Evaluado</t>
        </is>
      </c>
      <c r="E33" s="56" t="n"/>
      <c r="F33" s="56" t="n"/>
      <c r="G33" s="56" t="n"/>
      <c r="H33" s="56" t="inlineStr">
        <is>
          <t>Uso local en construcción y cercos; rodales en zonas de humedad permanente</t>
        </is>
      </c>
    </row>
    <row r="34">
      <c r="A34" s="57" t="inlineStr">
        <is>
          <t>4</t>
        </is>
      </c>
      <c r="B34" s="57" t="inlineStr">
        <is>
          <t>Baccharis latifolia (Chilca)</t>
        </is>
      </c>
      <c r="C34" s="57" t="inlineStr">
        <is>
          <t>Indicadora de perturbación</t>
        </is>
      </c>
      <c r="D34" s="57" t="inlineStr">
        <is>
          <t>No aplica</t>
        </is>
      </c>
      <c r="E34" s="57" t="n"/>
      <c r="F34" s="57" t="n"/>
      <c r="G34" s="57" t="n"/>
      <c r="H34" s="57" t="inlineStr">
        <is>
          <t>Dominante en suelo removido y taludes; especie clave para barreras vivas</t>
        </is>
      </c>
    </row>
    <row r="35">
      <c r="A35" s="56" t="inlineStr">
        <is>
          <t>5</t>
        </is>
      </c>
      <c r="B35" s="56" t="inlineStr">
        <is>
          <t>Agave americana (Penca)</t>
        </is>
      </c>
      <c r="C35" s="56" t="inlineStr">
        <is>
          <t>Indicadora de perturbación</t>
        </is>
      </c>
      <c r="D35" s="56" t="inlineStr">
        <is>
          <t>No aplica</t>
        </is>
      </c>
      <c r="E35" s="56" t="n"/>
      <c r="F35" s="56" t="n"/>
      <c r="G35" s="56" t="n"/>
      <c r="H35" s="56" t="inlineStr">
        <is>
          <t>Exótica en taludes y linderos; utilizable en cercos vivos</t>
        </is>
      </c>
    </row>
    <row r="36">
      <c r="A36" s="57" t="inlineStr">
        <is>
          <t>6</t>
        </is>
      </c>
      <c r="B36" s="57" t="inlineStr">
        <is>
          <t>Vachellia macracantha (Faique)</t>
        </is>
      </c>
      <c r="C36" s="57" t="inlineStr">
        <is>
          <t>Indicadora de buen estado</t>
        </is>
      </c>
      <c r="D36" s="57" t="inlineStr">
        <is>
          <t>NE — No Evaluado</t>
        </is>
      </c>
      <c r="E36" s="57" t="n"/>
      <c r="F36" s="57" t="n"/>
      <c r="G36" s="57" t="n"/>
      <c r="H36" s="57" t="inlineStr">
        <is>
          <t>Nativa colonizadora de sectores secos y sobrepastoreados</t>
        </is>
      </c>
    </row>
    <row r="38">
      <c r="A38" s="54" t="inlineStr">
        <is>
          <t>F-DT-04 · MATRIZ DE CAUSAS DE DEGRADACIÓN</t>
        </is>
      </c>
    </row>
    <row r="39">
      <c r="A39" s="55" t="inlineStr">
        <is>
          <t>N.o</t>
        </is>
      </c>
      <c r="B39" s="55" t="inlineStr">
        <is>
          <t>Causa</t>
        </is>
      </c>
      <c r="C39" s="55" t="inlineStr">
        <is>
          <t>Presencia</t>
        </is>
      </c>
      <c r="D39" s="55" t="inlineStr">
        <is>
          <t>Intensidad</t>
        </is>
      </c>
      <c r="E39" s="55" t="inlineStr">
        <is>
          <t>Extensión</t>
        </is>
      </c>
      <c r="F39" s="55" t="inlineStr">
        <is>
          <t>Antigüedad</t>
        </is>
      </c>
      <c r="G39" s="55" t="inlineStr">
        <is>
          <t>Evidencia</t>
        </is>
      </c>
    </row>
    <row r="40">
      <c r="A40" s="56" t="inlineStr">
        <is>
          <t>1</t>
        </is>
      </c>
      <c r="B40" s="56" t="inlineStr">
        <is>
          <t>Sobrepastoreo (caprino/vacuno)</t>
        </is>
      </c>
      <c r="C40" s="56" t="inlineStr">
        <is>
          <t>Sí</t>
        </is>
      </c>
      <c r="D40" s="56" t="inlineStr">
        <is>
          <t>Moderada</t>
        </is>
      </c>
      <c r="E40" s="56" t="inlineStr">
        <is>
          <t>30</t>
        </is>
      </c>
      <c r="F40" s="56" t="inlineStr">
        <is>
          <t>Por verificar</t>
        </is>
      </c>
      <c r="G40" s="56" t="inlineStr">
        <is>
          <t>Terracetas y sendas de ganado en ladera media; pastizal continuo con claros de suelo</t>
        </is>
      </c>
    </row>
    <row r="41">
      <c r="A41" s="57" t="inlineStr">
        <is>
          <t>2</t>
        </is>
      </c>
      <c r="B41" s="57" t="inlineStr">
        <is>
          <t>Tala para leña</t>
        </is>
      </c>
      <c r="C41" s="57" t="inlineStr"/>
      <c r="D41" s="57" t="inlineStr"/>
      <c r="E41" s="57" t="inlineStr"/>
      <c r="F41" s="57" t="inlineStr"/>
      <c r="G41" s="57" t="inlineStr"/>
    </row>
    <row r="42">
      <c r="A42" s="56" t="inlineStr">
        <is>
          <t>3</t>
        </is>
      </c>
      <c r="B42" s="56" t="inlineStr">
        <is>
          <t>Tala para carbón</t>
        </is>
      </c>
      <c r="C42" s="56" t="inlineStr"/>
      <c r="D42" s="56" t="inlineStr"/>
      <c r="E42" s="56" t="inlineStr"/>
      <c r="F42" s="56" t="inlineStr"/>
      <c r="G42" s="56" t="inlineStr"/>
    </row>
    <row r="43">
      <c r="A43" s="57" t="inlineStr">
        <is>
          <t>4</t>
        </is>
      </c>
      <c r="B43" s="57" t="inlineStr">
        <is>
          <t>Tala para madera</t>
        </is>
      </c>
      <c r="C43" s="57" t="inlineStr"/>
      <c r="D43" s="57" t="inlineStr"/>
      <c r="E43" s="57" t="inlineStr"/>
      <c r="F43" s="57" t="inlineStr"/>
      <c r="G43" s="57" t="inlineStr"/>
    </row>
    <row r="44">
      <c r="A44" s="56" t="inlineStr">
        <is>
          <t>5</t>
        </is>
      </c>
      <c r="B44" s="56" t="inlineStr">
        <is>
          <t>Quema (renovación de pastos)</t>
        </is>
      </c>
      <c r="C44" s="56" t="inlineStr">
        <is>
          <t>Por verificar</t>
        </is>
      </c>
      <c r="D44" s="56" t="inlineStr"/>
      <c r="E44" s="56" t="inlineStr"/>
      <c r="F44" s="56" t="inlineStr"/>
      <c r="G44" s="56" t="inlineStr">
        <is>
          <t>Parche de suelo desnudo/quemado junto al caserío: origen por confirmar en campo</t>
        </is>
      </c>
    </row>
    <row r="45">
      <c r="A45" s="57" t="inlineStr">
        <is>
          <t>6</t>
        </is>
      </c>
      <c r="B45" s="57" t="inlineStr">
        <is>
          <t>Quema accidental / Incendio</t>
        </is>
      </c>
      <c r="C45" s="57" t="inlineStr"/>
      <c r="D45" s="57" t="inlineStr"/>
      <c r="E45" s="57" t="inlineStr"/>
      <c r="F45" s="57" t="inlineStr"/>
      <c r="G45" s="57" t="inlineStr"/>
    </row>
    <row r="46">
      <c r="A46" s="56" t="inlineStr">
        <is>
          <t>7</t>
        </is>
      </c>
      <c r="B46" s="56" t="inlineStr">
        <is>
          <t>Cambio de uso a agricultura</t>
        </is>
      </c>
      <c r="C46" s="56" t="inlineStr">
        <is>
          <t>Sí</t>
        </is>
      </c>
      <c r="D46" s="56" t="inlineStr">
        <is>
          <t>Moderada</t>
        </is>
      </c>
      <c r="E46" s="56" t="inlineStr">
        <is>
          <t>25</t>
        </is>
      </c>
      <c r="F46" s="56" t="inlineStr">
        <is>
          <t>Por verificar</t>
        </is>
      </c>
      <c r="G46" s="56" t="inlineStr">
        <is>
          <t>Parcelas de plátano, café, maíz, caña y cítricos en fondos de quebrada, rellanos y borde de trocha</t>
        </is>
      </c>
    </row>
    <row r="47">
      <c r="A47" s="57" t="inlineStr">
        <is>
          <t>8</t>
        </is>
      </c>
      <c r="B47" s="57" t="inlineStr">
        <is>
          <t>Cambio de uso a pastoreo</t>
        </is>
      </c>
      <c r="C47" s="57" t="inlineStr">
        <is>
          <t>Sí</t>
        </is>
      </c>
      <c r="D47" s="57" t="inlineStr">
        <is>
          <t>Fuerte</t>
        </is>
      </c>
      <c r="E47" s="57" t="inlineStr">
        <is>
          <t>35</t>
        </is>
      </c>
      <c r="F47" s="57" t="inlineStr">
        <is>
          <t>Por verificar</t>
        </is>
      </c>
      <c r="G47" s="57" t="inlineStr">
        <is>
          <t>Conversión de matorral a pastizal cultivado en laderas medias y lomadas</t>
        </is>
      </c>
    </row>
    <row r="48">
      <c r="A48" s="56" t="inlineStr">
        <is>
          <t>9</t>
        </is>
      </c>
      <c r="B48" s="56" t="inlineStr">
        <is>
          <t>Expansión urbana / vial</t>
        </is>
      </c>
      <c r="C48" s="56" t="inlineStr">
        <is>
          <t>Sí</t>
        </is>
      </c>
      <c r="D48" s="56" t="inlineStr">
        <is>
          <t>Moderada</t>
        </is>
      </c>
      <c r="E48" s="56" t="inlineStr">
        <is>
          <t>5</t>
        </is>
      </c>
      <c r="F48" s="56" t="inlineStr">
        <is>
          <t>Por verificar</t>
        </is>
      </c>
      <c r="G48" s="56" t="inlineStr">
        <is>
          <t>Trocha carrozable en el flanco norte y vivienda dispersa; taludes de corte sin sostenimiento</t>
        </is>
      </c>
    </row>
    <row r="49">
      <c r="A49" s="57" t="inlineStr">
        <is>
          <t>10</t>
        </is>
      </c>
      <c r="B49" s="57" t="inlineStr">
        <is>
          <t>Minería informal</t>
        </is>
      </c>
      <c r="C49" s="57" t="inlineStr"/>
      <c r="D49" s="57" t="inlineStr"/>
      <c r="E49" s="57" t="inlineStr"/>
      <c r="F49" s="57" t="inlineStr"/>
      <c r="G49" s="57" t="inlineStr"/>
    </row>
    <row r="50">
      <c r="A50" s="56" t="inlineStr">
        <is>
          <t>11</t>
        </is>
      </c>
      <c r="B50" s="56" t="inlineStr">
        <is>
          <t>Extracción de áridos (cauces)</t>
        </is>
      </c>
      <c r="C50" s="56" t="inlineStr"/>
      <c r="D50" s="56" t="inlineStr"/>
      <c r="E50" s="56" t="inlineStr"/>
      <c r="F50" s="56" t="inlineStr"/>
      <c r="G50" s="56" t="inlineStr"/>
    </row>
    <row r="51">
      <c r="A51" s="57" t="inlineStr">
        <is>
          <t>12</t>
        </is>
      </c>
      <c r="B51" s="57" t="inlineStr">
        <is>
          <t>Especies invasoras</t>
        </is>
      </c>
      <c r="C51" s="57" t="inlineStr">
        <is>
          <t>Sí</t>
        </is>
      </c>
      <c r="D51" s="57" t="inlineStr">
        <is>
          <t>Ligera</t>
        </is>
      </c>
      <c r="E51" s="57" t="inlineStr">
        <is>
          <t>5</t>
        </is>
      </c>
      <c r="F51" s="57" t="inlineStr">
        <is>
          <t>Por verificar</t>
        </is>
      </c>
      <c r="G51" s="57" t="inlineStr">
        <is>
          <t>Agave americana en taludes y linderos (exótica); sin evidencia de invasoras agresivas</t>
        </is>
      </c>
    </row>
    <row r="52">
      <c r="A52" s="56" t="inlineStr">
        <is>
          <t>13</t>
        </is>
      </c>
      <c r="B52" s="56" t="inlineStr">
        <is>
          <t>Erosión natural severa</t>
        </is>
      </c>
      <c r="C52" s="56" t="inlineStr">
        <is>
          <t>Sí</t>
        </is>
      </c>
      <c r="D52" s="56" t="inlineStr">
        <is>
          <t>Moderada</t>
        </is>
      </c>
      <c r="E52" s="56" t="inlineStr">
        <is>
          <t>10</t>
        </is>
      </c>
      <c r="F52" s="56" t="inlineStr">
        <is>
          <t>Por verificar</t>
        </is>
      </c>
      <c r="G52" s="56" t="inlineStr">
        <is>
          <t>Cicatrices de deslizamiento con suelo desnudo en flanco occidental y cabeceras de quebrada</t>
        </is>
      </c>
    </row>
    <row r="53">
      <c r="A53" s="57" t="inlineStr">
        <is>
          <t>14</t>
        </is>
      </c>
      <c r="B53" s="57" t="inlineStr">
        <is>
          <t>Sequía prolongada / CC</t>
        </is>
      </c>
      <c r="C53" s="57" t="inlineStr"/>
      <c r="D53" s="57" t="inlineStr"/>
      <c r="E53" s="57" t="inlineStr"/>
      <c r="F53" s="57" t="inlineStr"/>
      <c r="G53" s="57" t="inlineStr"/>
    </row>
    <row r="54">
      <c r="A54" s="56" t="inlineStr">
        <is>
          <t>15</t>
        </is>
      </c>
      <c r="B54" s="56" t="inlineStr">
        <is>
          <t>Plagas o enfermedades forestales</t>
        </is>
      </c>
      <c r="C54" s="56" t="inlineStr"/>
      <c r="D54" s="56" t="inlineStr"/>
      <c r="E54" s="56" t="inlineStr"/>
      <c r="F54" s="56" t="inlineStr"/>
      <c r="G54" s="56" t="inlineStr"/>
    </row>
    <row r="55">
      <c r="A55" s="57" t="inlineStr">
        <is>
          <t>16</t>
        </is>
      </c>
      <c r="B55" s="57" t="inlineStr">
        <is>
          <t>Otro</t>
        </is>
      </c>
      <c r="C55" s="57" t="inlineStr"/>
      <c r="D55" s="57" t="inlineStr"/>
      <c r="E55" s="57" t="inlineStr"/>
      <c r="F55" s="57" t="inlineStr"/>
      <c r="G55" s="57" t="inlineStr"/>
    </row>
    <row r="57">
      <c r="A57" s="54" t="inlineStr">
        <is>
          <t>F-DT-04 · INDICADORES CUANTITATIVOS</t>
        </is>
      </c>
    </row>
    <row r="58">
      <c r="A58" s="55" t="inlineStr">
        <is>
          <t>N.o</t>
        </is>
      </c>
      <c r="B58" s="55" t="inlineStr">
        <is>
          <t>Indicador</t>
        </is>
      </c>
      <c r="C58" s="55" t="inlineStr">
        <is>
          <t>Unidad</t>
        </is>
      </c>
      <c r="D58" s="55" t="inlineStr">
        <is>
          <t>Valor</t>
        </is>
      </c>
      <c r="E58" s="55" t="inlineStr">
        <is>
          <t>Fuente</t>
        </is>
      </c>
      <c r="F58" s="55" t="inlineStr">
        <is>
          <t>Umbral</t>
        </is>
      </c>
      <c r="G58" s="55" t="inlineStr">
        <is>
          <t>Nivel</t>
        </is>
      </c>
    </row>
    <row r="59">
      <c r="A59" s="56" t="inlineStr">
        <is>
          <t>1</t>
        </is>
      </c>
      <c r="B59" s="56" t="inlineStr">
        <is>
          <t>Cobertura vegetal total</t>
        </is>
      </c>
      <c r="C59" s="56" t="inlineStr">
        <is>
          <t>%</t>
        </is>
      </c>
      <c r="D59" s="56" t="inlineStr">
        <is>
          <t>90</t>
        </is>
      </c>
      <c r="E59" s="56" t="inlineStr">
        <is>
          <t>Ortofoto RPAS 10-08-2026 + MSAVI 2024</t>
        </is>
      </c>
      <c r="F59" s="56" t="inlineStr">
        <is>
          <t>&gt;60% bueno; 30-60% medio; &lt;30% malo</t>
        </is>
      </c>
      <c r="G59" s="56" t="inlineStr">
        <is>
          <t>Bajo</t>
        </is>
      </c>
    </row>
    <row r="60">
      <c r="A60" s="57" t="inlineStr">
        <is>
          <t>2</t>
        </is>
      </c>
      <c r="B60" s="57" t="inlineStr">
        <is>
          <t>Porcentaje de suelo desnudo</t>
        </is>
      </c>
      <c r="C60" s="57" t="inlineStr">
        <is>
          <t>%</t>
        </is>
      </c>
      <c r="D60" s="57" t="inlineStr">
        <is>
          <t>5</t>
        </is>
      </c>
      <c r="E60" s="57" t="inlineStr">
        <is>
          <t>Estimación visual sobre ortofoto</t>
        </is>
      </c>
      <c r="F60" s="57" t="inlineStr">
        <is>
          <t>&lt;10% bueno; 10-30% medio; &gt;30% malo</t>
        </is>
      </c>
      <c r="G60" s="57" t="inlineStr">
        <is>
          <t>Bajo</t>
        </is>
      </c>
    </row>
    <row r="61">
      <c r="A61" s="56" t="inlineStr">
        <is>
          <t>3</t>
        </is>
      </c>
      <c r="B61" s="56" t="inlineStr">
        <is>
          <t>Densidad de cárcavas</t>
        </is>
      </c>
      <c r="C61" s="56" t="inlineStr">
        <is>
          <t>N°/ha</t>
        </is>
      </c>
      <c r="D61" s="56" t="inlineStr">
        <is>
          <t>Por determinar</t>
        </is>
      </c>
      <c r="E61" s="56" t="inlineStr">
        <is>
          <t>Requiere MDS del vuelo</t>
        </is>
      </c>
      <c r="F61" s="56" t="inlineStr">
        <is>
          <t>0 nulo; 1-3 medio; &gt;3 alto</t>
        </is>
      </c>
      <c r="G61" s="56" t="inlineStr"/>
    </row>
    <row r="62">
      <c r="A62" s="57" t="inlineStr">
        <is>
          <t>4</t>
        </is>
      </c>
      <c r="B62" s="57" t="inlineStr">
        <is>
          <t>Presencia de especies invasoras</t>
        </is>
      </c>
      <c r="C62" s="57" t="inlineStr">
        <is>
          <t>% área</t>
        </is>
      </c>
      <c r="D62" s="57" t="inlineStr">
        <is>
          <t>5</t>
        </is>
      </c>
      <c r="E62" s="57" t="inlineStr">
        <is>
          <t>Agave en taludes y linderos</t>
        </is>
      </c>
      <c r="F62" s="57" t="inlineStr">
        <is>
          <t>&lt;5% bueno; 5-20% medio; &gt;20% alto</t>
        </is>
      </c>
      <c r="G62" s="57" t="inlineStr">
        <is>
          <t>Bajo</t>
        </is>
      </c>
    </row>
    <row r="63">
      <c r="A63" s="56" t="inlineStr">
        <is>
          <t>5</t>
        </is>
      </c>
      <c r="B63" s="56" t="inlineStr">
        <is>
          <t>Carga ganadera estimada</t>
        </is>
      </c>
      <c r="C63" s="56" t="inlineStr">
        <is>
          <t>UA/ha</t>
        </is>
      </c>
      <c r="D63" s="56" t="inlineStr">
        <is>
          <t>Por determinar</t>
        </is>
      </c>
      <c r="E63" s="56" t="inlineStr">
        <is>
          <t>Depende del diagnóstico social</t>
        </is>
      </c>
      <c r="F63" s="56" t="inlineStr">
        <is>
          <t>Según tipo de ecosistema</t>
        </is>
      </c>
      <c r="G63" s="56" t="inlineStr"/>
    </row>
    <row r="64">
      <c r="A64" s="57" t="inlineStr">
        <is>
          <t>6</t>
        </is>
      </c>
      <c r="B64" s="57" t="inlineStr">
        <is>
          <t>Frecuencia de quemas últimos 5 años</t>
        </is>
      </c>
      <c r="C64" s="57" t="inlineStr">
        <is>
          <t>N°</t>
        </is>
      </c>
      <c r="D64" s="57" t="inlineStr">
        <is>
          <t>Por determinar</t>
        </is>
      </c>
      <c r="E64" s="57" t="inlineStr">
        <is>
          <t>Sin evidencia concluyente en ortofoto</t>
        </is>
      </c>
      <c r="F64" s="57" t="inlineStr">
        <is>
          <t>0 nulo; 1-2 medio; &gt;2 alto</t>
        </is>
      </c>
      <c r="G64" s="57" t="inlineStr"/>
    </row>
    <row r="65">
      <c r="A65" s="56" t="inlineStr">
        <is>
          <t>7</t>
        </is>
      </c>
      <c r="B65" s="56" t="inlineStr">
        <is>
          <t>% área con pendiente &gt;50%</t>
        </is>
      </c>
      <c r="C65" s="56" t="inlineStr">
        <is>
          <t>%</t>
        </is>
      </c>
      <c r="D65" s="56" t="inlineStr">
        <is>
          <t>Por determinar</t>
        </is>
      </c>
      <c r="E65" s="56" t="inlineStr">
        <is>
          <t>Requiere estadística zonal de MDE</t>
        </is>
      </c>
      <c r="F65" s="56" t="inlineStr">
        <is>
          <t>Factor de susceptibilidad</t>
        </is>
      </c>
      <c r="G65" s="56" t="inlineStr"/>
    </row>
    <row r="66">
      <c r="A66" s="57" t="inlineStr">
        <is>
          <t>8</t>
        </is>
      </c>
      <c r="B66" s="57" t="inlineStr">
        <is>
          <t>Distancia a vía vecinal más cercana</t>
        </is>
      </c>
      <c r="C66" s="57" t="inlineStr">
        <is>
          <t>m</t>
        </is>
      </c>
      <c r="D66" s="57" t="inlineStr">
        <is>
          <t>0</t>
        </is>
      </c>
      <c r="E66" s="57" t="inlineStr">
        <is>
          <t>Trocha carrozable colindante al límite norte</t>
        </is>
      </c>
      <c r="F66" s="57" t="inlineStr">
        <is>
          <t>A menor distancia → mayor presión</t>
        </is>
      </c>
      <c r="G66" s="57" t="inlineStr">
        <is>
          <t>Alto</t>
        </is>
      </c>
    </row>
    <row r="68">
      <c r="A68" s="54" t="inlineStr">
        <is>
          <t>F-DT-05 · FUENTES DE AGUA INVENTARIADAS</t>
        </is>
      </c>
    </row>
    <row r="69">
      <c r="A69" s="55" t="inlineStr">
        <is>
          <t>N.o</t>
        </is>
      </c>
      <c r="B69" s="55" t="inlineStr">
        <is>
          <t>Tipo de fuente</t>
        </is>
      </c>
      <c r="C69" s="55" t="inlineStr">
        <is>
          <t>UTM ESTE</t>
        </is>
      </c>
      <c r="D69" s="55" t="inlineStr">
        <is>
          <t>UTM NORTE</t>
        </is>
      </c>
      <c r="E69" s="55" t="inlineStr">
        <is>
          <t>Régimen</t>
        </is>
      </c>
      <c r="F69" s="55" t="inlineStr">
        <is>
          <t>Calidad</t>
        </is>
      </c>
      <c r="G69" s="55" t="inlineStr">
        <is>
          <t>Distancia (m)</t>
        </is>
      </c>
      <c r="H69" s="55" t="inlineStr">
        <is>
          <t>Uso / observación</t>
        </is>
      </c>
    </row>
    <row r="70">
      <c r="A70" s="56" t="inlineStr">
        <is>
          <t>1</t>
        </is>
      </c>
      <c r="B70" s="56" t="inlineStr">
        <is>
          <t>Quebrada permanente</t>
        </is>
      </c>
      <c r="C70" s="56" t="n"/>
      <c r="D70" s="56" t="n"/>
      <c r="E70" s="56" t="inlineStr">
        <is>
          <t>Permanente</t>
        </is>
      </c>
      <c r="F70" s="56" t="inlineStr">
        <is>
          <t>Buena (clara, sin olor, sin sedimentos)</t>
        </is>
      </c>
      <c r="G70" s="63" t="n">
        <v>0</v>
      </c>
      <c r="H70" s="56" t="inlineStr">
        <is>
          <t>Cauce principal que diseca el sector; saltos de agua desde el macizo rocoso y vegetación ribereña continua</t>
        </is>
      </c>
    </row>
    <row r="71">
      <c r="A71" s="57" t="inlineStr">
        <is>
          <t>2</t>
        </is>
      </c>
      <c r="B71" s="57" t="inlineStr">
        <is>
          <t>Quebrada estacional</t>
        </is>
      </c>
      <c r="C71" s="57" t="n"/>
      <c r="D71" s="57" t="n"/>
      <c r="E71" s="57" t="inlineStr">
        <is>
          <t>Estacional (lluvias)</t>
        </is>
      </c>
      <c r="F71" s="57" t="inlineStr">
        <is>
          <t>No evaluable</t>
        </is>
      </c>
      <c r="G71" s="64" t="n">
        <v>0</v>
      </c>
      <c r="H71" s="57" t="inlineStr">
        <is>
          <t>Cauces tributarios que concentran escorrentía de ladera y cruzan la trocha hacia el caserío</t>
        </is>
      </c>
    </row>
    <row r="74">
      <c r="A74" s="54" t="inlineStr">
        <is>
          <t>OBSERVACIONES DEL EVALUADOR POR FICHA</t>
        </is>
      </c>
    </row>
    <row r="75">
      <c r="A75" s="55" t="inlineStr">
        <is>
          <t>Ficha</t>
        </is>
      </c>
      <c r="B75" s="55" t="inlineStr">
        <is>
          <t>Observación registrada en campo</t>
        </is>
      </c>
    </row>
    <row r="76">
      <c r="A76" s="56" t="inlineStr">
        <is>
          <t>F-DT-01</t>
        </is>
      </c>
      <c r="B76" s="56" t="inlineStr">
        <is>
          <t>Verificación por vuelo de dron (RPAS); no se ejecutó recorrido peatonal interior. Las coordenadas consignadas corresponden al CENTROIDE del bloque (catálogo Bloques V5), no a un punto GPS de muestreo; la altitud de 1 575 msnm es interpolada de las curvas de nivel del plano temático. Rango altitudinal del bloque por DEM: 1 353 – 2 004 msnm (amplitud 651 m); pendiente promedio zonal 31.71 %. El polígono aparece rotulado «B4_2» en la capa temática MSAVI: reconciliar con el código 21 antes del cierre del expediente.</t>
        </is>
      </c>
    </row>
    <row r="77">
      <c r="A77" s="57" t="inlineStr">
        <is>
          <t>F-DT-02</t>
        </is>
      </c>
      <c r="B77" s="57" t="inlineStr">
        <is>
          <t>INVENTARIO DE CÁRCAVAS NO EJECUTADO en esta verificación: el registro fue aerofotográfico y el interior del bloque no se recorrió a pie. El valor «0» del N° de cárcavas registradas NO equivale a ausencia de cárcavas. Procesos erosivos identificados por fotointerpretación, en orden de relevancia: (i) cicatrices de deslizamiento con suelo desnudo en el flanco occidental y en cabeceras de quebrada; (ii) socavamiento y profundización de cauces con arrastre de bloques; (iii) terracetas y sendas de ganado por pisoteo en ladera media; (iv) erosión laminar y en surcos en claros de pastizal; (v) taludes de corte inestables de la trocha carrozable. El dimensionamiento de cárcavas queda supeditado al procesamiento del ortomosaico y del MDS del vuelo (analista de infraestructura marrón).</t>
        </is>
      </c>
    </row>
    <row r="78">
      <c r="A78" s="56" t="inlineStr">
        <is>
          <t>F-DT-03</t>
        </is>
      </c>
      <c r="B78" s="56" t="inlineStr">
        <is>
          <t>Registro florístico PRELIMINAR obtenido por observación aérea y fotointerpretación; los nombres científicos requieren confirmación taxonómica mediante colecta botánica (estudio especializado de diagnóstico del ecosistema). DAP y alturas no medidos: las alturas consignadas son estimaciones visuales de referencia. Seis de las quince especies registradas corresponden a cultivos (plátano, café, caña de azúcar, maíz, cítricos y pastos cultivados), superficie que debe excluirse del área efectiva de intervención en el tamizaje predial. No se confirmaron especies en categoría de amenaza del D.S. 043-2006-AG. MSAVI 2024 del bloque: 0.6201 (vigor alto).</t>
        </is>
      </c>
    </row>
    <row r="79">
      <c r="A79" s="57" t="inlineStr">
        <is>
          <t>F-DT-04</t>
        </is>
      </c>
      <c r="B79" s="57" t="inlineStr">
        <is>
          <t>Las causas sin dato (tala para leña, carbón y madera, quemas, minería informal, extracción de áridos, sequía y plagas) se declaran «Por verificar»: no se observó evidencia directa en el vuelo, lo que NO equivale a ausencia confirmada. Su cierre corresponde al diagnóstico social (F-DS-01 y F-DS-03) en el centro poblado Huamala Alto y a la campaña complementaria. La degradación del Bloque 21 es LOCALIZADA (franja vial, cicatrices de deslizamiento y sectores de pastoreo) sobre una matriz de cobertura vigorosa: el indicador de brecha (R.M. 00213-2024-MINAM) debe calcularse sobre la superficie efectivamente degradada y no sobre las 84.23 ha del bloque.</t>
        </is>
      </c>
    </row>
    <row r="80">
      <c r="A80" s="56" t="inlineStr">
        <is>
          <t>F-DT-05</t>
        </is>
      </c>
      <c r="B80" s="56" t="inlineStr">
        <is>
          <t>Las coordenadas de las fuentes de agua no fueron levantadas con GPS: el registro fue aéreo y se declaran «Por verificar». El bloque se ubica en la cabecera de la microcuenca C1081-Q9591 y opera como zona de ORIGEN del peligro generador de inundaciones (PGI) y de generación de escorrentía, no como zona de impacto. La trocha carrozable bordea el límite norte del bloque a la altura del caserío Huamala Alto, lo que representa a la vez una ventaja logística (ingreso de plantones e insumos) y el principal foco de presión y de disturbio sobre el ecosistema.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21</t>
        </is>
      </c>
    </row>
    <row r="7">
      <c r="A7" s="54" t="inlineStr">
        <is>
          <t>Hechos declarados por fuente</t>
        </is>
      </c>
    </row>
    <row r="8">
      <c r="A8" s="55" t="inlineStr">
        <is>
          <t>Fuente</t>
        </is>
      </c>
      <c r="B8" s="55" t="inlineStr">
        <is>
          <t>Hechos</t>
        </is>
      </c>
    </row>
    <row r="9">
      <c r="A9" s="56" t="inlineStr">
        <is>
          <t>Dato de campo</t>
        </is>
      </c>
      <c r="B9" s="56" t="n">
        <v>61</v>
      </c>
    </row>
    <row r="10">
      <c r="A10" s="57" t="inlineStr">
        <is>
          <t>Gabinete (GIS / teledetección)</t>
        </is>
      </c>
      <c r="B10" s="57" t="n">
        <v>20</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93</v>
      </c>
    </row>
    <row r="31">
      <c r="A31" s="57" t="inlineStr">
        <is>
          <t>COMPLEMENTADO</t>
        </is>
      </c>
      <c r="B31" s="57" t="n">
        <v>0</v>
      </c>
    </row>
    <row r="32">
      <c r="A32" s="56" t="inlineStr">
        <is>
          <t>ACTUALIZADO</t>
        </is>
      </c>
      <c r="B32" s="56" t="n">
        <v>2</v>
      </c>
    </row>
    <row r="33">
      <c r="A33" s="57" t="inlineStr">
        <is>
          <t>DISCREPANTE</t>
        </is>
      </c>
      <c r="B33" s="57" t="n">
        <v>0</v>
      </c>
    </row>
    <row r="34">
      <c r="A34" s="56" t="inlineStr">
        <is>
          <t>PENDIENTE</t>
        </is>
      </c>
      <c r="B34" s="56" t="n">
        <v>19</v>
      </c>
    </row>
    <row r="51">
      <c r="A51" s="54" t="inlineStr">
        <is>
          <t>Cobertura por estrato — campo (%)</t>
        </is>
      </c>
    </row>
    <row r="52">
      <c r="A52" s="55" t="inlineStr">
        <is>
          <t>Estrato</t>
        </is>
      </c>
      <c r="B52" s="55" t="inlineStr">
        <is>
          <t>% del área</t>
        </is>
      </c>
    </row>
    <row r="53">
      <c r="A53" s="56" t="inlineStr">
        <is>
          <t>Dosel</t>
        </is>
      </c>
      <c r="B53" s="61" t="n">
        <v>15</v>
      </c>
    </row>
    <row r="54">
      <c r="A54" s="57" t="inlineStr">
        <is>
          <t>Arbustiva</t>
        </is>
      </c>
      <c r="B54" s="62" t="n">
        <v>35</v>
      </c>
    </row>
    <row r="55">
      <c r="A55" s="56" t="inlineStr">
        <is>
          <t>Herbácea</t>
        </is>
      </c>
      <c r="B55" s="61" t="n">
        <v>40</v>
      </c>
    </row>
    <row r="56">
      <c r="A56" s="57" t="inlineStr">
        <is>
          <t>Hojarasca</t>
        </is>
      </c>
      <c r="B56" s="62" t="n">
        <v>10</v>
      </c>
    </row>
    <row r="57">
      <c r="A57" s="56" t="inlineStr">
        <is>
          <t>Suelo desnudo</t>
        </is>
      </c>
      <c r="B57" s="63" t="n">
        <v>5</v>
      </c>
    </row>
    <row r="74">
      <c r="A74" s="54" t="inlineStr">
        <is>
          <t>Causas activas de degradación (F-DT-04)</t>
        </is>
      </c>
    </row>
    <row r="75">
      <c r="A75" s="55" t="inlineStr">
        <is>
          <t>Causa</t>
        </is>
      </c>
      <c r="B75" s="55" t="inlineStr">
        <is>
          <t>Intensidad (1 ligera - 4 muy fuerte)</t>
        </is>
      </c>
    </row>
    <row r="76">
      <c r="A76" s="56" t="inlineStr">
        <is>
          <t>Cambio de uso a pastoreo</t>
        </is>
      </c>
      <c r="B76" s="56" t="n">
        <v>3</v>
      </c>
    </row>
    <row r="77">
      <c r="A77" s="57" t="inlineStr">
        <is>
          <t>Cambio de uso a agricultura</t>
        </is>
      </c>
      <c r="B77" s="57" t="n">
        <v>2</v>
      </c>
    </row>
    <row r="78">
      <c r="A78" s="56" t="inlineStr">
        <is>
          <t>Erosión natural severa</t>
        </is>
      </c>
      <c r="B78" s="56" t="n">
        <v>2</v>
      </c>
    </row>
    <row r="79">
      <c r="A79" s="57" t="inlineStr">
        <is>
          <t>Expansión urbana / vial</t>
        </is>
      </c>
      <c r="B79" s="57" t="n">
        <v>2</v>
      </c>
    </row>
    <row r="80">
      <c r="A80" s="56" t="inlineStr">
        <is>
          <t>Sobrepastoreo (caprino/vacuno)</t>
        </is>
      </c>
      <c r="B80" s="56" t="n">
        <v>2</v>
      </c>
    </row>
    <row r="81">
      <c r="A81" s="57" t="inlineStr">
        <is>
          <t>Especies invasoras</t>
        </is>
      </c>
      <c r="B81" s="57" t="n">
        <v>1</v>
      </c>
    </row>
    <row r="82">
      <c r="A82" s="56" t="inlineStr">
        <is>
          <t>Quema (renovación de pastos)</t>
        </is>
      </c>
      <c r="B82" s="56" t="n">
        <v>1</v>
      </c>
    </row>
    <row r="99">
      <c r="A99" s="54" t="inlineStr">
        <is>
          <t>Control de consistencia por calificación</t>
        </is>
      </c>
    </row>
    <row r="100">
      <c r="A100" s="55" t="inlineStr">
        <is>
          <t>Calificación</t>
        </is>
      </c>
      <c r="B100" s="55" t="inlineStr">
        <is>
          <t>Verificaciones</t>
        </is>
      </c>
    </row>
    <row r="101">
      <c r="A101" s="56" t="inlineStr">
        <is>
          <t>SUSTANTIVA</t>
        </is>
      </c>
      <c r="B101" s="56" t="n">
        <v>1</v>
      </c>
    </row>
    <row r="102">
      <c r="A102" s="57" t="inlineStr">
        <is>
          <t>NO SUSTANTIVA</t>
        </is>
      </c>
      <c r="B102" s="57" t="n">
        <v>1</v>
      </c>
    </row>
    <row r="103">
      <c r="A103" s="56" t="inlineStr">
        <is>
          <t>CORREGIDO</t>
        </is>
      </c>
      <c r="B103" s="56" t="n">
        <v>2</v>
      </c>
    </row>
    <row r="104">
      <c r="A104" s="57" t="inlineStr">
        <is>
          <t>CONFORME</t>
        </is>
      </c>
      <c r="B104"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21 — IN Piura</dc:title>
  <dc:subject>Diagnóstico Territorial por bloque de intervención</dc:subject>
  <dcterms:created xsi:type="dcterms:W3CDTF">2026-09-08T03:39:55Z</dcterms:created>
  <dcterms:modified xsi:type="dcterms:W3CDTF">2026-09-11T20:22:25Z</dcterms:modified>
</cp:coreProperties>
</file>