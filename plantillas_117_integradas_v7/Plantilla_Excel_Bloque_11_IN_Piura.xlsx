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integración'!$A$72:$A$76</f>
            </numRef>
          </cat>
          <val>
            <numRef>
              <f>'Gráficos de integración'!$B$72:$B$76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11</t>
        </is>
      </c>
    </row>
    <row r="6" ht="24" customHeight="1">
      <c r="A6" s="4" t="inlineStr">
        <is>
          <t>Diagnóstico Territorial — Plantilla DT Campo Check Validada V5 | Sistema de referencia: UTM WGS 84 Zona 17S (EPSG:32717) · Integrado con la ficha de campo F-DT vigente (FDT_Bloque11_Diagnostico_Territorial.xlsx) — V7 - resumen V6 + campo F-DT integrado</t>
        </is>
      </c>
    </row>
    <row r="7"/>
    <row r="8" ht="18" customHeight="1">
      <c r="A8" s="5" t="inlineStr">
        <is>
          <t>1. IDENTIFICACIÓN Y LOCALIZACIÓN</t>
        </is>
      </c>
    </row>
    <row r="9">
      <c r="A9" s="6" t="inlineStr">
        <is>
          <t>Código del bloque</t>
        </is>
      </c>
      <c r="B9" s="7" t="inlineStr">
        <is>
          <t>11</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Taylin de Tuñalí</t>
        </is>
      </c>
      <c r="C13" s="6" t="inlineStr">
        <is>
          <t>Comunidad campesina</t>
        </is>
      </c>
      <c r="D13" s="7" t="inlineStr">
        <is>
          <t>Predios de propiedad privada (por verificar comunidad)</t>
        </is>
      </c>
      <c r="E13" s="8" t="n"/>
      <c r="F13" s="8" t="n"/>
    </row>
    <row r="14">
      <c r="A14" s="6" t="inlineStr">
        <is>
          <t>Superficie de catálogo (V5/V6), ha</t>
        </is>
      </c>
      <c r="B14" s="7" t="n">
        <v>103.95</v>
      </c>
      <c r="C14" s="6" t="inlineStr">
        <is>
          <t>Fuente de superficie</t>
        </is>
      </c>
      <c r="D14" s="7" t="inlineStr">
        <is>
          <t>Catálogo maestro Bloques V5/V6</t>
        </is>
      </c>
      <c r="E14" s="8" t="n"/>
      <c r="F14" s="8" t="n"/>
    </row>
    <row r="15">
      <c r="A15" s="6" t="inlineStr">
        <is>
          <t>Centroide UTM ESTE (m)</t>
        </is>
      </c>
      <c r="B15" s="7" t="n">
        <v>620759</v>
      </c>
      <c r="C15" s="6" t="inlineStr">
        <is>
          <t>Centroide UTM NORTE (m)</t>
        </is>
      </c>
      <c r="D15" s="7" t="n">
        <v>9439988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1375</v>
      </c>
      <c r="C19" s="6" t="inlineStr">
        <is>
          <t>Altitud máxima (msnm)</t>
        </is>
      </c>
      <c r="D19" s="7" t="n">
        <v>1928</v>
      </c>
      <c r="E19" s="8" t="n"/>
      <c r="F19" s="8" t="n"/>
    </row>
    <row r="20">
      <c r="A20" s="6" t="inlineStr">
        <is>
          <t>Amplitud altitudinal (m)</t>
        </is>
      </c>
      <c r="B20" s="7" t="n">
        <v>553</v>
      </c>
      <c r="C20" s="6" t="inlineStr">
        <is>
          <t>Piso altitudinal dominante</t>
        </is>
      </c>
      <c r="D20" s="7" t="inlineStr">
        <is>
          <t>1500-2000 m (Quechua media)</t>
        </is>
      </c>
      <c r="E20" s="8" t="n"/>
      <c r="F20" s="8" t="n"/>
    </row>
    <row r="21">
      <c r="A21" s="6" t="inlineStr">
        <is>
          <t>Pendiente promedio (%)</t>
        </is>
      </c>
      <c r="B21" s="7" t="n">
        <v>32.19</v>
      </c>
      <c r="C21" s="6" t="inlineStr">
        <is>
          <t>Pendiente promedio (grados)</t>
        </is>
      </c>
      <c r="D21" s="7" t="n">
        <v>17.8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0.6047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(75.28 %)</t>
        </is>
      </c>
      <c r="E29" s="8" t="n"/>
      <c r="F29" s="8" t="n"/>
    </row>
    <row r="30">
      <c r="A30" s="6" t="inlineStr">
        <is>
          <t>Superficie clasificada NDVI 2025 (ha)</t>
        </is>
      </c>
      <c r="B30" s="7" t="n">
        <v>103.993</v>
      </c>
      <c r="C30" s="6" t="inlineStr">
        <is>
          <t>Desviación frente al catálogo (%)</t>
        </is>
      </c>
      <c r="D30" s="7" t="n">
        <v>0.04</v>
      </c>
      <c r="E30" s="8" t="n"/>
      <c r="F30" s="8" t="n"/>
    </row>
    <row r="31">
      <c r="A31" s="6" t="inlineStr">
        <is>
          <t>Superficie clasificada MSAVI 2024 (ha)</t>
        </is>
      </c>
      <c r="B31" s="38" t="n">
        <v>103.948</v>
      </c>
      <c r="C31" s="6" t="inlineStr">
        <is>
          <t>Desviación MSAVI frente al catálogo (%)</t>
        </is>
      </c>
      <c r="D31" s="39" t="n">
        <v>0</v>
      </c>
      <c r="E31" s="8" t="n"/>
      <c r="F31" s="8" t="n"/>
    </row>
    <row r="32">
      <c r="A32" s="6" t="inlineStr">
        <is>
          <t>Superficie bajo umbral MSAVI 0.4976 (ha)</t>
        </is>
      </c>
      <c r="B32" s="38" t="n">
        <v>11.789</v>
      </c>
      <c r="C32" s="6" t="inlineStr">
        <is>
          <t>% del bloque bajo umbral (brecha espectral)</t>
        </is>
      </c>
      <c r="D32" s="39" t="n">
        <v>11.34</v>
      </c>
      <c r="E32" s="8" t="n"/>
      <c r="F32" s="8" t="n"/>
    </row>
    <row r="33">
      <c r="A33" s="6" t="inlineStr">
        <is>
          <t>Clase DN dominante (MSAVI 2024)</t>
        </is>
      </c>
      <c r="B33" s="7" t="inlineStr">
        <is>
          <t>DN 4 · 0.4976 - 0.6139 (Vigor moderado)</t>
        </is>
      </c>
      <c r="C33" s="6" t="inlineStr">
        <is>
          <t>N.° de polígonos MSAVI del bloque</t>
        </is>
      </c>
      <c r="D33" s="40" t="n">
        <v>302</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70</v>
      </c>
      <c r="E38" s="8" t="n"/>
      <c r="F38" s="8" t="n"/>
    </row>
    <row r="39">
      <c r="A39" s="6" t="inlineStr">
        <is>
          <t>Suelo desnudo — campo (%)</t>
        </is>
      </c>
      <c r="B39" s="50" t="inlineStr">
        <is>
          <t>10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Miller; Ing. Pedro Talledo Hernández; Ing. Juan Carlos Domínguez Varas</t>
        </is>
      </c>
      <c r="C44" s="6" t="inlineStr">
        <is>
          <t>Fecha de evaluación</t>
        </is>
      </c>
      <c r="D44" s="7" t="inlineStr">
        <is>
          <t>2026-06-11</t>
        </is>
      </c>
      <c r="E44" s="8" t="n"/>
      <c r="F44" s="8" t="n"/>
    </row>
    <row r="45">
      <c r="A45" s="6" t="inlineStr">
        <is>
          <t>Hora de registro</t>
        </is>
      </c>
      <c r="B45" s="7" t="inlineStr">
        <is>
          <t>10:05</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Inspección rápida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45.9298</v>
      </c>
      <c r="C10" s="19">
        <f>ROUND(B10/$B$15*100,2)</f>
        <v/>
      </c>
      <c r="D10" s="11" t="inlineStr">
        <is>
          <t>Vigor alto</t>
        </is>
      </c>
      <c r="E10" s="11" t="inlineStr">
        <is>
          <t>Sobre umbral</t>
        </is>
      </c>
    </row>
    <row r="11">
      <c r="A11" s="12" t="inlineStr">
        <is>
          <t>0.4976 - 0.6139 · DN 4</t>
        </is>
      </c>
      <c r="B11" s="31" t="n">
        <v>46.2287</v>
      </c>
      <c r="C11" s="30">
        <f>ROUND(B11/$B$15*100,2)</f>
        <v/>
      </c>
      <c r="D11" s="13" t="inlineStr">
        <is>
          <t>Vigor moderado</t>
        </is>
      </c>
      <c r="E11" s="13" t="inlineStr">
        <is>
          <t>Sobre umbral</t>
        </is>
      </c>
    </row>
    <row r="12">
      <c r="A12" s="7" t="inlineStr">
        <is>
          <t>0.3813 - 0.4976 · DN 3</t>
        </is>
      </c>
      <c r="B12" s="18" t="n">
        <v>11.7243</v>
      </c>
      <c r="C12" s="19">
        <f>ROUND(B12/$B$15*100,2)</f>
        <v/>
      </c>
      <c r="D12" s="11" t="inlineStr">
        <is>
          <t>Vigor bajo</t>
        </is>
      </c>
      <c r="E12" s="11" t="inlineStr">
        <is>
          <t>BAJO umbral 0.4976</t>
        </is>
      </c>
    </row>
    <row r="13">
      <c r="A13" s="14" t="inlineStr">
        <is>
          <t>0.2650 - 0.3813 · DN 2</t>
        </is>
      </c>
      <c r="B13" s="20" t="n">
        <v>0.06469999999999999</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302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103.95</v>
      </c>
      <c r="C18" s="49" t="inlineStr">
        <is>
          <t>—</t>
        </is>
      </c>
      <c r="D18" s="46" t="inlineStr">
        <is>
          <t>Desviación planimétrica frente al catálogo</t>
        </is>
      </c>
      <c r="E18" s="46" t="inlineStr">
        <is>
          <t>+0.00 %</t>
        </is>
      </c>
    </row>
    <row r="19">
      <c r="A19" s="16" t="inlineStr">
        <is>
          <t>MSAVI 2024 — MEDIA DEL BLOQUE</t>
        </is>
      </c>
      <c r="B19" s="17" t="n">
        <v>0.604743</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(0.6047)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78.2869</v>
      </c>
      <c r="C25" s="19" t="n">
        <v>75.28</v>
      </c>
      <c r="D25" s="11" t="inlineStr">
        <is>
          <t>Dosel continuo, matorral denso o mosaico agroforestal</t>
        </is>
      </c>
      <c r="E25" s="11" t="inlineStr"/>
    </row>
    <row r="26">
      <c r="A26" s="14" t="inlineStr">
        <is>
          <t>Vegetación mediana</t>
        </is>
      </c>
      <c r="B26" s="20" t="n">
        <v>25.102</v>
      </c>
      <c r="C26" s="21" t="n">
        <v>24.14</v>
      </c>
      <c r="D26" s="15" t="inlineStr">
        <is>
          <t>Pastizal cultivado, matorral ralo, parcelas agrícolas</t>
        </is>
      </c>
      <c r="E26" s="15" t="inlineStr"/>
    </row>
    <row r="27">
      <c r="A27" s="7" t="inlineStr">
        <is>
          <t>Vegetación ligera</t>
        </is>
      </c>
      <c r="B27" s="18" t="n">
        <v>0.6042999999999999</v>
      </c>
      <c r="C27" s="19" t="n">
        <v>0.58</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103.95</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75.28 % del polígono clasificado como «Vegetación alta» por el NDVI 2025; la observación de campo corresponde a una parcela o recorrido puntual y no es estadísticamente representativa de las 103.950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11</t>
        </is>
      </c>
    </row>
    <row r="6" ht="24" customHeight="1">
      <c r="A6" s="4" t="inlineStr">
        <is>
          <t>Levantamiento del 2026-06-11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52696.9</v>
      </c>
      <c r="F10" s="11" t="inlineStr"/>
      <c r="G10" s="11" t="inlineStr">
        <is>
          <t>Coordenada consignada en F-DT-01</t>
        </is>
      </c>
    </row>
    <row r="11">
      <c r="A11" s="14" t="inlineStr">
        <is>
          <t>H-01</t>
        </is>
      </c>
      <c r="B11" s="15" t="inlineStr">
        <is>
          <t>Fuente de agua — Quebrada estacional</t>
        </is>
      </c>
      <c r="C11" s="27" t="n">
        <v>621116</v>
      </c>
      <c r="D11" s="27" t="n">
        <v>9439798</v>
      </c>
      <c r="E11" s="15" t="n">
        <v>404.4</v>
      </c>
      <c r="F11" s="15" t="inlineStr">
        <is>
          <t>Estacional (lluvias)</t>
        </is>
      </c>
      <c r="G11" s="15" t="inlineStr">
        <is>
          <t>Quebrada con lecho rocoso</t>
        </is>
      </c>
    </row>
    <row r="12">
      <c r="A12" s="7" t="inlineStr">
        <is>
          <t>H-02</t>
        </is>
      </c>
      <c r="B12" s="11" t="inlineStr">
        <is>
          <t>Fuente de agua — Quebrada estacional</t>
        </is>
      </c>
      <c r="C12" s="26" t="n">
        <v>621204</v>
      </c>
      <c r="D12" s="26" t="n">
        <v>9440026</v>
      </c>
      <c r="E12" s="11" t="n">
        <v>446.6</v>
      </c>
      <c r="F12" s="11" t="inlineStr">
        <is>
          <t>Estacional (lluvias)</t>
        </is>
      </c>
      <c r="G12" s="11" t="inlineStr">
        <is>
          <t>Quebrada con vegetación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620759</v>
      </c>
      <c r="C15" s="6" t="inlineStr">
        <is>
          <t>Centroide del bloque — UTM NORTE (m)</t>
        </is>
      </c>
      <c r="D15" s="7" t="n">
        <v>9439988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11/06/2026 con track GPS Garmin 66sr; ingreso por vía vecinal PI-799. El sector verificado corresponde al margen este/sureste (cota ≈1328 msnm); el sector norte y de mayor altitud (hasta ≈2150 msnm) quedó caracterizado por teledetección y pendiente de acceso a pie/dron. Escarpes activos = taludes de corte de la trocha. Reptación posible en laderas de pastoreo, por confirmar.</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11</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2" t="inlineStr">
        <is>
          <t>► 11</t>
        </is>
      </c>
      <c r="B11" s="29" t="n">
        <v>103.95</v>
      </c>
      <c r="C11" s="30" t="n">
        <v>12.17</v>
      </c>
      <c r="D11" s="13" t="inlineStr">
        <is>
          <t>1375 – 1928</t>
        </is>
      </c>
      <c r="E11" s="13" t="n">
        <v>553</v>
      </c>
      <c r="F11" s="13" t="n">
        <v>32.19</v>
      </c>
      <c r="G11" s="31" t="n">
        <v>0.6047</v>
      </c>
      <c r="H11" s="30" t="n">
        <v>75.28</v>
      </c>
      <c r="I11" s="30"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32"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32"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32"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32"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32"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11 ocupa el puesto 2 de 12 por superficie dentro de la microcuenca C1086-Q9570 (12.17 % de las 853.87 ha preliminares de la microcuenca). Su pendiente promedio (32.19 %, clase «25-50% (Mod. escarpado)») es la 10.ª más baja de 12 y se sitúa por encima del promedio de la microcuenca (28.51 %). Su MSAVI 2024 (0.6047) es el 7.º de 12 y queda por encima del promedio local (0.5993). Amplitud altitudinal del bloque: 553 m (1375–1928 msnm). El cuadro conserva todos los bloques catalogados en la microcuenca, incluidos los descartados en el tamizaje, para referencia del conjunto. Los bloques sin ficha DT figuran con sus parámetros de gabinete. BRECHA ESPECTRAL. El 11.34 % de la superficie del bloque (11.789 ha de 103.948 ha) se sitúa bajo el umbral MSAVI 0.4976, por debajo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11</t>
        </is>
      </c>
    </row>
    <row r="6">
      <c r="A6" s="52" t="inlineStr">
        <is>
          <t>Cruce de la ficha de campo F-DT vigente con la ficha de resumen de gabinete y el catálogo maestro. Integración 2026-09-11 20:22:24.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428.2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(1328 msnm) cae dentro del rango altitudinal del bloque (1375 - 1928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(103.993 ha) se desvía 0.04 % de la superficie de catálogo (103.95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(103.948 ha) se desvía -0.00 % de la superficie de catálogo (103.95 ha).</t>
        </is>
      </c>
      <c r="D14" s="57" t="inlineStr">
        <is>
          <t>CONFORME</t>
        </is>
      </c>
      <c r="E14" s="57" t="inlineStr">
        <is>
          <t>Sin acción: la segmentación valida la geometría del bloque.</t>
        </is>
      </c>
    </row>
    <row r="15">
      <c r="A15" s="56" t="inlineStr">
        <is>
          <t>G-07</t>
        </is>
      </c>
      <c r="B15" s="56" t="inlineStr">
        <is>
          <t>Brecha espectral MSAVI</t>
        </is>
      </c>
      <c r="C15" s="56" t="inlineStr">
        <is>
          <t>El 11.34 % del bloque queda bajo el umbral 0.4976; superficie de brecha 11.79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103.95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(0.6047)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 Cahuas Miller / P. Talledo H. / J.C. Domínguez V.»; la ficha de campo vigente declara «Ing. Héctor S. Cahuas Miller; Ing. Pedro Talledo Hernández; Ing. Juan Carlos Domínguez Varas».</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92.9 % de los campos esperados).</t>
        </is>
      </c>
      <c r="D20" s="57" t="inlineStr">
        <is>
          <t>CONFORME</t>
        </is>
      </c>
      <c r="E20" s="57" t="inlineStr">
        <is>
          <t>Sin acción.</t>
        </is>
      </c>
    </row>
    <row r="21">
      <c r="A21" s="56" t="inlineStr">
        <is>
          <t>F-02</t>
        </is>
      </c>
      <c r="B21" s="56" t="inlineStr">
        <is>
          <t>Cobertura de la integración</t>
        </is>
      </c>
      <c r="C21" s="56" t="inlineStr">
        <is>
          <t>Se declararon 90 de 114 hechos integrados (78.9 %); 24 quedan sin dato en ninguna fuente.</t>
        </is>
      </c>
      <c r="D21" s="56" t="inlineStr">
        <is>
          <t>CONFORME</t>
        </is>
      </c>
      <c r="E21" s="56" t="inlineStr">
        <is>
          <t>Sin acción.</t>
        </is>
      </c>
    </row>
    <row r="22">
      <c r="A22" s="57" t="inlineStr">
        <is>
          <t>H-01</t>
        </is>
      </c>
      <c r="B22" s="57" t="inlineStr">
        <is>
          <t>Cobertura vegetal total</t>
        </is>
      </c>
      <c r="C22" s="57" t="inlineStr">
        <is>
          <t>La ficha DT estima 70 % de cobertura vegetal en campo; el NDVI mediana 2025 clasifica 100.00 %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H-02</t>
        </is>
      </c>
      <c r="B23" s="56" t="inlineStr">
        <is>
          <t>Dimensiones del inventario de cárcavas</t>
        </is>
      </c>
      <c r="C23" s="56" t="inlineStr">
        <is>
          <t>Se registran 0 rasgos erosivos, pero longitud, profundidad y ancho no fueron medidos instrumentalmente</t>
        </is>
      </c>
      <c r="D23" s="56" t="inlineStr">
        <is>
          <t>NO SUSTANTIVA</t>
        </is>
      </c>
      <c r="E23" s="56" t="inlineStr">
        <is>
          <t>El conteo registrado no debe usarse para calcular densidad de cárcavas por hectárea. Pendiente de levantamiento con GPS submétrico. (Verificación heredada de la ficha de resumen V6.)</t>
        </is>
      </c>
    </row>
    <row r="24">
      <c r="A24" s="57" t="inlineStr">
        <is>
          <t>H-03</t>
        </is>
      </c>
      <c r="B24" s="57" t="inlineStr">
        <is>
          <t>Centro poblado asociado</t>
        </is>
      </c>
      <c r="C24" s="57" t="inlineStr">
        <is>
          <t>La ficha DT declara «Taylin de Tuñalí»; el cruce INEI-Bloques V5 identifica 1 centro(s) poblado(s) en el bloque: TAYLIN DE TUÑALI</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1 · NO SUSTANTIVA: 2 · CORREGIDO: 1 · CONFORME: 12</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 Cahuas Miller / P. Talledo H. / J.C. Domínguez V.</t>
        </is>
      </c>
      <c r="D9" s="56" t="inlineStr">
        <is>
          <t>Ing. Héctor S. Cahuas Miller; Ing. Pedro Talledo Hernández; Ing. Juan Carlos Domínguez Varas</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621187</t>
        </is>
      </c>
      <c r="D13" s="56" t="inlineStr">
        <is>
          <t>m</t>
        </is>
      </c>
    </row>
    <row r="14">
      <c r="A14" s="57" t="inlineStr">
        <is>
          <t>1. Identificación y localización</t>
        </is>
      </c>
      <c r="B14" s="57" t="inlineStr">
        <is>
          <t>UTM NORTE del punto de muestreo (m)</t>
        </is>
      </c>
      <c r="C14" s="57" t="inlineStr">
        <is>
          <t>9440000</t>
        </is>
      </c>
      <c r="D14" s="57" t="inlineStr">
        <is>
          <t>m</t>
        </is>
      </c>
    </row>
    <row r="15">
      <c r="A15" s="56" t="inlineStr">
        <is>
          <t>2. Parámetros físicos del terreno</t>
        </is>
      </c>
      <c r="B15" s="56" t="inlineStr">
        <is>
          <t>Altitud GPS del punto de muestreo (msnm)</t>
        </is>
      </c>
      <c r="C15" s="56" t="inlineStr">
        <is>
          <t>1328</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Ladera de montaña con mosaico agropecuario (maíz, trigo, arveja y pastos), parches de matorral andino y remanentes de bosque relicto montano de vertiente occidental; quebradas con lecho rocoso y acumulación de bloques.</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No</t>
        </is>
      </c>
      <c r="D23" s="56" t="inlineStr"/>
    </row>
    <row r="24">
      <c r="A24" s="57" t="inlineStr">
        <is>
          <t>4. Suelos y erosión (F-DT-02)</t>
        </is>
      </c>
      <c r="B24" s="57" t="inlineStr">
        <is>
          <t>Socavamiento de cauce</t>
        </is>
      </c>
      <c r="C24" s="57" t="inlineStr">
        <is>
          <t>Sí</t>
        </is>
      </c>
      <c r="D24" s="57" t="inlineStr"/>
    </row>
    <row r="25">
      <c r="A25" s="56" t="inlineStr">
        <is>
          <t>5. Ecosistema, cobertura y flora (F-DT-03)</t>
        </is>
      </c>
      <c r="B25" s="56" t="inlineStr">
        <is>
          <t>Presencia de epífitas</t>
        </is>
      </c>
      <c r="C25" s="56" t="inlineStr">
        <is>
          <t>Sí</t>
        </is>
      </c>
      <c r="D25" s="56" t="inlineStr"/>
    </row>
    <row r="26">
      <c r="A26" s="57" t="inlineStr">
        <is>
          <t>5. Ecosistema, cobertura y flora (F-DT-03)</t>
        </is>
      </c>
      <c r="B26" s="57" t="inlineStr">
        <is>
          <t>Fenología dominante</t>
        </is>
      </c>
      <c r="C26" s="57" t="inlineStr">
        <is>
          <t>Vegetativo</t>
        </is>
      </c>
      <c r="D26" s="57" t="inlineStr"/>
    </row>
    <row r="27">
      <c r="A27" s="56" t="inlineStr">
        <is>
          <t>5. Ecosistema, cobertura y flora (F-DT-03)</t>
        </is>
      </c>
      <c r="B27" s="56" t="inlineStr">
        <is>
          <t>Especies clave georreferenciadas</t>
        </is>
      </c>
      <c r="C27" s="56" t="inlineStr">
        <is>
          <t>4</t>
        </is>
      </c>
      <c r="D27" s="56" t="inlineStr"/>
    </row>
    <row r="28">
      <c r="A28" s="57" t="inlineStr">
        <is>
          <t>6. Degradación, causas y urgencia (F-DT-04)</t>
        </is>
      </c>
      <c r="B28" s="57" t="inlineStr">
        <is>
          <t>Causas directas de la degradación</t>
        </is>
      </c>
      <c r="C28" s="57" t="inlineStr">
        <is>
          <t>Cambio de uso a agricultura (maíz, trigo, arveja) y pastoreo en laderas de fuerte pendiente; apertura de trocha vecinal PI-799 con desestabilización de taludes; erosión hídrica y socavamiento en quebradas.</t>
        </is>
      </c>
      <c r="D28" s="57" t="inlineStr"/>
    </row>
    <row r="29">
      <c r="A29" s="56" t="inlineStr">
        <is>
          <t>6. Degradación, causas y urgencia (F-DT-04)</t>
        </is>
      </c>
      <c r="B29" s="56" t="inlineStr">
        <is>
          <t>N.° de causas activas en la matriz F-DT-04</t>
        </is>
      </c>
      <c r="C29" s="56" t="inlineStr">
        <is>
          <t>5</t>
        </is>
      </c>
      <c r="D29" s="56" t="inlineStr"/>
    </row>
    <row r="30">
      <c r="A30" s="57" t="inlineStr">
        <is>
          <t>7. Hidrología, acceso y logística (F-DT-05)</t>
        </is>
      </c>
      <c r="B30" s="57" t="inlineStr">
        <is>
          <t>Escorrentía concentrada</t>
        </is>
      </c>
      <c r="C30" s="57" t="inlineStr">
        <is>
          <t>Sí</t>
        </is>
      </c>
      <c r="D30" s="57" t="inlineStr"/>
    </row>
    <row r="31">
      <c r="A31" s="56" t="inlineStr">
        <is>
          <t>7. Hidrología, acceso y logística (F-DT-05)</t>
        </is>
      </c>
      <c r="B31" s="56" t="inlineStr">
        <is>
          <t>Fuentes de agua inventariadas</t>
        </is>
      </c>
      <c r="C31" s="56" t="inlineStr">
        <is>
          <t>2</t>
        </is>
      </c>
      <c r="D31" s="56" t="inlineStr"/>
    </row>
    <row r="32">
      <c r="A32" s="57" t="inlineStr">
        <is>
          <t>7. Hidrología, acceso y logística (F-DT-05)</t>
        </is>
      </c>
      <c r="B32" s="57" t="inlineStr">
        <is>
          <t>Vía principal de acceso</t>
        </is>
      </c>
      <c r="C32" s="57" t="inlineStr">
        <is>
          <t>Vía vecinal PI-799 (trocha carrozable)</t>
        </is>
      </c>
      <c r="D32" s="57" t="inlineStr"/>
    </row>
    <row r="33">
      <c r="A33" s="56" t="inlineStr">
        <is>
          <t>7. Hidrología, acceso y logística (F-DT-05)</t>
        </is>
      </c>
      <c r="B33" s="56" t="inlineStr">
        <is>
          <t>Tipo de vía del tramo final</t>
        </is>
      </c>
      <c r="C33" s="56" t="inlineStr">
        <is>
          <t>Trocha carrozable</t>
        </is>
      </c>
      <c r="D33" s="56" t="inlineStr"/>
    </row>
    <row r="34">
      <c r="A34" s="57" t="inlineStr">
        <is>
          <t>7. Hidrología, acceso y logística (F-DT-05)</t>
        </is>
      </c>
      <c r="B34" s="57" t="inlineStr">
        <is>
          <t>Transitabilidad en época seca</t>
        </is>
      </c>
      <c r="C34" s="57" t="inlineStr">
        <is>
          <t>Medio</t>
        </is>
      </c>
      <c r="D34" s="57" t="inlineStr"/>
    </row>
    <row r="35">
      <c r="A35" s="56" t="inlineStr">
        <is>
          <t>7. Hidrología, acceso y logística (F-DT-05)</t>
        </is>
      </c>
      <c r="B35" s="56" t="inlineStr">
        <is>
          <t>Transitabilidad en época lluviosa</t>
        </is>
      </c>
      <c r="C35" s="56" t="inlineStr">
        <is>
          <t>Bajo</t>
        </is>
      </c>
      <c r="D35" s="56" t="inlineStr"/>
    </row>
    <row r="36">
      <c r="A36" s="57" t="inlineStr">
        <is>
          <t>7. Hidrología, acceso y logística (F-DT-05)</t>
        </is>
      </c>
      <c r="B36" s="57" t="inlineStr">
        <is>
          <t>Requiere coordinación con ronda / comunidad</t>
        </is>
      </c>
      <c r="C36" s="57" t="inlineStr">
        <is>
          <t>Sí</t>
        </is>
      </c>
      <c r="D36" s="57" t="inlineStr"/>
    </row>
    <row r="38">
      <c r="A38" s="54" t="inlineStr">
        <is>
          <t>C. PROCEDENCIA DE LOS HECHOS DECLARADOS</t>
        </is>
      </c>
    </row>
    <row r="39">
      <c r="A39" s="55" t="inlineStr">
        <is>
          <t>Fuente</t>
        </is>
      </c>
      <c r="B39" s="55" t="inlineStr">
        <is>
          <t>Hechos</t>
        </is>
      </c>
      <c r="C39" s="55" t="inlineStr">
        <is>
          <t>Alcance de la fuente</t>
        </is>
      </c>
    </row>
    <row r="40">
      <c r="A40" s="56" t="inlineStr">
        <is>
          <t>Dato de campo</t>
        </is>
      </c>
      <c r="B40" s="56" t="n">
        <v>54</v>
      </c>
      <c r="C40" s="56" t="inlineStr">
        <is>
          <t>Verificación en campo. Fichas F-DT-01 a F-DT-05 de la Plantilla DT Campo Check Validada V5, suscritas por el evaluador.</t>
        </is>
      </c>
    </row>
    <row r="41">
      <c r="A41" s="57" t="inlineStr">
        <is>
          <t>Gabinete (GIS / teledetección)</t>
        </is>
      </c>
      <c r="B41" s="57" t="n">
        <v>22</v>
      </c>
      <c r="C41" s="57" t="inlineStr">
        <is>
          <t>Gabinete. Estadística zonal sobre el MDE y compuestos Sentinel-2 (NDVI mediana 2025, MSAVI 2024 por clase DN).</t>
        </is>
      </c>
    </row>
    <row r="42">
      <c r="A42" s="56" t="inlineStr">
        <is>
          <t>Fuente oficial</t>
        </is>
      </c>
      <c r="B42" s="56" t="n">
        <v>14</v>
      </c>
      <c r="C42" s="56" t="inlineStr">
        <is>
          <t>Fuente oficial. Catálogo maestro Bloques V5/V6, división política INEI y codificación de microcuencas de la ANA.</t>
        </is>
      </c>
    </row>
    <row r="44">
      <c r="A44" s="54" t="inlineStr">
        <is>
          <t>D. ESTADO DEL CRUCE ENTRE FUENTES</t>
        </is>
      </c>
    </row>
    <row r="45">
      <c r="A45" s="55" t="inlineStr">
        <is>
          <t>Estado</t>
        </is>
      </c>
      <c r="B45" s="55" t="inlineStr">
        <is>
          <t>Hechos</t>
        </is>
      </c>
      <c r="C45" s="55" t="inlineStr">
        <is>
          <t>Significado</t>
        </is>
      </c>
    </row>
    <row r="46">
      <c r="A46" s="56" t="inlineStr">
        <is>
          <t>CONFORME</t>
        </is>
      </c>
      <c r="B46" s="56" t="n">
        <v>87</v>
      </c>
      <c r="C46" s="56" t="inlineStr">
        <is>
          <t>Las dos fuentes declaran lo mismo, o solo la fuente que manda sobre el hecho lo declara.</t>
        </is>
      </c>
    </row>
    <row r="47">
      <c r="A47" s="57" t="inlineStr">
        <is>
          <t>COMPLEMENTADO</t>
        </is>
      </c>
      <c r="B47" s="57" t="n">
        <v>2</v>
      </c>
      <c r="C47" s="57" t="inlineStr">
        <is>
          <t>Solo una de las fuentes lo declara y se adopta ese valor.</t>
        </is>
      </c>
    </row>
    <row r="48">
      <c r="A48" s="56" t="inlineStr">
        <is>
          <t>ACTUALIZADO</t>
        </is>
      </c>
      <c r="B48" s="56" t="n">
        <v>1</v>
      </c>
      <c r="C48" s="56" t="inlineStr">
        <is>
          <t>La verificación de campo vigente corrige lo que traía el libro de resumen.</t>
        </is>
      </c>
    </row>
    <row r="49">
      <c r="A49" s="57" t="inlineStr">
        <is>
          <t>DISCREPANTE</t>
        </is>
      </c>
      <c r="B49" s="57" t="n">
        <v>0</v>
      </c>
      <c r="C49" s="57" t="inlineStr">
        <is>
          <t>Las fuentes se contradicen; prevalece la que manda sobre el hecho y la otra queda declarada.</t>
        </is>
      </c>
    </row>
    <row r="50">
      <c r="A50" s="56" t="inlineStr">
        <is>
          <t>PENDIENTE</t>
        </is>
      </c>
      <c r="B50" s="56" t="n">
        <v>24</v>
      </c>
      <c r="C5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Higuerón</t>
        </is>
      </c>
      <c r="C13" s="56" t="inlineStr">
        <is>
          <t>Ficus sp.</t>
        </is>
      </c>
      <c r="D13" s="56" t="inlineStr">
        <is>
          <t>Moraceae</t>
        </is>
      </c>
      <c r="E13" s="56" t="inlineStr">
        <is>
          <t>Arbóreo superior (&gt;15 m)</t>
        </is>
      </c>
      <c r="F13" s="56" t="inlineStr">
        <is>
          <t>Nativa</t>
        </is>
      </c>
      <c r="G13" s="56" t="inlineStr">
        <is>
          <t>Frecuente (5-20%)</t>
        </is>
      </c>
      <c r="H13" s="56" t="n"/>
      <c r="I13" s="56" t="n"/>
    </row>
    <row r="14">
      <c r="A14" s="57" t="inlineStr">
        <is>
          <t>2</t>
        </is>
      </c>
      <c r="B14" s="57" t="inlineStr">
        <is>
          <t>Nogal</t>
        </is>
      </c>
      <c r="C14" s="57" t="inlineStr">
        <is>
          <t>Juglans neotropica</t>
        </is>
      </c>
      <c r="D14" s="57" t="inlineStr">
        <is>
          <t>Juglandaceae</t>
        </is>
      </c>
      <c r="E14" s="57" t="inlineStr">
        <is>
          <t>Arbóreo superior (&gt;15 m)</t>
        </is>
      </c>
      <c r="F14" s="57" t="inlineStr">
        <is>
          <t>Nativa</t>
        </is>
      </c>
      <c r="G14" s="57" t="inlineStr">
        <is>
          <t>Ocasional (1-5%)</t>
        </is>
      </c>
      <c r="H14" s="57" t="n"/>
      <c r="I14" s="57" t="n"/>
    </row>
    <row r="15">
      <c r="A15" s="56" t="inlineStr">
        <is>
          <t>3</t>
        </is>
      </c>
      <c r="B15" s="56" t="inlineStr">
        <is>
          <t>Romerillo / Diablo fuerte</t>
        </is>
      </c>
      <c r="C15" s="56" t="inlineStr">
        <is>
          <t>Podocarpus sp.</t>
        </is>
      </c>
      <c r="D15" s="56" t="inlineStr">
        <is>
          <t>Podocarpaceae</t>
        </is>
      </c>
      <c r="E15" s="56" t="inlineStr">
        <is>
          <t>Arbóreo medio (8-15 m)</t>
        </is>
      </c>
      <c r="F15" s="56" t="inlineStr">
        <is>
          <t>Nativa</t>
        </is>
      </c>
      <c r="G15" s="56" t="inlineStr">
        <is>
          <t>Ocasional (1-5%)</t>
        </is>
      </c>
      <c r="H15" s="56" t="n"/>
      <c r="I15" s="56" t="n"/>
    </row>
    <row r="16">
      <c r="A16" s="57" t="inlineStr">
        <is>
          <t>4</t>
        </is>
      </c>
      <c r="B16" s="57" t="inlineStr">
        <is>
          <t>Chirimoya silvestre</t>
        </is>
      </c>
      <c r="C16" s="57" t="inlineStr">
        <is>
          <t>Annona sp.</t>
        </is>
      </c>
      <c r="D16" s="57" t="inlineStr">
        <is>
          <t>Annonaceae</t>
        </is>
      </c>
      <c r="E16" s="57" t="inlineStr">
        <is>
          <t>Arbóreo bajo (4-8 m)</t>
        </is>
      </c>
      <c r="F16" s="57" t="inlineStr">
        <is>
          <t>Nativa</t>
        </is>
      </c>
      <c r="G16" s="57" t="inlineStr">
        <is>
          <t>Ocasional (1-5%)</t>
        </is>
      </c>
      <c r="H16" s="57" t="n"/>
      <c r="I16" s="57" t="n"/>
    </row>
    <row r="17">
      <c r="A17" s="56" t="inlineStr">
        <is>
          <t>5</t>
        </is>
      </c>
      <c r="B17" s="56" t="inlineStr">
        <is>
          <t>Pacae / Guaba</t>
        </is>
      </c>
      <c r="C17" s="56" t="inlineStr">
        <is>
          <t>Inga sp.</t>
        </is>
      </c>
      <c r="D17" s="56" t="inlineStr">
        <is>
          <t>Fabaceae</t>
        </is>
      </c>
      <c r="E17" s="56" t="inlineStr">
        <is>
          <t>Arbóreo medio (8-15 m)</t>
        </is>
      </c>
      <c r="F17" s="56" t="inlineStr">
        <is>
          <t>Nativa</t>
        </is>
      </c>
      <c r="G17" s="56" t="inlineStr">
        <is>
          <t>Frecuente (5-20%)</t>
        </is>
      </c>
      <c r="H17" s="56" t="n"/>
      <c r="I17" s="56" t="n"/>
    </row>
    <row r="18">
      <c r="A18" s="57" t="inlineStr">
        <is>
          <t>6</t>
        </is>
      </c>
      <c r="B18" s="57" t="inlineStr">
        <is>
          <t>Laurel / Lauráceas</t>
        </is>
      </c>
      <c r="C18" s="57" t="inlineStr">
        <is>
          <t>Lauraceae (sp. por determinar)</t>
        </is>
      </c>
      <c r="D18" s="57" t="inlineStr">
        <is>
          <t>Lauraceae</t>
        </is>
      </c>
      <c r="E18" s="57" t="inlineStr">
        <is>
          <t>Arbóreo medio (8-15 m)</t>
        </is>
      </c>
      <c r="F18" s="57" t="inlineStr">
        <is>
          <t>Nativa</t>
        </is>
      </c>
      <c r="G18" s="57" t="inlineStr">
        <is>
          <t>Frecuente (5-20%)</t>
        </is>
      </c>
      <c r="H18" s="57" t="n"/>
      <c r="I18" s="57" t="n"/>
    </row>
    <row r="19">
      <c r="A19" s="56" t="inlineStr">
        <is>
          <t>7</t>
        </is>
      </c>
      <c r="B19" s="56" t="inlineStr">
        <is>
          <t>Yuca de monte</t>
        </is>
      </c>
      <c r="C19" s="56" t="inlineStr">
        <is>
          <t>Apodanthera biflora</t>
        </is>
      </c>
      <c r="D19" s="56" t="inlineStr">
        <is>
          <t>Cucurbitaceae</t>
        </is>
      </c>
      <c r="E19" s="56" t="inlineStr">
        <is>
          <t>Trepador</t>
        </is>
      </c>
      <c r="F19" s="56" t="inlineStr">
        <is>
          <t>Nativa</t>
        </is>
      </c>
      <c r="G19" s="56" t="inlineStr">
        <is>
          <t>Ocasional (1-5%)</t>
        </is>
      </c>
      <c r="H19" s="56" t="n"/>
      <c r="I19" s="56" t="n"/>
    </row>
    <row r="20">
      <c r="A20" s="57" t="inlineStr">
        <is>
          <t>8</t>
        </is>
      </c>
      <c r="B20" s="57" t="inlineStr">
        <is>
          <t>Caña de Guayaquil</t>
        </is>
      </c>
      <c r="C20" s="57" t="inlineStr">
        <is>
          <t>Guadua angustifolia</t>
        </is>
      </c>
      <c r="D20" s="57" t="inlineStr">
        <is>
          <t>Poaceae</t>
        </is>
      </c>
      <c r="E20" s="57" t="inlineStr">
        <is>
          <t>Arbustivo alto (1.5-4 m)</t>
        </is>
      </c>
      <c r="F20" s="57" t="inlineStr">
        <is>
          <t>Nativa</t>
        </is>
      </c>
      <c r="G20" s="57" t="inlineStr">
        <is>
          <t>Frecuente (5-20%)</t>
        </is>
      </c>
      <c r="H20" s="57" t="n"/>
      <c r="I20" s="57" t="n"/>
    </row>
    <row r="21">
      <c r="A21" s="56" t="inlineStr">
        <is>
          <t>9</t>
        </is>
      </c>
      <c r="B21" s="56" t="inlineStr">
        <is>
          <t>Agave / Penca</t>
        </is>
      </c>
      <c r="C21" s="56" t="inlineStr">
        <is>
          <t>Agave sp.</t>
        </is>
      </c>
      <c r="D21" s="56" t="inlineStr">
        <is>
          <t>Asparagaceae</t>
        </is>
      </c>
      <c r="E21" s="56" t="inlineStr">
        <is>
          <t>Arbustivo bajo (0.5-1.5 m)</t>
        </is>
      </c>
      <c r="F21" s="56" t="inlineStr">
        <is>
          <t>Nativa</t>
        </is>
      </c>
      <c r="G21" s="56" t="inlineStr">
        <is>
          <t>Ocasional (1-5%)</t>
        </is>
      </c>
      <c r="H21" s="56" t="n"/>
      <c r="I21" s="56" t="n"/>
    </row>
    <row r="22">
      <c r="A22" s="57" t="inlineStr">
        <is>
          <t>10</t>
        </is>
      </c>
      <c r="B22" s="57" t="inlineStr">
        <is>
          <t>Helechos</t>
        </is>
      </c>
      <c r="C22" s="57" t="inlineStr">
        <is>
          <t>Pteridophyta</t>
        </is>
      </c>
      <c r="D22" s="57" t="inlineStr">
        <is>
          <t>Polypodiaceae</t>
        </is>
      </c>
      <c r="E22" s="57" t="inlineStr">
        <is>
          <t>Herbáceo (&lt;0.5 m)</t>
        </is>
      </c>
      <c r="F22" s="57" t="inlineStr">
        <is>
          <t>Nativa</t>
        </is>
      </c>
      <c r="G22" s="57" t="inlineStr">
        <is>
          <t>Frecuente (5-20%)</t>
        </is>
      </c>
      <c r="H22" s="57" t="n"/>
      <c r="I22" s="57" t="n"/>
    </row>
    <row r="23">
      <c r="A23" s="56" t="inlineStr">
        <is>
          <t>11</t>
        </is>
      </c>
      <c r="B23" s="56" t="inlineStr">
        <is>
          <t>Bromelias (epífitas)</t>
        </is>
      </c>
      <c r="C23" s="56" t="inlineStr">
        <is>
          <t>Bromeliaceae</t>
        </is>
      </c>
      <c r="D23" s="56" t="inlineStr">
        <is>
          <t>Bromeliaceae</t>
        </is>
      </c>
      <c r="E23" s="56" t="inlineStr">
        <is>
          <t>Epífito</t>
        </is>
      </c>
      <c r="F23" s="56" t="inlineStr">
        <is>
          <t>Nativa</t>
        </is>
      </c>
      <c r="G23" s="56" t="inlineStr">
        <is>
          <t>Frecuente (5-20%)</t>
        </is>
      </c>
      <c r="H23" s="56" t="n"/>
      <c r="I23" s="56" t="n"/>
    </row>
    <row r="24">
      <c r="A24" s="57" t="inlineStr">
        <is>
          <t>12</t>
        </is>
      </c>
      <c r="B24" s="57" t="inlineStr">
        <is>
          <t>Cactus columnar</t>
        </is>
      </c>
      <c r="C24" s="57" t="inlineStr">
        <is>
          <t>Cactaceae (sp. por determinar)</t>
        </is>
      </c>
      <c r="D24" s="57" t="inlineStr">
        <is>
          <t>Cactaceae</t>
        </is>
      </c>
      <c r="E24" s="57" t="inlineStr">
        <is>
          <t>Arbustivo bajo (0.5-1.5 m)</t>
        </is>
      </c>
      <c r="F24" s="57" t="inlineStr">
        <is>
          <t>Nativa</t>
        </is>
      </c>
      <c r="G24" s="57" t="inlineStr">
        <is>
          <t>Ocasional (1-5%)</t>
        </is>
      </c>
      <c r="H24" s="57" t="n"/>
      <c r="I24" s="57" t="n"/>
    </row>
    <row r="25">
      <c r="A25" s="56" t="inlineStr">
        <is>
          <t>13</t>
        </is>
      </c>
      <c r="B25" s="56" t="inlineStr">
        <is>
          <t>Grevílea</t>
        </is>
      </c>
      <c r="C25" s="56" t="inlineStr">
        <is>
          <t>Grevillea robusta</t>
        </is>
      </c>
      <c r="D25" s="56" t="inlineStr">
        <is>
          <t>Proteaceae</t>
        </is>
      </c>
      <c r="E25" s="56" t="inlineStr">
        <is>
          <t>Arbóreo medio (8-15 m)</t>
        </is>
      </c>
      <c r="F25" s="56" t="inlineStr">
        <is>
          <t>Introducida</t>
        </is>
      </c>
      <c r="G25" s="56" t="inlineStr">
        <is>
          <t>Ocasional (1-5%)</t>
        </is>
      </c>
      <c r="H25" s="56" t="n"/>
      <c r="I25" s="56" t="n"/>
    </row>
    <row r="26">
      <c r="A26" s="57" t="inlineStr">
        <is>
          <t>14</t>
        </is>
      </c>
      <c r="B26" s="57" t="inlineStr">
        <is>
          <t>Eucalipto</t>
        </is>
      </c>
      <c r="C26" s="57" t="inlineStr">
        <is>
          <t>Eucalyptus sp.</t>
        </is>
      </c>
      <c r="D26" s="57" t="inlineStr">
        <is>
          <t>Myrtaceae</t>
        </is>
      </c>
      <c r="E26" s="57" t="inlineStr">
        <is>
          <t>Arbóreo superior (&gt;15 m)</t>
        </is>
      </c>
      <c r="F26" s="57" t="inlineStr">
        <is>
          <t>Introducida</t>
        </is>
      </c>
      <c r="G26" s="57" t="inlineStr">
        <is>
          <t>Ocasional (1-5%)</t>
        </is>
      </c>
      <c r="H26" s="57" t="n"/>
      <c r="I26" s="57" t="n"/>
    </row>
    <row r="27">
      <c r="A27" s="56" t="inlineStr">
        <is>
          <t>15</t>
        </is>
      </c>
      <c r="B27" s="56" t="inlineStr">
        <is>
          <t>Pino</t>
        </is>
      </c>
      <c r="C27" s="56" t="inlineStr">
        <is>
          <t>Pinus sp.</t>
        </is>
      </c>
      <c r="D27" s="56" t="inlineStr">
        <is>
          <t>Pinaceae</t>
        </is>
      </c>
      <c r="E27" s="56" t="inlineStr">
        <is>
          <t>Arbóreo medio (8-15 m)</t>
        </is>
      </c>
      <c r="F27" s="56" t="inlineStr">
        <is>
          <t>Introducida</t>
        </is>
      </c>
      <c r="G27" s="56" t="inlineStr">
        <is>
          <t>Ocasional (1-5%)</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Nogal (Juglans neotropica)</t>
        </is>
      </c>
      <c r="C31" s="56" t="inlineStr">
        <is>
          <t>Amenazada (D.S. 043-2006-AG)</t>
        </is>
      </c>
      <c r="D31" s="56" t="inlineStr">
        <is>
          <t>EN — En Peligro</t>
        </is>
      </c>
      <c r="E31" s="56" t="n"/>
      <c r="F31" s="56" t="n"/>
      <c r="G31" s="56" t="n"/>
      <c r="H31" s="56" t="inlineStr">
        <is>
          <t>Especie maderable nativa amenazada; refuerza el valor de conservación del relicto montano.</t>
        </is>
      </c>
    </row>
    <row r="32">
      <c r="A32" s="57" t="inlineStr">
        <is>
          <t>2</t>
        </is>
      </c>
      <c r="B32" s="57" t="inlineStr">
        <is>
          <t>Romerillo (Podocarpus sp.)</t>
        </is>
      </c>
      <c r="C32" s="57" t="inlineStr">
        <is>
          <t>Amenazada (D.S. 043-2006-AG)</t>
        </is>
      </c>
      <c r="D32" s="57" t="inlineStr">
        <is>
          <t>No aplica</t>
        </is>
      </c>
      <c r="E32" s="57" t="n"/>
      <c r="F32" s="57" t="n"/>
      <c r="G32" s="57" t="n"/>
      <c r="H32" s="57" t="inlineStr">
        <is>
          <t>Única conífera nativa andina; indicadora de bosque montano relicto. Sp. por determinar.</t>
        </is>
      </c>
    </row>
    <row r="33">
      <c r="A33" s="56" t="inlineStr">
        <is>
          <t>3</t>
        </is>
      </c>
      <c r="B33" s="56" t="inlineStr">
        <is>
          <t>Higuerón (Ficus sp.)</t>
        </is>
      </c>
      <c r="C33" s="56" t="inlineStr">
        <is>
          <t>Indicadora de buen estado</t>
        </is>
      </c>
      <c r="D33" s="56" t="inlineStr">
        <is>
          <t>No aplica</t>
        </is>
      </c>
      <c r="E33" s="56" t="n"/>
      <c r="F33" s="56" t="n"/>
      <c r="G33" s="56" t="n"/>
      <c r="H33" s="56" t="inlineStr">
        <is>
          <t>Indicadora de humedad e integridad del dosel.</t>
        </is>
      </c>
    </row>
    <row r="34">
      <c r="A34" s="57" t="inlineStr">
        <is>
          <t>4</t>
        </is>
      </c>
      <c r="B34" s="57" t="inlineStr">
        <is>
          <t>Bromeliáceas (epífitas)</t>
        </is>
      </c>
      <c r="C34" s="57" t="inlineStr">
        <is>
          <t>Indicadora de buen estado</t>
        </is>
      </c>
      <c r="D34" s="57" t="inlineStr">
        <is>
          <t>No aplica</t>
        </is>
      </c>
      <c r="E34" s="57" t="n"/>
      <c r="F34" s="57" t="n"/>
      <c r="G34" s="57" t="n"/>
      <c r="H34" s="57" t="inlineStr">
        <is>
          <t>Epífitas indicadoras de humedad y buena calidad ecológica.</t>
        </is>
      </c>
    </row>
    <row r="36">
      <c r="A36" s="54" t="inlineStr">
        <is>
          <t>F-DT-04 · MATRIZ DE CAUSAS DE DEGRADACIÓN</t>
        </is>
      </c>
    </row>
    <row r="37">
      <c r="A37" s="55" t="inlineStr">
        <is>
          <t>N.o</t>
        </is>
      </c>
      <c r="B37" s="55" t="inlineStr">
        <is>
          <t>Causa</t>
        </is>
      </c>
      <c r="C37" s="55" t="inlineStr">
        <is>
          <t>Presencia</t>
        </is>
      </c>
      <c r="D37" s="55" t="inlineStr">
        <is>
          <t>Intensidad</t>
        </is>
      </c>
      <c r="E37" s="55" t="inlineStr">
        <is>
          <t>Extensión</t>
        </is>
      </c>
      <c r="F37" s="55" t="inlineStr">
        <is>
          <t>Antigüedad</t>
        </is>
      </c>
      <c r="G37" s="55" t="inlineStr">
        <is>
          <t>Evidencia</t>
        </is>
      </c>
    </row>
    <row r="38">
      <c r="A38" s="56" t="inlineStr">
        <is>
          <t>1</t>
        </is>
      </c>
      <c r="B38" s="56" t="inlineStr">
        <is>
          <t>Sobrepastoreo (caprino/vacuno)</t>
        </is>
      </c>
      <c r="C38" s="56" t="inlineStr">
        <is>
          <t>Sí</t>
        </is>
      </c>
      <c r="D38" s="56" t="inlineStr">
        <is>
          <t>Moderada</t>
        </is>
      </c>
      <c r="E38" s="56" t="inlineStr"/>
      <c r="F38" s="56" t="inlineStr"/>
      <c r="G38" s="56" t="inlineStr">
        <is>
          <t>Ganadería y pastoreo en laderas; pastos cultivados; sendas de pisoteo.</t>
        </is>
      </c>
    </row>
    <row r="39">
      <c r="A39" s="57" t="inlineStr">
        <is>
          <t>2</t>
        </is>
      </c>
      <c r="B39" s="57" t="inlineStr">
        <is>
          <t>Tala para leña</t>
        </is>
      </c>
      <c r="C39" s="57" t="inlineStr"/>
      <c r="D39" s="57" t="inlineStr"/>
      <c r="E39" s="57" t="inlineStr"/>
      <c r="F39" s="57" t="inlineStr"/>
      <c r="G39" s="57" t="inlineStr"/>
    </row>
    <row r="40">
      <c r="A40" s="56" t="inlineStr">
        <is>
          <t>3</t>
        </is>
      </c>
      <c r="B40" s="56" t="inlineStr">
        <is>
          <t>Tala para carbón</t>
        </is>
      </c>
      <c r="C40" s="56" t="inlineStr"/>
      <c r="D40" s="56" t="inlineStr"/>
      <c r="E40" s="56" t="inlineStr"/>
      <c r="F40" s="56" t="inlineStr"/>
      <c r="G40" s="56" t="inlineStr"/>
    </row>
    <row r="41">
      <c r="A41" s="57" t="inlineStr">
        <is>
          <t>4</t>
        </is>
      </c>
      <c r="B41" s="57" t="inlineStr">
        <is>
          <t>Tala para madera</t>
        </is>
      </c>
      <c r="C41" s="57" t="inlineStr"/>
      <c r="D41" s="57" t="inlineStr"/>
      <c r="E41" s="57" t="inlineStr"/>
      <c r="F41" s="57" t="inlineStr"/>
      <c r="G41" s="57" t="inlineStr"/>
    </row>
    <row r="42">
      <c r="A42" s="56" t="inlineStr">
        <is>
          <t>5</t>
        </is>
      </c>
      <c r="B42" s="56" t="inlineStr">
        <is>
          <t>Quema (renovación de pastos)</t>
        </is>
      </c>
      <c r="C42" s="56" t="inlineStr"/>
      <c r="D42" s="56" t="inlineStr"/>
      <c r="E42" s="56" t="inlineStr"/>
      <c r="F42" s="56" t="inlineStr"/>
      <c r="G42" s="56" t="inlineStr"/>
    </row>
    <row r="43">
      <c r="A43" s="57" t="inlineStr">
        <is>
          <t>6</t>
        </is>
      </c>
      <c r="B43" s="57" t="inlineStr">
        <is>
          <t>Quema accidental / Incendio</t>
        </is>
      </c>
      <c r="C43" s="57" t="inlineStr"/>
      <c r="D43" s="57" t="inlineStr"/>
      <c r="E43" s="57" t="inlineStr"/>
      <c r="F43" s="57" t="inlineStr"/>
      <c r="G43" s="57" t="inlineStr"/>
    </row>
    <row r="44">
      <c r="A44" s="56" t="inlineStr">
        <is>
          <t>7</t>
        </is>
      </c>
      <c r="B44" s="56" t="inlineStr">
        <is>
          <t>Cambio de uso a agricultura</t>
        </is>
      </c>
      <c r="C44" s="56" t="inlineStr">
        <is>
          <t>Sí</t>
        </is>
      </c>
      <c r="D44" s="56" t="inlineStr">
        <is>
          <t>Fuerte</t>
        </is>
      </c>
      <c r="E44" s="56" t="inlineStr"/>
      <c r="F44" s="56" t="inlineStr"/>
      <c r="G44" s="56" t="inlineStr">
        <is>
          <t>Cultivos de maíz, trigo y arveja en laderas de fuerte pendiente (≈77% del bloque en zona agrícola).</t>
        </is>
      </c>
    </row>
    <row r="45">
      <c r="A45" s="57" t="inlineStr">
        <is>
          <t>8</t>
        </is>
      </c>
      <c r="B45" s="57" t="inlineStr">
        <is>
          <t>Cambio de uso a pastoreo</t>
        </is>
      </c>
      <c r="C45" s="57" t="inlineStr">
        <is>
          <t>Sí</t>
        </is>
      </c>
      <c r="D45" s="57" t="inlineStr">
        <is>
          <t>Moderada</t>
        </is>
      </c>
      <c r="E45" s="57" t="inlineStr"/>
      <c r="F45" s="57" t="inlineStr"/>
      <c r="G45" s="57" t="inlineStr">
        <is>
          <t>Pastos cultivados con fines ganaderos.</t>
        </is>
      </c>
    </row>
    <row r="46">
      <c r="A46" s="56" t="inlineStr">
        <is>
          <t>9</t>
        </is>
      </c>
      <c r="B46" s="56" t="inlineStr">
        <is>
          <t>Expansión urbana / vial</t>
        </is>
      </c>
      <c r="C46" s="56" t="inlineStr">
        <is>
          <t>Sí</t>
        </is>
      </c>
      <c r="D46" s="56" t="inlineStr">
        <is>
          <t>Moderada</t>
        </is>
      </c>
      <c r="E46" s="56" t="inlineStr"/>
      <c r="F46" s="56" t="inlineStr"/>
      <c r="G46" s="56" t="inlineStr">
        <is>
          <t>Trocha vecinal PI-799 con taludes de corte inestables y caída de material.</t>
        </is>
      </c>
    </row>
    <row r="47">
      <c r="A47" s="57" t="inlineStr">
        <is>
          <t>10</t>
        </is>
      </c>
      <c r="B47" s="57" t="inlineStr">
        <is>
          <t>Minería informal</t>
        </is>
      </c>
      <c r="C47" s="57" t="inlineStr"/>
      <c r="D47" s="57" t="inlineStr"/>
      <c r="E47" s="57" t="inlineStr"/>
      <c r="F47" s="57" t="inlineStr"/>
      <c r="G47" s="57" t="inlineStr"/>
    </row>
    <row r="48">
      <c r="A48" s="56" t="inlineStr">
        <is>
          <t>11</t>
        </is>
      </c>
      <c r="B48" s="56" t="inlineStr">
        <is>
          <t>Extracción de áridos (cauces)</t>
        </is>
      </c>
      <c r="C48" s="56" t="inlineStr"/>
      <c r="D48" s="56" t="inlineStr"/>
      <c r="E48" s="56" t="inlineStr"/>
      <c r="F48" s="56" t="inlineStr"/>
      <c r="G48" s="56" t="inlineStr"/>
    </row>
    <row r="49">
      <c r="A49" s="57" t="inlineStr">
        <is>
          <t>12</t>
        </is>
      </c>
      <c r="B49" s="57" t="inlineStr">
        <is>
          <t>Especies invasoras</t>
        </is>
      </c>
      <c r="C49" s="57" t="inlineStr"/>
      <c r="D49" s="57" t="inlineStr"/>
      <c r="E49" s="57" t="inlineStr"/>
      <c r="F49" s="57" t="inlineStr"/>
      <c r="G49" s="57" t="inlineStr"/>
    </row>
    <row r="50">
      <c r="A50" s="56" t="inlineStr">
        <is>
          <t>13</t>
        </is>
      </c>
      <c r="B50" s="56" t="inlineStr">
        <is>
          <t>Erosión natural severa</t>
        </is>
      </c>
      <c r="C50" s="56" t="inlineStr">
        <is>
          <t>Sí</t>
        </is>
      </c>
      <c r="D50" s="56" t="inlineStr">
        <is>
          <t>Moderada</t>
        </is>
      </c>
      <c r="E50" s="56" t="inlineStr"/>
      <c r="F50" s="56" t="inlineStr"/>
      <c r="G50" s="56" t="inlineStr">
        <is>
          <t>Quebradas con acumulación de bloques rocosos (transporte torrencial) y socavamiento de cauce; desprendimientos en taludes de corte.</t>
        </is>
      </c>
    </row>
    <row r="51">
      <c r="A51" s="57" t="inlineStr">
        <is>
          <t>14</t>
        </is>
      </c>
      <c r="B51" s="57" t="inlineStr">
        <is>
          <t>Sequía prolongada / CC</t>
        </is>
      </c>
      <c r="C51" s="57" t="inlineStr"/>
      <c r="D51" s="57" t="inlineStr"/>
      <c r="E51" s="57" t="inlineStr"/>
      <c r="F51" s="57" t="inlineStr"/>
      <c r="G51" s="57" t="inlineStr"/>
    </row>
    <row r="52">
      <c r="A52" s="56" t="inlineStr">
        <is>
          <t>15</t>
        </is>
      </c>
      <c r="B52" s="56" t="inlineStr">
        <is>
          <t>Plagas o enfermedades forestales</t>
        </is>
      </c>
      <c r="C52" s="56" t="inlineStr"/>
      <c r="D52" s="56" t="inlineStr"/>
      <c r="E52" s="56" t="inlineStr"/>
      <c r="F52" s="56" t="inlineStr"/>
      <c r="G52" s="56" t="inlineStr"/>
    </row>
    <row r="53">
      <c r="A53" s="57" t="inlineStr">
        <is>
          <t>16</t>
        </is>
      </c>
      <c r="B53" s="57" t="inlineStr">
        <is>
          <t>Otro</t>
        </is>
      </c>
      <c r="C53" s="57" t="inlineStr"/>
      <c r="D53" s="57" t="inlineStr"/>
      <c r="E53" s="57" t="inlineStr"/>
      <c r="F53" s="57" t="inlineStr"/>
      <c r="G53" s="57" t="inlineStr"/>
    </row>
    <row r="55">
      <c r="A55" s="54" t="inlineStr">
        <is>
          <t>F-DT-04 · INDICADORES CUANTITATIVOS</t>
        </is>
      </c>
    </row>
    <row r="56">
      <c r="A56" s="55" t="inlineStr">
        <is>
          <t>N.o</t>
        </is>
      </c>
      <c r="B56" s="55" t="inlineStr">
        <is>
          <t>Indicador</t>
        </is>
      </c>
      <c r="C56" s="55" t="inlineStr">
        <is>
          <t>Unidad</t>
        </is>
      </c>
      <c r="D56" s="55" t="inlineStr">
        <is>
          <t>Valor</t>
        </is>
      </c>
      <c r="E56" s="55" t="inlineStr">
        <is>
          <t>Fuente</t>
        </is>
      </c>
      <c r="F56" s="55" t="inlineStr">
        <is>
          <t>Umbral</t>
        </is>
      </c>
      <c r="G56" s="55" t="inlineStr">
        <is>
          <t>Nivel</t>
        </is>
      </c>
    </row>
    <row r="57">
      <c r="A57" s="56" t="inlineStr">
        <is>
          <t>1</t>
        </is>
      </c>
      <c r="B57" s="56" t="inlineStr">
        <is>
          <t>Cobertura vegetal total</t>
        </is>
      </c>
      <c r="C57" s="56" t="inlineStr">
        <is>
          <t>%</t>
        </is>
      </c>
      <c r="D57" s="56" t="inlineStr">
        <is>
          <t>70</t>
        </is>
      </c>
      <c r="E57" s="56" t="inlineStr">
        <is>
          <t>Estimación de campo + MSAVI 2024</t>
        </is>
      </c>
      <c r="F57" s="56" t="inlineStr">
        <is>
          <t>&gt;60% bueno; 30-60% medio; &lt;30% malo</t>
        </is>
      </c>
      <c r="G57" s="56" t="inlineStr">
        <is>
          <t>Alto</t>
        </is>
      </c>
    </row>
    <row r="58">
      <c r="A58" s="57" t="inlineStr">
        <is>
          <t>2</t>
        </is>
      </c>
      <c r="B58" s="57" t="inlineStr">
        <is>
          <t>Porcentaje de suelo desnudo</t>
        </is>
      </c>
      <c r="C58" s="57" t="inlineStr">
        <is>
          <t>%</t>
        </is>
      </c>
      <c r="D58" s="57" t="inlineStr">
        <is>
          <t>10</t>
        </is>
      </c>
      <c r="E58" s="57" t="inlineStr">
        <is>
          <t>Estimación de campo</t>
        </is>
      </c>
      <c r="F58" s="57" t="inlineStr">
        <is>
          <t>&lt;10% bueno; 10-30% medio; &gt;30% malo</t>
        </is>
      </c>
      <c r="G58" s="57" t="inlineStr">
        <is>
          <t>Medio</t>
        </is>
      </c>
    </row>
    <row r="59">
      <c r="A59" s="56" t="inlineStr">
        <is>
          <t>3</t>
        </is>
      </c>
      <c r="B59" s="56" t="inlineStr">
        <is>
          <t>Densidad de cárcavas</t>
        </is>
      </c>
      <c r="C59" s="56" t="inlineStr">
        <is>
          <t>N°/ha</t>
        </is>
      </c>
      <c r="D59" s="56" t="inlineStr"/>
      <c r="E59" s="56" t="inlineStr"/>
      <c r="F59" s="56" t="inlineStr">
        <is>
          <t>0 nulo; 1-3 medio; &gt;3 alto</t>
        </is>
      </c>
      <c r="G59" s="56" t="inlineStr"/>
    </row>
    <row r="60">
      <c r="A60" s="57" t="inlineStr">
        <is>
          <t>4</t>
        </is>
      </c>
      <c r="B60" s="57" t="inlineStr">
        <is>
          <t>Presencia de especies invasoras</t>
        </is>
      </c>
      <c r="C60" s="57" t="inlineStr">
        <is>
          <t>% área</t>
        </is>
      </c>
      <c r="D60" s="57" t="inlineStr"/>
      <c r="E60" s="57" t="inlineStr"/>
      <c r="F60" s="57" t="inlineStr">
        <is>
          <t>&lt;5% bueno; 5-20% medio; &gt;20% alto</t>
        </is>
      </c>
      <c r="G60" s="57" t="inlineStr"/>
    </row>
    <row r="61">
      <c r="A61" s="56" t="inlineStr">
        <is>
          <t>5</t>
        </is>
      </c>
      <c r="B61" s="56" t="inlineStr">
        <is>
          <t>Carga ganadera estimada</t>
        </is>
      </c>
      <c r="C61" s="56" t="inlineStr">
        <is>
          <t>UA/ha</t>
        </is>
      </c>
      <c r="D61" s="56" t="inlineStr"/>
      <c r="E61" s="56" t="inlineStr"/>
      <c r="F61" s="56" t="inlineStr">
        <is>
          <t>Según tipo de ecosistema</t>
        </is>
      </c>
      <c r="G61" s="56" t="inlineStr"/>
    </row>
    <row r="62">
      <c r="A62" s="57" t="inlineStr">
        <is>
          <t>6</t>
        </is>
      </c>
      <c r="B62" s="57" t="inlineStr">
        <is>
          <t>Frecuencia de quemas últimos 5 años</t>
        </is>
      </c>
      <c r="C62" s="57" t="inlineStr">
        <is>
          <t>N°</t>
        </is>
      </c>
      <c r="D62" s="57" t="inlineStr"/>
      <c r="E62" s="57" t="inlineStr"/>
      <c r="F62" s="57" t="inlineStr">
        <is>
          <t>0 nulo; 1-2 medio; &gt;2 alto</t>
        </is>
      </c>
      <c r="G62" s="57" t="inlineStr"/>
    </row>
    <row r="63">
      <c r="A63" s="56" t="inlineStr">
        <is>
          <t>7</t>
        </is>
      </c>
      <c r="B63" s="56" t="inlineStr">
        <is>
          <t>% área con pendiente &gt;50%</t>
        </is>
      </c>
      <c r="C63" s="56" t="inlineStr">
        <is>
          <t>%</t>
        </is>
      </c>
      <c r="D63" s="56" t="inlineStr">
        <is>
          <t>40</t>
        </is>
      </c>
      <c r="E63" s="56" t="inlineStr">
        <is>
          <t>DEM / transecto GE (pend. media 46.5%, máx 74.7%)</t>
        </is>
      </c>
      <c r="F63" s="56" t="inlineStr">
        <is>
          <t>Factor de susceptibilidad</t>
        </is>
      </c>
      <c r="G63" s="56" t="inlineStr">
        <is>
          <t>Alto</t>
        </is>
      </c>
    </row>
    <row r="64">
      <c r="A64" s="57" t="inlineStr">
        <is>
          <t>8</t>
        </is>
      </c>
      <c r="B64" s="57" t="inlineStr">
        <is>
          <t>Distancia a vía vecinal más cercana</t>
        </is>
      </c>
      <c r="C64" s="57" t="inlineStr">
        <is>
          <t>m</t>
        </is>
      </c>
      <c r="D64" s="57" t="inlineStr">
        <is>
          <t>0</t>
        </is>
      </c>
      <c r="E64" s="57" t="inlineStr">
        <is>
          <t>Bloque atravesado por vía vecinal PI-799</t>
        </is>
      </c>
      <c r="F64" s="57" t="inlineStr">
        <is>
          <t>A menor distancia → mayor presión</t>
        </is>
      </c>
      <c r="G64" s="57" t="inlineStr">
        <is>
          <t>Alto</t>
        </is>
      </c>
    </row>
    <row r="66">
      <c r="A66" s="54" t="inlineStr">
        <is>
          <t>F-DT-05 · FUENTES DE AGUA INVENTARIADAS</t>
        </is>
      </c>
    </row>
    <row r="67">
      <c r="A67" s="55" t="inlineStr">
        <is>
          <t>N.o</t>
        </is>
      </c>
      <c r="B67" s="55" t="inlineStr">
        <is>
          <t>Tipo de fuente</t>
        </is>
      </c>
      <c r="C67" s="55" t="inlineStr">
        <is>
          <t>UTM ESTE</t>
        </is>
      </c>
      <c r="D67" s="55" t="inlineStr">
        <is>
          <t>UTM NORTE</t>
        </is>
      </c>
      <c r="E67" s="55" t="inlineStr">
        <is>
          <t>Régimen</t>
        </is>
      </c>
      <c r="F67" s="55" t="inlineStr">
        <is>
          <t>Calidad</t>
        </is>
      </c>
      <c r="G67" s="55" t="inlineStr">
        <is>
          <t>Distancia (m)</t>
        </is>
      </c>
      <c r="H67" s="55" t="inlineStr">
        <is>
          <t>Uso / observación</t>
        </is>
      </c>
    </row>
    <row r="68">
      <c r="A68" s="56" t="inlineStr">
        <is>
          <t>1</t>
        </is>
      </c>
      <c r="B68" s="56" t="inlineStr">
        <is>
          <t>Quebrada estacional</t>
        </is>
      </c>
      <c r="C68" s="61" t="n">
        <v>621116</v>
      </c>
      <c r="D68" s="61" t="n">
        <v>9439798</v>
      </c>
      <c r="E68" s="56" t="inlineStr">
        <is>
          <t>Estacional (lluvias)</t>
        </is>
      </c>
      <c r="F68" s="56" t="inlineStr">
        <is>
          <t>Buena (clara, sin olor, sin sedimentos)</t>
        </is>
      </c>
      <c r="G68" s="62" t="n">
        <v>0</v>
      </c>
      <c r="H68" s="56" t="inlineStr">
        <is>
          <t>Quebrada con lecho rocoso y acumulación de bloques (Foto 5); drenaje de la microcuenca.</t>
        </is>
      </c>
    </row>
    <row r="69">
      <c r="A69" s="57" t="inlineStr">
        <is>
          <t>2</t>
        </is>
      </c>
      <c r="B69" s="57" t="inlineStr">
        <is>
          <t>Quebrada estacional</t>
        </is>
      </c>
      <c r="C69" s="63" t="n">
        <v>621204</v>
      </c>
      <c r="D69" s="63" t="n">
        <v>9440026</v>
      </c>
      <c r="E69" s="57" t="inlineStr">
        <is>
          <t>Estacional (lluvias)</t>
        </is>
      </c>
      <c r="F69" s="57" t="inlineStr">
        <is>
          <t>Buena (clara, sin olor, sin sedimentos)</t>
        </is>
      </c>
      <c r="G69" s="64" t="n">
        <v>0</v>
      </c>
      <c r="H69" s="57" t="inlineStr">
        <is>
          <t>Quebrada con vegetación ribereña (Foto 3).</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Verificación de campo del 11/06/2026 con track GPS Garmin 66sr; ingreso por vía vecinal PI-799. El sector verificado corresponde al margen este/sureste del bloque (cota de aproximación ≈1328 msnm, punto 17M 621187/9440000); el sector norte y de mayor altitud (hasta ≈2150 msnm) quedó caracterizado por teledetección y queda pendiente de acceso a pie/dron. Altitud media del bloque ≈1600 msnm; centroide oficial 620759 E / 9439988 N. Escarpes activos = taludes de corte de la trocha con caída de material; remoción en masa a escala de bloque no observada, pero susceptibilidad latente por fuertes pendientes y quebradas con bloques rocosos (depósitos torrenciales). Reptación posible en laderas de pastoreo, por confirmar.</t>
        </is>
      </c>
    </row>
    <row r="75">
      <c r="A75" s="57" t="inlineStr">
        <is>
          <t>F-DT-02</t>
        </is>
      </c>
      <c r="B75" s="57" t="inlineStr">
        <is>
          <t>No se ejecutó inventario métrico georreferenciado de cárcavas durante la inspección rápida (pendiente GPS submétrico). En el sector verificado predomina erosión hídrica laminar y en surcos sobre laderas de cultivo (maíz) y pastoreo, agravada por las fuertes pendientes. El socavamiento de cauce se evidencia en las quebradas con acumulación de bloques rocosos (17M 621116/9439798 y 621204/9440026) y en los taludes de corte de la trocha PI-799 (17M 621187/9440000 y 621306/9439646). Valores porcentuales y métricos pendientes de cuantificación.</t>
        </is>
      </c>
    </row>
    <row r="76">
      <c r="A76" s="56" t="inlineStr">
        <is>
          <t>F-DT-03</t>
        </is>
      </c>
      <c r="B76" s="56" t="inlineStr">
        <is>
          <t>Cobertura vegetal total y estructura: estimación ocular de gabinete apoyada en MSAVI_Piura_2024 (predominio de las clases de mayor vigor, 0.4976–&gt;0.6139). Lista florística PRELIMINAR: nombres comunes según reporte de campo/local; nombres científicos preliminares sujetos a colecta y determinación botánica formal. Estrato, abundancia, DAP, alturas y categorías UICN/D.S. 043-2006-AG quedan pendientes de inventario especializado. Las especies nativas de mayor valor (Nogal, Romerillo, Lauráceas) se concentran en el sector alto e inaccesible del bloque. Cultivos asociados: maíz, trigo, arveja y pastos cultivados; otras exóticas plantadas: ciprés (Cupressus sp.).</t>
        </is>
      </c>
    </row>
    <row r="77">
      <c r="A77" s="57" t="inlineStr">
        <is>
          <t>F-DT-04</t>
        </is>
      </c>
      <c r="B77" s="57" t="inlineStr">
        <is>
          <t>La degradación se concentra en la frontera agropecuaria (cultivos en ladera y pastoreo) y a lo largo de la trocha PI-799 (taludes de corte). El interior del bloque conserva cobertura vegetal vigorosa (MSAVI alto), por lo que el proceso es lento y localizado. Extensión y antigüedad de las causas, carga ganadera y frecuencia de quemas pendientes de cuantificación.</t>
        </is>
      </c>
    </row>
    <row r="78">
      <c r="A78" s="56" t="inlineStr">
        <is>
          <t>F-DT-05</t>
        </is>
      </c>
      <c r="B78" s="56" t="inlineStr">
        <is>
          <t>Bloque ubicado en cabecera/zona de recarga de la microcuenca C1086-Q9570; quebradas estacionales con lecho rocoso dentro del bloque y a lo largo de la trocha PI-799 (Fotos 3 y 5). Acceso vehicular por vía vecinal PI-799 desde el sector de Taylin de Tuñalí. Predios de propiedad privada (pastoreo, ganadería y cultivos). Distancia a captación poblacional, JASS, señal celular, tiempos de acceso y autorización de Ronda Campesina pendientes de registro/confirmación.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11</t>
        </is>
      </c>
    </row>
    <row r="7">
      <c r="A7" s="54" t="inlineStr">
        <is>
          <t>Hechos declarados por fuente</t>
        </is>
      </c>
    </row>
    <row r="8">
      <c r="A8" s="55" t="inlineStr">
        <is>
          <t>Fuente</t>
        </is>
      </c>
      <c r="B8" s="55" t="inlineStr">
        <is>
          <t>Hechos</t>
        </is>
      </c>
    </row>
    <row r="9">
      <c r="A9" s="56" t="inlineStr">
        <is>
          <t>Dato de campo</t>
        </is>
      </c>
      <c r="B9" s="56" t="n">
        <v>54</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87</v>
      </c>
    </row>
    <row r="31">
      <c r="A31" s="57" t="inlineStr">
        <is>
          <t>COMPLEMENTADO</t>
        </is>
      </c>
      <c r="B31" s="57" t="n">
        <v>2</v>
      </c>
    </row>
    <row r="32">
      <c r="A32" s="56" t="inlineStr">
        <is>
          <t>ACTUALIZADO</t>
        </is>
      </c>
      <c r="B32" s="56" t="n">
        <v>1</v>
      </c>
    </row>
    <row r="33">
      <c r="A33" s="57" t="inlineStr">
        <is>
          <t>DISCREPANTE</t>
        </is>
      </c>
      <c r="B33" s="57" t="n">
        <v>0</v>
      </c>
    </row>
    <row r="34">
      <c r="A34" s="56" t="inlineStr">
        <is>
          <t>PENDIENTE</t>
        </is>
      </c>
      <c r="B34" s="56" t="n">
        <v>24</v>
      </c>
    </row>
    <row r="51">
      <c r="A51" s="54" t="inlineStr">
        <is>
          <t>Cobertura por estrato — campo (%)</t>
        </is>
      </c>
    </row>
    <row r="52">
      <c r="A52" s="55" t="inlineStr">
        <is>
          <t>Estrato</t>
        </is>
      </c>
      <c r="B52" s="55" t="inlineStr">
        <is>
          <t>% del área</t>
        </is>
      </c>
    </row>
    <row r="53">
      <c r="A53" s="56" t="inlineStr">
        <is>
          <t>Suelo desnudo</t>
        </is>
      </c>
      <c r="B53" s="61" t="n">
        <v>10</v>
      </c>
    </row>
    <row r="70">
      <c r="A70" s="54" t="inlineStr">
        <is>
          <t>Causas activas de degradación (F-DT-04)</t>
        </is>
      </c>
    </row>
    <row r="71">
      <c r="A71" s="55" t="inlineStr">
        <is>
          <t>Causa</t>
        </is>
      </c>
      <c r="B71" s="55" t="inlineStr">
        <is>
          <t>Intensidad (1 ligera - 4 muy fuerte)</t>
        </is>
      </c>
    </row>
    <row r="72">
      <c r="A72" s="56" t="inlineStr">
        <is>
          <t>Cambio de uso a agricultura</t>
        </is>
      </c>
      <c r="B72" s="56" t="n">
        <v>3</v>
      </c>
    </row>
    <row r="73">
      <c r="A73" s="57" t="inlineStr">
        <is>
          <t>Cambio de uso a pastoreo</t>
        </is>
      </c>
      <c r="B73" s="57" t="n">
        <v>2</v>
      </c>
    </row>
    <row r="74">
      <c r="A74" s="56" t="inlineStr">
        <is>
          <t>Erosión natural severa</t>
        </is>
      </c>
      <c r="B74" s="56" t="n">
        <v>2</v>
      </c>
    </row>
    <row r="75">
      <c r="A75" s="57" t="inlineStr">
        <is>
          <t>Expansión urbana / vial</t>
        </is>
      </c>
      <c r="B75" s="57" t="n">
        <v>2</v>
      </c>
    </row>
    <row r="76">
      <c r="A76" s="56" t="inlineStr">
        <is>
          <t>Sobrepastoreo (caprino/vacuno)</t>
        </is>
      </c>
      <c r="B76" s="56" t="n">
        <v>2</v>
      </c>
    </row>
    <row r="93">
      <c r="A93" s="54" t="inlineStr">
        <is>
          <t>Control de consistencia por calificación</t>
        </is>
      </c>
    </row>
    <row r="94">
      <c r="A94" s="55" t="inlineStr">
        <is>
          <t>Calificación</t>
        </is>
      </c>
      <c r="B94" s="55" t="inlineStr">
        <is>
          <t>Verificaciones</t>
        </is>
      </c>
    </row>
    <row r="95">
      <c r="A95" s="56" t="inlineStr">
        <is>
          <t>SUSTANTIVA</t>
        </is>
      </c>
      <c r="B95" s="56" t="n">
        <v>1</v>
      </c>
    </row>
    <row r="96">
      <c r="A96" s="57" t="inlineStr">
        <is>
          <t>NO SUSTANTIVA</t>
        </is>
      </c>
      <c r="B96" s="57" t="n">
        <v>2</v>
      </c>
    </row>
    <row r="97">
      <c r="A97" s="56" t="inlineStr">
        <is>
          <t>CORREGIDO</t>
        </is>
      </c>
      <c r="B97" s="56" t="n">
        <v>1</v>
      </c>
    </row>
    <row r="98">
      <c r="A98" s="57" t="inlineStr">
        <is>
          <t>CONFORME</t>
        </is>
      </c>
      <c r="B98"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11 — IN Piura</dc:title>
  <dc:subject>Diagnóstico Territorial por bloque de intervención</dc:subject>
  <dcterms:created xsi:type="dcterms:W3CDTF">2026-09-08T03:39:55Z</dcterms:created>
  <dcterms:modified xsi:type="dcterms:W3CDTF">2026-09-11T20:22:24Z</dcterms:modified>
</cp:coreProperties>
</file>