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M17B4</t>
        </is>
      </c>
    </row>
    <row r="6" ht="24" customHeight="1">
      <c r="A6" s="4" t="inlineStr">
        <is>
          <t>Diagnóstico Territorial — Plantilla DT Campo Check Validada V5 | Sistema de referencia: UTM WGS 84 Zona 17S (EPSG:32717) · Integrado con la ficha de campo F-DT vigente (FDT_M17B4_IN_Piura.xlsx) — V7 - resumen V6 + campo F-DT integrado</t>
        </is>
      </c>
    </row>
    <row r="7"/>
    <row r="8" ht="18" customHeight="1">
      <c r="A8" s="5" t="inlineStr">
        <is>
          <t>1. IDENTIFICACIÓN Y LOCALIZACIÓN</t>
        </is>
      </c>
    </row>
    <row r="9">
      <c r="A9" s="6" t="inlineStr">
        <is>
          <t>Código del bloque</t>
        </is>
      </c>
      <c r="B9" s="7" t="inlineStr">
        <is>
          <t>M17B4</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C1096-Q9556)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Chililique Alto</t>
        </is>
      </c>
      <c r="C13" s="6" t="inlineStr">
        <is>
          <t>Comunidad campesina</t>
        </is>
      </c>
      <c r="D13" s="7" t="inlineStr">
        <is>
          <t>Juan Velasco Alvarado de Chililique Alto; María Ángela Alvarado Zeta</t>
        </is>
      </c>
      <c r="E13" s="8" t="n"/>
      <c r="F13" s="8" t="n"/>
    </row>
    <row r="14">
      <c r="A14" s="6" t="inlineStr">
        <is>
          <t>Superficie de catálogo (V5/V6), ha</t>
        </is>
      </c>
      <c r="B14" s="7" t="n">
        <v>124.71</v>
      </c>
      <c r="C14" s="6" t="inlineStr">
        <is>
          <t>Fuente de superficie</t>
        </is>
      </c>
      <c r="D14" s="7" t="inlineStr">
        <is>
          <t>Catálogo maestro Bloques V5/V6</t>
        </is>
      </c>
      <c r="E14" s="8" t="n"/>
      <c r="F14" s="8" t="n"/>
    </row>
    <row r="15">
      <c r="A15" s="6" t="inlineStr">
        <is>
          <t>Centroide UTM ESTE (m)</t>
        </is>
      </c>
      <c r="B15" s="7" t="n">
        <v>604926</v>
      </c>
      <c r="C15" s="6" t="inlineStr">
        <is>
          <t>Centroide UTM NORTE (m)</t>
        </is>
      </c>
      <c r="D15" s="7" t="n">
        <v>9444327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294</v>
      </c>
      <c r="C19" s="6" t="inlineStr">
        <is>
          <t>Altitud máxima (msnm)</t>
        </is>
      </c>
      <c r="D19" s="7" t="n">
        <v>629</v>
      </c>
      <c r="E19" s="8" t="n"/>
      <c r="F19" s="8" t="n"/>
    </row>
    <row r="20">
      <c r="A20" s="6" t="inlineStr">
        <is>
          <t>Amplitud altitudinal (m)</t>
        </is>
      </c>
      <c r="B20" s="7" t="n">
        <v>335</v>
      </c>
      <c r="C20" s="6" t="inlineStr">
        <is>
          <t>Piso altitudinal dominante</t>
        </is>
      </c>
      <c r="D20" s="7" t="inlineStr">
        <is>
          <t>&lt;1000 m (Yunga)</t>
        </is>
      </c>
      <c r="E20" s="8" t="n"/>
      <c r="F20" s="8" t="n"/>
    </row>
    <row r="21">
      <c r="A21" s="6" t="inlineStr">
        <is>
          <t>Pendiente promedio (%)</t>
        </is>
      </c>
      <c r="B21" s="7" t="n">
        <v>18.69</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0.4235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(80.60 %)</t>
        </is>
      </c>
      <c r="E29" s="8" t="n"/>
      <c r="F29" s="8" t="n"/>
    </row>
    <row r="30">
      <c r="A30" s="6" t="inlineStr">
        <is>
          <t>Superficie clasificada NDVI 2025 (ha)</t>
        </is>
      </c>
      <c r="B30" s="7" t="n">
        <v>124.775</v>
      </c>
      <c r="C30" s="6" t="inlineStr">
        <is>
          <t>Desviación frente al catálogo (%)</t>
        </is>
      </c>
      <c r="D30" s="7" t="n">
        <v>0.05</v>
      </c>
      <c r="E30" s="8" t="n"/>
      <c r="F30" s="8" t="n"/>
    </row>
    <row r="31">
      <c r="A31" s="6" t="inlineStr">
        <is>
          <t>Superficie clasificada MSAVI 2024 (ha)</t>
        </is>
      </c>
      <c r="B31" s="38" t="n">
        <v>124.709</v>
      </c>
      <c r="C31" s="6" t="inlineStr">
        <is>
          <t>Desviación MSAVI frente al catálogo (%)</t>
        </is>
      </c>
      <c r="D31" s="39" t="n">
        <v>0</v>
      </c>
      <c r="E31" s="8" t="n"/>
      <c r="F31" s="8" t="n"/>
    </row>
    <row r="32">
      <c r="A32" s="6" t="inlineStr">
        <is>
          <t>Superficie bajo umbral MSAVI 0.4976 (ha)</t>
        </is>
      </c>
      <c r="B32" s="38" t="n">
        <v>114.658</v>
      </c>
      <c r="C32" s="6" t="inlineStr">
        <is>
          <t>% del bloque bajo umbral (brecha espectral)</t>
        </is>
      </c>
      <c r="D32" s="39" t="n">
        <v>91.94</v>
      </c>
      <c r="E32" s="8" t="n"/>
      <c r="F32" s="8" t="n"/>
    </row>
    <row r="33">
      <c r="A33" s="6" t="inlineStr">
        <is>
          <t>Clase DN dominante (MSAVI 2024)</t>
        </is>
      </c>
      <c r="B33" s="7" t="inlineStr">
        <is>
          <t>DN 3 · 0.3813 - 0.4976 (Vigor bajo)</t>
        </is>
      </c>
      <c r="C33" s="6" t="inlineStr">
        <is>
          <t>N.° de polígonos MSAVI del bloque</t>
        </is>
      </c>
      <c r="D33" s="40" t="n">
        <v>489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110 ha (de 124.71 ha del bloque)</t>
        </is>
      </c>
      <c r="E36" s="8" t="n"/>
      <c r="F36" s="8" t="n"/>
    </row>
    <row r="37">
      <c r="A37" s="6" t="inlineStr">
        <is>
          <t>Estado de conservación</t>
        </is>
      </c>
      <c r="B37" s="7" t="inlineStr">
        <is>
          <t>Levemente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50" t="inlineStr">
        <is>
          <t>FICHA F-DT-02 SIN CONTENIDO. Narrativa de F-DT-01: sin surcos ni cárcavas; erosión eólica ALTA por obras viales</t>
        </is>
      </c>
      <c r="C40" s="6" t="inlineStr">
        <is>
          <t>N.° de cárcavas registradas</t>
        </is>
      </c>
      <c r="D40" s="50" t="inlineStr">
        <is>
          <t>No inventariadas (F-DT-02 sin contenido)</t>
        </is>
      </c>
      <c r="E40" s="8" t="n"/>
      <c r="F40" s="8" t="n"/>
    </row>
    <row r="41">
      <c r="A41" s="6" t="inlineStr">
        <is>
          <t>Elenco florístico (n.° de taxones)</t>
        </is>
      </c>
      <c r="B41" s="7" t="n">
        <v>6</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Juan Carlos Domínguez Varas</t>
        </is>
      </c>
      <c r="C44" s="6" t="inlineStr">
        <is>
          <t>Fecha de evaluación</t>
        </is>
      </c>
      <c r="D44" s="7" t="inlineStr">
        <is>
          <t>2026-07-03</t>
        </is>
      </c>
      <c r="E44" s="8" t="n"/>
      <c r="F44" s="8" t="n"/>
    </row>
    <row r="45">
      <c r="A45" s="6" t="inlineStr">
        <is>
          <t>Hora de registro</t>
        </is>
      </c>
      <c r="B45" s="7" t="inlineStr">
        <is>
          <t>15:43 h</t>
        </is>
      </c>
      <c r="C45" s="6" t="inlineStr">
        <is>
          <t>Correlativo de ficha</t>
        </is>
      </c>
      <c r="D45" s="50" t="inlineStr">
        <is>
          <t>2</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0"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Por determinar</t>
        </is>
      </c>
      <c r="C53" s="6" t="inlineStr">
        <is>
          <t>Zona de recarga hídrica</t>
        </is>
      </c>
      <c r="D53" s="50"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1.8023</v>
      </c>
      <c r="C10" s="19">
        <f>ROUND(B10/$B$15*100,2)</f>
        <v/>
      </c>
      <c r="D10" s="11" t="inlineStr">
        <is>
          <t>Vigor alto</t>
        </is>
      </c>
      <c r="E10" s="11" t="inlineStr">
        <is>
          <t>Sobre umbral</t>
        </is>
      </c>
    </row>
    <row r="11">
      <c r="A11" s="12" t="inlineStr">
        <is>
          <t>0.4976 - 0.6139 · DN 4</t>
        </is>
      </c>
      <c r="B11" s="20" t="n">
        <v>8.248200000000001</v>
      </c>
      <c r="C11" s="21">
        <f>ROUND(B11/$B$15*100,2)</f>
        <v/>
      </c>
      <c r="D11" s="13" t="inlineStr">
        <is>
          <t>Vigor moderado</t>
        </is>
      </c>
      <c r="E11" s="13" t="inlineStr">
        <is>
          <t>Sobre umbral</t>
        </is>
      </c>
    </row>
    <row r="12">
      <c r="A12" s="14" t="inlineStr">
        <is>
          <t>0.3813 - 0.4976 · DN 3</t>
        </is>
      </c>
      <c r="B12" s="30" t="n">
        <v>85.7548</v>
      </c>
      <c r="C12" s="29">
        <f>ROUND(B12/$B$15*100,2)</f>
        <v/>
      </c>
      <c r="D12" s="15" t="inlineStr">
        <is>
          <t>Vigor bajo</t>
        </is>
      </c>
      <c r="E12" s="15" t="inlineStr">
        <is>
          <t>BAJO umbral 0.4976</t>
        </is>
      </c>
    </row>
    <row r="13">
      <c r="A13" s="12" t="inlineStr">
        <is>
          <t>0.2650 - 0.3813 · DN 2</t>
        </is>
      </c>
      <c r="B13" s="20" t="n">
        <v>28.8936</v>
      </c>
      <c r="C13" s="21">
        <f>ROUND(B13/$B$15*100,2)</f>
        <v/>
      </c>
      <c r="D13" s="13" t="inlineStr">
        <is>
          <t>Vigor muy bajo</t>
        </is>
      </c>
      <c r="E13" s="13" t="inlineStr">
        <is>
          <t>BAJO umbral 0.4976</t>
        </is>
      </c>
    </row>
    <row r="14">
      <c r="A14" s="7" t="inlineStr">
        <is>
          <t>&lt;= 0.2650 · DN 1</t>
        </is>
      </c>
      <c r="B14" s="18" t="n">
        <v>0.009900000000000001</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489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124.71</v>
      </c>
      <c r="C18" s="49" t="inlineStr">
        <is>
          <t>—</t>
        </is>
      </c>
      <c r="D18" s="46" t="inlineStr">
        <is>
          <t>Desviación planimétrica frente al catálogo</t>
        </is>
      </c>
      <c r="E18" s="46" t="inlineStr">
        <is>
          <t>+0.00 %</t>
        </is>
      </c>
    </row>
    <row r="19">
      <c r="A19" s="16" t="inlineStr">
        <is>
          <t>MSAVI 2024 — MEDIA DEL BLOQUE</t>
        </is>
      </c>
      <c r="B19" s="17" t="n">
        <v>0.423543</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(0.4235)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4.9576</v>
      </c>
      <c r="C25" s="19" t="n">
        <v>3.97</v>
      </c>
      <c r="D25" s="11" t="inlineStr">
        <is>
          <t>Dosel continuo, matorral denso o mosaico agroforestal</t>
        </is>
      </c>
      <c r="E25" s="11" t="inlineStr"/>
    </row>
    <row r="26">
      <c r="A26" s="12" t="inlineStr">
        <is>
          <t>Vegetación mediana</t>
        </is>
      </c>
      <c r="B26" s="20" t="n">
        <v>100.5718</v>
      </c>
      <c r="C26" s="21" t="n">
        <v>80.59999999999999</v>
      </c>
      <c r="D26" s="13" t="inlineStr">
        <is>
          <t>Pastizal cultivado, matorral ralo, parcelas agrícolas</t>
        </is>
      </c>
      <c r="E26" s="13" t="inlineStr"/>
    </row>
    <row r="27">
      <c r="A27" s="7" t="inlineStr">
        <is>
          <t>Vegetación ligera</t>
        </is>
      </c>
      <c r="B27" s="18" t="n">
        <v>19.2221</v>
      </c>
      <c r="C27" s="19" t="n">
        <v>15.41</v>
      </c>
      <c r="D27" s="11" t="inlineStr">
        <is>
          <t>Cobertura discontinua, suelo parcialmente expuesto</t>
        </is>
      </c>
      <c r="E27" s="11" t="inlineStr"/>
    </row>
    <row r="28">
      <c r="A28" s="12" t="inlineStr">
        <is>
          <t>Tierra desnuda</t>
        </is>
      </c>
      <c r="B28" s="20" t="n">
        <v>0.0231</v>
      </c>
      <c r="C28" s="21" t="n">
        <v>0.02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124.71</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3.97 % del polígono clasificado como «Vegetación alta» por el NDVI 2025; la observación de campo corresponde a una parcela o recorrido puntual y no es estadísticamente representativa de las 124.710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M17B4</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65082.4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604926</v>
      </c>
      <c r="C13" s="6" t="inlineStr">
        <is>
          <t>Centroide del bloque — UTM NORTE (m)</t>
        </is>
      </c>
      <c r="D13" s="7" t="n">
        <v>9444327</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caracteriza por LADERAS DE COLINAS BAJAS, con pendientes inferiores al 60% que se vuelven progresivamente más pronunciadas al ganar altitud. La cota media ronda los 230 msnm; en su sector inferior se localizan el CCPP y una vía afirmada. Presencia de piedras pequeñas y medianas. NO SE EVIDENCIARON SURCOS NI CÁRCAVAS EN FORMACIÓN. SIN EMBARGO, LA EROSIÓN EÓLICA ES ALTA EN LA ZONA DEBIDO A OBRAS EN LA VÍA AFIRMADA. EL BLOQUE BORDEA UNA VÍA AFIRMADA EN LA CUAL ACTUALMENTE SE ESTÁ CONSTRUYENDO LA CARRETERA CHULUCANAS-FRÍAS, POR LO QUE EXISTEN OBRAS DE PERFILADO DE TALUDES Y ENSANCHAMIENTO DE VÍAS, ADEMÁS DEL TRÁNSITO DE CAMIONES Y MAQUINARIA PESADA. ATENCIÓN: el UTM del punto de registro (645 575 · 9 393 500) es el valor por defecto de la plantilla; el centroide de catálogo es 604 926 · 9 444 330.</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M17B4</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7" t="n">
        <v>258.84</v>
      </c>
      <c r="C10" s="19" t="n">
        <v>29.57</v>
      </c>
      <c r="D10" s="11" t="inlineStr">
        <is>
          <t>553 – 1517</t>
        </is>
      </c>
      <c r="E10" s="11" t="n">
        <v>964</v>
      </c>
      <c r="F10" s="11" t="n">
        <v>29.82</v>
      </c>
      <c r="G10" s="18" t="n">
        <v>0.5087</v>
      </c>
      <c r="H10" s="19" t="n">
        <v>58.63</v>
      </c>
      <c r="I10" s="19" t="n">
        <v>48.4</v>
      </c>
    </row>
    <row r="11">
      <c r="A11" s="14" t="inlineStr">
        <is>
          <t>► M17B4</t>
        </is>
      </c>
      <c r="B11" s="28" t="n">
        <v>124.71</v>
      </c>
      <c r="C11" s="29" t="n">
        <v>14.25</v>
      </c>
      <c r="D11" s="15" t="inlineStr">
        <is>
          <t>294 – 629</t>
        </is>
      </c>
      <c r="E11" s="15" t="n">
        <v>335</v>
      </c>
      <c r="F11" s="15" t="n">
        <v>18.69</v>
      </c>
      <c r="G11" s="30" t="n">
        <v>0.4235</v>
      </c>
      <c r="H11" s="29" t="n">
        <v>3.97</v>
      </c>
      <c r="I11" s="29" t="n">
        <v>91.94</v>
      </c>
    </row>
    <row r="12">
      <c r="A12" s="7" t="inlineStr">
        <is>
          <t>M17B6</t>
        </is>
      </c>
      <c r="B12" s="27" t="n">
        <v>106.54</v>
      </c>
      <c r="C12" s="19" t="n">
        <v>12.17</v>
      </c>
      <c r="D12" s="11" t="inlineStr">
        <is>
          <t>403 – 1049</t>
        </is>
      </c>
      <c r="E12" s="11" t="n">
        <v>646</v>
      </c>
      <c r="F12" s="11" t="n">
        <v>23.42</v>
      </c>
      <c r="G12" s="18" t="n">
        <v>0.4464</v>
      </c>
      <c r="H12" s="19" t="n">
        <v>18.53</v>
      </c>
      <c r="I12" s="19" t="n">
        <v>81.81999999999999</v>
      </c>
    </row>
    <row r="13">
      <c r="A13" s="12" t="inlineStr">
        <is>
          <t>22</t>
        </is>
      </c>
      <c r="B13" s="31" t="n">
        <v>79.33</v>
      </c>
      <c r="C13" s="21" t="n">
        <v>9.06</v>
      </c>
      <c r="D13" s="13" t="inlineStr">
        <is>
          <t>235 – 596</t>
        </is>
      </c>
      <c r="E13" s="13" t="n">
        <v>361</v>
      </c>
      <c r="F13" s="13" t="n">
        <v>22.51</v>
      </c>
      <c r="G13" s="20" t="n">
        <v>0.4232</v>
      </c>
      <c r="H13" s="21" t="n">
        <v>0.32</v>
      </c>
      <c r="I13" s="21" t="n">
        <v>93.29000000000001</v>
      </c>
    </row>
    <row r="14">
      <c r="A14" s="7" t="inlineStr">
        <is>
          <t>27</t>
        </is>
      </c>
      <c r="B14" s="27" t="n">
        <v>78.15000000000001</v>
      </c>
      <c r="C14" s="19" t="n">
        <v>8.93</v>
      </c>
      <c r="D14" s="11" t="inlineStr">
        <is>
          <t>1518 – 1895</t>
        </is>
      </c>
      <c r="E14" s="11" t="n">
        <v>377</v>
      </c>
      <c r="F14" s="11" t="n">
        <v>30.25</v>
      </c>
      <c r="G14" s="18" t="n">
        <v>0.5323</v>
      </c>
      <c r="H14" s="19" t="n">
        <v>64.75</v>
      </c>
      <c r="I14" s="19" t="n">
        <v>37.5</v>
      </c>
    </row>
    <row r="15">
      <c r="A15" s="12" t="inlineStr">
        <is>
          <t>M17B10</t>
        </is>
      </c>
      <c r="B15" s="31" t="n">
        <v>75.36</v>
      </c>
      <c r="C15" s="21" t="n">
        <v>8.609999999999999</v>
      </c>
      <c r="D15" s="13" t="inlineStr">
        <is>
          <t>466 – 902</t>
        </is>
      </c>
      <c r="E15" s="13" t="n">
        <v>436</v>
      </c>
      <c r="F15" s="13" t="n">
        <v>25.94</v>
      </c>
      <c r="G15" s="20" t="n">
        <v>0.4725</v>
      </c>
      <c r="H15" s="21" t="n">
        <v>29.2</v>
      </c>
      <c r="I15" s="21" t="n">
        <v>73.33</v>
      </c>
    </row>
    <row r="16">
      <c r="A16" s="7" t="inlineStr">
        <is>
          <t>M17B5</t>
        </is>
      </c>
      <c r="B16" s="27" t="n">
        <v>74.03</v>
      </c>
      <c r="C16" s="19" t="n">
        <v>8.460000000000001</v>
      </c>
      <c r="D16" s="11" t="inlineStr">
        <is>
          <t>794 – 1317</t>
        </is>
      </c>
      <c r="E16" s="11" t="n">
        <v>523</v>
      </c>
      <c r="F16" s="11" t="n">
        <v>27.42</v>
      </c>
      <c r="G16" s="18" t="n">
        <v>0.5482</v>
      </c>
      <c r="H16" s="19" t="n">
        <v>61.34</v>
      </c>
      <c r="I16" s="19" t="n">
        <v>28.94</v>
      </c>
    </row>
    <row r="17">
      <c r="A17" s="12" t="inlineStr">
        <is>
          <t>M17B1</t>
        </is>
      </c>
      <c r="B17" s="31" t="n">
        <v>42.45</v>
      </c>
      <c r="C17" s="21" t="n">
        <v>4.85</v>
      </c>
      <c r="D17" s="13" t="inlineStr">
        <is>
          <t>177 – 313</t>
        </is>
      </c>
      <c r="E17" s="13" t="n">
        <v>136</v>
      </c>
      <c r="F17" s="13" t="n">
        <v>14.73</v>
      </c>
      <c r="G17" s="20" t="n">
        <v>0.3323</v>
      </c>
      <c r="H17" s="21" t="n">
        <v>0</v>
      </c>
      <c r="I17" s="21" t="n">
        <v>99.84</v>
      </c>
    </row>
    <row r="18">
      <c r="A18" s="7" t="inlineStr">
        <is>
          <t>32</t>
        </is>
      </c>
      <c r="B18" s="27"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2">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1" t="n"/>
      <c r="I20" s="42" t="n"/>
    </row>
    <row r="22" ht="84" customHeight="1">
      <c r="A22" s="9" t="inlineStr">
        <is>
          <t>LECTURA INTRAMICROCUENCA. El bloque M17B4 ocupa el puesto 2 de 9 por superficie dentro de la microcuenca C1096-Q9556 (14.25 % de las 875.24 ha preliminares de la microcuenca). Su pendiente promedio (18.69 %, clase «15-25% (Fuert. inclinado)») es la 3.ª más baja de 9 y se sitúa por debajo del promedio de la microcuenca (22.85 %). Su MSAVI 2024 (0.4235) es el 6.º de 9 y queda por debajo del promedio local (0.4510). Amplitud altitudinal del bloque: 335 m (294–629 msnm). El cuadro conserva todos los bloques catalogados en la microcuenca, incluidos los descartados en el tamizaje, para referencia del conjunto. Los bloques sin ficha DT figuran con sus parámetros de gabinete. BRECHA ESPECTRAL. El 91.94 % de la superficie del bloque (114.658 ha de 124.709 ha) se sitúa bajo el umbral MSAVI 0.4976, por encima del promedio local de la microcuenca (69.38 %)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M17B4</t>
        </is>
      </c>
    </row>
    <row r="6">
      <c r="A6" s="52" t="inlineStr">
        <is>
          <t>Cruce de la ficha de campo F-DT vigente con la ficha de resumen de gabinete y el catálogo maestro. Integración 2026-09-11 20:22:35.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«C1096-Q9556».</t>
        </is>
      </c>
      <c r="D9" s="56" t="inlineStr">
        <is>
          <t>CONFORME</t>
        </is>
      </c>
      <c r="E9" s="56" t="inlineStr">
        <is>
          <t>Sin acción.</t>
        </is>
      </c>
    </row>
    <row r="10">
      <c r="A10" s="57" t="inlineStr">
        <is>
          <t>G-02</t>
        </is>
      </c>
      <c r="B10" s="57" t="inlineStr">
        <is>
          <t>UTM del punto de muestreo</t>
        </is>
      </c>
      <c r="C10" s="57" t="inlineStr">
        <is>
          <t>No es posible contrastar el punto de muestreo con el centroide: falta una de las dos coordenadas.</t>
        </is>
      </c>
      <c r="D10" s="57" t="inlineStr">
        <is>
          <t>SUSTANTIVA</t>
        </is>
      </c>
      <c r="E10" s="57" t="inlineStr">
        <is>
          <t>Debe consignarse la coordenada del punto de muestreo en F-DT-01.</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(353 msnm) cae dentro del rango altitudinal del bloque (294 - 629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(124.775 ha) se desvía 0.05 % de la superficie de catálogo (124.71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(124.709 ha) se desvía -0.00 % de la superficie de catálogo (124.71 ha).</t>
        </is>
      </c>
      <c r="D14" s="57" t="inlineStr">
        <is>
          <t>CONFORME</t>
        </is>
      </c>
      <c r="E14" s="57" t="inlineStr">
        <is>
          <t>Sin acción: la segmentación valida la geometría del bloque.</t>
        </is>
      </c>
    </row>
    <row r="15">
      <c r="A15" s="56" t="inlineStr">
        <is>
          <t>G-07</t>
        </is>
      </c>
      <c r="B15" s="56" t="inlineStr">
        <is>
          <t>Brecha espectral MSAVI</t>
        </is>
      </c>
      <c r="C15" s="56" t="inlineStr">
        <is>
          <t>El 91.94 % del bloque queda bajo el umbral 0.4976; superficie de brecha 114.66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124.71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(0.4235) cae en la clase «0.3813 - 0.4976 (Vigor bajo)» y la clase DN dominante por superficie es «DN 3 · 0.3813 - 0.4976 (Vigor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«Juan Domínguez»; la ficha de campo vigente declara «Ing. Juan Carlos Domínguez Varas».</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Correlativo de ficha</t>
        </is>
      </c>
      <c r="C20" s="57" t="inlineStr">
        <is>
          <t>El libro de resumen V6 consignaba «Sin registro en ficha»; la ficha de campo vigente declara «2».</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78.6 % de los campos esperados).</t>
        </is>
      </c>
      <c r="D21" s="56" t="inlineStr">
        <is>
          <t>CONFORME</t>
        </is>
      </c>
      <c r="E21" s="56" t="inlineStr">
        <is>
          <t>Sin acción.</t>
        </is>
      </c>
    </row>
    <row r="22">
      <c r="A22" s="57" t="inlineStr">
        <is>
          <t>F-02</t>
        </is>
      </c>
      <c r="B22" s="57" t="inlineStr">
        <is>
          <t>Cobertura de la integración</t>
        </is>
      </c>
      <c r="C22" s="57" t="inlineStr">
        <is>
          <t>Se declararon 94 de 114 hechos integrados (82.5 %); 20 quedan sin dato en ninguna fuente.</t>
        </is>
      </c>
      <c r="D22" s="57" t="inlineStr">
        <is>
          <t>CONFORME</t>
        </is>
      </c>
      <c r="E22" s="57" t="inlineStr">
        <is>
          <t>Sin acción.</t>
        </is>
      </c>
    </row>
    <row r="23">
      <c r="A23" s="56" t="inlineStr">
        <is>
          <t>H-01</t>
        </is>
      </c>
      <c r="B23" s="56" t="inlineStr">
        <is>
          <t>Rango de pendiente dominante</t>
        </is>
      </c>
      <c r="C23" s="56" t="inlineStr">
        <is>
          <t>La ficha DT declara «25-50% (Mod. escarpado)»; la estadística zonal sobre el MDE arroja una pendiente promedio de 18.69 %, que corresponde a la clase «15-25% (Fuert. inclinado)»</t>
        </is>
      </c>
      <c r="D23" s="56" t="inlineStr">
        <is>
          <t>NO SUSTANTIVA</t>
        </is>
      </c>
      <c r="E23"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7" t="inlineStr">
        <is>
          <t>H-02</t>
        </is>
      </c>
      <c r="B24" s="57" t="inlineStr">
        <is>
          <t>Dimensiones del inventario de cárcavas</t>
        </is>
      </c>
      <c r="C24" s="57" t="inlineStr">
        <is>
          <t>Se registran No inventariadas (F-DT-02 sin contenido)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5">
      <c r="A25" s="56" t="inlineStr">
        <is>
          <t>H-03</t>
        </is>
      </c>
      <c r="B25" s="56" t="inlineStr">
        <is>
          <t>Elenco florístico</t>
        </is>
      </c>
      <c r="C25" s="56" t="inlineStr">
        <is>
          <t>La ficha registra 6 taxones, por debajo del mínimo de 15 que exige el formato V5</t>
        </is>
      </c>
      <c r="D25" s="56" t="inlineStr">
        <is>
          <t>SUSTANTIVA</t>
        </is>
      </c>
      <c r="E25" s="56" t="inlineStr">
        <is>
          <t>Registro florístico preliminar, sin colecta ni determinación botánica formal. Debe cerrarse con colecta botánica en la siguiente campaña. (Verificación heredada de la ficha de resumen V6.)</t>
        </is>
      </c>
    </row>
    <row r="26">
      <c r="A26" s="57" t="inlineStr">
        <is>
          <t>H-04</t>
        </is>
      </c>
      <c r="B26" s="57" t="inlineStr">
        <is>
          <t>Representatividad del levantamiento</t>
        </is>
      </c>
      <c r="C26" s="57" t="inlineStr">
        <is>
          <t>Ninguna de las estaciones fotográficas georreferenciadas se localiza dentro del polígono del bloque</t>
        </is>
      </c>
      <c r="D26" s="57" t="inlineStr">
        <is>
          <t>SUSTANTIVA</t>
        </is>
      </c>
      <c r="E26" s="57" t="inlineStr">
        <is>
          <t>La verificación documenta el perímetro y la vista panorámica del bloque, no su interior. Los parámetros que exigen recorrido interno se consignan «Por determinar». (Verificación heredada de la ficha de resumen V6.)</t>
        </is>
      </c>
    </row>
    <row r="27">
      <c r="A27" s="56" t="inlineStr">
        <is>
          <t>H-05</t>
        </is>
      </c>
      <c r="B27" s="56" t="inlineStr">
        <is>
          <t>Centro poblado asociado</t>
        </is>
      </c>
      <c r="C27" s="56" t="inlineStr">
        <is>
          <t>La ficha DT declara «Chililique Alto»; el cruce INEI-Bloques V5 identifica 1 centro(s) poblado(s) en el bloque: CHILILIQUE ALTO</t>
        </is>
      </c>
      <c r="D27" s="56" t="inlineStr">
        <is>
          <t>CONFORME</t>
        </is>
      </c>
      <c r="E27" s="56" t="inlineStr">
        <is>
          <t>Se conserva el registro de campo como referencia y se adopta el listado INEI para el diagnóstico social y el cálculo de población beneficiaria. (Verificación heredada de la ficha de resumen V6.)</t>
        </is>
      </c>
    </row>
    <row r="28">
      <c r="A28" s="57" t="inlineStr">
        <is>
          <t>H-06</t>
        </is>
      </c>
      <c r="B28" s="57" t="inlineStr">
        <is>
          <t>Ficha DT</t>
        </is>
      </c>
      <c r="C28" s="57" t="inlineStr">
        <is>
          <t>La ficha consigna microcuenca C1076-Q9584; el catálogo maestro asigna a M17B4 la microcuenca C1096-Q9556</t>
        </is>
      </c>
      <c r="D28" s="57" t="inlineStr">
        <is>
          <t>SUSTANTIVA</t>
        </is>
      </c>
      <c r="E28" s="57" t="inlineStr">
        <is>
          <t>Valor por defecto de la plantilla; se conserva el del catálogo (Verificación heredada de la ficha de resumen V6.)</t>
        </is>
      </c>
    </row>
    <row r="29">
      <c r="A29" s="56" t="inlineStr">
        <is>
          <t>H-07</t>
        </is>
      </c>
      <c r="B29" s="56" t="inlineStr">
        <is>
          <t>Plan de Ingreso</t>
        </is>
      </c>
      <c r="C29" s="56" t="inlineStr">
        <is>
          <t>Altitud = 0 msnm (captura por defecto del aplicativo)</t>
        </is>
      </c>
      <c r="D29" s="56" t="inlineStr">
        <is>
          <t>CORREGIDO</t>
        </is>
      </c>
      <c r="E29" s="56" t="inlineStr">
        <is>
          <t>Se reemplaza por la altitud GPS de campo (353 msnm) (Verificación heredada de la ficha de resumen V6.)</t>
        </is>
      </c>
    </row>
    <row r="30">
      <c r="A30" s="57" t="inlineStr">
        <is>
          <t>H-08</t>
        </is>
      </c>
      <c r="B30" s="57" t="inlineStr">
        <is>
          <t>F-DT-01</t>
        </is>
      </c>
      <c r="C30" s="57" t="inlineStr">
        <is>
          <t>Altitud GPS 353 msnm frente a la cota media ≈230 msnm de la narrativa</t>
        </is>
      </c>
      <c r="D30" s="57" t="inlineStr">
        <is>
          <t>NO SUSTANTIVA</t>
        </is>
      </c>
      <c r="E30" s="57" t="inlineStr">
        <is>
          <t>Conciliar (Verificación heredada de la ficha de resumen V6.)</t>
        </is>
      </c>
    </row>
    <row r="31">
      <c r="A31" s="56" t="inlineStr">
        <is>
          <t>H-09</t>
        </is>
      </c>
      <c r="B31" s="56" t="inlineStr">
        <is>
          <t>F-DT-02</t>
        </is>
      </c>
      <c r="C31" s="56" t="inlineStr">
        <is>
          <t>Sección SIN CONTENIDO en el documento de origen</t>
        </is>
      </c>
      <c r="D31" s="56" t="inlineStr">
        <is>
          <t>SUSTANTIVA</t>
        </is>
      </c>
      <c r="E31" s="56" t="inlineStr">
        <is>
          <t>Levantamiento pendiente en su totalidad (Verificación heredada de la ficha de resumen V6.)</t>
        </is>
      </c>
    </row>
    <row r="32">
      <c r="A32" s="57" t="inlineStr">
        <is>
          <t>H-10</t>
        </is>
      </c>
      <c r="B32" s="57" t="inlineStr">
        <is>
          <t>F-DT-03</t>
        </is>
      </c>
      <c r="C32" s="57" t="inlineStr">
        <is>
          <t>Solo 6 taxones registrados, sin nombre científico ni familia, frente al mínimo de 15</t>
        </is>
      </c>
      <c r="D32" s="57" t="inlineStr">
        <is>
          <t>SUSTANTIVA</t>
        </is>
      </c>
      <c r="E32" s="57" t="inlineStr">
        <is>
          <t>Inventario florístico incompleto (Verificación heredada de la ficha de resumen V6.)</t>
        </is>
      </c>
    </row>
    <row r="33">
      <c r="A33" s="56" t="inlineStr">
        <is>
          <t>H-11</t>
        </is>
      </c>
      <c r="B33" s="56" t="inlineStr">
        <is>
          <t>F-DT-04</t>
        </is>
      </c>
      <c r="C33" s="56" t="inlineStr">
        <is>
          <t>Cobertura vegetal total 90% calificada «Bajo», incompatible con el umbral de la propia ficha</t>
        </is>
      </c>
      <c r="D33" s="56" t="inlineStr">
        <is>
          <t>SUSTANTIVA</t>
        </is>
      </c>
      <c r="E33" s="56" t="inlineStr">
        <is>
          <t>Recalificar (Verificación heredada de la ficha de resumen V6.)</t>
        </is>
      </c>
    </row>
    <row r="34">
      <c r="A34" s="57" t="inlineStr">
        <is>
          <t>H-12</t>
        </is>
      </c>
      <c r="B34" s="57" t="inlineStr">
        <is>
          <t>F-DT-05</t>
        </is>
      </c>
      <c r="C34" s="57" t="inlineStr">
        <is>
          <t>Inventario hídrico vacío; sin zona de recarga ni distancia a captación</t>
        </is>
      </c>
      <c r="D34" s="57" t="inlineStr">
        <is>
          <t>SUSTANTIVA</t>
        </is>
      </c>
      <c r="E34" s="57" t="inlineStr">
        <is>
          <t>Levantamiento pendiente (Verificación heredada de la ficha de resumen V6.)</t>
        </is>
      </c>
    </row>
    <row r="36">
      <c r="A36" s="58" t="inlineStr">
        <is>
          <t>RESUMEN</t>
        </is>
      </c>
      <c r="B36" s="59" t="inlineStr">
        <is>
          <t>26 verificaciones</t>
        </is>
      </c>
      <c r="C36" s="59" t="inlineStr">
        <is>
          <t>SUSTANTIVA: 9 · NO SUSTANTIVA: 3 · CORREGIDO: 3 · CONFORME: 11</t>
        </is>
      </c>
    </row>
    <row r="38">
      <c r="A3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38:E38"/>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M17B4</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Juan Domínguez</t>
        </is>
      </c>
      <c r="D9" s="56" t="inlineStr">
        <is>
          <t>Ing. Juan Carlos Domínguez Varas</t>
        </is>
      </c>
      <c r="E9" s="56" t="inlineStr">
        <is>
          <t>Dato de campo</t>
        </is>
      </c>
    </row>
    <row r="10">
      <c r="A10" s="57" t="inlineStr">
        <is>
          <t>8. Responsable y modalidad de la evaluación</t>
        </is>
      </c>
      <c r="B10" s="57" t="inlineStr">
        <is>
          <t>Correlativo de ficha</t>
        </is>
      </c>
      <c r="C10" s="57" t="inlineStr">
        <is>
          <t>Sin registro en ficha</t>
        </is>
      </c>
      <c r="D10" s="57" t="inlineStr">
        <is>
          <t>2</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2. Parámetros físicos del terreno</t>
        </is>
      </c>
      <c r="B14" s="56" t="inlineStr">
        <is>
          <t>Altitud GPS del punto de muestreo (msnm)</t>
        </is>
      </c>
      <c r="C14" s="56" t="inlineStr">
        <is>
          <t>353</t>
        </is>
      </c>
      <c r="D14" s="56" t="inlineStr">
        <is>
          <t>msnm</t>
        </is>
      </c>
    </row>
    <row r="15">
      <c r="A15" s="57" t="inlineStr">
        <is>
          <t>2. Parámetros físicos del terreno</t>
        </is>
      </c>
      <c r="B15" s="57" t="inlineStr">
        <is>
          <t>Piso altitudinal del punto de muestreo</t>
        </is>
      </c>
      <c r="C15" s="57" t="inlineStr">
        <is>
          <t>&lt;1000 m (Yunga)</t>
        </is>
      </c>
      <c r="D15" s="57" t="inlineStr"/>
    </row>
    <row r="16">
      <c r="A16" s="56" t="inlineStr">
        <is>
          <t>2. Parámetros físicos del terreno</t>
        </is>
      </c>
      <c r="B16" s="56" t="inlineStr">
        <is>
          <t>Paisaje dominante descrito en campo</t>
        </is>
      </c>
      <c r="C16" s="56" t="inlineStr">
        <is>
          <t>Sistema de laderas convexo-cóncavas tributarias de la quebrada Q9556 (microcuenca C1096), con altitudes de 300 a 580 msnm y desniveles internos. Paisaje de colina media, dominado por bosque estacionalmente seco de colina y montaña.</t>
        </is>
      </c>
      <c r="D16" s="56" t="inlineStr"/>
    </row>
    <row r="17">
      <c r="A17" s="57" t="inlineStr">
        <is>
          <t>2. Parámetros físicos del terreno</t>
        </is>
      </c>
      <c r="B17" s="57" t="inlineStr">
        <is>
          <t>Reptación de suelo</t>
        </is>
      </c>
      <c r="C17" s="57" t="inlineStr">
        <is>
          <t>No</t>
        </is>
      </c>
      <c r="D17" s="57" t="inlineStr"/>
    </row>
    <row r="18">
      <c r="A18" s="56" t="inlineStr">
        <is>
          <t>2. Parámetros físicos del terreno</t>
        </is>
      </c>
      <c r="B18" s="56" t="inlineStr">
        <is>
          <t>Deslizamientos antiguos</t>
        </is>
      </c>
      <c r="C18" s="56" t="inlineStr">
        <is>
          <t>No</t>
        </is>
      </c>
      <c r="D18" s="56" t="inlineStr"/>
    </row>
    <row r="19">
      <c r="A19" s="57" t="inlineStr">
        <is>
          <t>5. Ecosistema, cobertura y flora (F-DT-03)</t>
        </is>
      </c>
      <c r="B19" s="57" t="inlineStr">
        <is>
          <t>Cobertura del dosel (%)</t>
        </is>
      </c>
      <c r="C19" s="57" t="inlineStr">
        <is>
          <t>90</t>
        </is>
      </c>
      <c r="D19" s="57" t="inlineStr">
        <is>
          <t>%</t>
        </is>
      </c>
    </row>
    <row r="20">
      <c r="A20" s="56" t="inlineStr">
        <is>
          <t>5. Ecosistema, cobertura y flora (F-DT-03)</t>
        </is>
      </c>
      <c r="B20" s="56" t="inlineStr">
        <is>
          <t>Cobertura arbustiva (%)</t>
        </is>
      </c>
      <c r="C20" s="56" t="inlineStr">
        <is>
          <t>15</t>
        </is>
      </c>
      <c r="D20" s="56" t="inlineStr">
        <is>
          <t>%</t>
        </is>
      </c>
    </row>
    <row r="21">
      <c r="A21" s="57" t="inlineStr">
        <is>
          <t>5. Ecosistema, cobertura y flora (F-DT-03)</t>
        </is>
      </c>
      <c r="B21" s="57" t="inlineStr">
        <is>
          <t>Cobertura herbácea (%)</t>
        </is>
      </c>
      <c r="C21" s="57" t="inlineStr">
        <is>
          <t>10</t>
        </is>
      </c>
      <c r="D21" s="57" t="inlineStr">
        <is>
          <t>%</t>
        </is>
      </c>
    </row>
    <row r="22">
      <c r="A22" s="56" t="inlineStr">
        <is>
          <t>5. Ecosistema, cobertura y flora (F-DT-03)</t>
        </is>
      </c>
      <c r="B22" s="56" t="inlineStr">
        <is>
          <t>Cobertura de hojarasca (%)</t>
        </is>
      </c>
      <c r="C22" s="56" t="inlineStr">
        <is>
          <t>5</t>
        </is>
      </c>
      <c r="D22" s="56" t="inlineStr">
        <is>
          <t>%</t>
        </is>
      </c>
    </row>
    <row r="23">
      <c r="A23" s="57" t="inlineStr">
        <is>
          <t>5. Ecosistema, cobertura y flora (F-DT-03)</t>
        </is>
      </c>
      <c r="B23" s="57" t="inlineStr">
        <is>
          <t>Altura del estrato dominante (m)</t>
        </is>
      </c>
      <c r="C23" s="57" t="inlineStr">
        <is>
          <t>8</t>
        </is>
      </c>
      <c r="D23" s="57" t="inlineStr">
        <is>
          <t>m</t>
        </is>
      </c>
    </row>
    <row r="24">
      <c r="A24" s="56" t="inlineStr">
        <is>
          <t>5. Ecosistema, cobertura y flora (F-DT-03)</t>
        </is>
      </c>
      <c r="B24" s="56" t="inlineStr">
        <is>
          <t>Altura máxima registrada (m)</t>
        </is>
      </c>
      <c r="C24" s="56" t="inlineStr">
        <is>
          <t>10</t>
        </is>
      </c>
      <c r="D24" s="56" t="inlineStr">
        <is>
          <t>m</t>
        </is>
      </c>
    </row>
    <row r="25">
      <c r="A25" s="57" t="inlineStr">
        <is>
          <t>5. Ecosistema, cobertura y flora (F-DT-03)</t>
        </is>
      </c>
      <c r="B25" s="57" t="inlineStr">
        <is>
          <t>DAP promedio (cm)</t>
        </is>
      </c>
      <c r="C25" s="57" t="inlineStr">
        <is>
          <t>30</t>
        </is>
      </c>
      <c r="D25" s="57" t="inlineStr">
        <is>
          <t>cm</t>
        </is>
      </c>
    </row>
    <row r="26">
      <c r="A26" s="56" t="inlineStr">
        <is>
          <t>5. Ecosistema, cobertura y flora (F-DT-03)</t>
        </is>
      </c>
      <c r="B26" s="56" t="inlineStr">
        <is>
          <t>Presencia de epífitas</t>
        </is>
      </c>
      <c r="C26" s="56" t="inlineStr">
        <is>
          <t>No</t>
        </is>
      </c>
      <c r="D26" s="56" t="inlineStr"/>
    </row>
    <row r="27">
      <c r="A27" s="57" t="inlineStr">
        <is>
          <t>5. Ecosistema, cobertura y flora (F-DT-03)</t>
        </is>
      </c>
      <c r="B27" s="57" t="inlineStr">
        <is>
          <t>Fenología dominante</t>
        </is>
      </c>
      <c r="C27" s="57" t="inlineStr">
        <is>
          <t>Floración</t>
        </is>
      </c>
      <c r="D27" s="57" t="inlineStr"/>
    </row>
    <row r="28">
      <c r="A28" s="56" t="inlineStr">
        <is>
          <t>5. Ecosistema, cobertura y flora (F-DT-03)</t>
        </is>
      </c>
      <c r="B28" s="56" t="inlineStr">
        <is>
          <t>Pendiente de la parcela (%)</t>
        </is>
      </c>
      <c r="C28" s="56" t="inlineStr">
        <is>
          <t>18.69</t>
        </is>
      </c>
      <c r="D28" s="56" t="inlineStr">
        <is>
          <t>%</t>
        </is>
      </c>
    </row>
    <row r="29">
      <c r="A29" s="57" t="inlineStr">
        <is>
          <t>5. Ecosistema, cobertura y flora (F-DT-03)</t>
        </is>
      </c>
      <c r="B29" s="57" t="inlineStr">
        <is>
          <t>Especies clave georreferenciadas</t>
        </is>
      </c>
      <c r="C29" s="57" t="inlineStr">
        <is>
          <t>3</t>
        </is>
      </c>
      <c r="D29" s="57" t="inlineStr"/>
    </row>
    <row r="30">
      <c r="A30" s="56" t="inlineStr">
        <is>
          <t>6. Degradación, causas y urgencia (F-DT-04)</t>
        </is>
      </c>
      <c r="B30" s="56" t="inlineStr">
        <is>
          <t>Causas directas de la degradación</t>
        </is>
      </c>
      <c r="C30" s="56" t="inlineStr">
        <is>
          <t>La degradación leve del ecosistema se debe principalmente a las actividades de pastoreo de ganado caprino y extracción de leña para uso doméstico; se suma la presión reciente por la expansión vial (carretera Chulucanas–Frías).</t>
        </is>
      </c>
      <c r="D30" s="56" t="inlineStr"/>
    </row>
    <row r="31">
      <c r="A31" s="57" t="inlineStr">
        <is>
          <t>6. Degradación, causas y urgencia (F-DT-04)</t>
        </is>
      </c>
      <c r="B31" s="57" t="inlineStr">
        <is>
          <t>N.° de causas activas en la matriz F-DT-04</t>
        </is>
      </c>
      <c r="C31" s="57" t="inlineStr">
        <is>
          <t>3</t>
        </is>
      </c>
      <c r="D31" s="57" t="inlineStr"/>
    </row>
    <row r="32">
      <c r="A32" s="56" t="inlineStr">
        <is>
          <t>7. Hidrología, acceso y logística (F-DT-05)</t>
        </is>
      </c>
      <c r="B32" s="56" t="inlineStr">
        <is>
          <t>Escorrentía concentrada</t>
        </is>
      </c>
      <c r="C32" s="56" t="inlineStr">
        <is>
          <t>No</t>
        </is>
      </c>
      <c r="D32" s="56" t="inlineStr"/>
    </row>
    <row r="33">
      <c r="A33" s="57" t="inlineStr">
        <is>
          <t>7. Hidrología, acceso y logística (F-DT-05)</t>
        </is>
      </c>
      <c r="B33" s="57" t="inlineStr">
        <is>
          <t>Interferencia con riego</t>
        </is>
      </c>
      <c r="C33" s="57" t="inlineStr">
        <is>
          <t>No</t>
        </is>
      </c>
      <c r="D33" s="57" t="inlineStr"/>
    </row>
    <row r="34">
      <c r="A34" s="56" t="inlineStr">
        <is>
          <t>7. Hidrología, acceso y logística (F-DT-05)</t>
        </is>
      </c>
      <c r="B34" s="56" t="inlineStr">
        <is>
          <t>Vía principal de acceso</t>
        </is>
      </c>
      <c r="C34" s="56" t="inlineStr">
        <is>
          <t>Carretera Chulucanas – Frías (en construcción) y trocha carrozable de acceso final</t>
        </is>
      </c>
      <c r="D34" s="56" t="inlineStr"/>
    </row>
    <row r="35">
      <c r="A35" s="57" t="inlineStr">
        <is>
          <t>7. Hidrología, acceso y logística (F-DT-05)</t>
        </is>
      </c>
      <c r="B35" s="57" t="inlineStr">
        <is>
          <t>Tipo de vía del tramo final</t>
        </is>
      </c>
      <c r="C35" s="57" t="inlineStr">
        <is>
          <t>Trocha carrozable</t>
        </is>
      </c>
      <c r="D35" s="57" t="inlineStr"/>
    </row>
    <row r="36">
      <c r="A36" s="56" t="inlineStr">
        <is>
          <t>7. Hidrología, acceso y logística (F-DT-05)</t>
        </is>
      </c>
      <c r="B36" s="56" t="inlineStr">
        <is>
          <t>Transitabilidad en época seca</t>
        </is>
      </c>
      <c r="C36" s="56" t="inlineStr">
        <is>
          <t>Alto</t>
        </is>
      </c>
      <c r="D36" s="56" t="inlineStr"/>
    </row>
    <row r="37">
      <c r="A37" s="57" t="inlineStr">
        <is>
          <t>7. Hidrología, acceso y logística (F-DT-05)</t>
        </is>
      </c>
      <c r="B37" s="57" t="inlineStr">
        <is>
          <t>Transitabilidad en época lluviosa</t>
        </is>
      </c>
      <c r="C37" s="57" t="inlineStr">
        <is>
          <t>Medio</t>
        </is>
      </c>
      <c r="D37" s="57" t="inlineStr"/>
    </row>
    <row r="38">
      <c r="A38" s="56" t="inlineStr">
        <is>
          <t>7. Hidrología, acceso y logística (F-DT-05)</t>
        </is>
      </c>
      <c r="B38" s="56" t="inlineStr">
        <is>
          <t>Tiempo a la capital distrital (min)</t>
        </is>
      </c>
      <c r="C38" s="56" t="inlineStr">
        <is>
          <t>20</t>
        </is>
      </c>
      <c r="D38" s="56" t="inlineStr">
        <is>
          <t>min</t>
        </is>
      </c>
    </row>
    <row r="39">
      <c r="A39" s="57" t="inlineStr">
        <is>
          <t>7. Hidrología, acceso y logística (F-DT-05)</t>
        </is>
      </c>
      <c r="B39" s="57" t="inlineStr">
        <is>
          <t>Señal celular</t>
        </is>
      </c>
      <c r="C39" s="57" t="inlineStr">
        <is>
          <t>Parcial</t>
        </is>
      </c>
      <c r="D39" s="57" t="inlineStr"/>
    </row>
    <row r="40">
      <c r="A40" s="56" t="inlineStr">
        <is>
          <t>7. Hidrología, acceso y logística (F-DT-05)</t>
        </is>
      </c>
      <c r="B40" s="56" t="inlineStr">
        <is>
          <t>Operador con cobertura</t>
        </is>
      </c>
      <c r="C40" s="56" t="inlineStr">
        <is>
          <t>Bitel</t>
        </is>
      </c>
      <c r="D40" s="56" t="inlineStr"/>
    </row>
    <row r="41">
      <c r="A41" s="57" t="inlineStr">
        <is>
          <t>7. Hidrología, acceso y logística (F-DT-05)</t>
        </is>
      </c>
      <c r="B41" s="57" t="inlineStr">
        <is>
          <t>Alojamiento disponible en la zona</t>
        </is>
      </c>
      <c r="C41" s="57" t="inlineStr">
        <is>
          <t>No</t>
        </is>
      </c>
      <c r="D41" s="57" t="inlineStr"/>
    </row>
    <row r="43">
      <c r="A43" s="54" t="inlineStr">
        <is>
          <t>C. PROCEDENCIA DE LOS HECHOS DECLARADOS</t>
        </is>
      </c>
    </row>
    <row r="44">
      <c r="A44" s="55" t="inlineStr">
        <is>
          <t>Fuente</t>
        </is>
      </c>
      <c r="B44" s="55" t="inlineStr">
        <is>
          <t>Hechos</t>
        </is>
      </c>
      <c r="C44" s="55" t="inlineStr">
        <is>
          <t>Alcance de la fuente</t>
        </is>
      </c>
    </row>
    <row r="45">
      <c r="A45" s="56" t="inlineStr">
        <is>
          <t>Dato de campo</t>
        </is>
      </c>
      <c r="B45" s="56" t="n">
        <v>53</v>
      </c>
      <c r="C45" s="56" t="inlineStr">
        <is>
          <t>Verificación en campo. Fichas F-DT-01 a F-DT-05 de la Plantilla DT Campo Check Validada V5, suscritas por el evaluador.</t>
        </is>
      </c>
    </row>
    <row r="46">
      <c r="A46" s="57" t="inlineStr">
        <is>
          <t>Gabinete (GIS / teledetección)</t>
        </is>
      </c>
      <c r="B46" s="57" t="n">
        <v>27</v>
      </c>
      <c r="C46" s="57" t="inlineStr">
        <is>
          <t>Gabinete. Estadística zonal sobre el MDE y compuestos Sentinel-2 (NDVI mediana 2025, MSAVI 2024 por clase DN).</t>
        </is>
      </c>
    </row>
    <row r="47">
      <c r="A47" s="56" t="inlineStr">
        <is>
          <t>Fuente oficial</t>
        </is>
      </c>
      <c r="B47" s="56" t="n">
        <v>14</v>
      </c>
      <c r="C47" s="56" t="inlineStr">
        <is>
          <t>Fuente oficial. Catálogo maestro Bloques V5/V6, división política INEI y codificación de microcuencas de la ANA.</t>
        </is>
      </c>
    </row>
    <row r="49">
      <c r="A49" s="54" t="inlineStr">
        <is>
          <t>D. ESTADO DEL CRUCE ENTRE FUENTES</t>
        </is>
      </c>
    </row>
    <row r="50">
      <c r="A50" s="55" t="inlineStr">
        <is>
          <t>Estado</t>
        </is>
      </c>
      <c r="B50" s="55" t="inlineStr">
        <is>
          <t>Hechos</t>
        </is>
      </c>
      <c r="C50" s="55" t="inlineStr">
        <is>
          <t>Significado</t>
        </is>
      </c>
    </row>
    <row r="51">
      <c r="A51" s="56" t="inlineStr">
        <is>
          <t>CONFORME</t>
        </is>
      </c>
      <c r="B51" s="56" t="n">
        <v>87</v>
      </c>
      <c r="C51" s="56" t="inlineStr">
        <is>
          <t>Las dos fuentes declaran lo mismo, o solo la fuente que manda sobre el hecho lo declara.</t>
        </is>
      </c>
    </row>
    <row r="52">
      <c r="A52" s="57" t="inlineStr">
        <is>
          <t>COMPLEMENTADO</t>
        </is>
      </c>
      <c r="B52" s="57" t="n">
        <v>5</v>
      </c>
      <c r="C52" s="57" t="inlineStr">
        <is>
          <t>Solo una de las fuentes lo declara y se adopta ese valor.</t>
        </is>
      </c>
    </row>
    <row r="53">
      <c r="A53" s="56" t="inlineStr">
        <is>
          <t>ACTUALIZADO</t>
        </is>
      </c>
      <c r="B53" s="56" t="n">
        <v>2</v>
      </c>
      <c r="C53" s="56" t="inlineStr">
        <is>
          <t>La verificación de campo vigente corrige lo que traía el libro de resumen.</t>
        </is>
      </c>
    </row>
    <row r="54">
      <c r="A54" s="57" t="inlineStr">
        <is>
          <t>DISCREPANTE</t>
        </is>
      </c>
      <c r="B54" s="57" t="n">
        <v>0</v>
      </c>
      <c r="C54" s="57" t="inlineStr">
        <is>
          <t>Las fuentes se contradicen; prevalece la que manda sobre el hecho y la otra queda declarada.</t>
        </is>
      </c>
    </row>
    <row r="55">
      <c r="A55" s="56" t="inlineStr">
        <is>
          <t>PENDIENTE</t>
        </is>
      </c>
      <c r="B55" s="56" t="n">
        <v>20</v>
      </c>
      <c r="C5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M17B4</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Vachellia macracantha</t>
        </is>
      </c>
      <c r="D13" s="56" t="inlineStr">
        <is>
          <t>Fabaceae</t>
        </is>
      </c>
      <c r="E13" s="56" t="inlineStr">
        <is>
          <t>Arbóreo bajo (4-8 m)</t>
        </is>
      </c>
      <c r="F13" s="56" t="inlineStr">
        <is>
          <t>Nativa</t>
        </is>
      </c>
      <c r="G13" s="56" t="inlineStr">
        <is>
          <t>Frecuente (5-20%)</t>
        </is>
      </c>
      <c r="H13" s="61" t="n">
        <v>25</v>
      </c>
      <c r="I13" s="62" t="n">
        <v>5</v>
      </c>
    </row>
    <row r="14">
      <c r="A14" s="57" t="inlineStr">
        <is>
          <t>2</t>
        </is>
      </c>
      <c r="B14" s="57" t="inlineStr">
        <is>
          <t>Pasallo</t>
        </is>
      </c>
      <c r="C14" s="57" t="inlineStr">
        <is>
          <t>Eriotheca ruizii</t>
        </is>
      </c>
      <c r="D14" s="57" t="inlineStr">
        <is>
          <t>Malvaceae</t>
        </is>
      </c>
      <c r="E14" s="57" t="inlineStr">
        <is>
          <t>Arbóreo bajo (4-8 m)</t>
        </is>
      </c>
      <c r="F14" s="57" t="inlineStr">
        <is>
          <t>Nativa</t>
        </is>
      </c>
      <c r="G14" s="57" t="inlineStr">
        <is>
          <t>Frecuente (5-20%)</t>
        </is>
      </c>
      <c r="H14" s="63" t="n">
        <v>30</v>
      </c>
      <c r="I14" s="64" t="n">
        <v>8</v>
      </c>
    </row>
    <row r="15">
      <c r="A15" s="56" t="inlineStr">
        <is>
          <t>3</t>
        </is>
      </c>
      <c r="B15" s="56" t="inlineStr">
        <is>
          <t>Hualtaco</t>
        </is>
      </c>
      <c r="C15" s="56" t="inlineStr">
        <is>
          <t>Loxopterygium huasango</t>
        </is>
      </c>
      <c r="D15" s="56" t="inlineStr">
        <is>
          <t>Anacardiaceae</t>
        </is>
      </c>
      <c r="E15" s="56" t="inlineStr">
        <is>
          <t>Arbóreo bajo (4-8 m)</t>
        </is>
      </c>
      <c r="F15" s="56" t="inlineStr">
        <is>
          <t>Nativa</t>
        </is>
      </c>
      <c r="G15" s="56" t="inlineStr">
        <is>
          <t>Frecuente (5-20%)</t>
        </is>
      </c>
      <c r="H15" s="61" t="n">
        <v>30</v>
      </c>
      <c r="I15" s="62" t="n">
        <v>8</v>
      </c>
    </row>
    <row r="16">
      <c r="A16" s="57" t="inlineStr">
        <is>
          <t>4</t>
        </is>
      </c>
      <c r="B16" s="57" t="inlineStr">
        <is>
          <t>Palo santo</t>
        </is>
      </c>
      <c r="C16" s="57" t="inlineStr">
        <is>
          <t>Bursera graveolens</t>
        </is>
      </c>
      <c r="D16" s="57" t="inlineStr">
        <is>
          <t>Burseraceae</t>
        </is>
      </c>
      <c r="E16" s="57" t="inlineStr">
        <is>
          <t>Arbóreo bajo (4-8 m)</t>
        </is>
      </c>
      <c r="F16" s="57" t="inlineStr">
        <is>
          <t>Nativa</t>
        </is>
      </c>
      <c r="G16" s="57" t="inlineStr">
        <is>
          <t>Frecuente (5-20%)</t>
        </is>
      </c>
      <c r="H16" s="63" t="n">
        <v>25</v>
      </c>
      <c r="I16" s="64" t="n">
        <v>6</v>
      </c>
    </row>
    <row r="17">
      <c r="A17" s="56" t="inlineStr">
        <is>
          <t>5</t>
        </is>
      </c>
      <c r="B17" s="56" t="inlineStr">
        <is>
          <t>Charán</t>
        </is>
      </c>
      <c r="C17" s="56" t="inlineStr">
        <is>
          <t>Caesalpinia paipai</t>
        </is>
      </c>
      <c r="D17" s="56" t="inlineStr">
        <is>
          <t>Fabaceae</t>
        </is>
      </c>
      <c r="E17" s="56" t="inlineStr">
        <is>
          <t>Arbustivo alto (1.5-4 m)</t>
        </is>
      </c>
      <c r="F17" s="56" t="inlineStr">
        <is>
          <t>Nativa</t>
        </is>
      </c>
      <c r="G17" s="56" t="inlineStr">
        <is>
          <t>Frecuente (5-20%)</t>
        </is>
      </c>
      <c r="H17" s="61" t="n">
        <v>15</v>
      </c>
      <c r="I17" s="62" t="n">
        <v>4</v>
      </c>
    </row>
    <row r="18">
      <c r="A18" s="57" t="inlineStr">
        <is>
          <t>6</t>
        </is>
      </c>
      <c r="B18" s="57" t="inlineStr">
        <is>
          <t>Overo</t>
        </is>
      </c>
      <c r="C18" s="57" t="inlineStr">
        <is>
          <t>Cordia lutea</t>
        </is>
      </c>
      <c r="D18" s="57" t="inlineStr">
        <is>
          <t>Boraginaceae</t>
        </is>
      </c>
      <c r="E18" s="57" t="inlineStr">
        <is>
          <t>Arbustivo alto (1.5-4 m)</t>
        </is>
      </c>
      <c r="F18" s="57" t="inlineStr">
        <is>
          <t>Nativa</t>
        </is>
      </c>
      <c r="G18" s="57" t="inlineStr">
        <is>
          <t>Frecuente (5-20%)</t>
        </is>
      </c>
      <c r="H18" s="63" t="n">
        <v>10</v>
      </c>
      <c r="I18" s="64" t="n">
        <v>3</v>
      </c>
    </row>
    <row r="20">
      <c r="A20" s="54" t="inlineStr">
        <is>
          <t>F-DT-03 · ESPECIES CLAVE GEORREFERENCIADAS</t>
        </is>
      </c>
    </row>
    <row r="21">
      <c r="A21" s="55" t="inlineStr">
        <is>
          <t>N.o</t>
        </is>
      </c>
      <c r="B21" s="55" t="inlineStr">
        <is>
          <t>Especie</t>
        </is>
      </c>
      <c r="C21" s="55" t="inlineStr">
        <is>
          <t>Categoría</t>
        </is>
      </c>
      <c r="D21" s="55" t="inlineStr">
        <is>
          <t>Estado UICN</t>
        </is>
      </c>
      <c r="E21" s="55" t="inlineStr">
        <is>
          <t>UTM ESTE</t>
        </is>
      </c>
      <c r="F21" s="55" t="inlineStr">
        <is>
          <t>UTM NORTE</t>
        </is>
      </c>
      <c r="G21" s="55" t="inlineStr">
        <is>
          <t>N.° individuos</t>
        </is>
      </c>
      <c r="H21" s="55" t="inlineStr">
        <is>
          <t>Observación</t>
        </is>
      </c>
    </row>
    <row r="22">
      <c r="A22" s="56" t="inlineStr">
        <is>
          <t>1</t>
        </is>
      </c>
      <c r="B22" s="56" t="inlineStr">
        <is>
          <t>Hualtaco (Loxopterygium huasango)</t>
        </is>
      </c>
      <c r="C22" s="56" t="inlineStr">
        <is>
          <t>Amenazada (D.S. 043-2006-AG)</t>
        </is>
      </c>
      <c r="D22" s="56" t="inlineStr">
        <is>
          <t>VU — Vulnerable</t>
        </is>
      </c>
      <c r="E22" s="56" t="n"/>
      <c r="F22" s="56" t="n"/>
      <c r="G22" s="56" t="n"/>
      <c r="H22" s="56" t="inlineStr">
        <is>
          <t>Abundancia frecuente; bloque con alto valor como fuente semillera.</t>
        </is>
      </c>
    </row>
    <row r="23">
      <c r="A23" s="57" t="inlineStr">
        <is>
          <t>2</t>
        </is>
      </c>
      <c r="B23" s="57" t="inlineStr">
        <is>
          <t>Palo santo (Bursera graveolens)</t>
        </is>
      </c>
      <c r="C23" s="57" t="inlineStr">
        <is>
          <t>Amenazada (D.S. 043-2006-AG)</t>
        </is>
      </c>
      <c r="D23" s="57" t="inlineStr">
        <is>
          <t>NT — Casi Amenazado</t>
        </is>
      </c>
      <c r="E23" s="57" t="n"/>
      <c r="F23" s="57" t="n"/>
      <c r="G23" s="57" t="n"/>
      <c r="H23" s="57" t="inlineStr">
        <is>
          <t>Abundancia frecuente; indicador de buen estado del Bes-cm.</t>
        </is>
      </c>
    </row>
    <row r="24">
      <c r="A24" s="56" t="inlineStr">
        <is>
          <t>3</t>
        </is>
      </c>
      <c r="B24" s="56" t="inlineStr">
        <is>
          <t>Pasallo (Eriotheca ruizii)</t>
        </is>
      </c>
      <c r="C24" s="56" t="inlineStr">
        <is>
          <t>Indicadora de buen estado</t>
        </is>
      </c>
      <c r="D24" s="56" t="inlineStr">
        <is>
          <t>No aplica</t>
        </is>
      </c>
      <c r="E24" s="56" t="n"/>
      <c r="F24" s="56" t="n"/>
      <c r="G24" s="56" t="n"/>
      <c r="H24" s="56" t="inlineStr">
        <is>
          <t>Estructura arbórea con DAP hasta 30 cm.</t>
        </is>
      </c>
    </row>
    <row r="26">
      <c r="A26" s="54" t="inlineStr">
        <is>
          <t>F-DT-04 · MATRIZ DE CAUSAS DE DEGRADACIÓN</t>
        </is>
      </c>
    </row>
    <row r="27">
      <c r="A27" s="55" t="inlineStr">
        <is>
          <t>N.o</t>
        </is>
      </c>
      <c r="B27" s="55" t="inlineStr">
        <is>
          <t>Causa</t>
        </is>
      </c>
      <c r="C27" s="55" t="inlineStr">
        <is>
          <t>Presencia</t>
        </is>
      </c>
      <c r="D27" s="55" t="inlineStr">
        <is>
          <t>Intensidad</t>
        </is>
      </c>
      <c r="E27" s="55" t="inlineStr">
        <is>
          <t>Extensión</t>
        </is>
      </c>
      <c r="F27" s="55" t="inlineStr">
        <is>
          <t>Antigüedad</t>
        </is>
      </c>
      <c r="G27" s="55" t="inlineStr">
        <is>
          <t>Evidencia</t>
        </is>
      </c>
    </row>
    <row r="28">
      <c r="A28" s="56" t="inlineStr">
        <is>
          <t>1</t>
        </is>
      </c>
      <c r="B28" s="56" t="inlineStr">
        <is>
          <t>Sobrepastoreo (caprino/vacuno)</t>
        </is>
      </c>
      <c r="C28" s="56" t="inlineStr">
        <is>
          <t>Sí</t>
        </is>
      </c>
      <c r="D28" s="56" t="inlineStr">
        <is>
          <t>Ligera</t>
        </is>
      </c>
      <c r="E28" s="56" t="inlineStr">
        <is>
          <t>15</t>
        </is>
      </c>
      <c r="F28" s="56" t="inlineStr">
        <is>
          <t>30</t>
        </is>
      </c>
      <c r="G28" s="56" t="inlineStr">
        <is>
          <t>Se observó ganado caprino.</t>
        </is>
      </c>
    </row>
    <row r="29">
      <c r="A29" s="57" t="inlineStr">
        <is>
          <t>2</t>
        </is>
      </c>
      <c r="B29" s="57" t="inlineStr">
        <is>
          <t>Tala para leña</t>
        </is>
      </c>
      <c r="C29" s="57" t="inlineStr">
        <is>
          <t>Sí</t>
        </is>
      </c>
      <c r="D29" s="57" t="inlineStr">
        <is>
          <t>Ligera</t>
        </is>
      </c>
      <c r="E29" s="57" t="inlineStr">
        <is>
          <t>5</t>
        </is>
      </c>
      <c r="F29" s="57" t="inlineStr">
        <is>
          <t>30</t>
        </is>
      </c>
      <c r="G29" s="57" t="inlineStr">
        <is>
          <t>Se observó leña apilada.</t>
        </is>
      </c>
    </row>
    <row r="30">
      <c r="A30" s="56" t="inlineStr">
        <is>
          <t>3</t>
        </is>
      </c>
      <c r="B30" s="56" t="inlineStr">
        <is>
          <t>Tala para carbón</t>
        </is>
      </c>
      <c r="C30" s="56" t="inlineStr"/>
      <c r="D30" s="56" t="inlineStr"/>
      <c r="E30" s="56" t="inlineStr"/>
      <c r="F30" s="56" t="inlineStr"/>
      <c r="G30" s="56" t="inlineStr"/>
    </row>
    <row r="31">
      <c r="A31" s="57" t="inlineStr">
        <is>
          <t>4</t>
        </is>
      </c>
      <c r="B31" s="57" t="inlineStr">
        <is>
          <t>Tala para madera</t>
        </is>
      </c>
      <c r="C31" s="57" t="inlineStr"/>
      <c r="D31" s="57" t="inlineStr"/>
      <c r="E31" s="57" t="inlineStr"/>
      <c r="F31" s="57" t="inlineStr"/>
      <c r="G31" s="57" t="inlineStr"/>
    </row>
    <row r="32">
      <c r="A32" s="56" t="inlineStr">
        <is>
          <t>5</t>
        </is>
      </c>
      <c r="B32" s="56" t="inlineStr">
        <is>
          <t>Quema (renovación de pastos)</t>
        </is>
      </c>
      <c r="C32" s="56" t="inlineStr"/>
      <c r="D32" s="56" t="inlineStr"/>
      <c r="E32" s="56" t="inlineStr"/>
      <c r="F32" s="56" t="inlineStr"/>
      <c r="G32" s="56" t="inlineStr"/>
    </row>
    <row r="33">
      <c r="A33" s="57" t="inlineStr">
        <is>
          <t>6</t>
        </is>
      </c>
      <c r="B33" s="57" t="inlineStr">
        <is>
          <t>Quema accidental / Incendio</t>
        </is>
      </c>
      <c r="C33" s="57" t="inlineStr"/>
      <c r="D33" s="57" t="inlineStr"/>
      <c r="E33" s="57" t="inlineStr"/>
      <c r="F33" s="57" t="inlineStr"/>
      <c r="G33" s="57" t="inlineStr"/>
    </row>
    <row r="34">
      <c r="A34" s="56" t="inlineStr">
        <is>
          <t>7</t>
        </is>
      </c>
      <c r="B34" s="56" t="inlineStr">
        <is>
          <t>Cambio de uso a agricultura</t>
        </is>
      </c>
      <c r="C34" s="56" t="inlineStr"/>
      <c r="D34" s="56" t="inlineStr"/>
      <c r="E34" s="56" t="inlineStr"/>
      <c r="F34" s="56" t="inlineStr"/>
      <c r="G34" s="56" t="inlineStr"/>
    </row>
    <row r="35">
      <c r="A35" s="57" t="inlineStr">
        <is>
          <t>8</t>
        </is>
      </c>
      <c r="B35" s="57" t="inlineStr">
        <is>
          <t>Cambio de uso a pastoreo</t>
        </is>
      </c>
      <c r="C35" s="57" t="inlineStr"/>
      <c r="D35" s="57" t="inlineStr"/>
      <c r="E35" s="57" t="inlineStr"/>
      <c r="F35" s="57" t="inlineStr"/>
      <c r="G35" s="57" t="inlineStr"/>
    </row>
    <row r="36">
      <c r="A36" s="56" t="inlineStr">
        <is>
          <t>9</t>
        </is>
      </c>
      <c r="B36" s="56" t="inlineStr">
        <is>
          <t>Expansión urbana / vial</t>
        </is>
      </c>
      <c r="C36" s="56" t="inlineStr">
        <is>
          <t>Sí</t>
        </is>
      </c>
      <c r="D36" s="56" t="inlineStr">
        <is>
          <t>Ligera</t>
        </is>
      </c>
      <c r="E36" s="56" t="inlineStr">
        <is>
          <t>5</t>
        </is>
      </c>
      <c r="F36" s="56" t="inlineStr">
        <is>
          <t>5</t>
        </is>
      </c>
      <c r="G36" s="56" t="inlineStr">
        <is>
          <t>Construcción de la carretera Chulucanas–Frías: perfilado de taludes, ensanchamiento de vía y tránsito de maquinaria pesada.</t>
        </is>
      </c>
    </row>
    <row r="37">
      <c r="A37" s="57" t="inlineStr">
        <is>
          <t>10</t>
        </is>
      </c>
      <c r="B37" s="57" t="inlineStr">
        <is>
          <t>Minería informal</t>
        </is>
      </c>
      <c r="C37" s="57" t="inlineStr"/>
      <c r="D37" s="57" t="inlineStr"/>
      <c r="E37" s="57" t="inlineStr"/>
      <c r="F37" s="57" t="inlineStr"/>
      <c r="G37" s="57" t="inlineStr"/>
    </row>
    <row r="38">
      <c r="A38" s="56" t="inlineStr">
        <is>
          <t>11</t>
        </is>
      </c>
      <c r="B38" s="56" t="inlineStr">
        <is>
          <t>Extracción de áridos (cauces)</t>
        </is>
      </c>
      <c r="C38" s="56" t="inlineStr"/>
      <c r="D38" s="56" t="inlineStr"/>
      <c r="E38" s="56" t="inlineStr"/>
      <c r="F38" s="56" t="inlineStr"/>
      <c r="G38" s="56" t="inlineStr"/>
    </row>
    <row r="39">
      <c r="A39" s="57" t="inlineStr">
        <is>
          <t>12</t>
        </is>
      </c>
      <c r="B39" s="57" t="inlineStr">
        <is>
          <t>Especies invasoras</t>
        </is>
      </c>
      <c r="C39" s="57" t="inlineStr"/>
      <c r="D39" s="57" t="inlineStr"/>
      <c r="E39" s="57" t="inlineStr"/>
      <c r="F39" s="57" t="inlineStr"/>
      <c r="G39" s="57" t="inlineStr"/>
    </row>
    <row r="40">
      <c r="A40" s="56" t="inlineStr">
        <is>
          <t>13</t>
        </is>
      </c>
      <c r="B40" s="56" t="inlineStr">
        <is>
          <t>Erosión natural severa</t>
        </is>
      </c>
      <c r="C40" s="56" t="inlineStr"/>
      <c r="D40" s="56" t="inlineStr"/>
      <c r="E40" s="56" t="inlineStr"/>
      <c r="F40" s="56" t="inlineStr"/>
      <c r="G40" s="56" t="inlineStr"/>
    </row>
    <row r="41">
      <c r="A41" s="57" t="inlineStr">
        <is>
          <t>14</t>
        </is>
      </c>
      <c r="B41" s="57" t="inlineStr">
        <is>
          <t>Sequía prolongada / CC</t>
        </is>
      </c>
      <c r="C41" s="57" t="inlineStr"/>
      <c r="D41" s="57" t="inlineStr"/>
      <c r="E41" s="57" t="inlineStr"/>
      <c r="F41" s="57" t="inlineStr"/>
      <c r="G41" s="57" t="inlineStr"/>
    </row>
    <row r="42">
      <c r="A42" s="56" t="inlineStr">
        <is>
          <t>15</t>
        </is>
      </c>
      <c r="B42" s="56" t="inlineStr">
        <is>
          <t>Plagas o enfermedades forestales</t>
        </is>
      </c>
      <c r="C42" s="56" t="inlineStr"/>
      <c r="D42" s="56" t="inlineStr"/>
      <c r="E42" s="56" t="inlineStr"/>
      <c r="F42" s="56" t="inlineStr"/>
      <c r="G42" s="56" t="inlineStr"/>
    </row>
    <row r="43">
      <c r="A43" s="57" t="inlineStr">
        <is>
          <t>16</t>
        </is>
      </c>
      <c r="B43" s="57" t="inlineStr">
        <is>
          <t>Otro</t>
        </is>
      </c>
      <c r="C43" s="57" t="inlineStr"/>
      <c r="D43" s="57" t="inlineStr"/>
      <c r="E43" s="57" t="inlineStr"/>
      <c r="F43" s="57" t="inlineStr"/>
      <c r="G43" s="57" t="inlineStr"/>
    </row>
    <row r="45">
      <c r="A45" s="54" t="inlineStr">
        <is>
          <t>F-DT-04 · INDICADORES CUANTITATIVOS</t>
        </is>
      </c>
    </row>
    <row r="46">
      <c r="A46" s="55" t="inlineStr">
        <is>
          <t>N.o</t>
        </is>
      </c>
      <c r="B46" s="55" t="inlineStr">
        <is>
          <t>Indicador</t>
        </is>
      </c>
      <c r="C46" s="55" t="inlineStr">
        <is>
          <t>Unidad</t>
        </is>
      </c>
      <c r="D46" s="55" t="inlineStr">
        <is>
          <t>Valor</t>
        </is>
      </c>
      <c r="E46" s="55" t="inlineStr">
        <is>
          <t>Fuente</t>
        </is>
      </c>
      <c r="F46" s="55" t="inlineStr">
        <is>
          <t>Umbral</t>
        </is>
      </c>
      <c r="G46" s="55" t="inlineStr">
        <is>
          <t>Nivel</t>
        </is>
      </c>
    </row>
    <row r="47">
      <c r="A47" s="56" t="inlineStr">
        <is>
          <t>1</t>
        </is>
      </c>
      <c r="B47" s="56" t="inlineStr">
        <is>
          <t>Cobertura vegetal total</t>
        </is>
      </c>
      <c r="C47" s="56" t="inlineStr">
        <is>
          <t>%</t>
        </is>
      </c>
      <c r="D47" s="56" t="inlineStr">
        <is>
          <t>90</t>
        </is>
      </c>
      <c r="E47" s="56" t="inlineStr">
        <is>
          <t>Estimación visual de campo</t>
        </is>
      </c>
      <c r="F47" s="56" t="inlineStr">
        <is>
          <t>&gt;60% bueno; 30-60% medio; &lt;30% malo</t>
        </is>
      </c>
      <c r="G47" s="56" t="inlineStr">
        <is>
          <t>Bajo</t>
        </is>
      </c>
    </row>
    <row r="48">
      <c r="A48" s="57" t="inlineStr">
        <is>
          <t>2</t>
        </is>
      </c>
      <c r="B48" s="57" t="inlineStr">
        <is>
          <t>Porcentaje de suelo desnudo</t>
        </is>
      </c>
      <c r="C48" s="57" t="inlineStr">
        <is>
          <t>%</t>
        </is>
      </c>
      <c r="D48" s="57" t="inlineStr">
        <is>
          <t>5</t>
        </is>
      </c>
      <c r="E48" s="57" t="inlineStr">
        <is>
          <t>Estimación visual de campo</t>
        </is>
      </c>
      <c r="F48" s="57" t="inlineStr">
        <is>
          <t>&lt;10% bueno; 10-30% medio; &gt;30% malo</t>
        </is>
      </c>
      <c r="G48" s="57" t="inlineStr">
        <is>
          <t>Bajo</t>
        </is>
      </c>
    </row>
    <row r="49">
      <c r="A49" s="56" t="inlineStr">
        <is>
          <t>3</t>
        </is>
      </c>
      <c r="B49" s="56" t="inlineStr">
        <is>
          <t>Densidad de cárcavas</t>
        </is>
      </c>
      <c r="C49" s="56" t="inlineStr">
        <is>
          <t>N°/ha</t>
        </is>
      </c>
      <c r="D49" s="56" t="inlineStr">
        <is>
          <t>1</t>
        </is>
      </c>
      <c r="E49" s="56" t="inlineStr">
        <is>
          <t>Estimación visual de campo</t>
        </is>
      </c>
      <c r="F49" s="56" t="inlineStr">
        <is>
          <t>0 nulo; 1-3 medio; &gt;3 alto</t>
        </is>
      </c>
      <c r="G49" s="56" t="inlineStr">
        <is>
          <t>Bajo</t>
        </is>
      </c>
    </row>
    <row r="50">
      <c r="A50" s="57" t="inlineStr">
        <is>
          <t>4</t>
        </is>
      </c>
      <c r="B50" s="57" t="inlineStr">
        <is>
          <t>Presencia de especies invasoras</t>
        </is>
      </c>
      <c r="C50" s="57" t="inlineStr">
        <is>
          <t>% área</t>
        </is>
      </c>
      <c r="D50" s="57" t="inlineStr">
        <is>
          <t>0</t>
        </is>
      </c>
      <c r="E50" s="57" t="inlineStr">
        <is>
          <t>Estimación visual de campo</t>
        </is>
      </c>
      <c r="F50" s="57" t="inlineStr">
        <is>
          <t>&lt;5% bueno; 5-20% medio; &gt;20% alto</t>
        </is>
      </c>
      <c r="G50" s="57" t="inlineStr">
        <is>
          <t>Bajo</t>
        </is>
      </c>
    </row>
    <row r="51">
      <c r="A51" s="56" t="inlineStr">
        <is>
          <t>5</t>
        </is>
      </c>
      <c r="B51" s="56" t="inlineStr">
        <is>
          <t>Carga ganadera estimada</t>
        </is>
      </c>
      <c r="C51" s="56" t="inlineStr">
        <is>
          <t>UA/ha</t>
        </is>
      </c>
      <c r="D51" s="56" t="inlineStr">
        <is>
          <t>1</t>
        </is>
      </c>
      <c r="E51" s="56" t="inlineStr">
        <is>
          <t>Estimación visual de campo</t>
        </is>
      </c>
      <c r="F51" s="56" t="inlineStr">
        <is>
          <t>Según tipo de ecosistema</t>
        </is>
      </c>
      <c r="G51" s="56" t="inlineStr">
        <is>
          <t>Bajo</t>
        </is>
      </c>
    </row>
    <row r="52">
      <c r="A52" s="57" t="inlineStr">
        <is>
          <t>6</t>
        </is>
      </c>
      <c r="B52" s="57" t="inlineStr">
        <is>
          <t>Frecuencia de quemas últimos 5 años</t>
        </is>
      </c>
      <c r="C52" s="57" t="inlineStr">
        <is>
          <t>N°</t>
        </is>
      </c>
      <c r="D52" s="57" t="inlineStr">
        <is>
          <t>0</t>
        </is>
      </c>
      <c r="E52" s="57" t="inlineStr">
        <is>
          <t>Estimación visual de campo</t>
        </is>
      </c>
      <c r="F52" s="57" t="inlineStr">
        <is>
          <t>0 nulo; 1-2 medio; &gt;2 alto</t>
        </is>
      </c>
      <c r="G52" s="57" t="inlineStr">
        <is>
          <t>Bajo</t>
        </is>
      </c>
    </row>
    <row r="53">
      <c r="A53" s="56" t="inlineStr">
        <is>
          <t>7</t>
        </is>
      </c>
      <c r="B53" s="56" t="inlineStr">
        <is>
          <t>% área con pendiente &gt;50%</t>
        </is>
      </c>
      <c r="C53" s="56" t="inlineStr">
        <is>
          <t>%</t>
        </is>
      </c>
      <c r="D53" s="56" t="inlineStr">
        <is>
          <t>25</t>
        </is>
      </c>
      <c r="E53" s="56" t="inlineStr">
        <is>
          <t>Estimación visual de campo</t>
        </is>
      </c>
      <c r="F53" s="56" t="inlineStr">
        <is>
          <t>Factor de susceptibilidad</t>
        </is>
      </c>
      <c r="G53" s="56" t="inlineStr">
        <is>
          <t>Medio</t>
        </is>
      </c>
    </row>
    <row r="54">
      <c r="A54" s="57" t="inlineStr">
        <is>
          <t>8</t>
        </is>
      </c>
      <c r="B54" s="57" t="inlineStr">
        <is>
          <t>Distancia a vía vecinal más cercana</t>
        </is>
      </c>
      <c r="C54" s="57" t="inlineStr">
        <is>
          <t>m</t>
        </is>
      </c>
      <c r="D54" s="57" t="inlineStr">
        <is>
          <t>30</t>
        </is>
      </c>
      <c r="E54" s="57" t="inlineStr">
        <is>
          <t>Estimación visual de campo</t>
        </is>
      </c>
      <c r="F54" s="57" t="inlineStr">
        <is>
          <t>A menor distancia → mayor presión</t>
        </is>
      </c>
      <c r="G54" s="57" t="inlineStr">
        <is>
          <t>Alto</t>
        </is>
      </c>
    </row>
    <row r="56">
      <c r="A56" s="54" t="inlineStr">
        <is>
          <t>F-DT-05 · FUENTES DE AGUA INVENTARIADAS</t>
        </is>
      </c>
    </row>
    <row r="57">
      <c r="A57" s="55" t="inlineStr">
        <is>
          <t>N.o</t>
        </is>
      </c>
      <c r="B57" s="55" t="inlineStr">
        <is>
          <t>Tipo de fuente</t>
        </is>
      </c>
      <c r="C57" s="55" t="inlineStr">
        <is>
          <t>UTM ESTE</t>
        </is>
      </c>
      <c r="D57" s="55" t="inlineStr">
        <is>
          <t>UTM NORTE</t>
        </is>
      </c>
      <c r="E57" s="55" t="inlineStr">
        <is>
          <t>Régimen</t>
        </is>
      </c>
      <c r="F57" s="55" t="inlineStr">
        <is>
          <t>Calidad</t>
        </is>
      </c>
      <c r="G57" s="55" t="inlineStr">
        <is>
          <t>Distancia (m)</t>
        </is>
      </c>
      <c r="H57" s="55" t="inlineStr">
        <is>
          <t>Uso / observación</t>
        </is>
      </c>
    </row>
    <row r="60">
      <c r="A60" s="54" t="inlineStr">
        <is>
          <t>OBSERVACIONES DEL EVALUADOR POR FICHA</t>
        </is>
      </c>
    </row>
    <row r="61">
      <c r="A61" s="55" t="inlineStr">
        <is>
          <t>Ficha</t>
        </is>
      </c>
      <c r="B61" s="55" t="inlineStr">
        <is>
          <t>Observación registrada en campo</t>
        </is>
      </c>
    </row>
    <row r="62">
      <c r="A62" s="56" t="inlineStr">
        <is>
          <t>F-DT-01</t>
        </is>
      </c>
      <c r="B62" s="56" t="inlineStr">
        <is>
          <t>Registro de campo (03-07-2026): el bloque se caracteriza por laderas de colinas bajas, con pendientes inferiores al 60% que se vuelven progresivamente más pronunciadas a medida que se gana altitud. En el sector inferior se localizan el centro poblado menor y una vía afirmada. Hay presencia de piedras pequeñas y medianas. No se evidenciaron surcos ni cárcavas en formación; sin embargo, la erosión eólica es alta en la zona debido a las obras en la vía afirmada. El bloque bordea la vía en la cual actualmente se construye la carretera Chulucanas–Frías, con obras de perfilado de taludes y ensanchamiento de vía, además del tránsito de camiones y maquinaria pesada. || GABINETE (DEM): rango altitudinal 294–629 msnm; pendiente promedio del bloque 18.69% (clase 15–25%, fuertemente inclinado). || INCONSISTENCIAS DETECTADAS: (1) las coordenadas UTM del punto de muestreo consignadas en el aplicativo (E 645,575 / N 9,393,500) son idénticas a las de M9B1 y se ubican fuera del ámbito del bloque (centroide E 604,926 / N 9,444,327); NO SE CONSIGNAN, POR VERIFICAR. (2) La microcuenca registrada en la sección DT (C1076-Q9584) difiere de la del bloque (C1096-Q9556). (3) La observación de campo indica cota media ≈230 msnm, incompatible con el rango DEM (294–629 msnm), con la altitud GPS registrada (353 msnm) y con el propio paisaje descrito (300–580 msnm). (4) El rango de pendiente dominante de campo (25–50%) es superior a la pendiente media DEM (18.69%); se conserva el valor de campo. || PARÁMETROS GEOESPACIALES DEL BLOQUE (gabinete): rango altitudinal 294–629 msnm; pendiente promedio 18.69%; MSAVI medio 2024 = 0.4235; área 124.71 ha; microcuenca C1096-Q9556; zona Z01; centroide E 604,926 / N 9,444,327 (UTM WGS84 17S).</t>
        </is>
      </c>
    </row>
    <row r="63">
      <c r="A63" s="57" t="inlineStr">
        <is>
          <t>F-DT-02</t>
        </is>
      </c>
      <c r="B63" s="57" t="inlineStr">
        <is>
          <t>FICHA F-DT-02 NO REGISTRADA EN CAMPO. Campos de procesos erosivos vacíos para no introducir valores no verificados. Evidencia disponible: F-DT-01 consigna ausencia de surcos y cárcavas en formación, con erosión EÓLICA ALTA asociada a las obras de la carretera Chulucanas–Frías (perfilado de taludes, ensanchamiento de vía y tránsito de maquinaria pesada). F-DT-04 registra densidad de cárcavas 1 N°/ha (Bajo), suelo desnudo 5% (Bajo) y 25% del área con pendiente &gt;50% (Medio). PENDIENTE: levantamiento de F-DT-02, con atención específica a la erosión inducida por obra vial en el borde del bloque.</t>
        </is>
      </c>
    </row>
    <row r="64">
      <c r="A64" s="56" t="inlineStr">
        <is>
          <t>F-DT-04</t>
        </is>
      </c>
      <c r="B64" s="56" t="inlineStr">
        <is>
          <t>Recomendación de campo: evaluar la pertinencia de la intervención, ya que el área conserva su cobertura vegetal y el riesgo de desastre por movimiento en masa no es evidente. || VALORACIÓN TÉCNICA SESDI: la recomendación de campo no implica descarte automático. El bloque presenta el segundo MSAVI más alto de los cinco analizados (0.4235) y la mayor amplitud altitudinal (294–629 msnm), lo que lo posiciona como candidato preferente a medidas de CONSERVACIÓN Y ENRIQUECIMIENTO (no de restauración activa) y como potencial fuente semillera de hualtaco y palo santo para los bloques degradados de la misma microcuenca C1096-Q9556. La expansión vial en curso constituye un factor de presión prospectiva que justifica su incorporación con enfoque de gestión preventiva del riesgo. Decisión final de inclusión/exclusión: A DEFINIR POR EL EQUIPO FORMULADOR.</t>
        </is>
      </c>
    </row>
    <row r="65">
      <c r="A65" s="57" t="inlineStr">
        <is>
          <t>F-DT-05</t>
        </is>
      </c>
      <c r="B65" s="57" t="inlineStr">
        <is>
          <t>No se registró inventario de fuentes de agua en campo. La cartografía Google Earth (12/2023) muestra en el entorno inmediato del bloque los cuerpos de agua 'Laguna de los Mudos' y 'Laguna El Checo Chililique Alto', al norte del polígono: POR VERIFICAR su régimen, calidad, distancia al límite del bloque y uso. || POR VERIFICAR EN CAMPO: condición de zona de recarga hídrica, nombre y distancia de la captación poblacional (JASS Chililique Alto), interferencia con obras de riego y requerimiento de autorización de Ronda Campesina o de las comunidades campesinas Juan Velasco Alvarado de Chililique Alto y María Ángela Alvarado Zeta.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M17B4</t>
        </is>
      </c>
    </row>
    <row r="7">
      <c r="A7" s="54" t="inlineStr">
        <is>
          <t>Hechos declarados por fuente</t>
        </is>
      </c>
    </row>
    <row r="8">
      <c r="A8" s="55" t="inlineStr">
        <is>
          <t>Fuente</t>
        </is>
      </c>
      <c r="B8" s="55" t="inlineStr">
        <is>
          <t>Hechos</t>
        </is>
      </c>
    </row>
    <row r="9">
      <c r="A9" s="56" t="inlineStr">
        <is>
          <t>Dato de campo</t>
        </is>
      </c>
      <c r="B9" s="56" t="n">
        <v>53</v>
      </c>
    </row>
    <row r="10">
      <c r="A10" s="57" t="inlineStr">
        <is>
          <t>Gabinete (GIS / teledetección)</t>
        </is>
      </c>
      <c r="B10" s="57" t="n">
        <v>27</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87</v>
      </c>
    </row>
    <row r="31">
      <c r="A31" s="57" t="inlineStr">
        <is>
          <t>COMPLEMENTADO</t>
        </is>
      </c>
      <c r="B31" s="57" t="n">
        <v>5</v>
      </c>
    </row>
    <row r="32">
      <c r="A32" s="56" t="inlineStr">
        <is>
          <t>ACTUALIZADO</t>
        </is>
      </c>
      <c r="B32" s="56" t="n">
        <v>2</v>
      </c>
    </row>
    <row r="33">
      <c r="A33" s="57" t="inlineStr">
        <is>
          <t>DISCREPANTE</t>
        </is>
      </c>
      <c r="B33" s="57" t="n">
        <v>0</v>
      </c>
    </row>
    <row r="34">
      <c r="A34" s="56" t="inlineStr">
        <is>
          <t>PENDIENTE</t>
        </is>
      </c>
      <c r="B34" s="56" t="n">
        <v>20</v>
      </c>
    </row>
    <row r="51">
      <c r="A51" s="54" t="inlineStr">
        <is>
          <t>Cobertura por estrato — campo (%)</t>
        </is>
      </c>
    </row>
    <row r="52">
      <c r="A52" s="55" t="inlineStr">
        <is>
          <t>Estrato</t>
        </is>
      </c>
      <c r="B52" s="55" t="inlineStr">
        <is>
          <t>% del área</t>
        </is>
      </c>
    </row>
    <row r="53">
      <c r="A53" s="56" t="inlineStr">
        <is>
          <t>Dosel</t>
        </is>
      </c>
      <c r="B53" s="61" t="n">
        <v>90</v>
      </c>
    </row>
    <row r="54">
      <c r="A54" s="57" t="inlineStr">
        <is>
          <t>Arbustiva</t>
        </is>
      </c>
      <c r="B54" s="63" t="n">
        <v>15</v>
      </c>
    </row>
    <row r="55">
      <c r="A55" s="56" t="inlineStr">
        <is>
          <t>Herbácea</t>
        </is>
      </c>
      <c r="B55" s="61" t="n">
        <v>10</v>
      </c>
    </row>
    <row r="56">
      <c r="A56" s="57" t="inlineStr">
        <is>
          <t>Hojarasca</t>
        </is>
      </c>
      <c r="B56" s="64" t="n">
        <v>5</v>
      </c>
    </row>
    <row r="57">
      <c r="A57" s="56" t="inlineStr">
        <is>
          <t>Suelo desnudo</t>
        </is>
      </c>
      <c r="B57" s="62" t="n">
        <v>5</v>
      </c>
    </row>
    <row r="74">
      <c r="A74" s="54" t="inlineStr">
        <is>
          <t>Causas activas de degradación (F-DT-04)</t>
        </is>
      </c>
    </row>
    <row r="75">
      <c r="A75" s="55" t="inlineStr">
        <is>
          <t>Causa</t>
        </is>
      </c>
      <c r="B75" s="55" t="inlineStr">
        <is>
          <t>Intensidad (1 ligera - 4 muy fuerte)</t>
        </is>
      </c>
    </row>
    <row r="76">
      <c r="A76" s="56" t="inlineStr">
        <is>
          <t>Expansión urbana / vial</t>
        </is>
      </c>
      <c r="B76" s="56" t="n">
        <v>1</v>
      </c>
    </row>
    <row r="77">
      <c r="A77" s="57" t="inlineStr">
        <is>
          <t>Sobrepastoreo (caprino/vacuno)</t>
        </is>
      </c>
      <c r="B77" s="57" t="n">
        <v>1</v>
      </c>
    </row>
    <row r="78">
      <c r="A78" s="56" t="inlineStr">
        <is>
          <t>Tala para leña</t>
        </is>
      </c>
      <c r="B78" s="56" t="n">
        <v>1</v>
      </c>
    </row>
    <row r="95">
      <c r="A95" s="54" t="inlineStr">
        <is>
          <t>Control de consistencia por calificación</t>
        </is>
      </c>
    </row>
    <row r="96">
      <c r="A96" s="55" t="inlineStr">
        <is>
          <t>Calificación</t>
        </is>
      </c>
      <c r="B96" s="55" t="inlineStr">
        <is>
          <t>Verificaciones</t>
        </is>
      </c>
    </row>
    <row r="97">
      <c r="A97" s="56" t="inlineStr">
        <is>
          <t>SUSTANTIVA</t>
        </is>
      </c>
      <c r="B97" s="56" t="n">
        <v>9</v>
      </c>
    </row>
    <row r="98">
      <c r="A98" s="57" t="inlineStr">
        <is>
          <t>NO SUSTANTIVA</t>
        </is>
      </c>
      <c r="B98" s="57" t="n">
        <v>3</v>
      </c>
    </row>
    <row r="99">
      <c r="A99" s="56" t="inlineStr">
        <is>
          <t>CORREGIDO</t>
        </is>
      </c>
      <c r="B99" s="56" t="n">
        <v>3</v>
      </c>
    </row>
    <row r="100">
      <c r="A100" s="57" t="inlineStr">
        <is>
          <t>CONFORME</t>
        </is>
      </c>
      <c r="B100"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M17B4 — IN Piura</dc:title>
  <dc:subject>Diagnóstico Territorial por bloque de intervención</dc:subject>
  <dcterms:created xsi:type="dcterms:W3CDTF">2026-09-08T03:39:57Z</dcterms:created>
  <dcterms:modified xsi:type="dcterms:W3CDTF">2026-09-11T20:22:35Z</dcterms:modified>
</cp:coreProperties>
</file>