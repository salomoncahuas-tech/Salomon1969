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166"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f>
            </numRef>
          </cat>
          <val>
            <numRef>
              <f>'Gráficos de integración'!$B$53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integración'!B71</f>
            </strRef>
          </tx>
          <spPr>
            <a:ln>
              <a:prstDash val="solid"/>
            </a:ln>
          </spPr>
          <cat>
            <numRef>
              <f>'Gráficos de integración'!$A$72:$A$75</f>
            </numRef>
          </cat>
          <val>
            <numRef>
              <f>'Gráficos de integración'!$B$72:$B$75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integración'!B93</f>
            </strRef>
          </tx>
          <spPr>
            <a:ln>
              <a:prstDash val="solid"/>
            </a:ln>
          </spPr>
          <cat>
            <numRef>
              <f>'Gráficos de integración'!$A$94:$A$97</f>
            </numRef>
          </cat>
          <val>
            <numRef>
              <f>'Gráficos de integración'!$B$94:$B$97</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70</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92</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70</t>
        </is>
      </c>
    </row>
    <row r="6" ht="24" customHeight="1">
      <c r="A6" s="4" t="inlineStr">
        <is>
          <t>Diagnóstico Territorial — Plantilla DT Campo Check Validada V5 | Sistema de referencia: UTM WGS 84 Zona 17S (EPSG:32717) · Integrado con la ficha de campo F-DT vigente (Plantilla_DT_Campo_Bloque70_IN_Piura.xlsx) — V7 - resumen V6 + campo F-DT integrado</t>
        </is>
      </c>
    </row>
    <row r="7"/>
    <row r="8" ht="18" customHeight="1">
      <c r="A8" s="5" t="inlineStr">
        <is>
          <t>1. IDENTIFICACIÓN Y LOCALIZACIÓN</t>
        </is>
      </c>
    </row>
    <row r="9">
      <c r="A9" s="6" t="inlineStr">
        <is>
          <t>Código del bloque</t>
        </is>
      </c>
      <c r="B9" s="7" t="inlineStr">
        <is>
          <t>70</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C1076-Q9592</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Zururán</t>
        </is>
      </c>
      <c r="C13" s="6" t="inlineStr">
        <is>
          <t>Comunidad campesina</t>
        </is>
      </c>
      <c r="D13" s="7" t="inlineStr">
        <is>
          <t>Por verificar — no se consultó registro de comunidades campesinas en campo</t>
        </is>
      </c>
      <c r="E13" s="8" t="n"/>
      <c r="F13" s="8" t="n"/>
    </row>
    <row r="14">
      <c r="A14" s="6" t="inlineStr">
        <is>
          <t>Superficie de catálogo (V5/V6), ha</t>
        </is>
      </c>
      <c r="B14" s="7" t="n">
        <v>22.39</v>
      </c>
      <c r="C14" s="6" t="inlineStr">
        <is>
          <t>Fuente de superficie</t>
        </is>
      </c>
      <c r="D14" s="7" t="inlineStr">
        <is>
          <t>Catálogo maestro Bloques V5/V6</t>
        </is>
      </c>
      <c r="E14" s="8" t="n"/>
      <c r="F14" s="8" t="n"/>
    </row>
    <row r="15">
      <c r="A15" s="6" t="inlineStr">
        <is>
          <t>Centroide UTM ESTE (m)</t>
        </is>
      </c>
      <c r="B15" s="7" t="n">
        <v>666781</v>
      </c>
      <c r="C15" s="6" t="inlineStr">
        <is>
          <t>Centroide UTM NORTE (m)</t>
        </is>
      </c>
      <c r="D15" s="7" t="n">
        <v>9395573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2326</v>
      </c>
      <c r="C19" s="6" t="inlineStr">
        <is>
          <t>Altitud máxima (msnm)</t>
        </is>
      </c>
      <c r="D19" s="7" t="n">
        <v>2536</v>
      </c>
      <c r="E19" s="8" t="n"/>
      <c r="F19" s="8" t="n"/>
    </row>
    <row r="20">
      <c r="A20" s="6" t="inlineStr">
        <is>
          <t>Amplitud altitudinal (m)</t>
        </is>
      </c>
      <c r="B20" s="7" t="n">
        <v>210</v>
      </c>
      <c r="C20" s="6" t="inlineStr">
        <is>
          <t>Piso altitudinal dominante</t>
        </is>
      </c>
      <c r="D20" s="7" t="inlineStr">
        <is>
          <t>2000-2500 m (Quechua alta)</t>
        </is>
      </c>
      <c r="E20" s="8" t="n"/>
      <c r="F20" s="8" t="n"/>
    </row>
    <row r="21">
      <c r="A21" s="6" t="inlineStr">
        <is>
          <t>Pendiente promedio (%)</t>
        </is>
      </c>
      <c r="B21" s="7" t="n">
        <v>23.2</v>
      </c>
      <c r="C21" s="6" t="inlineStr">
        <is>
          <t>Pendiente promedio (grados)</t>
        </is>
      </c>
      <c r="D21" s="7" t="n">
        <v>13.1</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0.6223</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(98.39 %)</t>
        </is>
      </c>
      <c r="E29" s="8" t="n"/>
      <c r="F29" s="8" t="n"/>
    </row>
    <row r="30">
      <c r="A30" s="6" t="inlineStr">
        <is>
          <t>Superficie clasificada NDVI 2025 (ha)</t>
        </is>
      </c>
      <c r="B30" s="7" t="n">
        <v>22.39</v>
      </c>
      <c r="C30" s="6" t="inlineStr">
        <is>
          <t>Desviación frente al catálogo (%)</t>
        </is>
      </c>
      <c r="D30" s="7" t="n">
        <v>0</v>
      </c>
      <c r="E30" s="8" t="n"/>
      <c r="F30" s="8" t="n"/>
    </row>
    <row r="31">
      <c r="A31" s="6" t="inlineStr">
        <is>
          <t>Superficie clasificada MSAVI 2024 (ha)</t>
        </is>
      </c>
      <c r="B31" s="37" t="n">
        <v>22.388</v>
      </c>
      <c r="C31" s="6" t="inlineStr">
        <is>
          <t>Desviación MSAVI frente al catálogo (%)</t>
        </is>
      </c>
      <c r="D31" s="38" t="n">
        <v>-0.01</v>
      </c>
      <c r="E31" s="8" t="n"/>
      <c r="F31" s="8" t="n"/>
    </row>
    <row r="32">
      <c r="A32" s="6" t="inlineStr">
        <is>
          <t>Superficie bajo umbral MSAVI 0.4976 (ha)</t>
        </is>
      </c>
      <c r="B32" s="37" t="n">
        <v>1.09</v>
      </c>
      <c r="C32" s="6" t="inlineStr">
        <is>
          <t>% del bloque bajo umbral (brecha espectral)</t>
        </is>
      </c>
      <c r="D32" s="38" t="n">
        <v>4.87</v>
      </c>
      <c r="E32" s="8" t="n"/>
      <c r="F32" s="8" t="n"/>
    </row>
    <row r="33">
      <c r="A33" s="6" t="inlineStr">
        <is>
          <t>Clase DN dominante (MSAVI 2024)</t>
        </is>
      </c>
      <c r="B33" s="7" t="inlineStr">
        <is>
          <t>DN 5 · &gt; 0.6139 (Vigor alto)</t>
        </is>
      </c>
      <c r="C33" s="6" t="inlineStr">
        <is>
          <t>N.° de polígonos MSAVI del bloque</t>
        </is>
      </c>
      <c r="D33" s="39" t="n">
        <v>68</v>
      </c>
      <c r="E33" s="8" t="n"/>
      <c r="F33" s="8" t="n"/>
    </row>
    <row r="34"/>
    <row r="35" ht="18" customHeight="1">
      <c r="A35" s="5" t="inlineStr">
        <is>
          <t>4. ECOSISTEMA Y ESTADO DE CONSERVACIÓN</t>
        </is>
      </c>
    </row>
    <row r="36">
      <c r="A36" s="6" t="inlineStr">
        <is>
          <t>Tipo de ecosistema (UP)</t>
        </is>
      </c>
      <c r="B36" s="7" t="inlineStr">
        <is>
          <t>Matorral Andino subhúmedo (adscripción preliminar)</t>
        </is>
      </c>
      <c r="C36" s="6" t="inlineStr">
        <is>
          <t>Superficie de ecosistema (ha)</t>
        </is>
      </c>
      <c r="D36" s="7" t="inlineStr">
        <is>
          <t>22.39 ha (100% del bloque)</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Mixto / Mosaico</t>
        </is>
      </c>
      <c r="C38" s="6" t="inlineStr">
        <is>
          <t>Cobertura vegetal total — campo (%)</t>
        </is>
      </c>
      <c r="D38" s="49" t="inlineStr">
        <is>
          <t>85</t>
        </is>
      </c>
      <c r="E38" s="8" t="n"/>
      <c r="F38" s="8" t="n"/>
    </row>
    <row r="39">
      <c r="A39" s="6" t="inlineStr">
        <is>
          <t>Suelo desnudo — campo (%)</t>
        </is>
      </c>
      <c r="B39" s="49" t="inlineStr">
        <is>
          <t>5</t>
        </is>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inlineStr">
        <is>
          <t>Por determinar</t>
        </is>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Por determinar (prellenado de gabinete SESDI)</t>
        </is>
      </c>
      <c r="C44" s="6" t="inlineStr">
        <is>
          <t>Fecha de evaluación</t>
        </is>
      </c>
      <c r="D44" s="49" t="inlineStr">
        <is>
          <t>19-08-2026</t>
        </is>
      </c>
      <c r="E44" s="8" t="n"/>
      <c r="F44" s="8" t="n"/>
    </row>
    <row r="45">
      <c r="A45" s="6" t="inlineStr">
        <is>
          <t>Hora de registro</t>
        </is>
      </c>
      <c r="B45" s="7" t="inlineStr">
        <is>
          <t>09:20 - 10:05 h</t>
        </is>
      </c>
      <c r="C45" s="6" t="inlineStr">
        <is>
          <t>Correlativo de ficha</t>
        </is>
      </c>
      <c r="D45" s="7" t="inlineStr">
        <is>
          <t>F-DT-01/70/2026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49" t="inlineStr">
        <is>
          <t>No instalada (prellenado de gabinete)</t>
        </is>
      </c>
      <c r="E47" s="8" t="n"/>
      <c r="F47" s="8" t="n"/>
    </row>
    <row r="48">
      <c r="A48" s="6" t="inlineStr">
        <is>
          <t>Estaciones fotográficas georreferenciadas</t>
        </is>
      </c>
      <c r="B48" s="7" t="n">
        <v>0</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ganadera sin ordenamiento de carga ni clausura, sobre una unidad de cabecera de microcuenca</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70</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1" t="n">
        <v>12.8653</v>
      </c>
      <c r="C10" s="30">
        <f>ROUND(B10/$B$15*100,2)</f>
        <v/>
      </c>
      <c r="D10" s="12" t="inlineStr">
        <is>
          <t>Vigor alto</t>
        </is>
      </c>
      <c r="E10" s="12" t="inlineStr">
        <is>
          <t>Sobre umbral</t>
        </is>
      </c>
    </row>
    <row r="11">
      <c r="A11" s="13" t="inlineStr">
        <is>
          <t>0.4976 - 0.6139 · DN 4</t>
        </is>
      </c>
      <c r="B11" s="20" t="n">
        <v>8.4328</v>
      </c>
      <c r="C11" s="21">
        <f>ROUND(B11/$B$15*100,2)</f>
        <v/>
      </c>
      <c r="D11" s="14" t="inlineStr">
        <is>
          <t>Vigor moderado</t>
        </is>
      </c>
      <c r="E11" s="14" t="inlineStr">
        <is>
          <t>Sobre umbral</t>
        </is>
      </c>
    </row>
    <row r="12">
      <c r="A12" s="7" t="inlineStr">
        <is>
          <t>0.3813 - 0.4976 · DN 3</t>
        </is>
      </c>
      <c r="B12" s="18" t="n">
        <v>1.0898</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2" t="inlineStr">
        <is>
          <t>TOTAL CLASIFICADO MSAVI 2024</t>
        </is>
      </c>
      <c r="B15" s="43">
        <f>SUM(B10:B14)</f>
        <v/>
      </c>
      <c r="C15" s="44">
        <f>SUM(C10:C14)</f>
        <v/>
      </c>
      <c r="D15" s="42" t="inlineStr">
        <is>
          <t>Suma de la distribución areal · 68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22.39</v>
      </c>
      <c r="C18" s="48" t="inlineStr">
        <is>
          <t>—</t>
        </is>
      </c>
      <c r="D18" s="45" t="inlineStr">
        <is>
          <t>Desviación planimétrica frente al catálogo</t>
        </is>
      </c>
      <c r="E18" s="45" t="inlineStr">
        <is>
          <t>-0.01 %</t>
        </is>
      </c>
    </row>
    <row r="19">
      <c r="A19" s="16" t="inlineStr">
        <is>
          <t>MSAVI 2024 — MEDIA DEL BLOQUE</t>
        </is>
      </c>
      <c r="B19" s="17" t="n">
        <v>0.622295</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68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(0.6223) se conserva del catálogo maestro y es dato oficial; la fila resaltada indica la clase en la que cae dicha media. Los totales y porcentajes se calculan con fórmulas sobre las filas del cuadro.</t>
        </is>
      </c>
      <c r="B21" s="40" t="n"/>
      <c r="C21" s="40" t="n"/>
      <c r="D21" s="40" t="n"/>
      <c r="E21" s="41"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22.0293</v>
      </c>
      <c r="C25" s="19" t="n">
        <v>98.39</v>
      </c>
      <c r="D25" s="15" t="inlineStr">
        <is>
          <t>Dosel continuo, matorral denso o mosaico agroforestal</t>
        </is>
      </c>
      <c r="E25" s="15" t="inlineStr"/>
    </row>
    <row r="26">
      <c r="A26" s="13" t="inlineStr">
        <is>
          <t>Vegetación mediana</t>
        </is>
      </c>
      <c r="B26" s="20" t="n">
        <v>0.3612</v>
      </c>
      <c r="C26" s="21" t="n">
        <v>1.61</v>
      </c>
      <c r="D26" s="14" t="inlineStr">
        <is>
          <t>Pastizal cultivado, matorral ralo, parcelas agrícolas</t>
        </is>
      </c>
      <c r="E26" s="14" t="inlineStr"/>
    </row>
    <row r="27">
      <c r="A27" s="16" t="inlineStr">
        <is>
          <t>TOTAL CLASIFICADO</t>
        </is>
      </c>
      <c r="B27" s="22">
        <f>SUM(B25:B26)</f>
        <v/>
      </c>
      <c r="C27" s="23">
        <f>SUM(C25:C26)</f>
        <v/>
      </c>
      <c r="D27" s="17" t="inlineStr"/>
      <c r="E27" s="17" t="inlineStr"/>
    </row>
    <row r="28">
      <c r="A28" s="24" t="inlineStr">
        <is>
          <t>Superficie de catálogo (V5/V6)</t>
        </is>
      </c>
      <c r="B28" s="25" t="n">
        <v>22.39</v>
      </c>
      <c r="C28" s="25" t="inlineStr">
        <is>
          <t>—</t>
        </is>
      </c>
      <c r="D28" s="25" t="inlineStr">
        <is>
          <t>Desviación planimétrica frente al catálogo</t>
        </is>
      </c>
      <c r="E28" s="25" t="inlineStr">
        <is>
          <t>+0.00 %</t>
        </is>
      </c>
    </row>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98.39 % del polígono clasificado como «Vegetación alta» por el NDVI 2025; la observación de campo corresponde a una parcela o recorrido puntual y no es estadísticamente representativa de las 22.390 ha del bloque.</t>
        </is>
      </c>
      <c r="B30" s="40" t="n"/>
      <c r="C30" s="40" t="n"/>
      <c r="D30" s="40" t="n"/>
      <c r="E30" s="41"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70</t>
        </is>
      </c>
    </row>
    <row r="6" ht="24" customHeight="1">
      <c r="A6" s="4" t="inlineStr">
        <is>
          <t>Levantamiento del 2026-09-05 (gabinete) — reconocimiento de campo 19-08-2026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645575</v>
      </c>
      <c r="D10" s="26" t="n">
        <v>9393500</v>
      </c>
      <c r="E10" s="15" t="n">
        <v>21307.1</v>
      </c>
      <c r="F10" s="15" t="inlineStr"/>
      <c r="G10" s="15"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666781</v>
      </c>
      <c r="C13" s="6" t="inlineStr">
        <is>
          <t>Centroide del bloque — UTM NORTE (m)</t>
        </is>
      </c>
      <c r="D13" s="7" t="n">
        <v>9395573</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44"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PRELLENADO DE GABINETE. NINGUNA FICHA F-DT FUE DILIGENCIADA EN CAMPO el 19-08-2026; el reconocimiento consistió en recorrido con registro fotográfico georreferenciado. Pendiente promedio zonal (MDE) 23.20% ≈ 13.05°; rango altitudinal 2 326-2 536 msnm (amplitud 210 m). Escarpes activos: no observados; los taludes de corte del camino se localizan FUERA del polígono. Reptación: SÍ — terracillas de pisoteo de ganado paralelas a la curva de nivel (estación E-04), indicio de reptación superficial asociada a sobrepastoreo. Afloramientos rocosos verificados en el talud de la vía (E-05). ATENCIÓN: el registro consigna UTM Este 645 575 (valor por defecto de la plantilla), distinto del centroide de catálogo 666 781 E · 9 395 570 N.</t>
        </is>
      </c>
      <c r="B16" s="40" t="n"/>
      <c r="C16" s="40" t="n"/>
      <c r="D16" s="40" t="n"/>
      <c r="E16" s="40" t="n"/>
      <c r="F16" s="40" t="n"/>
      <c r="G16" s="41"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70</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18</t>
        </is>
      </c>
      <c r="B10" s="27" t="n">
        <v>103.62</v>
      </c>
      <c r="C10" s="19" t="n">
        <v>21.54</v>
      </c>
      <c r="D10" s="15" t="inlineStr">
        <is>
          <t>1218 – 1904</t>
        </is>
      </c>
      <c r="E10" s="15" t="n">
        <v>686</v>
      </c>
      <c r="F10" s="15" t="n">
        <v>28.7</v>
      </c>
      <c r="G10" s="18" t="n">
        <v>0.6402</v>
      </c>
      <c r="H10" s="19" t="n">
        <v>96.64</v>
      </c>
      <c r="I10" s="19" t="n">
        <v>3</v>
      </c>
    </row>
    <row r="11">
      <c r="A11" s="13" t="inlineStr">
        <is>
          <t>19</t>
        </is>
      </c>
      <c r="B11" s="28" t="n">
        <v>82.09</v>
      </c>
      <c r="C11" s="21" t="n">
        <v>17.06</v>
      </c>
      <c r="D11" s="14" t="inlineStr">
        <is>
          <t>2064 – 2503</t>
        </is>
      </c>
      <c r="E11" s="14" t="n">
        <v>439</v>
      </c>
      <c r="F11" s="14" t="n">
        <v>31.01</v>
      </c>
      <c r="G11" s="20" t="n">
        <v>0.5372</v>
      </c>
      <c r="H11" s="21" t="n">
        <v>60.33</v>
      </c>
      <c r="I11" s="21" t="n">
        <v>42.63</v>
      </c>
    </row>
    <row r="12">
      <c r="A12" s="7" t="inlineStr">
        <is>
          <t>41</t>
        </is>
      </c>
      <c r="B12" s="27" t="n">
        <v>64.92</v>
      </c>
      <c r="C12" s="19" t="n">
        <v>13.49</v>
      </c>
      <c r="D12" s="15" t="inlineStr">
        <is>
          <t>1536 – 1818</t>
        </is>
      </c>
      <c r="E12" s="15" t="n">
        <v>282</v>
      </c>
      <c r="F12" s="15" t="n">
        <v>25.53</v>
      </c>
      <c r="G12" s="18" t="n">
        <v>0.5927</v>
      </c>
      <c r="H12" s="19" t="n">
        <v>98.02</v>
      </c>
      <c r="I12" s="19" t="n">
        <v>12.26</v>
      </c>
    </row>
    <row r="13">
      <c r="A13" s="13" t="inlineStr">
        <is>
          <t>73</t>
        </is>
      </c>
      <c r="B13" s="28" t="n">
        <v>54.29</v>
      </c>
      <c r="C13" s="21" t="n">
        <v>11.28</v>
      </c>
      <c r="D13" s="14" t="inlineStr">
        <is>
          <t>1845 – 2305</t>
        </is>
      </c>
      <c r="E13" s="14" t="n">
        <v>460</v>
      </c>
      <c r="F13" s="14" t="n">
        <v>36.34</v>
      </c>
      <c r="G13" s="20" t="n">
        <v>0.555</v>
      </c>
      <c r="H13" s="21" t="n">
        <v>88.8</v>
      </c>
      <c r="I13" s="21" t="n">
        <v>18.94</v>
      </c>
    </row>
    <row r="14">
      <c r="A14" s="7" t="inlineStr">
        <is>
          <t>31</t>
        </is>
      </c>
      <c r="B14" s="27" t="n">
        <v>47.58</v>
      </c>
      <c r="C14" s="19" t="n">
        <v>9.890000000000001</v>
      </c>
      <c r="D14" s="15" t="inlineStr">
        <is>
          <t>1741 – 2234</t>
        </is>
      </c>
      <c r="E14" s="15" t="n">
        <v>493</v>
      </c>
      <c r="F14" s="15" t="n">
        <v>27.08</v>
      </c>
      <c r="G14" s="18" t="n">
        <v>0.4358</v>
      </c>
      <c r="H14" s="19" t="n">
        <v>18.56</v>
      </c>
      <c r="I14" s="19" t="n">
        <v>78.42</v>
      </c>
    </row>
    <row r="15">
      <c r="A15" s="13" t="inlineStr">
        <is>
          <t>29</t>
        </is>
      </c>
      <c r="B15" s="28" t="n">
        <v>40.1</v>
      </c>
      <c r="C15" s="21" t="n">
        <v>8.33</v>
      </c>
      <c r="D15" s="14" t="inlineStr">
        <is>
          <t>2142 – 2391</t>
        </is>
      </c>
      <c r="E15" s="14" t="n">
        <v>249</v>
      </c>
      <c r="F15" s="14" t="n">
        <v>31.54</v>
      </c>
      <c r="G15" s="20" t="n">
        <v>0.5482</v>
      </c>
      <c r="H15" s="21" t="inlineStr">
        <is>
          <t>Por determinar</t>
        </is>
      </c>
      <c r="I15" s="14" t="inlineStr">
        <is>
          <t>s/d</t>
        </is>
      </c>
    </row>
    <row r="16">
      <c r="A16" s="11" t="inlineStr">
        <is>
          <t>► 70</t>
        </is>
      </c>
      <c r="B16" s="29" t="n">
        <v>22.39</v>
      </c>
      <c r="C16" s="30" t="n">
        <v>4.65</v>
      </c>
      <c r="D16" s="12" t="inlineStr">
        <is>
          <t>2326 – 2536</t>
        </is>
      </c>
      <c r="E16" s="12" t="n">
        <v>210</v>
      </c>
      <c r="F16" s="12" t="n">
        <v>23.2</v>
      </c>
      <c r="G16" s="31" t="n">
        <v>0.6223</v>
      </c>
      <c r="H16" s="30" t="n">
        <v>98.39</v>
      </c>
      <c r="I16" s="30" t="n">
        <v>4.87</v>
      </c>
    </row>
    <row r="17">
      <c r="A17" s="13" t="inlineStr">
        <is>
          <t>68</t>
        </is>
      </c>
      <c r="B17" s="28" t="n">
        <v>21.29</v>
      </c>
      <c r="C17" s="21" t="n">
        <v>4.42</v>
      </c>
      <c r="D17" s="14" t="inlineStr">
        <is>
          <t>2086 – 2374</t>
        </is>
      </c>
      <c r="E17" s="14" t="n">
        <v>288</v>
      </c>
      <c r="F17" s="14" t="n">
        <v>36.81</v>
      </c>
      <c r="G17" s="20" t="n">
        <v>0.483</v>
      </c>
      <c r="H17" s="21" t="inlineStr">
        <is>
          <t>Por determinar</t>
        </is>
      </c>
      <c r="I17" s="14" t="inlineStr">
        <is>
          <t>s/d</t>
        </is>
      </c>
    </row>
    <row r="18">
      <c r="A18" s="7" t="inlineStr">
        <is>
          <t>69</t>
        </is>
      </c>
      <c r="B18" s="27" t="n">
        <v>19.43</v>
      </c>
      <c r="C18" s="19" t="n">
        <v>4.04</v>
      </c>
      <c r="D18" s="15" t="inlineStr">
        <is>
          <t>1931 – 2205</t>
        </is>
      </c>
      <c r="E18" s="15" t="n">
        <v>274</v>
      </c>
      <c r="F18" s="15" t="n">
        <v>27.95</v>
      </c>
      <c r="G18" s="18" t="n">
        <v>0.4489</v>
      </c>
      <c r="H18" s="19" t="n">
        <v>22.92</v>
      </c>
      <c r="I18" s="19" t="n">
        <v>81.28</v>
      </c>
    </row>
    <row r="19">
      <c r="A19" s="13" t="inlineStr">
        <is>
          <t>53</t>
        </is>
      </c>
      <c r="B19" s="28" t="n">
        <v>13.06</v>
      </c>
      <c r="C19" s="21" t="n">
        <v>2.71</v>
      </c>
      <c r="D19" s="14" t="inlineStr">
        <is>
          <t>2235 – 2540</t>
        </is>
      </c>
      <c r="E19" s="14" t="n">
        <v>305</v>
      </c>
      <c r="F19" s="14" t="n">
        <v>26.89</v>
      </c>
      <c r="G19" s="20" t="n">
        <v>0.5963000000000001</v>
      </c>
      <c r="H19" s="21" t="n">
        <v>86.15000000000001</v>
      </c>
      <c r="I19" s="21" t="n">
        <v>12.45</v>
      </c>
    </row>
    <row r="20">
      <c r="A20" s="7" t="inlineStr">
        <is>
          <t>72</t>
        </is>
      </c>
      <c r="B20" s="27" t="n">
        <v>12.4</v>
      </c>
      <c r="C20" s="19" t="n">
        <v>2.58</v>
      </c>
      <c r="D20" s="15" t="inlineStr">
        <is>
          <t>1538 – 1742</t>
        </is>
      </c>
      <c r="E20" s="15" t="n">
        <v>204</v>
      </c>
      <c r="F20" s="15" t="n">
        <v>28.25</v>
      </c>
      <c r="G20" s="18" t="n">
        <v>0.5185</v>
      </c>
      <c r="H20" s="19" t="n">
        <v>92.44</v>
      </c>
      <c r="I20" s="19" t="n">
        <v>41.35</v>
      </c>
    </row>
    <row r="21">
      <c r="A21" s="16" t="inlineStr">
        <is>
          <t>TOTAL / PROMEDIO</t>
        </is>
      </c>
      <c r="B21" s="32">
        <f>SUM(B10:B20)</f>
        <v/>
      </c>
      <c r="C21" s="23">
        <f>SUM(C10:C20)</f>
        <v/>
      </c>
      <c r="D21" s="17" t="inlineStr">
        <is>
          <t>1218 – 2540</t>
        </is>
      </c>
      <c r="E21" s="17" t="inlineStr"/>
      <c r="F21" s="17">
        <f>ROUND(AVERAGE(F10:F20),2)</f>
        <v/>
      </c>
      <c r="G21" s="22">
        <f>ROUND(AVERAGE(G10:G20),4)</f>
        <v/>
      </c>
      <c r="H21" s="23">
        <f>ROUND(AVERAGE(H10:H20),2)</f>
        <v/>
      </c>
      <c r="I21" s="23">
        <f>ROUND(AVERAGE(I10:I20),2)</f>
        <v/>
      </c>
    </row>
    <row r="22" ht="48" customHeight="1">
      <c r="A22" s="9" t="inlineStr">
        <is>
          <t>ALCANCE DE LOS PROMEDIOS. La fila TOTAL / PROMEDIO omite las celdas «Por determinar»: el promedio de VEGETACIÓN ALTA (NDVI 2025) se calcula sobre 9 de los 11 bloques; los 2 bloques restantes carecen de estadística zonal de NDVI. Los totales de ÁREA y % de microcuenca sí comprenden la totalidad de los 11 bloques. No se estima ningún valor ausente.</t>
        </is>
      </c>
      <c r="B22" s="40" t="n"/>
      <c r="C22" s="40" t="n"/>
      <c r="D22" s="40" t="n"/>
      <c r="E22" s="40" t="n"/>
      <c r="F22" s="40" t="n"/>
      <c r="G22" s="40" t="n"/>
      <c r="H22" s="40" t="n"/>
      <c r="I22" s="41" t="n"/>
    </row>
    <row r="24" ht="84" customHeight="1">
      <c r="A24" s="9" t="inlineStr">
        <is>
          <t>LECTURA INTRAMICROCUENCA. El bloque 70 ocupa el puesto 7 de 11 por superficie dentro de la microcuenca C1076-Q9592 (4.65 % de las 481.17 ha preliminares de la microcuenca). Su pendiente promedio (23.20 %, clase «15-25% (Fuert. inclinado)») es la 1.ª más baja de 11 y se sitúa por debajo del promedio de la microcuenca (29.39 %). Su MSAVI 2024 (0.6223) es el 2.º de 11 y queda por encima del promedio local (0.5435). Amplitud altitudinal del bloque: 210 m (2326–2536 msnm). El cuadro conserva todos los bloques catalogados en la microcuenca, incluidos los descartados en el tamizaje, para referencia del conjunto. Los bloques sin ficha DT figuran con sus parámetros de gabinete. BRECHA ESPECTRAL. El 4.87 % de la superficie del bloque (1.090 ha de 22.388 ha) se sitúa bajo el umbral MSAVI 0.4976, por debajo del promedio local de la microcuenca (32.80 %) calculado sobre los bloques con dato MSAVI disponible.</t>
        </is>
      </c>
      <c r="B24" s="40" t="n"/>
      <c r="C24" s="40" t="n"/>
      <c r="D24" s="40" t="n"/>
      <c r="E24" s="40" t="n"/>
      <c r="F24" s="40" t="n"/>
      <c r="G24" s="40" t="n"/>
      <c r="H24" s="40" t="n"/>
      <c r="I24" s="41"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0" t="n"/>
      <c r="C26" s="40" t="n"/>
      <c r="D26" s="40" t="n"/>
      <c r="E26" s="40" t="n"/>
      <c r="F26" s="40" t="n"/>
      <c r="G26" s="40" t="n"/>
      <c r="H26" s="40" t="n"/>
      <c r="I26" s="41" t="n"/>
    </row>
  </sheetData>
  <mergeCells count="10">
    <mergeCell ref="A2:I2"/>
    <mergeCell ref="A5:I5"/>
    <mergeCell ref="A1:I1"/>
    <mergeCell ref="A8:I8"/>
    <mergeCell ref="A3:I3"/>
    <mergeCell ref="A6:I6"/>
    <mergeCell ref="A22:I22"/>
    <mergeCell ref="A4:I4"/>
    <mergeCell ref="A26:I26"/>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70</t>
        </is>
      </c>
    </row>
    <row r="6">
      <c r="A6" s="51" t="inlineStr">
        <is>
          <t>Cruce de la ficha de campo F-DT vigente con la ficha de resumen de gabinete y el catálogo maestro. Integración 2026-09-11 20:22:31.</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«C1076-Q9592».</t>
        </is>
      </c>
      <c r="D9" s="55" t="inlineStr">
        <is>
          <t>CONFORME</t>
        </is>
      </c>
      <c r="E9" s="55" t="inlineStr">
        <is>
          <t>Sin acción.</t>
        </is>
      </c>
    </row>
    <row r="10">
      <c r="A10" s="56" t="inlineStr">
        <is>
          <t>G-02</t>
        </is>
      </c>
      <c r="B10" s="56" t="inlineStr">
        <is>
          <t>UTM del punto de muestreo</t>
        </is>
      </c>
      <c r="C10" s="56" t="inlineStr">
        <is>
          <t>El punto de muestreo declarado dista 187.3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La altitud GPS (2293 msnm) cae dentro del rango altitudinal del bloque (2326 - 2536 msnm).</t>
        </is>
      </c>
      <c r="D12" s="56" t="inlineStr">
        <is>
          <t>CONFORME</t>
        </is>
      </c>
      <c r="E12" s="56" t="inlineStr">
        <is>
          <t>Sin acción.</t>
        </is>
      </c>
    </row>
    <row r="13">
      <c r="A13" s="55" t="inlineStr">
        <is>
          <t>G-05</t>
        </is>
      </c>
      <c r="B13" s="55" t="inlineStr">
        <is>
          <t>Superficie NDVI vs. catálogo</t>
        </is>
      </c>
      <c r="C13" s="55" t="inlineStr">
        <is>
          <t>La superficie clasificada por el NDVI mediana 2025 (22.390 ha) se desvía 0.00 % de la superficie de catálogo (22.39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(22.388 ha) se desvía -0.01 % de la superficie de catálogo (22.39 ha).</t>
        </is>
      </c>
      <c r="D14" s="56" t="inlineStr">
        <is>
          <t>CONFORME</t>
        </is>
      </c>
      <c r="E14" s="56" t="inlineStr">
        <is>
          <t>Sin acción: la segmentación valida la geometría del bloque.</t>
        </is>
      </c>
    </row>
    <row r="15">
      <c r="A15" s="55" t="inlineStr">
        <is>
          <t>G-07</t>
        </is>
      </c>
      <c r="B15" s="55" t="inlineStr">
        <is>
          <t>Brecha espectral MSAVI</t>
        </is>
      </c>
      <c r="C15" s="55" t="inlineStr">
        <is>
          <t>El 4.87 % del bloque queda bajo el umbral 0.4976; superficie de brecha 1.0898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22.39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(0.6223) cae en la clase «&gt; 0.6139 (Vigor alto)» y la clase DN dominante por superficie es «DN 5 · &gt; 0.6139 (Vigor alto)».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I-01</t>
        </is>
      </c>
      <c r="B19" s="55" t="inlineStr">
        <is>
          <t>Fecha de evaluación</t>
        </is>
      </c>
      <c r="C19" s="55" t="inlineStr">
        <is>
          <t>El libro de resumen V6 consignaba «2026-09-05 (gabinete) — reconocimiento de campo 19-08-2026»; la ficha de campo vigente declara «19-08-2026».</t>
        </is>
      </c>
      <c r="D19" s="55" t="inlineStr">
        <is>
          <t>CORREGIDO</t>
        </is>
      </c>
      <c r="E19" s="55" t="inlineStr">
        <is>
          <t>Se adopta el valor de campo por ser la fuente que manda sobre el dato y la más reciente. El valor anterior queda declarado para trazabilidad.</t>
        </is>
      </c>
    </row>
    <row r="20">
      <c r="A20" s="56" t="inlineStr">
        <is>
          <t>F-01</t>
        </is>
      </c>
      <c r="B20" s="56" t="inlineStr">
        <is>
          <t>Fichas F-DT levantadas</t>
        </is>
      </c>
      <c r="C20" s="56" t="inlineStr">
        <is>
          <t>La plantilla de campo trae las cinco fichas F-DT-01 a F-DT-05 (completitud 89.3 % de los campos esperados).</t>
        </is>
      </c>
      <c r="D20" s="56" t="inlineStr">
        <is>
          <t>CONFORME</t>
        </is>
      </c>
      <c r="E20" s="56" t="inlineStr">
        <is>
          <t>Sin acción.</t>
        </is>
      </c>
    </row>
    <row r="21">
      <c r="A21" s="55" t="inlineStr">
        <is>
          <t>F-02</t>
        </is>
      </c>
      <c r="B21" s="55" t="inlineStr">
        <is>
          <t>Cobertura de la integración</t>
        </is>
      </c>
      <c r="C21" s="55" t="inlineStr">
        <is>
          <t>Se declararon 89 de 114 hechos integrados (78.1 %); 25 quedan sin dato en ninguna fuente.</t>
        </is>
      </c>
      <c r="D21" s="55" t="inlineStr">
        <is>
          <t>CONFORME</t>
        </is>
      </c>
      <c r="E21" s="55" t="inlineStr">
        <is>
          <t>Sin acción.</t>
        </is>
      </c>
    </row>
    <row r="22">
      <c r="A22" s="56" t="inlineStr">
        <is>
          <t>H-01</t>
        </is>
      </c>
      <c r="B22" s="56" t="inlineStr">
        <is>
          <t>Inventario georreferenciado de cárcavas</t>
        </is>
      </c>
      <c r="C22" s="56" t="inlineStr">
        <is>
          <t>El inventario de cárcavas no fue ejecutado o no consta en la ficha DT</t>
        </is>
      </c>
      <c r="D22" s="56" t="inlineStr">
        <is>
          <t>SUSTANTIVA</t>
        </is>
      </c>
      <c r="E22" s="56" t="inlineStr">
        <is>
          <t>La ausencia de registros NO equivale a ausencia verificada de cárcavas. Queda pendiente el levantamiento instrumental a cargo del especialista de Infraestructura Marrón antes de fijar metas físicas de infraestructura gris. (Verificación heredada de la ficha de resumen V6.)</t>
        </is>
      </c>
    </row>
    <row r="23">
      <c r="A23" s="55" t="inlineStr">
        <is>
          <t>H-02</t>
        </is>
      </c>
      <c r="B23" s="55" t="inlineStr">
        <is>
          <t>Representatividad del levantamiento</t>
        </is>
      </c>
      <c r="C23" s="55" t="inlineStr">
        <is>
          <t>Ninguna de las estaciones fotográficas georreferenciadas se localiza dentro del polígono del bloque</t>
        </is>
      </c>
      <c r="D23" s="55" t="inlineStr">
        <is>
          <t>SUSTANTIVA</t>
        </is>
      </c>
      <c r="E23" s="55" t="inlineStr">
        <is>
          <t>La verificación documenta el perímetro y la vista panorámica del bloque, no su interior. Los parámetros que exigen recorrido interno se consignan «Por determinar». (Verificación heredada de la ficha de resumen V6.)</t>
        </is>
      </c>
    </row>
    <row r="24">
      <c r="A24" s="56" t="inlineStr">
        <is>
          <t>H-03</t>
        </is>
      </c>
      <c r="B24" s="56" t="inlineStr">
        <is>
          <t>Centro poblado asociado</t>
        </is>
      </c>
      <c r="C24" s="56" t="inlineStr">
        <is>
          <t>La ficha DT declara «Zururán»; el cruce INEI-Bloques V5 identifica 1 centro(s) poblado(s) en el bloque: ZURURAN</t>
        </is>
      </c>
      <c r="D24" s="56" t="inlineStr">
        <is>
          <t>NO SUSTANTIVA</t>
        </is>
      </c>
      <c r="E24" s="56" t="inlineStr">
        <is>
          <t>Se conserva el registro de campo como referencia y se adopta el listado INEI para el diagnóstico social y el cálculo de población beneficiaria. (Verificación heredada de la ficha de resumen V6.)</t>
        </is>
      </c>
    </row>
    <row r="25">
      <c r="A25" s="55" t="inlineStr">
        <is>
          <t>H-04</t>
        </is>
      </c>
      <c r="B25" s="55" t="inlineStr">
        <is>
          <t>Fichas F-DT-01 a F-DT-05</t>
        </is>
      </c>
      <c r="C25" s="55" t="inlineStr">
        <is>
          <t>NINGUNA ficha fue diligenciada en campo el 19-08-2026: todo el contenido es prellenado de gabinete a partir de fotografías georreferenciadas y cartografía temática</t>
        </is>
      </c>
      <c r="D25" s="55" t="inlineStr">
        <is>
          <t>SUSTANTIVA</t>
        </is>
      </c>
      <c r="E25" s="55" t="inlineStr">
        <is>
          <t>Levantamiento de campo pendiente en su totalidad (Verificación heredada de la ficha de resumen V6.)</t>
        </is>
      </c>
    </row>
    <row r="26">
      <c r="A26" s="56" t="inlineStr">
        <is>
          <t>H-05</t>
        </is>
      </c>
      <c r="B26" s="56" t="inlineStr">
        <is>
          <t>Ficha DT</t>
        </is>
      </c>
      <c r="C26" s="56" t="inlineStr">
        <is>
          <t>UTM Este 645 575 corresponde al valor por defecto de la plantilla; el centroide de catálogo es 666 781 E · 9 395 570 N</t>
        </is>
      </c>
      <c r="D26" s="56" t="inlineStr">
        <is>
          <t>SUSTANTIVA</t>
        </is>
      </c>
      <c r="E26" s="56" t="inlineStr">
        <is>
          <t>Georreferencia por reponer (Verificación heredada de la ficha de resumen V6.)</t>
        </is>
      </c>
    </row>
    <row r="27">
      <c r="A27" s="55" t="inlineStr">
        <is>
          <t>H-06</t>
        </is>
      </c>
      <c r="B27" s="55" t="inlineStr">
        <is>
          <t>F-DT-02</t>
        </is>
      </c>
      <c r="C27" s="55" t="inlineStr">
        <is>
          <t>Inventario de cárcavas no ejecutado</t>
        </is>
      </c>
      <c r="D27" s="55" t="inlineStr">
        <is>
          <t>SUSTANTIVA</t>
        </is>
      </c>
      <c r="E27" s="55" t="inlineStr">
        <is>
          <t>La ausencia de registros no equivale a ausencia verificada (Verificación heredada de la ficha de resumen V6.)</t>
        </is>
      </c>
    </row>
    <row r="28">
      <c r="A28" s="56" t="inlineStr">
        <is>
          <t>H-07</t>
        </is>
      </c>
      <c r="B28" s="56" t="inlineStr">
        <is>
          <t>F-DT-03</t>
        </is>
      </c>
      <c r="C28" s="56" t="inlineStr">
        <is>
          <t>5 de los 15 registros florísticos carecen de género; ningún binomio confirmado taxonómicamente</t>
        </is>
      </c>
      <c r="D28" s="56" t="inlineStr">
        <is>
          <t>SUSTANTIVA</t>
        </is>
      </c>
      <c r="E28" s="56" t="inlineStr">
        <is>
          <t>Colecta y determinación botánica pendientes (Verificación heredada de la ficha de resumen V6.)</t>
        </is>
      </c>
    </row>
    <row r="29">
      <c r="A29" s="55" t="inlineStr">
        <is>
          <t>H-08</t>
        </is>
      </c>
      <c r="B29" s="55" t="inlineStr">
        <is>
          <t>F-DT-04</t>
        </is>
      </c>
      <c r="C29" s="55" t="inlineStr">
        <is>
          <t>Diez causas no consignadas quedan SIN VERIFICAR</t>
        </is>
      </c>
      <c r="D29" s="55" t="inlineStr">
        <is>
          <t>SUSTANTIVA</t>
        </is>
      </c>
      <c r="E29" s="55" t="inlineStr">
        <is>
          <t>No interpretar como ausencia (Verificación heredada de la ficha de resumen V6.)</t>
        </is>
      </c>
    </row>
    <row r="31">
      <c r="A31" s="57" t="inlineStr">
        <is>
          <t>RESUMEN</t>
        </is>
      </c>
      <c r="B31" s="58" t="inlineStr">
        <is>
          <t>21 verificaciones</t>
        </is>
      </c>
      <c r="C31" s="58" t="inlineStr">
        <is>
          <t>SUSTANTIVA: 8 · NO SUSTANTIVA: 1 · CORREGIDO: 1 · CONFORME: 11</t>
        </is>
      </c>
    </row>
    <row r="33">
      <c r="A33"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33:E33"/>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70</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8. Responsable y modalidad de la evaluación</t>
        </is>
      </c>
      <c r="B9" s="55" t="inlineStr">
        <is>
          <t>Fecha de evaluación</t>
        </is>
      </c>
      <c r="C9" s="55" t="inlineStr">
        <is>
          <t>2026-09-05 (gabinete) — reconocimiento de campo 19-08-2026</t>
        </is>
      </c>
      <c r="D9" s="55" t="inlineStr">
        <is>
          <t>19-08-2026</t>
        </is>
      </c>
      <c r="E9" s="55" t="inlineStr">
        <is>
          <t>Dato de campo</t>
        </is>
      </c>
    </row>
    <row r="11">
      <c r="A11" s="53" t="inlineStr">
        <is>
          <t>B. HECHOS APORTADOS ÚNICAMENTE POR LA FICHA DE CAMPO</t>
        </is>
      </c>
    </row>
    <row r="12">
      <c r="A12" s="54" t="inlineStr">
        <is>
          <t>Sección</t>
        </is>
      </c>
      <c r="B12" s="54" t="inlineStr">
        <is>
          <t>Hecho</t>
        </is>
      </c>
      <c r="C12" s="54" t="inlineStr">
        <is>
          <t>Valor</t>
        </is>
      </c>
      <c r="D12" s="54" t="inlineStr">
        <is>
          <t>Unidad</t>
        </is>
      </c>
    </row>
    <row r="13">
      <c r="A13" s="55" t="inlineStr">
        <is>
          <t>1. Identificación y localización</t>
        </is>
      </c>
      <c r="B13" s="55" t="inlineStr">
        <is>
          <t>UTM ESTE del punto de muestreo (m)</t>
        </is>
      </c>
      <c r="C13" s="55" t="inlineStr">
        <is>
          <t>666717</t>
        </is>
      </c>
      <c r="D13" s="55" t="inlineStr">
        <is>
          <t>m</t>
        </is>
      </c>
    </row>
    <row r="14">
      <c r="A14" s="56" t="inlineStr">
        <is>
          <t>1. Identificación y localización</t>
        </is>
      </c>
      <c r="B14" s="56" t="inlineStr">
        <is>
          <t>UTM NORTE del punto de muestreo (m)</t>
        </is>
      </c>
      <c r="C14" s="56" t="inlineStr">
        <is>
          <t>9395397</t>
        </is>
      </c>
      <c r="D14" s="56" t="inlineStr">
        <is>
          <t>m</t>
        </is>
      </c>
    </row>
    <row r="15">
      <c r="A15" s="55" t="inlineStr">
        <is>
          <t>2. Parámetros físicos del terreno</t>
        </is>
      </c>
      <c r="B15" s="55" t="inlineStr">
        <is>
          <t>Altitud GPS del punto de muestreo (msnm)</t>
        </is>
      </c>
      <c r="C15" s="55" t="inlineStr">
        <is>
          <t>2293.1</t>
        </is>
      </c>
      <c r="D15" s="55" t="inlineStr">
        <is>
          <t>msnm</t>
        </is>
      </c>
    </row>
    <row r="16">
      <c r="A16" s="56" t="inlineStr">
        <is>
          <t>2. Parámetros físicos del terreno</t>
        </is>
      </c>
      <c r="B16" s="56" t="inlineStr">
        <is>
          <t>Piso altitudinal del punto de muestreo</t>
        </is>
      </c>
      <c r="C16" s="56" t="inlineStr">
        <is>
          <t>2000-2500 m (Quechua alta)</t>
        </is>
      </c>
      <c r="D16" s="56" t="inlineStr"/>
    </row>
    <row r="17">
      <c r="A17" s="55" t="inlineStr">
        <is>
          <t>2. Parámetros físicos del terreno</t>
        </is>
      </c>
      <c r="B17" s="55" t="inlineStr">
        <is>
          <t>Paisaje dominante descrito en campo</t>
        </is>
      </c>
      <c r="C17" s="55" t="inlineStr">
        <is>
          <t>Ladera de montaña de exposición sur, cubierta por pastizal y matorral bajo, coronada por línea de cumbre con arbolillos dispersos; vertiente drenada por vaguadas tributarias de la quebrada Q9592.</t>
        </is>
      </c>
      <c r="D17" s="55" t="inlineStr"/>
    </row>
    <row r="18">
      <c r="A18" s="56" t="inlineStr">
        <is>
          <t>2. Parámetros físicos del terreno</t>
        </is>
      </c>
      <c r="B18" s="56" t="inlineStr">
        <is>
          <t>Reptación de suelo</t>
        </is>
      </c>
      <c r="C18" s="56" t="inlineStr">
        <is>
          <t>Sí</t>
        </is>
      </c>
      <c r="D18" s="56" t="inlineStr"/>
    </row>
    <row r="19">
      <c r="A19" s="55" t="inlineStr">
        <is>
          <t>2. Parámetros físicos del terreno</t>
        </is>
      </c>
      <c r="B19" s="55" t="inlineStr">
        <is>
          <t>Deslizamientos antiguos</t>
        </is>
      </c>
      <c r="C19" s="55" t="inlineStr">
        <is>
          <t>No</t>
        </is>
      </c>
      <c r="D19" s="55" t="inlineStr"/>
    </row>
    <row r="20">
      <c r="A20" s="56" t="inlineStr">
        <is>
          <t>4. Suelos y erosión (F-DT-02)</t>
        </is>
      </c>
      <c r="B20" s="56" t="inlineStr">
        <is>
          <t>Nivel de erosión - síntesis de campo</t>
        </is>
      </c>
      <c r="C20" s="56" t="inlineStr">
        <is>
          <t>Ligera (laminar)</t>
        </is>
      </c>
      <c r="D20" s="56" t="inlineStr"/>
    </row>
    <row r="21">
      <c r="A21" s="55" t="inlineStr">
        <is>
          <t>4. Suelos y erosión (F-DT-02)</t>
        </is>
      </c>
      <c r="B21" s="55" t="inlineStr">
        <is>
          <t>Sellamiento / costra superficial</t>
        </is>
      </c>
      <c r="C21" s="55" t="inlineStr">
        <is>
          <t>No</t>
        </is>
      </c>
      <c r="D21" s="55" t="inlineStr"/>
    </row>
    <row r="22">
      <c r="A22" s="56" t="inlineStr">
        <is>
          <t>4. Suelos y erosión (F-DT-02)</t>
        </is>
      </c>
      <c r="B22" s="56" t="inlineStr">
        <is>
          <t>Compactación por pisoteo</t>
        </is>
      </c>
      <c r="C22" s="56" t="inlineStr">
        <is>
          <t>Sí</t>
        </is>
      </c>
      <c r="D22" s="56" t="inlineStr"/>
    </row>
    <row r="23">
      <c r="A23" s="55" t="inlineStr">
        <is>
          <t>4. Suelos y erosión (F-DT-02)</t>
        </is>
      </c>
      <c r="B23" s="55" t="inlineStr">
        <is>
          <t>Raíces expuestas</t>
        </is>
      </c>
      <c r="C23" s="55" t="inlineStr">
        <is>
          <t>No</t>
        </is>
      </c>
      <c r="D23" s="55" t="inlineStr"/>
    </row>
    <row r="24">
      <c r="A24" s="56" t="inlineStr">
        <is>
          <t>4. Suelos y erosión (F-DT-02)</t>
        </is>
      </c>
      <c r="B24" s="56" t="inlineStr">
        <is>
          <t>Patrón de cárcavas</t>
        </is>
      </c>
      <c r="C24" s="56" t="inlineStr">
        <is>
          <t>Lineal</t>
        </is>
      </c>
      <c r="D24" s="56" t="inlineStr"/>
    </row>
    <row r="25">
      <c r="A25" s="55" t="inlineStr">
        <is>
          <t>4. Suelos y erosión (F-DT-02)</t>
        </is>
      </c>
      <c r="B25" s="55" t="inlineStr">
        <is>
          <t>Socavamiento de cauce</t>
        </is>
      </c>
      <c r="C25" s="55" t="inlineStr">
        <is>
          <t>No</t>
        </is>
      </c>
      <c r="D25" s="55" t="inlineStr"/>
    </row>
    <row r="26">
      <c r="A26" s="56" t="inlineStr">
        <is>
          <t>5. Ecosistema, cobertura y flora (F-DT-03)</t>
        </is>
      </c>
      <c r="B26" s="56" t="inlineStr">
        <is>
          <t>Presencia de epífitas</t>
        </is>
      </c>
      <c r="C26" s="56" t="inlineStr">
        <is>
          <t>No</t>
        </is>
      </c>
      <c r="D26" s="56" t="inlineStr"/>
    </row>
    <row r="27">
      <c r="A27" s="55" t="inlineStr">
        <is>
          <t>5. Ecosistema, cobertura y flora (F-DT-03)</t>
        </is>
      </c>
      <c r="B27" s="55" t="inlineStr">
        <is>
          <t>Fenología dominante</t>
        </is>
      </c>
      <c r="C27" s="55" t="inlineStr">
        <is>
          <t>Latencia / Estrés hídrico</t>
        </is>
      </c>
      <c r="D27" s="55" t="inlineStr"/>
    </row>
    <row r="28">
      <c r="A28" s="56" t="inlineStr">
        <is>
          <t>5. Ecosistema, cobertura y flora (F-DT-03)</t>
        </is>
      </c>
      <c r="B28" s="56" t="inlineStr">
        <is>
          <t>Especies clave georreferenciadas</t>
        </is>
      </c>
      <c r="C28" s="56" t="inlineStr">
        <is>
          <t>6</t>
        </is>
      </c>
      <c r="D28" s="56" t="inlineStr"/>
    </row>
    <row r="29">
      <c r="A29" s="55" t="inlineStr">
        <is>
          <t>6. Degradación, causas y urgencia (F-DT-04)</t>
        </is>
      </c>
      <c r="B29" s="55" t="inlineStr">
        <is>
          <t>Causas directas de la degradación</t>
        </is>
      </c>
      <c r="C29" s="55" t="inlineStr">
        <is>
          <t>Sobrepastoreo con reptación superficial asociada (terracillas de pisoteo) y sustitución del matorral por pastizal en la vertiente sur.</t>
        </is>
      </c>
      <c r="D29" s="55" t="inlineStr"/>
    </row>
    <row r="30">
      <c r="A30" s="56" t="inlineStr">
        <is>
          <t>6. Degradación, causas y urgencia (F-DT-04)</t>
        </is>
      </c>
      <c r="B30" s="56" t="inlineStr">
        <is>
          <t>N.° de causas activas en la matriz F-DT-04</t>
        </is>
      </c>
      <c r="C30" s="56" t="inlineStr">
        <is>
          <t>4</t>
        </is>
      </c>
      <c r="D30" s="56" t="inlineStr"/>
    </row>
    <row r="31">
      <c r="A31" s="55" t="inlineStr">
        <is>
          <t>7. Hidrología, acceso y logística (F-DT-05)</t>
        </is>
      </c>
      <c r="B31" s="55" t="inlineStr">
        <is>
          <t>Escorrentía concentrada</t>
        </is>
      </c>
      <c r="C31" s="55" t="inlineStr">
        <is>
          <t>Sí</t>
        </is>
      </c>
      <c r="D31" s="55" t="inlineStr"/>
    </row>
    <row r="32">
      <c r="A32" s="56" t="inlineStr">
        <is>
          <t>7. Hidrología, acceso y logística (F-DT-05)</t>
        </is>
      </c>
      <c r="B32" s="56" t="inlineStr">
        <is>
          <t>Interferencia con riego</t>
        </is>
      </c>
      <c r="C32" s="56" t="inlineStr">
        <is>
          <t>No</t>
        </is>
      </c>
      <c r="D32" s="56" t="inlineStr"/>
    </row>
    <row r="33">
      <c r="A33" s="55" t="inlineStr">
        <is>
          <t>7. Hidrología, acceso y logística (F-DT-05)</t>
        </is>
      </c>
      <c r="B33" s="55" t="inlineStr">
        <is>
          <t>Vía principal de acceso</t>
        </is>
      </c>
      <c r="C33" s="55" t="inlineStr">
        <is>
          <t>Trocha carrozable Zururán – bloques 53/70 (red vial del plano temático)</t>
        </is>
      </c>
      <c r="D33" s="55" t="inlineStr"/>
    </row>
    <row r="34">
      <c r="A34" s="56" t="inlineStr">
        <is>
          <t>7. Hidrología, acceso y logística (F-DT-05)</t>
        </is>
      </c>
      <c r="B34" s="56" t="inlineStr">
        <is>
          <t>Tipo de vía del tramo final</t>
        </is>
      </c>
      <c r="C34" s="56" t="inlineStr">
        <is>
          <t>Trocha carrozable</t>
        </is>
      </c>
      <c r="D34" s="56" t="inlineStr"/>
    </row>
    <row r="35">
      <c r="A35" s="55" t="inlineStr">
        <is>
          <t>7. Hidrología, acceso y logística (F-DT-05)</t>
        </is>
      </c>
      <c r="B35" s="55" t="inlineStr">
        <is>
          <t>Transitabilidad en época seca</t>
        </is>
      </c>
      <c r="C35" s="55" t="inlineStr">
        <is>
          <t>Medio</t>
        </is>
      </c>
      <c r="D35" s="55" t="inlineStr"/>
    </row>
    <row r="36">
      <c r="A36" s="56" t="inlineStr">
        <is>
          <t>7. Hidrología, acceso y logística (F-DT-05)</t>
        </is>
      </c>
      <c r="B36" s="56" t="inlineStr">
        <is>
          <t>Transitabilidad en época lluviosa</t>
        </is>
      </c>
      <c r="C36" s="56" t="inlineStr">
        <is>
          <t>Bajo</t>
        </is>
      </c>
      <c r="D36" s="56" t="inlineStr"/>
    </row>
    <row r="38">
      <c r="A38" s="53" t="inlineStr">
        <is>
          <t>C. PROCEDENCIA DE LOS HECHOS DECLARADOS</t>
        </is>
      </c>
    </row>
    <row r="39">
      <c r="A39" s="54" t="inlineStr">
        <is>
          <t>Fuente</t>
        </is>
      </c>
      <c r="B39" s="54" t="inlineStr">
        <is>
          <t>Hechos</t>
        </is>
      </c>
      <c r="C39" s="54" t="inlineStr">
        <is>
          <t>Alcance de la fuente</t>
        </is>
      </c>
    </row>
    <row r="40">
      <c r="A40" s="55" t="inlineStr">
        <is>
          <t>Dato de campo</t>
        </is>
      </c>
      <c r="B40" s="55" t="n">
        <v>50</v>
      </c>
      <c r="C40" s="55" t="inlineStr">
        <is>
          <t>Verificación en campo. Fichas F-DT-01 a F-DT-05 de la Plantilla DT Campo Check Validada V5, suscritas por el evaluador.</t>
        </is>
      </c>
    </row>
    <row r="41">
      <c r="A41" s="56" t="inlineStr">
        <is>
          <t>Gabinete (GIS / teledetección)</t>
        </is>
      </c>
      <c r="B41" s="56" t="n">
        <v>25</v>
      </c>
      <c r="C41" s="56" t="inlineStr">
        <is>
          <t>Gabinete. Estadística zonal sobre el MDE y compuestos Sentinel-2 (NDVI mediana 2025, MSAVI 2024 por clase DN).</t>
        </is>
      </c>
    </row>
    <row r="42">
      <c r="A42" s="55" t="inlineStr">
        <is>
          <t>Fuente oficial</t>
        </is>
      </c>
      <c r="B42" s="55" t="n">
        <v>14</v>
      </c>
      <c r="C42" s="55" t="inlineStr">
        <is>
          <t>Fuente oficial. Catálogo maestro Bloques V5/V6, división política INEI y codificación de microcuencas de la ANA.</t>
        </is>
      </c>
    </row>
    <row r="44">
      <c r="A44" s="53" t="inlineStr">
        <is>
          <t>D. ESTADO DEL CRUCE ENTRE FUENTES</t>
        </is>
      </c>
    </row>
    <row r="45">
      <c r="A45" s="54" t="inlineStr">
        <is>
          <t>Estado</t>
        </is>
      </c>
      <c r="B45" s="54" t="inlineStr">
        <is>
          <t>Hechos</t>
        </is>
      </c>
      <c r="C45" s="54" t="inlineStr">
        <is>
          <t>Significado</t>
        </is>
      </c>
    </row>
    <row r="46">
      <c r="A46" s="55" t="inlineStr">
        <is>
          <t>CONFORME</t>
        </is>
      </c>
      <c r="B46" s="55" t="n">
        <v>85</v>
      </c>
      <c r="C46" s="55" t="inlineStr">
        <is>
          <t>Las dos fuentes declaran lo mismo, o solo la fuente que manda sobre el hecho lo declara.</t>
        </is>
      </c>
    </row>
    <row r="47">
      <c r="A47" s="56" t="inlineStr">
        <is>
          <t>COMPLEMENTADO</t>
        </is>
      </c>
      <c r="B47" s="56" t="n">
        <v>3</v>
      </c>
      <c r="C47" s="56" t="inlineStr">
        <is>
          <t>Solo una de las fuentes lo declara y se adopta ese valor.</t>
        </is>
      </c>
    </row>
    <row r="48">
      <c r="A48" s="55" t="inlineStr">
        <is>
          <t>ACTUALIZADO</t>
        </is>
      </c>
      <c r="B48" s="55" t="n">
        <v>1</v>
      </c>
      <c r="C48" s="55" t="inlineStr">
        <is>
          <t>La verificación de campo vigente corrige lo que traía el libro de resumen.</t>
        </is>
      </c>
    </row>
    <row r="49">
      <c r="A49" s="56" t="inlineStr">
        <is>
          <t>DISCREPANTE</t>
        </is>
      </c>
      <c r="B49" s="56" t="n">
        <v>0</v>
      </c>
      <c r="C49" s="56" t="inlineStr">
        <is>
          <t>Las fuentes se contradicen; prevalece la que manda sobre el hecho y la otra queda declarada.</t>
        </is>
      </c>
    </row>
    <row r="50">
      <c r="A50" s="55" t="inlineStr">
        <is>
          <t>PENDIENTE</t>
        </is>
      </c>
      <c r="B50" s="55" t="n">
        <v>25</v>
      </c>
      <c r="C50"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70</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Sin cárcavas inventariadas en el tramo verificado</t>
        </is>
      </c>
      <c r="B9" s="55" t="inlineStr"/>
      <c r="C9" s="55" t="inlineStr"/>
      <c r="D9" s="55" t="inlineStr"/>
      <c r="E9" s="55" t="inlineStr"/>
      <c r="F9" s="55" t="inlineStr"/>
      <c r="G9" s="55" t="inlineStr"/>
      <c r="H9" s="55" t="inlineStr"/>
      <c r="I9" s="55" t="inlineStr"/>
    </row>
    <row r="11">
      <c r="A11" s="53" t="inlineStr">
        <is>
          <t>F-DT-03 · ELENCO FLORÍSTICO</t>
        </is>
      </c>
    </row>
    <row r="12">
      <c r="A12" s="54" t="inlineStr">
        <is>
          <t>N.o</t>
        </is>
      </c>
      <c r="B12" s="54" t="inlineStr">
        <is>
          <t>Nombre común</t>
        </is>
      </c>
      <c r="C12" s="54" t="inlineStr">
        <is>
          <t>Nombre científico</t>
        </is>
      </c>
      <c r="D12" s="54" t="inlineStr">
        <is>
          <t>Familia</t>
        </is>
      </c>
      <c r="E12" s="54" t="inlineStr">
        <is>
          <t>Estrato</t>
        </is>
      </c>
      <c r="F12" s="54" t="inlineStr">
        <is>
          <t>Origen</t>
        </is>
      </c>
      <c r="G12" s="54" t="inlineStr">
        <is>
          <t>Abundancia</t>
        </is>
      </c>
      <c r="H12" s="54" t="inlineStr">
        <is>
          <t>DAP (cm)</t>
        </is>
      </c>
      <c r="I12" s="54" t="inlineStr">
        <is>
          <t>Altura (m)</t>
        </is>
      </c>
    </row>
    <row r="13">
      <c r="A13" s="55" t="inlineStr">
        <is>
          <t>1</t>
        </is>
      </c>
      <c r="B13" s="55" t="inlineStr">
        <is>
          <t>Agave / penca</t>
        </is>
      </c>
      <c r="C13" s="55" t="inlineStr">
        <is>
          <t>Agave americana</t>
        </is>
      </c>
      <c r="D13" s="55" t="inlineStr">
        <is>
          <t>Asparagaceae</t>
        </is>
      </c>
      <c r="E13" s="55" t="inlineStr">
        <is>
          <t>Arbustivo alto (1.5-4 m)</t>
        </is>
      </c>
      <c r="F13" s="55" t="inlineStr">
        <is>
          <t>Introducida</t>
        </is>
      </c>
      <c r="G13" s="55" t="inlineStr">
        <is>
          <t>Ocasional (1-5%)</t>
        </is>
      </c>
      <c r="H13" s="55" t="n"/>
      <c r="I13" s="55" t="n"/>
    </row>
    <row r="14">
      <c r="A14" s="56" t="inlineStr">
        <is>
          <t>2</t>
        </is>
      </c>
      <c r="B14" s="56" t="inlineStr">
        <is>
          <t>Chilca</t>
        </is>
      </c>
      <c r="C14" s="56" t="inlineStr">
        <is>
          <t>Baccharis spp.</t>
        </is>
      </c>
      <c r="D14" s="56" t="inlineStr">
        <is>
          <t>Asteraceae</t>
        </is>
      </c>
      <c r="E14" s="56" t="inlineStr">
        <is>
          <t>Arbustivo alto (1.5-4 m)</t>
        </is>
      </c>
      <c r="F14" s="56" t="inlineStr">
        <is>
          <t>Nativa</t>
        </is>
      </c>
      <c r="G14" s="56" t="inlineStr">
        <is>
          <t>Frecuente (5-20%)</t>
        </is>
      </c>
      <c r="H14" s="56" t="n"/>
      <c r="I14" s="56" t="n"/>
    </row>
    <row r="15">
      <c r="A15" s="55" t="inlineStr">
        <is>
          <t>3</t>
        </is>
      </c>
      <c r="B15" s="55" t="inlineStr">
        <is>
          <t>Huaranhuay / cholán</t>
        </is>
      </c>
      <c r="C15" s="55" t="inlineStr">
        <is>
          <t>Tecoma stans</t>
        </is>
      </c>
      <c r="D15" s="55" t="inlineStr">
        <is>
          <t>Bignoniaceae</t>
        </is>
      </c>
      <c r="E15" s="55" t="inlineStr">
        <is>
          <t>Arbustivo alto (1.5-4 m)</t>
        </is>
      </c>
      <c r="F15" s="55" t="inlineStr">
        <is>
          <t>Nativa</t>
        </is>
      </c>
      <c r="G15" s="55" t="inlineStr">
        <is>
          <t>Frecuente (5-20%)</t>
        </is>
      </c>
      <c r="H15" s="55" t="n"/>
      <c r="I15" s="55" t="n"/>
    </row>
    <row r="16">
      <c r="A16" s="56" t="inlineStr">
        <is>
          <t>4</t>
        </is>
      </c>
      <c r="B16" s="56" t="inlineStr">
        <is>
          <t>Bignoniácea por determinar</t>
        </is>
      </c>
      <c r="C16" s="56" t="inlineStr">
        <is>
          <t>Bignoniaceae (indet.)</t>
        </is>
      </c>
      <c r="D16" s="56" t="inlineStr">
        <is>
          <t>Bignoniaceae</t>
        </is>
      </c>
      <c r="E16" s="56" t="inlineStr">
        <is>
          <t>Arbustivo alto (1.5-4 m)</t>
        </is>
      </c>
      <c r="F16" s="56" t="inlineStr">
        <is>
          <t>Nativa</t>
        </is>
      </c>
      <c r="G16" s="56" t="inlineStr">
        <is>
          <t>Ocasional (1-5%)</t>
        </is>
      </c>
      <c r="H16" s="56" t="n"/>
      <c r="I16" s="56" t="n"/>
    </row>
    <row r="17">
      <c r="A17" s="55" t="inlineStr">
        <is>
          <t>5</t>
        </is>
      </c>
      <c r="B17" s="55" t="inlineStr">
        <is>
          <t>Gramíneas / pastos naturales</t>
        </is>
      </c>
      <c r="C17" s="55" t="inlineStr">
        <is>
          <t>Poaceae (indet.)</t>
        </is>
      </c>
      <c r="D17" s="55" t="inlineStr">
        <is>
          <t>Poaceae</t>
        </is>
      </c>
      <c r="E17" s="55" t="inlineStr">
        <is>
          <t>Herbáceo (&lt;0.5 m)</t>
        </is>
      </c>
      <c r="F17" s="55" t="inlineStr">
        <is>
          <t>Nativa</t>
        </is>
      </c>
      <c r="G17" s="55" t="inlineStr">
        <is>
          <t>Abundante (20-40%)</t>
        </is>
      </c>
      <c r="H17" s="55" t="n"/>
      <c r="I17" s="55" t="n"/>
    </row>
    <row r="18">
      <c r="A18" s="56" t="inlineStr">
        <is>
          <t>6</t>
        </is>
      </c>
      <c r="B18" s="56" t="inlineStr">
        <is>
          <t>Pastos cultivados</t>
        </is>
      </c>
      <c r="C18" s="56" t="inlineStr">
        <is>
          <t>Poaceae (indet.)</t>
        </is>
      </c>
      <c r="D18" s="56" t="inlineStr">
        <is>
          <t>Poaceae</t>
        </is>
      </c>
      <c r="E18" s="56" t="inlineStr">
        <is>
          <t>Herbáceo (&lt;0.5 m)</t>
        </is>
      </c>
      <c r="F18" s="56" t="inlineStr">
        <is>
          <t>Introducida</t>
        </is>
      </c>
      <c r="G18" s="56" t="inlineStr">
        <is>
          <t>Abundante (20-40%)</t>
        </is>
      </c>
      <c r="H18" s="56" t="n"/>
      <c r="I18" s="56" t="n"/>
    </row>
    <row r="19">
      <c r="A19" s="55" t="inlineStr">
        <is>
          <t>7</t>
        </is>
      </c>
      <c r="B19" s="55" t="inlineStr">
        <is>
          <t>Eucalipto</t>
        </is>
      </c>
      <c r="C19" s="55" t="inlineStr">
        <is>
          <t>Eucalyptus globulus</t>
        </is>
      </c>
      <c r="D19" s="55" t="inlineStr">
        <is>
          <t>Myrtaceae</t>
        </is>
      </c>
      <c r="E19" s="55" t="inlineStr">
        <is>
          <t>Arbóreo superior (&gt;15 m)</t>
        </is>
      </c>
      <c r="F19" s="55" t="inlineStr">
        <is>
          <t>Introducida</t>
        </is>
      </c>
      <c r="G19" s="55" t="inlineStr">
        <is>
          <t>Ocasional (1-5%)</t>
        </is>
      </c>
      <c r="H19" s="55" t="n"/>
      <c r="I19" s="55" t="n"/>
    </row>
    <row r="20">
      <c r="A20" s="56" t="inlineStr">
        <is>
          <t>8</t>
        </is>
      </c>
      <c r="B20" s="56" t="inlineStr">
        <is>
          <t>Arbusto de flor amarilla</t>
        </is>
      </c>
      <c r="C20" s="56" t="inlineStr">
        <is>
          <t>Asteraceae (indet.)</t>
        </is>
      </c>
      <c r="D20" s="56" t="inlineStr">
        <is>
          <t>Asteraceae</t>
        </is>
      </c>
      <c r="E20" s="56" t="inlineStr">
        <is>
          <t>Arbustivo alto (1.5-4 m)</t>
        </is>
      </c>
      <c r="F20" s="56" t="inlineStr">
        <is>
          <t>Nativa</t>
        </is>
      </c>
      <c r="G20" s="56" t="inlineStr">
        <is>
          <t>Frecuente (5-20%)</t>
        </is>
      </c>
      <c r="H20" s="56" t="n"/>
      <c r="I20" s="56" t="n"/>
    </row>
    <row r="21">
      <c r="A21" s="55" t="inlineStr">
        <is>
          <t>9</t>
        </is>
      </c>
      <c r="B21" s="55" t="inlineStr">
        <is>
          <t>Arbusto de hoja coriácea</t>
        </is>
      </c>
      <c r="C21" s="55" t="inlineStr">
        <is>
          <t>Melastomataceae (indet.)</t>
        </is>
      </c>
      <c r="D21" s="55" t="inlineStr">
        <is>
          <t>Melastomataceae</t>
        </is>
      </c>
      <c r="E21" s="55" t="inlineStr">
        <is>
          <t>Arbustivo alto (1.5-4 m)</t>
        </is>
      </c>
      <c r="F21" s="55" t="inlineStr">
        <is>
          <t>Nativa</t>
        </is>
      </c>
      <c r="G21" s="55" t="inlineStr">
        <is>
          <t>Frecuente (5-20%)</t>
        </is>
      </c>
      <c r="H21" s="55" t="n"/>
      <c r="I21" s="55" t="n"/>
    </row>
    <row r="22">
      <c r="A22" s="56" t="inlineStr">
        <is>
          <t>10</t>
        </is>
      </c>
      <c r="B22" s="56" t="inlineStr">
        <is>
          <t>Crasa de roquedo</t>
        </is>
      </c>
      <c r="C22" s="56" t="inlineStr">
        <is>
          <t>Crassulaceae (indet.)</t>
        </is>
      </c>
      <c r="D22" s="56" t="inlineStr">
        <is>
          <t>Crassulaceae</t>
        </is>
      </c>
      <c r="E22" s="56" t="inlineStr">
        <is>
          <t>Herbáceo (&lt;0.5 m)</t>
        </is>
      </c>
      <c r="F22" s="56" t="inlineStr">
        <is>
          <t>Nativa</t>
        </is>
      </c>
      <c r="G22" s="56" t="inlineStr">
        <is>
          <t>Ocasional (1-5%)</t>
        </is>
      </c>
      <c r="H22" s="56" t="n"/>
      <c r="I22" s="56" t="n"/>
    </row>
    <row r="23">
      <c r="A23" s="55" t="inlineStr">
        <is>
          <t>11</t>
        </is>
      </c>
      <c r="B23" s="55" t="inlineStr">
        <is>
          <t>Helecho</t>
        </is>
      </c>
      <c r="C23" s="55" t="inlineStr">
        <is>
          <t>Pteridophyta (indet.)</t>
        </is>
      </c>
      <c r="D23" s="55" t="inlineStr">
        <is>
          <t>Por determinar</t>
        </is>
      </c>
      <c r="E23" s="55" t="inlineStr">
        <is>
          <t>Herbáceo (&lt;0.5 m)</t>
        </is>
      </c>
      <c r="F23" s="55" t="inlineStr">
        <is>
          <t>Nativa</t>
        </is>
      </c>
      <c r="G23" s="55" t="inlineStr">
        <is>
          <t>Ocasional (1-5%)</t>
        </is>
      </c>
      <c r="H23" s="55" t="n"/>
      <c r="I23" s="55" t="n"/>
    </row>
    <row r="24">
      <c r="A24" s="56" t="inlineStr">
        <is>
          <t>12</t>
        </is>
      </c>
      <c r="B24" s="56" t="inlineStr">
        <is>
          <t>Arbolillo de dosel emergente</t>
        </is>
      </c>
      <c r="C24" s="56" t="inlineStr">
        <is>
          <t>Por determinar</t>
        </is>
      </c>
      <c r="D24" s="56" t="inlineStr">
        <is>
          <t>Por determinar</t>
        </is>
      </c>
      <c r="E24" s="56" t="inlineStr">
        <is>
          <t>Arbóreo bajo (4-8 m)</t>
        </is>
      </c>
      <c r="F24" s="56" t="inlineStr">
        <is>
          <t>Nativa</t>
        </is>
      </c>
      <c r="G24" s="56" t="inlineStr">
        <is>
          <t>Rara (&lt;1%)</t>
        </is>
      </c>
      <c r="H24" s="56" t="n"/>
      <c r="I24" s="56" t="n"/>
    </row>
    <row r="25">
      <c r="A25" s="55" t="inlineStr">
        <is>
          <t>13</t>
        </is>
      </c>
      <c r="B25" s="55" t="inlineStr">
        <is>
          <t>Matorral andino no diferenciado</t>
        </is>
      </c>
      <c r="C25" s="55" t="inlineStr">
        <is>
          <t>Por determinar</t>
        </is>
      </c>
      <c r="D25" s="55" t="inlineStr">
        <is>
          <t>Por determinar</t>
        </is>
      </c>
      <c r="E25" s="55" t="inlineStr">
        <is>
          <t>Arbustivo alto (1.5-4 m)</t>
        </is>
      </c>
      <c r="F25" s="55" t="inlineStr">
        <is>
          <t>Nativa</t>
        </is>
      </c>
      <c r="G25" s="55" t="inlineStr">
        <is>
          <t>Dominante (&gt;40%)</t>
        </is>
      </c>
      <c r="H25" s="55" t="n"/>
      <c r="I25" s="55" t="n"/>
    </row>
    <row r="26">
      <c r="A26" s="56" t="inlineStr">
        <is>
          <t>14</t>
        </is>
      </c>
      <c r="B26" s="56" t="inlineStr">
        <is>
          <t>Arbusto defoliado (época seca)</t>
        </is>
      </c>
      <c r="C26" s="56" t="inlineStr">
        <is>
          <t>Por determinar</t>
        </is>
      </c>
      <c r="D26" s="56" t="inlineStr">
        <is>
          <t>Por determinar</t>
        </is>
      </c>
      <c r="E26" s="56" t="inlineStr">
        <is>
          <t>Arbustivo bajo (0.5-1.5 m)</t>
        </is>
      </c>
      <c r="F26" s="56" t="inlineStr">
        <is>
          <t>Nativa</t>
        </is>
      </c>
      <c r="G26" s="56" t="inlineStr">
        <is>
          <t>Frecuente (5-20%)</t>
        </is>
      </c>
      <c r="H26" s="56" t="n"/>
      <c r="I26" s="56" t="n"/>
    </row>
    <row r="27">
      <c r="A27" s="55" t="inlineStr">
        <is>
          <t>15</t>
        </is>
      </c>
      <c r="B27" s="55" t="inlineStr">
        <is>
          <t>Herbácea de borde de camino</t>
        </is>
      </c>
      <c r="C27" s="55" t="inlineStr">
        <is>
          <t>Por determinar</t>
        </is>
      </c>
      <c r="D27" s="55" t="inlineStr">
        <is>
          <t>Por determinar</t>
        </is>
      </c>
      <c r="E27" s="55" t="inlineStr">
        <is>
          <t>Herbáceo (&lt;0.5 m)</t>
        </is>
      </c>
      <c r="F27" s="55" t="inlineStr">
        <is>
          <t>Por determinar</t>
        </is>
      </c>
      <c r="G27" s="55" t="inlineStr">
        <is>
          <t>Ocasional (1-5%)</t>
        </is>
      </c>
      <c r="H27" s="55" t="n"/>
      <c r="I27" s="55" t="n"/>
    </row>
    <row r="29">
      <c r="A29" s="53" t="inlineStr">
        <is>
          <t>F-DT-03 · ESPECIES CLAVE GEORREFERENCIADAS</t>
        </is>
      </c>
    </row>
    <row r="30">
      <c r="A30" s="54" t="inlineStr">
        <is>
          <t>N.o</t>
        </is>
      </c>
      <c r="B30" s="54" t="inlineStr">
        <is>
          <t>Especie</t>
        </is>
      </c>
      <c r="C30" s="54" t="inlineStr">
        <is>
          <t>Categoría</t>
        </is>
      </c>
      <c r="D30" s="54" t="inlineStr">
        <is>
          <t>Estado UICN</t>
        </is>
      </c>
      <c r="E30" s="54" t="inlineStr">
        <is>
          <t>UTM ESTE</t>
        </is>
      </c>
      <c r="F30" s="54" t="inlineStr">
        <is>
          <t>UTM NORTE</t>
        </is>
      </c>
      <c r="G30" s="54" t="inlineStr">
        <is>
          <t>N.° individuos</t>
        </is>
      </c>
      <c r="H30" s="54" t="inlineStr">
        <is>
          <t>Observación</t>
        </is>
      </c>
    </row>
    <row r="31">
      <c r="A31" s="55" t="inlineStr">
        <is>
          <t>1</t>
        </is>
      </c>
      <c r="B31" s="55" t="inlineStr">
        <is>
          <t>Tecoma stans (huaranhuay)</t>
        </is>
      </c>
      <c r="C31" s="55" t="inlineStr">
        <is>
          <t>Indicadora de perturbación</t>
        </is>
      </c>
      <c r="D31" s="55" t="inlineStr">
        <is>
          <t>NE — No Evaluado</t>
        </is>
      </c>
      <c r="E31" s="55" t="n"/>
      <c r="F31" s="55" t="n"/>
      <c r="G31" s="55" t="n"/>
      <c r="H31" s="55" t="inlineStr">
        <is>
          <t>Pionera de laderas intervenidas; alto valor para revegetación</t>
        </is>
      </c>
    </row>
    <row r="32">
      <c r="A32" s="56" t="inlineStr">
        <is>
          <t>2</t>
        </is>
      </c>
      <c r="B32" s="56" t="inlineStr">
        <is>
          <t>Baccharis spp. (chilca)</t>
        </is>
      </c>
      <c r="C32" s="56" t="inlineStr">
        <is>
          <t>Indicadora de perturbación</t>
        </is>
      </c>
      <c r="D32" s="56" t="inlineStr">
        <is>
          <t>NE — No Evaluado</t>
        </is>
      </c>
      <c r="E32" s="56" t="n"/>
      <c r="F32" s="56" t="n"/>
      <c r="G32" s="56" t="n"/>
      <c r="H32" s="56" t="inlineStr">
        <is>
          <t>Coloniza bordes de camino y taludes de corte</t>
        </is>
      </c>
    </row>
    <row r="33">
      <c r="A33" s="55" t="inlineStr">
        <is>
          <t>3</t>
        </is>
      </c>
      <c r="B33" s="55" t="inlineStr">
        <is>
          <t>Agave americana</t>
        </is>
      </c>
      <c r="C33" s="55" t="inlineStr">
        <is>
          <t>Indicadora de perturbación</t>
        </is>
      </c>
      <c r="D33" s="55" t="inlineStr">
        <is>
          <t>No aplica</t>
        </is>
      </c>
      <c r="E33" s="55" t="n"/>
      <c r="F33" s="55" t="n"/>
      <c r="G33" s="55" t="n"/>
      <c r="H33" s="55" t="inlineStr">
        <is>
          <t>Introducida; asociada a cercos, taludes y bordes de camino</t>
        </is>
      </c>
    </row>
    <row r="34">
      <c r="A34" s="56" t="inlineStr">
        <is>
          <t>4</t>
        </is>
      </c>
      <c r="B34" s="56" t="inlineStr">
        <is>
          <t>Eucalyptus globulus</t>
        </is>
      </c>
      <c r="C34" s="56" t="inlineStr">
        <is>
          <t>Indicadora de perturbación</t>
        </is>
      </c>
      <c r="D34" s="56" t="inlineStr">
        <is>
          <t>No aplica</t>
        </is>
      </c>
      <c r="E34" s="56" t="n"/>
      <c r="F34" s="56" t="n"/>
      <c r="G34" s="56" t="n"/>
      <c r="H34" s="56" t="inlineStr">
        <is>
          <t>Introducida; plantaciones y linderos del entorno</t>
        </is>
      </c>
    </row>
    <row r="35">
      <c r="A35" s="55" t="inlineStr">
        <is>
          <t>5</t>
        </is>
      </c>
      <c r="B35" s="55" t="inlineStr">
        <is>
          <t>Poaceae (pastos cultivados)</t>
        </is>
      </c>
      <c r="C35" s="55" t="inlineStr">
        <is>
          <t>Indicadora de perturbación</t>
        </is>
      </c>
      <c r="D35" s="55" t="inlineStr">
        <is>
          <t>No aplica</t>
        </is>
      </c>
      <c r="E35" s="55" t="n"/>
      <c r="F35" s="55" t="n"/>
      <c r="G35" s="55" t="n"/>
      <c r="H35" s="55" t="inlineStr">
        <is>
          <t>Sustitución de cobertura natural por pastura</t>
        </is>
      </c>
    </row>
    <row r="36">
      <c r="A36" s="56" t="inlineStr">
        <is>
          <t>6</t>
        </is>
      </c>
      <c r="B36" s="56" t="inlineStr">
        <is>
          <t>Melastomataceae (indet.)</t>
        </is>
      </c>
      <c r="C36" s="56" t="inlineStr">
        <is>
          <t>Indicadora de buen estado</t>
        </is>
      </c>
      <c r="D36" s="56" t="inlineStr">
        <is>
          <t>NE — No Evaluado</t>
        </is>
      </c>
      <c r="E36" s="56" t="n"/>
      <c r="F36" s="56" t="n"/>
      <c r="G36" s="56" t="n"/>
      <c r="H36" s="56" t="inlineStr">
        <is>
          <t>Familia característica del matorral andino subhúmedo</t>
        </is>
      </c>
    </row>
    <row r="38">
      <c r="A38" s="53" t="inlineStr">
        <is>
          <t>F-DT-04 · MATRIZ DE CAUSAS DE DEGRADACIÓN</t>
        </is>
      </c>
    </row>
    <row r="39">
      <c r="A39" s="54" t="inlineStr">
        <is>
          <t>N.o</t>
        </is>
      </c>
      <c r="B39" s="54" t="inlineStr">
        <is>
          <t>Causa</t>
        </is>
      </c>
      <c r="C39" s="54" t="inlineStr">
        <is>
          <t>Presencia</t>
        </is>
      </c>
      <c r="D39" s="54" t="inlineStr">
        <is>
          <t>Intensidad</t>
        </is>
      </c>
      <c r="E39" s="54" t="inlineStr">
        <is>
          <t>Extensión</t>
        </is>
      </c>
      <c r="F39" s="54" t="inlineStr">
        <is>
          <t>Antigüedad</t>
        </is>
      </c>
      <c r="G39" s="54" t="inlineStr">
        <is>
          <t>Evidencia</t>
        </is>
      </c>
    </row>
    <row r="40">
      <c r="A40" s="55" t="inlineStr">
        <is>
          <t>1</t>
        </is>
      </c>
      <c r="B40" s="55" t="inlineStr">
        <is>
          <t>Sobrepastoreo (caprino/vacuno)</t>
        </is>
      </c>
      <c r="C40" s="55" t="inlineStr">
        <is>
          <t>Sí</t>
        </is>
      </c>
      <c r="D40" s="55" t="inlineStr">
        <is>
          <t>Fuerte</t>
        </is>
      </c>
      <c r="E40" s="55" t="inlineStr">
        <is>
          <t>70</t>
        </is>
      </c>
      <c r="F40" s="55" t="inlineStr">
        <is>
          <t>20</t>
        </is>
      </c>
      <c r="G40" s="55" t="inlineStr">
        <is>
          <t>Terracillas de pisoteo paralelas a la curva de nivel sobre pasto y matorral bajo (E-04); cobertura herbácea consumida en la vertiente sur</t>
        </is>
      </c>
    </row>
    <row r="41">
      <c r="A41" s="56" t="inlineStr">
        <is>
          <t>2</t>
        </is>
      </c>
      <c r="B41" s="56" t="inlineStr">
        <is>
          <t>Tala para leña</t>
        </is>
      </c>
      <c r="C41" s="56" t="inlineStr">
        <is>
          <t>Por determinar</t>
        </is>
      </c>
      <c r="D41" s="56" t="inlineStr">
        <is>
          <t>Nula</t>
        </is>
      </c>
      <c r="E41" s="56" t="inlineStr"/>
      <c r="F41" s="56" t="inlineStr"/>
      <c r="G41" s="56" t="inlineStr">
        <is>
          <t>Sin evidencia directa de tocones en las estaciones registradas</t>
        </is>
      </c>
    </row>
    <row r="42">
      <c r="A42" s="55" t="inlineStr">
        <is>
          <t>3</t>
        </is>
      </c>
      <c r="B42" s="55" t="inlineStr">
        <is>
          <t>Tala para carbón</t>
        </is>
      </c>
      <c r="C42" s="55" t="inlineStr"/>
      <c r="D42" s="55" t="inlineStr"/>
      <c r="E42" s="55" t="inlineStr"/>
      <c r="F42" s="55" t="inlineStr"/>
      <c r="G42" s="55" t="inlineStr"/>
    </row>
    <row r="43">
      <c r="A43" s="56" t="inlineStr">
        <is>
          <t>4</t>
        </is>
      </c>
      <c r="B43" s="56" t="inlineStr">
        <is>
          <t>Tala para madera</t>
        </is>
      </c>
      <c r="C43" s="56" t="inlineStr"/>
      <c r="D43" s="56" t="inlineStr"/>
      <c r="E43" s="56" t="inlineStr"/>
      <c r="F43" s="56" t="inlineStr"/>
      <c r="G43" s="56" t="inlineStr"/>
    </row>
    <row r="44">
      <c r="A44" s="55" t="inlineStr">
        <is>
          <t>5</t>
        </is>
      </c>
      <c r="B44" s="55" t="inlineStr">
        <is>
          <t>Quema (renovación de pastos)</t>
        </is>
      </c>
      <c r="C44" s="55" t="inlineStr">
        <is>
          <t>Por determinar</t>
        </is>
      </c>
      <c r="D44" s="55" t="inlineStr">
        <is>
          <t>Nula</t>
        </is>
      </c>
      <c r="E44" s="55" t="inlineStr"/>
      <c r="F44" s="55" t="inlineStr"/>
      <c r="G44" s="55" t="inlineStr">
        <is>
          <t>Sin cicatrices de quema identificadas en el material disponible</t>
        </is>
      </c>
    </row>
    <row r="45">
      <c r="A45" s="56" t="inlineStr">
        <is>
          <t>6</t>
        </is>
      </c>
      <c r="B45" s="56" t="inlineStr">
        <is>
          <t>Quema accidental / Incendio</t>
        </is>
      </c>
      <c r="C45" s="56" t="inlineStr"/>
      <c r="D45" s="56" t="inlineStr"/>
      <c r="E45" s="56" t="inlineStr"/>
      <c r="F45" s="56" t="inlineStr"/>
      <c r="G45" s="56" t="inlineStr"/>
    </row>
    <row r="46">
      <c r="A46" s="55" t="inlineStr">
        <is>
          <t>7</t>
        </is>
      </c>
      <c r="B46" s="55" t="inlineStr">
        <is>
          <t>Cambio de uso a agricultura</t>
        </is>
      </c>
      <c r="C46" s="55" t="inlineStr"/>
      <c r="D46" s="55" t="inlineStr"/>
      <c r="E46" s="55" t="inlineStr"/>
      <c r="F46" s="55" t="inlineStr"/>
      <c r="G46" s="55" t="inlineStr"/>
    </row>
    <row r="47">
      <c r="A47" s="56" t="inlineStr">
        <is>
          <t>8</t>
        </is>
      </c>
      <c r="B47" s="56" t="inlineStr">
        <is>
          <t>Cambio de uso a pastoreo</t>
        </is>
      </c>
      <c r="C47" s="56" t="inlineStr">
        <is>
          <t>Sí</t>
        </is>
      </c>
      <c r="D47" s="56" t="inlineStr">
        <is>
          <t>Moderada</t>
        </is>
      </c>
      <c r="E47" s="56" t="inlineStr">
        <is>
          <t>60</t>
        </is>
      </c>
      <c r="F47" s="56" t="inlineStr">
        <is>
          <t>20</t>
        </is>
      </c>
      <c r="G47" s="56" t="inlineStr">
        <is>
          <t>Pastizal y pastos cultivados en sustitución del matorral en la vertiente de exposición sur</t>
        </is>
      </c>
    </row>
    <row r="48">
      <c r="A48" s="55" t="inlineStr">
        <is>
          <t>9</t>
        </is>
      </c>
      <c r="B48" s="55" t="inlineStr">
        <is>
          <t>Expansión urbana / vial</t>
        </is>
      </c>
      <c r="C48" s="55" t="inlineStr">
        <is>
          <t>Sí</t>
        </is>
      </c>
      <c r="D48" s="55" t="inlineStr">
        <is>
          <t>Ligera</t>
        </is>
      </c>
      <c r="E48" s="55" t="inlineStr">
        <is>
          <t>5</t>
        </is>
      </c>
      <c r="F48" s="55" t="inlineStr"/>
      <c r="G48" s="55" t="inlineStr">
        <is>
          <t>Trocha carrozable sobre el límite sur del bloque, con talud de corte descubierto (E-01); línea eléctrica aérea sobre la ladera</t>
        </is>
      </c>
    </row>
    <row r="49">
      <c r="A49" s="56" t="inlineStr">
        <is>
          <t>10</t>
        </is>
      </c>
      <c r="B49" s="56" t="inlineStr">
        <is>
          <t>Minería informal</t>
        </is>
      </c>
      <c r="C49" s="56" t="inlineStr"/>
      <c r="D49" s="56" t="inlineStr"/>
      <c r="E49" s="56" t="inlineStr"/>
      <c r="F49" s="56" t="inlineStr"/>
      <c r="G49" s="56" t="inlineStr"/>
    </row>
    <row r="50">
      <c r="A50" s="55" t="inlineStr">
        <is>
          <t>11</t>
        </is>
      </c>
      <c r="B50" s="55" t="inlineStr">
        <is>
          <t>Extracción de áridos (cauces)</t>
        </is>
      </c>
      <c r="C50" s="55" t="inlineStr"/>
      <c r="D50" s="55" t="inlineStr"/>
      <c r="E50" s="55" t="inlineStr"/>
      <c r="F50" s="55" t="inlineStr"/>
      <c r="G50" s="55" t="inlineStr"/>
    </row>
    <row r="51">
      <c r="A51" s="56" t="inlineStr">
        <is>
          <t>12</t>
        </is>
      </c>
      <c r="B51" s="56" t="inlineStr">
        <is>
          <t>Especies invasoras</t>
        </is>
      </c>
      <c r="C51" s="56" t="inlineStr"/>
      <c r="D51" s="56" t="inlineStr"/>
      <c r="E51" s="56" t="inlineStr"/>
      <c r="F51" s="56" t="inlineStr"/>
      <c r="G51" s="56" t="inlineStr"/>
    </row>
    <row r="52">
      <c r="A52" s="55" t="inlineStr">
        <is>
          <t>13</t>
        </is>
      </c>
      <c r="B52" s="55" t="inlineStr">
        <is>
          <t>Erosión natural severa</t>
        </is>
      </c>
      <c r="C52" s="55" t="inlineStr">
        <is>
          <t>Sí</t>
        </is>
      </c>
      <c r="D52" s="55" t="inlineStr">
        <is>
          <t>Ligera</t>
        </is>
      </c>
      <c r="E52" s="55" t="inlineStr">
        <is>
          <t>5</t>
        </is>
      </c>
      <c r="F52" s="55" t="inlineStr"/>
      <c r="G52" s="55" t="inlineStr">
        <is>
          <t>Superficies bajo umbral MSAVI (1.06 ha) dispersas, sin patrón lineal dominante</t>
        </is>
      </c>
    </row>
    <row r="53">
      <c r="A53" s="56" t="inlineStr">
        <is>
          <t>14</t>
        </is>
      </c>
      <c r="B53" s="56" t="inlineStr">
        <is>
          <t>Sequía prolongada / CC</t>
        </is>
      </c>
      <c r="C53" s="56" t="inlineStr"/>
      <c r="D53" s="56" t="inlineStr"/>
      <c r="E53" s="56" t="inlineStr"/>
      <c r="F53" s="56" t="inlineStr"/>
      <c r="G53" s="56" t="inlineStr"/>
    </row>
    <row r="54">
      <c r="A54" s="55" t="inlineStr">
        <is>
          <t>15</t>
        </is>
      </c>
      <c r="B54" s="55" t="inlineStr">
        <is>
          <t>Plagas o enfermedades forestales</t>
        </is>
      </c>
      <c r="C54" s="55" t="inlineStr"/>
      <c r="D54" s="55" t="inlineStr"/>
      <c r="E54" s="55" t="inlineStr"/>
      <c r="F54" s="55" t="inlineStr"/>
      <c r="G54" s="55" t="inlineStr"/>
    </row>
    <row r="55">
      <c r="A55" s="56" t="inlineStr">
        <is>
          <t>16</t>
        </is>
      </c>
      <c r="B55" s="56" t="inlineStr">
        <is>
          <t>Otro</t>
        </is>
      </c>
      <c r="C55" s="56" t="inlineStr"/>
      <c r="D55" s="56" t="inlineStr"/>
      <c r="E55" s="56" t="inlineStr"/>
      <c r="F55" s="56" t="inlineStr"/>
      <c r="G55" s="56" t="inlineStr"/>
    </row>
    <row r="57">
      <c r="A57" s="53" t="inlineStr">
        <is>
          <t>F-DT-04 · INDICADORES CUANTITATIVOS</t>
        </is>
      </c>
    </row>
    <row r="58">
      <c r="A58" s="54" t="inlineStr">
        <is>
          <t>N.o</t>
        </is>
      </c>
      <c r="B58" s="54" t="inlineStr">
        <is>
          <t>Indicador</t>
        </is>
      </c>
      <c r="C58" s="54" t="inlineStr">
        <is>
          <t>Unidad</t>
        </is>
      </c>
      <c r="D58" s="54" t="inlineStr">
        <is>
          <t>Valor</t>
        </is>
      </c>
      <c r="E58" s="54" t="inlineStr">
        <is>
          <t>Fuente</t>
        </is>
      </c>
      <c r="F58" s="54" t="inlineStr">
        <is>
          <t>Umbral</t>
        </is>
      </c>
      <c r="G58" s="54" t="inlineStr">
        <is>
          <t>Nivel</t>
        </is>
      </c>
    </row>
    <row r="59">
      <c r="A59" s="55" t="inlineStr">
        <is>
          <t>1</t>
        </is>
      </c>
      <c r="B59" s="55" t="inlineStr">
        <is>
          <t>Cobertura vegetal total</t>
        </is>
      </c>
      <c r="C59" s="55" t="inlineStr">
        <is>
          <t>%</t>
        </is>
      </c>
      <c r="D59" s="55" t="inlineStr">
        <is>
          <t>85</t>
        </is>
      </c>
      <c r="E59" s="55" t="inlineStr">
        <is>
          <t>Fotointerpretación de estaciones georreferenciadas</t>
        </is>
      </c>
      <c r="F59" s="55" t="inlineStr">
        <is>
          <t>&gt;60% bueno; 30-60% medio; &lt;30% malo</t>
        </is>
      </c>
      <c r="G59" s="55" t="inlineStr">
        <is>
          <t>Alto</t>
        </is>
      </c>
    </row>
    <row r="60">
      <c r="A60" s="56" t="inlineStr">
        <is>
          <t>2</t>
        </is>
      </c>
      <c r="B60" s="56" t="inlineStr">
        <is>
          <t>Porcentaje de suelo desnudo</t>
        </is>
      </c>
      <c r="C60" s="56" t="inlineStr">
        <is>
          <t>%</t>
        </is>
      </c>
      <c r="D60" s="56" t="inlineStr">
        <is>
          <t>5</t>
        </is>
      </c>
      <c r="E60" s="56" t="inlineStr">
        <is>
          <t>Fotointerpretación de estaciones georreferenciadas</t>
        </is>
      </c>
      <c r="F60" s="56" t="inlineStr">
        <is>
          <t>&lt;10% bueno; 10-30% medio; &gt;30% malo</t>
        </is>
      </c>
      <c r="G60" s="56" t="inlineStr">
        <is>
          <t>Alto</t>
        </is>
      </c>
    </row>
    <row r="61">
      <c r="A61" s="55" t="inlineStr">
        <is>
          <t>3</t>
        </is>
      </c>
      <c r="B61" s="55" t="inlineStr">
        <is>
          <t>Densidad de cárcavas</t>
        </is>
      </c>
      <c r="C61" s="55" t="inlineStr">
        <is>
          <t>N°/ha</t>
        </is>
      </c>
      <c r="D61" s="55" t="inlineStr">
        <is>
          <t>Por determinar</t>
        </is>
      </c>
      <c r="E61" s="55" t="inlineStr">
        <is>
          <t>Inventario de cárcavas no ejecutado</t>
        </is>
      </c>
      <c r="F61" s="55" t="inlineStr">
        <is>
          <t>0 nulo; 1-3 medio; &gt;3 alto</t>
        </is>
      </c>
      <c r="G61" s="55" t="inlineStr"/>
    </row>
    <row r="62">
      <c r="A62" s="56" t="inlineStr">
        <is>
          <t>4</t>
        </is>
      </c>
      <c r="B62" s="56" t="inlineStr">
        <is>
          <t>Presencia de especies invasoras</t>
        </is>
      </c>
      <c r="C62" s="56" t="inlineStr">
        <is>
          <t>% área</t>
        </is>
      </c>
      <c r="D62" s="56" t="inlineStr">
        <is>
          <t>Por determinar</t>
        </is>
      </c>
      <c r="E62" s="56" t="inlineStr">
        <is>
          <t>No evaluado</t>
        </is>
      </c>
      <c r="F62" s="56" t="inlineStr">
        <is>
          <t>&lt;5% bueno; 5-20% medio; &gt;20% alto</t>
        </is>
      </c>
      <c r="G62" s="56" t="inlineStr"/>
    </row>
    <row r="63">
      <c r="A63" s="55" t="inlineStr">
        <is>
          <t>5</t>
        </is>
      </c>
      <c r="B63" s="55" t="inlineStr">
        <is>
          <t>Carga ganadera estimada</t>
        </is>
      </c>
      <c r="C63" s="55" t="inlineStr">
        <is>
          <t>UA/ha</t>
        </is>
      </c>
      <c r="D63" s="55" t="inlineStr">
        <is>
          <t>Por determinar</t>
        </is>
      </c>
      <c r="E63" s="55" t="inlineStr">
        <is>
          <t>Requiere encuesta a tenedores</t>
        </is>
      </c>
      <c r="F63" s="55" t="inlineStr">
        <is>
          <t>Según tipo de ecosistema</t>
        </is>
      </c>
      <c r="G63" s="55" t="inlineStr"/>
    </row>
    <row r="64">
      <c r="A64" s="56" t="inlineStr">
        <is>
          <t>6</t>
        </is>
      </c>
      <c r="B64" s="56" t="inlineStr">
        <is>
          <t>Frecuencia de quemas últimos 5 años</t>
        </is>
      </c>
      <c r="C64" s="56" t="inlineStr">
        <is>
          <t>N°</t>
        </is>
      </c>
      <c r="D64" s="56" t="inlineStr">
        <is>
          <t>Por determinar</t>
        </is>
      </c>
      <c r="E64" s="56" t="inlineStr">
        <is>
          <t>Requiere serie de cicatrices de quema</t>
        </is>
      </c>
      <c r="F64" s="56" t="inlineStr">
        <is>
          <t>0 nulo; 1-2 medio; &gt;2 alto</t>
        </is>
      </c>
      <c r="G64" s="56" t="inlineStr"/>
    </row>
    <row r="65">
      <c r="A65" s="55" t="inlineStr">
        <is>
          <t>7</t>
        </is>
      </c>
      <c r="B65" s="55" t="inlineStr">
        <is>
          <t>% área con pendiente &gt;50%</t>
        </is>
      </c>
      <c r="C65" s="55" t="inlineStr">
        <is>
          <t>%</t>
        </is>
      </c>
      <c r="D65" s="55" t="inlineStr">
        <is>
          <t>Por determinar</t>
        </is>
      </c>
      <c r="E65" s="55" t="inlineStr">
        <is>
          <t>Estadística zonal DEM por clases no disponible</t>
        </is>
      </c>
      <c r="F65" s="55" t="inlineStr">
        <is>
          <t>Factor de susceptibilidad</t>
        </is>
      </c>
      <c r="G65" s="55" t="inlineStr"/>
    </row>
    <row r="66">
      <c r="A66" s="56" t="inlineStr">
        <is>
          <t>8</t>
        </is>
      </c>
      <c r="B66" s="56" t="inlineStr">
        <is>
          <t>Distancia a vía vecinal más cercana</t>
        </is>
      </c>
      <c r="C66" s="56" t="inlineStr">
        <is>
          <t>m</t>
        </is>
      </c>
      <c r="D66" s="56" t="inlineStr">
        <is>
          <t>0</t>
        </is>
      </c>
      <c r="E66" s="56" t="inlineStr">
        <is>
          <t>La vía discurre sobre el propio límite del bloque</t>
        </is>
      </c>
      <c r="F66" s="56" t="inlineStr">
        <is>
          <t>A menor distancia → mayor presión</t>
        </is>
      </c>
      <c r="G66" s="56" t="inlineStr">
        <is>
          <t>Alto</t>
        </is>
      </c>
    </row>
    <row r="68">
      <c r="A68" s="53" t="inlineStr">
        <is>
          <t>F-DT-05 · FUENTES DE AGUA INVENTARIADAS</t>
        </is>
      </c>
    </row>
    <row r="69">
      <c r="A69" s="54" t="inlineStr">
        <is>
          <t>N.o</t>
        </is>
      </c>
      <c r="B69" s="54" t="inlineStr">
        <is>
          <t>Tipo de fuente</t>
        </is>
      </c>
      <c r="C69" s="54" t="inlineStr">
        <is>
          <t>UTM ESTE</t>
        </is>
      </c>
      <c r="D69" s="54" t="inlineStr">
        <is>
          <t>UTM NORTE</t>
        </is>
      </c>
      <c r="E69" s="54" t="inlineStr">
        <is>
          <t>Régimen</t>
        </is>
      </c>
      <c r="F69" s="54" t="inlineStr">
        <is>
          <t>Calidad</t>
        </is>
      </c>
      <c r="G69" s="54" t="inlineStr">
        <is>
          <t>Distancia (m)</t>
        </is>
      </c>
      <c r="H69" s="54" t="inlineStr">
        <is>
          <t>Uso / observación</t>
        </is>
      </c>
    </row>
    <row r="72">
      <c r="A72" s="53" t="inlineStr">
        <is>
          <t>OBSERVACIONES DEL EVALUADOR POR FICHA</t>
        </is>
      </c>
    </row>
    <row r="73">
      <c r="A73" s="54" t="inlineStr">
        <is>
          <t>Ficha</t>
        </is>
      </c>
      <c r="B73" s="54" t="inlineStr">
        <is>
          <t>Observación registrada en campo</t>
        </is>
      </c>
    </row>
    <row r="74">
      <c r="A74" s="55" t="inlineStr">
        <is>
          <t>F-DT-01</t>
        </is>
      </c>
      <c r="B74" s="55" t="inlineStr">
        <is>
          <t>PRELLENADO DE GABINETE. Ninguna ficha F-DT fue diligenciada en campo el 19-08-2026; el reconocimiento consistió en recorrido con registro fotográfico georreferenciado. Pendiente promedio zonal (MDE) 23.20 % ≡ 13.05°; rango altitudinal 2326–2536 msnm (amplitud 210 m). Escarpes activos: no observados; los taludes de corte del camino se localizan fuera del polígono. Reptación: SÍ — se registran terracillas de pisoteo de ganado paralelas a la curva de nivel (estación E-04), indicio de reptación superficial asociada a sobrepastoreo. Afloramientos rocosos verificados en el talud de la vía (E-05).</t>
        </is>
      </c>
    </row>
    <row r="75">
      <c r="A75" s="56" t="inlineStr">
        <is>
          <t>F-DT-02</t>
        </is>
      </c>
      <c r="B75" s="56" t="inlineStr">
        <is>
          <t>INVENTARIO DE CÁRCAVAS NO EJECUTADO. No se levantaron cárcavas georreferenciadas, longitudes ni densidades; los campos correspondientes quedan como «Por determinar» y son responsabilidad del analista de infraestructura marrón. La ausencia de registros no equivale a ausencia verificada. Compactación por pisoteo: SÍ, evidenciada por las terracillas de ganado de la estación E-04. El nivel de erosión ligero es coherente con la cobertura herbácea continua y con el 4.72 % de superficie bajo el umbral MSAVI.</t>
        </is>
      </c>
    </row>
    <row r="76">
      <c r="A76" s="55" t="inlineStr">
        <is>
          <t>F-DT-03</t>
        </is>
      </c>
      <c r="B76" s="55" t="inlineStr">
        <is>
          <t>LISTA PRELIMINAR. Los binomios proceden de nombres comunes remitidos por la brigada y de fotointerpretación de las estaciones georreferenciadas; ninguno está confirmado taxonómicamente y no hubo colecta botánica ni medición dasométrica. Se completan los 15 registros exigidos, pero 5 entradas carecen de género. Ninguna especie con categoría de amenaza confirmada bajo el D.S. 043-2006-AG a la fecha. La adscripción al Matorral Andino es preliminar y debe verificarse por intersección con la capa nacional de ecosistemas del MINAM.</t>
        </is>
      </c>
    </row>
    <row r="77">
      <c r="A77" s="56" t="inlineStr">
        <is>
          <t>F-DT-04</t>
        </is>
      </c>
      <c r="B77" s="56" t="inlineStr">
        <is>
          <t>Matriz consignada por gabinete a partir del registro fotográfico georreferenciado del 19-08-2026 y de la cartografía temática. Las diez causas no consignadas quedan SIN VERIFICAR: la ausencia de marca no significa ausencia de la causa. Antigüedades y extensiones son estimaciones no instrumentales.</t>
        </is>
      </c>
    </row>
    <row r="78">
      <c r="A78" s="55" t="inlineStr">
        <is>
          <t>F-DT-05</t>
        </is>
      </c>
      <c r="B78" s="55" t="inlineStr">
        <is>
          <t>FICHA PARCIAL. No se ejecutó inventario de fuentes de agua con GPS, ni se levantaron datos de JASS, captación poblacional, señal celular, tiempos de viaje, alojamiento ni Ronda Campesina. El bloque 70 se declara en zona de recarga hídrica por su posición de cabecera (2 235–2 540 msnm) sobre el drenaje de la quebrada Q9592: se sitúa en la zona de ORIGEN del peligro generador de inundaciones. La escorrentía concentrada se verifica sobre el sendero y los taludes de corte del camino. Las condiciones de acceso son favorables: la vía discurre sobre el propio límite del bloque.</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7"/>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70</t>
        </is>
      </c>
    </row>
    <row r="7">
      <c r="A7" s="53" t="inlineStr">
        <is>
          <t>Hechos declarados por fuente</t>
        </is>
      </c>
    </row>
    <row r="8">
      <c r="A8" s="54" t="inlineStr">
        <is>
          <t>Fuente</t>
        </is>
      </c>
      <c r="B8" s="54" t="inlineStr">
        <is>
          <t>Hechos</t>
        </is>
      </c>
    </row>
    <row r="9">
      <c r="A9" s="55" t="inlineStr">
        <is>
          <t>Dato de campo</t>
        </is>
      </c>
      <c r="B9" s="55" t="n">
        <v>50</v>
      </c>
    </row>
    <row r="10">
      <c r="A10" s="56" t="inlineStr">
        <is>
          <t>Gabinete (GIS / teledetección)</t>
        </is>
      </c>
      <c r="B10" s="56" t="n">
        <v>25</v>
      </c>
    </row>
    <row r="11">
      <c r="A11" s="55" t="inlineStr">
        <is>
          <t>Fuente oficial</t>
        </is>
      </c>
      <c r="B11" s="55" t="n">
        <v>14</v>
      </c>
    </row>
    <row r="28">
      <c r="A28" s="53" t="inlineStr">
        <is>
          <t>Estado del cruce entre fuentes</t>
        </is>
      </c>
    </row>
    <row r="29">
      <c r="A29" s="54" t="inlineStr">
        <is>
          <t>Estado</t>
        </is>
      </c>
      <c r="B29" s="54" t="inlineStr">
        <is>
          <t>Hechos</t>
        </is>
      </c>
    </row>
    <row r="30">
      <c r="A30" s="55" t="inlineStr">
        <is>
          <t>CONFORME</t>
        </is>
      </c>
      <c r="B30" s="55" t="n">
        <v>85</v>
      </c>
    </row>
    <row r="31">
      <c r="A31" s="56" t="inlineStr">
        <is>
          <t>COMPLEMENTADO</t>
        </is>
      </c>
      <c r="B31" s="56" t="n">
        <v>3</v>
      </c>
    </row>
    <row r="32">
      <c r="A32" s="55" t="inlineStr">
        <is>
          <t>ACTUALIZADO</t>
        </is>
      </c>
      <c r="B32" s="55" t="n">
        <v>1</v>
      </c>
    </row>
    <row r="33">
      <c r="A33" s="56" t="inlineStr">
        <is>
          <t>DISCREPANTE</t>
        </is>
      </c>
      <c r="B33" s="56" t="n">
        <v>0</v>
      </c>
    </row>
    <row r="34">
      <c r="A34" s="55" t="inlineStr">
        <is>
          <t>PENDIENTE</t>
        </is>
      </c>
      <c r="B34" s="55" t="n">
        <v>25</v>
      </c>
    </row>
    <row r="51">
      <c r="A51" s="53" t="inlineStr">
        <is>
          <t>Cobertura por estrato — campo (%)</t>
        </is>
      </c>
    </row>
    <row r="52">
      <c r="A52" s="54" t="inlineStr">
        <is>
          <t>Estrato</t>
        </is>
      </c>
      <c r="B52" s="54" t="inlineStr">
        <is>
          <t>% del área</t>
        </is>
      </c>
    </row>
    <row r="53">
      <c r="A53" s="55" t="inlineStr">
        <is>
          <t>Suelo desnudo</t>
        </is>
      </c>
      <c r="B53" s="60" t="n">
        <v>5</v>
      </c>
    </row>
    <row r="70">
      <c r="A70" s="53" t="inlineStr">
        <is>
          <t>Causas activas de degradación (F-DT-04)</t>
        </is>
      </c>
    </row>
    <row r="71">
      <c r="A71" s="54" t="inlineStr">
        <is>
          <t>Causa</t>
        </is>
      </c>
      <c r="B71" s="54" t="inlineStr">
        <is>
          <t>Intensidad (1 ligera - 4 muy fuerte)</t>
        </is>
      </c>
    </row>
    <row r="72">
      <c r="A72" s="55" t="inlineStr">
        <is>
          <t>Sobrepastoreo (caprino/vacuno)</t>
        </is>
      </c>
      <c r="B72" s="55" t="n">
        <v>3</v>
      </c>
    </row>
    <row r="73">
      <c r="A73" s="56" t="inlineStr">
        <is>
          <t>Cambio de uso a pastoreo</t>
        </is>
      </c>
      <c r="B73" s="56" t="n">
        <v>2</v>
      </c>
    </row>
    <row r="74">
      <c r="A74" s="55" t="inlineStr">
        <is>
          <t>Erosión natural severa</t>
        </is>
      </c>
      <c r="B74" s="55" t="n">
        <v>1</v>
      </c>
    </row>
    <row r="75">
      <c r="A75" s="56" t="inlineStr">
        <is>
          <t>Expansión urbana / vial</t>
        </is>
      </c>
      <c r="B75" s="56" t="n">
        <v>1</v>
      </c>
    </row>
    <row r="92">
      <c r="A92" s="53" t="inlineStr">
        <is>
          <t>Control de consistencia por calificación</t>
        </is>
      </c>
    </row>
    <row r="93">
      <c r="A93" s="54" t="inlineStr">
        <is>
          <t>Calificación</t>
        </is>
      </c>
      <c r="B93" s="54" t="inlineStr">
        <is>
          <t>Verificaciones</t>
        </is>
      </c>
    </row>
    <row r="94">
      <c r="A94" s="55" t="inlineStr">
        <is>
          <t>SUSTANTIVA</t>
        </is>
      </c>
      <c r="B94" s="55" t="n">
        <v>8</v>
      </c>
    </row>
    <row r="95">
      <c r="A95" s="56" t="inlineStr">
        <is>
          <t>NO SUSTANTIVA</t>
        </is>
      </c>
      <c r="B95" s="56" t="n">
        <v>1</v>
      </c>
    </row>
    <row r="96">
      <c r="A96" s="55" t="inlineStr">
        <is>
          <t>CORREGIDO</t>
        </is>
      </c>
      <c r="B96" s="55" t="n">
        <v>1</v>
      </c>
    </row>
    <row r="97">
      <c r="A97" s="56" t="inlineStr">
        <is>
          <t>CONFORME</t>
        </is>
      </c>
      <c r="B97" s="56"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70 — IN Piura</dc:title>
  <dc:subject>Diagnóstico Territorial por bloque de intervención</dc:subject>
  <dcterms:created xsi:type="dcterms:W3CDTF">2026-09-08T03:39:59Z</dcterms:created>
  <dcterms:modified xsi:type="dcterms:W3CDTF">2026-09-11T20:22:32Z</dcterms:modified>
</cp:coreProperties>
</file>