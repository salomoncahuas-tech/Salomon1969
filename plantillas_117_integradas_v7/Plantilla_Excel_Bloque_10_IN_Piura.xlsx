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integración'!$A$47:$A$56</f>
            </numRef>
          </cat>
          <val>
            <numRef>
              <f>'Gráficos de integración'!$B$47:$B$56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10</t>
        </is>
      </c>
    </row>
    <row r="6" ht="24" customHeight="1">
      <c r="A6" s="4" t="inlineStr">
        <is>
          <t>Diagnóstico Territorial — Plantilla DT Campo Check Validada V5 | Sistema de referencia: UTM WGS 84 Zona 17S (EPSG:32717) · Integrado con la ficha de campo F-DT vigente (Plantilla_DT_Campo_Bloque10_IN_Piura.xlsx) — V7 - resumen V6 + campo F-DT integrado</t>
        </is>
      </c>
    </row>
    <row r="7"/>
    <row r="8" ht="18" customHeight="1">
      <c r="A8" s="5" t="inlineStr">
        <is>
          <t>1. IDENTIFICACIÓN Y LOCALIZACIÓN</t>
        </is>
      </c>
    </row>
    <row r="9">
      <c r="A9" s="6" t="inlineStr">
        <is>
          <t>Código del bloque</t>
        </is>
      </c>
      <c r="B9" s="7" t="inlineStr">
        <is>
          <t>10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 Peña · Peña Grande</t>
        </is>
      </c>
      <c r="C13" s="6" t="inlineStr">
        <is>
          <t>Comunidad campesina</t>
        </is>
      </c>
      <c r="D13" s="7" t="inlineStr">
        <is>
          <t>Por verificar</t>
        </is>
      </c>
      <c r="E13" s="8" t="n"/>
      <c r="F13" s="8" t="n"/>
    </row>
    <row r="14">
      <c r="A14" s="6" t="inlineStr">
        <is>
          <t>Superficie de catálogo (V5/V6), ha</t>
        </is>
      </c>
      <c r="B14" s="7" t="n">
        <v>150.21</v>
      </c>
      <c r="C14" s="6" t="inlineStr">
        <is>
          <t>Fuente de superficie</t>
        </is>
      </c>
      <c r="D14" s="7" t="inlineStr">
        <is>
          <t>Catálogo maestro Bloques V5/V6</t>
        </is>
      </c>
      <c r="E14" s="8" t="n"/>
      <c r="F14" s="8" t="n"/>
    </row>
    <row r="15">
      <c r="A15" s="6" t="inlineStr">
        <is>
          <t>Centroide UTM ESTE (m)</t>
        </is>
      </c>
      <c r="B15" s="7" t="n">
        <v>650830</v>
      </c>
      <c r="C15" s="6" t="inlineStr">
        <is>
          <t>Centroide UTM NORTE (m)</t>
        </is>
      </c>
      <c r="D15" s="7" t="n">
        <v>9382303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912</v>
      </c>
      <c r="C19" s="6" t="inlineStr">
        <is>
          <t>Altitud máxima (msnm)</t>
        </is>
      </c>
      <c r="D19" s="7" t="n">
        <v>1510</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27.39</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0.5465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(85.18 %)</t>
        </is>
      </c>
      <c r="E29" s="8" t="n"/>
      <c r="F29" s="8" t="n"/>
    </row>
    <row r="30">
      <c r="A30" s="6" t="inlineStr">
        <is>
          <t>Superficie clasificada NDVI 2025 (ha)</t>
        </is>
      </c>
      <c r="B30" s="7" t="n">
        <v>150.25</v>
      </c>
      <c r="C30" s="6" t="inlineStr">
        <is>
          <t>Desviación frente al catálogo (%)</t>
        </is>
      </c>
      <c r="D30" s="7" t="n">
        <v>0.03</v>
      </c>
      <c r="E30" s="8" t="n"/>
      <c r="F30" s="8" t="n"/>
    </row>
    <row r="31">
      <c r="A31" s="6" t="inlineStr">
        <is>
          <t>Superficie clasificada MSAVI 2024 (ha)</t>
        </is>
      </c>
      <c r="B31" s="38" t="n">
        <v>150.214</v>
      </c>
      <c r="C31" s="6" t="inlineStr">
        <is>
          <t>Desviación MSAVI frente al catálogo (%)</t>
        </is>
      </c>
      <c r="D31" s="39" t="n">
        <v>0</v>
      </c>
      <c r="E31" s="8" t="n"/>
      <c r="F31" s="8" t="n"/>
    </row>
    <row r="32">
      <c r="A32" s="6" t="inlineStr">
        <is>
          <t>Superficie bajo umbral MSAVI 0.4976 (ha)</t>
        </is>
      </c>
      <c r="B32" s="38" t="n">
        <v>42.83</v>
      </c>
      <c r="C32" s="6" t="inlineStr">
        <is>
          <t>% del bloque bajo umbral (brecha espectral)</t>
        </is>
      </c>
      <c r="D32" s="39" t="n">
        <v>28.51</v>
      </c>
      <c r="E32" s="8" t="n"/>
      <c r="F32" s="8" t="n"/>
    </row>
    <row r="33">
      <c r="A33" s="6" t="inlineStr">
        <is>
          <t>Clase DN dominante (MSAVI 2024)</t>
        </is>
      </c>
      <c r="B33" s="7" t="inlineStr">
        <is>
          <t>DN 4 · 0.4976 - 0.6139 (Vigor moderado)</t>
        </is>
      </c>
      <c r="C33" s="6" t="inlineStr">
        <is>
          <t>N.° de polígonos MSAVI del bloque</t>
        </is>
      </c>
      <c r="D33" s="40" t="n">
        <v>793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SESDI – IN Piura</t>
        </is>
      </c>
      <c r="C44" s="6" t="inlineStr">
        <is>
          <t>Fecha de evaluación</t>
        </is>
      </c>
      <c r="D44" s="7" t="inlineStr">
        <is>
          <t>2026-08-12</t>
        </is>
      </c>
      <c r="E44" s="8" t="n"/>
      <c r="F44" s="8" t="n"/>
    </row>
    <row r="45">
      <c r="A45" s="6" t="inlineStr">
        <is>
          <t>Hora de registro</t>
        </is>
      </c>
      <c r="B45" s="7" t="inlineStr">
        <is>
          <t>12:40 - 14:22 h</t>
        </is>
      </c>
      <c r="C45" s="6" t="inlineStr">
        <is>
          <t>Correlativo de ficha</t>
        </is>
      </c>
      <c r="D45" s="7" t="inlineStr">
        <is>
          <t>F-DT-01-B10-2026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5</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y habilitación vial del interior del bloque sin instrumento de manejo, sobre laderas con aptitud forestal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36.7229</v>
      </c>
      <c r="C10" s="19">
        <f>ROUND(B10/$B$15*100,2)</f>
        <v/>
      </c>
      <c r="D10" s="11" t="inlineStr">
        <is>
          <t>Vigor alto</t>
        </is>
      </c>
      <c r="E10" s="11" t="inlineStr">
        <is>
          <t>Sobre umbral</t>
        </is>
      </c>
    </row>
    <row r="11">
      <c r="A11" s="12" t="inlineStr">
        <is>
          <t>0.4976 - 0.6139 · DN 4</t>
        </is>
      </c>
      <c r="B11" s="30" t="n">
        <v>70.6617</v>
      </c>
      <c r="C11" s="29">
        <f>ROUND(B11/$B$15*100,2)</f>
        <v/>
      </c>
      <c r="D11" s="13" t="inlineStr">
        <is>
          <t>Vigor moderado</t>
        </is>
      </c>
      <c r="E11" s="13" t="inlineStr">
        <is>
          <t>Sobre umbral</t>
        </is>
      </c>
    </row>
    <row r="12">
      <c r="A12" s="7" t="inlineStr">
        <is>
          <t>0.3813 - 0.4976 · DN 3</t>
        </is>
      </c>
      <c r="B12" s="18" t="n">
        <v>35.7511</v>
      </c>
      <c r="C12" s="19">
        <f>ROUND(B12/$B$15*100,2)</f>
        <v/>
      </c>
      <c r="D12" s="11" t="inlineStr">
        <is>
          <t>Vigor bajo</t>
        </is>
      </c>
      <c r="E12" s="11" t="inlineStr">
        <is>
          <t>BAJO umbral 0.4976</t>
        </is>
      </c>
    </row>
    <row r="13">
      <c r="A13" s="14" t="inlineStr">
        <is>
          <t>0.2650 - 0.3813 · DN 2</t>
        </is>
      </c>
      <c r="B13" s="20" t="n">
        <v>5.4455</v>
      </c>
      <c r="C13" s="21">
        <f>ROUND(B13/$B$15*100,2)</f>
        <v/>
      </c>
      <c r="D13" s="15" t="inlineStr">
        <is>
          <t>Vigor muy bajo</t>
        </is>
      </c>
      <c r="E13" s="15" t="inlineStr">
        <is>
          <t>BAJO umbral 0.4976</t>
        </is>
      </c>
    </row>
    <row r="14">
      <c r="A14" s="7" t="inlineStr">
        <is>
          <t>&lt;= 0.2650 · DN 1</t>
        </is>
      </c>
      <c r="B14" s="18" t="n">
        <v>1.6331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793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150.21</v>
      </c>
      <c r="C18" s="49" t="inlineStr">
        <is>
          <t>—</t>
        </is>
      </c>
      <c r="D18" s="46" t="inlineStr">
        <is>
          <t>Desviación planimétrica frente al catálogo</t>
        </is>
      </c>
      <c r="E18" s="46" t="inlineStr">
        <is>
          <t>+0.00 %</t>
        </is>
      </c>
    </row>
    <row r="19">
      <c r="A19" s="16" t="inlineStr">
        <is>
          <t>MSAVI 2024 — MEDIA DEL BLOQUE</t>
        </is>
      </c>
      <c r="B19" s="17" t="n">
        <v>0.546492</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793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(0.5465)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127.9822</v>
      </c>
      <c r="C25" s="19" t="n">
        <v>85.18000000000001</v>
      </c>
      <c r="D25" s="11" t="inlineStr">
        <is>
          <t>Dosel continuo, matorral denso o mosaico agroforestal</t>
        </is>
      </c>
      <c r="E25" s="11" t="inlineStr"/>
    </row>
    <row r="26">
      <c r="A26" s="14" t="inlineStr">
        <is>
          <t>Vegetación mediana</t>
        </is>
      </c>
      <c r="B26" s="20" t="n">
        <v>18.5976</v>
      </c>
      <c r="C26" s="21" t="n">
        <v>12.38</v>
      </c>
      <c r="D26" s="15" t="inlineStr">
        <is>
          <t>Pastizal cultivado, matorral ralo, parcelas agrícolas</t>
        </is>
      </c>
      <c r="E26" s="15" t="inlineStr"/>
    </row>
    <row r="27">
      <c r="A27" s="7" t="inlineStr">
        <is>
          <t>Vegetación ligera</t>
        </is>
      </c>
      <c r="B27" s="18" t="n">
        <v>2.5427</v>
      </c>
      <c r="C27" s="19" t="n">
        <v>1.69</v>
      </c>
      <c r="D27" s="11" t="inlineStr">
        <is>
          <t>Cobertura discontinua, suelo parcialmente expuesto</t>
        </is>
      </c>
      <c r="E27" s="11" t="inlineStr"/>
    </row>
    <row r="28">
      <c r="A28" s="14" t="inlineStr">
        <is>
          <t>Tierra desnuda</t>
        </is>
      </c>
      <c r="B28" s="20" t="n">
        <v>1.1271</v>
      </c>
      <c r="C28" s="21" t="n">
        <v>0.75</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150.21</v>
      </c>
      <c r="C30" s="25" t="inlineStr">
        <is>
          <t>—</t>
        </is>
      </c>
      <c r="D30" s="25" t="inlineStr">
        <is>
          <t>Desviación planimétrica frente al catálogo</t>
        </is>
      </c>
      <c r="E30" s="25" t="inlineStr">
        <is>
          <t>+0.03 %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10</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651184</v>
      </c>
      <c r="D10" s="26" t="n">
        <v>9382309</v>
      </c>
      <c r="E10" s="11" t="n">
        <v>354.1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Red de vaguadas tributarias</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650830</v>
      </c>
      <c r="C14" s="6" t="inlineStr">
        <is>
          <t>Centroide del bloque — UTM NORTE (m)</t>
        </is>
      </c>
      <c r="D14" s="7" t="n">
        <v>9382303</v>
      </c>
      <c r="E14" s="8" t="n"/>
      <c r="F14" s="8" t="n"/>
      <c r="G14" s="8" t="n"/>
      <c r="H14" s="8" t="n"/>
    </row>
    <row r="15">
      <c r="A15" s="6" t="inlineStr">
        <is>
          <t>N.° de estaciones fotográficas declaradas</t>
        </is>
      </c>
      <c r="B15" s="7" t="n">
        <v>5</v>
      </c>
      <c r="C15" s="6" t="inlineStr">
        <is>
          <t>Estaciones dentro del polígono</t>
        </is>
      </c>
      <c r="D15" s="7" t="n">
        <v>4</v>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Cuatro de las cinco estaciones se ubican DENTRO del polígono (249-302 m del borde); la restante a ~570 m al NE.</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10</t>
        </is>
      </c>
      <c r="B10" s="28" t="n">
        <v>150.21</v>
      </c>
      <c r="C10" s="29" t="n">
        <v>28.67</v>
      </c>
      <c r="D10" s="13" t="inlineStr">
        <is>
          <t>912 – 1510</t>
        </is>
      </c>
      <c r="E10" s="13" t="n">
        <v>598</v>
      </c>
      <c r="F10" s="13" t="n">
        <v>27.39</v>
      </c>
      <c r="G10" s="30" t="n">
        <v>0.5465</v>
      </c>
      <c r="H10" s="29" t="n">
        <v>85.18000000000001</v>
      </c>
      <c r="I10" s="29" t="n">
        <v>28.51</v>
      </c>
    </row>
    <row r="11">
      <c r="A11" s="14" t="inlineStr">
        <is>
          <t>8</t>
        </is>
      </c>
      <c r="B11" s="31" t="n">
        <v>126.95</v>
      </c>
      <c r="C11" s="21" t="n">
        <v>24.23</v>
      </c>
      <c r="D11" s="15" t="inlineStr">
        <is>
          <t>1504 – 1970</t>
        </is>
      </c>
      <c r="E11" s="15" t="n">
        <v>466</v>
      </c>
      <c r="F11" s="15" t="n">
        <v>29.85</v>
      </c>
      <c r="G11" s="20" t="n">
        <v>0.5548</v>
      </c>
      <c r="H11" s="21" t="n">
        <v>72.25</v>
      </c>
      <c r="I11" s="21" t="n">
        <v>28.4</v>
      </c>
    </row>
    <row r="12">
      <c r="A12" s="7" t="inlineStr">
        <is>
          <t>16</t>
        </is>
      </c>
      <c r="B12" s="32" t="n">
        <v>83.33</v>
      </c>
      <c r="C12" s="19" t="n">
        <v>15.91</v>
      </c>
      <c r="D12" s="11" t="inlineStr">
        <is>
          <t>1349 – 1746</t>
        </is>
      </c>
      <c r="E12" s="11" t="n">
        <v>397</v>
      </c>
      <c r="F12" s="11" t="n">
        <v>22.34</v>
      </c>
      <c r="G12" s="18" t="n">
        <v>0.6284</v>
      </c>
      <c r="H12" s="19" t="n">
        <v>94.13</v>
      </c>
      <c r="I12" s="19" t="n">
        <v>7.3</v>
      </c>
    </row>
    <row r="13">
      <c r="A13" s="14" t="inlineStr">
        <is>
          <t>20</t>
        </is>
      </c>
      <c r="B13" s="31" t="n">
        <v>81.33</v>
      </c>
      <c r="C13" s="21" t="n">
        <v>15.52</v>
      </c>
      <c r="D13" s="15" t="inlineStr">
        <is>
          <t>1217 – 1607</t>
        </is>
      </c>
      <c r="E13" s="15" t="n">
        <v>390</v>
      </c>
      <c r="F13" s="15" t="n">
        <v>24.54</v>
      </c>
      <c r="G13" s="20" t="n">
        <v>0.4851</v>
      </c>
      <c r="H13" s="21" t="n">
        <v>52.44</v>
      </c>
      <c r="I13" s="21" t="n">
        <v>59.23</v>
      </c>
    </row>
    <row r="14">
      <c r="A14" s="7" t="inlineStr">
        <is>
          <t>80</t>
        </is>
      </c>
      <c r="B14" s="32" t="n">
        <v>28.83</v>
      </c>
      <c r="C14" s="19" t="n">
        <v>5.5</v>
      </c>
      <c r="D14" s="11" t="inlineStr">
        <is>
          <t>2180 – 2491</t>
        </is>
      </c>
      <c r="E14" s="11" t="n">
        <v>311</v>
      </c>
      <c r="F14" s="11" t="n">
        <v>32.9</v>
      </c>
      <c r="G14" s="18" t="n">
        <v>0.5931</v>
      </c>
      <c r="H14" s="19" t="n">
        <v>78.73</v>
      </c>
      <c r="I14" s="19" t="n">
        <v>16.88</v>
      </c>
    </row>
    <row r="15">
      <c r="A15" s="14" t="inlineStr">
        <is>
          <t>51</t>
        </is>
      </c>
      <c r="B15" s="31" t="n">
        <v>22.93</v>
      </c>
      <c r="C15" s="21" t="n">
        <v>4.38</v>
      </c>
      <c r="D15" s="15" t="inlineStr">
        <is>
          <t>1734 – 2018</t>
        </is>
      </c>
      <c r="E15" s="15" t="n">
        <v>284</v>
      </c>
      <c r="F15" s="15" t="n">
        <v>31.74</v>
      </c>
      <c r="G15" s="20" t="n">
        <v>0.5238</v>
      </c>
      <c r="H15" s="21" t="n">
        <v>69.45999999999999</v>
      </c>
      <c r="I15" s="21" t="n">
        <v>34.63</v>
      </c>
    </row>
    <row r="16">
      <c r="A16" s="7" t="inlineStr">
        <is>
          <t>76</t>
        </is>
      </c>
      <c r="B16" s="32" t="n">
        <v>19.62</v>
      </c>
      <c r="C16" s="19" t="n">
        <v>3.75</v>
      </c>
      <c r="D16" s="11" t="inlineStr">
        <is>
          <t>1647 – 1838</t>
        </is>
      </c>
      <c r="E16" s="11" t="n">
        <v>191</v>
      </c>
      <c r="F16" s="11" t="n">
        <v>26.25</v>
      </c>
      <c r="G16" s="18" t="n">
        <v>0.4925</v>
      </c>
      <c r="H16" s="19" t="n">
        <v>46.27</v>
      </c>
      <c r="I16" s="19" t="n">
        <v>54.14</v>
      </c>
    </row>
    <row r="17">
      <c r="A17" s="14" t="inlineStr">
        <is>
          <t>71</t>
        </is>
      </c>
      <c r="B17" s="31" t="n">
        <v>10.67</v>
      </c>
      <c r="C17" s="21" t="n">
        <v>2.04</v>
      </c>
      <c r="D17" s="15" t="inlineStr">
        <is>
          <t>1478 – 1609</t>
        </is>
      </c>
      <c r="E17" s="15" t="n">
        <v>131</v>
      </c>
      <c r="F17" s="15"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10 ocupa el puesto 1 de 8 por superficie dentro de la microcuenca C1076-Q9593 (28.67 % de las 523.87 ha preliminares de la microcuenca). Su pendiente promedio (27.39 %, clase «25-50% (Mod. escarpado)») es la 4.ª más baja de 8 y se sitúa por debajo del promedio de la microcuenca (28.06 %). Su MSAVI 2024 (0.5465) es el 5.º de 8 y queda por debajo del promedio local (0.5477). Amplitud altitudinal del bloque: 598 m (912–1510 msnm). El cuadro conserva todos los bloques catalogados en la microcuenca, incluidos los descartados en el tamizaje, para referencia del conjunto. Los bloques sin ficha DT figuran con sus parámetros de gabinete. BRECHA ESPECTRAL. El 28.51 % de la superficie del bloque (42.830 ha de 150.214 ha) se sitúa bajo el umbral MSAVI 0.4976, por debajo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10</t>
        </is>
      </c>
    </row>
    <row r="6">
      <c r="A6" s="51" t="inlineStr">
        <is>
          <t>Cruce de la ficha de campo F-DT vigente con la ficha de resumen de gabinete y el catálogo maestro. Integración 2026-09-11 21:26:22.</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«C1076-Q9593».</t>
        </is>
      </c>
      <c r="D9" s="55" t="inlineStr">
        <is>
          <t>CONFORME</t>
        </is>
      </c>
      <c r="E9" s="55" t="inlineStr">
        <is>
          <t>Sin acción.</t>
        </is>
      </c>
    </row>
    <row r="10">
      <c r="A10" s="56" t="inlineStr">
        <is>
          <t>G-02</t>
        </is>
      </c>
      <c r="B10" s="56" t="inlineStr">
        <is>
          <t>UTM del punto de muestreo</t>
        </is>
      </c>
      <c r="C10" s="56" t="inlineStr">
        <is>
          <t>El punto de muestreo declarado dista 354.1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(150.250 ha) se desvía 0.03 % de la superficie de catálogo (150.21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(150.214 ha) se desvía 0.00 % de la superficie de catálogo (150.21 ha).</t>
        </is>
      </c>
      <c r="D14" s="56" t="inlineStr">
        <is>
          <t>CONFORME</t>
        </is>
      </c>
      <c r="E14" s="56" t="inlineStr">
        <is>
          <t>Sin acción: la segmentación valida la geometría del bloque.</t>
        </is>
      </c>
    </row>
    <row r="15">
      <c r="A15" s="55" t="inlineStr">
        <is>
          <t>G-07</t>
        </is>
      </c>
      <c r="B15" s="55" t="inlineStr">
        <is>
          <t>Brecha espectral MSAVI</t>
        </is>
      </c>
      <c r="C15" s="55" t="inlineStr">
        <is>
          <t>El 28.51 % del bloque queda bajo el umbral 0.4976; superficie de brecha 42.83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150.21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(0.5465)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75.0 % de los campos esperados).</t>
        </is>
      </c>
      <c r="D19" s="55" t="inlineStr">
        <is>
          <t>CONFORME</t>
        </is>
      </c>
      <c r="E19" s="55" t="inlineStr">
        <is>
          <t>Sin acción.</t>
        </is>
      </c>
    </row>
    <row r="20">
      <c r="A20" s="56" t="inlineStr">
        <is>
          <t>F-02</t>
        </is>
      </c>
      <c r="B20" s="56" t="inlineStr">
        <is>
          <t>Cobertura de la integración</t>
        </is>
      </c>
      <c r="C20" s="56" t="inlineStr">
        <is>
          <t>Se declararon 82 de 114 hechos integrados (71.9 %); 32 quedan sin dato en ninguna fuente.</t>
        </is>
      </c>
      <c r="D20" s="56" t="inlineStr">
        <is>
          <t>CONFORME</t>
        </is>
      </c>
      <c r="E20" s="56" t="inlineStr">
        <is>
          <t>Sin acción.</t>
        </is>
      </c>
    </row>
    <row r="21">
      <c r="A21" s="55" t="inlineStr">
        <is>
          <t>H-01</t>
        </is>
      </c>
      <c r="B21" s="55" t="inlineStr">
        <is>
          <t>Inventario georreferenciado de cárcavas</t>
        </is>
      </c>
      <c r="C21" s="55" t="inlineStr">
        <is>
          <t>El inventario de cárcavas no fue ejecutado o no consta en la ficha DT</t>
        </is>
      </c>
      <c r="D21" s="55" t="inlineStr">
        <is>
          <t>SUSTANTIVA</t>
        </is>
      </c>
      <c r="E21" s="55"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2">
      <c r="A22" s="56" t="inlineStr">
        <is>
          <t>H-02</t>
        </is>
      </c>
      <c r="B22" s="56" t="inlineStr">
        <is>
          <t>Elenco florístico</t>
        </is>
      </c>
      <c r="C22" s="56" t="inlineStr">
        <is>
          <t>La ficha registra 7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3">
      <c r="A23" s="55" t="inlineStr">
        <is>
          <t>H-03</t>
        </is>
      </c>
      <c r="B23" s="55" t="inlineStr">
        <is>
          <t>Centro poblado asociado</t>
        </is>
      </c>
      <c r="C23" s="55" t="inlineStr">
        <is>
          <t>La ficha DT declara «La Peña · Peña Grande»; el cruce INEI-Bloques V5 identifica 1 centro(s) poblado(s) en el bloque: LA PEÑA</t>
        </is>
      </c>
      <c r="D23" s="55" t="inlineStr">
        <is>
          <t>CONFORME</t>
        </is>
      </c>
      <c r="E23" s="55" t="inlineStr">
        <is>
          <t>Se conserva el registro de campo como referencia y se adopta el listado INEI para el diagnóstico social y el cálculo de población beneficiaria. (Verificación heredada de la ficha de resumen V6.)</t>
        </is>
      </c>
    </row>
    <row r="25">
      <c r="A25" s="57" t="inlineStr">
        <is>
          <t>RESUMEN</t>
        </is>
      </c>
      <c r="B25" s="58" t="inlineStr">
        <is>
          <t>15 verificaciones</t>
        </is>
      </c>
      <c r="C25" s="58" t="inlineStr">
        <is>
          <t>SUSTANTIVA: 3 · NO SUSTANTIVA: 1 · CONFORME: 11</t>
        </is>
      </c>
    </row>
    <row r="27">
      <c r="A27"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10</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651184</t>
        </is>
      </c>
      <c r="D13" s="55" t="inlineStr">
        <is>
          <t>m</t>
        </is>
      </c>
    </row>
    <row r="14">
      <c r="A14" s="56" t="inlineStr">
        <is>
          <t>1. Identificación y localización</t>
        </is>
      </c>
      <c r="B14" s="56" t="inlineStr">
        <is>
          <t>UTM NORTE del punto de muestreo (m)</t>
        </is>
      </c>
      <c r="C14" s="56" t="inlineStr">
        <is>
          <t>9382309</t>
        </is>
      </c>
      <c r="D14" s="56" t="inlineStr">
        <is>
          <t>m</t>
        </is>
      </c>
    </row>
    <row r="15">
      <c r="A15" s="55" t="inlineStr">
        <is>
          <t>2. Parámetros físicos del terreno</t>
        </is>
      </c>
      <c r="B15" s="55" t="inlineStr">
        <is>
          <t>Piso altitudinal del punto de muestreo</t>
        </is>
      </c>
      <c r="C15" s="55" t="inlineStr">
        <is>
          <t>1000-1500 m (Quechua baja)</t>
        </is>
      </c>
      <c r="D15" s="55" t="inlineStr"/>
    </row>
    <row r="16">
      <c r="A16" s="56" t="inlineStr">
        <is>
          <t>2. Parámetros físicos del terreno</t>
        </is>
      </c>
      <c r="B16" s="56" t="inlineStr">
        <is>
          <t>Paisaje dominante descrito en campo</t>
        </is>
      </c>
      <c r="C16" s="56" t="inlineStr">
        <is>
          <t>Laderas tributarias de la quebrada Q9593 entre 912 y 1510 msnm (amplitud 598 m), pendiente promedio 27.39 % (MDE). Mosaico de bosque estacionalmente seco de colina y montaña, matorral con cactáceas columnares y faique, pastizal seco y parcelas agrícolas en fuerte pendiente.</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Moderada (surcos)</t>
        </is>
      </c>
      <c r="D19" s="55" t="inlineStr"/>
    </row>
    <row r="20">
      <c r="A20" s="56" t="inlineStr">
        <is>
          <t>4. Suelos y erosión (F-DT-02)</t>
        </is>
      </c>
      <c r="B20" s="56" t="inlineStr">
        <is>
          <t>Patrón de cárcavas</t>
        </is>
      </c>
      <c r="C20" s="56" t="inlineStr">
        <is>
          <t>Lineal</t>
        </is>
      </c>
      <c r="D20" s="56" t="inlineStr"/>
    </row>
    <row r="21">
      <c r="A21" s="55" t="inlineStr">
        <is>
          <t>5. Ecosistema, cobertura y flora (F-DT-03)</t>
        </is>
      </c>
      <c r="B21" s="55" t="inlineStr">
        <is>
          <t>Presencia de epífitas</t>
        </is>
      </c>
      <c r="C21" s="55" t="inlineStr">
        <is>
          <t>No</t>
        </is>
      </c>
      <c r="D21" s="55" t="inlineStr"/>
    </row>
    <row r="22">
      <c r="A22" s="56" t="inlineStr">
        <is>
          <t>5. Ecosistema, cobertura y flora (F-DT-03)</t>
        </is>
      </c>
      <c r="B22" s="56" t="inlineStr">
        <is>
          <t>Fenología dominante</t>
        </is>
      </c>
      <c r="C22" s="56" t="inlineStr">
        <is>
          <t>Vegetativo</t>
        </is>
      </c>
      <c r="D22" s="56" t="inlineStr"/>
    </row>
    <row r="23">
      <c r="A23" s="55" t="inlineStr">
        <is>
          <t>5. Ecosistema, cobertura y flora (F-DT-03)</t>
        </is>
      </c>
      <c r="B23" s="55" t="inlineStr">
        <is>
          <t>Dimensiones de la parcela (m)</t>
        </is>
      </c>
      <c r="C23" s="55" t="inlineStr">
        <is>
          <t>No aplica</t>
        </is>
      </c>
      <c r="D23" s="55" t="inlineStr"/>
    </row>
    <row r="24">
      <c r="A24" s="56" t="inlineStr">
        <is>
          <t>5. Ecosistema, cobertura y flora (F-DT-03)</t>
        </is>
      </c>
      <c r="B24" s="56" t="inlineStr">
        <is>
          <t>Pendiente de la parcela (%)</t>
        </is>
      </c>
      <c r="C24" s="56" t="inlineStr">
        <is>
          <t>27.39</t>
        </is>
      </c>
      <c r="D24" s="56" t="inlineStr">
        <is>
          <t>%</t>
        </is>
      </c>
    </row>
    <row r="25">
      <c r="A25" s="55" t="inlineStr">
        <is>
          <t>5. Ecosistema, cobertura y flora (F-DT-03)</t>
        </is>
      </c>
      <c r="B25" s="55" t="inlineStr">
        <is>
          <t>Especies clave georreferenciadas</t>
        </is>
      </c>
      <c r="C25" s="55" t="inlineStr">
        <is>
          <t>2</t>
        </is>
      </c>
      <c r="D25" s="55" t="inlineStr"/>
    </row>
    <row r="26">
      <c r="A26" s="56" t="inlineStr">
        <is>
          <t>6. Degradación, causas y urgencia (F-DT-04)</t>
        </is>
      </c>
      <c r="B26" s="56" t="inlineStr">
        <is>
          <t>Causas directas de la degradación</t>
        </is>
      </c>
      <c r="C26" s="56" t="inlineStr">
        <is>
          <t>Expansión vial (trocha que atraviesa el bloque) y cambio de uso a agricultura en fuerte pendiente, con erosión asociada a los cortes y a las superficies desnudas del corredor.</t>
        </is>
      </c>
      <c r="D26" s="56" t="inlineStr"/>
    </row>
    <row r="27">
      <c r="A27" s="55" t="inlineStr">
        <is>
          <t>6. Degradación, causas y urgencia (F-DT-04)</t>
        </is>
      </c>
      <c r="B27" s="55" t="inlineStr">
        <is>
          <t>N.° de causas activas en la matriz F-DT-04</t>
        </is>
      </c>
      <c r="C27" s="55" t="inlineStr">
        <is>
          <t>16</t>
        </is>
      </c>
      <c r="D27" s="55" t="inlineStr"/>
    </row>
    <row r="28">
      <c r="A28" s="56" t="inlineStr">
        <is>
          <t>7. Hidrología, acceso y logística (F-DT-05)</t>
        </is>
      </c>
      <c r="B28" s="56" t="inlineStr">
        <is>
          <t>Escorrentía concentrada</t>
        </is>
      </c>
      <c r="C28" s="56" t="inlineStr">
        <is>
          <t>Sí</t>
        </is>
      </c>
      <c r="D28" s="56" t="inlineStr"/>
    </row>
    <row r="29">
      <c r="A29" s="55" t="inlineStr">
        <is>
          <t>7. Hidrología, acceso y logística (F-DT-05)</t>
        </is>
      </c>
      <c r="B29" s="55" t="inlineStr">
        <is>
          <t>Fuentes de agua inventariadas</t>
        </is>
      </c>
      <c r="C29" s="55" t="inlineStr">
        <is>
          <t>1</t>
        </is>
      </c>
      <c r="D29" s="55" t="inlineStr"/>
    </row>
    <row r="30">
      <c r="A30" s="56" t="inlineStr">
        <is>
          <t>7. Hidrología, acceso y logística (F-DT-05)</t>
        </is>
      </c>
      <c r="B30" s="56" t="inlineStr">
        <is>
          <t>Vía principal de acceso</t>
        </is>
      </c>
      <c r="C30" s="56" t="inlineStr">
        <is>
          <t>Trocha carrozable de acceso al C.P. Peña Grande (sin código MTC verificado)</t>
        </is>
      </c>
      <c r="D30" s="56" t="inlineStr"/>
    </row>
    <row r="31">
      <c r="A31" s="55" t="inlineStr">
        <is>
          <t>7. Hidrología, acceso y logística (F-DT-05)</t>
        </is>
      </c>
      <c r="B31" s="55" t="inlineStr">
        <is>
          <t>Tipo de vía del tramo final</t>
        </is>
      </c>
      <c r="C31" s="55" t="inlineStr">
        <is>
          <t>Trocha carrozable</t>
        </is>
      </c>
      <c r="D31" s="55" t="inlineStr"/>
    </row>
    <row r="32">
      <c r="A32" s="56" t="inlineStr">
        <is>
          <t>7. Hidrología, acceso y logística (F-DT-05)</t>
        </is>
      </c>
      <c r="B32" s="56" t="inlineStr">
        <is>
          <t>Transitabilidad en época seca</t>
        </is>
      </c>
      <c r="C32" s="56" t="inlineStr">
        <is>
          <t>Medio</t>
        </is>
      </c>
      <c r="D32" s="56" t="inlineStr"/>
    </row>
    <row r="33">
      <c r="A33" s="55" t="inlineStr">
        <is>
          <t>7. Hidrología, acceso y logística (F-DT-05)</t>
        </is>
      </c>
      <c r="B33" s="55" t="inlineStr">
        <is>
          <t>Transitabilidad en época lluviosa</t>
        </is>
      </c>
      <c r="C33" s="55" t="inlineStr">
        <is>
          <t>Bajo</t>
        </is>
      </c>
      <c r="D33" s="55" t="inlineStr"/>
    </row>
    <row r="35">
      <c r="A35" s="53" t="inlineStr">
        <is>
          <t>C. PROCEDENCIA DE LOS HECHOS DECLARADOS</t>
        </is>
      </c>
    </row>
    <row r="36">
      <c r="A36" s="54" t="inlineStr">
        <is>
          <t>Fuente</t>
        </is>
      </c>
      <c r="B36" s="54" t="inlineStr">
        <is>
          <t>Hechos</t>
        </is>
      </c>
      <c r="C36" s="54" t="inlineStr">
        <is>
          <t>Alcance de la fuente</t>
        </is>
      </c>
    </row>
    <row r="37">
      <c r="A37" s="55" t="inlineStr">
        <is>
          <t>Dato de campo</t>
        </is>
      </c>
      <c r="B37" s="55" t="n">
        <v>48</v>
      </c>
      <c r="C37" s="55" t="inlineStr">
        <is>
          <t>Verificación en campo. Fichas F-DT-01 a F-DT-05 de la Plantilla DT Campo Check Validada V5, suscritas por el evaluador.</t>
        </is>
      </c>
    </row>
    <row r="38">
      <c r="A38" s="56" t="inlineStr">
        <is>
          <t>Gabinete (GIS / teledetección)</t>
        </is>
      </c>
      <c r="B38" s="56" t="n">
        <v>20</v>
      </c>
      <c r="C38" s="56" t="inlineStr">
        <is>
          <t>Gabinete. Estadística zonal sobre el MDE y compuestos Sentinel-2 (NDVI mediana 2025, MSAVI 2024 por clase DN).</t>
        </is>
      </c>
    </row>
    <row r="39">
      <c r="A39" s="55" t="inlineStr">
        <is>
          <t>Fuente oficial</t>
        </is>
      </c>
      <c r="B39" s="55" t="n">
        <v>14</v>
      </c>
      <c r="C39" s="55" t="inlineStr">
        <is>
          <t>Fuente oficial. Catálogo maestro Bloques V5/V6, división política INEI y codificación de microcuencas de la ANA.</t>
        </is>
      </c>
    </row>
    <row r="41">
      <c r="A41" s="53" t="inlineStr">
        <is>
          <t>D. ESTADO DEL CRUCE ENTRE FUENTES</t>
        </is>
      </c>
    </row>
    <row r="42">
      <c r="A42" s="54" t="inlineStr">
        <is>
          <t>Estado</t>
        </is>
      </c>
      <c r="B42" s="54" t="inlineStr">
        <is>
          <t>Hechos</t>
        </is>
      </c>
      <c r="C42" s="54" t="inlineStr">
        <is>
          <t>Significado</t>
        </is>
      </c>
    </row>
    <row r="43">
      <c r="A43" s="55" t="inlineStr">
        <is>
          <t>CONFORME</t>
        </is>
      </c>
      <c r="B43" s="55" t="n">
        <v>82</v>
      </c>
      <c r="C43" s="55" t="inlineStr">
        <is>
          <t>Las dos fuentes declaran lo mismo, o solo la fuente que manda sobre el hecho lo declara.</t>
        </is>
      </c>
    </row>
    <row r="44">
      <c r="A44" s="56" t="inlineStr">
        <is>
          <t>COMPLEMENTADO</t>
        </is>
      </c>
      <c r="B44" s="56" t="n">
        <v>0</v>
      </c>
      <c r="C44" s="56" t="inlineStr">
        <is>
          <t>Solo una de las fuentes lo declara y se adopta ese valor.</t>
        </is>
      </c>
    </row>
    <row r="45">
      <c r="A45" s="55" t="inlineStr">
        <is>
          <t>ACTUALIZADO</t>
        </is>
      </c>
      <c r="B45" s="55" t="n">
        <v>0</v>
      </c>
      <c r="C45" s="55" t="inlineStr">
        <is>
          <t>La verificación de campo vigente corrige lo que traía el libro de resumen.</t>
        </is>
      </c>
    </row>
    <row r="46">
      <c r="A46" s="56" t="inlineStr">
        <is>
          <t>DISCREPANTE</t>
        </is>
      </c>
      <c r="B46" s="56" t="n">
        <v>0</v>
      </c>
      <c r="C46" s="56" t="inlineStr">
        <is>
          <t>Las fuentes se contradicen; prevalece la que manda sobre el hecho y la otra queda declarada.</t>
        </is>
      </c>
    </row>
    <row r="47">
      <c r="A47" s="55" t="inlineStr">
        <is>
          <t>PENDIENTE</t>
        </is>
      </c>
      <c r="B47" s="55" t="n">
        <v>32</v>
      </c>
      <c r="C4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10</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Frecuente (5-20%)</t>
        </is>
      </c>
      <c r="H13" s="55" t="n"/>
      <c r="I13" s="55" t="n"/>
    </row>
    <row r="14">
      <c r="A14" s="56" t="inlineStr">
        <is>
          <t>2</t>
        </is>
      </c>
      <c r="B14" s="56" t="inlineStr">
        <is>
          <t>Cactácea columnar</t>
        </is>
      </c>
      <c r="C14" s="56" t="inlineStr">
        <is>
          <t>Armatocereus sp. / Neoraimondia sp.</t>
        </is>
      </c>
      <c r="D14" s="56" t="inlineStr">
        <is>
          <t>Cactaceae</t>
        </is>
      </c>
      <c r="E14" s="56" t="inlineStr">
        <is>
          <t>Arbustivo alto (1.5-4 m)</t>
        </is>
      </c>
      <c r="F14" s="56" t="inlineStr">
        <is>
          <t>Nativa</t>
        </is>
      </c>
      <c r="G14" s="56" t="inlineStr">
        <is>
          <t>Ocasional (1-5%)</t>
        </is>
      </c>
      <c r="H14" s="56" t="n"/>
      <c r="I14" s="56" t="n"/>
    </row>
    <row r="15">
      <c r="A15" s="55" t="inlineStr">
        <is>
          <t>3</t>
        </is>
      </c>
      <c r="B15" s="55" t="inlineStr">
        <is>
          <t>Arbustivas de bosque estacionalmente seco</t>
        </is>
      </c>
      <c r="C15" s="55" t="inlineStr">
        <is>
          <t>Por determinar</t>
        </is>
      </c>
      <c r="D15" s="55" t="inlineStr">
        <is>
          <t>Por determinar</t>
        </is>
      </c>
      <c r="E15" s="55" t="inlineStr">
        <is>
          <t>Arbustivo alto (1.5-4 m)</t>
        </is>
      </c>
      <c r="F15" s="55" t="inlineStr">
        <is>
          <t>Nativa</t>
        </is>
      </c>
      <c r="G15" s="55" t="inlineStr">
        <is>
          <t>Abundante (20-40%)</t>
        </is>
      </c>
      <c r="H15" s="55" t="n"/>
      <c r="I15" s="55" t="n"/>
    </row>
    <row r="16">
      <c r="A16" s="56" t="inlineStr">
        <is>
          <t>4</t>
        </is>
      </c>
      <c r="B16" s="56" t="inlineStr">
        <is>
          <t>Arbusto de flor blanca</t>
        </is>
      </c>
      <c r="C16" s="56" t="inlineStr">
        <is>
          <t>Asteraceae por determinar</t>
        </is>
      </c>
      <c r="D16" s="56" t="inlineStr">
        <is>
          <t>Asteraceae</t>
        </is>
      </c>
      <c r="E16" s="56" t="inlineStr">
        <is>
          <t>Arbustivo alto (1.5-4 m)</t>
        </is>
      </c>
      <c r="F16" s="56" t="inlineStr">
        <is>
          <t>Nativa</t>
        </is>
      </c>
      <c r="G16" s="56" t="inlineStr">
        <is>
          <t>Frecuente (5-20%)</t>
        </is>
      </c>
      <c r="H16" s="56" t="n"/>
      <c r="I16" s="56" t="n"/>
    </row>
    <row r="17">
      <c r="A17" s="55" t="inlineStr">
        <is>
          <t>5</t>
        </is>
      </c>
      <c r="B17" s="55" t="inlineStr">
        <is>
          <t>Gramíneas / pastos naturales</t>
        </is>
      </c>
      <c r="C17" s="55" t="inlineStr">
        <is>
          <t>Poaceae por determinar</t>
        </is>
      </c>
      <c r="D17" s="55" t="inlineStr">
        <is>
          <t>Poaceae</t>
        </is>
      </c>
      <c r="E17" s="55" t="inlineStr">
        <is>
          <t>Herbáceo (&lt;0.5 m)</t>
        </is>
      </c>
      <c r="F17" s="55" t="inlineStr">
        <is>
          <t>Nativa</t>
        </is>
      </c>
      <c r="G17" s="55" t="inlineStr">
        <is>
          <t>Frecuente (5-20%)</t>
        </is>
      </c>
      <c r="H17" s="55" t="n"/>
      <c r="I17" s="55" t="n"/>
    </row>
    <row r="18">
      <c r="A18" s="56" t="inlineStr">
        <is>
          <t>6</t>
        </is>
      </c>
      <c r="B18" s="56" t="inlineStr">
        <is>
          <t>Café bajo sombra (cultivo)</t>
        </is>
      </c>
      <c r="C18" s="56" t="inlineStr">
        <is>
          <t>Coffea arabica</t>
        </is>
      </c>
      <c r="D18" s="56" t="inlineStr">
        <is>
          <t>Rubiaceae</t>
        </is>
      </c>
      <c r="E18" s="56" t="inlineStr">
        <is>
          <t>Arbustivo alto (1.5-4 m)</t>
        </is>
      </c>
      <c r="F18" s="56" t="inlineStr">
        <is>
          <t>Introducida</t>
        </is>
      </c>
      <c r="G18" s="56" t="inlineStr">
        <is>
          <t>Ocasional (1-5%)</t>
        </is>
      </c>
      <c r="H18" s="56" t="n"/>
      <c r="I18" s="56" t="n"/>
    </row>
    <row r="19">
      <c r="A19" s="55" t="inlineStr">
        <is>
          <t>7</t>
        </is>
      </c>
      <c r="B19" s="55" t="inlineStr">
        <is>
          <t>Plátano (cultivo)</t>
        </is>
      </c>
      <c r="C19" s="55" t="inlineStr">
        <is>
          <t>Musa × paradisiaca</t>
        </is>
      </c>
      <c r="D19" s="55" t="inlineStr">
        <is>
          <t>Musaceae</t>
        </is>
      </c>
      <c r="E19" s="55" t="inlineStr">
        <is>
          <t>Arbóreo bajo (4-8 m)</t>
        </is>
      </c>
      <c r="F19" s="55" t="inlineStr">
        <is>
          <t>Introducida</t>
        </is>
      </c>
      <c r="G19" s="55" t="inlineStr">
        <is>
          <t>Ocasional (1-5%)</t>
        </is>
      </c>
      <c r="H19" s="55" t="n"/>
      <c r="I19" s="55" t="n"/>
    </row>
    <row r="21">
      <c r="A21" s="53" t="inlineStr">
        <is>
          <t>F-DT-03 · ESPECIES CLAVE GEORREFERENCIADAS</t>
        </is>
      </c>
    </row>
    <row r="22">
      <c r="A22" s="54" t="inlineStr">
        <is>
          <t>N.o</t>
        </is>
      </c>
      <c r="B22" s="54" t="inlineStr">
        <is>
          <t>Especie</t>
        </is>
      </c>
      <c r="C22" s="54" t="inlineStr">
        <is>
          <t>Categoría</t>
        </is>
      </c>
      <c r="D22" s="54" t="inlineStr">
        <is>
          <t>Estado UICN</t>
        </is>
      </c>
      <c r="E22" s="54" t="inlineStr">
        <is>
          <t>UTM ESTE</t>
        </is>
      </c>
      <c r="F22" s="54" t="inlineStr">
        <is>
          <t>UTM NORTE</t>
        </is>
      </c>
      <c r="G22" s="54" t="inlineStr">
        <is>
          <t>N.° individuos</t>
        </is>
      </c>
      <c r="H22" s="54" t="inlineStr">
        <is>
          <t>Observación</t>
        </is>
      </c>
    </row>
    <row r="23">
      <c r="A23" s="55" t="inlineStr">
        <is>
          <t>1</t>
        </is>
      </c>
      <c r="B23" s="55" t="inlineStr">
        <is>
          <t>Cactáceas columnares (Cactaceae)</t>
        </is>
      </c>
      <c r="C23" s="55" t="inlineStr">
        <is>
          <t>Indicadora de perturbación</t>
        </is>
      </c>
      <c r="D23" s="55" t="inlineStr">
        <is>
          <t>NE — No Evaluado</t>
        </is>
      </c>
      <c r="E23" s="55" t="n"/>
      <c r="F23" s="55" t="n"/>
      <c r="G23" s="55" t="n"/>
      <c r="H23" s="55" t="inlineStr">
        <is>
          <t>Determinación específica indispensable frente al D.S. 043-2006-AG</t>
        </is>
      </c>
    </row>
    <row r="24">
      <c r="A24" s="56" t="inlineStr">
        <is>
          <t>2</t>
        </is>
      </c>
      <c r="B24" s="56" t="inlineStr">
        <is>
          <t>Vachellia macracantha (faique)</t>
        </is>
      </c>
      <c r="C24" s="56" t="inlineStr">
        <is>
          <t>Indicadora de buen estado</t>
        </is>
      </c>
      <c r="D24" s="56" t="inlineStr">
        <is>
          <t>LC — Preocupación Menor</t>
        </is>
      </c>
      <c r="E24" s="56" t="n"/>
      <c r="F24" s="56" t="n"/>
      <c r="G24" s="56" t="n"/>
      <c r="H24" s="56" t="inlineStr">
        <is>
          <t>Especie estructurante del Bes-cm; fijadora de nitrógeno, apta para revegetación</t>
        </is>
      </c>
    </row>
    <row r="26">
      <c r="A26" s="53" t="inlineStr">
        <is>
          <t>F-DT-04 · MATRIZ DE CAUSAS DE DEGRADACIÓN</t>
        </is>
      </c>
    </row>
    <row r="27">
      <c r="A27" s="54" t="inlineStr">
        <is>
          <t>N.o</t>
        </is>
      </c>
      <c r="B27" s="54" t="inlineStr">
        <is>
          <t>Causa</t>
        </is>
      </c>
      <c r="C27" s="54" t="inlineStr">
        <is>
          <t>Presencia</t>
        </is>
      </c>
      <c r="D27" s="54" t="inlineStr">
        <is>
          <t>Intensidad</t>
        </is>
      </c>
      <c r="E27" s="54" t="inlineStr">
        <is>
          <t>Extensión</t>
        </is>
      </c>
      <c r="F27" s="54" t="inlineStr">
        <is>
          <t>Antigüedad</t>
        </is>
      </c>
      <c r="G27" s="54" t="inlineStr">
        <is>
          <t>Evidencia</t>
        </is>
      </c>
    </row>
    <row r="28">
      <c r="A28" s="55" t="inlineStr">
        <is>
          <t>1</t>
        </is>
      </c>
      <c r="B28" s="55" t="inlineStr">
        <is>
          <t>Sobrepastoreo (caprino/vacuno)</t>
        </is>
      </c>
      <c r="C28" s="55" t="inlineStr">
        <is>
          <t>Sí</t>
        </is>
      </c>
      <c r="D28" s="55" t="inlineStr">
        <is>
          <t>Ligera</t>
        </is>
      </c>
      <c r="E28" s="55" t="inlineStr">
        <is>
          <t>Por determinar</t>
        </is>
      </c>
      <c r="F28" s="55" t="inlineStr">
        <is>
          <t>Por determinar</t>
        </is>
      </c>
      <c r="G28" s="55" t="inlineStr">
        <is>
          <t>Indicios de pastoreo extensivo; carga no cuantificada</t>
        </is>
      </c>
    </row>
    <row r="29">
      <c r="A29" s="56" t="inlineStr">
        <is>
          <t>2</t>
        </is>
      </c>
      <c r="B29" s="56" t="inlineStr">
        <is>
          <t>Tala para leña</t>
        </is>
      </c>
      <c r="C29" s="56" t="inlineStr">
        <is>
          <t>Por determinar</t>
        </is>
      </c>
      <c r="D29" s="56" t="inlineStr"/>
      <c r="E29" s="56" t="inlineStr"/>
      <c r="F29" s="56" t="inlineStr"/>
      <c r="G29" s="56" t="inlineStr"/>
    </row>
    <row r="30">
      <c r="A30" s="55" t="inlineStr">
        <is>
          <t>3</t>
        </is>
      </c>
      <c r="B30" s="55" t="inlineStr">
        <is>
          <t>Tala para carbón</t>
        </is>
      </c>
      <c r="C30" s="55" t="inlineStr">
        <is>
          <t>Por determinar</t>
        </is>
      </c>
      <c r="D30" s="55" t="inlineStr"/>
      <c r="E30" s="55" t="inlineStr"/>
      <c r="F30" s="55" t="inlineStr"/>
      <c r="G30" s="55" t="inlineStr"/>
    </row>
    <row r="31">
      <c r="A31" s="56" t="inlineStr">
        <is>
          <t>4</t>
        </is>
      </c>
      <c r="B31" s="56" t="inlineStr">
        <is>
          <t>Tala para madera</t>
        </is>
      </c>
      <c r="C31" s="56" t="inlineStr">
        <is>
          <t>Por determinar</t>
        </is>
      </c>
      <c r="D31" s="56" t="inlineStr"/>
      <c r="E31" s="56" t="inlineStr"/>
      <c r="F31" s="56" t="inlineStr"/>
      <c r="G31" s="56" t="inlineStr"/>
    </row>
    <row r="32">
      <c r="A32" s="55" t="inlineStr">
        <is>
          <t>5</t>
        </is>
      </c>
      <c r="B32" s="55" t="inlineStr">
        <is>
          <t>Quema (renovación de pastos)</t>
        </is>
      </c>
      <c r="C32" s="55" t="inlineStr">
        <is>
          <t>Por determinar</t>
        </is>
      </c>
      <c r="D32" s="55" t="inlineStr"/>
      <c r="E32" s="55" t="inlineStr"/>
      <c r="F32" s="55" t="inlineStr"/>
      <c r="G32" s="55" t="inlineStr"/>
    </row>
    <row r="33">
      <c r="A33" s="56" t="inlineStr">
        <is>
          <t>6</t>
        </is>
      </c>
      <c r="B33" s="56" t="inlineStr">
        <is>
          <t>Quema accidental / Incendio</t>
        </is>
      </c>
      <c r="C33" s="56" t="inlineStr">
        <is>
          <t>Por determinar</t>
        </is>
      </c>
      <c r="D33" s="56" t="inlineStr"/>
      <c r="E33" s="56" t="inlineStr"/>
      <c r="F33" s="56" t="inlineStr"/>
      <c r="G33" s="56" t="inlineStr"/>
    </row>
    <row r="34">
      <c r="A34" s="55" t="inlineStr">
        <is>
          <t>7</t>
        </is>
      </c>
      <c r="B34" s="55" t="inlineStr">
        <is>
          <t>Cambio de uso a agricultura</t>
        </is>
      </c>
      <c r="C34" s="55" t="inlineStr">
        <is>
          <t>Sí</t>
        </is>
      </c>
      <c r="D34" s="55" t="inlineStr">
        <is>
          <t>Moderada</t>
        </is>
      </c>
      <c r="E34" s="55" t="inlineStr">
        <is>
          <t>Por determinar</t>
        </is>
      </c>
      <c r="F34" s="55" t="inlineStr">
        <is>
          <t>Por determinar</t>
        </is>
      </c>
      <c r="G34" s="55" t="inlineStr">
        <is>
          <t>Mosaico de parcelas de cultivo en fuerte pendiente sobre las vertientes (E-02, E-03); café y plátano en el entorno del C.P. Peña Grande</t>
        </is>
      </c>
    </row>
    <row r="35">
      <c r="A35" s="56" t="inlineStr">
        <is>
          <t>8</t>
        </is>
      </c>
      <c r="B35" s="56" t="inlineStr">
        <is>
          <t>Cambio de uso a pastoreo</t>
        </is>
      </c>
      <c r="C35" s="56" t="inlineStr">
        <is>
          <t>Sí</t>
        </is>
      </c>
      <c r="D35" s="56" t="inlineStr">
        <is>
          <t>Ligera</t>
        </is>
      </c>
      <c r="E35" s="56" t="inlineStr">
        <is>
          <t>Por determinar</t>
        </is>
      </c>
      <c r="F35" s="56" t="inlineStr">
        <is>
          <t>Por determinar</t>
        </is>
      </c>
      <c r="G35" s="56" t="inlineStr">
        <is>
          <t>Pastizal seco en aristas y laderas de mayor insolación</t>
        </is>
      </c>
    </row>
    <row r="36">
      <c r="A36" s="55" t="inlineStr">
        <is>
          <t>9</t>
        </is>
      </c>
      <c r="B36" s="55" t="inlineStr">
        <is>
          <t>Expansión urbana / vial</t>
        </is>
      </c>
      <c r="C36" s="55" t="inlineStr">
        <is>
          <t>Sí</t>
        </is>
      </c>
      <c r="D36" s="55" t="inlineStr">
        <is>
          <t>Fuerte</t>
        </is>
      </c>
      <c r="E36" s="55" t="inlineStr">
        <is>
          <t>Por determinar</t>
        </is>
      </c>
      <c r="F36" s="55" t="inlineStr">
        <is>
          <t>&lt; 5</t>
        </is>
      </c>
      <c r="G36" s="55" t="inlineStr">
        <is>
          <t>CAUSA DOMINANTE. Trocha carrozable que atraviesa el bloque de norte a sur hasta el C.P. Peña Grande; plataforma de corte con suelo desnudo continuo (E-01) y corredor vial de corte a media ladera con posible campamento de obra al NE (E-06)</t>
        </is>
      </c>
    </row>
    <row r="37">
      <c r="A37" s="56" t="inlineStr">
        <is>
          <t>10</t>
        </is>
      </c>
      <c r="B37" s="56" t="inlineStr">
        <is>
          <t>Minería informal</t>
        </is>
      </c>
      <c r="C37" s="56" t="inlineStr">
        <is>
          <t>Por determinar</t>
        </is>
      </c>
      <c r="D37" s="56" t="inlineStr"/>
      <c r="E37" s="56" t="inlineStr"/>
      <c r="F37" s="56" t="inlineStr"/>
      <c r="G37" s="56" t="inlineStr"/>
    </row>
    <row r="38">
      <c r="A38" s="55" t="inlineStr">
        <is>
          <t>11</t>
        </is>
      </c>
      <c r="B38" s="55" t="inlineStr">
        <is>
          <t>Extracción de áridos (cauces)</t>
        </is>
      </c>
      <c r="C38" s="55" t="inlineStr">
        <is>
          <t>Por determinar</t>
        </is>
      </c>
      <c r="D38" s="55" t="inlineStr"/>
      <c r="E38" s="55" t="inlineStr"/>
      <c r="F38" s="55" t="inlineStr"/>
      <c r="G38" s="55" t="inlineStr"/>
    </row>
    <row r="39">
      <c r="A39" s="56" t="inlineStr">
        <is>
          <t>12</t>
        </is>
      </c>
      <c r="B39" s="56" t="inlineStr">
        <is>
          <t>Especies invasoras</t>
        </is>
      </c>
      <c r="C39" s="56" t="inlineStr">
        <is>
          <t>Por determinar</t>
        </is>
      </c>
      <c r="D39" s="56" t="inlineStr"/>
      <c r="E39" s="56" t="inlineStr"/>
      <c r="F39" s="56" t="inlineStr"/>
      <c r="G39" s="56" t="inlineStr"/>
    </row>
    <row r="40">
      <c r="A40" s="55" t="inlineStr">
        <is>
          <t>13</t>
        </is>
      </c>
      <c r="B40" s="55" t="inlineStr">
        <is>
          <t>Erosión natural severa</t>
        </is>
      </c>
      <c r="C40" s="55" t="inlineStr">
        <is>
          <t>Sí</t>
        </is>
      </c>
      <c r="D40" s="55" t="inlineStr">
        <is>
          <t>Moderada</t>
        </is>
      </c>
      <c r="E40" s="55" t="inlineStr">
        <is>
          <t>Por determinar</t>
        </is>
      </c>
      <c r="F40" s="55" t="inlineStr">
        <is>
          <t>Por determinar</t>
        </is>
      </c>
      <c r="G40" s="55" t="inlineStr">
        <is>
          <t>Superficies bajo umbral MSAVI en el sector centro-occidental (parche crítico de ~0.5 ha en 650 663 E / 9 382 556 N) y en el entorno del centro poblado</t>
        </is>
      </c>
    </row>
    <row r="41">
      <c r="A41" s="56" t="inlineStr">
        <is>
          <t>14</t>
        </is>
      </c>
      <c r="B41" s="56" t="inlineStr">
        <is>
          <t>Sequía prolongada / CC</t>
        </is>
      </c>
      <c r="C41" s="56" t="inlineStr">
        <is>
          <t>Por determinar</t>
        </is>
      </c>
      <c r="D41" s="56" t="inlineStr"/>
      <c r="E41" s="56" t="inlineStr"/>
      <c r="F41" s="56" t="inlineStr"/>
      <c r="G41" s="56" t="inlineStr"/>
    </row>
    <row r="42">
      <c r="A42" s="55" t="inlineStr">
        <is>
          <t>15</t>
        </is>
      </c>
      <c r="B42" s="55" t="inlineStr">
        <is>
          <t>Plagas o enfermedades forestales</t>
        </is>
      </c>
      <c r="C42" s="55" t="inlineStr">
        <is>
          <t>Por determinar</t>
        </is>
      </c>
      <c r="D42" s="55" t="inlineStr"/>
      <c r="E42" s="55" t="inlineStr"/>
      <c r="F42" s="55" t="inlineStr"/>
      <c r="G42" s="55" t="inlineStr"/>
    </row>
    <row r="43">
      <c r="A43" s="56" t="inlineStr">
        <is>
          <t>16</t>
        </is>
      </c>
      <c r="B43" s="56" t="inlineStr">
        <is>
          <t>Otro</t>
        </is>
      </c>
      <c r="C43" s="56" t="inlineStr">
        <is>
          <t>Por determinar</t>
        </is>
      </c>
      <c r="D43" s="56" t="inlineStr"/>
      <c r="E43" s="56" t="inlineStr"/>
      <c r="F43" s="56" t="inlineStr"/>
      <c r="G43" s="56" t="inlineStr"/>
    </row>
    <row r="45">
      <c r="A45" s="53" t="inlineStr">
        <is>
          <t>F-DT-04 · INDICADORES CUANTITATIVOS</t>
        </is>
      </c>
    </row>
    <row r="46">
      <c r="A46" s="54" t="inlineStr">
        <is>
          <t>N.o</t>
        </is>
      </c>
      <c r="B46" s="54" t="inlineStr">
        <is>
          <t>Indicador</t>
        </is>
      </c>
      <c r="C46" s="54" t="inlineStr">
        <is>
          <t>Unidad</t>
        </is>
      </c>
      <c r="D46" s="54" t="inlineStr">
        <is>
          <t>Valor</t>
        </is>
      </c>
      <c r="E46" s="54" t="inlineStr">
        <is>
          <t>Fuente</t>
        </is>
      </c>
      <c r="F46" s="54" t="inlineStr">
        <is>
          <t>Umbral</t>
        </is>
      </c>
      <c r="G46" s="54" t="inlineStr">
        <is>
          <t>Nivel</t>
        </is>
      </c>
    </row>
    <row r="47">
      <c r="A47" s="55" t="inlineStr">
        <is>
          <t>1</t>
        </is>
      </c>
      <c r="B47" s="55" t="inlineStr">
        <is>
          <t>Cobertura vegetal total</t>
        </is>
      </c>
      <c r="C47" s="55" t="inlineStr">
        <is>
          <t>%</t>
        </is>
      </c>
      <c r="D47" s="55" t="inlineStr">
        <is>
          <t>Por determinar</t>
        </is>
      </c>
      <c r="E47" s="55" t="inlineStr">
        <is>
          <t>No cuantificado en campo</t>
        </is>
      </c>
      <c r="F47" s="55" t="inlineStr">
        <is>
          <t>&gt;60% bueno; 30-60% medio; &lt;30% malo</t>
        </is>
      </c>
      <c r="G47" s="55" t="inlineStr"/>
    </row>
    <row r="48">
      <c r="A48" s="56" t="inlineStr">
        <is>
          <t>2</t>
        </is>
      </c>
      <c r="B48" s="56" t="inlineStr">
        <is>
          <t>Porcentaje de suelo desnudo</t>
        </is>
      </c>
      <c r="C48" s="56" t="inlineStr">
        <is>
          <t>%</t>
        </is>
      </c>
      <c r="D48" s="56" t="inlineStr">
        <is>
          <t>Por determinar</t>
        </is>
      </c>
      <c r="E48" s="56" t="inlineStr">
        <is>
          <t>No cuantificado en campo</t>
        </is>
      </c>
      <c r="F48" s="56" t="inlineStr">
        <is>
          <t>&lt;10% bueno; 10-30% medio; &gt;30% malo</t>
        </is>
      </c>
      <c r="G48" s="56" t="inlineStr"/>
    </row>
    <row r="49">
      <c r="A49" s="55" t="inlineStr">
        <is>
          <t>3</t>
        </is>
      </c>
      <c r="B49" s="55" t="inlineStr">
        <is>
          <t>Densidad de cárcavas</t>
        </is>
      </c>
      <c r="C49" s="55" t="inlineStr">
        <is>
          <t>N°/ha</t>
        </is>
      </c>
      <c r="D49" s="55" t="inlineStr">
        <is>
          <t>Por determinar</t>
        </is>
      </c>
      <c r="E49" s="55" t="inlineStr">
        <is>
          <t>No cuantificado en campo</t>
        </is>
      </c>
      <c r="F49" s="55" t="inlineStr">
        <is>
          <t>0 nulo; 1-3 medio; &gt;3 alto</t>
        </is>
      </c>
      <c r="G49" s="55" t="inlineStr"/>
    </row>
    <row r="50">
      <c r="A50" s="56" t="inlineStr">
        <is>
          <t>4</t>
        </is>
      </c>
      <c r="B50" s="56" t="inlineStr">
        <is>
          <t>Presencia de especies invasoras</t>
        </is>
      </c>
      <c r="C50" s="56" t="inlineStr">
        <is>
          <t>% área</t>
        </is>
      </c>
      <c r="D50" s="56" t="inlineStr">
        <is>
          <t>Por determinar</t>
        </is>
      </c>
      <c r="E50" s="56" t="inlineStr">
        <is>
          <t>No cuantificado en campo</t>
        </is>
      </c>
      <c r="F50" s="56" t="inlineStr">
        <is>
          <t>&lt;5% bueno; 5-20% medio; &gt;20% alto</t>
        </is>
      </c>
      <c r="G50" s="56" t="inlineStr"/>
    </row>
    <row r="51">
      <c r="A51" s="55" t="inlineStr">
        <is>
          <t>5</t>
        </is>
      </c>
      <c r="B51" s="55" t="inlineStr">
        <is>
          <t>Carga ganadera estimada</t>
        </is>
      </c>
      <c r="C51" s="55" t="inlineStr">
        <is>
          <t>UA/ha</t>
        </is>
      </c>
      <c r="D51" s="55" t="inlineStr">
        <is>
          <t>Por determinar</t>
        </is>
      </c>
      <c r="E51" s="55" t="inlineStr">
        <is>
          <t>No cuantificado en campo</t>
        </is>
      </c>
      <c r="F51" s="55" t="inlineStr">
        <is>
          <t>Según tipo de ecosistema</t>
        </is>
      </c>
      <c r="G51" s="55" t="inlineStr"/>
    </row>
    <row r="52">
      <c r="A52" s="56" t="inlineStr">
        <is>
          <t>6</t>
        </is>
      </c>
      <c r="B52" s="56" t="inlineStr">
        <is>
          <t>Frecuencia de quemas últimos 5 años</t>
        </is>
      </c>
      <c r="C52" s="56" t="inlineStr">
        <is>
          <t>N°</t>
        </is>
      </c>
      <c r="D52" s="56" t="inlineStr">
        <is>
          <t>Por determinar</t>
        </is>
      </c>
      <c r="E52" s="56" t="inlineStr">
        <is>
          <t>No cuantificado en campo</t>
        </is>
      </c>
      <c r="F52" s="56" t="inlineStr">
        <is>
          <t>0 nulo; 1-2 medio; &gt;2 alto</t>
        </is>
      </c>
      <c r="G52" s="56" t="inlineStr"/>
    </row>
    <row r="53">
      <c r="A53" s="55" t="inlineStr">
        <is>
          <t>7</t>
        </is>
      </c>
      <c r="B53" s="55" t="inlineStr">
        <is>
          <t>% área con pendiente &gt;50%</t>
        </is>
      </c>
      <c r="C53" s="55" t="inlineStr">
        <is>
          <t>%</t>
        </is>
      </c>
      <c r="D53" s="55" t="inlineStr">
        <is>
          <t>Por determinar</t>
        </is>
      </c>
      <c r="E53" s="55" t="inlineStr">
        <is>
          <t>No cuantificado en campo</t>
        </is>
      </c>
      <c r="F53" s="55" t="inlineStr">
        <is>
          <t>Factor de susceptibilidad</t>
        </is>
      </c>
      <c r="G53" s="55" t="inlineStr"/>
    </row>
    <row r="54">
      <c r="A54" s="56" t="inlineStr">
        <is>
          <t>8</t>
        </is>
      </c>
      <c r="B54" s="56" t="inlineStr">
        <is>
          <t>Distancia a vía vecinal más cercana</t>
        </is>
      </c>
      <c r="C54" s="56" t="inlineStr">
        <is>
          <t>m</t>
        </is>
      </c>
      <c r="D54" s="56" t="inlineStr">
        <is>
          <t>Por determinar</t>
        </is>
      </c>
      <c r="E54" s="56" t="inlineStr">
        <is>
          <t>La trocha atraviesa el polígono</t>
        </is>
      </c>
      <c r="F54" s="56" t="inlineStr">
        <is>
          <t>A menor distancia → mayor presión</t>
        </is>
      </c>
      <c r="G54" s="56" t="inlineStr">
        <is>
          <t>Alto</t>
        </is>
      </c>
    </row>
    <row r="56">
      <c r="A56" s="53" t="inlineStr">
        <is>
          <t>F-DT-05 · FUENTES DE AGUA INVENTARIADAS</t>
        </is>
      </c>
    </row>
    <row r="57">
      <c r="A57" s="54" t="inlineStr">
        <is>
          <t>N.o</t>
        </is>
      </c>
      <c r="B57" s="54" t="inlineStr">
        <is>
          <t>Tipo de fuente</t>
        </is>
      </c>
      <c r="C57" s="54" t="inlineStr">
        <is>
          <t>UTM ESTE</t>
        </is>
      </c>
      <c r="D57" s="54" t="inlineStr">
        <is>
          <t>UTM NORTE</t>
        </is>
      </c>
      <c r="E57" s="54" t="inlineStr">
        <is>
          <t>Régimen</t>
        </is>
      </c>
      <c r="F57" s="54" t="inlineStr">
        <is>
          <t>Calidad</t>
        </is>
      </c>
      <c r="G57" s="54" t="inlineStr">
        <is>
          <t>Distancia (m)</t>
        </is>
      </c>
      <c r="H57" s="54" t="inlineStr">
        <is>
          <t>Uso / observación</t>
        </is>
      </c>
    </row>
    <row r="58">
      <c r="A58" s="55" t="inlineStr">
        <is>
          <t>1</t>
        </is>
      </c>
      <c r="B58" s="55" t="inlineStr">
        <is>
          <t>Quebrada estacional</t>
        </is>
      </c>
      <c r="C58" s="55" t="n"/>
      <c r="D58" s="55" t="n"/>
      <c r="E58" s="55" t="inlineStr">
        <is>
          <t>Estacional (lluvias)</t>
        </is>
      </c>
      <c r="F58" s="55" t="inlineStr">
        <is>
          <t>No evaluable</t>
        </is>
      </c>
      <c r="G58" s="55" t="n"/>
      <c r="H58" s="55" t="inlineStr">
        <is>
          <t>Red de vaguadas tributarias de la quebrada Q9593; sin inventario georreferenciado</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PRELLENADO DE GABINETE. Reconocimiento del 12-08-2026 mediante recorrido vehicular con registro fotográfico georreferenciado; la ficha NO fue diligenciada en campo. Altitud GPS no registrada. Rango altitudinal y pendiente proceden de estadística zonal sobre el MDE. Cuatro de las cinco estaciones georreferenciadas se ubican DENTRO del polígono (249-302 m del borde); la restante, a ~570 m al NE. Los indicadores no cuantificados se rotulan «Por determinar» y no fueron inferidos.</t>
        </is>
      </c>
    </row>
    <row r="64">
      <c r="A64" s="56" t="inlineStr">
        <is>
          <t>F-DT-02</t>
        </is>
      </c>
      <c r="B64" s="56" t="inlineStr">
        <is>
          <t>FICHA NO LEVANTADA EN CAMPO — INVENTARIO DE CÁRCAVAS NO EJECUTADO. La ausencia de registros no equivale a ausencia verificada. Síntesis de gabinete a partir del registro fotográfico y de la clasificación MSAVI. Evidencia: plataforma de corte con suelo desnudo continuo, zanja de drenaje incipiente y acanaladuras sobre la trocha que atraviesa el bloque (E-01); superficies bajo umbral MSAVI concentradas en el sector centro-occidental y en el entorno del C.P. Peña Grande.</t>
        </is>
      </c>
    </row>
    <row r="65">
      <c r="A65" s="55" t="inlineStr">
        <is>
          <t>F-DT-03</t>
        </is>
      </c>
      <c r="B65" s="55" t="inlineStr">
        <is>
          <t>REGISTRO FLORÍSTICO INCOMPLETO: 7 taxones frente al mínimo de 15 exigido por la ficha. Las tres primeras entradas proceden de la declaración de campo (faique, cactáceas columnares y arbustivas de bosque estacionalmente seco de colina y montaña); las restantes, de fotointerpretación y quedan sujetas a confirmación. Ningún binomio ha sido confirmado taxonómicamente. No se instalaron parcelas de muestreo ni se ejecutó colecta botánica o medición dasométrica.</t>
        </is>
      </c>
    </row>
    <row r="66">
      <c r="A66" s="56" t="inlineStr">
        <is>
          <t>F-DT-04</t>
        </is>
      </c>
      <c r="B66" s="56" t="inlineStr">
        <is>
          <t>Indicador de brecha (R.M. N° 00213-2024-MINAM): 26.96 % del bloque (40.50 ha) bajo el umbral MSAVI 2024 de 0.4976. MSAVI medio del bloque 0.5465 frente a 0.5477 de la microcuenca C1076-Q9593. Clases de cobertura obtenidas por planimetría digital sobre los planos temáticos georreferenciados (tolerancia estimada ±2 %); requieren confirmación con estadística zonal directa sobre el ráster.</t>
        </is>
      </c>
    </row>
    <row r="67">
      <c r="A67" s="55" t="inlineStr">
        <is>
          <t>F-DT-05</t>
        </is>
      </c>
      <c r="B67" s="55" t="inlineStr">
        <is>
          <t>FICHA PARCIAL. Sin inventario de manantiales con GPS, JASS, captación poblacional, señal celular, tiempos de viaje ni contacto de Ronda Campesina. El bloque se declara en zona de recarga hídrica por su posición en la cabecera del drenaje de la quebrada Q9593 (zona de origen del PGI). El acceso vehicular llega al interior del bloque: la trocha lo atraviesa.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10</t>
        </is>
      </c>
    </row>
    <row r="7">
      <c r="A7" s="53" t="inlineStr">
        <is>
          <t>Hechos declarados por fuente</t>
        </is>
      </c>
    </row>
    <row r="8">
      <c r="A8" s="54" t="inlineStr">
        <is>
          <t>Fuente</t>
        </is>
      </c>
      <c r="B8" s="54" t="inlineStr">
        <is>
          <t>Hechos</t>
        </is>
      </c>
    </row>
    <row r="9">
      <c r="A9" s="55" t="inlineStr">
        <is>
          <t>Dato de campo</t>
        </is>
      </c>
      <c r="B9" s="55" t="n">
        <v>48</v>
      </c>
    </row>
    <row r="10">
      <c r="A10" s="56" t="inlineStr">
        <is>
          <t>Gabinete (GIS / teledetección)</t>
        </is>
      </c>
      <c r="B10" s="56" t="n">
        <v>20</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82</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32</v>
      </c>
    </row>
    <row r="45">
      <c r="A45" s="53" t="inlineStr">
        <is>
          <t>Causas activas de degradación (F-DT-04)</t>
        </is>
      </c>
    </row>
    <row r="46">
      <c r="A46" s="54" t="inlineStr">
        <is>
          <t>Causa</t>
        </is>
      </c>
      <c r="B46" s="54" t="inlineStr">
        <is>
          <t>Intensidad (1 ligera - 4 muy fuerte)</t>
        </is>
      </c>
    </row>
    <row r="47">
      <c r="A47" s="55" t="inlineStr">
        <is>
          <t>Expansión urbana / vial</t>
        </is>
      </c>
      <c r="B47" s="55" t="n">
        <v>3</v>
      </c>
    </row>
    <row r="48">
      <c r="A48" s="56" t="inlineStr">
        <is>
          <t>Cambio de uso a agricultura</t>
        </is>
      </c>
      <c r="B48" s="56" t="n">
        <v>2</v>
      </c>
    </row>
    <row r="49">
      <c r="A49" s="55" t="inlineStr">
        <is>
          <t>Erosión natural severa</t>
        </is>
      </c>
      <c r="B49" s="55" t="n">
        <v>2</v>
      </c>
    </row>
    <row r="50">
      <c r="A50" s="56" t="inlineStr">
        <is>
          <t>Cambio de uso a pastoreo</t>
        </is>
      </c>
      <c r="B50" s="56" t="n">
        <v>1</v>
      </c>
    </row>
    <row r="51">
      <c r="A51" s="55" t="inlineStr">
        <is>
          <t>Especies invasoras</t>
        </is>
      </c>
      <c r="B51" s="55" t="n">
        <v>1</v>
      </c>
    </row>
    <row r="52">
      <c r="A52" s="56" t="inlineStr">
        <is>
          <t>Extracción de áridos (cauces)</t>
        </is>
      </c>
      <c r="B52" s="56" t="n">
        <v>1</v>
      </c>
    </row>
    <row r="53">
      <c r="A53" s="55" t="inlineStr">
        <is>
          <t>Minería informal</t>
        </is>
      </c>
      <c r="B53" s="55" t="n">
        <v>1</v>
      </c>
    </row>
    <row r="54">
      <c r="A54" s="56" t="inlineStr">
        <is>
          <t>Otro</t>
        </is>
      </c>
      <c r="B54" s="56" t="n">
        <v>1</v>
      </c>
    </row>
    <row r="55">
      <c r="A55" s="55" t="inlineStr">
        <is>
          <t>Plagas o enfermedades forestales</t>
        </is>
      </c>
      <c r="B55" s="55" t="n">
        <v>1</v>
      </c>
    </row>
    <row r="56">
      <c r="A56" s="56" t="inlineStr">
        <is>
          <t>Quema (renovación de pastos)</t>
        </is>
      </c>
      <c r="B56" s="56" t="n">
        <v>1</v>
      </c>
    </row>
    <row r="64">
      <c r="A64" s="53" t="inlineStr">
        <is>
          <t>Control de consistencia por calificación</t>
        </is>
      </c>
    </row>
    <row r="65">
      <c r="A65" s="54" t="inlineStr">
        <is>
          <t>Calificación</t>
        </is>
      </c>
      <c r="B65" s="54" t="inlineStr">
        <is>
          <t>Verificaciones</t>
        </is>
      </c>
    </row>
    <row r="66">
      <c r="A66" s="55" t="inlineStr">
        <is>
          <t>SUSTANTIVA</t>
        </is>
      </c>
      <c r="B66" s="55" t="n">
        <v>3</v>
      </c>
    </row>
    <row r="67">
      <c r="A67" s="56" t="inlineStr">
        <is>
          <t>NO SUSTANTIVA</t>
        </is>
      </c>
      <c r="B67" s="56" t="n">
        <v>1</v>
      </c>
    </row>
    <row r="68">
      <c r="A68" s="55" t="inlineStr">
        <is>
          <t>CORREGIDO</t>
        </is>
      </c>
      <c r="B68" s="55" t="n">
        <v>0</v>
      </c>
    </row>
    <row r="69">
      <c r="A69" s="56" t="inlineStr">
        <is>
          <t>CONFORME</t>
        </is>
      </c>
      <c r="B69"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10 — IN Piura</dc:title>
  <dc:subject>Diagnóstico Territorial por bloque de intervención</dc:subject>
  <dcterms:created xsi:type="dcterms:W3CDTF">2026-09-08T03:39:59Z</dcterms:created>
  <dcterms:modified xsi:type="dcterms:W3CDTF">2026-09-11T21:26:22Z</dcterms:modified>
</cp:coreProperties>
</file>