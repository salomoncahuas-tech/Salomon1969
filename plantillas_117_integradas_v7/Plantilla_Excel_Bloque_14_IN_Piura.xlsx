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14</t>
        </is>
      </c>
    </row>
    <row r="6" ht="24" customHeight="1">
      <c r="A6" s="4" t="inlineStr">
        <is>
          <t>Diagnóstico Territorial — Plantilla DT Campo Check Validada V5 | Sistema de referencia: UTM WGS 84 Zona 17S (EPSG:32717) · Integrado con la ficha de campo F-DT vigente (Plantilla_DT_Bloque14_LLENADA.xlsx) — V7 - resumen V6 + campo F-DT integrado</t>
        </is>
      </c>
    </row>
    <row r="7"/>
    <row r="8" ht="18" customHeight="1">
      <c r="A8" s="5" t="inlineStr">
        <is>
          <t>1. IDENTIFICACIÓN Y LOCALIZACIÓN</t>
        </is>
      </c>
    </row>
    <row r="9">
      <c r="A9" s="6" t="inlineStr">
        <is>
          <t>Código del bloque</t>
        </is>
      </c>
      <c r="B9" s="7" t="inlineStr">
        <is>
          <t>14</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Overazal / La Laja (CC.PP. del bloque); caserío Las Vegas (próximo)</t>
        </is>
      </c>
      <c r="C13" s="6" t="inlineStr">
        <is>
          <t>Comunidad campesina</t>
        </is>
      </c>
      <c r="D13" s="7" t="inlineStr">
        <is>
          <t>Predios de propiedad privada, comunal y del Estado</t>
        </is>
      </c>
      <c r="E13" s="8" t="n"/>
      <c r="F13" s="8" t="n"/>
    </row>
    <row r="14">
      <c r="A14" s="6" t="inlineStr">
        <is>
          <t>Superficie de catálogo (V5/V6), ha</t>
        </is>
      </c>
      <c r="B14" s="7" t="n">
        <v>92.90000000000001</v>
      </c>
      <c r="C14" s="6" t="inlineStr">
        <is>
          <t>Fuente de superficie</t>
        </is>
      </c>
      <c r="D14" s="7" t="inlineStr">
        <is>
          <t>Catálogo maestro Bloques V5/V6</t>
        </is>
      </c>
      <c r="E14" s="8" t="n"/>
      <c r="F14" s="8" t="n"/>
    </row>
    <row r="15">
      <c r="A15" s="6" t="inlineStr">
        <is>
          <t>Centroide UTM ESTE (m)</t>
        </is>
      </c>
      <c r="B15" s="7" t="n">
        <v>624397</v>
      </c>
      <c r="C15" s="6" t="inlineStr">
        <is>
          <t>Centroide UTM NORTE (m)</t>
        </is>
      </c>
      <c r="D15" s="7" t="n">
        <v>9437085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87</v>
      </c>
      <c r="C19" s="6" t="inlineStr">
        <is>
          <t>Altitud máxima (msnm)</t>
        </is>
      </c>
      <c r="D19" s="7" t="n">
        <v>1355</v>
      </c>
      <c r="E19" s="8" t="n"/>
      <c r="F19" s="8" t="n"/>
    </row>
    <row r="20">
      <c r="A20" s="6" t="inlineStr">
        <is>
          <t>Amplitud altitudinal (m)</t>
        </is>
      </c>
      <c r="B20" s="7" t="n">
        <v>1268</v>
      </c>
      <c r="C20" s="6" t="inlineStr">
        <is>
          <t>Piso altitudinal dominante</t>
        </is>
      </c>
      <c r="D20" s="7" t="inlineStr">
        <is>
          <t>&lt;1000 m (Yunga)</t>
        </is>
      </c>
      <c r="E20" s="8" t="n"/>
      <c r="F20" s="8" t="n"/>
    </row>
    <row r="21">
      <c r="A21" s="6" t="inlineStr">
        <is>
          <t>Pendiente promedio (%)</t>
        </is>
      </c>
      <c r="B21" s="7" t="n">
        <v>23.75</v>
      </c>
      <c r="C21" s="6" t="inlineStr">
        <is>
          <t>Pendiente promedio (grados)</t>
        </is>
      </c>
      <c r="D21" s="7" t="n">
        <v>13.4</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0.5197000000000001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(58.89 %)</t>
        </is>
      </c>
      <c r="E29" s="8" t="n"/>
      <c r="F29" s="8" t="n"/>
    </row>
    <row r="30">
      <c r="A30" s="6" t="inlineStr">
        <is>
          <t>Superficie clasificada NDVI 2025 (ha)</t>
        </is>
      </c>
      <c r="B30" s="7" t="n">
        <v>92.944</v>
      </c>
      <c r="C30" s="6" t="inlineStr">
        <is>
          <t>Desviación frente al catálogo (%)</t>
        </is>
      </c>
      <c r="D30" s="7" t="n">
        <v>0.05</v>
      </c>
      <c r="E30" s="8" t="n"/>
      <c r="F30" s="8" t="n"/>
    </row>
    <row r="31">
      <c r="A31" s="6" t="inlineStr">
        <is>
          <t>Superficie clasificada MSAVI 2024 (ha)</t>
        </is>
      </c>
      <c r="B31" s="38" t="n">
        <v>92.905</v>
      </c>
      <c r="C31" s="6" t="inlineStr">
        <is>
          <t>Desviación MSAVI frente al catálogo (%)</t>
        </is>
      </c>
      <c r="D31" s="39" t="n">
        <v>0.01</v>
      </c>
      <c r="E31" s="8" t="n"/>
      <c r="F31" s="8" t="n"/>
    </row>
    <row r="32">
      <c r="A32" s="6" t="inlineStr">
        <is>
          <t>Superficie bajo umbral MSAVI 0.4976 (ha)</t>
        </is>
      </c>
      <c r="B32" s="38" t="n">
        <v>36.253</v>
      </c>
      <c r="C32" s="6" t="inlineStr">
        <is>
          <t>% del bloque bajo umbral (brecha espectral)</t>
        </is>
      </c>
      <c r="D32" s="39" t="n">
        <v>39.02</v>
      </c>
      <c r="E32" s="8" t="n"/>
      <c r="F32" s="8" t="n"/>
    </row>
    <row r="33">
      <c r="A33" s="6" t="inlineStr">
        <is>
          <t>Clase DN dominante (MSAVI 2024)</t>
        </is>
      </c>
      <c r="B33" s="7" t="inlineStr">
        <is>
          <t>DN 4 · 0.4976 - 0.6139 (Vigor moderado)</t>
        </is>
      </c>
      <c r="C33" s="6" t="inlineStr">
        <is>
          <t>N.° de polígonos MSAVI del bloque</t>
        </is>
      </c>
      <c r="D33" s="40" t="n">
        <v>373</v>
      </c>
      <c r="E33" s="8" t="n"/>
      <c r="F33" s="8" t="n"/>
    </row>
    <row r="34"/>
    <row r="35" ht="18" customHeight="1">
      <c r="A35" s="5" t="inlineStr">
        <is>
          <t>4. ECOSISTEMA Y ESTADO DE CONSERVACIÓN</t>
        </is>
      </c>
    </row>
    <row r="36">
      <c r="A36" s="6" t="inlineStr">
        <is>
          <t>Tipo de ecosistema (UP)</t>
        </is>
      </c>
      <c r="B36" s="7" t="inlineStr">
        <is>
          <t>Matorral Andino semiárido</t>
        </is>
      </c>
      <c r="C36" s="6" t="inlineStr">
        <is>
          <t>Superficie de ecosistema (ha)</t>
        </is>
      </c>
      <c r="D36" s="7" t="inlineStr">
        <is>
          <t>69.66 ha Matorral andino (~75%) + 23.25 ha Zona agrícola (~25%); total 92.90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Miller (ANIN-DIME-SESDI); Ing. Pedro Talledo Hernández</t>
        </is>
      </c>
      <c r="C44" s="6" t="inlineStr">
        <is>
          <t>Fecha de evaluación</t>
        </is>
      </c>
      <c r="D44" s="50" t="inlineStr">
        <is>
          <t>02-06-2026</t>
        </is>
      </c>
      <c r="E44" s="8" t="n"/>
      <c r="F44" s="8" t="n"/>
    </row>
    <row r="45">
      <c r="A45" s="6" t="inlineStr">
        <is>
          <t>Hora de registro</t>
        </is>
      </c>
      <c r="B45" s="7" t="inlineStr">
        <is>
          <t>10:00 a.m. (aprox.)</t>
        </is>
      </c>
      <c r="C45" s="6" t="inlineStr">
        <is>
          <t>Correlativo de ficha</t>
        </is>
      </c>
      <c r="D45" s="7" t="inlineStr">
        <is>
          <t>DT-B14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a pie del bloque (rápido)</t>
        </is>
      </c>
      <c r="E47" s="8" t="n"/>
      <c r="F47" s="8" t="n"/>
    </row>
    <row r="48">
      <c r="A48" s="6" t="inlineStr">
        <is>
          <t>Estaciones fotográficas georreferenciadas</t>
        </is>
      </c>
      <c r="B48" s="7" t="n">
        <v>16</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familiar (ganadería + agricultura) sobre suelos frágiles, con débil ordenamiento del uso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12.8168</v>
      </c>
      <c r="C10" s="19">
        <f>ROUND(B10/$B$15*100,2)</f>
        <v/>
      </c>
      <c r="D10" s="11" t="inlineStr">
        <is>
          <t>Vigor alto</t>
        </is>
      </c>
      <c r="E10" s="11" t="inlineStr">
        <is>
          <t>Sobre umbral</t>
        </is>
      </c>
    </row>
    <row r="11">
      <c r="A11" s="12" t="inlineStr">
        <is>
          <t>0.4976 - 0.6139 · DN 4</t>
        </is>
      </c>
      <c r="B11" s="32" t="n">
        <v>43.8355</v>
      </c>
      <c r="C11" s="31">
        <f>ROUND(B11/$B$15*100,2)</f>
        <v/>
      </c>
      <c r="D11" s="13" t="inlineStr">
        <is>
          <t>Vigor moderado</t>
        </is>
      </c>
      <c r="E11" s="13" t="inlineStr">
        <is>
          <t>Sobre umbral</t>
        </is>
      </c>
    </row>
    <row r="12">
      <c r="A12" s="7" t="inlineStr">
        <is>
          <t>0.3813 - 0.4976 · DN 3</t>
        </is>
      </c>
      <c r="B12" s="18" t="n">
        <v>31.4516</v>
      </c>
      <c r="C12" s="19">
        <f>ROUND(B12/$B$15*100,2)</f>
        <v/>
      </c>
      <c r="D12" s="11" t="inlineStr">
        <is>
          <t>Vigor bajo</t>
        </is>
      </c>
      <c r="E12" s="11" t="inlineStr">
        <is>
          <t>BAJO umbral 0.4976</t>
        </is>
      </c>
    </row>
    <row r="13">
      <c r="A13" s="14" t="inlineStr">
        <is>
          <t>0.2650 - 0.3813 · DN 2</t>
        </is>
      </c>
      <c r="B13" s="20" t="n">
        <v>4.8011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373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92.90000000000001</v>
      </c>
      <c r="C18" s="49" t="inlineStr">
        <is>
          <t>—</t>
        </is>
      </c>
      <c r="D18" s="46" t="inlineStr">
        <is>
          <t>Desviación planimétrica frente al catálogo</t>
        </is>
      </c>
      <c r="E18" s="46" t="inlineStr">
        <is>
          <t>+0.01 %</t>
        </is>
      </c>
    </row>
    <row r="19">
      <c r="A19" s="16" t="inlineStr">
        <is>
          <t>MSAVI 2024 — MEDIA DEL BLOQUE</t>
        </is>
      </c>
      <c r="B19" s="17" t="n">
        <v>0.51974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373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(0.5197)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54.7331</v>
      </c>
      <c r="C25" s="19" t="n">
        <v>58.89</v>
      </c>
      <c r="D25" s="11" t="inlineStr">
        <is>
          <t>Dosel continuo, matorral denso o mosaico agroforestal</t>
        </is>
      </c>
      <c r="E25" s="11" t="inlineStr"/>
    </row>
    <row r="26">
      <c r="A26" s="14" t="inlineStr">
        <is>
          <t>Vegetación mediana</t>
        </is>
      </c>
      <c r="B26" s="20" t="n">
        <v>33.9957</v>
      </c>
      <c r="C26" s="21" t="n">
        <v>36.58</v>
      </c>
      <c r="D26" s="15" t="inlineStr">
        <is>
          <t>Pastizal cultivado, matorral ralo, parcelas agrícolas</t>
        </is>
      </c>
      <c r="E26" s="15" t="inlineStr"/>
    </row>
    <row r="27">
      <c r="A27" s="7" t="inlineStr">
        <is>
          <t>Vegetación ligera</t>
        </is>
      </c>
      <c r="B27" s="18" t="n">
        <v>4.2106</v>
      </c>
      <c r="C27" s="19" t="n">
        <v>4.53</v>
      </c>
      <c r="D27" s="11" t="inlineStr">
        <is>
          <t>Cobertura discontinua, suelo parcialmente expuesto</t>
        </is>
      </c>
      <c r="E27" s="11" t="inlineStr"/>
    </row>
    <row r="28">
      <c r="A28" s="14" t="inlineStr">
        <is>
          <t>Tierra desnuda</t>
        </is>
      </c>
      <c r="B28" s="20" t="n">
        <v>0.0043</v>
      </c>
      <c r="C28" s="21" t="n">
        <v>0</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92.90000000000001</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58.89 % del polígono clasificado como «Vegetación alta» por el NDVI 2025; la observación de campo corresponde a una parcela o recorrido puntual y no es estadísticamente representativa de las 92.900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14</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624625</v>
      </c>
      <c r="D10" s="26" t="n">
        <v>9437569</v>
      </c>
      <c r="E10" s="11" t="n">
        <v>535</v>
      </c>
      <c r="F10" s="11" t="inlineStr"/>
      <c r="G10" s="11" t="inlineStr">
        <is>
          <t>Coordenada consignada en F-DT-01</t>
        </is>
      </c>
    </row>
    <row r="11">
      <c r="A11" s="14" t="inlineStr">
        <is>
          <t>C-01</t>
        </is>
      </c>
      <c r="B11" s="15" t="inlineStr">
        <is>
          <t>Rasgo erosivo — Cárcava somera (0.5-2 m)</t>
        </is>
      </c>
      <c r="C11" s="27" t="n">
        <v>624582</v>
      </c>
      <c r="D11" s="27" t="n">
        <v>9437598</v>
      </c>
      <c r="E11" s="15" t="n">
        <v>545.3</v>
      </c>
      <c r="F11" s="15" t="inlineStr">
        <is>
          <t>Activa</t>
        </is>
      </c>
      <c r="G11" s="15" t="inlineStr">
        <is>
          <t>Caminos / huellas de ganado</t>
        </is>
      </c>
    </row>
    <row r="12">
      <c r="A12" s="7" t="inlineStr">
        <is>
          <t>C-02</t>
        </is>
      </c>
      <c r="B12" s="11" t="inlineStr">
        <is>
          <t>Rasgo erosivo — Cárcava incipiente (30-50 cm)</t>
        </is>
      </c>
      <c r="C12" s="26" t="n">
        <v>624527</v>
      </c>
      <c r="D12" s="26" t="n">
        <v>9437653</v>
      </c>
      <c r="E12" s="11" t="n">
        <v>582.7</v>
      </c>
      <c r="F12" s="11" t="inlineStr">
        <is>
          <t>Activa</t>
        </is>
      </c>
      <c r="G12" s="11" t="inlineStr">
        <is>
          <t>Concentración natural de escorrentía</t>
        </is>
      </c>
    </row>
    <row r="13">
      <c r="A13" s="14" t="inlineStr">
        <is>
          <t>C-03</t>
        </is>
      </c>
      <c r="B13" s="15" t="inlineStr">
        <is>
          <t>Rasgo erosivo — Cárcava incipiente (30-50 cm)</t>
        </is>
      </c>
      <c r="C13" s="27" t="n">
        <v>624651</v>
      </c>
      <c r="D13" s="27" t="n">
        <v>9438013</v>
      </c>
      <c r="E13" s="15" t="n">
        <v>962.1</v>
      </c>
      <c r="F13" s="15" t="inlineStr">
        <is>
          <t>Activa</t>
        </is>
      </c>
      <c r="G13" s="15" t="inlineStr">
        <is>
          <t>Caminos / huellas de ganado</t>
        </is>
      </c>
    </row>
    <row r="14">
      <c r="A14" s="7" t="inlineStr">
        <is>
          <t>H-01</t>
        </is>
      </c>
      <c r="B14" s="11" t="inlineStr">
        <is>
          <t>Fuente de agua — Quebrada estacional</t>
        </is>
      </c>
      <c r="C14" s="26" t="n"/>
      <c r="D14" s="26" t="n"/>
      <c r="E14" s="11" t="inlineStr"/>
      <c r="F14" s="11" t="inlineStr">
        <is>
          <t>Estacional (lluvias)</t>
        </is>
      </c>
      <c r="G14" s="11" t="inlineStr">
        <is>
          <t>Drenaje natural del eje oeste</t>
        </is>
      </c>
    </row>
    <row r="15">
      <c r="A15" s="14" t="inlineStr">
        <is>
          <t>B-01</t>
        </is>
      </c>
      <c r="B15" s="15" t="inlineStr">
        <is>
          <t>Especie clave — Podocarpus sp. (Ulcumano/Galilea)</t>
        </is>
      </c>
      <c r="C15" s="27" t="n">
        <v>624625</v>
      </c>
      <c r="D15" s="27" t="n">
        <v>9437569</v>
      </c>
      <c r="E15" s="15" t="n">
        <v>535</v>
      </c>
      <c r="F15" s="15" t="inlineStr">
        <is>
          <t>Indicadora de buen estado</t>
        </is>
      </c>
      <c r="G15" s="15" t="inlineStr">
        <is>
          <t>NE</t>
        </is>
      </c>
    </row>
    <row r="16">
      <c r="A16" s="7" t="inlineStr">
        <is>
          <t>B-02</t>
        </is>
      </c>
      <c r="B16" s="11" t="inlineStr">
        <is>
          <t>Especie clave — Ficus sp. (Higuerón)</t>
        </is>
      </c>
      <c r="C16" s="26" t="n">
        <v>624658</v>
      </c>
      <c r="D16" s="26" t="n">
        <v>9438080</v>
      </c>
      <c r="E16" s="11" t="n">
        <v>1028.7</v>
      </c>
      <c r="F16" s="11" t="inlineStr">
        <is>
          <t>Indicadora de buen estado</t>
        </is>
      </c>
      <c r="G16" s="11" t="inlineStr">
        <is>
          <t>LC</t>
        </is>
      </c>
    </row>
    <row r="17">
      <c r="A17" s="14" t="inlineStr">
        <is>
          <t>B-03</t>
        </is>
      </c>
      <c r="B17" s="15" t="inlineStr">
        <is>
          <t>Especie clave — Vachellia macracantha (Faique)</t>
        </is>
      </c>
      <c r="C17" s="27" t="n">
        <v>624581</v>
      </c>
      <c r="D17" s="27" t="n">
        <v>9437615</v>
      </c>
      <c r="E17" s="15" t="n">
        <v>561</v>
      </c>
      <c r="F17" s="15" t="inlineStr">
        <is>
          <t>Amenazada D.S. 043</t>
        </is>
      </c>
      <c r="G17" s="15" t="inlineStr">
        <is>
          <t>NT — Casi Amenazado</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624397</v>
      </c>
      <c r="C20" s="6" t="inlineStr">
        <is>
          <t>Centroide del bloque — UTM NORTE (m)</t>
        </is>
      </c>
      <c r="D20" s="7" t="n">
        <v>9437085</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Verificado el 02-03/06/2026. Acceso desde la carretera PI-805, empalme con trocha carrozable y camino de herradura. Pendiente media de transecto = 20.3% (máx 36.8%); altitud del transecto 1016-1197 msnm. Inestabilidad concentrada en taludes de corte del camino; deslizamiento localizado que volcó un faique. Discrepancia toponímica: los CC.PP. titulares en la tabla maestra son La Laja y Overazal, mientras la cartografía rotula «Brasal», «Las Velas/Las Vegas» y «Laguna La Román».</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14</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2" t="inlineStr">
        <is>
          <t>► 14</t>
        </is>
      </c>
      <c r="B13" s="30" t="n">
        <v>92.90000000000001</v>
      </c>
      <c r="C13" s="31" t="n">
        <v>10.88</v>
      </c>
      <c r="D13" s="13" t="inlineStr">
        <is>
          <t>87 – 1355</t>
        </is>
      </c>
      <c r="E13" s="13" t="n">
        <v>1268</v>
      </c>
      <c r="F13" s="13" t="n">
        <v>23.75</v>
      </c>
      <c r="G13" s="32" t="n">
        <v>0.5197000000000001</v>
      </c>
      <c r="H13" s="31" t="n">
        <v>58.89</v>
      </c>
      <c r="I13" s="3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14 ocupa el puesto 4 de 12 por superficie dentro de la microcuenca C1086-Q9570 (10.88 % de las 853.87 ha preliminares de la microcuenca). Su pendiente promedio (23.75 %, clase «15-25% (Fuert. inclinado)») es la 3.ª más baja de 12 y se sitúa por debajo del promedio de la microcuenca (28.51 %). Su MSAVI 2024 (0.5197) es el 11.º de 12 y queda por debajo del promedio local (0.5993). Amplitud altitudinal del bloque: 1268 m (87–1355 msnm). El cuadro conserva todos los bloques catalogados en la microcuenca, incluidos los descartados en el tamizaje, para referencia del conjunto. Los bloques sin ficha DT figuran con sus parámetros de gabinete. BRECHA ESPECTRAL. El 39.02 % de la superficie del bloque (36.253 ha de 92.905 ha) se sitúa bajo el umbral MSAVI 0.4976, por encima del promedio local de la microcuenca (19.14 %)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14</t>
        </is>
      </c>
    </row>
    <row r="6">
      <c r="A6" s="52" t="inlineStr">
        <is>
          <t>Cruce de la ficha de campo F-DT vigente con la ficha de resumen de gabinete y el catálogo maestro. Integración 2026-09-11 21:26:22.</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«C1086-Q9570».</t>
        </is>
      </c>
      <c r="D9" s="56" t="inlineStr">
        <is>
          <t>CONFORME</t>
        </is>
      </c>
      <c r="E9" s="56" t="inlineStr">
        <is>
          <t>Sin acción.</t>
        </is>
      </c>
    </row>
    <row r="10">
      <c r="A10" s="57" t="inlineStr">
        <is>
          <t>G-02</t>
        </is>
      </c>
      <c r="B10" s="57" t="inlineStr">
        <is>
          <t>UTM del punto de muestreo</t>
        </is>
      </c>
      <c r="C10" s="57" t="inlineStr">
        <is>
          <t>El punto de muestreo declarado dista 536.5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(1200 msnm) cae dentro del rango altitudinal del bloque (87 - 1355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(92.944 ha) se desvía 0.05 % de la superficie de catálogo (92.90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(92.905 ha) se desvía 0.01 % de la superficie de catálogo (92.90 ha).</t>
        </is>
      </c>
      <c r="D14" s="57" t="inlineStr">
        <is>
          <t>CONFORME</t>
        </is>
      </c>
      <c r="E14" s="57" t="inlineStr">
        <is>
          <t>Sin acción: la segmentación valida la geometría del bloque.</t>
        </is>
      </c>
    </row>
    <row r="15">
      <c r="A15" s="56" t="inlineStr">
        <is>
          <t>G-07</t>
        </is>
      </c>
      <c r="B15" s="56" t="inlineStr">
        <is>
          <t>Brecha espectral MSAVI</t>
        </is>
      </c>
      <c r="C15" s="56" t="inlineStr">
        <is>
          <t>El 39.02 % del bloque queda bajo el umbral 0.4976; superficie de brecha 36.25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92.91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(0.5197)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 Cahuas Miller / Ing. Pedro Talledo Hernández»; la ficha de campo vigente declara «Ing. Héctor S. Cahuas Miller (ANIN-DIME-SESDI); Ing. Pedro Talledo Hernández».</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Fecha de evaluación</t>
        </is>
      </c>
      <c r="C20" s="57" t="inlineStr">
        <is>
          <t>El libro de resumen V6 consignaba «2026-06-03»; la ficha de campo vigente declara «02-06-2026».</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96.4 % de los campos esperados).</t>
        </is>
      </c>
      <c r="D21" s="56" t="inlineStr">
        <is>
          <t>CONFORME</t>
        </is>
      </c>
      <c r="E21" s="56" t="inlineStr">
        <is>
          <t>Sin acción.</t>
        </is>
      </c>
    </row>
    <row r="22">
      <c r="A22" s="57" t="inlineStr">
        <is>
          <t>F-02</t>
        </is>
      </c>
      <c r="B22" s="57" t="inlineStr">
        <is>
          <t>Cobertura de la integración</t>
        </is>
      </c>
      <c r="C22" s="57" t="inlineStr">
        <is>
          <t>Se declararon 99 de 114 hechos integrados (86.8 %); 15 quedan sin dato en ninguna fuente.</t>
        </is>
      </c>
      <c r="D22" s="57" t="inlineStr">
        <is>
          <t>CONFORME</t>
        </is>
      </c>
      <c r="E22" s="57" t="inlineStr">
        <is>
          <t>Sin acción.</t>
        </is>
      </c>
    </row>
    <row r="23">
      <c r="A23" s="56" t="inlineStr">
        <is>
          <t>H-01</t>
        </is>
      </c>
      <c r="B23" s="56" t="inlineStr">
        <is>
          <t>Rango de pendiente dominante</t>
        </is>
      </c>
      <c r="C23" s="56" t="inlineStr">
        <is>
          <t>La ficha DT declara «25-50% (Mod. escarpado)»; la estadística zonal sobre el MDE arroja una pendiente promedio de 23.75 %, que corresponde a la clase «15-25% (Fuert. inclinado)»</t>
        </is>
      </c>
      <c r="D23" s="56" t="inlineStr">
        <is>
          <t>NO SUSTANTIVA</t>
        </is>
      </c>
      <c r="E23"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7" t="inlineStr">
        <is>
          <t>H-02</t>
        </is>
      </c>
      <c r="B24" s="57" t="inlineStr">
        <is>
          <t>Rango altitudinal / piso ecológico</t>
        </is>
      </c>
      <c r="C24" s="57" t="inlineStr">
        <is>
          <t>La ficha DT declara «1000-1500 m (Quechua baja)»; el MDE sitúa el bloque entre 87 y 1355 msnm, cuyo punto medio corresponde a «&lt;1000 m (Yunga)»</t>
        </is>
      </c>
      <c r="D24" s="57" t="inlineStr">
        <is>
          <t>NO SUSTANTIVA</t>
        </is>
      </c>
      <c r="E24" s="57" t="inlineStr">
        <is>
          <t>Se declara la divergencia. El bloque abarca más de un piso altitudinal cuando la amplitud supera el ancho de la clase; el registro de campo corresponde al sector recorrido. (Verificación heredada de la ficha de resumen V6.)</t>
        </is>
      </c>
    </row>
    <row r="25">
      <c r="A25" s="56" t="inlineStr">
        <is>
          <t>H-03</t>
        </is>
      </c>
      <c r="B25" s="56" t="inlineStr">
        <is>
          <t>Cobertura vegetal total</t>
        </is>
      </c>
      <c r="C25" s="56" t="inlineStr">
        <is>
          <t>La ficha DT estima 65 % de cobertura vegetal en campo; el NDVI mediana 2025 clasifica 100.00 % del polígono en clases de vegetación</t>
        </is>
      </c>
      <c r="D25" s="56" t="inlineStr">
        <is>
          <t>NO SUSTANTIVA</t>
        </is>
      </c>
      <c r="E25"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6">
      <c r="A26" s="57" t="inlineStr">
        <is>
          <t>H-04</t>
        </is>
      </c>
      <c r="B26" s="57" t="inlineStr">
        <is>
          <t>Dimensiones del inventario de cárcavas</t>
        </is>
      </c>
      <c r="C26" s="57" t="inlineStr">
        <is>
          <t>Se registran 3 rasgos erosivos, pero longitud, profundidad y ancho no fueron medidos instrumentalmente</t>
        </is>
      </c>
      <c r="D26" s="57" t="inlineStr">
        <is>
          <t>NO SUSTANTIVA</t>
        </is>
      </c>
      <c r="E26" s="57" t="inlineStr">
        <is>
          <t>El conteo registrado no debe usarse para calcular densidad de cárcavas por hectárea. Pendiente de levantamiento con GPS submétrico. (Verificación heredada de la ficha de resumen V6.)</t>
        </is>
      </c>
    </row>
    <row r="27">
      <c r="A27" s="56" t="inlineStr">
        <is>
          <t>H-05</t>
        </is>
      </c>
      <c r="B27" s="56" t="inlineStr">
        <is>
          <t>Elenco florístico</t>
        </is>
      </c>
      <c r="C27" s="56" t="inlineStr">
        <is>
          <t>La ficha registra 14 taxones, por debajo del mínimo de 15 que exige el formato V5</t>
        </is>
      </c>
      <c r="D27" s="56" t="inlineStr">
        <is>
          <t>SUSTANTIVA</t>
        </is>
      </c>
      <c r="E27" s="56" t="inlineStr">
        <is>
          <t>Registro florístico preliminar, sin colecta ni determinación botánica formal. Debe cerrarse con colecta botánica en la siguiente campaña. (Verificación heredada de la ficha de resumen V6.)</t>
        </is>
      </c>
    </row>
    <row r="28">
      <c r="A28" s="57" t="inlineStr">
        <is>
          <t>H-06</t>
        </is>
      </c>
      <c r="B28" s="57" t="inlineStr">
        <is>
          <t>Centro poblado asociado</t>
        </is>
      </c>
      <c r="C28" s="57" t="inlineStr">
        <is>
          <t>La ficha DT declara «Overazal / La Laja (CC.PP. del bloque); caserío Las Vegas (próximo)»; el cruce INEI-Bloques V5 identifica 2 centro(s) poblado(s) en el bloque: LA LAJA, OVERAZAL</t>
        </is>
      </c>
      <c r="D28" s="57" t="inlineStr">
        <is>
          <t>CONFORME</t>
        </is>
      </c>
      <c r="E28" s="57" t="inlineStr">
        <is>
          <t>Se conserva el registro de campo como referencia y se adopta el listado INEI para el diagnóstico social y el cálculo de población beneficiaria. (Verificación heredada de la ficha de resumen V6.)</t>
        </is>
      </c>
    </row>
    <row r="29">
      <c r="A29" s="56" t="inlineStr">
        <is>
          <t>H-07</t>
        </is>
      </c>
      <c r="B29" s="56" t="inlineStr">
        <is>
          <t>Duplicidad parcial de fichas en el archivo DT</t>
        </is>
      </c>
      <c r="C29" s="56" t="inlineStr">
        <is>
          <t>El PDF del bloque 14 incluye un segundo juego parcial (F-DT-01, 02 y 05) fechado 2026-06-03 con microcuenca C1076-Q9584, C.P. Paltashaco y UTM 645575/9393500, que declara pendiente 50-75%, remociones en masa activas «Sí», erosión «Fuerte (cárcavas incipientes)» y 4 cárcavas someras medidas (14_01 a 14_04, prof. 0.60-0.81 m, ancho 1.65-1.92 m) en el entorno 624527-624651 E / 9437569-9438013 N</t>
        </is>
      </c>
      <c r="D29" s="56" t="inlineStr">
        <is>
          <t>SUSTANTIVA</t>
        </is>
      </c>
      <c r="E29" s="56" t="inlineStr">
        <is>
          <t>Se adopta el primer juego (DT-B14) como registro principal por estar completo. El segundo juego aporta el ÚNICO inventario de cárcavas con dimensiones medidas del bloque y se conserva como anexo; su cabecera (microcuenca, C.P. y UTM del punto de muestreo) es inconsistente con el bloque 14 y debe corregirse (Verificación heredada de la ficha de resumen V6.)</t>
        </is>
      </c>
    </row>
    <row r="31">
      <c r="A31" s="58" t="inlineStr">
        <is>
          <t>RESUMEN</t>
        </is>
      </c>
      <c r="B31" s="59" t="inlineStr">
        <is>
          <t>21 verificaciones</t>
        </is>
      </c>
      <c r="C31" s="59" t="inlineStr">
        <is>
          <t>SUSTANTIVA: 3 · NO SUSTANTIVA: 4 · CORREGIDO: 2 · CONFORME: 12</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 Cahuas Miller / Ing. Pedro Talledo Hernández</t>
        </is>
      </c>
      <c r="D9" s="56" t="inlineStr">
        <is>
          <t>Ing. Héctor S. Cahuas Miller (ANIN-DIME-SESDI); Ing. Pedro Talledo Hernández</t>
        </is>
      </c>
      <c r="E9" s="56" t="inlineStr">
        <is>
          <t>Dato de campo</t>
        </is>
      </c>
    </row>
    <row r="10">
      <c r="A10" s="57" t="inlineStr">
        <is>
          <t>8. Responsable y modalidad de la evaluación</t>
        </is>
      </c>
      <c r="B10" s="57" t="inlineStr">
        <is>
          <t>Fecha de evaluación</t>
        </is>
      </c>
      <c r="C10" s="57" t="inlineStr">
        <is>
          <t>2026-06-03</t>
        </is>
      </c>
      <c r="D10" s="57" t="inlineStr">
        <is>
          <t>02-06-2026</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624599</t>
        </is>
      </c>
      <c r="D14" s="56" t="inlineStr">
        <is>
          <t>m</t>
        </is>
      </c>
    </row>
    <row r="15">
      <c r="A15" s="57" t="inlineStr">
        <is>
          <t>1. Identificación y localización</t>
        </is>
      </c>
      <c r="B15" s="57" t="inlineStr">
        <is>
          <t>UTM NORTE del punto de muestreo (m)</t>
        </is>
      </c>
      <c r="C15" s="57" t="inlineStr">
        <is>
          <t>9437582</t>
        </is>
      </c>
      <c r="D15" s="57" t="inlineStr">
        <is>
          <t>m</t>
        </is>
      </c>
    </row>
    <row r="16">
      <c r="A16" s="56" t="inlineStr">
        <is>
          <t>2. Parámetros físicos del terreno</t>
        </is>
      </c>
      <c r="B16" s="56" t="inlineStr">
        <is>
          <t>Altitud GPS del punto de muestreo (msnm)</t>
        </is>
      </c>
      <c r="C16" s="56" t="inlineStr">
        <is>
          <t>1200</t>
        </is>
      </c>
      <c r="D16" s="56" t="inlineStr">
        <is>
          <t>msnm</t>
        </is>
      </c>
    </row>
    <row r="17">
      <c r="A17" s="57" t="inlineStr">
        <is>
          <t>2. Parámetros físicos del terreno</t>
        </is>
      </c>
      <c r="B17" s="57" t="inlineStr">
        <is>
          <t>Piso altitudinal del punto de muestreo</t>
        </is>
      </c>
      <c r="C17" s="57" t="inlineStr">
        <is>
          <t>1000-1500 m (Quechua baja)</t>
        </is>
      </c>
      <c r="D17" s="57" t="inlineStr"/>
    </row>
    <row r="18">
      <c r="A18" s="56" t="inlineStr">
        <is>
          <t>2. Parámetros físicos del terreno</t>
        </is>
      </c>
      <c r="B18" s="56" t="inlineStr">
        <is>
          <t>Paisaje dominante descrito en campo</t>
        </is>
      </c>
      <c r="C18" s="56" t="inlineStr">
        <is>
          <t>Laderas de colina y montaña sobre el flanco occidental andino, con mosaico de matorral andino, remanentes de bosque y zonas agrícolas (maíz, café, plátano) y pastizales; relieve disectado por quebradas estacionales tributarias de la microcuenca C1086-Q9570.</t>
        </is>
      </c>
      <c r="D18" s="56" t="inlineStr"/>
    </row>
    <row r="19">
      <c r="A19" s="57" t="inlineStr">
        <is>
          <t>2. Parámetros físicos del terreno</t>
        </is>
      </c>
      <c r="B19" s="57" t="inlineStr">
        <is>
          <t>Reptación de suelo</t>
        </is>
      </c>
      <c r="C19" s="57" t="inlineStr">
        <is>
          <t>Sí</t>
        </is>
      </c>
      <c r="D19" s="57" t="inlineStr"/>
    </row>
    <row r="20">
      <c r="A20" s="56" t="inlineStr">
        <is>
          <t>2. Parámetros físicos del terreno</t>
        </is>
      </c>
      <c r="B20" s="56" t="inlineStr">
        <is>
          <t>Deslizamientos antiguos</t>
        </is>
      </c>
      <c r="C20" s="56" t="inlineStr">
        <is>
          <t>Sí</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Sellamiento / costra superficial</t>
        </is>
      </c>
      <c r="C22" s="56" t="inlineStr">
        <is>
          <t>No</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Sí</t>
        </is>
      </c>
      <c r="D24" s="56" t="inlineStr"/>
    </row>
    <row r="25">
      <c r="A25" s="57" t="inlineStr">
        <is>
          <t>4. Suelos y erosión (F-DT-02)</t>
        </is>
      </c>
      <c r="B25" s="57" t="inlineStr">
        <is>
          <t>Patrón de cárcavas</t>
        </is>
      </c>
      <c r="C25" s="57" t="inlineStr">
        <is>
          <t>Lineal</t>
        </is>
      </c>
      <c r="D25" s="57" t="inlineStr"/>
    </row>
    <row r="26">
      <c r="A26" s="56" t="inlineStr">
        <is>
          <t>4. Suelos y erosión (F-DT-02)</t>
        </is>
      </c>
      <c r="B26" s="56" t="inlineStr">
        <is>
          <t>Socavamiento de cauce</t>
        </is>
      </c>
      <c r="C26" s="56" t="inlineStr">
        <is>
          <t>No</t>
        </is>
      </c>
      <c r="D26" s="56" t="inlineStr"/>
    </row>
    <row r="27">
      <c r="A27" s="57" t="inlineStr">
        <is>
          <t>5. Ecosistema, cobertura y flora (F-DT-03)</t>
        </is>
      </c>
      <c r="B27" s="57" t="inlineStr">
        <is>
          <t>Cobertura del dosel (%)</t>
        </is>
      </c>
      <c r="C27" s="57" t="inlineStr">
        <is>
          <t>25</t>
        </is>
      </c>
      <c r="D27" s="57" t="inlineStr">
        <is>
          <t>%</t>
        </is>
      </c>
    </row>
    <row r="28">
      <c r="A28" s="56" t="inlineStr">
        <is>
          <t>5. Ecosistema, cobertura y flora (F-DT-03)</t>
        </is>
      </c>
      <c r="B28" s="56" t="inlineStr">
        <is>
          <t>Cobertura arbustiva (%)</t>
        </is>
      </c>
      <c r="C28" s="56" t="inlineStr">
        <is>
          <t>35</t>
        </is>
      </c>
      <c r="D28" s="56" t="inlineStr">
        <is>
          <t>%</t>
        </is>
      </c>
    </row>
    <row r="29">
      <c r="A29" s="57" t="inlineStr">
        <is>
          <t>5. Ecosistema, cobertura y flora (F-DT-03)</t>
        </is>
      </c>
      <c r="B29" s="57" t="inlineStr">
        <is>
          <t>Cobertura herbácea (%)</t>
        </is>
      </c>
      <c r="C29" s="57" t="inlineStr">
        <is>
          <t>20</t>
        </is>
      </c>
      <c r="D29" s="57" t="inlineStr">
        <is>
          <t>%</t>
        </is>
      </c>
    </row>
    <row r="30">
      <c r="A30" s="56" t="inlineStr">
        <is>
          <t>5. Ecosistema, cobertura y flora (F-DT-03)</t>
        </is>
      </c>
      <c r="B30" s="56" t="inlineStr">
        <is>
          <t>Altura del estrato dominante (m)</t>
        </is>
      </c>
      <c r="C30" s="56" t="inlineStr">
        <is>
          <t>4</t>
        </is>
      </c>
      <c r="D30" s="56" t="inlineStr">
        <is>
          <t>m</t>
        </is>
      </c>
    </row>
    <row r="31">
      <c r="A31" s="57" t="inlineStr">
        <is>
          <t>5. Ecosistema, cobertura y flora (F-DT-03)</t>
        </is>
      </c>
      <c r="B31" s="57" t="inlineStr">
        <is>
          <t>Altura máxima registrada (m)</t>
        </is>
      </c>
      <c r="C31" s="57" t="inlineStr">
        <is>
          <t>12</t>
        </is>
      </c>
      <c r="D31" s="57" t="inlineStr">
        <is>
          <t>m</t>
        </is>
      </c>
    </row>
    <row r="32">
      <c r="A32" s="56" t="inlineStr">
        <is>
          <t>5. Ecosistema, cobertura y flora (F-DT-03)</t>
        </is>
      </c>
      <c r="B32" s="56" t="inlineStr">
        <is>
          <t>Presencia de epífitas</t>
        </is>
      </c>
      <c r="C32" s="56" t="inlineStr">
        <is>
          <t>No</t>
        </is>
      </c>
      <c r="D32" s="56" t="inlineStr"/>
    </row>
    <row r="33">
      <c r="A33" s="57" t="inlineStr">
        <is>
          <t>5. Ecosistema, cobertura y flora (F-DT-03)</t>
        </is>
      </c>
      <c r="B33" s="57" t="inlineStr">
        <is>
          <t>Fenología dominante</t>
        </is>
      </c>
      <c r="C33" s="57" t="inlineStr">
        <is>
          <t>Vegetativo</t>
        </is>
      </c>
      <c r="D33" s="57" t="inlineStr"/>
    </row>
    <row r="34">
      <c r="A34" s="56" t="inlineStr">
        <is>
          <t>5. Ecosistema, cobertura y flora (F-DT-03)</t>
        </is>
      </c>
      <c r="B34" s="56" t="inlineStr">
        <is>
          <t>Dimensiones de la parcela (m)</t>
        </is>
      </c>
      <c r="C34" s="56" t="inlineStr">
        <is>
          <t>Recorrido / observación rápida (sin parcela delimitada)</t>
        </is>
      </c>
      <c r="D34" s="56" t="inlineStr"/>
    </row>
    <row r="35">
      <c r="A35" s="57" t="inlineStr">
        <is>
          <t>5. Ecosistema, cobertura y flora (F-DT-03)</t>
        </is>
      </c>
      <c r="B35" s="57" t="inlineStr">
        <is>
          <t>Especies clave georreferenciadas</t>
        </is>
      </c>
      <c r="C35" s="57" t="inlineStr">
        <is>
          <t>4</t>
        </is>
      </c>
      <c r="D35" s="57" t="inlineStr"/>
    </row>
    <row r="36">
      <c r="A36" s="56" t="inlineStr">
        <is>
          <t>6. Degradación, causas y urgencia (F-DT-04)</t>
        </is>
      </c>
      <c r="B36" s="56" t="inlineStr">
        <is>
          <t>Causas directas de la degradación</t>
        </is>
      </c>
      <c r="C36" s="56" t="inlineStr">
        <is>
          <t>Sobrepastoreo extensivo (caprino/vacuno), extracción de leña para autoconsumo, conversión a agricultura de subsistencia (maíz, café, plátano) y erosión asociada a la apertura de caminos sobre suelos arenosos.</t>
        </is>
      </c>
      <c r="D36" s="56" t="inlineStr"/>
    </row>
    <row r="37">
      <c r="A37" s="57" t="inlineStr">
        <is>
          <t>6. Degradación, causas y urgencia (F-DT-04)</t>
        </is>
      </c>
      <c r="B37" s="57" t="inlineStr">
        <is>
          <t>N.° de causas activas en la matriz F-DT-04</t>
        </is>
      </c>
      <c r="C37" s="57" t="inlineStr">
        <is>
          <t>7</t>
        </is>
      </c>
      <c r="D37" s="57" t="inlineStr"/>
    </row>
    <row r="38">
      <c r="A38" s="56" t="inlineStr">
        <is>
          <t>7. Hidrología, acceso y logística (F-DT-05)</t>
        </is>
      </c>
      <c r="B38" s="56" t="inlineStr">
        <is>
          <t>Escorrentía concentrada</t>
        </is>
      </c>
      <c r="C38" s="56" t="inlineStr">
        <is>
          <t>Sí</t>
        </is>
      </c>
      <c r="D38" s="56" t="inlineStr"/>
    </row>
    <row r="39">
      <c r="A39" s="57" t="inlineStr">
        <is>
          <t>7. Hidrología, acceso y logística (F-DT-05)</t>
        </is>
      </c>
      <c r="B39" s="57" t="inlineStr">
        <is>
          <t>Fuentes de agua inventariadas</t>
        </is>
      </c>
      <c r="C39" s="57" t="inlineStr">
        <is>
          <t>1</t>
        </is>
      </c>
      <c r="D39" s="57" t="inlineStr"/>
    </row>
    <row r="40">
      <c r="A40" s="56" t="inlineStr">
        <is>
          <t>7. Hidrología, acceso y logística (F-DT-05)</t>
        </is>
      </c>
      <c r="B40" s="56" t="inlineStr">
        <is>
          <t>Interferencia con riego</t>
        </is>
      </c>
      <c r="C40" s="56" t="inlineStr">
        <is>
          <t>No</t>
        </is>
      </c>
      <c r="D40" s="56" t="inlineStr"/>
    </row>
    <row r="41">
      <c r="A41" s="57" t="inlineStr">
        <is>
          <t>7. Hidrología, acceso y logística (F-DT-05)</t>
        </is>
      </c>
      <c r="B41" s="57" t="inlineStr">
        <is>
          <t>Vía principal de acceso</t>
        </is>
      </c>
      <c r="C41" s="57" t="inlineStr">
        <is>
          <t>PI-805 (desde Santa Catalina de Mossa) + trocha carrozable + camino de herradura</t>
        </is>
      </c>
      <c r="D41" s="57" t="inlineStr"/>
    </row>
    <row r="42">
      <c r="A42" s="56" t="inlineStr">
        <is>
          <t>7. Hidrología, acceso y logística (F-DT-05)</t>
        </is>
      </c>
      <c r="B42" s="56" t="inlineStr">
        <is>
          <t>Tipo de vía del tramo final</t>
        </is>
      </c>
      <c r="C42" s="56" t="inlineStr">
        <is>
          <t>Camino de herradura</t>
        </is>
      </c>
      <c r="D42" s="56" t="inlineStr"/>
    </row>
    <row r="43">
      <c r="A43" s="57" t="inlineStr">
        <is>
          <t>7. Hidrología, acceso y logística (F-DT-05)</t>
        </is>
      </c>
      <c r="B43" s="57" t="inlineStr">
        <is>
          <t>Transitabilidad en época seca</t>
        </is>
      </c>
      <c r="C43" s="57" t="inlineStr">
        <is>
          <t>Medio</t>
        </is>
      </c>
      <c r="D43" s="57" t="inlineStr"/>
    </row>
    <row r="44">
      <c r="A44" s="56" t="inlineStr">
        <is>
          <t>7. Hidrología, acceso y logística (F-DT-05)</t>
        </is>
      </c>
      <c r="B44" s="56" t="inlineStr">
        <is>
          <t>Transitabilidad en época lluviosa</t>
        </is>
      </c>
      <c r="C44" s="56" t="inlineStr">
        <is>
          <t>Bajo</t>
        </is>
      </c>
      <c r="D44" s="56" t="inlineStr"/>
    </row>
    <row r="45">
      <c r="A45" s="57" t="inlineStr">
        <is>
          <t>7. Hidrología, acceso y logística (F-DT-05)</t>
        </is>
      </c>
      <c r="B45" s="57" t="inlineStr">
        <is>
          <t>Requiere coordinación con ronda / comunidad</t>
        </is>
      </c>
      <c r="C45" s="57" t="inlineStr">
        <is>
          <t>No</t>
        </is>
      </c>
      <c r="D45" s="57" t="inlineStr"/>
    </row>
    <row r="47">
      <c r="A47" s="54" t="inlineStr">
        <is>
          <t>C. PROCEDENCIA DE LOS HECHOS DECLARADOS</t>
        </is>
      </c>
    </row>
    <row r="48">
      <c r="A48" s="55" t="inlineStr">
        <is>
          <t>Fuente</t>
        </is>
      </c>
      <c r="B48" s="55" t="inlineStr">
        <is>
          <t>Hechos</t>
        </is>
      </c>
      <c r="C48" s="55" t="inlineStr">
        <is>
          <t>Alcance de la fuente</t>
        </is>
      </c>
    </row>
    <row r="49">
      <c r="A49" s="56" t="inlineStr">
        <is>
          <t>Dato de campo</t>
        </is>
      </c>
      <c r="B49" s="56" t="n">
        <v>64</v>
      </c>
      <c r="C49" s="56" t="inlineStr">
        <is>
          <t>Verificación en campo. Fichas F-DT-01 a F-DT-05 de la Plantilla DT Campo Check Validada V5, suscritas por el evaluador.</t>
        </is>
      </c>
    </row>
    <row r="50">
      <c r="A50" s="57" t="inlineStr">
        <is>
          <t>Gabinete (GIS / teledetección)</t>
        </is>
      </c>
      <c r="B50" s="57" t="n">
        <v>21</v>
      </c>
      <c r="C50" s="57" t="inlineStr">
        <is>
          <t>Gabinete. Estadística zonal sobre el MDE y compuestos Sentinel-2 (NDVI mediana 2025, MSAVI 2024 por clase DN).</t>
        </is>
      </c>
    </row>
    <row r="51">
      <c r="A51" s="56" t="inlineStr">
        <is>
          <t>Fuente oficial</t>
        </is>
      </c>
      <c r="B51" s="56" t="n">
        <v>14</v>
      </c>
      <c r="C51" s="56" t="inlineStr">
        <is>
          <t>Fuente oficial. Catálogo maestro Bloques V5/V6, división política INEI y codificación de microcuencas de la ANA.</t>
        </is>
      </c>
    </row>
    <row r="53">
      <c r="A53" s="54" t="inlineStr">
        <is>
          <t>D. ESTADO DEL CRUCE ENTRE FUENTES</t>
        </is>
      </c>
    </row>
    <row r="54">
      <c r="A54" s="55" t="inlineStr">
        <is>
          <t>Estado</t>
        </is>
      </c>
      <c r="B54" s="55" t="inlineStr">
        <is>
          <t>Hechos</t>
        </is>
      </c>
      <c r="C54" s="55" t="inlineStr">
        <is>
          <t>Significado</t>
        </is>
      </c>
    </row>
    <row r="55">
      <c r="A55" s="56" t="inlineStr">
        <is>
          <t>CONFORME</t>
        </is>
      </c>
      <c r="B55" s="56" t="n">
        <v>97</v>
      </c>
      <c r="C55" s="56" t="inlineStr">
        <is>
          <t>Las dos fuentes declaran lo mismo, o solo la fuente que manda sobre el hecho lo declara.</t>
        </is>
      </c>
    </row>
    <row r="56">
      <c r="A56" s="57" t="inlineStr">
        <is>
          <t>COMPLEMENTADO</t>
        </is>
      </c>
      <c r="B56" s="57" t="n">
        <v>0</v>
      </c>
      <c r="C56" s="57" t="inlineStr">
        <is>
          <t>Solo una de las fuentes lo declara y se adopta ese valor.</t>
        </is>
      </c>
    </row>
    <row r="57">
      <c r="A57" s="56" t="inlineStr">
        <is>
          <t>ACTUALIZADO</t>
        </is>
      </c>
      <c r="B57" s="56" t="n">
        <v>2</v>
      </c>
      <c r="C57" s="56" t="inlineStr">
        <is>
          <t>La verificación de campo vigente corrige lo que traía el libro de resumen.</t>
        </is>
      </c>
    </row>
    <row r="58">
      <c r="A58" s="57" t="inlineStr">
        <is>
          <t>DISCREPANTE</t>
        </is>
      </c>
      <c r="B58" s="57" t="n">
        <v>0</v>
      </c>
      <c r="C58" s="57" t="inlineStr">
        <is>
          <t>Las fuentes se contradicen; prevalece la que manda sobre el hecho y la otra queda declarada.</t>
        </is>
      </c>
    </row>
    <row r="59">
      <c r="A59" s="56" t="inlineStr">
        <is>
          <t>PENDIENTE</t>
        </is>
      </c>
      <c r="B59" s="56" t="n">
        <v>15</v>
      </c>
      <c r="C5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somera (0.5-2 m)</t>
        </is>
      </c>
      <c r="C9" s="61" t="n">
        <v>624582</v>
      </c>
      <c r="D9" s="61" t="n">
        <v>9437598</v>
      </c>
      <c r="E9" s="56" t="n"/>
      <c r="F9" s="56" t="n"/>
      <c r="G9" s="56" t="n"/>
      <c r="H9" s="56" t="inlineStr">
        <is>
          <t>Activa</t>
        </is>
      </c>
      <c r="I9" s="56" t="inlineStr">
        <is>
          <t>Caminos / huellas de ganado</t>
        </is>
      </c>
    </row>
    <row r="10">
      <c r="A10" s="57" t="inlineStr">
        <is>
          <t>C-02</t>
        </is>
      </c>
      <c r="B10" s="57" t="inlineStr">
        <is>
          <t>Cárcava incipiente (30-50 cm)</t>
        </is>
      </c>
      <c r="C10" s="62" t="n">
        <v>624527</v>
      </c>
      <c r="D10" s="62" t="n">
        <v>9437653</v>
      </c>
      <c r="E10" s="57" t="n"/>
      <c r="F10" s="57" t="n"/>
      <c r="G10" s="57" t="n"/>
      <c r="H10" s="57" t="inlineStr">
        <is>
          <t>Activa</t>
        </is>
      </c>
      <c r="I10" s="57" t="inlineStr">
        <is>
          <t>Concentración natural de escorrentía</t>
        </is>
      </c>
    </row>
    <row r="11">
      <c r="A11" s="56" t="inlineStr">
        <is>
          <t>C-03</t>
        </is>
      </c>
      <c r="B11" s="56" t="inlineStr">
        <is>
          <t>Cárcava incipiente (30-50 cm)</t>
        </is>
      </c>
      <c r="C11" s="61" t="n">
        <v>624651</v>
      </c>
      <c r="D11" s="61" t="n">
        <v>9438013</v>
      </c>
      <c r="E11" s="56" t="n"/>
      <c r="F11" s="56" t="n"/>
      <c r="G11" s="56" t="n"/>
      <c r="H11" s="56" t="inlineStr">
        <is>
          <t>Activa</t>
        </is>
      </c>
      <c r="I11" s="56" t="inlineStr">
        <is>
          <t>Caminos / huellas de ganado</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Higuerón</t>
        </is>
      </c>
      <c r="C15" s="56" t="inlineStr">
        <is>
          <t>Ficus sp. (prelim.)</t>
        </is>
      </c>
      <c r="D15" s="56" t="inlineStr">
        <is>
          <t>Moraceae</t>
        </is>
      </c>
      <c r="E15" s="56" t="inlineStr">
        <is>
          <t>Arbóreo medio (8-15 m)</t>
        </is>
      </c>
      <c r="F15" s="56" t="inlineStr">
        <is>
          <t>Nativa</t>
        </is>
      </c>
      <c r="G15" s="56" t="inlineStr">
        <is>
          <t>Frecuente (5-20%)</t>
        </is>
      </c>
      <c r="H15" s="56" t="n"/>
      <c r="I15" s="56" t="n"/>
    </row>
    <row r="16">
      <c r="A16" s="57" t="inlineStr">
        <is>
          <t>2</t>
        </is>
      </c>
      <c r="B16" s="57" t="inlineStr">
        <is>
          <t>Ulcumano / Galilea</t>
        </is>
      </c>
      <c r="C16" s="57" t="inlineStr">
        <is>
          <t>Podocarpus sp. (prelim.)</t>
        </is>
      </c>
      <c r="D16" s="57" t="inlineStr">
        <is>
          <t>Podocarpaceae</t>
        </is>
      </c>
      <c r="E16" s="57" t="inlineStr">
        <is>
          <t>Arbóreo medio (8-15 m)</t>
        </is>
      </c>
      <c r="F16" s="57" t="inlineStr">
        <is>
          <t>Nativa</t>
        </is>
      </c>
      <c r="G16" s="57" t="inlineStr">
        <is>
          <t>Ocasional (1-5%)</t>
        </is>
      </c>
      <c r="H16" s="57" t="n"/>
      <c r="I16" s="57" t="n"/>
    </row>
    <row r="17">
      <c r="A17" s="56" t="inlineStr">
        <is>
          <t>3</t>
        </is>
      </c>
      <c r="B17" s="56" t="inlineStr">
        <is>
          <t>Chirimoya silvestre</t>
        </is>
      </c>
      <c r="C17" s="56" t="inlineStr">
        <is>
          <t>Annona sp. (prelim.)</t>
        </is>
      </c>
      <c r="D17" s="56" t="inlineStr">
        <is>
          <t>Annonaceae</t>
        </is>
      </c>
      <c r="E17" s="56" t="inlineStr">
        <is>
          <t>Arbóreo bajo (4-8 m)</t>
        </is>
      </c>
      <c r="F17" s="56" t="inlineStr">
        <is>
          <t>Nativa</t>
        </is>
      </c>
      <c r="G17" s="56" t="inlineStr">
        <is>
          <t>Ocasional (1-5%)</t>
        </is>
      </c>
      <c r="H17" s="56" t="n"/>
      <c r="I17" s="56" t="n"/>
    </row>
    <row r="18">
      <c r="A18" s="57" t="inlineStr">
        <is>
          <t>4</t>
        </is>
      </c>
      <c r="B18" s="57" t="inlineStr">
        <is>
          <t>Angolo</t>
        </is>
      </c>
      <c r="C18" s="57" t="inlineStr">
        <is>
          <t>Pithecellobium sp. (prelim.)</t>
        </is>
      </c>
      <c r="D18" s="57" t="inlineStr">
        <is>
          <t>Fabaceae</t>
        </is>
      </c>
      <c r="E18" s="57" t="inlineStr">
        <is>
          <t>Arbóreo bajo (4-8 m)</t>
        </is>
      </c>
      <c r="F18" s="57" t="inlineStr">
        <is>
          <t>Nativa</t>
        </is>
      </c>
      <c r="G18" s="57" t="inlineStr">
        <is>
          <t>Ocasional (1-5%)</t>
        </is>
      </c>
      <c r="H18" s="57" t="n"/>
      <c r="I18" s="57" t="n"/>
    </row>
    <row r="19">
      <c r="A19" s="56" t="inlineStr">
        <is>
          <t>5</t>
        </is>
      </c>
      <c r="B19" s="56" t="inlineStr">
        <is>
          <t>Pasallo</t>
        </is>
      </c>
      <c r="C19" s="56" t="inlineStr">
        <is>
          <t>Eriotheca sp. (prelim.)</t>
        </is>
      </c>
      <c r="D19" s="56" t="inlineStr">
        <is>
          <t>Malvaceae</t>
        </is>
      </c>
      <c r="E19" s="56" t="inlineStr">
        <is>
          <t>Arbóreo medio (8-15 m)</t>
        </is>
      </c>
      <c r="F19" s="56" t="inlineStr">
        <is>
          <t>Nativa</t>
        </is>
      </c>
      <c r="G19" s="56" t="inlineStr">
        <is>
          <t>Ocasional (1-5%)</t>
        </is>
      </c>
      <c r="H19" s="56" t="n"/>
      <c r="I19" s="56" t="n"/>
    </row>
    <row r="20">
      <c r="A20" s="57" t="inlineStr">
        <is>
          <t>6</t>
        </is>
      </c>
      <c r="B20" s="57" t="inlineStr">
        <is>
          <t>Quina</t>
        </is>
      </c>
      <c r="C20" s="57" t="inlineStr">
        <is>
          <t>Cinchona sp. (prelim.)</t>
        </is>
      </c>
      <c r="D20" s="57" t="inlineStr">
        <is>
          <t>Rubiaceae</t>
        </is>
      </c>
      <c r="E20" s="57" t="inlineStr">
        <is>
          <t>Arbóreo bajo (4-8 m)</t>
        </is>
      </c>
      <c r="F20" s="57" t="inlineStr">
        <is>
          <t>Nativa</t>
        </is>
      </c>
      <c r="G20" s="57" t="inlineStr">
        <is>
          <t>Rara (&lt;1%)</t>
        </is>
      </c>
      <c r="H20" s="57" t="n"/>
      <c r="I20" s="57" t="n"/>
    </row>
    <row r="21">
      <c r="A21" s="56" t="inlineStr">
        <is>
          <t>7</t>
        </is>
      </c>
      <c r="B21" s="56" t="inlineStr">
        <is>
          <t>Faique</t>
        </is>
      </c>
      <c r="C21" s="56" t="inlineStr">
        <is>
          <t>Vachellia macracantha (prelim.)</t>
        </is>
      </c>
      <c r="D21" s="56" t="inlineStr">
        <is>
          <t>Fabaceae</t>
        </is>
      </c>
      <c r="E21" s="56" t="inlineStr">
        <is>
          <t>Arbóreo bajo (4-8 m)</t>
        </is>
      </c>
      <c r="F21" s="56" t="inlineStr">
        <is>
          <t>Nativa</t>
        </is>
      </c>
      <c r="G21" s="56" t="inlineStr">
        <is>
          <t>Frecuente (5-20%)</t>
        </is>
      </c>
      <c r="H21" s="56" t="n"/>
      <c r="I21" s="56" t="n"/>
    </row>
    <row r="22">
      <c r="A22" s="57" t="inlineStr">
        <is>
          <t>8</t>
        </is>
      </c>
      <c r="B22" s="57" t="inlineStr">
        <is>
          <t>Guayacán</t>
        </is>
      </c>
      <c r="C22" s="57" t="inlineStr">
        <is>
          <t>Handroanthus / Tabebuia sp. (prelim.)</t>
        </is>
      </c>
      <c r="D22" s="57" t="inlineStr">
        <is>
          <t>Bignoniaceae</t>
        </is>
      </c>
      <c r="E22" s="57" t="inlineStr">
        <is>
          <t>Arbóreo medio (8-15 m)</t>
        </is>
      </c>
      <c r="F22" s="57" t="inlineStr">
        <is>
          <t>Nativa</t>
        </is>
      </c>
      <c r="G22" s="57" t="inlineStr">
        <is>
          <t>Ocasional (1-5%)</t>
        </is>
      </c>
      <c r="H22" s="57" t="n"/>
      <c r="I22" s="57" t="n"/>
    </row>
    <row r="23">
      <c r="A23" s="56" t="inlineStr">
        <is>
          <t>9</t>
        </is>
      </c>
      <c r="B23" s="56" t="inlineStr">
        <is>
          <t>Cecropia / Cético</t>
        </is>
      </c>
      <c r="C23" s="56" t="inlineStr">
        <is>
          <t>Cecropia sp. (prelim.)</t>
        </is>
      </c>
      <c r="D23" s="56" t="inlineStr">
        <is>
          <t>Urticaceae</t>
        </is>
      </c>
      <c r="E23" s="56" t="inlineStr">
        <is>
          <t>Arbóreo bajo (4-8 m)</t>
        </is>
      </c>
      <c r="F23" s="56" t="inlineStr">
        <is>
          <t>Nativa</t>
        </is>
      </c>
      <c r="G23" s="56" t="inlineStr">
        <is>
          <t>Frecuente (5-20%)</t>
        </is>
      </c>
      <c r="H23" s="56" t="n"/>
      <c r="I23" s="56" t="n"/>
    </row>
    <row r="24">
      <c r="A24" s="57" t="inlineStr">
        <is>
          <t>10</t>
        </is>
      </c>
      <c r="B24" s="57" t="inlineStr">
        <is>
          <t>Caña de Guayaquil</t>
        </is>
      </c>
      <c r="C24" s="57" t="inlineStr">
        <is>
          <t>Guadua angustifolia (prelim.)</t>
        </is>
      </c>
      <c r="D24" s="57" t="inlineStr">
        <is>
          <t>Poaceae</t>
        </is>
      </c>
      <c r="E24" s="57" t="inlineStr">
        <is>
          <t>Arbustivo alto (1.5-4 m)</t>
        </is>
      </c>
      <c r="F24" s="57" t="inlineStr">
        <is>
          <t>Nativa</t>
        </is>
      </c>
      <c r="G24" s="57" t="inlineStr">
        <is>
          <t>Ocasional (1-5%)</t>
        </is>
      </c>
      <c r="H24" s="57" t="n"/>
      <c r="I24" s="57" t="n"/>
    </row>
    <row r="25">
      <c r="A25" s="56" t="inlineStr">
        <is>
          <t>11</t>
        </is>
      </c>
      <c r="B25" s="56" t="inlineStr">
        <is>
          <t>Agave / Penca</t>
        </is>
      </c>
      <c r="C25" s="56" t="inlineStr">
        <is>
          <t>Agave americana (prelim.)</t>
        </is>
      </c>
      <c r="D25" s="56" t="inlineStr">
        <is>
          <t>Asparagaceae</t>
        </is>
      </c>
      <c r="E25" s="56" t="inlineStr">
        <is>
          <t>Arbustivo alto (1.5-4 m)</t>
        </is>
      </c>
      <c r="F25" s="56" t="inlineStr">
        <is>
          <t>Introducida</t>
        </is>
      </c>
      <c r="G25" s="56" t="inlineStr">
        <is>
          <t>Frecuente (5-20%)</t>
        </is>
      </c>
      <c r="H25" s="56" t="n"/>
      <c r="I25" s="56" t="n"/>
    </row>
    <row r="26">
      <c r="A26" s="57" t="inlineStr">
        <is>
          <t>12</t>
        </is>
      </c>
      <c r="B26" s="57" t="inlineStr">
        <is>
          <t>Cactáceas columnares (cardón)</t>
        </is>
      </c>
      <c r="C26" s="57" t="inlineStr">
        <is>
          <t>Cactaceae (Armatocereus/Neoraimondia, prelim.)</t>
        </is>
      </c>
      <c r="D26" s="57" t="inlineStr">
        <is>
          <t>Cactaceae</t>
        </is>
      </c>
      <c r="E26" s="57" t="inlineStr">
        <is>
          <t>Arbustivo alto (1.5-4 m)</t>
        </is>
      </c>
      <c r="F26" s="57" t="inlineStr">
        <is>
          <t>Nativa</t>
        </is>
      </c>
      <c r="G26" s="57" t="inlineStr">
        <is>
          <t>Frecuente (5-20%)</t>
        </is>
      </c>
      <c r="H26" s="57" t="n"/>
      <c r="I26" s="57" t="n"/>
    </row>
    <row r="27">
      <c r="A27" s="56" t="inlineStr">
        <is>
          <t>13</t>
        </is>
      </c>
      <c r="B27" s="56" t="inlineStr">
        <is>
          <t>Maíz (cultivo)</t>
        </is>
      </c>
      <c r="C27" s="56" t="inlineStr">
        <is>
          <t>Zea mays</t>
        </is>
      </c>
      <c r="D27" s="56" t="inlineStr">
        <is>
          <t>Poaceae</t>
        </is>
      </c>
      <c r="E27" s="56" t="inlineStr">
        <is>
          <t>Herbáceo (&lt;0.5 m)</t>
        </is>
      </c>
      <c r="F27" s="56" t="inlineStr">
        <is>
          <t>Introducida</t>
        </is>
      </c>
      <c r="G27" s="56" t="inlineStr">
        <is>
          <t>Frecuente (5-20%)</t>
        </is>
      </c>
      <c r="H27" s="56" t="n"/>
      <c r="I27" s="56" t="n"/>
    </row>
    <row r="28">
      <c r="A28" s="57" t="inlineStr">
        <is>
          <t>14</t>
        </is>
      </c>
      <c r="B28" s="57" t="inlineStr">
        <is>
          <t>Pastos cultivados</t>
        </is>
      </c>
      <c r="C28" s="57" t="inlineStr">
        <is>
          <t>Poaceae (varios, prelim.)</t>
        </is>
      </c>
      <c r="D28" s="57" t="inlineStr">
        <is>
          <t>Poaceae</t>
        </is>
      </c>
      <c r="E28" s="57" t="inlineStr">
        <is>
          <t>Herbáceo (&lt;0.5 m)</t>
        </is>
      </c>
      <c r="F28" s="57" t="inlineStr">
        <is>
          <t>Introducida</t>
        </is>
      </c>
      <c r="G28" s="57" t="inlineStr">
        <is>
          <t>Abundante (20-40%)</t>
        </is>
      </c>
      <c r="H28" s="57" t="n"/>
      <c r="I28" s="57" t="n"/>
    </row>
    <row r="30">
      <c r="A30" s="54" t="inlineStr">
        <is>
          <t>F-DT-03 · ESPECIES CLAVE GEORREFERENCIADAS</t>
        </is>
      </c>
    </row>
    <row r="31">
      <c r="A31" s="55" t="inlineStr">
        <is>
          <t>N.o</t>
        </is>
      </c>
      <c r="B31" s="55" t="inlineStr">
        <is>
          <t>Especie</t>
        </is>
      </c>
      <c r="C31" s="55" t="inlineStr">
        <is>
          <t>Categoría</t>
        </is>
      </c>
      <c r="D31" s="55" t="inlineStr">
        <is>
          <t>Estado UICN</t>
        </is>
      </c>
      <c r="E31" s="55" t="inlineStr">
        <is>
          <t>UTM ESTE</t>
        </is>
      </c>
      <c r="F31" s="55" t="inlineStr">
        <is>
          <t>UTM NORTE</t>
        </is>
      </c>
      <c r="G31" s="55" t="inlineStr">
        <is>
          <t>N.° individuos</t>
        </is>
      </c>
      <c r="H31" s="55" t="inlineStr">
        <is>
          <t>Observación</t>
        </is>
      </c>
    </row>
    <row r="32">
      <c r="A32" s="56" t="inlineStr">
        <is>
          <t>1</t>
        </is>
      </c>
      <c r="B32" s="56" t="inlineStr">
        <is>
          <t>Podocarpus sp. (Ulcumano/Galilea)</t>
        </is>
      </c>
      <c r="C32" s="56" t="inlineStr">
        <is>
          <t>Indicadora de buen estado</t>
        </is>
      </c>
      <c r="D32" s="56" t="inlineStr">
        <is>
          <t>NE — No Evaluado</t>
        </is>
      </c>
      <c r="E32" s="61" t="n">
        <v>624625</v>
      </c>
      <c r="F32" s="61" t="n">
        <v>9437569</v>
      </c>
      <c r="G32" s="56" t="n"/>
      <c r="H32" s="56" t="inlineStr">
        <is>
          <t>Especie nativa de valor de conservación; determinación a nivel de especie pendiente.</t>
        </is>
      </c>
    </row>
    <row r="33">
      <c r="A33" s="57" t="inlineStr">
        <is>
          <t>2</t>
        </is>
      </c>
      <c r="B33" s="57" t="inlineStr">
        <is>
          <t>Ficus sp. (Higuerón)</t>
        </is>
      </c>
      <c r="C33" s="57" t="inlineStr">
        <is>
          <t>Indicadora de buen estado</t>
        </is>
      </c>
      <c r="D33" s="57" t="inlineStr">
        <is>
          <t>LC — Preocupación Menor</t>
        </is>
      </c>
      <c r="E33" s="62" t="n">
        <v>624658</v>
      </c>
      <c r="F33" s="62" t="n">
        <v>9438080</v>
      </c>
      <c r="G33" s="57" t="n"/>
      <c r="H33" s="57" t="inlineStr">
        <is>
          <t>Árbol nativo de gran porte, indicador de micrositios húmedos.</t>
        </is>
      </c>
    </row>
    <row r="34">
      <c r="A34" s="56" t="inlineStr">
        <is>
          <t>3</t>
        </is>
      </c>
      <c r="B34" s="56" t="inlineStr">
        <is>
          <t>Vachellia macracantha (Faique)</t>
        </is>
      </c>
      <c r="C34" s="56" t="inlineStr">
        <is>
          <t>Amenazada (D.S. 043-2006-AG)</t>
        </is>
      </c>
      <c r="D34" s="56" t="inlineStr">
        <is>
          <t>NT — Casi Amenazado</t>
        </is>
      </c>
      <c r="E34" s="61" t="n">
        <v>624581</v>
      </c>
      <c r="F34" s="61" t="n">
        <v>9437615</v>
      </c>
      <c r="G34" s="56" t="n"/>
      <c r="H34" s="56" t="inlineStr">
        <is>
          <t>Individuo volcado por deslizamiento localizado en el camino de acceso.</t>
        </is>
      </c>
    </row>
    <row r="35">
      <c r="A35" s="57" t="inlineStr">
        <is>
          <t>4</t>
        </is>
      </c>
      <c r="B35" s="57" t="inlineStr">
        <is>
          <t>Cinchona sp. (Quina)</t>
        </is>
      </c>
      <c r="C35" s="57" t="inlineStr">
        <is>
          <t>Amenazada (D.S. 043-2006-AG)</t>
        </is>
      </c>
      <c r="D35" s="57" t="inlineStr">
        <is>
          <t>VU — Vulnerable</t>
        </is>
      </c>
      <c r="E35" s="57" t="n"/>
      <c r="F35" s="57" t="n"/>
      <c r="G35" s="57" t="n"/>
      <c r="H35" s="57" t="inlineStr">
        <is>
          <t>Reportada por el equipo de campo; ubicación y determinación por verificar.</t>
        </is>
      </c>
    </row>
    <row r="37">
      <c r="A37" s="54" t="inlineStr">
        <is>
          <t>F-DT-04 · MATRIZ DE CAUSAS DE DEGRADACIÓN</t>
        </is>
      </c>
    </row>
    <row r="38">
      <c r="A38" s="55" t="inlineStr">
        <is>
          <t>N.o</t>
        </is>
      </c>
      <c r="B38" s="55" t="inlineStr">
        <is>
          <t>Causa</t>
        </is>
      </c>
      <c r="C38" s="55" t="inlineStr">
        <is>
          <t>Presencia</t>
        </is>
      </c>
      <c r="D38" s="55" t="inlineStr">
        <is>
          <t>Intensidad</t>
        </is>
      </c>
      <c r="E38" s="55" t="inlineStr">
        <is>
          <t>Extensión</t>
        </is>
      </c>
      <c r="F38" s="55" t="inlineStr">
        <is>
          <t>Antigüedad</t>
        </is>
      </c>
      <c r="G38" s="55" t="inlineStr">
        <is>
          <t>Evidencia</t>
        </is>
      </c>
    </row>
    <row r="39">
      <c r="A39" s="56" t="inlineStr">
        <is>
          <t>1</t>
        </is>
      </c>
      <c r="B39" s="56" t="inlineStr">
        <is>
          <t>Sobrepastoreo (caprino/vacuno)</t>
        </is>
      </c>
      <c r="C39" s="56" t="inlineStr">
        <is>
          <t>Sí</t>
        </is>
      </c>
      <c r="D39" s="56" t="inlineStr">
        <is>
          <t>Moderada</t>
        </is>
      </c>
      <c r="E39" s="56" t="inlineStr"/>
      <c r="F39" s="56" t="inlineStr"/>
      <c r="G39" s="56" t="inlineStr">
        <is>
          <t>Senderos y pisoteo de ganado caprino/vacuno; pastoreo extensivo en laderas y áreas abiertas.</t>
        </is>
      </c>
    </row>
    <row r="40">
      <c r="A40" s="57" t="inlineStr">
        <is>
          <t>2</t>
        </is>
      </c>
      <c r="B40" s="57" t="inlineStr">
        <is>
          <t>Tala para leña</t>
        </is>
      </c>
      <c r="C40" s="57" t="inlineStr">
        <is>
          <t>Sí</t>
        </is>
      </c>
      <c r="D40" s="57" t="inlineStr">
        <is>
          <t>Moderada</t>
        </is>
      </c>
      <c r="E40" s="57" t="inlineStr"/>
      <c r="F40" s="57" t="inlineStr"/>
      <c r="G40" s="57" t="inlineStr">
        <is>
          <t>Pilas de leña apilada para autoconsumo y ramas cortadas (Fotos 18 y 19).</t>
        </is>
      </c>
    </row>
    <row r="41">
      <c r="A41" s="56" t="inlineStr">
        <is>
          <t>3</t>
        </is>
      </c>
      <c r="B41" s="56" t="inlineStr">
        <is>
          <t>Tala para carbón</t>
        </is>
      </c>
      <c r="C41" s="56" t="inlineStr">
        <is>
          <t>No</t>
        </is>
      </c>
      <c r="D41" s="56" t="inlineStr">
        <is>
          <t>Nula</t>
        </is>
      </c>
      <c r="E41" s="56" t="inlineStr"/>
      <c r="F41" s="56" t="inlineStr"/>
      <c r="G41" s="56" t="inlineStr">
        <is>
          <t>Sin evidencia de tala para producción de carbón.</t>
        </is>
      </c>
    </row>
    <row r="42">
      <c r="A42" s="57" t="inlineStr">
        <is>
          <t>4</t>
        </is>
      </c>
      <c r="B42" s="57" t="inlineStr">
        <is>
          <t>Tala para madera</t>
        </is>
      </c>
      <c r="C42" s="57" t="inlineStr">
        <is>
          <t>No</t>
        </is>
      </c>
      <c r="D42" s="57" t="inlineStr">
        <is>
          <t>Nula</t>
        </is>
      </c>
      <c r="E42" s="57" t="inlineStr"/>
      <c r="F42" s="57" t="inlineStr"/>
      <c r="G42" s="57" t="inlineStr">
        <is>
          <t>Sin evidencia de tala comercial de madera.</t>
        </is>
      </c>
    </row>
    <row r="43">
      <c r="A43" s="56" t="inlineStr">
        <is>
          <t>5</t>
        </is>
      </c>
      <c r="B43" s="56" t="inlineStr">
        <is>
          <t>Quema (renovación de pastos)</t>
        </is>
      </c>
      <c r="C43" s="56" t="inlineStr">
        <is>
          <t>No</t>
        </is>
      </c>
      <c r="D43" s="56" t="inlineStr">
        <is>
          <t>Nula</t>
        </is>
      </c>
      <c r="E43" s="56" t="inlineStr"/>
      <c r="F43" s="56" t="inlineStr"/>
      <c r="G43" s="56" t="inlineStr">
        <is>
          <t>Sin evidencia de quemas recientes al momento de la visita.</t>
        </is>
      </c>
    </row>
    <row r="44">
      <c r="A44" s="57" t="inlineStr">
        <is>
          <t>6</t>
        </is>
      </c>
      <c r="B44" s="57" t="inlineStr">
        <is>
          <t>Quema accidental / Incendio</t>
        </is>
      </c>
      <c r="C44" s="57" t="inlineStr">
        <is>
          <t>No</t>
        </is>
      </c>
      <c r="D44" s="57" t="inlineStr">
        <is>
          <t>Nula</t>
        </is>
      </c>
      <c r="E44" s="57" t="inlineStr"/>
      <c r="F44" s="57" t="inlineStr"/>
      <c r="G44" s="57" t="inlineStr">
        <is>
          <t>Sin evidencia de incendios.</t>
        </is>
      </c>
    </row>
    <row r="45">
      <c r="A45" s="56" t="inlineStr">
        <is>
          <t>7</t>
        </is>
      </c>
      <c r="B45" s="56" t="inlineStr">
        <is>
          <t>Cambio de uso a agricultura</t>
        </is>
      </c>
      <c r="C45" s="56" t="inlineStr">
        <is>
          <t>Sí</t>
        </is>
      </c>
      <c r="D45" s="56" t="inlineStr">
        <is>
          <t>Moderada</t>
        </is>
      </c>
      <c r="E45" s="56" t="inlineStr"/>
      <c r="F45" s="56" t="inlineStr"/>
      <c r="G45" s="56" t="inlineStr">
        <is>
          <t>Cultivos de maíz, café y plátano; zona agrícola ~25% del bloque (Foto 07).</t>
        </is>
      </c>
    </row>
    <row r="46">
      <c r="A46" s="57" t="inlineStr">
        <is>
          <t>8</t>
        </is>
      </c>
      <c r="B46" s="57" t="inlineStr">
        <is>
          <t>Cambio de uso a pastoreo</t>
        </is>
      </c>
      <c r="C46" s="57" t="inlineStr">
        <is>
          <t>Sí</t>
        </is>
      </c>
      <c r="D46" s="57" t="inlineStr">
        <is>
          <t>Ligera</t>
        </is>
      </c>
      <c r="E46" s="57" t="inlineStr"/>
      <c r="F46" s="57" t="inlineStr"/>
      <c r="G46" s="57" t="inlineStr">
        <is>
          <t>Pastos cultivados intercalados con matorral.</t>
        </is>
      </c>
    </row>
    <row r="47">
      <c r="A47" s="56" t="inlineStr">
        <is>
          <t>9</t>
        </is>
      </c>
      <c r="B47" s="56" t="inlineStr">
        <is>
          <t>Expansión urbana / vial</t>
        </is>
      </c>
      <c r="C47" s="56" t="inlineStr">
        <is>
          <t>Sí</t>
        </is>
      </c>
      <c r="D47" s="56" t="inlineStr">
        <is>
          <t>Ligera</t>
        </is>
      </c>
      <c r="E47" s="56" t="inlineStr"/>
      <c r="F47" s="56" t="inlineStr"/>
      <c r="G47" s="56" t="inlineStr">
        <is>
          <t>Apertura de trochas/caminos de herradura con taludes de corte erosionados (Fotos 05, 06, 09, 17).</t>
        </is>
      </c>
    </row>
    <row r="48">
      <c r="A48" s="57" t="inlineStr">
        <is>
          <t>10</t>
        </is>
      </c>
      <c r="B48" s="57" t="inlineStr">
        <is>
          <t>Minería informal</t>
        </is>
      </c>
      <c r="C48" s="57" t="inlineStr">
        <is>
          <t>No</t>
        </is>
      </c>
      <c r="D48" s="57" t="inlineStr">
        <is>
          <t>Nula</t>
        </is>
      </c>
      <c r="E48" s="57" t="inlineStr"/>
      <c r="F48" s="57" t="inlineStr"/>
      <c r="G48" s="57" t="inlineStr">
        <is>
          <t>No observada.</t>
        </is>
      </c>
    </row>
    <row r="49">
      <c r="A49" s="56" t="inlineStr">
        <is>
          <t>11</t>
        </is>
      </c>
      <c r="B49" s="56" t="inlineStr">
        <is>
          <t>Extracción de áridos (cauces)</t>
        </is>
      </c>
      <c r="C49" s="56" t="inlineStr">
        <is>
          <t>No</t>
        </is>
      </c>
      <c r="D49" s="56" t="inlineStr">
        <is>
          <t>Nula</t>
        </is>
      </c>
      <c r="E49" s="56" t="inlineStr"/>
      <c r="F49" s="56" t="inlineStr"/>
      <c r="G49" s="56" t="inlineStr">
        <is>
          <t>No observada.</t>
        </is>
      </c>
    </row>
    <row r="50">
      <c r="A50" s="57" t="inlineStr">
        <is>
          <t>12</t>
        </is>
      </c>
      <c r="B50" s="57" t="inlineStr">
        <is>
          <t>Especies invasoras</t>
        </is>
      </c>
      <c r="C50" s="57" t="inlineStr">
        <is>
          <t>No</t>
        </is>
      </c>
      <c r="D50" s="57" t="inlineStr">
        <is>
          <t>Nula</t>
        </is>
      </c>
      <c r="E50" s="57" t="inlineStr"/>
      <c r="F50" s="57" t="inlineStr"/>
      <c r="G50" s="57" t="inlineStr">
        <is>
          <t>Sin dominancia evidente de especies invasoras.</t>
        </is>
      </c>
    </row>
    <row r="51">
      <c r="A51" s="56" t="inlineStr">
        <is>
          <t>13</t>
        </is>
      </c>
      <c r="B51" s="56" t="inlineStr">
        <is>
          <t>Erosión natural severa</t>
        </is>
      </c>
      <c r="C51" s="56" t="inlineStr">
        <is>
          <t>Sí</t>
        </is>
      </c>
      <c r="D51" s="56" t="inlineStr">
        <is>
          <t>Moderada</t>
        </is>
      </c>
      <c r="E51" s="56" t="inlineStr"/>
      <c r="F51" s="56" t="inlineStr"/>
      <c r="G51" s="56" t="inlineStr">
        <is>
          <t>Suelos arenosos altamente erosionables; cárcavas y surcos en caminos (Fotos 09, 14, 17).</t>
        </is>
      </c>
    </row>
    <row r="52">
      <c r="A52" s="57" t="inlineStr">
        <is>
          <t>14</t>
        </is>
      </c>
      <c r="B52" s="57" t="inlineStr">
        <is>
          <t>Sequía prolongada / CC</t>
        </is>
      </c>
      <c r="C52" s="57" t="inlineStr">
        <is>
          <t>Sí</t>
        </is>
      </c>
      <c r="D52" s="57" t="inlineStr">
        <is>
          <t>Ligera</t>
        </is>
      </c>
      <c r="E52" s="57" t="inlineStr"/>
      <c r="F52" s="57" t="inlineStr"/>
      <c r="G52" s="57" t="inlineStr">
        <is>
          <t>Estrés hídrico estacional (época seca); marco de cambio climático del proyecto.</t>
        </is>
      </c>
    </row>
    <row r="53">
      <c r="A53" s="56" t="inlineStr">
        <is>
          <t>15</t>
        </is>
      </c>
      <c r="B53" s="56" t="inlineStr">
        <is>
          <t>Plagas o enfermedades forestales</t>
        </is>
      </c>
      <c r="C53" s="56" t="inlineStr">
        <is>
          <t>No</t>
        </is>
      </c>
      <c r="D53" s="56" t="inlineStr">
        <is>
          <t>Nula</t>
        </is>
      </c>
      <c r="E53" s="56" t="inlineStr"/>
      <c r="F53" s="56" t="inlineStr"/>
      <c r="G53" s="56" t="inlineStr">
        <is>
          <t>Sin evidencia de plagas/enfermedades forestales.</t>
        </is>
      </c>
    </row>
    <row r="54">
      <c r="A54" s="57" t="inlineStr">
        <is>
          <t>16</t>
        </is>
      </c>
      <c r="B54" s="57" t="inlineStr">
        <is>
          <t>Otro</t>
        </is>
      </c>
      <c r="C54" s="57" t="inlineStr">
        <is>
          <t>No</t>
        </is>
      </c>
      <c r="D54" s="57" t="inlineStr">
        <is>
          <t>Nula</t>
        </is>
      </c>
      <c r="E54" s="57" t="inlineStr"/>
      <c r="F54" s="57" t="inlineStr"/>
      <c r="G54" s="57" t="inlineStr">
        <is>
          <t>—</t>
        </is>
      </c>
    </row>
    <row r="56">
      <c r="A56" s="54" t="inlineStr">
        <is>
          <t>F-DT-04 · INDICADORES CUANTITATIVOS</t>
        </is>
      </c>
    </row>
    <row r="57">
      <c r="A57" s="55" t="inlineStr">
        <is>
          <t>N.o</t>
        </is>
      </c>
      <c r="B57" s="55" t="inlineStr">
        <is>
          <t>Indicador</t>
        </is>
      </c>
      <c r="C57" s="55" t="inlineStr">
        <is>
          <t>Unidad</t>
        </is>
      </c>
      <c r="D57" s="55" t="inlineStr">
        <is>
          <t>Valor</t>
        </is>
      </c>
      <c r="E57" s="55" t="inlineStr">
        <is>
          <t>Fuente</t>
        </is>
      </c>
      <c r="F57" s="55" t="inlineStr">
        <is>
          <t>Umbral</t>
        </is>
      </c>
      <c r="G57" s="55" t="inlineStr">
        <is>
          <t>Nivel</t>
        </is>
      </c>
    </row>
    <row r="58">
      <c r="A58" s="56" t="inlineStr">
        <is>
          <t>1</t>
        </is>
      </c>
      <c r="B58" s="56" t="inlineStr">
        <is>
          <t>Cobertura vegetal total</t>
        </is>
      </c>
      <c r="C58" s="56" t="inlineStr">
        <is>
          <t>%</t>
        </is>
      </c>
      <c r="D58" s="56" t="inlineStr">
        <is>
          <t>65</t>
        </is>
      </c>
      <c r="E58" s="56" t="inlineStr">
        <is>
          <t>Estimación de campo + MSAVI_Piura_2024</t>
        </is>
      </c>
      <c r="F58" s="56" t="inlineStr">
        <is>
          <t>&gt;60% bueno; 30-60% medio; &lt;30% malo</t>
        </is>
      </c>
      <c r="G58" s="56" t="inlineStr">
        <is>
          <t>Medio</t>
        </is>
      </c>
    </row>
    <row r="59">
      <c r="A59" s="57" t="inlineStr">
        <is>
          <t>2</t>
        </is>
      </c>
      <c r="B59" s="57" t="inlineStr">
        <is>
          <t>Porcentaje de suelo desnudo</t>
        </is>
      </c>
      <c r="C59" s="57" t="inlineStr">
        <is>
          <t>%</t>
        </is>
      </c>
      <c r="D59" s="57" t="inlineStr">
        <is>
          <t>15</t>
        </is>
      </c>
      <c r="E59" s="57" t="inlineStr">
        <is>
          <t>Estimación de campo</t>
        </is>
      </c>
      <c r="F59" s="57" t="inlineStr">
        <is>
          <t>&lt;10% bueno; 10-30% medio; &gt;30% malo</t>
        </is>
      </c>
      <c r="G59" s="57" t="inlineStr">
        <is>
          <t>Medio</t>
        </is>
      </c>
    </row>
    <row r="60">
      <c r="A60" s="56" t="inlineStr">
        <is>
          <t>3</t>
        </is>
      </c>
      <c r="B60" s="56" t="inlineStr">
        <is>
          <t>Densidad de cárcavas</t>
        </is>
      </c>
      <c r="C60" s="56" t="inlineStr">
        <is>
          <t>N°/ha</t>
        </is>
      </c>
      <c r="D60" s="56" t="inlineStr"/>
      <c r="E60" s="56" t="inlineStr"/>
      <c r="F60" s="56" t="inlineStr">
        <is>
          <t>0 nulo; 1-3 medio; &gt;3 alto</t>
        </is>
      </c>
      <c r="G60" s="56" t="inlineStr"/>
    </row>
    <row r="61">
      <c r="A61" s="57" t="inlineStr">
        <is>
          <t>4</t>
        </is>
      </c>
      <c r="B61" s="57" t="inlineStr">
        <is>
          <t>Presencia de especies invasoras</t>
        </is>
      </c>
      <c r="C61" s="57" t="inlineStr">
        <is>
          <t>% área</t>
        </is>
      </c>
      <c r="D61" s="57" t="inlineStr">
        <is>
          <t>&lt;5</t>
        </is>
      </c>
      <c r="E61" s="57" t="inlineStr">
        <is>
          <t>Estimación de campo</t>
        </is>
      </c>
      <c r="F61" s="57" t="inlineStr">
        <is>
          <t>&lt;5% bueno; 5-20% medio; &gt;20% alto</t>
        </is>
      </c>
      <c r="G61" s="57" t="inlineStr">
        <is>
          <t>Bajo</t>
        </is>
      </c>
    </row>
    <row r="62">
      <c r="A62" s="56" t="inlineStr">
        <is>
          <t>5</t>
        </is>
      </c>
      <c r="B62" s="56" t="inlineStr">
        <is>
          <t>Carga ganadera estimada</t>
        </is>
      </c>
      <c r="C62" s="56" t="inlineStr">
        <is>
          <t>UA/ha</t>
        </is>
      </c>
      <c r="D62" s="56" t="inlineStr"/>
      <c r="E62" s="56" t="inlineStr"/>
      <c r="F62" s="56" t="inlineStr">
        <is>
          <t>Según tipo de ecosistema</t>
        </is>
      </c>
      <c r="G62" s="56" t="inlineStr"/>
    </row>
    <row r="63">
      <c r="A63" s="57" t="inlineStr">
        <is>
          <t>6</t>
        </is>
      </c>
      <c r="B63" s="57" t="inlineStr">
        <is>
          <t>Frecuencia de quemas últimos 5 años</t>
        </is>
      </c>
      <c r="C63" s="57" t="inlineStr">
        <is>
          <t>N°</t>
        </is>
      </c>
      <c r="D63" s="57" t="inlineStr">
        <is>
          <t>0</t>
        </is>
      </c>
      <c r="E63" s="57" t="inlineStr">
        <is>
          <t>Observación de campo (sin evidencia de quema reciente)</t>
        </is>
      </c>
      <c r="F63" s="57" t="inlineStr">
        <is>
          <t>0 nulo; 1-2 medio; &gt;2 alto</t>
        </is>
      </c>
      <c r="G63" s="57" t="inlineStr">
        <is>
          <t>Bajo</t>
        </is>
      </c>
    </row>
    <row r="64">
      <c r="A64" s="56" t="inlineStr">
        <is>
          <t>7</t>
        </is>
      </c>
      <c r="B64" s="56" t="inlineStr">
        <is>
          <t>% área con pendiente &gt;50%</t>
        </is>
      </c>
      <c r="C64" s="56" t="inlineStr">
        <is>
          <t>%</t>
        </is>
      </c>
      <c r="D64" s="56" t="inlineStr"/>
      <c r="E64" s="56" t="inlineStr"/>
      <c r="F64" s="56" t="inlineStr">
        <is>
          <t>Factor de susceptibilidad</t>
        </is>
      </c>
      <c r="G64" s="56" t="inlineStr"/>
    </row>
    <row r="65">
      <c r="A65" s="57" t="inlineStr">
        <is>
          <t>8</t>
        </is>
      </c>
      <c r="B65" s="57" t="inlineStr">
        <is>
          <t>Distancia a vía vecinal más cercana</t>
        </is>
      </c>
      <c r="C65" s="57" t="inlineStr">
        <is>
          <t>m</t>
        </is>
      </c>
      <c r="D65" s="57" t="inlineStr">
        <is>
          <t>Adyacente / ≤200</t>
        </is>
      </c>
      <c r="E65" s="57" t="inlineStr">
        <is>
          <t>Google Earth + red vial MTC</t>
        </is>
      </c>
      <c r="F65" s="57" t="inlineStr">
        <is>
          <t>A menor distancia → mayor presión</t>
        </is>
      </c>
      <c r="G65" s="57" t="inlineStr">
        <is>
          <t>Alto</t>
        </is>
      </c>
    </row>
    <row r="67">
      <c r="A67" s="54" t="inlineStr">
        <is>
          <t>F-DT-05 · FUENTES DE AGUA INVENTARIADAS</t>
        </is>
      </c>
    </row>
    <row r="68">
      <c r="A68" s="55" t="inlineStr">
        <is>
          <t>N.o</t>
        </is>
      </c>
      <c r="B68" s="55" t="inlineStr">
        <is>
          <t>Tipo de fuente</t>
        </is>
      </c>
      <c r="C68" s="55" t="inlineStr">
        <is>
          <t>UTM ESTE</t>
        </is>
      </c>
      <c r="D68" s="55" t="inlineStr">
        <is>
          <t>UTM NORTE</t>
        </is>
      </c>
      <c r="E68" s="55" t="inlineStr">
        <is>
          <t>Régimen</t>
        </is>
      </c>
      <c r="F68" s="55" t="inlineStr">
        <is>
          <t>Calidad</t>
        </is>
      </c>
      <c r="G68" s="55" t="inlineStr">
        <is>
          <t>Distancia (m)</t>
        </is>
      </c>
      <c r="H68" s="55" t="inlineStr">
        <is>
          <t>Uso / observación</t>
        </is>
      </c>
    </row>
    <row r="69">
      <c r="A69" s="56" t="inlineStr">
        <is>
          <t>1</t>
        </is>
      </c>
      <c r="B69" s="56" t="inlineStr">
        <is>
          <t>Quebrada estacional</t>
        </is>
      </c>
      <c r="C69" s="56" t="n"/>
      <c r="D69" s="56" t="n"/>
      <c r="E69" s="56" t="inlineStr">
        <is>
          <t>Estacional (lluvias)</t>
        </is>
      </c>
      <c r="F69" s="56" t="inlineStr">
        <is>
          <t>No evaluable</t>
        </is>
      </c>
      <c r="G69" s="56" t="n"/>
      <c r="H69" s="56" t="inlineStr">
        <is>
          <t>Drenaje natural del eje de la microcuenca C1086-Q9570; sin flujo superficial al momento de la visita (época seca). Punto GPS de fuente no registrado.</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Bloque verificado el 02–03/06/2026 (Ing. H. Cahuas + Ing. P. Talledo). Acceso desde la carretera PI-805 (capital distrital Santa Catalina de Mossa), empalme con trocha carrozable y camino de herradura; recorrido a pie. Pendiente media de transecto Google Earth = 20.3% (máx. 36.8%) sobre 1,034 m; altitud del transecto 1016–1197 msnm. La exposición es variable por envolver un cerro; se consigna 'Oeste' como dominante (frente hacia la quebrada del borde W). Inestabilidad concentrada en taludes de corte del camino de acceso; deslizamiento localizado que volcó un faique (Foto 16). Discrepancia toponímica documentada: los CC.PP. titulares del bloque en la tabla maestra son La Laja y Overazal, mientras que la cartografía (MSAVI/Google Earth) rotula 'Brasal', 'Las Velas/Las Vegas' y 'Laguna La Román' como referencias locales próximas.</t>
        </is>
      </c>
    </row>
    <row r="75">
      <c r="A75" s="57" t="inlineStr">
        <is>
          <t>F-DT-02</t>
        </is>
      </c>
      <c r="B75" s="57" t="inlineStr">
        <is>
          <t>Erosión dominante de tipo lineal concentrada en caminos de herradura y trochas sobre sustrato arenoso/limo-arenoso muy erosionable (perfil de suelo, Foto 14). Las dimensiones de las cárcavas (longitud, profundidad y ancho) no fueron medidas instrumentalmente; se registran de forma cualitativa y quedan por verificar en levantamiento de detalle. El % del bloque afectado por cárcavas y la erosión laminar no se cuantificaron en campo (por verificar con gabinete/MSAVI).</t>
        </is>
      </c>
    </row>
    <row r="76">
      <c r="A76" s="56" t="inlineStr">
        <is>
          <t>F-DT-03</t>
        </is>
      </c>
      <c r="B76" s="56" t="inlineStr">
        <is>
          <t>Inventario florístico PRELIMINAR (registro rápido durante recorrido a pie; sin parcela delimitada ni colecta botánica). Todas las determinaciones científicas son provisionales y quedan sujetas a campaña de colecta y determinación formal. Coberturas y alturas son estimaciones visuales de campo apoyadas en el ráster MSAVI_Piura_2024 (vigor de vegetación predominante en clases 0.38–0.61). DAP no medido. El ecosistema MINAM del bloque es Matorral andino (69.66 ha, ~75%) + Zona agrícola (23.25 ha, ~25%); la subcategoría 'semiárido' es interpretación de experto a partir de la fisonomía (cactáceas columnares y agaves dominantes) con micrositios húmedos en quebradas (Ficus, Podocarpus, Cecropia).</t>
        </is>
      </c>
    </row>
    <row r="77">
      <c r="A77" s="57" t="inlineStr">
        <is>
          <t>F-DT-04</t>
        </is>
      </c>
      <c r="B77" s="57" t="inlineStr">
        <is>
          <t>La extensión (% de bloque) y la antigüedad de cada causa no se cuantificaron en campo; se consignan presencia e intensidad cualitativas. Indicadores de carga ganadera, densidad de cárcavas y % de área con pendiente &gt;50% quedan por verificar con levantamiento de detalle y análisis de gabinete (MSAVI/NDVI/DEM). El bloque conserva cobertura vegetal apreciable (clases MSAVI 0.38–0.61), por lo que la degradación se valora de avance lento y parcialmente reversible.</t>
        </is>
      </c>
    </row>
    <row r="78">
      <c r="A78" s="56" t="inlineStr">
        <is>
          <t>F-DT-05</t>
        </is>
      </c>
      <c r="B78" s="56" t="inlineStr">
        <is>
          <t>Inventario hídrico rápido en época seca: la única fuente relevante es el drenaje/quebrada estacional del borde oeste (microcuenca C1086-Q9570), sin flujo superficial al momento de la visita; no se registró punto GPS de fuente ni datos de JASS/captación poblacional (por verificar). La presencia de Ficus, Podocarpus y Cecropia evidencia micrositios húmedos en quebradas. Acceso por carretera PI-805 desde la capital distrital, empalmando con trocha carrozable y camino de herradura; recorrido del bloque a pie. Tiempos desde capital distrital/provincial y datos de señal celular y Ronda Campesina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14</t>
        </is>
      </c>
    </row>
    <row r="7">
      <c r="A7" s="54" t="inlineStr">
        <is>
          <t>Hechos declarados por fuente</t>
        </is>
      </c>
    </row>
    <row r="8">
      <c r="A8" s="55" t="inlineStr">
        <is>
          <t>Fuente</t>
        </is>
      </c>
      <c r="B8" s="55" t="inlineStr">
        <is>
          <t>Hechos</t>
        </is>
      </c>
    </row>
    <row r="9">
      <c r="A9" s="56" t="inlineStr">
        <is>
          <t>Dato de campo</t>
        </is>
      </c>
      <c r="B9" s="56" t="n">
        <v>64</v>
      </c>
    </row>
    <row r="10">
      <c r="A10" s="57" t="inlineStr">
        <is>
          <t>Gabinete (GIS / teledetección)</t>
        </is>
      </c>
      <c r="B10" s="57" t="n">
        <v>21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97</v>
      </c>
    </row>
    <row r="29">
      <c r="A29" s="57" t="inlineStr">
        <is>
          <t>COMPLEMENTADO</t>
        </is>
      </c>
      <c r="B29" s="57" t="n">
        <v>0</v>
      </c>
    </row>
    <row r="30">
      <c r="A30" s="56" t="inlineStr">
        <is>
          <t>ACTUALIZADO</t>
        </is>
      </c>
      <c r="B30" s="56" t="n">
        <v>2</v>
      </c>
    </row>
    <row r="31">
      <c r="A31" s="57" t="inlineStr">
        <is>
          <t>DISCREPANTE</t>
        </is>
      </c>
      <c r="B31" s="57" t="n">
        <v>0</v>
      </c>
    </row>
    <row r="32">
      <c r="A32" s="56" t="inlineStr">
        <is>
          <t>PENDIENTE</t>
        </is>
      </c>
      <c r="B32" s="56" t="n">
        <v>15</v>
      </c>
    </row>
    <row r="45">
      <c r="A45" s="54" t="inlineStr">
        <is>
          <t>Cobertura por estrato — campo (%)</t>
        </is>
      </c>
    </row>
    <row r="46">
      <c r="A46" s="55" t="inlineStr">
        <is>
          <t>Estrato</t>
        </is>
      </c>
      <c r="B46" s="55" t="inlineStr">
        <is>
          <t>% del área</t>
        </is>
      </c>
    </row>
    <row r="47">
      <c r="A47" s="56" t="inlineStr">
        <is>
          <t>Dosel</t>
        </is>
      </c>
      <c r="B47" s="61" t="n">
        <v>25</v>
      </c>
    </row>
    <row r="48">
      <c r="A48" s="57" t="inlineStr">
        <is>
          <t>Arbustiva</t>
        </is>
      </c>
      <c r="B48" s="62" t="n">
        <v>35</v>
      </c>
    </row>
    <row r="49">
      <c r="A49" s="56" t="inlineStr">
        <is>
          <t>Herbácea</t>
        </is>
      </c>
      <c r="B49" s="61" t="n">
        <v>20</v>
      </c>
    </row>
    <row r="50">
      <c r="A50" s="57" t="inlineStr">
        <is>
          <t>Suelo desnudo</t>
        </is>
      </c>
      <c r="B50" s="62" t="n">
        <v>15</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Erosión natural severa</t>
        </is>
      </c>
      <c r="B67" s="57" t="n">
        <v>2</v>
      </c>
    </row>
    <row r="68">
      <c r="A68" s="56" t="inlineStr">
        <is>
          <t>Sobrepastoreo (caprino/vacuno)</t>
        </is>
      </c>
      <c r="B68" s="56" t="n">
        <v>2</v>
      </c>
    </row>
    <row r="69">
      <c r="A69" s="57" t="inlineStr">
        <is>
          <t>Tala para leña</t>
        </is>
      </c>
      <c r="B69" s="57" t="n">
        <v>2</v>
      </c>
    </row>
    <row r="70">
      <c r="A70" s="56" t="inlineStr">
        <is>
          <t>Cambio de uso a pastoreo</t>
        </is>
      </c>
      <c r="B70" s="56" t="n">
        <v>1</v>
      </c>
    </row>
    <row r="71">
      <c r="A71" s="57" t="inlineStr">
        <is>
          <t>Expansión urbana / vial</t>
        </is>
      </c>
      <c r="B71" s="57" t="n">
        <v>1</v>
      </c>
    </row>
    <row r="72">
      <c r="A72" s="56" t="inlineStr">
        <is>
          <t>Sequía prolongada / CC</t>
        </is>
      </c>
      <c r="B72" s="56" t="n">
        <v>1</v>
      </c>
    </row>
    <row r="83">
      <c r="A83" s="54" t="inlineStr">
        <is>
          <t>Control de consistencia por calificación</t>
        </is>
      </c>
    </row>
    <row r="84">
      <c r="A84" s="55" t="inlineStr">
        <is>
          <t>Calificación</t>
        </is>
      </c>
      <c r="B84" s="55" t="inlineStr">
        <is>
          <t>Verificaciones</t>
        </is>
      </c>
    </row>
    <row r="85">
      <c r="A85" s="56" t="inlineStr">
        <is>
          <t>SUSTANTIVA</t>
        </is>
      </c>
      <c r="B85" s="56" t="n">
        <v>3</v>
      </c>
    </row>
    <row r="86">
      <c r="A86" s="57" t="inlineStr">
        <is>
          <t>NO SUSTANTIVA</t>
        </is>
      </c>
      <c r="B86" s="57" t="n">
        <v>4</v>
      </c>
    </row>
    <row r="87">
      <c r="A87" s="56" t="inlineStr">
        <is>
          <t>CORREGIDO</t>
        </is>
      </c>
      <c r="B87" s="56" t="n">
        <v>2</v>
      </c>
    </row>
    <row r="88">
      <c r="A88" s="57" t="inlineStr">
        <is>
          <t>CONFORME</t>
        </is>
      </c>
      <c r="B88"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14 — IN Piura</dc:title>
  <dc:subject>Diagnóstico Territorial por bloque de intervención</dc:subject>
  <dcterms:created xsi:type="dcterms:W3CDTF">2026-09-08T03:39:55Z</dcterms:created>
  <dcterms:modified xsi:type="dcterms:W3CDTF">2026-09-11T21:26:22Z</dcterms:modified>
</cp:coreProperties>
</file>