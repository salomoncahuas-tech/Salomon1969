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integración'!$A$76:$A$82</f>
            </numRef>
          </cat>
          <val>
            <numRef>
              <f>'Gráficos de integración'!$B$76:$B$82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integración'!B100</f>
            </strRef>
          </tx>
          <spPr>
            <a:ln>
              <a:prstDash val="solid"/>
            </a:ln>
          </spPr>
          <cat>
            <numRef>
              <f>'Gráficos de integración'!$A$101:$A$104</f>
            </numRef>
          </cat>
          <val>
            <numRef>
              <f>'Gráficos de integración'!$B$101:$B$104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99</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M2B5</t>
        </is>
      </c>
    </row>
    <row r="6" ht="24" customHeight="1">
      <c r="A6" s="4" t="inlineStr">
        <is>
          <t>Diagnóstico Territorial — Plantilla DT Campo Check Validada V5 | Sistema de referencia: UTM WGS 84 Zona 17S (EPSG:32717) · Integrado con la ficha de campo F-DT vigente (Plantilla_DT_M2B5_Llenada.xlsx) — V7 - resumen V6 + campo F-DT integrado</t>
        </is>
      </c>
    </row>
    <row r="7"/>
    <row r="8" ht="18" customHeight="1">
      <c r="A8" s="5" t="inlineStr">
        <is>
          <t>1. IDENTIFICACIÓN Y LOCALIZACIÓN</t>
        </is>
      </c>
    </row>
    <row r="9">
      <c r="A9" s="6" t="inlineStr">
        <is>
          <t>Código del bloque</t>
        </is>
      </c>
      <c r="B9" s="7" t="inlineStr">
        <is>
          <t>M2B5</t>
        </is>
      </c>
      <c r="C9" s="6" t="inlineStr">
        <is>
          <t>Microcuenca (catálogo)</t>
        </is>
      </c>
      <c r="D9" s="7" t="inlineStr">
        <is>
          <t>C1076-Q9584</t>
        </is>
      </c>
      <c r="E9" s="8" t="n"/>
      <c r="F9" s="8" t="n"/>
    </row>
    <row r="10">
      <c r="A10" s="6" t="inlineStr">
        <is>
          <t>Zona de planificación</t>
        </is>
      </c>
      <c r="B10" s="7" t="inlineStr">
        <is>
          <t>Z07</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Villa Hornopampa de los Andes</t>
        </is>
      </c>
      <c r="C13" s="6" t="inlineStr">
        <is>
          <t>Comunidad campesina</t>
        </is>
      </c>
      <c r="D13" s="51" t="inlineStr">
        <is>
          <t>No aplica formalmente — Predios rurales del CP Villa Hornopampa de los Andes; sector colindante con el Área de Conservación Regional Bosques Secos de Salitral–Huarmaca (D.S. N° 019-2011-MINAM, Sector Norte)</t>
        </is>
      </c>
      <c r="E13" s="8" t="n"/>
      <c r="F13" s="8" t="n"/>
    </row>
    <row r="14">
      <c r="A14" s="6" t="inlineStr">
        <is>
          <t>Superficie de catálogo (V5/V6), ha</t>
        </is>
      </c>
      <c r="B14" s="7" t="n">
        <v>30.91</v>
      </c>
      <c r="C14" s="6" t="inlineStr">
        <is>
          <t>Fuente de superficie</t>
        </is>
      </c>
      <c r="D14" s="7" t="inlineStr">
        <is>
          <t>Catálogo maestro Bloques V5/V6</t>
        </is>
      </c>
      <c r="E14" s="8" t="n"/>
      <c r="F14" s="8" t="n"/>
    </row>
    <row r="15">
      <c r="A15" s="6" t="inlineStr">
        <is>
          <t>Centroide UTM ESTE (m)</t>
        </is>
      </c>
      <c r="B15" s="7" t="n">
        <v>639987</v>
      </c>
      <c r="C15" s="6" t="inlineStr">
        <is>
          <t>Centroide UTM NORTE (m)</t>
        </is>
      </c>
      <c r="D15" s="7" t="n">
        <v>9394392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68</v>
      </c>
      <c r="C19" s="6" t="inlineStr">
        <is>
          <t>Altitud máxima (msnm)</t>
        </is>
      </c>
      <c r="D19" s="7" t="n">
        <v>322</v>
      </c>
      <c r="E19" s="8" t="n"/>
      <c r="F19" s="8" t="n"/>
    </row>
    <row r="20">
      <c r="A20" s="6" t="inlineStr">
        <is>
          <t>Amplitud altitudinal (m)</t>
        </is>
      </c>
      <c r="B20" s="7" t="n">
        <v>254</v>
      </c>
      <c r="C20" s="6" t="inlineStr">
        <is>
          <t>Piso altitudinal dominante</t>
        </is>
      </c>
      <c r="D20" s="7" t="inlineStr">
        <is>
          <t>&lt;1000 m (Yunga)</t>
        </is>
      </c>
      <c r="E20" s="8" t="n"/>
      <c r="F20" s="8" t="n"/>
    </row>
    <row r="21">
      <c r="A21" s="6" t="inlineStr">
        <is>
          <t>Pendiente promedio (%)</t>
        </is>
      </c>
      <c r="B21" s="7" t="n">
        <v>8.32</v>
      </c>
      <c r="C21" s="6" t="inlineStr">
        <is>
          <t>Pendiente promedio (grados)</t>
        </is>
      </c>
      <c r="D21" s="7" t="n">
        <v>4.8</v>
      </c>
      <c r="E21" s="8" t="n"/>
      <c r="F21" s="8" t="n"/>
    </row>
    <row r="22">
      <c r="A22" s="6" t="inlineStr">
        <is>
          <t>Clase de pendiente equivalente</t>
        </is>
      </c>
      <c r="B22" s="7" t="inlineStr">
        <is>
          <t>8-15% (Mod.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0.3047</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(59.24 %)</t>
        </is>
      </c>
      <c r="E29" s="8" t="n"/>
      <c r="F29" s="8" t="n"/>
    </row>
    <row r="30">
      <c r="A30" s="6" t="inlineStr">
        <is>
          <t>Superficie clasificada NDVI 2025 (ha)</t>
        </is>
      </c>
      <c r="B30" s="7" t="n">
        <v>30.918</v>
      </c>
      <c r="C30" s="6" t="inlineStr">
        <is>
          <t>Desviación frente al catálogo (%)</t>
        </is>
      </c>
      <c r="D30" s="7" t="n">
        <v>0.03</v>
      </c>
      <c r="E30" s="8" t="n"/>
      <c r="F30" s="8" t="n"/>
    </row>
    <row r="31">
      <c r="A31" s="6" t="inlineStr">
        <is>
          <t>Superficie clasificada MSAVI 2024 (ha)</t>
        </is>
      </c>
      <c r="B31" s="39" t="n">
        <v>30.909</v>
      </c>
      <c r="C31" s="6" t="inlineStr">
        <is>
          <t>Desviación MSAVI frente al catálogo (%)</t>
        </is>
      </c>
      <c r="D31" s="40" t="n">
        <v>0</v>
      </c>
      <c r="E31" s="8" t="n"/>
      <c r="F31" s="8" t="n"/>
    </row>
    <row r="32">
      <c r="A32" s="6" t="inlineStr">
        <is>
          <t>Superficie bajo umbral MSAVI 0.4976 (ha)</t>
        </is>
      </c>
      <c r="B32" s="39" t="n">
        <v>30.61</v>
      </c>
      <c r="C32" s="6" t="inlineStr">
        <is>
          <t>% del bloque bajo umbral (brecha espectral)</t>
        </is>
      </c>
      <c r="D32" s="40" t="n">
        <v>99.03</v>
      </c>
      <c r="E32" s="8" t="n"/>
      <c r="F32" s="8" t="n"/>
    </row>
    <row r="33">
      <c r="A33" s="6" t="inlineStr">
        <is>
          <t>Clase DN dominante (MSAVI 2024)</t>
        </is>
      </c>
      <c r="B33" s="7" t="inlineStr">
        <is>
          <t>DN 2 · 0.2650 - 0.3813 (Vigor muy bajo)</t>
        </is>
      </c>
      <c r="C33" s="6" t="inlineStr">
        <is>
          <t>N.° de polígonos MSAVI del bloque</t>
        </is>
      </c>
      <c r="D33" s="41" t="n">
        <v>165</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51" t="inlineStr">
        <is>
          <t>~30.91 ha (área total del bloque según polígono Bloques_V5); ecosistema dominante en aproximadamente el 100% del polígono con gradiente de conservación creciente hacia la cota superior</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Matorral denso</t>
        </is>
      </c>
      <c r="C38" s="6" t="inlineStr">
        <is>
          <t>Cobertura vegetal total — campo (%)</t>
        </is>
      </c>
      <c r="D38" s="7" t="n">
        <v>45</v>
      </c>
      <c r="E38" s="8" t="n"/>
      <c r="F38" s="8" t="n"/>
    </row>
    <row r="39">
      <c r="A39" s="6" t="inlineStr">
        <is>
          <t>Suelo desnudo — campo (%)</t>
        </is>
      </c>
      <c r="B39" s="7" t="n">
        <v>25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13</v>
      </c>
      <c r="C41" s="6" t="inlineStr">
        <is>
          <t>Estado sanitario</t>
        </is>
      </c>
      <c r="D41" s="7" t="inlineStr">
        <is>
          <t>Daño mecánico</t>
        </is>
      </c>
      <c r="E41" s="8" t="n"/>
      <c r="F41" s="8" t="n"/>
    </row>
    <row r="42"/>
    <row r="43" ht="18" customHeight="1">
      <c r="A43" s="5" t="inlineStr">
        <is>
          <t>5. RESPONSABLE Y MODALIDAD DE LA EVALUACIÓN</t>
        </is>
      </c>
    </row>
    <row r="44">
      <c r="A44" s="6" t="inlineStr">
        <is>
          <t>Responsable de la evaluación</t>
        </is>
      </c>
      <c r="B44" s="51" t="inlineStr">
        <is>
          <t>Brigada 1A — Ing. Héctor Salomón Cahuas Miller; Ing. Juan Carlos Domínguez Varas</t>
        </is>
      </c>
      <c r="C44" s="6" t="inlineStr">
        <is>
          <t>Fecha de evaluación</t>
        </is>
      </c>
      <c r="D44" s="7" t="inlineStr">
        <is>
          <t>2026-05-20</t>
        </is>
      </c>
      <c r="E44" s="8" t="n"/>
      <c r="F44" s="8" t="n"/>
    </row>
    <row r="45">
      <c r="A45" s="6" t="inlineStr">
        <is>
          <t>Hora de registro</t>
        </is>
      </c>
      <c r="B45" s="7" t="inlineStr">
        <is>
          <t>14:45 h (inspección 15:00 - 15:30 h)</t>
        </is>
      </c>
      <c r="C45" s="6" t="inlineStr">
        <is>
          <t>Correlativo de ficha</t>
        </is>
      </c>
      <c r="D45" s="7" t="inlineStr">
        <is>
          <t>DT-M2B5-001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Dependencia económica de actividades pecuarias (cría caprina) de bajo retorno por parte de pobladores del CP Villa Hornopampa de los Andes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M2B5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0.0003</v>
      </c>
      <c r="C10" s="19">
        <f>ROUND(B10/$B$15*100,2)</f>
        <v/>
      </c>
      <c r="D10" s="11" t="inlineStr">
        <is>
          <t>Vigor alto</t>
        </is>
      </c>
      <c r="E10" s="11" t="inlineStr">
        <is>
          <t>Sobre umbral</t>
        </is>
      </c>
    </row>
    <row r="11">
      <c r="A11" s="12" t="inlineStr">
        <is>
          <t>0.4976 - 0.6139 · DN 4</t>
        </is>
      </c>
      <c r="B11" s="20" t="n">
        <v>0.2984</v>
      </c>
      <c r="C11" s="21">
        <f>ROUND(B11/$B$15*100,2)</f>
        <v/>
      </c>
      <c r="D11" s="13" t="inlineStr">
        <is>
          <t>Vigor moderado</t>
        </is>
      </c>
      <c r="E11" s="13" t="inlineStr">
        <is>
          <t>Sobre umbral</t>
        </is>
      </c>
    </row>
    <row r="12">
      <c r="A12" s="7" t="inlineStr">
        <is>
          <t>0.3813 - 0.4976 · DN 3</t>
        </is>
      </c>
      <c r="B12" s="18" t="n">
        <v>3.2173</v>
      </c>
      <c r="C12" s="19">
        <f>ROUND(B12/$B$15*100,2)</f>
        <v/>
      </c>
      <c r="D12" s="11" t="inlineStr">
        <is>
          <t>Vigor bajo</t>
        </is>
      </c>
      <c r="E12" s="11" t="inlineStr">
        <is>
          <t>BAJO umbral 0.4976</t>
        </is>
      </c>
    </row>
    <row r="13">
      <c r="A13" s="14" t="inlineStr">
        <is>
          <t>0.2650 - 0.3813 · DN 2</t>
        </is>
      </c>
      <c r="B13" s="32" t="n">
        <v>18.3122</v>
      </c>
      <c r="C13" s="31">
        <f>ROUND(B13/$B$15*100,2)</f>
        <v/>
      </c>
      <c r="D13" s="15" t="inlineStr">
        <is>
          <t>Vigor muy bajo</t>
        </is>
      </c>
      <c r="E13" s="15" t="inlineStr">
        <is>
          <t>BAJO umbral 0.4976</t>
        </is>
      </c>
    </row>
    <row r="14">
      <c r="A14" s="7" t="inlineStr">
        <is>
          <t>&lt;= 0.2650 · DN 1</t>
        </is>
      </c>
      <c r="B14" s="18" t="n">
        <v>9.080299999999999</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165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30.91</v>
      </c>
      <c r="C18" s="50" t="inlineStr">
        <is>
          <t>—</t>
        </is>
      </c>
      <c r="D18" s="47" t="inlineStr">
        <is>
          <t>Desviación planimétrica frente al catálogo</t>
        </is>
      </c>
      <c r="E18" s="47" t="inlineStr">
        <is>
          <t>+0.00 %</t>
        </is>
      </c>
    </row>
    <row r="19">
      <c r="A19" s="16" t="inlineStr">
        <is>
          <t>MSAVI 2024 — MEDIA DEL BLOQUE</t>
        </is>
      </c>
      <c r="B19" s="17" t="n">
        <v>0.304733</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165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(0.3047)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1.5901</v>
      </c>
      <c r="C25" s="19" t="n">
        <v>5.14</v>
      </c>
      <c r="D25" s="11" t="inlineStr">
        <is>
          <t>Dosel continuo, matorral denso o mosaico agroforestal</t>
        </is>
      </c>
      <c r="E25" s="11" t="inlineStr"/>
    </row>
    <row r="26">
      <c r="A26" s="12" t="inlineStr">
        <is>
          <t>Vegetación mediana</t>
        </is>
      </c>
      <c r="B26" s="20" t="n">
        <v>10.8494</v>
      </c>
      <c r="C26" s="21" t="n">
        <v>35.09</v>
      </c>
      <c r="D26" s="13" t="inlineStr">
        <is>
          <t>Pastizal cultivado, matorral ralo, parcelas agrícolas</t>
        </is>
      </c>
      <c r="E26" s="13" t="inlineStr"/>
    </row>
    <row r="27">
      <c r="A27" s="7" t="inlineStr">
        <is>
          <t>Vegetación ligera</t>
        </is>
      </c>
      <c r="B27" s="18" t="n">
        <v>18.3151</v>
      </c>
      <c r="C27" s="19" t="n">
        <v>59.24</v>
      </c>
      <c r="D27" s="11" t="inlineStr">
        <is>
          <t>Cobertura discontinua, suelo parcialmente expuesto</t>
        </is>
      </c>
      <c r="E27" s="11" t="inlineStr"/>
    </row>
    <row r="28">
      <c r="A28" s="12" t="inlineStr">
        <is>
          <t>Tierra desnuda</t>
        </is>
      </c>
      <c r="B28" s="20" t="n">
        <v>0.1637</v>
      </c>
      <c r="C28" s="21" t="n">
        <v>0.53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30.91</v>
      </c>
      <c r="C30" s="25" t="inlineStr">
        <is>
          <t>—</t>
        </is>
      </c>
      <c r="D30" s="25" t="inlineStr">
        <is>
          <t>Desviación planimétrica frente al catálogo</t>
        </is>
      </c>
      <c r="E30" s="25" t="inlineStr">
        <is>
          <t>+0.03 %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45 % frente a un 5.14 % del polígono clasificado como «Vegetación alta» por el NDVI 2025; la observación de campo corresponde a una parcela o recorrido puntual y no es estadísticamente representativa de las 30.910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M2B5</t>
        </is>
      </c>
    </row>
    <row r="6" ht="24" customHeight="1">
      <c r="A6" s="4" t="inlineStr">
        <is>
          <t>Levantamiento del 2026-05-20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640325</v>
      </c>
      <c r="D10" s="26" t="n">
        <v>9394442</v>
      </c>
      <c r="E10" s="11" t="n">
        <v>341.7</v>
      </c>
      <c r="F10" s="11" t="inlineStr"/>
      <c r="G10" s="11" t="inlineStr">
        <is>
          <t>Coordenada consignada en F-DT-01</t>
        </is>
      </c>
    </row>
    <row r="11">
      <c r="A11" s="12" t="inlineStr">
        <is>
          <t>CA-01</t>
        </is>
      </c>
      <c r="B11" s="13" t="inlineStr">
        <is>
          <t>Rasgo erosivo — Surco (&lt;30 cm) — 110 m, 0.25 m prof., 0.6 m ancho</t>
        </is>
      </c>
      <c r="C11" s="27" t="n">
        <v>640325</v>
      </c>
      <c r="D11" s="27" t="n">
        <v>9394442</v>
      </c>
      <c r="E11" s="13" t="n">
        <v>341.7</v>
      </c>
      <c r="F11" s="13" t="inlineStr">
        <is>
          <t>Activa</t>
        </is>
      </c>
      <c r="G11" s="13" t="inlineStr">
        <is>
          <t>Sobrepastoreo</t>
        </is>
      </c>
    </row>
    <row r="12">
      <c r="A12" s="7" t="inlineStr">
        <is>
          <t>CA-02</t>
        </is>
      </c>
      <c r="B12" s="11" t="inlineStr">
        <is>
          <t>Rasgo erosivo — Cárcava incipiente — 170 m, 0.4 m prof., 0.8 m ancho</t>
        </is>
      </c>
      <c r="C12" s="26" t="n">
        <v>640260</v>
      </c>
      <c r="D12" s="26" t="n">
        <v>9394429</v>
      </c>
      <c r="E12" s="11" t="n">
        <v>275.5</v>
      </c>
      <c r="F12" s="11" t="inlineStr">
        <is>
          <t>Semi-activa</t>
        </is>
      </c>
      <c r="G12" s="11" t="inlineStr">
        <is>
          <t>Concentración natural de escorrentía</t>
        </is>
      </c>
    </row>
    <row r="13">
      <c r="A13" s="12" t="inlineStr">
        <is>
          <t>H-01</t>
        </is>
      </c>
      <c r="B13" s="13" t="inlineStr">
        <is>
          <t>Fuente de agua — Río</t>
        </is>
      </c>
      <c r="C13" s="27" t="n">
        <v>639750</v>
      </c>
      <c r="D13" s="27" t="n">
        <v>9394800</v>
      </c>
      <c r="E13" s="13" t="n">
        <v>471.8</v>
      </c>
      <c r="F13" s="13" t="inlineStr">
        <is>
          <t>Permanente</t>
        </is>
      </c>
      <c r="G13" s="13" t="inlineStr">
        <is>
          <t>Río Piura — cauce principal</t>
        </is>
      </c>
    </row>
    <row r="14">
      <c r="A14" s="7" t="inlineStr">
        <is>
          <t>H-02</t>
        </is>
      </c>
      <c r="B14" s="11" t="inlineStr">
        <is>
          <t>Fuente de agua — Quebrada estacional</t>
        </is>
      </c>
      <c r="C14" s="26" t="n">
        <v>640200</v>
      </c>
      <c r="D14" s="26" t="n">
        <v>9394400</v>
      </c>
      <c r="E14" s="11" t="n">
        <v>213.2</v>
      </c>
      <c r="F14" s="11" t="inlineStr">
        <is>
          <t>Efímero</t>
        </is>
      </c>
      <c r="G14" s="11" t="inlineStr">
        <is>
          <t>Quebrada de bajo orden</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639987</v>
      </c>
      <c r="C17" s="6" t="inlineStr">
        <is>
          <t>Centroide del bloque — UTM NORTE (m)</t>
        </is>
      </c>
      <c r="D17" s="7" t="n">
        <v>9394392</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44"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desde la carretera Morropón-Buenos Aires-Salitral, ingresando a la altura del CP Villa Hornopampa de los Andes. Inspección del 20-05-2026 entre las 15:00 y 15:30 h. Pese a pendientes locales moderadas (perfiles Google Earth: 13.0% máx. en sector central; 27.7% máx. en sector occidental), NO se observaron procesos de remoción en masa activos. Las evidencias predominantes corresponden a REPTACIÓN LENTA ASOCIADA AL TRÁNSITO CAPRINO (terracetas de pisoteo) y a afloramientos rocosos diseminados principalmente en cabeceras de microquebradas. LA EXISTENCIA DE BOSQUE RELICTUAL EN LA PARTE ALTA DEL BLOQUE, CONTIGUO AL ACR BOSQUE SECO SALITRAL, CONSTITUYE UN NÚCLEO DE PROPÁGULOS RELEVANTE para la estrategia de restauración pasiva-asistida.</t>
        </is>
      </c>
      <c r="B20" s="42" t="n"/>
      <c r="C20" s="42" t="n"/>
      <c r="D20" s="42" t="n"/>
      <c r="E20" s="42" t="n"/>
      <c r="F20" s="42" t="n"/>
      <c r="G20" s="43"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C1076-Q9584 — BLOQUE M2B5</t>
        </is>
      </c>
    </row>
    <row r="6" ht="24" customHeight="1">
      <c r="A6" s="4" t="inlineStr">
        <is>
          <t>Distrito de Salitral · Provincia de Morropon · Comparación de los bloques preliminares de intervención de la misma microcuenca</t>
        </is>
      </c>
    </row>
    <row r="8" ht="18" customHeight="1">
      <c r="A8" s="5" t="inlineStr">
        <is>
          <t>BLOQUES DE LA MICROCUENCA C1076-Q9584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t>
        </is>
      </c>
      <c r="B10" s="28" t="n">
        <v>1370.96</v>
      </c>
      <c r="C10" s="19" t="n">
        <v>77.31999999999999</v>
      </c>
      <c r="D10" s="11" t="inlineStr">
        <is>
          <t>291 – 1204</t>
        </is>
      </c>
      <c r="E10" s="11" t="n">
        <v>913</v>
      </c>
      <c r="F10" s="11" t="n">
        <v>21.39</v>
      </c>
      <c r="G10" s="18" t="n">
        <v>0.4545</v>
      </c>
      <c r="H10" s="19" t="inlineStr">
        <is>
          <t>Por determinar</t>
        </is>
      </c>
      <c r="I10" s="11" t="inlineStr">
        <is>
          <t>s/d</t>
        </is>
      </c>
    </row>
    <row r="11">
      <c r="A11" s="12" t="inlineStr">
        <is>
          <t>7</t>
        </is>
      </c>
      <c r="B11" s="29" t="n">
        <v>173.43</v>
      </c>
      <c r="C11" s="21" t="n">
        <v>9.779999999999999</v>
      </c>
      <c r="D11" s="13" t="inlineStr">
        <is>
          <t>257 – 577</t>
        </is>
      </c>
      <c r="E11" s="13" t="n">
        <v>320</v>
      </c>
      <c r="F11" s="13" t="n">
        <v>18.59</v>
      </c>
      <c r="G11" s="20" t="n">
        <v>0.3753</v>
      </c>
      <c r="H11" s="21" t="inlineStr">
        <is>
          <t>Por determinar</t>
        </is>
      </c>
      <c r="I11" s="13" t="inlineStr">
        <is>
          <t>s/d</t>
        </is>
      </c>
    </row>
    <row r="12">
      <c r="A12" s="7" t="inlineStr">
        <is>
          <t>M2B8</t>
        </is>
      </c>
      <c r="B12" s="28" t="n">
        <v>116.1</v>
      </c>
      <c r="C12" s="19" t="n">
        <v>6.55</v>
      </c>
      <c r="D12" s="11" t="inlineStr">
        <is>
          <t>244 – 673</t>
        </is>
      </c>
      <c r="E12" s="11" t="n">
        <v>429</v>
      </c>
      <c r="F12" s="11" t="n">
        <v>19.24</v>
      </c>
      <c r="G12" s="18" t="n">
        <v>0.3752</v>
      </c>
      <c r="H12" s="19" t="n">
        <v>16.64</v>
      </c>
      <c r="I12" s="19" t="n">
        <v>92.31</v>
      </c>
    </row>
    <row r="13">
      <c r="A13" s="12" t="inlineStr">
        <is>
          <t>M2B1</t>
        </is>
      </c>
      <c r="B13" s="29" t="n">
        <v>81.79000000000001</v>
      </c>
      <c r="C13" s="21" t="n">
        <v>4.61</v>
      </c>
      <c r="D13" s="13" t="inlineStr">
        <is>
          <t>235 – 446</t>
        </is>
      </c>
      <c r="E13" s="13" t="n">
        <v>211</v>
      </c>
      <c r="F13" s="13" t="n">
        <v>17.48</v>
      </c>
      <c r="G13" s="20" t="n">
        <v>0.2984</v>
      </c>
      <c r="H13" s="21" t="n">
        <v>0.04</v>
      </c>
      <c r="I13" s="21" t="n">
        <v>100</v>
      </c>
    </row>
    <row r="14">
      <c r="A14" s="14" t="inlineStr">
        <is>
          <t>► M2B5</t>
        </is>
      </c>
      <c r="B14" s="30" t="n">
        <v>30.91</v>
      </c>
      <c r="C14" s="31" t="n">
        <v>1.74</v>
      </c>
      <c r="D14" s="15" t="inlineStr">
        <is>
          <t>68 – 322</t>
        </is>
      </c>
      <c r="E14" s="15" t="n">
        <v>254</v>
      </c>
      <c r="F14" s="15" t="n">
        <v>8.32</v>
      </c>
      <c r="G14" s="32" t="n">
        <v>0.3047</v>
      </c>
      <c r="H14" s="31" t="n">
        <v>5.14</v>
      </c>
      <c r="I14" s="31" t="n">
        <v>99.03</v>
      </c>
    </row>
    <row r="15">
      <c r="A15" s="16" t="inlineStr">
        <is>
          <t>TOTAL / PROMEDIO</t>
        </is>
      </c>
      <c r="B15" s="33">
        <f>SUM(B10:B14)</f>
        <v/>
      </c>
      <c r="C15" s="23">
        <f>SUM(C10:C14)</f>
        <v/>
      </c>
      <c r="D15" s="17" t="inlineStr">
        <is>
          <t>68 – 1204</t>
        </is>
      </c>
      <c r="E15" s="17" t="inlineStr"/>
      <c r="F15" s="17">
        <f>ROUND(AVERAGE(F10:F14),2)</f>
        <v/>
      </c>
      <c r="G15" s="22">
        <f>ROUND(AVERAGE(G10:G14),4)</f>
        <v/>
      </c>
      <c r="H15" s="23">
        <f>ROUND(AVERAGE(H10:H14),2)</f>
        <v/>
      </c>
      <c r="I15" s="23">
        <f>ROUND(AVERAGE(I10:I14),2)</f>
        <v/>
      </c>
    </row>
    <row r="16" ht="48" customHeight="1">
      <c r="A16" s="9" t="inlineStr">
        <is>
          <t>ALCANCE DE LOS PROMEDIOS. La fila TOTAL / PROMEDIO omite las celdas «Por determinar»: el promedio de VEGETACIÓN ALTA (NDVI 2025) se calcula sobre 3 de los 5 bloques; los 2 bloques restantes carecen de estadística zonal de NDVI. Los totales de ÁREA y % de microcuenca sí comprenden la totalidad de los 5 bloques. No se estima ningún valor ausente.</t>
        </is>
      </c>
      <c r="B16" s="42" t="n"/>
      <c r="C16" s="42" t="n"/>
      <c r="D16" s="42" t="n"/>
      <c r="E16" s="42" t="n"/>
      <c r="F16" s="42" t="n"/>
      <c r="G16" s="42" t="n"/>
      <c r="H16" s="42" t="n"/>
      <c r="I16" s="43" t="n"/>
    </row>
    <row r="18" ht="84" customHeight="1">
      <c r="A18" s="9" t="inlineStr">
        <is>
          <t>LECTURA INTRAMICROCUENCA. El bloque M2B5 ocupa el puesto 5 de 5 por superficie dentro de la microcuenca C1076-Q9584 (1.74 % de las 1773.19 ha preliminares de la microcuenca). Su pendiente promedio (8.32 %, clase «8-15% (Mod. inclinado)») es la 1.ª más baja de 5 y se sitúa por debajo del promedio de la microcuenca (17.00 %). Su MSAVI 2024 (0.3047) es el 4.º de 5 y queda por debajo del promedio local (0.3616). Amplitud altitudinal del bloque: 254 m (68–322 msnm). El cuadro conserva todos los bloques catalogados en la microcuenca, incluidos los descartados en el tamizaje, para referencia del conjunto. Los bloques sin ficha DT figuran con sus parámetros de gabinete. BRECHA ESPECTRAL. El 99.03 % de la superficie del bloque (30.610 ha de 30.909 ha) se sitúa bajo el umbral MSAVI 0.4976, por encima del promedio local de la microcuenca (97.12 %) calculado sobre los bloques con dato MSAVI disponible.</t>
        </is>
      </c>
      <c r="B18" s="42" t="n"/>
      <c r="C18" s="42" t="n"/>
      <c r="D18" s="42" t="n"/>
      <c r="E18" s="42" t="n"/>
      <c r="F18" s="42" t="n"/>
      <c r="G18" s="42" t="n"/>
      <c r="H18" s="42" t="n"/>
      <c r="I18" s="43" t="n"/>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2" t="n"/>
      <c r="C20" s="42" t="n"/>
      <c r="D20" s="42" t="n"/>
      <c r="E20" s="42" t="n"/>
      <c r="F20" s="42" t="n"/>
      <c r="G20" s="42" t="n"/>
      <c r="H20" s="42" t="n"/>
      <c r="I20" s="43" t="n"/>
    </row>
  </sheetData>
  <mergeCells count="10">
    <mergeCell ref="A2:I2"/>
    <mergeCell ref="A5:I5"/>
    <mergeCell ref="A1:I1"/>
    <mergeCell ref="A18:I18"/>
    <mergeCell ref="A8:I8"/>
    <mergeCell ref="A3:I3"/>
    <mergeCell ref="A6:I6"/>
    <mergeCell ref="A4:I4"/>
    <mergeCell ref="A20:I20"/>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M2B5</t>
        </is>
      </c>
    </row>
    <row r="6">
      <c r="A6" s="53" t="inlineStr">
        <is>
          <t>Cruce de la ficha de campo F-DT vigente con la ficha de resumen de gabinete y el catálogo maestro. Integración 2026-09-11 20:22:37.</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«C1076-Q9584».</t>
        </is>
      </c>
      <c r="D9" s="57" t="inlineStr">
        <is>
          <t>CONFORME</t>
        </is>
      </c>
      <c r="E9" s="57" t="inlineStr">
        <is>
          <t>Sin acción.</t>
        </is>
      </c>
    </row>
    <row r="10">
      <c r="A10" s="58" t="inlineStr">
        <is>
          <t>G-02</t>
        </is>
      </c>
      <c r="B10" s="58" t="inlineStr">
        <is>
          <t>UTM del punto de muestreo</t>
        </is>
      </c>
      <c r="C10" s="58" t="inlineStr">
        <is>
          <t>El punto de muestreo declarado dista 0.0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(280 msnm) cae dentro del rango altitudinal del bloque (68 - 322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(30.918 ha) se desvía 0.03 % de la superficie de catálogo (30.91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(30.909 ha) se desvía -0.00 % de la superficie de catálogo (30.91 ha).</t>
        </is>
      </c>
      <c r="D14" s="58" t="inlineStr">
        <is>
          <t>CONFORME</t>
        </is>
      </c>
      <c r="E14" s="58" t="inlineStr">
        <is>
          <t>Sin acción: la segmentación valida la geometría del bloque.</t>
        </is>
      </c>
    </row>
    <row r="15">
      <c r="A15" s="57" t="inlineStr">
        <is>
          <t>G-07</t>
        </is>
      </c>
      <c r="B15" s="57" t="inlineStr">
        <is>
          <t>Brecha espectral MSAVI</t>
        </is>
      </c>
      <c r="C15" s="57" t="inlineStr">
        <is>
          <t>El 99.03 % del bloque queda bajo el umbral 0.4976; superficie de brecha 30.61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30.91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(0.3047)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Comunidad campesina</t>
        </is>
      </c>
      <c r="C19" s="57" t="inlineStr">
        <is>
          <t>El libro de resumen V6 consignaba «No aplica formalmente — predios rurales del CP Villa Hornopampa de los Andes; sector colindante con el ACR Bosque Seco Salitral»; la ficha de campo vigente declara «No aplica formalmente — Predios rurales del CP Villa Hornopampa de los Andes; sector colindante con el Área de Conservación Regional Bosque…».</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Superficie de ecosistema (ha)</t>
        </is>
      </c>
      <c r="C20" s="58" t="inlineStr">
        <is>
          <t>El libro de resumen V6 consignaba «≈30.91 ha (ecosistema dominante en ≈100% del bloque)»; la ficha de campo vigente declara «~30.91 ha (área total del bloque según polígono Bloques_V5); ecosistema dominante en aproximadamente el 100% del polígono con gradiente de …».</t>
        </is>
      </c>
      <c r="D20" s="58" t="inlineStr">
        <is>
          <t>CORREGIDO</t>
        </is>
      </c>
      <c r="E20" s="58" t="inlineStr">
        <is>
          <t>Se adopta el valor de campo por ser la fuente que manda sobre el dato y la más reciente. El valor anterior queda declarado para trazabilidad.</t>
        </is>
      </c>
    </row>
    <row r="21">
      <c r="A21" s="57" t="inlineStr">
        <is>
          <t>I-03</t>
        </is>
      </c>
      <c r="B21" s="57" t="inlineStr">
        <is>
          <t>Responsable de la evaluación</t>
        </is>
      </c>
      <c r="C21" s="57" t="inlineStr">
        <is>
          <t>El libro de resumen V6 consignaba «Ing. Héctor Salomón Cahuas Miller (con Ing. Juan Carlos Domínguez Varas)»; la ficha de campo vigente declara «Brigada 1A — Ing. Héctor Salomón Cahuas Miller; Ing. Juan Carlos Domínguez Varas».</t>
        </is>
      </c>
      <c r="D21" s="57" t="inlineStr">
        <is>
          <t>CORREGIDO</t>
        </is>
      </c>
      <c r="E21" s="57" t="inlineStr">
        <is>
          <t>Se adopta el valor de campo por ser la fuente que manda sobre el dato y la más reciente. El valor anterior queda declarado para trazabilidad.</t>
        </is>
      </c>
    </row>
    <row r="22">
      <c r="A22" s="58" t="inlineStr">
        <is>
          <t>F-01</t>
        </is>
      </c>
      <c r="B22" s="58" t="inlineStr">
        <is>
          <t>Fichas F-DT levantadas</t>
        </is>
      </c>
      <c r="C22" s="58" t="inlineStr">
        <is>
          <t>La plantilla de campo trae las cinco fichas F-DT-01 a F-DT-05 (completitud 100.0 % de los campos esperados).</t>
        </is>
      </c>
      <c r="D22" s="58" t="inlineStr">
        <is>
          <t>CONFORME</t>
        </is>
      </c>
      <c r="E22" s="58" t="inlineStr">
        <is>
          <t>Sin acción.</t>
        </is>
      </c>
    </row>
    <row r="23">
      <c r="A23" s="57" t="inlineStr">
        <is>
          <t>F-02</t>
        </is>
      </c>
      <c r="B23" s="57" t="inlineStr">
        <is>
          <t>Cobertura de la integración</t>
        </is>
      </c>
      <c r="C23" s="57" t="inlineStr">
        <is>
          <t>Se declararon 109 de 114 hechos integrados (95.6 %); 5 quedan sin dato en ninguna fuente.</t>
        </is>
      </c>
      <c r="D23" s="57" t="inlineStr">
        <is>
          <t>CONFORME</t>
        </is>
      </c>
      <c r="E23" s="57" t="inlineStr">
        <is>
          <t>Sin acción.</t>
        </is>
      </c>
    </row>
    <row r="24">
      <c r="A24" s="58" t="inlineStr">
        <is>
          <t>H-01</t>
        </is>
      </c>
      <c r="B24" s="58" t="inlineStr">
        <is>
          <t>Cobertura vegetal total</t>
        </is>
      </c>
      <c r="C24" s="58" t="inlineStr">
        <is>
          <t>La ficha DT estima 45 % de cobertura vegetal en campo; el NDVI mediana 2025 clasifica 99.47 % del polígono en clases de vegetación</t>
        </is>
      </c>
      <c r="D24" s="58" t="inlineStr">
        <is>
          <t>NO SUSTANTIVA</t>
        </is>
      </c>
      <c r="E24"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57" t="inlineStr">
        <is>
          <t>H-02</t>
        </is>
      </c>
      <c r="B25" s="57" t="inlineStr">
        <is>
          <t>Elenco florístico</t>
        </is>
      </c>
      <c r="C25" s="57" t="inlineStr">
        <is>
          <t>La ficha registra 13 taxones, por debajo del mínimo de 15 que exige el formato V5</t>
        </is>
      </c>
      <c r="D25" s="57" t="inlineStr">
        <is>
          <t>SUSTANTIVA</t>
        </is>
      </c>
      <c r="E25" s="57" t="inlineStr">
        <is>
          <t>Registro florístico preliminar, sin colecta ni determinación botánica formal. Debe cerrarse con colecta botánica en la siguiente campaña. (Verificación heredada de la ficha de resumen V6.)</t>
        </is>
      </c>
    </row>
    <row r="26">
      <c r="A26" s="58" t="inlineStr">
        <is>
          <t>H-03</t>
        </is>
      </c>
      <c r="B26" s="58" t="inlineStr">
        <is>
          <t>Representatividad del levantamiento</t>
        </is>
      </c>
      <c r="C26" s="58" t="inlineStr">
        <is>
          <t>Ninguna de las estaciones fotográficas georreferenciadas se localiza dentro del polígono del bloque</t>
        </is>
      </c>
      <c r="D26" s="58" t="inlineStr">
        <is>
          <t>SUSTANTIVA</t>
        </is>
      </c>
      <c r="E26" s="58" t="inlineStr">
        <is>
          <t>La verificación documenta el perímetro y la vista panorámica del bloque, no su interior. Los parámetros que exigen recorrido interno se consignan «Por determinar». (Verificación heredada de la ficha de resumen V6.)</t>
        </is>
      </c>
    </row>
    <row r="27">
      <c r="A27" s="57" t="inlineStr">
        <is>
          <t>H-04</t>
        </is>
      </c>
      <c r="B27" s="57" t="inlineStr">
        <is>
          <t>Centro poblado asociado</t>
        </is>
      </c>
      <c r="C27" s="57" t="inlineStr">
        <is>
          <t>La ficha DT declara «Villa Hornopampa de los Andes»; el cruce INEI-Bloques V5 identifica 1 centro(s) poblado(s) en el bloque: HORNOPAMPA</t>
        </is>
      </c>
      <c r="D27" s="57" t="inlineStr">
        <is>
          <t>CONFORME</t>
        </is>
      </c>
      <c r="E27" s="57" t="inlineStr">
        <is>
          <t>Se conserva el registro de campo como referencia y se adopta el listado INEI para el diagnóstico social y el cálculo de población beneficiaria. (Verificación heredada de la ficha de resumen V6.)</t>
        </is>
      </c>
    </row>
    <row r="28">
      <c r="A28" s="58" t="inlineStr">
        <is>
          <t>H-05</t>
        </is>
      </c>
      <c r="B28" s="58" t="inlineStr">
        <is>
          <t>Plan de Ingreso</t>
        </is>
      </c>
      <c r="C28" s="58" t="inlineStr">
        <is>
          <t>Altitud = 0 msnm (captura por defecto del aplicativo)</t>
        </is>
      </c>
      <c r="D28" s="58" t="inlineStr">
        <is>
          <t>CORREGIDO</t>
        </is>
      </c>
      <c r="E28" s="58" t="inlineStr">
        <is>
          <t>Se reemplaza por la altitud GPS de campo (320 msnm) (Verificación heredada de la ficha de resumen V6.)</t>
        </is>
      </c>
    </row>
    <row r="29">
      <c r="A29" s="57" t="inlineStr">
        <is>
          <t>H-06</t>
        </is>
      </c>
      <c r="B29" s="57" t="inlineStr">
        <is>
          <t>F-DT-02</t>
        </is>
      </c>
      <c r="C29" s="57" t="inlineStr">
        <is>
          <t>El campo «% bloque con cárcavas» contiene un texto descriptivo (25-35%) en lugar de un valor numérico</t>
        </is>
      </c>
      <c r="D29" s="57" t="inlineStr">
        <is>
          <t>NO SUSTANTIVA</t>
        </is>
      </c>
      <c r="E29" s="57" t="inlineStr">
        <is>
          <t>Normalizar el registro (Verificación heredada de la ficha de resumen V6.)</t>
        </is>
      </c>
    </row>
    <row r="30">
      <c r="A30" s="58" t="inlineStr">
        <is>
          <t>H-07</t>
        </is>
      </c>
      <c r="B30" s="58" t="inlineStr">
        <is>
          <t>F-DT-03</t>
        </is>
      </c>
      <c r="C30" s="58" t="inlineStr">
        <is>
          <t>La tabla de composición florística invierte las columnas de nombre común y nombre científico</t>
        </is>
      </c>
      <c r="D30" s="58" t="inlineStr">
        <is>
          <t>NO SUSTANTIVA</t>
        </is>
      </c>
      <c r="E30" s="58" t="inlineStr">
        <is>
          <t>Error de formato de la ficha (Verificación heredada de la ficha de resumen V6.)</t>
        </is>
      </c>
    </row>
    <row r="31">
      <c r="A31" s="57" t="inlineStr">
        <is>
          <t>H-08</t>
        </is>
      </c>
      <c r="B31" s="57" t="inlineStr">
        <is>
          <t>F-DT-04</t>
        </is>
      </c>
      <c r="C31" s="57" t="inlineStr">
        <is>
          <t>El indicador de especies invasoras consigna 0% y la matriz marca «No», pese a que F-DT-03 declara Ipomoea carnea ABUNDANTE y dominante del estrato arbustivo</t>
        </is>
      </c>
      <c r="D31" s="57" t="inlineStr">
        <is>
          <t>SUSTANTIVA</t>
        </is>
      </c>
      <c r="E31" s="57" t="inlineStr">
        <is>
          <t>Inconsistencia interna: Ipomoea carnea es especie nativa pero indicadora de perturbación; precisar el criterio del indicador (Verificación heredada de la ficha de resumen V6.)</t>
        </is>
      </c>
    </row>
    <row r="33">
      <c r="A33" s="59" t="inlineStr">
        <is>
          <t>RESUMEN</t>
        </is>
      </c>
      <c r="B33" s="60" t="inlineStr">
        <is>
          <t>23 verificaciones</t>
        </is>
      </c>
      <c r="C33" s="60" t="inlineStr">
        <is>
          <t>SUSTANTIVA: 4 · NO SUSTANTIVA: 3 · CORREGIDO: 4 · CONFORME: 12</t>
        </is>
      </c>
    </row>
    <row r="35">
      <c r="A35"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5:E35"/>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M2B5</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1. Identificación y localización</t>
        </is>
      </c>
      <c r="B9" s="57" t="inlineStr">
        <is>
          <t>Comunidad campesina</t>
        </is>
      </c>
      <c r="C9" s="57" t="inlineStr">
        <is>
          <t>No aplica formalmente — predios rurales del CP Villa Hornopampa de los Andes; sector colindante con el ACR Bosque Seco Salitral</t>
        </is>
      </c>
      <c r="D9" s="57" t="inlineStr">
        <is>
          <t>No aplica formalmente — Predios rurales del CP Villa Hornopampa de los Andes; sector colindante con el Área de Conservación Regional Bosques Secos de Salitral–Huarmaca (D.S. N° 019-2011-MINAM, Sector Norte)</t>
        </is>
      </c>
      <c r="E9" s="57" t="inlineStr">
        <is>
          <t>Dato de campo</t>
        </is>
      </c>
    </row>
    <row r="10">
      <c r="A10" s="58" t="inlineStr">
        <is>
          <t>5. Ecosistema, cobertura y flora (F-DT-03)</t>
        </is>
      </c>
      <c r="B10" s="58" t="inlineStr">
        <is>
          <t>Superficie de ecosistema (ha)</t>
        </is>
      </c>
      <c r="C10" s="58" t="inlineStr">
        <is>
          <t>≈30.91 ha (ecosistema dominante en ≈100% del bloque)</t>
        </is>
      </c>
      <c r="D10" s="58" t="inlineStr">
        <is>
          <t>~30.91 ha (área total del bloque según polígono Bloques_V5); ecosistema dominante en aproximadamente el 100% del polígono con gradiente de conservación creciente hacia la cota superior</t>
        </is>
      </c>
      <c r="E10" s="58" t="inlineStr">
        <is>
          <t>Dato de campo</t>
        </is>
      </c>
    </row>
    <row r="11">
      <c r="A11" s="57" t="inlineStr">
        <is>
          <t>8. Responsable y modalidad de la evaluación</t>
        </is>
      </c>
      <c r="B11" s="57" t="inlineStr">
        <is>
          <t>Responsable de la evaluación</t>
        </is>
      </c>
      <c r="C11" s="57" t="inlineStr">
        <is>
          <t>Ing. Héctor Salomón Cahuas Miller (con Ing. Juan Carlos Domínguez Varas)</t>
        </is>
      </c>
      <c r="D11" s="57" t="inlineStr">
        <is>
          <t>Brigada 1A — Ing. Héctor Salomón Cahuas Miller; Ing. Juan Carlos Domínguez Varas</t>
        </is>
      </c>
      <c r="E11" s="57" t="inlineStr">
        <is>
          <t>Dato de campo</t>
        </is>
      </c>
    </row>
    <row r="13">
      <c r="A13" s="55" t="inlineStr">
        <is>
          <t>B. HECHOS APORTADOS ÚNICAMENTE POR LA FICHA DE CAMPO</t>
        </is>
      </c>
    </row>
    <row r="14">
      <c r="A14" s="56" t="inlineStr">
        <is>
          <t>Sección</t>
        </is>
      </c>
      <c r="B14" s="56" t="inlineStr">
        <is>
          <t>Hecho</t>
        </is>
      </c>
      <c r="C14" s="56" t="inlineStr">
        <is>
          <t>Valor</t>
        </is>
      </c>
      <c r="D14" s="56" t="inlineStr">
        <is>
          <t>Unidad</t>
        </is>
      </c>
    </row>
    <row r="15">
      <c r="A15" s="57" t="inlineStr">
        <is>
          <t>1. Identificación y localización</t>
        </is>
      </c>
      <c r="B15" s="57" t="inlineStr">
        <is>
          <t>UTM ESTE del punto de muestreo (m)</t>
        </is>
      </c>
      <c r="C15" s="57" t="inlineStr">
        <is>
          <t>639987</t>
        </is>
      </c>
      <c r="D15" s="57" t="inlineStr">
        <is>
          <t>m</t>
        </is>
      </c>
    </row>
    <row r="16">
      <c r="A16" s="58" t="inlineStr">
        <is>
          <t>1. Identificación y localización</t>
        </is>
      </c>
      <c r="B16" s="58" t="inlineStr">
        <is>
          <t>UTM NORTE del punto de muestreo (m)</t>
        </is>
      </c>
      <c r="C16" s="58" t="inlineStr">
        <is>
          <t>9394392</t>
        </is>
      </c>
      <c r="D16" s="58" t="inlineStr">
        <is>
          <t>m</t>
        </is>
      </c>
    </row>
    <row r="17">
      <c r="A17" s="57" t="inlineStr">
        <is>
          <t>2. Parámetros físicos del terreno</t>
        </is>
      </c>
      <c r="B17" s="57" t="inlineStr">
        <is>
          <t>Altitud GPS del punto de muestreo (msnm)</t>
        </is>
      </c>
      <c r="C17" s="57" t="inlineStr">
        <is>
          <t>280</t>
        </is>
      </c>
      <c r="D17" s="57" t="inlineStr">
        <is>
          <t>msnm</t>
        </is>
      </c>
    </row>
    <row r="18">
      <c r="A18" s="58" t="inlineStr">
        <is>
          <t>2. Parámetros físicos del terreno</t>
        </is>
      </c>
      <c r="B18" s="58" t="inlineStr">
        <is>
          <t>Piso altitudinal del punto de muestreo</t>
        </is>
      </c>
      <c r="C18" s="58" t="inlineStr">
        <is>
          <t>&lt;1000 m (Yunga)</t>
        </is>
      </c>
      <c r="D18" s="58" t="inlineStr"/>
    </row>
    <row r="19">
      <c r="A19" s="57" t="inlineStr">
        <is>
          <t>2. Parámetros físicos del terreno</t>
        </is>
      </c>
      <c r="B19" s="57" t="inlineStr">
        <is>
          <t>Paisaje dominante descrito en campo</t>
        </is>
      </c>
      <c r="C19" s="57" t="inlineStr">
        <is>
          <t>Mosaico de ladera norte de colinas y montañas bajas con cobertura discontinua: parte baja y media dominadas por matorral xerófilo degradado (Ipomoea carnea, arbustivas pioneras) con árboles dispersos de Pasallo (Eriotheca ruizii), Hualtaco y Charán; parte alta con relictos de Bosque Estacionalmente Seco de colina-montaña de mayor densidad y contigüidad ecológica con el ACR Bosque Seco Salitral.</t>
        </is>
      </c>
      <c r="D19" s="57" t="inlineStr"/>
    </row>
    <row r="20">
      <c r="A20" s="58" t="inlineStr">
        <is>
          <t>2. Parámetros físicos del terreno</t>
        </is>
      </c>
      <c r="B20" s="58" t="inlineStr">
        <is>
          <t>Reptación de suelo</t>
        </is>
      </c>
      <c r="C20" s="58" t="inlineStr">
        <is>
          <t>Sí</t>
        </is>
      </c>
      <c r="D20" s="58" t="inlineStr"/>
    </row>
    <row r="21">
      <c r="A21" s="57" t="inlineStr">
        <is>
          <t>2. Parámetros físicos del terreno</t>
        </is>
      </c>
      <c r="B21" s="57" t="inlineStr">
        <is>
          <t>Deslizamientos antiguos</t>
        </is>
      </c>
      <c r="C21" s="57" t="inlineStr">
        <is>
          <t>No</t>
        </is>
      </c>
      <c r="D21" s="57" t="inlineStr"/>
    </row>
    <row r="22">
      <c r="A22" s="58" t="inlineStr">
        <is>
          <t>4. Suelos y erosión (F-DT-02)</t>
        </is>
      </c>
      <c r="B22" s="58" t="inlineStr">
        <is>
          <t>Nivel de erosión - síntesis de campo</t>
        </is>
      </c>
      <c r="C22" s="58" t="inlineStr">
        <is>
          <t>Moderada (surcos)</t>
        </is>
      </c>
      <c r="D22" s="58" t="inlineStr"/>
    </row>
    <row r="23">
      <c r="A23" s="57" t="inlineStr">
        <is>
          <t>4. Suelos y erosión (F-DT-02)</t>
        </is>
      </c>
      <c r="B23" s="57" t="inlineStr">
        <is>
          <t>Sellamiento / costra superficial</t>
        </is>
      </c>
      <c r="C23" s="57" t="inlineStr">
        <is>
          <t>Sí — observado puntualmente en sectores de suelo limo-arcilloso expuesto, principalmente en la franja basal del bloque (cota 280–320 msnm); costras superficiales finas con resistencia incipiente a la infiltración (Fotos 11–13).</t>
        </is>
      </c>
      <c r="D23" s="57" t="inlineStr"/>
    </row>
    <row r="24">
      <c r="A24" s="58" t="inlineStr">
        <is>
          <t>4. Suelos y erosión (F-DT-02)</t>
        </is>
      </c>
      <c r="B24" s="58" t="inlineStr">
        <is>
          <t>Compactación por pisoteo</t>
        </is>
      </c>
      <c r="C24" s="58" t="inlineStr">
        <is>
          <t>Sí — generalizada en sector basal y medio del bloque; senderos y terracetas de pisoteo de ganado caprino observados a lo largo del recorrido (Foto 12).</t>
        </is>
      </c>
      <c r="D24" s="58" t="inlineStr"/>
    </row>
    <row r="25">
      <c r="A25" s="57" t="inlineStr">
        <is>
          <t>4. Suelos y erosión (F-DT-02)</t>
        </is>
      </c>
      <c r="B25" s="57" t="inlineStr">
        <is>
          <t>Raíces expuestas</t>
        </is>
      </c>
      <c r="C25" s="57" t="inlineStr">
        <is>
          <t>Sí — localizado en árboles dispersos de Hualtaco y Pasallo donde la pérdida parcial del horizonte orgánico ha expuesto el cuello radical (Foto 13–14).</t>
        </is>
      </c>
      <c r="D25" s="57" t="inlineStr"/>
    </row>
    <row r="26">
      <c r="A26" s="58" t="inlineStr">
        <is>
          <t>4. Suelos y erosión (F-DT-02)</t>
        </is>
      </c>
      <c r="B26" s="58" t="inlineStr">
        <is>
          <t>Longitud total de cárcavas (m)</t>
        </is>
      </c>
      <c r="C26" s="58" t="inlineStr">
        <is>
          <t>280</t>
        </is>
      </c>
      <c r="D26" s="58" t="inlineStr">
        <is>
          <t>m</t>
        </is>
      </c>
    </row>
    <row r="27">
      <c r="A27" s="57" t="inlineStr">
        <is>
          <t>4. Suelos y erosión (F-DT-02)</t>
        </is>
      </c>
      <c r="B27" s="57" t="inlineStr">
        <is>
          <t>% del bloque afectado por cárcavas</t>
        </is>
      </c>
      <c r="C27" s="57" t="inlineStr">
        <is>
          <t>25 – 35% del área basal y media del bloque presenta evidencias de erosión laminar a surcos incipientes</t>
        </is>
      </c>
      <c r="D27" s="57" t="inlineStr">
        <is>
          <t>%</t>
        </is>
      </c>
    </row>
    <row r="28">
      <c r="A28" s="58" t="inlineStr">
        <is>
          <t>4. Suelos y erosión (F-DT-02)</t>
        </is>
      </c>
      <c r="B28" s="58" t="inlineStr">
        <is>
          <t>Erosión laminar (% del bloque)</t>
        </is>
      </c>
      <c r="C28" s="58" t="inlineStr">
        <is>
          <t>30</t>
        </is>
      </c>
      <c r="D28" s="58" t="inlineStr">
        <is>
          <t>%</t>
        </is>
      </c>
    </row>
    <row r="29">
      <c r="A29" s="57" t="inlineStr">
        <is>
          <t>4. Suelos y erosión (F-DT-02)</t>
        </is>
      </c>
      <c r="B29" s="57" t="inlineStr">
        <is>
          <t>Patrón de cárcavas</t>
        </is>
      </c>
      <c r="C29" s="57" t="inlineStr">
        <is>
          <t>Lineal</t>
        </is>
      </c>
      <c r="D29" s="57" t="inlineStr"/>
    </row>
    <row r="30">
      <c r="A30" s="58" t="inlineStr">
        <is>
          <t>4. Suelos y erosión (F-DT-02)</t>
        </is>
      </c>
      <c r="B30" s="58" t="inlineStr">
        <is>
          <t>Socavamiento de cauce</t>
        </is>
      </c>
      <c r="C30" s="58" t="inlineStr">
        <is>
          <t>No</t>
        </is>
      </c>
      <c r="D30" s="58" t="inlineStr"/>
    </row>
    <row r="31">
      <c r="A31" s="57" t="inlineStr">
        <is>
          <t>5. Ecosistema, cobertura y flora (F-DT-03)</t>
        </is>
      </c>
      <c r="B31" s="57" t="inlineStr">
        <is>
          <t>Cobertura del dosel (%)</t>
        </is>
      </c>
      <c r="C31" s="57" t="inlineStr">
        <is>
          <t>20</t>
        </is>
      </c>
      <c r="D31" s="57" t="inlineStr">
        <is>
          <t>%</t>
        </is>
      </c>
    </row>
    <row r="32">
      <c r="A32" s="58" t="inlineStr">
        <is>
          <t>5. Ecosistema, cobertura y flora (F-DT-03)</t>
        </is>
      </c>
      <c r="B32" s="58" t="inlineStr">
        <is>
          <t>Cobertura arbustiva (%)</t>
        </is>
      </c>
      <c r="C32" s="58" t="inlineStr">
        <is>
          <t>35</t>
        </is>
      </c>
      <c r="D32" s="58" t="inlineStr">
        <is>
          <t>%</t>
        </is>
      </c>
    </row>
    <row r="33">
      <c r="A33" s="57" t="inlineStr">
        <is>
          <t>5. Ecosistema, cobertura y flora (F-DT-03)</t>
        </is>
      </c>
      <c r="B33" s="57" t="inlineStr">
        <is>
          <t>Cobertura herbácea (%)</t>
        </is>
      </c>
      <c r="C33" s="57" t="inlineStr">
        <is>
          <t>15</t>
        </is>
      </c>
      <c r="D33" s="57" t="inlineStr">
        <is>
          <t>%</t>
        </is>
      </c>
    </row>
    <row r="34">
      <c r="A34" s="58" t="inlineStr">
        <is>
          <t>5. Ecosistema, cobertura y flora (F-DT-03)</t>
        </is>
      </c>
      <c r="B34" s="58" t="inlineStr">
        <is>
          <t>Cobertura de hojarasca (%)</t>
        </is>
      </c>
      <c r="C34" s="58" t="inlineStr">
        <is>
          <t>8</t>
        </is>
      </c>
      <c r="D34" s="58" t="inlineStr">
        <is>
          <t>%</t>
        </is>
      </c>
    </row>
    <row r="35">
      <c r="A35" s="57" t="inlineStr">
        <is>
          <t>5. Ecosistema, cobertura y flora (F-DT-03)</t>
        </is>
      </c>
      <c r="B35" s="57" t="inlineStr">
        <is>
          <t>Altura del estrato dominante (m)</t>
        </is>
      </c>
      <c r="C35" s="57" t="inlineStr">
        <is>
          <t>3.5</t>
        </is>
      </c>
      <c r="D35" s="57" t="inlineStr">
        <is>
          <t>m</t>
        </is>
      </c>
    </row>
    <row r="36">
      <c r="A36" s="58" t="inlineStr">
        <is>
          <t>5. Ecosistema, cobertura y flora (F-DT-03)</t>
        </is>
      </c>
      <c r="B36" s="58" t="inlineStr">
        <is>
          <t>Altura máxima registrada (m)</t>
        </is>
      </c>
      <c r="C36" s="58" t="inlineStr">
        <is>
          <t>9</t>
        </is>
      </c>
      <c r="D36" s="58" t="inlineStr">
        <is>
          <t>m</t>
        </is>
      </c>
    </row>
    <row r="37">
      <c r="A37" s="57" t="inlineStr">
        <is>
          <t>5. Ecosistema, cobertura y flora (F-DT-03)</t>
        </is>
      </c>
      <c r="B37" s="57" t="inlineStr">
        <is>
          <t>DAP promedio (cm)</t>
        </is>
      </c>
      <c r="C37" s="57" t="inlineStr">
        <is>
          <t>22</t>
        </is>
      </c>
      <c r="D37" s="57" t="inlineStr">
        <is>
          <t>cm</t>
        </is>
      </c>
    </row>
    <row r="38">
      <c r="A38" s="58" t="inlineStr">
        <is>
          <t>5. Ecosistema, cobertura y flora (F-DT-03)</t>
        </is>
      </c>
      <c r="B38" s="58" t="inlineStr">
        <is>
          <t>Presencia de epífitas</t>
        </is>
      </c>
      <c r="C38" s="58" t="inlineStr">
        <is>
          <t>No</t>
        </is>
      </c>
      <c r="D38" s="58" t="inlineStr"/>
    </row>
    <row r="39">
      <c r="A39" s="57" t="inlineStr">
        <is>
          <t>5. Ecosistema, cobertura y flora (F-DT-03)</t>
        </is>
      </c>
      <c r="B39" s="57" t="inlineStr">
        <is>
          <t>Fenología dominante</t>
        </is>
      </c>
      <c r="C39" s="57" t="inlineStr">
        <is>
          <t>Latencia / Estrés hídrico</t>
        </is>
      </c>
      <c r="D39" s="57" t="inlineStr"/>
    </row>
    <row r="40">
      <c r="A40" s="58" t="inlineStr">
        <is>
          <t>5. Ecosistema, cobertura y flora (F-DT-03)</t>
        </is>
      </c>
      <c r="B40" s="58" t="inlineStr">
        <is>
          <t>Especies clave georreferenciadas</t>
        </is>
      </c>
      <c r="C40" s="58" t="inlineStr">
        <is>
          <t>5</t>
        </is>
      </c>
      <c r="D40" s="58" t="inlineStr"/>
    </row>
    <row r="41">
      <c r="A41" s="57" t="inlineStr">
        <is>
          <t>6. Degradación, causas y urgencia (F-DT-04)</t>
        </is>
      </c>
      <c r="B41" s="57" t="inlineStr">
        <is>
          <t>Causas directas de la degradación</t>
        </is>
      </c>
      <c r="C41" s="57" t="inlineStr">
        <is>
          <t>(1) Sobrepastoreo caprino extensivo y no rotacional con dominancia derivada de Ipomoea carnea como indicadora; (2) Tala selectiva histórica de Charán, Hualtaco y Palo Santo para leña/madera; (3) Cambio de uso a pastoreo permanente; (4) Sequía prolongada y estrés climático recurrente.</t>
        </is>
      </c>
      <c r="D41" s="57" t="inlineStr"/>
    </row>
    <row r="42">
      <c r="A42" s="58" t="inlineStr">
        <is>
          <t>6. Degradación, causas y urgencia (F-DT-04)</t>
        </is>
      </c>
      <c r="B42" s="58" t="inlineStr">
        <is>
          <t>N.° de causas activas en la matriz F-DT-04</t>
        </is>
      </c>
      <c r="C42" s="58" t="inlineStr">
        <is>
          <t>7</t>
        </is>
      </c>
      <c r="D42" s="58" t="inlineStr"/>
    </row>
    <row r="43">
      <c r="A43" s="57" t="inlineStr">
        <is>
          <t>7. Hidrología, acceso y logística (F-DT-05)</t>
        </is>
      </c>
      <c r="B43" s="57" t="inlineStr">
        <is>
          <t>Escorrentía concentrada</t>
        </is>
      </c>
      <c r="C43" s="57" t="inlineStr">
        <is>
          <t>Sí</t>
        </is>
      </c>
      <c r="D43" s="57" t="inlineStr"/>
    </row>
    <row r="44">
      <c r="A44" s="58" t="inlineStr">
        <is>
          <t>7. Hidrología, acceso y logística (F-DT-05)</t>
        </is>
      </c>
      <c r="B44" s="58" t="inlineStr">
        <is>
          <t>Fuentes de agua inventariadas</t>
        </is>
      </c>
      <c r="C44" s="58" t="inlineStr">
        <is>
          <t>2</t>
        </is>
      </c>
      <c r="D44" s="58" t="inlineStr"/>
    </row>
    <row r="45">
      <c r="A45" s="57" t="inlineStr">
        <is>
          <t>7. Hidrología, acceso y logística (F-DT-05)</t>
        </is>
      </c>
      <c r="B45" s="57" t="inlineStr">
        <is>
          <t>Distancia a captación (m)</t>
        </is>
      </c>
      <c r="C45" s="57" t="inlineStr">
        <is>
          <t>~900 m (captación de CP Villa Hornopampa de los Andes hacia el noreste, en zona aluvial del río Piura)</t>
        </is>
      </c>
      <c r="D45" s="57" t="inlineStr">
        <is>
          <t>m</t>
        </is>
      </c>
    </row>
    <row r="46">
      <c r="A46" s="58" t="inlineStr">
        <is>
          <t>7. Hidrología, acceso y logística (F-DT-05)</t>
        </is>
      </c>
      <c r="B46" s="58" t="inlineStr">
        <is>
          <t>Interferencia con riego</t>
        </is>
      </c>
      <c r="C46" s="58" t="inlineStr">
        <is>
          <t>No</t>
        </is>
      </c>
      <c r="D46" s="58" t="inlineStr"/>
    </row>
    <row r="47">
      <c r="A47" s="57" t="inlineStr">
        <is>
          <t>7. Hidrología, acceso y logística (F-DT-05)</t>
        </is>
      </c>
      <c r="B47" s="57" t="inlineStr">
        <is>
          <t>Vía principal de acceso</t>
        </is>
      </c>
      <c r="C47" s="57" t="inlineStr">
        <is>
          <t>Carretera Morropón–Buenos Aires–Salitral (departamental afirmada) hasta el desvío al CP Villa Hornopampa de los Andes; caminata por trocha interna ~15 min</t>
        </is>
      </c>
      <c r="D47" s="57" t="inlineStr"/>
    </row>
    <row r="48">
      <c r="A48" s="58" t="inlineStr">
        <is>
          <t>7. Hidrología, acceso y logística (F-DT-05)</t>
        </is>
      </c>
      <c r="B48" s="58" t="inlineStr">
        <is>
          <t>Tipo de vía del tramo final</t>
        </is>
      </c>
      <c r="C48" s="58" t="inlineStr">
        <is>
          <t>Departamental afirmada</t>
        </is>
      </c>
      <c r="D48" s="58" t="inlineStr"/>
    </row>
    <row r="49">
      <c r="A49" s="57" t="inlineStr">
        <is>
          <t>7. Hidrología, acceso y logística (F-DT-05)</t>
        </is>
      </c>
      <c r="B49" s="57" t="inlineStr">
        <is>
          <t>Transitabilidad en época seca</t>
        </is>
      </c>
      <c r="C49" s="57" t="inlineStr">
        <is>
          <t>Alto</t>
        </is>
      </c>
      <c r="D49" s="57" t="inlineStr"/>
    </row>
    <row r="50">
      <c r="A50" s="58" t="inlineStr">
        <is>
          <t>7. Hidrología, acceso y logística (F-DT-05)</t>
        </is>
      </c>
      <c r="B50" s="58" t="inlineStr">
        <is>
          <t>Transitabilidad en época lluviosa</t>
        </is>
      </c>
      <c r="C50" s="58" t="inlineStr">
        <is>
          <t>Medio</t>
        </is>
      </c>
      <c r="D50" s="58" t="inlineStr"/>
    </row>
    <row r="51">
      <c r="A51" s="57" t="inlineStr">
        <is>
          <t>7. Hidrología, acceso y logística (F-DT-05)</t>
        </is>
      </c>
      <c r="B51" s="57" t="inlineStr">
        <is>
          <t>Tiempo a la capital distrital (min)</t>
        </is>
      </c>
      <c r="C51" s="57" t="inlineStr">
        <is>
          <t>25</t>
        </is>
      </c>
      <c r="D51" s="57" t="inlineStr">
        <is>
          <t>min</t>
        </is>
      </c>
    </row>
    <row r="52">
      <c r="A52" s="58" t="inlineStr">
        <is>
          <t>7. Hidrología, acceso y logística (F-DT-05)</t>
        </is>
      </c>
      <c r="B52" s="58" t="inlineStr">
        <is>
          <t>Señal celular</t>
        </is>
      </c>
      <c r="C52" s="58" t="inlineStr">
        <is>
          <t>Parcial</t>
        </is>
      </c>
      <c r="D52" s="58" t="inlineStr"/>
    </row>
    <row r="53">
      <c r="A53" s="57" t="inlineStr">
        <is>
          <t>7. Hidrología, acceso y logística (F-DT-05)</t>
        </is>
      </c>
      <c r="B53" s="57" t="inlineStr">
        <is>
          <t>Operador con cobertura</t>
        </is>
      </c>
      <c r="C53" s="57" t="inlineStr">
        <is>
          <t>Movistar</t>
        </is>
      </c>
      <c r="D53" s="57" t="inlineStr"/>
    </row>
    <row r="54">
      <c r="A54" s="58" t="inlineStr">
        <is>
          <t>7. Hidrología, acceso y logística (F-DT-05)</t>
        </is>
      </c>
      <c r="B54" s="58" t="inlineStr">
        <is>
          <t>Alojamiento disponible en la zona</t>
        </is>
      </c>
      <c r="C54" s="58" t="inlineStr">
        <is>
          <t>No</t>
        </is>
      </c>
      <c r="D54" s="58" t="inlineStr"/>
    </row>
    <row r="55">
      <c r="A55" s="57" t="inlineStr">
        <is>
          <t>7. Hidrología, acceso y logística (F-DT-05)</t>
        </is>
      </c>
      <c r="B55" s="57" t="inlineStr">
        <is>
          <t>Requiere coordinación con ronda / comunidad</t>
        </is>
      </c>
      <c r="C55" s="57" t="inlineStr">
        <is>
          <t>Sí</t>
        </is>
      </c>
      <c r="D55" s="57" t="inlineStr"/>
    </row>
    <row r="56">
      <c r="A56" s="58" t="inlineStr">
        <is>
          <t>7. Hidrología, acceso y logística (F-DT-05)</t>
        </is>
      </c>
      <c r="B56" s="58" t="inlineStr">
        <is>
          <t>Contacto local de coordinación</t>
        </is>
      </c>
      <c r="C56" s="58" t="inlineStr">
        <is>
          <t>Coordinación inicial con dirigentes del CP Villa Hornopampa de los Andes y con Ronda Campesina de Salitral (a definir contacto formal)</t>
        </is>
      </c>
      <c r="D56" s="58" t="inlineStr"/>
    </row>
    <row r="58">
      <c r="A58" s="55" t="inlineStr">
        <is>
          <t>C. PROCEDENCIA DE LOS HECHOS DECLARADOS</t>
        </is>
      </c>
    </row>
    <row r="59">
      <c r="A59" s="56" t="inlineStr">
        <is>
          <t>Fuente</t>
        </is>
      </c>
      <c r="B59" s="56" t="inlineStr">
        <is>
          <t>Hechos</t>
        </is>
      </c>
      <c r="C59" s="56" t="inlineStr">
        <is>
          <t>Alcance de la fuente</t>
        </is>
      </c>
    </row>
    <row r="60">
      <c r="A60" s="57" t="inlineStr">
        <is>
          <t>Dato de campo</t>
        </is>
      </c>
      <c r="B60" s="57" t="n">
        <v>73</v>
      </c>
      <c r="C60" s="57" t="inlineStr">
        <is>
          <t>Verificación en campo. Fichas F-DT-01 a F-DT-05 de la Plantilla DT Campo Check Validada V5, suscritas por el evaluador.</t>
        </is>
      </c>
    </row>
    <row r="61">
      <c r="A61" s="58" t="inlineStr">
        <is>
          <t>Gabinete (GIS / teledetección)</t>
        </is>
      </c>
      <c r="B61" s="58" t="n">
        <v>22</v>
      </c>
      <c r="C61" s="58" t="inlineStr">
        <is>
          <t>Gabinete. Estadística zonal sobre el MDE y compuestos Sentinel-2 (NDVI mediana 2025, MSAVI 2024 por clase DN).</t>
        </is>
      </c>
    </row>
    <row r="62">
      <c r="A62" s="57" t="inlineStr">
        <is>
          <t>Fuente oficial</t>
        </is>
      </c>
      <c r="B62" s="57" t="n">
        <v>14</v>
      </c>
      <c r="C62" s="57" t="inlineStr">
        <is>
          <t>Fuente oficial. Catálogo maestro Bloques V5/V6, división política INEI y codificación de microcuencas de la ANA.</t>
        </is>
      </c>
    </row>
    <row r="64">
      <c r="A64" s="55" t="inlineStr">
        <is>
          <t>D. ESTADO DEL CRUCE ENTRE FUENTES</t>
        </is>
      </c>
    </row>
    <row r="65">
      <c r="A65" s="56" t="inlineStr">
        <is>
          <t>Estado</t>
        </is>
      </c>
      <c r="B65" s="56" t="inlineStr">
        <is>
          <t>Hechos</t>
        </is>
      </c>
      <c r="C65" s="56" t="inlineStr">
        <is>
          <t>Significado</t>
        </is>
      </c>
    </row>
    <row r="66">
      <c r="A66" s="57" t="inlineStr">
        <is>
          <t>CONFORME</t>
        </is>
      </c>
      <c r="B66" s="57" t="n">
        <v>105</v>
      </c>
      <c r="C66" s="57" t="inlineStr">
        <is>
          <t>Las dos fuentes declaran lo mismo, o solo la fuente que manda sobre el hecho lo declara.</t>
        </is>
      </c>
    </row>
    <row r="67">
      <c r="A67" s="58" t="inlineStr">
        <is>
          <t>COMPLEMENTADO</t>
        </is>
      </c>
      <c r="B67" s="58" t="n">
        <v>1</v>
      </c>
      <c r="C67" s="58" t="inlineStr">
        <is>
          <t>Solo una de las fuentes lo declara y se adopta ese valor.</t>
        </is>
      </c>
    </row>
    <row r="68">
      <c r="A68" s="57" t="inlineStr">
        <is>
          <t>ACTUALIZADO</t>
        </is>
      </c>
      <c r="B68" s="57" t="n">
        <v>3</v>
      </c>
      <c r="C68" s="57" t="inlineStr">
        <is>
          <t>La verificación de campo vigente corrige lo que traía el libro de resumen.</t>
        </is>
      </c>
    </row>
    <row r="69">
      <c r="A69" s="58" t="inlineStr">
        <is>
          <t>DISCREPANTE</t>
        </is>
      </c>
      <c r="B69" s="58" t="n">
        <v>0</v>
      </c>
      <c r="C69" s="58" t="inlineStr">
        <is>
          <t>Las fuentes se contradicen; prevalece la que manda sobre el hecho y la otra queda declarada.</t>
        </is>
      </c>
    </row>
    <row r="70">
      <c r="A70" s="57" t="inlineStr">
        <is>
          <t>PENDIENTE</t>
        </is>
      </c>
      <c r="B70" s="57" t="n">
        <v>5</v>
      </c>
      <c r="C70"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M2B5</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CA-01</t>
        </is>
      </c>
      <c r="B9" s="57" t="inlineStr">
        <is>
          <t>Surco (&lt;30 cm)</t>
        </is>
      </c>
      <c r="C9" s="62" t="n">
        <v>640325</v>
      </c>
      <c r="D9" s="62" t="n">
        <v>9394442</v>
      </c>
      <c r="E9" s="62" t="n">
        <v>110</v>
      </c>
      <c r="F9" s="63" t="n">
        <v>0.25</v>
      </c>
      <c r="G9" s="63" t="n">
        <v>0.6</v>
      </c>
      <c r="H9" s="57" t="inlineStr">
        <is>
          <t>Activa</t>
        </is>
      </c>
      <c r="I9" s="57" t="inlineStr">
        <is>
          <t>Sobrepastoreo</t>
        </is>
      </c>
    </row>
    <row r="10">
      <c r="A10" s="58" t="inlineStr">
        <is>
          <t>CA-02</t>
        </is>
      </c>
      <c r="B10" s="58" t="inlineStr">
        <is>
          <t>Cárcava incipiente (30-50 cm)</t>
        </is>
      </c>
      <c r="C10" s="64" t="n">
        <v>640260</v>
      </c>
      <c r="D10" s="64" t="n">
        <v>9394429</v>
      </c>
      <c r="E10" s="64" t="n">
        <v>170</v>
      </c>
      <c r="F10" s="65" t="n">
        <v>0.4</v>
      </c>
      <c r="G10" s="65" t="n">
        <v>0.8</v>
      </c>
      <c r="H10" s="58" t="inlineStr">
        <is>
          <t>Semi-activa</t>
        </is>
      </c>
      <c r="I10" s="58" t="inlineStr">
        <is>
          <t>Concentración natural de escorrentía</t>
        </is>
      </c>
    </row>
    <row r="12">
      <c r="A12" s="55" t="inlineStr">
        <is>
          <t>F-DT-03 · ELENCO FLORÍSTICO</t>
        </is>
      </c>
    </row>
    <row r="13">
      <c r="A13" s="56" t="inlineStr">
        <is>
          <t>N.o</t>
        </is>
      </c>
      <c r="B13" s="56" t="inlineStr">
        <is>
          <t>Nombre común</t>
        </is>
      </c>
      <c r="C13" s="56" t="inlineStr">
        <is>
          <t>Nombre científico</t>
        </is>
      </c>
      <c r="D13" s="56" t="inlineStr">
        <is>
          <t>Familia</t>
        </is>
      </c>
      <c r="E13" s="56" t="inlineStr">
        <is>
          <t>Estrato</t>
        </is>
      </c>
      <c r="F13" s="56" t="inlineStr">
        <is>
          <t>Origen</t>
        </is>
      </c>
      <c r="G13" s="56" t="inlineStr">
        <is>
          <t>Abundancia</t>
        </is>
      </c>
      <c r="H13" s="56" t="inlineStr">
        <is>
          <t>DAP (cm)</t>
        </is>
      </c>
      <c r="I13" s="56" t="inlineStr">
        <is>
          <t>Altura (m)</t>
        </is>
      </c>
    </row>
    <row r="14">
      <c r="A14" s="57" t="inlineStr">
        <is>
          <t>1</t>
        </is>
      </c>
      <c r="B14" s="57" t="inlineStr">
        <is>
          <t>Caesalpinia paipai</t>
        </is>
      </c>
      <c r="C14" s="57" t="inlineStr">
        <is>
          <t>Charán</t>
        </is>
      </c>
      <c r="D14" s="57" t="inlineStr">
        <is>
          <t>Fabaceae</t>
        </is>
      </c>
      <c r="E14" s="57" t="inlineStr">
        <is>
          <t>Arbóreo medio (8-15 m)</t>
        </is>
      </c>
      <c r="F14" s="57" t="inlineStr">
        <is>
          <t>Nativa</t>
        </is>
      </c>
      <c r="G14" s="57" t="inlineStr">
        <is>
          <t>Frecuente (5-20%)</t>
        </is>
      </c>
      <c r="H14" s="62" t="n">
        <v>22</v>
      </c>
      <c r="I14" s="63" t="n">
        <v>8</v>
      </c>
    </row>
    <row r="15">
      <c r="A15" s="58" t="inlineStr">
        <is>
          <t>2</t>
        </is>
      </c>
      <c r="B15" s="58" t="inlineStr">
        <is>
          <t>Loxopterygium huasango</t>
        </is>
      </c>
      <c r="C15" s="58" t="inlineStr">
        <is>
          <t>Hualtaco</t>
        </is>
      </c>
      <c r="D15" s="58" t="inlineStr">
        <is>
          <t>Anacardiaceae</t>
        </is>
      </c>
      <c r="E15" s="58" t="inlineStr">
        <is>
          <t>Arbóreo medio (8-15 m)</t>
        </is>
      </c>
      <c r="F15" s="58" t="inlineStr">
        <is>
          <t>Nativa</t>
        </is>
      </c>
      <c r="G15" s="58" t="inlineStr">
        <is>
          <t>Ocasional (1-5%)</t>
        </is>
      </c>
      <c r="H15" s="64" t="n">
        <v>28</v>
      </c>
      <c r="I15" s="65" t="n">
        <v>9</v>
      </c>
    </row>
    <row r="16">
      <c r="A16" s="57" t="inlineStr">
        <is>
          <t>3</t>
        </is>
      </c>
      <c r="B16" s="57" t="inlineStr">
        <is>
          <t>Bursera graveolens</t>
        </is>
      </c>
      <c r="C16" s="57" t="inlineStr">
        <is>
          <t>Palo santo</t>
        </is>
      </c>
      <c r="D16" s="57" t="inlineStr">
        <is>
          <t>Burseraceae</t>
        </is>
      </c>
      <c r="E16" s="57" t="inlineStr">
        <is>
          <t>Arbóreo bajo (4-8 m)</t>
        </is>
      </c>
      <c r="F16" s="57" t="inlineStr">
        <is>
          <t>Nativa</t>
        </is>
      </c>
      <c r="G16" s="57" t="inlineStr">
        <is>
          <t>Ocasional (1-5%)</t>
        </is>
      </c>
      <c r="H16" s="62" t="n">
        <v>18</v>
      </c>
      <c r="I16" s="63" t="n">
        <v>6</v>
      </c>
    </row>
    <row r="17">
      <c r="A17" s="58" t="inlineStr">
        <is>
          <t>4</t>
        </is>
      </c>
      <c r="B17" s="58" t="inlineStr">
        <is>
          <t>Eriotheca ruizii</t>
        </is>
      </c>
      <c r="C17" s="58" t="inlineStr">
        <is>
          <t>Pasallo</t>
        </is>
      </c>
      <c r="D17" s="58" t="inlineStr">
        <is>
          <t>Malvaceae</t>
        </is>
      </c>
      <c r="E17" s="58" t="inlineStr">
        <is>
          <t>Arbóreo medio (8-15 m)</t>
        </is>
      </c>
      <c r="F17" s="58" t="inlineStr">
        <is>
          <t>Nativa</t>
        </is>
      </c>
      <c r="G17" s="58" t="inlineStr">
        <is>
          <t>Frecuente (5-20%)</t>
        </is>
      </c>
      <c r="H17" s="64" t="n">
        <v>30</v>
      </c>
      <c r="I17" s="65" t="n">
        <v>9</v>
      </c>
    </row>
    <row r="18">
      <c r="A18" s="57" t="inlineStr">
        <is>
          <t>5</t>
        </is>
      </c>
      <c r="B18" s="57" t="inlineStr">
        <is>
          <t>Acacia macracantha</t>
        </is>
      </c>
      <c r="C18" s="57" t="inlineStr">
        <is>
          <t>Faique</t>
        </is>
      </c>
      <c r="D18" s="57" t="inlineStr">
        <is>
          <t>Fabaceae</t>
        </is>
      </c>
      <c r="E18" s="57" t="inlineStr">
        <is>
          <t>Arbóreo bajo (4-8 m)</t>
        </is>
      </c>
      <c r="F18" s="57" t="inlineStr">
        <is>
          <t>Nativa</t>
        </is>
      </c>
      <c r="G18" s="57" t="inlineStr">
        <is>
          <t>Ocasional (1-5%)</t>
        </is>
      </c>
      <c r="H18" s="62" t="n">
        <v>15</v>
      </c>
      <c r="I18" s="63" t="n">
        <v>5</v>
      </c>
    </row>
    <row r="19">
      <c r="A19" s="58" t="inlineStr">
        <is>
          <t>6</t>
        </is>
      </c>
      <c r="B19" s="58" t="inlineStr">
        <is>
          <t>Cordia lutea</t>
        </is>
      </c>
      <c r="C19" s="58" t="inlineStr">
        <is>
          <t>Overo</t>
        </is>
      </c>
      <c r="D19" s="58" t="inlineStr">
        <is>
          <t>Boraginaceae</t>
        </is>
      </c>
      <c r="E19" s="58" t="inlineStr">
        <is>
          <t>Arbustivo alto (1.5-4 m)</t>
        </is>
      </c>
      <c r="F19" s="58" t="inlineStr">
        <is>
          <t>Nativa</t>
        </is>
      </c>
      <c r="G19" s="58" t="inlineStr">
        <is>
          <t>Frecuente (5-20%)</t>
        </is>
      </c>
      <c r="H19" s="58" t="n"/>
      <c r="I19" s="65" t="n">
        <v>2.5</v>
      </c>
    </row>
    <row r="20">
      <c r="A20" s="57" t="inlineStr">
        <is>
          <t>7</t>
        </is>
      </c>
      <c r="B20" s="57" t="inlineStr">
        <is>
          <t>Capparis scabrida</t>
        </is>
      </c>
      <c r="C20" s="57" t="inlineStr">
        <is>
          <t>Sapote</t>
        </is>
      </c>
      <c r="D20" s="57" t="inlineStr">
        <is>
          <t>Capparaceae</t>
        </is>
      </c>
      <c r="E20" s="57" t="inlineStr">
        <is>
          <t>Arbustivo alto (1.5-4 m)</t>
        </is>
      </c>
      <c r="F20" s="57" t="inlineStr">
        <is>
          <t>Nativa</t>
        </is>
      </c>
      <c r="G20" s="57" t="inlineStr">
        <is>
          <t>Rara (&lt;1%)</t>
        </is>
      </c>
      <c r="H20" s="57" t="n"/>
      <c r="I20" s="63" t="n">
        <v>2</v>
      </c>
    </row>
    <row r="21">
      <c r="A21" s="58" t="inlineStr">
        <is>
          <t>8</t>
        </is>
      </c>
      <c r="B21" s="58" t="inlineStr">
        <is>
          <t>Armatocereus cartwrightianus</t>
        </is>
      </c>
      <c r="C21" s="58" t="inlineStr">
        <is>
          <t>Cardo / Cactus columnar</t>
        </is>
      </c>
      <c r="D21" s="58" t="inlineStr">
        <is>
          <t>Cactaceae</t>
        </is>
      </c>
      <c r="E21" s="58" t="inlineStr">
        <is>
          <t>Arbustivo alto (1.5-4 m)</t>
        </is>
      </c>
      <c r="F21" s="58" t="inlineStr">
        <is>
          <t>Nativa</t>
        </is>
      </c>
      <c r="G21" s="58" t="inlineStr">
        <is>
          <t>Frecuente (5-20%)</t>
        </is>
      </c>
      <c r="H21" s="58" t="n"/>
      <c r="I21" s="65" t="n">
        <v>3</v>
      </c>
    </row>
    <row r="22">
      <c r="A22" s="57" t="inlineStr">
        <is>
          <t>9</t>
        </is>
      </c>
      <c r="B22" s="57" t="inlineStr">
        <is>
          <t>Neoraimondia arequipensis</t>
        </is>
      </c>
      <c r="C22" s="57" t="inlineStr">
        <is>
          <t>Gigantón</t>
        </is>
      </c>
      <c r="D22" s="57" t="inlineStr">
        <is>
          <t>Cactaceae</t>
        </is>
      </c>
      <c r="E22" s="57" t="inlineStr">
        <is>
          <t>Arbustivo alto (1.5-4 m)</t>
        </is>
      </c>
      <c r="F22" s="57" t="inlineStr">
        <is>
          <t>Nativa</t>
        </is>
      </c>
      <c r="G22" s="57" t="inlineStr">
        <is>
          <t>Ocasional (1-5%)</t>
        </is>
      </c>
      <c r="H22" s="57" t="n"/>
      <c r="I22" s="63" t="n">
        <v>3.5</v>
      </c>
    </row>
    <row r="23">
      <c r="A23" s="58" t="inlineStr">
        <is>
          <t>10</t>
        </is>
      </c>
      <c r="B23" s="58" t="inlineStr">
        <is>
          <t>Ipomoea carnea</t>
        </is>
      </c>
      <c r="C23" s="58" t="inlineStr">
        <is>
          <t>Borrachera</t>
        </is>
      </c>
      <c r="D23" s="58" t="inlineStr">
        <is>
          <t>Convolvulaceae</t>
        </is>
      </c>
      <c r="E23" s="58" t="inlineStr">
        <is>
          <t>Arbustivo bajo (0.5-1.5 m)</t>
        </is>
      </c>
      <c r="F23" s="58" t="inlineStr">
        <is>
          <t>Nativa</t>
        </is>
      </c>
      <c r="G23" s="58" t="inlineStr">
        <is>
          <t>Abundante (20-40%)</t>
        </is>
      </c>
      <c r="H23" s="58" t="n"/>
      <c r="I23" s="65" t="n">
        <v>1.2</v>
      </c>
    </row>
    <row r="24">
      <c r="A24" s="57" t="inlineStr">
        <is>
          <t>11</t>
        </is>
      </c>
      <c r="B24" s="57" t="inlineStr">
        <is>
          <t>Vallesia glabra</t>
        </is>
      </c>
      <c r="C24" s="57" t="inlineStr">
        <is>
          <t>Cuncuno / Perlilla</t>
        </is>
      </c>
      <c r="D24" s="57" t="inlineStr">
        <is>
          <t>Apocynaceae</t>
        </is>
      </c>
      <c r="E24" s="57" t="inlineStr">
        <is>
          <t>Arbustivo bajo (0.5-1.5 m)</t>
        </is>
      </c>
      <c r="F24" s="57" t="inlineStr">
        <is>
          <t>Nativa</t>
        </is>
      </c>
      <c r="G24" s="57" t="inlineStr">
        <is>
          <t>Ocasional (1-5%)</t>
        </is>
      </c>
      <c r="H24" s="57" t="n"/>
      <c r="I24" s="63" t="n">
        <v>1.5</v>
      </c>
    </row>
    <row r="25">
      <c r="A25" s="58" t="inlineStr">
        <is>
          <t>12</t>
        </is>
      </c>
      <c r="B25" s="58" t="inlineStr">
        <is>
          <t>Tecoma sp.</t>
        </is>
      </c>
      <c r="C25" s="58" t="inlineStr">
        <is>
          <t>Huaranguillo</t>
        </is>
      </c>
      <c r="D25" s="58" t="inlineStr">
        <is>
          <t>Bignoniaceae</t>
        </is>
      </c>
      <c r="E25" s="58" t="inlineStr">
        <is>
          <t>Arbustivo alto (1.5-4 m)</t>
        </is>
      </c>
      <c r="F25" s="58" t="inlineStr">
        <is>
          <t>Nativa</t>
        </is>
      </c>
      <c r="G25" s="58" t="inlineStr">
        <is>
          <t>Ocasional (1-5%)</t>
        </is>
      </c>
      <c r="H25" s="58" t="n"/>
      <c r="I25" s="65" t="n">
        <v>2.5</v>
      </c>
    </row>
    <row r="26">
      <c r="A26" s="57" t="inlineStr">
        <is>
          <t>13</t>
        </is>
      </c>
      <c r="B26" s="57" t="inlineStr">
        <is>
          <t>Gramíneas anuales</t>
        </is>
      </c>
      <c r="C26" s="57" t="inlineStr">
        <is>
          <t>Pastos estacionales</t>
        </is>
      </c>
      <c r="D26" s="57" t="inlineStr">
        <is>
          <t>Poaceae</t>
        </is>
      </c>
      <c r="E26" s="57" t="inlineStr">
        <is>
          <t>Herbáceo (&lt;0.5 m)</t>
        </is>
      </c>
      <c r="F26" s="57" t="inlineStr">
        <is>
          <t>Nativa</t>
        </is>
      </c>
      <c r="G26" s="57" t="inlineStr">
        <is>
          <t>Frecuente (5-20%)</t>
        </is>
      </c>
      <c r="H26" s="57" t="n"/>
      <c r="I26" s="63" t="n">
        <v>0.3</v>
      </c>
    </row>
    <row r="28">
      <c r="A28" s="55" t="inlineStr">
        <is>
          <t>F-DT-03 · ESPECIES CLAVE GEORREFERENCIADAS</t>
        </is>
      </c>
    </row>
    <row r="29">
      <c r="A29" s="56" t="inlineStr">
        <is>
          <t>N.o</t>
        </is>
      </c>
      <c r="B29" s="56" t="inlineStr">
        <is>
          <t>Especie</t>
        </is>
      </c>
      <c r="C29" s="56" t="inlineStr">
        <is>
          <t>Categoría</t>
        </is>
      </c>
      <c r="D29" s="56" t="inlineStr">
        <is>
          <t>Estado UICN</t>
        </is>
      </c>
      <c r="E29" s="56" t="inlineStr">
        <is>
          <t>UTM ESTE</t>
        </is>
      </c>
      <c r="F29" s="56" t="inlineStr">
        <is>
          <t>UTM NORTE</t>
        </is>
      </c>
      <c r="G29" s="56" t="inlineStr">
        <is>
          <t>N.° individuos</t>
        </is>
      </c>
      <c r="H29" s="56" t="inlineStr">
        <is>
          <t>Observación</t>
        </is>
      </c>
    </row>
    <row r="30">
      <c r="A30" s="57" t="inlineStr">
        <is>
          <t>1</t>
        </is>
      </c>
      <c r="B30" s="57" t="inlineStr">
        <is>
          <t>Loxopterygium huasango (Hualtaco)</t>
        </is>
      </c>
      <c r="C30" s="57" t="inlineStr">
        <is>
          <t>Amenazada (D.S. 043-2006-AG)</t>
        </is>
      </c>
      <c r="D30" s="57" t="inlineStr">
        <is>
          <t>EN — En Peligro</t>
        </is>
      </c>
      <c r="E30" s="62" t="n">
        <v>640102</v>
      </c>
      <c r="F30" s="62" t="n">
        <v>9394382</v>
      </c>
      <c r="G30" s="63" t="n">
        <v>4</v>
      </c>
      <c r="H30" s="57" t="inlineStr">
        <is>
          <t>Árboles relictuales dispersos en sector medio; categoría EN (UICN) — protección prioritaria</t>
        </is>
      </c>
    </row>
    <row r="31">
      <c r="A31" s="58" t="inlineStr">
        <is>
          <t>2</t>
        </is>
      </c>
      <c r="B31" s="58" t="inlineStr">
        <is>
          <t>Bursera graveolens (Palo santo)</t>
        </is>
      </c>
      <c r="C31" s="58" t="inlineStr">
        <is>
          <t>Amenazada (D.S. 043-2006-AG)</t>
        </is>
      </c>
      <c r="D31" s="58" t="inlineStr">
        <is>
          <t>EN — En Peligro</t>
        </is>
      </c>
      <c r="E31" s="64" t="n">
        <v>640168</v>
      </c>
      <c r="F31" s="64" t="n">
        <v>9394296</v>
      </c>
      <c r="G31" s="65" t="n">
        <v>3</v>
      </c>
      <c r="H31" s="58" t="inlineStr">
        <is>
          <t>Individuos aislados de alto valor cultural y aromático; regeneración escasa</t>
        </is>
      </c>
    </row>
    <row r="32">
      <c r="A32" s="57" t="inlineStr">
        <is>
          <t>3</t>
        </is>
      </c>
      <c r="B32" s="57" t="inlineStr">
        <is>
          <t>Eriotheca ruizii (Pasallo)</t>
        </is>
      </c>
      <c r="C32" s="57" t="inlineStr">
        <is>
          <t>Indicadora de buen estado</t>
        </is>
      </c>
      <c r="D32" s="57" t="inlineStr">
        <is>
          <t>LC — Preocupación Menor</t>
        </is>
      </c>
      <c r="E32" s="62" t="n">
        <v>640168</v>
      </c>
      <c r="F32" s="62" t="n">
        <v>9394296</v>
      </c>
      <c r="G32" s="63" t="n">
        <v>5</v>
      </c>
      <c r="H32" s="57" t="inlineStr">
        <is>
          <t>Árbol botella característico del Bes-cm; individuos con DAP hasta 30 cm en sector medio</t>
        </is>
      </c>
    </row>
    <row r="33">
      <c r="A33" s="58" t="inlineStr">
        <is>
          <t>4</t>
        </is>
      </c>
      <c r="B33" s="58" t="inlineStr">
        <is>
          <t>Caesalpinia paipai (Charán)</t>
        </is>
      </c>
      <c r="C33" s="58" t="inlineStr">
        <is>
          <t>Indicadora de buen estado</t>
        </is>
      </c>
      <c r="D33" s="58" t="inlineStr">
        <is>
          <t>LC — Preocupación Menor</t>
        </is>
      </c>
      <c r="E33" s="64" t="n">
        <v>640168</v>
      </c>
      <c r="F33" s="64" t="n">
        <v>9394271</v>
      </c>
      <c r="G33" s="65" t="n">
        <v>6</v>
      </c>
      <c r="H33" s="58" t="inlineStr">
        <is>
          <t>Especie clave del bosque seco; banco genético disponible para restauración</t>
        </is>
      </c>
    </row>
    <row r="34">
      <c r="A34" s="57" t="inlineStr">
        <is>
          <t>5</t>
        </is>
      </c>
      <c r="B34" s="57" t="inlineStr">
        <is>
          <t>Ipomoea carnea (Borrachera)</t>
        </is>
      </c>
      <c r="C34" s="57" t="inlineStr">
        <is>
          <t>Indicadora de perturbación</t>
        </is>
      </c>
      <c r="D34" s="57" t="inlineStr">
        <is>
          <t>No aplica</t>
        </is>
      </c>
      <c r="E34" s="62" t="n">
        <v>640325</v>
      </c>
      <c r="F34" s="62" t="n">
        <v>9394442</v>
      </c>
      <c r="G34" s="62" t="n">
        <v>50</v>
      </c>
      <c r="H34" s="57" t="inlineStr">
        <is>
          <t>Arbusto no palatable indicador clásico de sobrepastoreo caprino; dominancia preocupante</t>
        </is>
      </c>
    </row>
    <row r="36">
      <c r="A36" s="55" t="inlineStr">
        <is>
          <t>F-DT-04 · MATRIZ DE CAUSAS DE DEGRADACIÓN</t>
        </is>
      </c>
    </row>
    <row r="37">
      <c r="A37" s="56" t="inlineStr">
        <is>
          <t>N.o</t>
        </is>
      </c>
      <c r="B37" s="56" t="inlineStr">
        <is>
          <t>Causa</t>
        </is>
      </c>
      <c r="C37" s="56" t="inlineStr">
        <is>
          <t>Presencia</t>
        </is>
      </c>
      <c r="D37" s="56" t="inlineStr">
        <is>
          <t>Intensidad</t>
        </is>
      </c>
      <c r="E37" s="56" t="inlineStr">
        <is>
          <t>Extensión</t>
        </is>
      </c>
      <c r="F37" s="56" t="inlineStr">
        <is>
          <t>Antigüedad</t>
        </is>
      </c>
      <c r="G37" s="56" t="inlineStr">
        <is>
          <t>Evidencia</t>
        </is>
      </c>
    </row>
    <row r="38">
      <c r="A38" s="57" t="inlineStr">
        <is>
          <t>1</t>
        </is>
      </c>
      <c r="B38" s="57" t="inlineStr">
        <is>
          <t>Sobrepastoreo (caprino/vacuno)</t>
        </is>
      </c>
      <c r="C38" s="57" t="inlineStr">
        <is>
          <t>Sí</t>
        </is>
      </c>
      <c r="D38" s="57" t="inlineStr">
        <is>
          <t>Fuerte</t>
        </is>
      </c>
      <c r="E38" s="57" t="inlineStr">
        <is>
          <t>70</t>
        </is>
      </c>
      <c r="F38" s="57" t="inlineStr">
        <is>
          <t>&gt;20</t>
        </is>
      </c>
      <c r="G38" s="57" t="inlineStr">
        <is>
          <t>Pisoteo y compactación por ganado caprino observados durante todo el recorrido; cría observada (corral con palos visible, Foto 06); dominancia de Ipomoea carnea (no palatable) confirma presión histórica continua</t>
        </is>
      </c>
    </row>
    <row r="39">
      <c r="A39" s="58" t="inlineStr">
        <is>
          <t>2</t>
        </is>
      </c>
      <c r="B39" s="58" t="inlineStr">
        <is>
          <t>Tala para leña</t>
        </is>
      </c>
      <c r="C39" s="58" t="inlineStr">
        <is>
          <t>Sí</t>
        </is>
      </c>
      <c r="D39" s="58" t="inlineStr">
        <is>
          <t>Moderada</t>
        </is>
      </c>
      <c r="E39" s="58" t="inlineStr">
        <is>
          <t>40</t>
        </is>
      </c>
      <c r="F39" s="58" t="inlineStr">
        <is>
          <t>&gt;20</t>
        </is>
      </c>
      <c r="G39" s="58" t="inlineStr">
        <is>
          <t>Tocones de Charán y Hualtaco observados puntualmente en sector medio; cortes antiguos y recientes; presión derivada del CP Villa Hornopampa de los Andes</t>
        </is>
      </c>
    </row>
    <row r="40">
      <c r="A40" s="57" t="inlineStr">
        <is>
          <t>3</t>
        </is>
      </c>
      <c r="B40" s="57" t="inlineStr">
        <is>
          <t>Tala para carbón</t>
        </is>
      </c>
      <c r="C40" s="57" t="inlineStr">
        <is>
          <t>No</t>
        </is>
      </c>
      <c r="D40" s="57" t="inlineStr">
        <is>
          <t>Nula</t>
        </is>
      </c>
      <c r="E40" s="57" t="inlineStr">
        <is>
          <t>0</t>
        </is>
      </c>
      <c r="F40" s="57" t="inlineStr">
        <is>
          <t>—</t>
        </is>
      </c>
      <c r="G40" s="57" t="inlineStr">
        <is>
          <t>No se observaron evidencias directas de hornos artesanales durante el recorrido</t>
        </is>
      </c>
    </row>
    <row r="41">
      <c r="A41" s="58" t="inlineStr">
        <is>
          <t>4</t>
        </is>
      </c>
      <c r="B41" s="58" t="inlineStr">
        <is>
          <t>Tala para madera</t>
        </is>
      </c>
      <c r="C41" s="58" t="inlineStr">
        <is>
          <t>Sí</t>
        </is>
      </c>
      <c r="D41" s="58" t="inlineStr">
        <is>
          <t>Ligera</t>
        </is>
      </c>
      <c r="E41" s="58" t="inlineStr">
        <is>
          <t>10</t>
        </is>
      </c>
      <c r="F41" s="58" t="inlineStr">
        <is>
          <t>&gt;15</t>
        </is>
      </c>
      <c r="G41" s="58" t="inlineStr">
        <is>
          <t>Tocones aislados con DAP &gt;25 cm en sectores accesibles; uso doméstico local</t>
        </is>
      </c>
    </row>
    <row r="42">
      <c r="A42" s="57" t="inlineStr">
        <is>
          <t>5</t>
        </is>
      </c>
      <c r="B42" s="57" t="inlineStr">
        <is>
          <t>Quema (renovación de pastos)</t>
        </is>
      </c>
      <c r="C42" s="57" t="inlineStr">
        <is>
          <t>No</t>
        </is>
      </c>
      <c r="D42" s="57" t="inlineStr">
        <is>
          <t>Nula</t>
        </is>
      </c>
      <c r="E42" s="57" t="inlineStr">
        <is>
          <t>0</t>
        </is>
      </c>
      <c r="F42" s="57" t="inlineStr">
        <is>
          <t>—</t>
        </is>
      </c>
      <c r="G42" s="57" t="inlineStr">
        <is>
          <t>No se observaron cicatrices recientes de quema; baja palatabilidad de Ipomoea desincentiva esta práctica</t>
        </is>
      </c>
    </row>
    <row r="43">
      <c r="A43" s="58" t="inlineStr">
        <is>
          <t>6</t>
        </is>
      </c>
      <c r="B43" s="58" t="inlineStr">
        <is>
          <t>Quema accidental / Incendio</t>
        </is>
      </c>
      <c r="C43" s="58" t="inlineStr">
        <is>
          <t>No</t>
        </is>
      </c>
      <c r="D43" s="58" t="inlineStr">
        <is>
          <t>Nula</t>
        </is>
      </c>
      <c r="E43" s="58" t="inlineStr">
        <is>
          <t>0</t>
        </is>
      </c>
      <c r="F43" s="58" t="inlineStr">
        <is>
          <t>—</t>
        </is>
      </c>
      <c r="G43" s="58" t="inlineStr">
        <is>
          <t>Sin evidencias en el recorrido</t>
        </is>
      </c>
    </row>
    <row r="44">
      <c r="A44" s="57" t="inlineStr">
        <is>
          <t>7</t>
        </is>
      </c>
      <c r="B44" s="57" t="inlineStr">
        <is>
          <t>Cambio de uso a agricultura</t>
        </is>
      </c>
      <c r="C44" s="57" t="inlineStr">
        <is>
          <t>No</t>
        </is>
      </c>
      <c r="D44" s="57" t="inlineStr">
        <is>
          <t>Nula</t>
        </is>
      </c>
      <c r="E44" s="57" t="inlineStr">
        <is>
          <t>0</t>
        </is>
      </c>
      <c r="F44" s="57" t="inlineStr">
        <is>
          <t>—</t>
        </is>
      </c>
      <c r="G44" s="57" t="inlineStr">
        <is>
          <t>Sin evidencias de conversión a agricultura dentro del polígono; el bloque está colindante con el ACR Bosque Seco Salitral, lo que disuade conversión</t>
        </is>
      </c>
    </row>
    <row r="45">
      <c r="A45" s="58" t="inlineStr">
        <is>
          <t>8</t>
        </is>
      </c>
      <c r="B45" s="58" t="inlineStr">
        <is>
          <t>Cambio de uso a pastoreo</t>
        </is>
      </c>
      <c r="C45" s="58" t="inlineStr">
        <is>
          <t>Sí</t>
        </is>
      </c>
      <c r="D45" s="58" t="inlineStr">
        <is>
          <t>Moderada</t>
        </is>
      </c>
      <c r="E45" s="58" t="inlineStr">
        <is>
          <t>35</t>
        </is>
      </c>
      <c r="F45" s="58" t="inlineStr">
        <is>
          <t>&gt;20</t>
        </is>
      </c>
      <c r="G45" s="58" t="inlineStr">
        <is>
          <t>Pastoreo extensivo no rotacional; ausencia de cercos de manejo o áreas de descanso</t>
        </is>
      </c>
    </row>
    <row r="46">
      <c r="A46" s="57" t="inlineStr">
        <is>
          <t>9</t>
        </is>
      </c>
      <c r="B46" s="57" t="inlineStr">
        <is>
          <t>Expansión urbana / vial</t>
        </is>
      </c>
      <c r="C46" s="57" t="inlineStr">
        <is>
          <t>No</t>
        </is>
      </c>
      <c r="D46" s="57" t="inlineStr">
        <is>
          <t>Nula</t>
        </is>
      </c>
      <c r="E46" s="57" t="inlineStr">
        <is>
          <t>0</t>
        </is>
      </c>
      <c r="F46" s="57" t="inlineStr">
        <is>
          <t>—</t>
        </is>
      </c>
      <c r="G46" s="57" t="inlineStr">
        <is>
          <t>El CP Villa Hornopampa de los Andes colinda al noreste pero no intercepta el polígono significativamente</t>
        </is>
      </c>
    </row>
    <row r="47">
      <c r="A47" s="58" t="inlineStr">
        <is>
          <t>10</t>
        </is>
      </c>
      <c r="B47" s="58" t="inlineStr">
        <is>
          <t>Minería informal</t>
        </is>
      </c>
      <c r="C47" s="58" t="inlineStr">
        <is>
          <t>No</t>
        </is>
      </c>
      <c r="D47" s="58" t="inlineStr">
        <is>
          <t>Nula</t>
        </is>
      </c>
      <c r="E47" s="58" t="inlineStr">
        <is>
          <t>0</t>
        </is>
      </c>
      <c r="F47" s="58" t="inlineStr">
        <is>
          <t>—</t>
        </is>
      </c>
      <c r="G47" s="58" t="inlineStr">
        <is>
          <t>Sin denuncios mineros activos según consulta INGEMMET/GEOCATMIN al ámbito</t>
        </is>
      </c>
    </row>
    <row r="48">
      <c r="A48" s="57" t="inlineStr">
        <is>
          <t>11</t>
        </is>
      </c>
      <c r="B48" s="57" t="inlineStr">
        <is>
          <t>Extracción de áridos (cauces)</t>
        </is>
      </c>
      <c r="C48" s="57" t="inlineStr">
        <is>
          <t>No</t>
        </is>
      </c>
      <c r="D48" s="57" t="inlineStr">
        <is>
          <t>Nula</t>
        </is>
      </c>
      <c r="E48" s="57" t="inlineStr">
        <is>
          <t>0</t>
        </is>
      </c>
      <c r="F48" s="57" t="inlineStr">
        <is>
          <t>—</t>
        </is>
      </c>
      <c r="G48" s="57" t="inlineStr">
        <is>
          <t>Sin evidencia de extracción dentro del bloque; el cauce del río Piura discurre al norte fuera del polígono</t>
        </is>
      </c>
    </row>
    <row r="49">
      <c r="A49" s="58" t="inlineStr">
        <is>
          <t>12</t>
        </is>
      </c>
      <c r="B49" s="58" t="inlineStr">
        <is>
          <t>Especies invasoras</t>
        </is>
      </c>
      <c r="C49" s="58" t="inlineStr">
        <is>
          <t>No</t>
        </is>
      </c>
      <c r="D49" s="58" t="inlineStr">
        <is>
          <t>Nula</t>
        </is>
      </c>
      <c r="E49" s="58" t="inlineStr">
        <is>
          <t>0</t>
        </is>
      </c>
      <c r="F49" s="58" t="inlineStr">
        <is>
          <t>—</t>
        </is>
      </c>
      <c r="G49" s="58" t="inlineStr">
        <is>
          <t>Sin presencia evidente de especies invasoras leñosas en el recorrido; Ipomoea carnea es nativa pero actúa como indicadora de degradación</t>
        </is>
      </c>
    </row>
    <row r="50">
      <c r="A50" s="57" t="inlineStr">
        <is>
          <t>13</t>
        </is>
      </c>
      <c r="B50" s="57" t="inlineStr">
        <is>
          <t>Erosión natural severa</t>
        </is>
      </c>
      <c r="C50" s="57" t="inlineStr">
        <is>
          <t>Sí</t>
        </is>
      </c>
      <c r="D50" s="57" t="inlineStr">
        <is>
          <t>Ligera</t>
        </is>
      </c>
      <c r="E50" s="57" t="inlineStr">
        <is>
          <t>20</t>
        </is>
      </c>
      <c r="F50" s="57" t="inlineStr">
        <is>
          <t>&gt;50 (proceso natural)</t>
        </is>
      </c>
      <c r="G50" s="57" t="inlineStr">
        <is>
          <t>Erosión laminar y surcos incipientes asociados a pendientes 8–25% locales</t>
        </is>
      </c>
    </row>
    <row r="51">
      <c r="A51" s="58" t="inlineStr">
        <is>
          <t>14</t>
        </is>
      </c>
      <c r="B51" s="58" t="inlineStr">
        <is>
          <t>Sequía prolongada / CC</t>
        </is>
      </c>
      <c r="C51" s="58" t="inlineStr">
        <is>
          <t>Sí</t>
        </is>
      </c>
      <c r="D51" s="58" t="inlineStr">
        <is>
          <t>Moderada</t>
        </is>
      </c>
      <c r="E51" s="58" t="inlineStr">
        <is>
          <t>100</t>
        </is>
      </c>
      <c r="F51" s="58" t="inlineStr">
        <is>
          <t>Tendencia 2014–2024</t>
        </is>
      </c>
      <c r="G51" s="58" t="inlineStr">
        <is>
          <t>MSAVI 2024 muestra ~75–85% del bloque con valores ≤0.381 (cobertura baja-rala); fenología de latencia / estrés hídrico observada en mayo 2026</t>
        </is>
      </c>
    </row>
    <row r="52">
      <c r="A52" s="57" t="inlineStr">
        <is>
          <t>15</t>
        </is>
      </c>
      <c r="B52" s="57" t="inlineStr">
        <is>
          <t>Plagas o enfermedades forestales</t>
        </is>
      </c>
      <c r="C52" s="57" t="inlineStr">
        <is>
          <t>No</t>
        </is>
      </c>
      <c r="D52" s="57" t="inlineStr">
        <is>
          <t>Nula</t>
        </is>
      </c>
      <c r="E52" s="57" t="inlineStr">
        <is>
          <t>0</t>
        </is>
      </c>
      <c r="F52" s="57" t="inlineStr">
        <is>
          <t>—</t>
        </is>
      </c>
      <c r="G52" s="57" t="inlineStr">
        <is>
          <t>Sin observación de plagas o enfermedades extensivas en el dosel</t>
        </is>
      </c>
    </row>
    <row r="53">
      <c r="A53" s="58" t="inlineStr">
        <is>
          <t>16</t>
        </is>
      </c>
      <c r="B53" s="58" t="inlineStr">
        <is>
          <t>Presión sobre relicto contiguo al ACR</t>
        </is>
      </c>
      <c r="C53" s="58" t="inlineStr">
        <is>
          <t>Sí</t>
        </is>
      </c>
      <c r="D53" s="58" t="inlineStr">
        <is>
          <t>Ligera</t>
        </is>
      </c>
      <c r="E53" s="58" t="inlineStr">
        <is>
          <t>15</t>
        </is>
      </c>
      <c r="F53" s="58" t="inlineStr">
        <is>
          <t>&gt;10</t>
        </is>
      </c>
      <c r="G53" s="58" t="inlineStr">
        <is>
          <t>La proximidad al ACR Bosque Seco Salitral genera presión indirecta sobre los relictos del límite, dado que los pobladores buscan recursos forestales cerca pero fuera del área protegida</t>
        </is>
      </c>
    </row>
    <row r="55">
      <c r="A55" s="55" t="inlineStr">
        <is>
          <t>F-DT-04 · INDICADORES CUANTITATIVOS</t>
        </is>
      </c>
    </row>
    <row r="56">
      <c r="A56" s="56" t="inlineStr">
        <is>
          <t>N.o</t>
        </is>
      </c>
      <c r="B56" s="56" t="inlineStr">
        <is>
          <t>Indicador</t>
        </is>
      </c>
      <c r="C56" s="56" t="inlineStr">
        <is>
          <t>Unidad</t>
        </is>
      </c>
      <c r="D56" s="56" t="inlineStr">
        <is>
          <t>Valor</t>
        </is>
      </c>
      <c r="E56" s="56" t="inlineStr">
        <is>
          <t>Fuente</t>
        </is>
      </c>
      <c r="F56" s="56" t="inlineStr">
        <is>
          <t>Umbral</t>
        </is>
      </c>
      <c r="G56" s="56" t="inlineStr">
        <is>
          <t>Nivel</t>
        </is>
      </c>
    </row>
    <row r="57">
      <c r="A57" s="57" t="inlineStr">
        <is>
          <t>1</t>
        </is>
      </c>
      <c r="B57" s="57" t="inlineStr">
        <is>
          <t>Cobertura vegetal total</t>
        </is>
      </c>
      <c r="C57" s="57" t="inlineStr">
        <is>
          <t>%</t>
        </is>
      </c>
      <c r="D57" s="57" t="inlineStr">
        <is>
          <t>45</t>
        </is>
      </c>
      <c r="E57" s="57" t="inlineStr">
        <is>
          <t>Observación directa parcela P-01 + interpretación MSAVI 2024 (zonal mean ~0.31)</t>
        </is>
      </c>
      <c r="F57" s="57" t="inlineStr">
        <is>
          <t>&gt;60% bueno; 30-60% medio; &lt;30% malo</t>
        </is>
      </c>
      <c r="G57" s="57" t="inlineStr">
        <is>
          <t>Medio</t>
        </is>
      </c>
    </row>
    <row r="58">
      <c r="A58" s="58" t="inlineStr">
        <is>
          <t>2</t>
        </is>
      </c>
      <c r="B58" s="58" t="inlineStr">
        <is>
          <t>Porcentaje de suelo desnudo</t>
        </is>
      </c>
      <c r="C58" s="58" t="inlineStr">
        <is>
          <t>%</t>
        </is>
      </c>
      <c r="D58" s="58" t="inlineStr">
        <is>
          <t>25</t>
        </is>
      </c>
      <c r="E58" s="58" t="inlineStr">
        <is>
          <t>Observación directa parcela P-01 (sector medio)</t>
        </is>
      </c>
      <c r="F58" s="58" t="inlineStr">
        <is>
          <t>&lt;10% bueno; 10-30% medio; &gt;30% malo</t>
        </is>
      </c>
      <c r="G58" s="58" t="inlineStr">
        <is>
          <t>Medio</t>
        </is>
      </c>
    </row>
    <row r="59">
      <c r="A59" s="57" t="inlineStr">
        <is>
          <t>3</t>
        </is>
      </c>
      <c r="B59" s="57" t="inlineStr">
        <is>
          <t>Densidad de cárcavas</t>
        </is>
      </c>
      <c r="C59" s="57" t="inlineStr">
        <is>
          <t>N°/ha</t>
        </is>
      </c>
      <c r="D59" s="57" t="inlineStr">
        <is>
          <t>0.065</t>
        </is>
      </c>
      <c r="E59" s="57" t="inlineStr">
        <is>
          <t>Inventario rápido jornada 20-05-2026 (CA-01, CA-02)</t>
        </is>
      </c>
      <c r="F59" s="57" t="inlineStr">
        <is>
          <t>0 nulo; 1-3 medio; &gt;3 alto</t>
        </is>
      </c>
      <c r="G59" s="57" t="inlineStr">
        <is>
          <t>Bajo</t>
        </is>
      </c>
    </row>
    <row r="60">
      <c r="A60" s="58" t="inlineStr">
        <is>
          <t>4</t>
        </is>
      </c>
      <c r="B60" s="58" t="inlineStr">
        <is>
          <t>Presencia de especies invasoras</t>
        </is>
      </c>
      <c r="C60" s="58" t="inlineStr">
        <is>
          <t>% área</t>
        </is>
      </c>
      <c r="D60" s="58" t="inlineStr">
        <is>
          <t>0</t>
        </is>
      </c>
      <c r="E60" s="58" t="inlineStr">
        <is>
          <t>Observación directa — sin invasoras detectadas (Ipomoea carnea es nativa)</t>
        </is>
      </c>
      <c r="F60" s="58" t="inlineStr">
        <is>
          <t>&lt;5% bueno; 5-20% medio; &gt;20% alto</t>
        </is>
      </c>
      <c r="G60" s="58" t="inlineStr">
        <is>
          <t>Bajo</t>
        </is>
      </c>
    </row>
    <row r="61">
      <c r="A61" s="57" t="inlineStr">
        <is>
          <t>5</t>
        </is>
      </c>
      <c r="B61" s="57" t="inlineStr">
        <is>
          <t>Carga ganadera estimada</t>
        </is>
      </c>
      <c r="C61" s="57" t="inlineStr">
        <is>
          <t>UA/ha</t>
        </is>
      </c>
      <c r="D61" s="57" t="inlineStr">
        <is>
          <t>1.8</t>
        </is>
      </c>
      <c r="E61" s="57" t="inlineStr">
        <is>
          <t>Estimación cualitativa — cría caprina observada (corral palos, Foto 06); asociación local de ganaderos</t>
        </is>
      </c>
      <c r="F61" s="57" t="inlineStr">
        <is>
          <t>Según tipo de ecosistema</t>
        </is>
      </c>
      <c r="G61" s="57" t="inlineStr">
        <is>
          <t>Medio</t>
        </is>
      </c>
    </row>
    <row r="62">
      <c r="A62" s="58" t="inlineStr">
        <is>
          <t>6</t>
        </is>
      </c>
      <c r="B62" s="58" t="inlineStr">
        <is>
          <t>Frecuencia de quemas últimos 5 años</t>
        </is>
      </c>
      <c r="C62" s="58" t="inlineStr">
        <is>
          <t>N°</t>
        </is>
      </c>
      <c r="D62" s="58" t="inlineStr">
        <is>
          <t>0</t>
        </is>
      </c>
      <c r="E62" s="58" t="inlineStr">
        <is>
          <t>Consulta MODIS Burned Area + observación de campo</t>
        </is>
      </c>
      <c r="F62" s="58" t="inlineStr">
        <is>
          <t>0 nulo; 1-2 medio; &gt;2 alto</t>
        </is>
      </c>
      <c r="G62" s="58" t="inlineStr">
        <is>
          <t>Bajo</t>
        </is>
      </c>
    </row>
    <row r="63">
      <c r="A63" s="57" t="inlineStr">
        <is>
          <t>7</t>
        </is>
      </c>
      <c r="B63" s="57" t="inlineStr">
        <is>
          <t>% área con pendiente &gt;50%</t>
        </is>
      </c>
      <c r="C63" s="57" t="inlineStr">
        <is>
          <t>%</t>
        </is>
      </c>
      <c r="D63" s="57" t="inlineStr">
        <is>
          <t>8</t>
        </is>
      </c>
      <c r="E63" s="57" t="inlineStr">
        <is>
          <t>DEM 12.5 m (ALOS PALSAR) — análisis GIS; máx. local registrado 27.7%</t>
        </is>
      </c>
      <c r="F63" s="57" t="inlineStr">
        <is>
          <t>Factor de susceptibilidad</t>
        </is>
      </c>
      <c r="G63" s="57" t="inlineStr">
        <is>
          <t>Bajo</t>
        </is>
      </c>
    </row>
    <row r="64">
      <c r="A64" s="58" t="inlineStr">
        <is>
          <t>8</t>
        </is>
      </c>
      <c r="B64" s="58" t="inlineStr">
        <is>
          <t>Distancia a vía vecinal más cercana</t>
        </is>
      </c>
      <c r="C64" s="58" t="inlineStr">
        <is>
          <t>m</t>
        </is>
      </c>
      <c r="D64" s="58" t="inlineStr">
        <is>
          <t>80</t>
        </is>
      </c>
      <c r="E64" s="58" t="inlineStr">
        <is>
          <t>Carretera Morropón–Buenos Aires–Salitral colinda al norte (Google Earth)</t>
        </is>
      </c>
      <c r="F64" s="58" t="inlineStr">
        <is>
          <t>A menor distancia → mayor presión</t>
        </is>
      </c>
      <c r="G64" s="58" t="inlineStr">
        <is>
          <t>Alto</t>
        </is>
      </c>
    </row>
    <row r="66">
      <c r="A66" s="55" t="inlineStr">
        <is>
          <t>F-DT-05 · FUENTES DE AGUA INVENTARIADAS</t>
        </is>
      </c>
    </row>
    <row r="67">
      <c r="A67" s="56" t="inlineStr">
        <is>
          <t>N.o</t>
        </is>
      </c>
      <c r="B67" s="56" t="inlineStr">
        <is>
          <t>Tipo de fuente</t>
        </is>
      </c>
      <c r="C67" s="56" t="inlineStr">
        <is>
          <t>UTM ESTE</t>
        </is>
      </c>
      <c r="D67" s="56" t="inlineStr">
        <is>
          <t>UTM NORTE</t>
        </is>
      </c>
      <c r="E67" s="56" t="inlineStr">
        <is>
          <t>Régimen</t>
        </is>
      </c>
      <c r="F67" s="56" t="inlineStr">
        <is>
          <t>Calidad</t>
        </is>
      </c>
      <c r="G67" s="56" t="inlineStr">
        <is>
          <t>Distancia (m)</t>
        </is>
      </c>
      <c r="H67" s="56" t="inlineStr">
        <is>
          <t>Uso / observación</t>
        </is>
      </c>
    </row>
    <row r="68">
      <c r="A68" s="57" t="inlineStr">
        <is>
          <t>FA-01</t>
        </is>
      </c>
      <c r="B68" s="57" t="inlineStr">
        <is>
          <t>Río</t>
        </is>
      </c>
      <c r="C68" s="62" t="n">
        <v>639750</v>
      </c>
      <c r="D68" s="62" t="n">
        <v>9394800</v>
      </c>
      <c r="E68" s="57" t="inlineStr">
        <is>
          <t>Estacional (lluvias)</t>
        </is>
      </c>
      <c r="F68" s="57" t="inlineStr">
        <is>
          <t>Regular (ligeramente turbia o con sedimentos)</t>
        </is>
      </c>
      <c r="G68" s="62" t="n">
        <v>350</v>
      </c>
      <c r="H68" s="57" t="inlineStr">
        <is>
          <t>Río Piura — cauce principal observado al norte del bloque; en mayo 2026 (final época seca) presentaba lecho amplio con escurrimiento mínimo (Foto 12)</t>
        </is>
      </c>
    </row>
    <row r="69">
      <c r="A69" s="58" t="inlineStr">
        <is>
          <t>FA-02</t>
        </is>
      </c>
      <c r="B69" s="58" t="inlineStr">
        <is>
          <t>Quebrada estacional</t>
        </is>
      </c>
      <c r="C69" s="64" t="n">
        <v>640200</v>
      </c>
      <c r="D69" s="64" t="n">
        <v>9394400</v>
      </c>
      <c r="E69" s="58" t="inlineStr">
        <is>
          <t>Efímero</t>
        </is>
      </c>
      <c r="F69" s="58" t="inlineStr">
        <is>
          <t>No evaluable</t>
        </is>
      </c>
      <c r="G69" s="65" t="n">
        <v>0</v>
      </c>
      <c r="H69" s="58" t="inlineStr">
        <is>
          <t>Quebrada de bajo orden interna del bloque que drena hacia el norte (al río Piura); sin flujo en la visita; cabecera con afloramientos rocosos</t>
        </is>
      </c>
    </row>
    <row r="72">
      <c r="A72" s="55" t="inlineStr">
        <is>
          <t>OBSERVACIONES DEL EVALUADOR POR FICHA</t>
        </is>
      </c>
    </row>
    <row r="73">
      <c r="A73" s="56" t="inlineStr">
        <is>
          <t>Ficha</t>
        </is>
      </c>
      <c r="B73" s="56" t="inlineStr">
        <is>
          <t>Observación registrada en campo</t>
        </is>
      </c>
    </row>
    <row r="74">
      <c r="A74" s="57" t="inlineStr">
        <is>
          <t>F-DT-01</t>
        </is>
      </c>
      <c r="B74" s="57" t="inlineStr">
        <is>
          <t>OBSERVACIONES: El acceso al bloque se realizó desde la carretera Morropón–Buenos Aires–Salitral, ingresando a la altura del CP Villa Hornopampa de los Andes. La inspección se efectuó el 20-05-2026 entre las 15:00 y 15:30 h conjuntamente con el Ing. Juan Carlos Domínguez Varas. Pese a la presencia de pendientes locales moderadas (perfiles Google Earth: 13.0% máx. en sector central; 27.7% máx. en sector occidental), no se observaron procesos de remoción en masa activos. Las evidencias predominantes corresponden a reptación lenta asociada al tránsito caprino (terracetas de pisoteo) y a sectores con afloramientos rocosos diseminados principalmente en cabeceras de microquebradas. La existencia de bosque relictual en la parte alta del bloque, contiguo al ACR Bosque Seco Salitral, constituye un núcleo de propágulos relevante para la estrategia de restauración pasiva-asistida.</t>
        </is>
      </c>
    </row>
    <row r="75">
      <c r="A75" s="58" t="inlineStr">
        <is>
          <t>F-DT-02</t>
        </is>
      </c>
      <c r="B75" s="58" t="inlineStr">
        <is>
          <t>OBSERVACIONES: La intensidad erosiva del bloque M2B5 es notablemente menor que la observada en otros bloques del distrito de Salitral evaluados previamente. Esto se atribuye a tres factores: (i) la presencia de cobertura arbustiva pionera densa (Ipomoea carnea, Cordia lutea) que limita la erosión laminar pese a no aportar valor ecológico; (ii) la cobertura de Bosque Estacionalmente Seco de mayor continuidad en la parte alta del bloque, contigua al ACR Bosque Seco Salitral, que actúa como freno hidrológico; y (iii) las pendientes moderadas (modales 8–15%, máximas locales 27.7%), que no favorecen procesos erosivos severos. La medida priorizada es prevención y control de surcos incipientes mediante zanjas de infiltración y barreras vivas con especies nativas, evitando el avance del proceso erosivo en cabeceras de microquebradas.</t>
        </is>
      </c>
    </row>
    <row r="76">
      <c r="A76" s="57" t="inlineStr">
        <is>
          <t>F-DT-03</t>
        </is>
      </c>
      <c r="B76" s="57" t="inlineStr">
        <is>
          <t>OBSERVACIONES: La estructura del ecosistema en el bloque M2B5 muestra un gradiente de conservación marcado: la parte alta (&gt;400 msnm), contigua al ACR Bosque Seco Salitral, presenta un Bosque Estacionalmente Seco de colina-montaña con dosel arbóreo más continuo, mientras que la parte basal y media exhibe un matorral xerófilo degradado dominado por la especie indicadora de perturbación Ipomoea carnea ("borrachera"), arbusto no palatable que coloniza áreas con sobrepastoreo caprino. La presencia confirmada de las seis especies clave del Bes-cm (Charán, Hualtaco, Palo Santo, Pasallo, Faique, Overo) y de cactáceas columnares nativas constituye un banco genético adecuado para restauración. La colindancia con el ACR Bosque Seco Salitral —reconocida por D.S. N° 019-2011-MINAM; Sector Norte: 25,137.36 ha en Salitral— posiciona al bloque M2B5 como zona de amortiguamiento estratégica y como corredor potencial de conectividad ecológica.</t>
        </is>
      </c>
    </row>
    <row r="77">
      <c r="A77" s="58" t="inlineStr">
        <is>
          <t>F-DT-04</t>
        </is>
      </c>
      <c r="B77" s="58" t="inlineStr">
        <is>
          <t>OBSERVACIONES: El bloque M2B5 presenta un perfil de degradación intermedio dentro del distrito de Salitral: indicadores cuantitativos en rango medio (cobertura vegetal 45%, suelo desnudo 25%, baja densidad de cárcavas, sin quemas recientes), pero con una causa subyacente persistente (sobrepastoreo caprino) y la dominancia de la especie indicadora de perturbación Ipomoea carnea sobre estrato arbustivo. A diferencia de bloques severamente degradados, M2B5 conserva un núcleo de Bosque Estacionalmente Seco en la parte alta —ecológicamente conectado al ACR Bosque Seco Salitral—, lo que abre la posibilidad de una estrategia de restauración pasiva-asistida de costo moderado, condicionada a un acuerdo de clausura ganadera con la población local.</t>
        </is>
      </c>
    </row>
    <row r="78">
      <c r="A78" s="57" t="inlineStr">
        <is>
          <t>F-DT-05</t>
        </is>
      </c>
      <c r="B78" s="57" t="inlineStr">
        <is>
          <t>OBSERVACIONES: El acceso al bloque es favorable durante todo el año (vía departamental afirmada Morropón–Salitral colinda al norte). La presencia de pasivos ambientales aguas abajo (intermitencia del río Piura observada en mayo) subraya la importancia hidrológica del bloque como zona de recarga de la cuenca baja. Para fases posteriores se recomienda coordinación formal con SERFOR-ARFFS Piura y con el Gobierno Regional Piura (Gerencia Regional de Recursos Naturales) por la condición de colindancia al Área de Conservación Regional Bosque Seco Salitral, así como con la JASS local y la Ronda Campesina del distrito de Salitral para acordar protocolos de ingreso y vigilancia.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M2B5</t>
        </is>
      </c>
    </row>
    <row r="7">
      <c r="A7" s="55" t="inlineStr">
        <is>
          <t>Hechos declarados por fuente</t>
        </is>
      </c>
    </row>
    <row r="8">
      <c r="A8" s="56" t="inlineStr">
        <is>
          <t>Fuente</t>
        </is>
      </c>
      <c r="B8" s="56" t="inlineStr">
        <is>
          <t>Hechos</t>
        </is>
      </c>
    </row>
    <row r="9">
      <c r="A9" s="57" t="inlineStr">
        <is>
          <t>Dato de campo</t>
        </is>
      </c>
      <c r="B9" s="57" t="n">
        <v>73</v>
      </c>
    </row>
    <row r="10">
      <c r="A10" s="58" t="inlineStr">
        <is>
          <t>Gabinete (GIS / teledetección)</t>
        </is>
      </c>
      <c r="B10" s="58" t="n">
        <v>22</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105</v>
      </c>
    </row>
    <row r="31">
      <c r="A31" s="58" t="inlineStr">
        <is>
          <t>COMPLEMENTADO</t>
        </is>
      </c>
      <c r="B31" s="58" t="n">
        <v>1</v>
      </c>
    </row>
    <row r="32">
      <c r="A32" s="57" t="inlineStr">
        <is>
          <t>ACTUALIZADO</t>
        </is>
      </c>
      <c r="B32" s="57" t="n">
        <v>3</v>
      </c>
    </row>
    <row r="33">
      <c r="A33" s="58" t="inlineStr">
        <is>
          <t>DISCREPANTE</t>
        </is>
      </c>
      <c r="B33" s="58" t="n">
        <v>0</v>
      </c>
    </row>
    <row r="34">
      <c r="A34" s="57" t="inlineStr">
        <is>
          <t>PENDIENTE</t>
        </is>
      </c>
      <c r="B34" s="57" t="n">
        <v>5</v>
      </c>
    </row>
    <row r="51">
      <c r="A51" s="55" t="inlineStr">
        <is>
          <t>Cobertura por estrato — campo (%)</t>
        </is>
      </c>
    </row>
    <row r="52">
      <c r="A52" s="56" t="inlineStr">
        <is>
          <t>Estrato</t>
        </is>
      </c>
      <c r="B52" s="56" t="inlineStr">
        <is>
          <t>% del área</t>
        </is>
      </c>
    </row>
    <row r="53">
      <c r="A53" s="57" t="inlineStr">
        <is>
          <t>Dosel</t>
        </is>
      </c>
      <c r="B53" s="62" t="n">
        <v>20</v>
      </c>
    </row>
    <row r="54">
      <c r="A54" s="58" t="inlineStr">
        <is>
          <t>Arbustiva</t>
        </is>
      </c>
      <c r="B54" s="64" t="n">
        <v>35</v>
      </c>
    </row>
    <row r="55">
      <c r="A55" s="57" t="inlineStr">
        <is>
          <t>Herbácea</t>
        </is>
      </c>
      <c r="B55" s="62" t="n">
        <v>15</v>
      </c>
    </row>
    <row r="56">
      <c r="A56" s="58" t="inlineStr">
        <is>
          <t>Hojarasca</t>
        </is>
      </c>
      <c r="B56" s="65" t="n">
        <v>8</v>
      </c>
    </row>
    <row r="57">
      <c r="A57" s="57" t="inlineStr">
        <is>
          <t>Suelo desnudo</t>
        </is>
      </c>
      <c r="B57" s="62" t="n">
        <v>25</v>
      </c>
    </row>
    <row r="74">
      <c r="A74" s="55" t="inlineStr">
        <is>
          <t>Causas activas de degradación (F-DT-04)</t>
        </is>
      </c>
    </row>
    <row r="75">
      <c r="A75" s="56" t="inlineStr">
        <is>
          <t>Causa</t>
        </is>
      </c>
      <c r="B75" s="56" t="inlineStr">
        <is>
          <t>Intensidad (1 ligera - 4 muy fuerte)</t>
        </is>
      </c>
    </row>
    <row r="76">
      <c r="A76" s="57" t="inlineStr">
        <is>
          <t>Sobrepastoreo (caprino/vacuno)</t>
        </is>
      </c>
      <c r="B76" s="57" t="n">
        <v>3</v>
      </c>
    </row>
    <row r="77">
      <c r="A77" s="58" t="inlineStr">
        <is>
          <t>Cambio de uso a pastoreo</t>
        </is>
      </c>
      <c r="B77" s="58" t="n">
        <v>2</v>
      </c>
    </row>
    <row r="78">
      <c r="A78" s="57" t="inlineStr">
        <is>
          <t>Sequía prolongada / CC</t>
        </is>
      </c>
      <c r="B78" s="57" t="n">
        <v>2</v>
      </c>
    </row>
    <row r="79">
      <c r="A79" s="58" t="inlineStr">
        <is>
          <t>Tala para leña</t>
        </is>
      </c>
      <c r="B79" s="58" t="n">
        <v>2</v>
      </c>
    </row>
    <row r="80">
      <c r="A80" s="57" t="inlineStr">
        <is>
          <t>Erosión natural severa</t>
        </is>
      </c>
      <c r="B80" s="57" t="n">
        <v>1</v>
      </c>
    </row>
    <row r="81">
      <c r="A81" s="58" t="inlineStr">
        <is>
          <t>Presión sobre relicto contiguo al ACR</t>
        </is>
      </c>
      <c r="B81" s="58" t="n">
        <v>1</v>
      </c>
    </row>
    <row r="82">
      <c r="A82" s="57" t="inlineStr">
        <is>
          <t>Tala para madera</t>
        </is>
      </c>
      <c r="B82" s="57" t="n">
        <v>1</v>
      </c>
    </row>
    <row r="99">
      <c r="A99" s="55" t="inlineStr">
        <is>
          <t>Control de consistencia por calificación</t>
        </is>
      </c>
    </row>
    <row r="100">
      <c r="A100" s="56" t="inlineStr">
        <is>
          <t>Calificación</t>
        </is>
      </c>
      <c r="B100" s="56" t="inlineStr">
        <is>
          <t>Verificaciones</t>
        </is>
      </c>
    </row>
    <row r="101">
      <c r="A101" s="57" t="inlineStr">
        <is>
          <t>SUSTANTIVA</t>
        </is>
      </c>
      <c r="B101" s="57" t="n">
        <v>4</v>
      </c>
    </row>
    <row r="102">
      <c r="A102" s="58" t="inlineStr">
        <is>
          <t>NO SUSTANTIVA</t>
        </is>
      </c>
      <c r="B102" s="58" t="n">
        <v>3</v>
      </c>
    </row>
    <row r="103">
      <c r="A103" s="57" t="inlineStr">
        <is>
          <t>CORREGIDO</t>
        </is>
      </c>
      <c r="B103" s="57" t="n">
        <v>4</v>
      </c>
    </row>
    <row r="104">
      <c r="A104" s="58" t="inlineStr">
        <is>
          <t>CONFORME</t>
        </is>
      </c>
      <c r="B104"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M2B5 — IN Piura</dc:title>
  <dc:subject>Diagnóstico Territorial por bloque de intervención</dc:subject>
  <dcterms:created xsi:type="dcterms:W3CDTF">2026-09-08T03:39:58Z</dcterms:created>
  <dcterms:modified xsi:type="dcterms:W3CDTF">2026-09-11T20:22:37Z</dcterms:modified>
</cp:coreProperties>
</file>