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integración'!$A$76:$A$85</f>
            </numRef>
          </cat>
          <val>
            <numRef>
              <f>'Gráficos de integración'!$B$76:$B$85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integración'!B103</f>
            </strRef>
          </tx>
          <spPr>
            <a:ln>
              <a:prstDash val="solid"/>
            </a:ln>
          </spPr>
          <cat>
            <numRef>
              <f>'Gráficos de integración'!$A$104:$A$107</f>
            </numRef>
          </cat>
          <val>
            <numRef>
              <f>'Gráficos de integración'!$B$104:$B$107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102</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M3B3</t>
        </is>
      </c>
    </row>
    <row r="6" ht="24" customHeight="1">
      <c r="A6" s="4" t="inlineStr">
        <is>
          <t>Diagnóstico Territorial — Plantilla DT Campo Check Validada V5 | Sistema de referencia: UTM WGS 84 Zona 17S (EPSG:32717) · Integrado con la ficha de campo F-DT vigente (F-DT_M3B3_Prellenado.xlsx) — V7 - resumen V6 + campo F-DT integrado</t>
        </is>
      </c>
    </row>
    <row r="7"/>
    <row r="8" ht="18" customHeight="1">
      <c r="A8" s="5" t="inlineStr">
        <is>
          <t>1. IDENTIFICACIÓN Y LOCALIZACIÓN</t>
        </is>
      </c>
    </row>
    <row r="9">
      <c r="A9" s="6" t="inlineStr">
        <is>
          <t>Código del bloque</t>
        </is>
      </c>
      <c r="B9" s="7" t="inlineStr">
        <is>
          <t>M3B3</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Alan García (ingreso); colindante con C.P. Bigote y Hacienda Bigote</t>
        </is>
      </c>
      <c r="C13" s="6" t="inlineStr">
        <is>
          <t>Comunidad campesina</t>
        </is>
      </c>
      <c r="D13" s="51" t="inlineStr">
        <is>
          <t>Sin registro en ficha</t>
        </is>
      </c>
      <c r="E13" s="8" t="n"/>
      <c r="F13" s="8" t="n"/>
    </row>
    <row r="14">
      <c r="A14" s="6" t="inlineStr">
        <is>
          <t>Superficie de catálogo (V5/V6), ha</t>
        </is>
      </c>
      <c r="B14" s="7" t="n">
        <v>84.81999999999999</v>
      </c>
      <c r="C14" s="6" t="inlineStr">
        <is>
          <t>Fuente de superficie</t>
        </is>
      </c>
      <c r="D14" s="7" t="inlineStr">
        <is>
          <t>Catálogo maestro Bloques V5/V6</t>
        </is>
      </c>
      <c r="E14" s="8" t="n"/>
      <c r="F14" s="8" t="n"/>
    </row>
    <row r="15">
      <c r="A15" s="6" t="inlineStr">
        <is>
          <t>Centroide UTM ESTE (m)</t>
        </is>
      </c>
      <c r="B15" s="7" t="n">
        <v>633015</v>
      </c>
      <c r="C15" s="6" t="inlineStr">
        <is>
          <t>Centroide UTM NORTE (m)</t>
        </is>
      </c>
      <c r="D15" s="7" t="n">
        <v>9411483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194</v>
      </c>
      <c r="C19" s="6" t="inlineStr">
        <is>
          <t>Altitud máxima (msnm)</t>
        </is>
      </c>
      <c r="D19" s="7" t="n">
        <v>375</v>
      </c>
      <c r="E19" s="8" t="n"/>
      <c r="F19" s="8" t="n"/>
    </row>
    <row r="20">
      <c r="A20" s="6" t="inlineStr">
        <is>
          <t>Amplitud altitudinal (m)</t>
        </is>
      </c>
      <c r="B20" s="7" t="n">
        <v>181</v>
      </c>
      <c r="C20" s="6" t="inlineStr">
        <is>
          <t>Piso altitudinal dominante</t>
        </is>
      </c>
      <c r="D20" s="7" t="inlineStr">
        <is>
          <t>&lt;1000 m (Yunga)</t>
        </is>
      </c>
      <c r="E20" s="8" t="n"/>
      <c r="F20" s="8" t="n"/>
    </row>
    <row r="21">
      <c r="A21" s="6" t="inlineStr">
        <is>
          <t>Pendiente promedio (%)</t>
        </is>
      </c>
      <c r="B21" s="7" t="n">
        <v>18.87</v>
      </c>
      <c r="C21" s="6" t="inlineStr">
        <is>
          <t>Pendiente promedio (grados)</t>
        </is>
      </c>
      <c r="D21" s="7" t="n">
        <v>10.7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51" t="inlineStr">
        <is>
          <t>Localizados (escarpes incipientes en cabecera de quebrada Charanal)</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0.2985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(55.86 %)</t>
        </is>
      </c>
      <c r="E29" s="8" t="n"/>
      <c r="F29" s="8" t="n"/>
    </row>
    <row r="30">
      <c r="A30" s="6" t="inlineStr">
        <is>
          <t>Superficie clasificada NDVI 2025 (ha)</t>
        </is>
      </c>
      <c r="B30" s="7" t="n">
        <v>84.855</v>
      </c>
      <c r="C30" s="6" t="inlineStr">
        <is>
          <t>Desviación frente al catálogo (%)</t>
        </is>
      </c>
      <c r="D30" s="7" t="n">
        <v>0.04</v>
      </c>
      <c r="E30" s="8" t="n"/>
      <c r="F30" s="8" t="n"/>
    </row>
    <row r="31">
      <c r="A31" s="6" t="inlineStr">
        <is>
          <t>Superficie clasificada MSAVI 2024 (ha)</t>
        </is>
      </c>
      <c r="B31" s="39" t="n">
        <v>84.825</v>
      </c>
      <c r="C31" s="6" t="inlineStr">
        <is>
          <t>Desviación MSAVI frente al catálogo (%)</t>
        </is>
      </c>
      <c r="D31" s="40" t="n">
        <v>0.01</v>
      </c>
      <c r="E31" s="8" t="n"/>
      <c r="F31" s="8" t="n"/>
    </row>
    <row r="32">
      <c r="A32" s="6" t="inlineStr">
        <is>
          <t>Superficie bajo umbral MSAVI 0.4976 (ha)</t>
        </is>
      </c>
      <c r="B32" s="39" t="n">
        <v>84.735</v>
      </c>
      <c r="C32" s="6" t="inlineStr">
        <is>
          <t>% del bloque bajo umbral (brecha espectral)</t>
        </is>
      </c>
      <c r="D32" s="40" t="n">
        <v>99.89</v>
      </c>
      <c r="E32" s="8" t="n"/>
      <c r="F32" s="8" t="n"/>
    </row>
    <row r="33">
      <c r="A33" s="6" t="inlineStr">
        <is>
          <t>Clase DN dominante (MSAVI 2024)</t>
        </is>
      </c>
      <c r="B33" s="7" t="inlineStr">
        <is>
          <t>DN 2 · 0.2650 - 0.3813 (Vigor muy bajo)</t>
        </is>
      </c>
      <c r="C33" s="6" t="inlineStr">
        <is>
          <t>N.° de polígonos MSAVI del bloque</t>
        </is>
      </c>
      <c r="D33" s="41" t="n">
        <v>290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84.82 ha (100% del bloque)</t>
        </is>
      </c>
      <c r="E36" s="8" t="n"/>
      <c r="F36" s="8" t="n"/>
    </row>
    <row r="37">
      <c r="A37" s="6" t="inlineStr">
        <is>
          <t>Estado de conservación</t>
        </is>
      </c>
      <c r="B37" s="7" t="inlineStr">
        <is>
          <t>Medianamente alterado</t>
        </is>
      </c>
      <c r="C37" s="6" t="inlineStr">
        <is>
          <t>Uso actual dominante del suelo</t>
        </is>
      </c>
      <c r="D37" s="51" t="inlineStr">
        <is>
          <t>Forestal protección</t>
        </is>
      </c>
      <c r="E37" s="8" t="n"/>
      <c r="F37" s="8" t="n"/>
    </row>
    <row r="38">
      <c r="A38" s="6" t="inlineStr">
        <is>
          <t>Tipo de cobertura dominante</t>
        </is>
      </c>
      <c r="B38" s="51" t="inlineStr">
        <is>
          <t>Bosque seco semidenso a ralo con cactáceas columnares y dominancia de Charán y Pasallo</t>
        </is>
      </c>
      <c r="C38" s="6" t="inlineStr">
        <is>
          <t>Cobertura vegetal total — campo (%)</t>
        </is>
      </c>
      <c r="D38" s="7" t="n">
        <v>65</v>
      </c>
      <c r="E38" s="8" t="n"/>
      <c r="F38" s="8" t="n"/>
    </row>
    <row r="39">
      <c r="A39" s="6" t="inlineStr">
        <is>
          <t>Suelo desnudo — campo (%)</t>
        </is>
      </c>
      <c r="B39" s="7" t="n">
        <v>20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51" t="inlineStr">
        <is>
          <t>13</t>
        </is>
      </c>
      <c r="C41" s="6" t="inlineStr">
        <is>
          <t>Estado sanitario</t>
        </is>
      </c>
      <c r="D41" s="51" t="inlineStr">
        <is>
          <t>Bueno con signos de estrés hídrico estacional (defoliación parcial post lluvia)</t>
        </is>
      </c>
      <c r="E41" s="8" t="n"/>
      <c r="F41" s="8" t="n"/>
    </row>
    <row r="42"/>
    <row r="43" ht="18" customHeight="1">
      <c r="A43" s="5" t="inlineStr">
        <is>
          <t>5. RESPONSABLE Y MODALIDAD DE LA EVALUACIÓN</t>
        </is>
      </c>
    </row>
    <row r="44">
      <c r="A44" s="6" t="inlineStr">
        <is>
          <t>Responsable de la evaluación</t>
        </is>
      </c>
      <c r="B44" s="7" t="inlineStr">
        <is>
          <t>Ing. H. Salomón Cahuas M. / Ing. Juan C. Domínguez V.</t>
        </is>
      </c>
      <c r="C44" s="6" t="inlineStr">
        <is>
          <t>Fecha de evaluación</t>
        </is>
      </c>
      <c r="D44" s="7" t="inlineStr">
        <is>
          <t>2026-05-12</t>
        </is>
      </c>
      <c r="E44" s="8" t="n"/>
      <c r="F44" s="8" t="n"/>
    </row>
    <row r="45">
      <c r="A45" s="6" t="inlineStr">
        <is>
          <t>Hora de registro</t>
        </is>
      </c>
      <c r="B45" s="7" t="inlineStr">
        <is>
          <t>09:00 - 11:30 h</t>
        </is>
      </c>
      <c r="C45" s="6" t="inlineStr">
        <is>
          <t>Correlativo de ficha</t>
        </is>
      </c>
      <c r="D45" s="7" t="inlineStr">
        <is>
          <t>F-DT-01-M3B3-001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Parcela de campo (referida en indicador N.° 1)</t>
        </is>
      </c>
      <c r="E47" s="8" t="n"/>
      <c r="F47" s="8" t="n"/>
    </row>
    <row r="48">
      <c r="A48" s="6" t="inlineStr">
        <is>
          <t>Estaciones fotográficas georreferenciadas</t>
        </is>
      </c>
      <c r="B48" s="7" t="n">
        <v>0</v>
      </c>
      <c r="C48" s="6" t="inlineStr">
        <is>
          <t>Modalidad de acceso</t>
        </is>
      </c>
      <c r="D48" s="51" t="inlineStr">
        <is>
          <t>Vehicular hasta C.P. Alan García, luego acceso a pie por trocha y senderos de ganado</t>
        </is>
      </c>
      <c r="E48" s="8" t="n"/>
      <c r="F48" s="8" t="n"/>
    </row>
    <row r="49"/>
    <row r="50" ht="18" customHeight="1">
      <c r="A50" s="5" t="inlineStr">
        <is>
          <t>6. SÍNTESIS PARA LA GESTIÓN DEL RIESGO EN CONTEXTO DE CAMBIO CLIMÁTICO</t>
        </is>
      </c>
    </row>
    <row r="51">
      <c r="A51" s="6" t="inlineStr">
        <is>
          <t>Causa subyacente principal</t>
        </is>
      </c>
      <c r="B51" s="51" t="inlineStr">
        <is>
          <t>Motor subyacente: economía campesina de subsistencia con baja diversificación productiva, tenencia precaria de la tierra y crecimiento poblacional de C.P. Alan Garcí y Bigote y anexos sin planificación territorial. Variabilidad climática (FEN) amplifica las presiones.</t>
        </is>
      </c>
      <c r="C51" s="6" t="inlineStr">
        <is>
          <t>Velocidad de degradación</t>
        </is>
      </c>
      <c r="D51" s="51" t="inlineStr">
        <is>
          <t>Lenta a media (visible en escala de 10-20 años; aceleración en pie de ladera por urbanización</t>
        </is>
      </c>
      <c r="E51" s="8" t="n"/>
      <c r="F51" s="8" t="n"/>
    </row>
    <row r="52">
      <c r="A52" s="6" t="inlineStr">
        <is>
          <t>Reversibilidad técnica</t>
        </is>
      </c>
      <c r="B52" s="51" t="inlineStr">
        <is>
          <t>Media (degradación reversible mediante intervenciones de Infraestructura Natural integradas con gobernanza local; el componente urbano informal requiere abordaje extra-proyecto)</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51" t="inlineStr">
        <is>
          <t>Sí — laderas del bloque generan escorrentía hacia el Río Bigote y captaciones aguas abajo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0.0891</v>
      </c>
      <c r="C11" s="21">
        <f>ROUND(B11/$B$15*100,2)</f>
        <v/>
      </c>
      <c r="D11" s="13" t="inlineStr">
        <is>
          <t>Vigor moderado</t>
        </is>
      </c>
      <c r="E11" s="13" t="inlineStr">
        <is>
          <t>Sobre umbral</t>
        </is>
      </c>
    </row>
    <row r="12">
      <c r="A12" s="7" t="inlineStr">
        <is>
          <t>0.3813 - 0.4976 · DN 3</t>
        </is>
      </c>
      <c r="B12" s="18" t="n">
        <v>4.8976</v>
      </c>
      <c r="C12" s="19">
        <f>ROUND(B12/$B$15*100,2)</f>
        <v/>
      </c>
      <c r="D12" s="11" t="inlineStr">
        <is>
          <t>Vigor bajo</t>
        </is>
      </c>
      <c r="E12" s="11" t="inlineStr">
        <is>
          <t>BAJO umbral 0.4976</t>
        </is>
      </c>
    </row>
    <row r="13">
      <c r="A13" s="14" t="inlineStr">
        <is>
          <t>0.2650 - 0.3813 · DN 2</t>
        </is>
      </c>
      <c r="B13" s="32" t="n">
        <v>56.7675</v>
      </c>
      <c r="C13" s="31">
        <f>ROUND(B13/$B$15*100,2)</f>
        <v/>
      </c>
      <c r="D13" s="15" t="inlineStr">
        <is>
          <t>Vigor muy bajo</t>
        </is>
      </c>
      <c r="E13" s="15" t="inlineStr">
        <is>
          <t>BAJO umbral 0.4976</t>
        </is>
      </c>
    </row>
    <row r="14">
      <c r="A14" s="7" t="inlineStr">
        <is>
          <t>&lt;= 0.2650 · DN 1</t>
        </is>
      </c>
      <c r="B14" s="18" t="n">
        <v>23.0704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290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84.81999999999999</v>
      </c>
      <c r="C18" s="50" t="inlineStr">
        <is>
          <t>—</t>
        </is>
      </c>
      <c r="D18" s="47" t="inlineStr">
        <is>
          <t>Desviación planimétrica frente al catálogo</t>
        </is>
      </c>
      <c r="E18" s="47" t="inlineStr">
        <is>
          <t>+0.01 %</t>
        </is>
      </c>
    </row>
    <row r="19">
      <c r="A19" s="16" t="inlineStr">
        <is>
          <t>MSAVI 2024 — MEDIA DEL BLOQUE</t>
        </is>
      </c>
      <c r="B19" s="17" t="n">
        <v>0.298483</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290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(0.2985)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0.4975</v>
      </c>
      <c r="C25" s="19" t="n">
        <v>0.59</v>
      </c>
      <c r="D25" s="11" t="inlineStr">
        <is>
          <t>Dosel continuo, matorral denso o mosaico agroforestal</t>
        </is>
      </c>
      <c r="E25" s="11" t="inlineStr"/>
    </row>
    <row r="26">
      <c r="A26" s="12" t="inlineStr">
        <is>
          <t>Vegetación mediana</t>
        </is>
      </c>
      <c r="B26" s="20" t="n">
        <v>34.9315</v>
      </c>
      <c r="C26" s="21" t="n">
        <v>41.17</v>
      </c>
      <c r="D26" s="13" t="inlineStr">
        <is>
          <t>Pastizal cultivado, matorral ralo, parcelas agrícolas</t>
        </is>
      </c>
      <c r="E26" s="13" t="inlineStr"/>
    </row>
    <row r="27">
      <c r="A27" s="7" t="inlineStr">
        <is>
          <t>Vegetación ligera</t>
        </is>
      </c>
      <c r="B27" s="18" t="n">
        <v>47.3967</v>
      </c>
      <c r="C27" s="19" t="n">
        <v>55.86</v>
      </c>
      <c r="D27" s="11" t="inlineStr">
        <is>
          <t>Cobertura discontinua, suelo parcialmente expuesto</t>
        </is>
      </c>
      <c r="E27" s="11" t="inlineStr"/>
    </row>
    <row r="28">
      <c r="A28" s="12" t="inlineStr">
        <is>
          <t>Tierra desnuda</t>
        </is>
      </c>
      <c r="B28" s="20" t="n">
        <v>2.0295</v>
      </c>
      <c r="C28" s="21" t="n">
        <v>2.39</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84.81999999999999</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0.59 % del polígono clasificado como «Vegetación alta» por el NDVI 2025; la observación de campo corresponde a una parcela o recorrido puntual y no es estadísticamente representativa de las 84.820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M3B3</t>
        </is>
      </c>
    </row>
    <row r="6" ht="24" customHeight="1">
      <c r="A6" s="4" t="inlineStr">
        <is>
          <t>Levantamiento del 2026-05-12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632918</v>
      </c>
      <c r="D10" s="26" t="n">
        <v>9411574</v>
      </c>
      <c r="E10" s="11" t="n">
        <v>133</v>
      </c>
      <c r="F10" s="11" t="inlineStr"/>
      <c r="G10" s="11" t="inlineStr">
        <is>
          <t>Coordenada consignada en F-DT-01</t>
        </is>
      </c>
    </row>
    <row r="11">
      <c r="A11" s="12" t="inlineStr">
        <is>
          <t>C-01</t>
        </is>
      </c>
      <c r="B11" s="13" t="inlineStr">
        <is>
          <t>Rasgo erosivo — Cárcava somera (0.5-2 m) — 110 m, 1.2 m prof., 1.8 m ancho</t>
        </is>
      </c>
      <c r="C11" s="27" t="n">
        <v>633100</v>
      </c>
      <c r="D11" s="27" t="n">
        <v>9411527</v>
      </c>
      <c r="E11" s="13" t="n">
        <v>95.7</v>
      </c>
      <c r="F11" s="13" t="inlineStr">
        <is>
          <t>Activa</t>
        </is>
      </c>
      <c r="G11" s="13" t="inlineStr">
        <is>
          <t>Socavamiento de cauce</t>
        </is>
      </c>
    </row>
    <row r="12">
      <c r="A12" s="7" t="inlineStr">
        <is>
          <t>C-02</t>
        </is>
      </c>
      <c r="B12" s="11" t="inlineStr">
        <is>
          <t>Rasgo erosivo — Surco (&lt;30 cm) — 90 m, 0.25 m prof., 0.4 m ancho</t>
        </is>
      </c>
      <c r="C12" s="26" t="n">
        <v>632913</v>
      </c>
      <c r="D12" s="26" t="n">
        <v>9411514</v>
      </c>
      <c r="E12" s="11" t="n">
        <v>106.6</v>
      </c>
      <c r="F12" s="11" t="inlineStr">
        <is>
          <t>Semi-activa</t>
        </is>
      </c>
      <c r="G12" s="11" t="inlineStr">
        <is>
          <t>Sobrepastoreo</t>
        </is>
      </c>
    </row>
    <row r="13">
      <c r="A13" s="12" t="inlineStr">
        <is>
          <t>C-03</t>
        </is>
      </c>
      <c r="B13" s="13" t="inlineStr">
        <is>
          <t>Rasgo erosivo — Cárcava incipiente — 55 m, 0.45 m prof., 0.7 m ancho</t>
        </is>
      </c>
      <c r="C13" s="27" t="n">
        <v>632845</v>
      </c>
      <c r="D13" s="27" t="n">
        <v>9411562</v>
      </c>
      <c r="E13" s="13" t="n">
        <v>187.5</v>
      </c>
      <c r="F13" s="13" t="inlineStr">
        <is>
          <t>Activa</t>
        </is>
      </c>
      <c r="G13" s="13" t="inlineStr">
        <is>
          <t>Caminos / huellas de ganado</t>
        </is>
      </c>
    </row>
    <row r="14">
      <c r="A14" s="7" t="inlineStr">
        <is>
          <t>C-04</t>
        </is>
      </c>
      <c r="B14" s="11" t="inlineStr">
        <is>
          <t>Rasgo erosivo — Surco (&lt;30 cm) — 150 m, 0.2 m prof., 0.35 m ancho</t>
        </is>
      </c>
      <c r="C14" s="26" t="n">
        <v>632748</v>
      </c>
      <c r="D14" s="26" t="n">
        <v>9411549</v>
      </c>
      <c r="E14" s="11" t="n">
        <v>275</v>
      </c>
      <c r="F14" s="11" t="inlineStr">
        <is>
          <t>Semi-activa</t>
        </is>
      </c>
      <c r="G14" s="11" t="inlineStr">
        <is>
          <t>Concentración natural de escorrentía</t>
        </is>
      </c>
    </row>
    <row r="15">
      <c r="A15" s="12" t="inlineStr">
        <is>
          <t>H-01</t>
        </is>
      </c>
      <c r="B15" s="13" t="inlineStr">
        <is>
          <t>Fuente de agua — Quebrada estacional</t>
        </is>
      </c>
      <c r="C15" s="27" t="n">
        <v>633139</v>
      </c>
      <c r="D15" s="27" t="n">
        <v>9411630</v>
      </c>
      <c r="E15" s="13" t="n">
        <v>192.3</v>
      </c>
      <c r="F15" s="13" t="inlineStr">
        <is>
          <t>Estacional</t>
        </is>
      </c>
      <c r="G15" s="13" t="inlineStr">
        <is>
          <t>Sin uso permanente</t>
        </is>
      </c>
    </row>
    <row r="16">
      <c r="A16" s="7" t="inlineStr">
        <is>
          <t>H-02</t>
        </is>
      </c>
      <c r="B16" s="11" t="inlineStr">
        <is>
          <t>Fuente de agua — Quebrada estacional (Charanal)</t>
        </is>
      </c>
      <c r="C16" s="26" t="n">
        <v>633103</v>
      </c>
      <c r="D16" s="26" t="n">
        <v>9411529</v>
      </c>
      <c r="E16" s="11" t="n">
        <v>99.3</v>
      </c>
      <c r="F16" s="11" t="inlineStr">
        <is>
          <t>Estacional</t>
        </is>
      </c>
      <c r="G16" s="11" t="inlineStr">
        <is>
          <t>Quebrada Charanal — cauce principal</t>
        </is>
      </c>
    </row>
    <row r="17">
      <c r="A17" s="12" t="inlineStr">
        <is>
          <t>H-03</t>
        </is>
      </c>
      <c r="B17" s="13" t="inlineStr">
        <is>
          <t>Fuente de agua — Quebrada estacional / manantial</t>
        </is>
      </c>
      <c r="C17" s="27" t="n">
        <v>632748</v>
      </c>
      <c r="D17" s="27" t="n">
        <v>9411549</v>
      </c>
      <c r="E17" s="13" t="n">
        <v>275</v>
      </c>
      <c r="F17" s="13" t="inlineStr">
        <is>
          <t>Estacional</t>
        </is>
      </c>
      <c r="G17" s="13" t="inlineStr">
        <is>
          <t>Pequeño afloramiento en cabecera</t>
        </is>
      </c>
    </row>
    <row r="18">
      <c r="A18" s="7" t="inlineStr">
        <is>
          <t>H-04</t>
        </is>
      </c>
      <c r="B18" s="11" t="inlineStr">
        <is>
          <t>Fuente de agua — Río</t>
        </is>
      </c>
      <c r="C18" s="26" t="n">
        <v>633500</v>
      </c>
      <c r="D18" s="26" t="n">
        <v>9412000</v>
      </c>
      <c r="E18" s="11" t="n">
        <v>708.9</v>
      </c>
      <c r="F18" s="11" t="inlineStr">
        <is>
          <t>Permanente</t>
        </is>
      </c>
      <c r="G18" s="11" t="inlineStr">
        <is>
          <t>Río Bigote — fuera del bloque</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633015</v>
      </c>
      <c r="C21" s="6" t="inlineStr">
        <is>
          <t>Centroide del bloque — UTM NORTE (m)</t>
        </is>
      </c>
      <c r="D21" s="7" t="n">
        <v>9411483</v>
      </c>
      <c r="E21" s="8" t="n"/>
      <c r="F21" s="8" t="n"/>
      <c r="G21" s="8" t="n"/>
      <c r="H21" s="8" t="n"/>
    </row>
    <row r="22">
      <c r="A22" s="6" t="inlineStr">
        <is>
          <t>N.° de estaciones fotográficas declaradas</t>
        </is>
      </c>
      <c r="B22" s="7" t="n">
        <v>0</v>
      </c>
      <c r="C22" s="6" t="inlineStr">
        <is>
          <t>Estaciones dentro del polígono</t>
        </is>
      </c>
      <c r="D22" s="7" t="n">
        <v>0</v>
      </c>
      <c r="E22" s="8" t="n"/>
      <c r="F22" s="8" t="n"/>
      <c r="G22" s="8" t="n"/>
      <c r="H22" s="8" t="n"/>
    </row>
    <row r="24" ht="120"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Sector colinoso del flanco norte del valle del Río Bigote, con altitudes entre 195 y 300 msnm. El ingreso se realizó desde el C.P. Alan García. SE EVIDENCIA PRESIÓN ANTRÓPICA FUERTE EN EL PIE DE LADERA POR EXPANSIÓN URBANA INFORMAL (VIVIENDAS ASENTADAS SOBRE LADERAS Y MÁRGENES DE QUEBRADA). La litología dominante (esquistos/filitas) y la pendiente &gt;15% configuran un ESCENARIO DE SUSCEPTIBILIDAD MEDIA A ALTA FRENTE A MOVIMIENTOS EN MASA, especialmente en eventos FEN extraordinarios.</t>
        </is>
      </c>
      <c r="B24" s="42" t="n"/>
      <c r="C24" s="42" t="n"/>
      <c r="D24" s="42" t="n"/>
      <c r="E24" s="42" t="n"/>
      <c r="F24" s="42" t="n"/>
      <c r="G24" s="43"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M3B3</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4" t="inlineStr">
        <is>
          <t>► M3B3</t>
        </is>
      </c>
      <c r="B13" s="30" t="n">
        <v>84.81999999999999</v>
      </c>
      <c r="C13" s="31" t="n">
        <v>6.72</v>
      </c>
      <c r="D13" s="15" t="inlineStr">
        <is>
          <t>194 – 375</t>
        </is>
      </c>
      <c r="E13" s="15" t="n">
        <v>181</v>
      </c>
      <c r="F13" s="15" t="n">
        <v>18.87</v>
      </c>
      <c r="G13" s="32" t="n">
        <v>0.2985</v>
      </c>
      <c r="H13" s="31" t="n">
        <v>0.59</v>
      </c>
      <c r="I13" s="3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2" t="inlineStr">
        <is>
          <t>M3B6</t>
        </is>
      </c>
      <c r="B15" s="29" t="n">
        <v>60.35</v>
      </c>
      <c r="C15" s="21" t="n">
        <v>4.78</v>
      </c>
      <c r="D15" s="13" t="inlineStr">
        <is>
          <t>235 – 499</t>
        </is>
      </c>
      <c r="E15" s="13" t="n">
        <v>264</v>
      </c>
      <c r="F15" s="13" t="n">
        <v>23.39</v>
      </c>
      <c r="G15" s="20" t="n">
        <v>0.3425</v>
      </c>
      <c r="H15" s="21" t="n">
        <v>1.08</v>
      </c>
      <c r="I15" s="2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9" ht="84" customHeight="1">
      <c r="A19" s="9" t="inlineStr">
        <is>
          <t>LECTURA INTRAMICROCUENCA. El bloque M3B3 ocupa el puesto 4 de 7 por superficie dentro de la microcuenca C1081-Q9582 (6.72 % de las 1261.62 ha preliminares de la microcuenca). Su pendiente promedio (18.87 %, clase «15-25% (Fuert. inclinado)») es la 4.ª más baja de 7 y se sitúa por encima del promedio de la microcuenca (18.59 %). Su MSAVI 2024 (0.2985) es el 5.º de 7 y queda por debajo del promedio local (0.3190). Amplitud altitudinal del bloque: 181 m (194–375 msnm). El cuadro conserva todos los bloques catalogados en la microcuenca, incluidos los descartados en el tamizaje, para referencia del conjunto. Los bloques sin ficha DT figuran con sus parámetros de gabinete. BRECHA ESPECTRAL. El 99.89 % de la superficie del bloque (84.735 ha de 84.825 ha) se sitúa bajo el umbral MSAVI 0.4976, por encima del promedio local de la microcuenca (99.15 %) calculado sobre los bloques con dato MSAVI disponible.</t>
        </is>
      </c>
      <c r="B19" s="42" t="n"/>
      <c r="C19" s="42" t="n"/>
      <c r="D19" s="42" t="n"/>
      <c r="E19" s="42" t="n"/>
      <c r="F19" s="42" t="n"/>
      <c r="G19" s="42" t="n"/>
      <c r="H19" s="42" t="n"/>
      <c r="I19" s="43"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2" t="n"/>
      <c r="I21" s="43"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1"/>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M3B3</t>
        </is>
      </c>
    </row>
    <row r="6">
      <c r="A6" s="53" t="inlineStr">
        <is>
          <t>Cruce de la ficha de campo F-DT vigente con la ficha de resumen de gabinete y el catálogo maestro. Integración 2026-09-11 20:22:38.</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«C1081-Q9582».</t>
        </is>
      </c>
      <c r="D9" s="57" t="inlineStr">
        <is>
          <t>CONFORME</t>
        </is>
      </c>
      <c r="E9" s="57" t="inlineStr">
        <is>
          <t>Sin acción.</t>
        </is>
      </c>
    </row>
    <row r="10">
      <c r="A10" s="58" t="inlineStr">
        <is>
          <t>G-02</t>
        </is>
      </c>
      <c r="B10" s="58" t="inlineStr">
        <is>
          <t>UTM del punto de muestreo</t>
        </is>
      </c>
      <c r="C10" s="58" t="inlineStr">
        <is>
          <t>El punto de muestreo declarado dista 106.6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(234 msnm) cae dentro del rango altitudinal del bloque (194 - 375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(84.855 ha) se desvía 0.04 % de la superficie de catálogo (84.82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(84.825 ha) se desvía 0.01 % de la superficie de catálogo (84.82 ha).</t>
        </is>
      </c>
      <c r="D14" s="58" t="inlineStr">
        <is>
          <t>CONFORME</t>
        </is>
      </c>
      <c r="E14" s="58" t="inlineStr">
        <is>
          <t>Sin acción: la segmentación valida la geometría del bloque.</t>
        </is>
      </c>
    </row>
    <row r="15">
      <c r="A15" s="57" t="inlineStr">
        <is>
          <t>G-07</t>
        </is>
      </c>
      <c r="B15" s="57" t="inlineStr">
        <is>
          <t>Brecha espectral MSAVI</t>
        </is>
      </c>
      <c r="C15" s="57" t="inlineStr">
        <is>
          <t>El 99.89 % del bloque queda bajo el umbral 0.4976; superficie de brecha 84.74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84.82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(0.2985)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Escarpes activos</t>
        </is>
      </c>
      <c r="C19" s="57" t="inlineStr">
        <is>
          <t>El libro de resumen V6 consignaba «Sí»; la ficha de campo vigente declara «Localizados (escarpes incipientes en cabecera de quebrada Charanal)».</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Uso actual dominante del suelo</t>
        </is>
      </c>
      <c r="C20" s="58" t="inlineStr">
        <is>
          <t>El libro de resumen V6 consignaba «Forestal de protección»; la ficha de campo vigente declara «Forestal protección».</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Tipo de cobertura dominante</t>
        </is>
      </c>
      <c r="C21" s="57" t="inlineStr">
        <is>
          <t>El libro de resumen V6 consignaba «Mixto / Mosaico»; la ficha de campo vigente declara «Bosque seco semidenso a ralo con cactáceas columnares y dominancia de Charán y Pasallo».</t>
        </is>
      </c>
      <c r="D21" s="57" t="inlineStr">
        <is>
          <t>CORREGIDO</t>
        </is>
      </c>
      <c r="E21" s="57" t="inlineStr">
        <is>
          <t>Se adopta el valor de campo por ser la fuente que manda sobre el dato y la más reciente. El valor anterior queda declarado para trazabilidad.</t>
        </is>
      </c>
    </row>
    <row r="22">
      <c r="A22" s="58" t="inlineStr">
        <is>
          <t>I-04</t>
        </is>
      </c>
      <c r="B22" s="58" t="inlineStr">
        <is>
          <t>Estado sanitario</t>
        </is>
      </c>
      <c r="C22" s="58" t="inlineStr">
        <is>
          <t>El libro de resumen V6 consignaba «Sin registro en ficha»; la ficha de campo vigente declara «Bueno con signos de estrés hídrico estacional (defoliación parcial post lluvia)».</t>
        </is>
      </c>
      <c r="D22" s="58" t="inlineStr">
        <is>
          <t>CORREGIDO</t>
        </is>
      </c>
      <c r="E22" s="58" t="inlineStr">
        <is>
          <t>Se adopta el valor de campo por ser la fuente que manda sobre el dato y la más reciente. El valor anterior queda declarado para trazabilidad.</t>
        </is>
      </c>
    </row>
    <row r="23">
      <c r="A23" s="57" t="inlineStr">
        <is>
          <t>I-05</t>
        </is>
      </c>
      <c r="B23" s="57" t="inlineStr">
        <is>
          <t>Elenco florístico (n.o de taxones)</t>
        </is>
      </c>
      <c r="C23" s="57" t="inlineStr">
        <is>
          <t>El libro de resumen V6 consignaba «12»; la ficha de campo vigente declara «13».</t>
        </is>
      </c>
      <c r="D23" s="57" t="inlineStr">
        <is>
          <t>CORREGIDO</t>
        </is>
      </c>
      <c r="E23" s="57" t="inlineStr">
        <is>
          <t>Se adopta el valor de campo por ser la fuente que manda sobre el dato y la más reciente. El valor anterior queda declarado para trazabilidad.</t>
        </is>
      </c>
    </row>
    <row r="24">
      <c r="A24" s="58" t="inlineStr">
        <is>
          <t>I-06</t>
        </is>
      </c>
      <c r="B24" s="58" t="inlineStr">
        <is>
          <t>Causa subyacente principal</t>
        </is>
      </c>
      <c r="C24" s="58" t="inlineStr">
        <is>
          <t>El libro de resumen V6 consignaba «Economía campesina de subsistencia con baja diversificación productiva y tenencia precaria de la tierra»; la ficha de campo vigente declara «Motor subyacente: economía campesina de subsistencia con baja diversificación productiva, tenencia precaria de la tierra y crecimiento pobl…».</t>
        </is>
      </c>
      <c r="D24" s="58" t="inlineStr">
        <is>
          <t>CORREGIDO</t>
        </is>
      </c>
      <c r="E24" s="58" t="inlineStr">
        <is>
          <t>Se adopta el valor de campo por ser la fuente que manda sobre el dato y la más reciente. El valor anterior queda declarado para trazabilidad.</t>
        </is>
      </c>
    </row>
    <row r="25">
      <c r="A25" s="57" t="inlineStr">
        <is>
          <t>I-07</t>
        </is>
      </c>
      <c r="B25" s="57" t="inlineStr">
        <is>
          <t>Velocidad de degradación</t>
        </is>
      </c>
      <c r="C25" s="57" t="inlineStr">
        <is>
          <t>El libro de resumen V6 consignaba «Moderada»; la ficha de campo vigente declara «Lenta a media (visible en escala de 10-20 años; aceleración en pie de ladera por urbanización».</t>
        </is>
      </c>
      <c r="D25" s="57" t="inlineStr">
        <is>
          <t>CORREGIDO</t>
        </is>
      </c>
      <c r="E25" s="57" t="inlineStr">
        <is>
          <t>Se adopta el valor de campo por ser la fuente que manda sobre el dato y la más reciente. El valor anterior queda declarado para trazabilidad.</t>
        </is>
      </c>
    </row>
    <row r="26">
      <c r="A26" s="58" t="inlineStr">
        <is>
          <t>I-08</t>
        </is>
      </c>
      <c r="B26" s="58" t="inlineStr">
        <is>
          <t>Reversibilidad técnica</t>
        </is>
      </c>
      <c r="C26" s="58" t="inlineStr">
        <is>
          <t>El libro de resumen V6 consignaba «Parcialmente reversible»; la ficha de campo vigente declara «Media (degradación reversible mediante intervenciones de Infraestructura Natural integradas con gobernanza local; el componente urbano info…».</t>
        </is>
      </c>
      <c r="D26" s="58" t="inlineStr">
        <is>
          <t>CORREGIDO</t>
        </is>
      </c>
      <c r="E26" s="58" t="inlineStr">
        <is>
          <t>Se adopta el valor de campo por ser la fuente que manda sobre el dato y la más reciente. El valor anterior queda declarado para trazabilidad.</t>
        </is>
      </c>
    </row>
    <row r="27">
      <c r="A27" s="57" t="inlineStr">
        <is>
          <t>I-09</t>
        </is>
      </c>
      <c r="B27" s="57" t="inlineStr">
        <is>
          <t>Zona de recarga hídrica</t>
        </is>
      </c>
      <c r="C27" s="57" t="inlineStr">
        <is>
          <t>El libro de resumen V6 consignaba «Sin registro en ficha»; la ficha de campo vigente declara «Sí — laderas del bloque generan escorrentía hacia el Río Bigote y captaciones aguas abajo».</t>
        </is>
      </c>
      <c r="D27" s="57" t="inlineStr">
        <is>
          <t>CORREGIDO</t>
        </is>
      </c>
      <c r="E27" s="57" t="inlineStr">
        <is>
          <t>Se adopta el valor de campo por ser la fuente que manda sobre el dato y la más reciente. El valor anterior queda declarado para trazabilidad.</t>
        </is>
      </c>
    </row>
    <row r="28">
      <c r="A28" s="58" t="inlineStr">
        <is>
          <t>I-10</t>
        </is>
      </c>
      <c r="B28" s="58" t="inlineStr">
        <is>
          <t>Modalidad de acceso</t>
        </is>
      </c>
      <c r="C28" s="58" t="inlineStr">
        <is>
          <t>El libro de resumen V6 consignaba «Vehicular hasta C.P. Alan García + caminata 20-30 min»; la ficha de campo vigente declara «Vehicular hasta C.P. Alan García, luego acceso a pie por trocha y senderos de ganado».</t>
        </is>
      </c>
      <c r="D28" s="58" t="inlineStr">
        <is>
          <t>CORREGIDO</t>
        </is>
      </c>
      <c r="E28" s="58" t="inlineStr">
        <is>
          <t>Se adopta el valor de campo por ser la fuente que manda sobre el dato y la más reciente. El valor anterior queda declarado para trazabilidad.</t>
        </is>
      </c>
    </row>
    <row r="29">
      <c r="A29" s="57" t="inlineStr">
        <is>
          <t>F-01</t>
        </is>
      </c>
      <c r="B29" s="57" t="inlineStr">
        <is>
          <t>Fichas F-DT levantadas</t>
        </is>
      </c>
      <c r="C29" s="57" t="inlineStr">
        <is>
          <t>La plantilla de campo trae las cinco fichas F-DT-01 a F-DT-05 (completitud 100.0 % de los campos esperados).</t>
        </is>
      </c>
      <c r="D29" s="57" t="inlineStr">
        <is>
          <t>CONFORME</t>
        </is>
      </c>
      <c r="E29" s="57" t="inlineStr">
        <is>
          <t>Sin acción.</t>
        </is>
      </c>
    </row>
    <row r="30">
      <c r="A30" s="58" t="inlineStr">
        <is>
          <t>F-02</t>
        </is>
      </c>
      <c r="B30" s="58" t="inlineStr">
        <is>
          <t>Cobertura de la integración</t>
        </is>
      </c>
      <c r="C30" s="58" t="inlineStr">
        <is>
          <t>Se declararon 105 de 114 hechos integrados (92.1 %); 9 quedan sin dato en ninguna fuente.</t>
        </is>
      </c>
      <c r="D30" s="58" t="inlineStr">
        <is>
          <t>CONFORME</t>
        </is>
      </c>
      <c r="E30" s="58" t="inlineStr">
        <is>
          <t>Sin acción.</t>
        </is>
      </c>
    </row>
    <row r="31">
      <c r="A31" s="57" t="inlineStr">
        <is>
          <t>H-01</t>
        </is>
      </c>
      <c r="B31" s="57" t="inlineStr">
        <is>
          <t>Cobertura vegetal total</t>
        </is>
      </c>
      <c r="C31" s="57" t="inlineStr">
        <is>
          <t>La ficha DT estima 65 % de cobertura vegetal en campo; el NDVI mediana 2025 clasifica 97.62 % del polígono en clases de vegetación</t>
        </is>
      </c>
      <c r="D31" s="57" t="inlineStr">
        <is>
          <t>NO SUSTANTIVA</t>
        </is>
      </c>
      <c r="E31"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32">
      <c r="A32" s="58" t="inlineStr">
        <is>
          <t>H-02</t>
        </is>
      </c>
      <c r="B32" s="58" t="inlineStr">
        <is>
          <t>Representatividad del levantamiento</t>
        </is>
      </c>
      <c r="C32" s="58" t="inlineStr">
        <is>
          <t>Ninguna de las estaciones fotográficas georreferenciadas se localiza dentro del polígono del bloque</t>
        </is>
      </c>
      <c r="D32" s="58" t="inlineStr">
        <is>
          <t>SUSTANTIVA</t>
        </is>
      </c>
      <c r="E32" s="58" t="inlineStr">
        <is>
          <t>La verificación documenta el perímetro y la vista panorámica del bloque, no su interior. Los parámetros que exigen recorrido interno se consignan «Por determinar». (Verificación heredada de la ficha de resumen V6.)</t>
        </is>
      </c>
    </row>
    <row r="33">
      <c r="A33" s="57" t="inlineStr">
        <is>
          <t>H-03</t>
        </is>
      </c>
      <c r="B33" s="57" t="inlineStr">
        <is>
          <t>Centro poblado asociado</t>
        </is>
      </c>
      <c r="C33" s="57" t="inlineStr">
        <is>
          <t>La ficha DT declara «Alan García (ingreso); colindante con C.P. Bigote y Hacienda Bigote»; el cruce INEI-Bloques V5 identifica 2 centro(s) poblado(s) en el bloque: ALAN GARCIA, BIGOTE</t>
        </is>
      </c>
      <c r="D33" s="57" t="inlineStr">
        <is>
          <t>CONFORME</t>
        </is>
      </c>
      <c r="E33" s="57" t="inlineStr">
        <is>
          <t>Se conserva el registro de campo como referencia y se adopta el listado INEI para el diagnóstico social y el cálculo de población beneficiaria. (Verificación heredada de la ficha de resumen V6.)</t>
        </is>
      </c>
    </row>
    <row r="34">
      <c r="A34" s="58" t="inlineStr">
        <is>
          <t>H-04</t>
        </is>
      </c>
      <c r="B34" s="58" t="inlineStr">
        <is>
          <t>Plan de Ingreso</t>
        </is>
      </c>
      <c r="C34" s="58" t="inlineStr">
        <is>
          <t>Altitud = 0 msnm (captura por defecto del aplicativo)</t>
        </is>
      </c>
      <c r="D34" s="58" t="inlineStr">
        <is>
          <t>CORREGIDO</t>
        </is>
      </c>
      <c r="E34" s="58" t="inlineStr">
        <is>
          <t>Se reemplaza por la altitud GPS de campo (230 msnm) (Verificación heredada de la ficha de resumen V6.)</t>
        </is>
      </c>
    </row>
    <row r="35">
      <c r="A35" s="57" t="inlineStr">
        <is>
          <t>H-05</t>
        </is>
      </c>
      <c r="B35" s="57" t="inlineStr">
        <is>
          <t>F-DT-03</t>
        </is>
      </c>
      <c r="C35" s="57" t="inlineStr">
        <is>
          <t>Categoría del Palo santo consignada NT, frente a CR en la mayoría de los bloques del proyecto</t>
        </is>
      </c>
      <c r="D35" s="57" t="inlineStr">
        <is>
          <t>SUSTANTIVA</t>
        </is>
      </c>
      <c r="E35" s="57" t="inlineStr">
        <is>
          <t>Homogeneizar criterio de categorización (Verificación heredada de la ficha de resumen V6.)</t>
        </is>
      </c>
    </row>
    <row r="36">
      <c r="A36" s="58" t="inlineStr">
        <is>
          <t>H-06</t>
        </is>
      </c>
      <c r="B36" s="58" t="inlineStr">
        <is>
          <t>F-DT-04</t>
        </is>
      </c>
      <c r="C36" s="58" t="inlineStr">
        <is>
          <t>Frecuencia de quemas sin valor pese a que la matriz registra quema de renovación de pastos (Ligera, 10%)</t>
        </is>
      </c>
      <c r="D36" s="58" t="inlineStr">
        <is>
          <t>SUSTANTIVA</t>
        </is>
      </c>
      <c r="E36" s="58" t="inlineStr">
        <is>
          <t>El indicador no puede quedar vacío (Verificación heredada de la ficha de resumen V6.)</t>
        </is>
      </c>
    </row>
    <row r="37">
      <c r="A37" s="57" t="inlineStr">
        <is>
          <t>H-07</t>
        </is>
      </c>
      <c r="B37" s="57" t="inlineStr">
        <is>
          <t>F-DT-05</t>
        </is>
      </c>
      <c r="C37" s="57" t="inlineStr">
        <is>
          <t>Tiempos de viaje: la narrativa declara 45 min (distrital) y 95 min (provincial), los campos de la ficha 15 y 60 min</t>
        </is>
      </c>
      <c r="D37" s="57" t="inlineStr">
        <is>
          <t>SUSTANTIVA</t>
        </is>
      </c>
      <c r="E37" s="57" t="inlineStr">
        <is>
          <t>Inconsistencia interna a resolver (Verificación heredada de la ficha de resumen V6.)</t>
        </is>
      </c>
    </row>
    <row r="39">
      <c r="A39" s="59" t="inlineStr">
        <is>
          <t>RESUMEN</t>
        </is>
      </c>
      <c r="B39" s="60" t="inlineStr">
        <is>
          <t>29 verificaciones</t>
        </is>
      </c>
      <c r="C39" s="60" t="inlineStr">
        <is>
          <t>SUSTANTIVA: 5 · NO SUSTANTIVA: 1 · CORREGIDO: 11 · CONFORME: 12</t>
        </is>
      </c>
    </row>
    <row r="41">
      <c r="A41"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41:E41"/>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M3B3</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2. Parámetros físicos del terreno</t>
        </is>
      </c>
      <c r="B9" s="57" t="inlineStr">
        <is>
          <t>Escarpes activos</t>
        </is>
      </c>
      <c r="C9" s="57" t="inlineStr">
        <is>
          <t>Sí</t>
        </is>
      </c>
      <c r="D9" s="57" t="inlineStr">
        <is>
          <t>Localizados (escarpes incipientes en cabecera de quebrada Charanal)</t>
        </is>
      </c>
      <c r="E9" s="57" t="inlineStr">
        <is>
          <t>Dato de campo</t>
        </is>
      </c>
    </row>
    <row r="10">
      <c r="A10" s="58" t="inlineStr">
        <is>
          <t>5. Ecosistema, cobertura y flora (F-DT-03)</t>
        </is>
      </c>
      <c r="B10" s="58" t="inlineStr">
        <is>
          <t>Uso actual dominante del suelo</t>
        </is>
      </c>
      <c r="C10" s="58" t="inlineStr">
        <is>
          <t>Forestal de protección</t>
        </is>
      </c>
      <c r="D10" s="58" t="inlineStr">
        <is>
          <t>Forestal protección</t>
        </is>
      </c>
      <c r="E10" s="58" t="inlineStr">
        <is>
          <t>Dato de campo</t>
        </is>
      </c>
    </row>
    <row r="11">
      <c r="A11" s="57" t="inlineStr">
        <is>
          <t>5. Ecosistema, cobertura y flora (F-DT-03)</t>
        </is>
      </c>
      <c r="B11" s="57" t="inlineStr">
        <is>
          <t>Tipo de cobertura dominante</t>
        </is>
      </c>
      <c r="C11" s="57" t="inlineStr">
        <is>
          <t>Mixto / Mosaico</t>
        </is>
      </c>
      <c r="D11" s="57" t="inlineStr">
        <is>
          <t>Bosque seco semidenso a ralo con cactáceas columnares y dominancia de Charán y Pasallo</t>
        </is>
      </c>
      <c r="E11" s="57" t="inlineStr">
        <is>
          <t>Dato de campo</t>
        </is>
      </c>
    </row>
    <row r="12">
      <c r="A12" s="58" t="inlineStr">
        <is>
          <t>5. Ecosistema, cobertura y flora (F-DT-03)</t>
        </is>
      </c>
      <c r="B12" s="58" t="inlineStr">
        <is>
          <t>Estado sanitario</t>
        </is>
      </c>
      <c r="C12" s="58" t="inlineStr">
        <is>
          <t>Sin registro en ficha</t>
        </is>
      </c>
      <c r="D12" s="58" t="inlineStr">
        <is>
          <t>Bueno con signos de estrés hídrico estacional (defoliación parcial post lluvia)</t>
        </is>
      </c>
      <c r="E12" s="58" t="inlineStr">
        <is>
          <t>Dato de campo</t>
        </is>
      </c>
    </row>
    <row r="13">
      <c r="A13" s="57" t="inlineStr">
        <is>
          <t>5. Ecosistema, cobertura y flora (F-DT-03)</t>
        </is>
      </c>
      <c r="B13" s="57" t="inlineStr">
        <is>
          <t>Elenco florístico (n.o de taxones)</t>
        </is>
      </c>
      <c r="C13" s="57" t="inlineStr">
        <is>
          <t>12</t>
        </is>
      </c>
      <c r="D13" s="57" t="inlineStr">
        <is>
          <t>13</t>
        </is>
      </c>
      <c r="E13" s="57" t="inlineStr">
        <is>
          <t>Dato de campo</t>
        </is>
      </c>
    </row>
    <row r="14">
      <c r="A14" s="58" t="inlineStr">
        <is>
          <t>6. Degradación, causas y urgencia (F-DT-04)</t>
        </is>
      </c>
      <c r="B14" s="58" t="inlineStr">
        <is>
          <t>Causa subyacente principal</t>
        </is>
      </c>
      <c r="C14" s="58" t="inlineStr">
        <is>
          <t>Economía campesina de subsistencia con baja diversificación productiva y tenencia precaria de la tierra</t>
        </is>
      </c>
      <c r="D14" s="58" t="inlineStr">
        <is>
          <t>Motor subyacente: economía campesina de subsistencia con baja diversificación productiva, tenencia precaria de la tierra y crecimiento poblacional de C.P. Alan Garcí y Bigote y anexos sin planificación territorial. Variabilidad climática (FEN) amplifica las presiones.</t>
        </is>
      </c>
      <c r="E14" s="58" t="inlineStr">
        <is>
          <t>Dato de campo</t>
        </is>
      </c>
    </row>
    <row r="15">
      <c r="A15" s="57" t="inlineStr">
        <is>
          <t>6. Degradación, causas y urgencia (F-DT-04)</t>
        </is>
      </c>
      <c r="B15" s="57" t="inlineStr">
        <is>
          <t>Velocidad de degradación</t>
        </is>
      </c>
      <c r="C15" s="57" t="inlineStr">
        <is>
          <t>Moderada</t>
        </is>
      </c>
      <c r="D15" s="57" t="inlineStr">
        <is>
          <t>Lenta a media (visible en escala de 10-20 años; aceleración en pie de ladera por urbanización</t>
        </is>
      </c>
      <c r="E15" s="57" t="inlineStr">
        <is>
          <t>Dato de campo</t>
        </is>
      </c>
    </row>
    <row r="16">
      <c r="A16" s="58" t="inlineStr">
        <is>
          <t>6. Degradación, causas y urgencia (F-DT-04)</t>
        </is>
      </c>
      <c r="B16" s="58" t="inlineStr">
        <is>
          <t>Reversibilidad técnica</t>
        </is>
      </c>
      <c r="C16" s="58" t="inlineStr">
        <is>
          <t>Parcialmente reversible</t>
        </is>
      </c>
      <c r="D16" s="58" t="inlineStr">
        <is>
          <t>Media (degradación reversible mediante intervenciones de Infraestructura Natural integradas con gobernanza local; el componente urbano informal requiere abordaje extra-proyecto)</t>
        </is>
      </c>
      <c r="E16" s="58" t="inlineStr">
        <is>
          <t>Dato de campo</t>
        </is>
      </c>
    </row>
    <row r="17">
      <c r="A17" s="57" t="inlineStr">
        <is>
          <t>7. Hidrología, acceso y logística (F-DT-05)</t>
        </is>
      </c>
      <c r="B17" s="57" t="inlineStr">
        <is>
          <t>Zona de recarga hídrica</t>
        </is>
      </c>
      <c r="C17" s="57" t="inlineStr">
        <is>
          <t>Sin registro en ficha</t>
        </is>
      </c>
      <c r="D17" s="57" t="inlineStr">
        <is>
          <t>Sí — laderas del bloque generan escorrentía hacia el Río Bigote y captaciones aguas abajo</t>
        </is>
      </c>
      <c r="E17" s="57" t="inlineStr">
        <is>
          <t>Dato de campo</t>
        </is>
      </c>
    </row>
    <row r="18">
      <c r="A18" s="58" t="inlineStr">
        <is>
          <t>7. Hidrología, acceso y logística (F-DT-05)</t>
        </is>
      </c>
      <c r="B18" s="58" t="inlineStr">
        <is>
          <t>Modalidad de acceso</t>
        </is>
      </c>
      <c r="C18" s="58" t="inlineStr">
        <is>
          <t>Vehicular hasta C.P. Alan García + caminata 20-30 min</t>
        </is>
      </c>
      <c r="D18" s="58" t="inlineStr">
        <is>
          <t>Vehicular hasta C.P. Alan García, luego acceso a pie por trocha y senderos de ganado</t>
        </is>
      </c>
      <c r="E18" s="58" t="inlineStr">
        <is>
          <t>Dato de campo</t>
        </is>
      </c>
    </row>
    <row r="20">
      <c r="A20" s="55" t="inlineStr">
        <is>
          <t>B. HECHOS APORTADOS ÚNICAMENTE POR LA FICHA DE CAMPO</t>
        </is>
      </c>
    </row>
    <row r="21">
      <c r="A21" s="56" t="inlineStr">
        <is>
          <t>Sección</t>
        </is>
      </c>
      <c r="B21" s="56" t="inlineStr">
        <is>
          <t>Hecho</t>
        </is>
      </c>
      <c r="C21" s="56" t="inlineStr">
        <is>
          <t>Valor</t>
        </is>
      </c>
      <c r="D21" s="56" t="inlineStr">
        <is>
          <t>Unidad</t>
        </is>
      </c>
    </row>
    <row r="22">
      <c r="A22" s="57" t="inlineStr">
        <is>
          <t>1. Identificación y localización</t>
        </is>
      </c>
      <c r="B22" s="57" t="inlineStr">
        <is>
          <t>UTM ESTE del punto de muestreo (m)</t>
        </is>
      </c>
      <c r="C22" s="57" t="inlineStr">
        <is>
          <t>632913</t>
        </is>
      </c>
      <c r="D22" s="57" t="inlineStr">
        <is>
          <t>m</t>
        </is>
      </c>
    </row>
    <row r="23">
      <c r="A23" s="58" t="inlineStr">
        <is>
          <t>1. Identificación y localización</t>
        </is>
      </c>
      <c r="B23" s="58" t="inlineStr">
        <is>
          <t>UTM NORTE del punto de muestreo (m)</t>
        </is>
      </c>
      <c r="C23" s="58" t="inlineStr">
        <is>
          <t>9411514</t>
        </is>
      </c>
      <c r="D23" s="58" t="inlineStr">
        <is>
          <t>m</t>
        </is>
      </c>
    </row>
    <row r="24">
      <c r="A24" s="57" t="inlineStr">
        <is>
          <t>2. Parámetros físicos del terreno</t>
        </is>
      </c>
      <c r="B24" s="57" t="inlineStr">
        <is>
          <t>Altitud GPS del punto de muestreo (msnm)</t>
        </is>
      </c>
      <c r="C24" s="57" t="inlineStr">
        <is>
          <t>234</t>
        </is>
      </c>
      <c r="D24" s="57" t="inlineStr">
        <is>
          <t>msnm</t>
        </is>
      </c>
    </row>
    <row r="25">
      <c r="A25" s="58" t="inlineStr">
        <is>
          <t>2. Parámetros físicos del terreno</t>
        </is>
      </c>
      <c r="B25" s="58" t="inlineStr">
        <is>
          <t>Piso altitudinal del punto de muestreo</t>
        </is>
      </c>
      <c r="C25" s="58" t="inlineStr">
        <is>
          <t>&lt;1000 m (Yunga)</t>
        </is>
      </c>
      <c r="D25" s="58" t="inlineStr"/>
    </row>
    <row r="26">
      <c r="A26" s="57" t="inlineStr">
        <is>
          <t>2. Parámetros físicos del terreno</t>
        </is>
      </c>
      <c r="B26" s="57" t="inlineStr">
        <is>
          <t>Paisaje dominante descrito en campo</t>
        </is>
      </c>
      <c r="C26" s="57" t="inlineStr">
        <is>
          <t>Colinas bajas a medias del flanco occidental andino, en la transición valle del Río Bigote – piedemonte. Vertientes de pendiente moderada a fuerte, con quebradas tributarias secas en época de estiaje (Quebrada Charanal). Mosaico de bosque seco semidenso a ralo, matorral espinoso y áreas con erosión laminar y socavamiento de cauce en la base.</t>
        </is>
      </c>
      <c r="D26" s="57" t="inlineStr"/>
    </row>
    <row r="27">
      <c r="A27" s="58" t="inlineStr">
        <is>
          <t>2. Parámetros físicos del terreno</t>
        </is>
      </c>
      <c r="B27" s="58" t="inlineStr">
        <is>
          <t>Deslizamientos antiguos</t>
        </is>
      </c>
      <c r="C27" s="58" t="inlineStr">
        <is>
          <t>Sí — bloques rocosos depositados en cauce (testigos de flujos de detritos antiguos, vinculados a eventos FEN)</t>
        </is>
      </c>
      <c r="D27" s="58" t="inlineStr"/>
    </row>
    <row r="28">
      <c r="A28" s="57" t="inlineStr">
        <is>
          <t>4. Suelos y erosión (F-DT-02)</t>
        </is>
      </c>
      <c r="B28" s="57" t="inlineStr">
        <is>
          <t>Nivel de erosión - síntesis de campo</t>
        </is>
      </c>
      <c r="C28" s="57" t="inlineStr">
        <is>
          <t>Moderada (surcos)</t>
        </is>
      </c>
      <c r="D28" s="57" t="inlineStr"/>
    </row>
    <row r="29">
      <c r="A29" s="58" t="inlineStr">
        <is>
          <t>4. Suelos y erosión (F-DT-02)</t>
        </is>
      </c>
      <c r="B29" s="58" t="inlineStr">
        <is>
          <t>Raíces expuestas</t>
        </is>
      </c>
      <c r="C29" s="58" t="inlineStr">
        <is>
          <t>Sí — raíces de arbustos y árboles parcialmente expuestas en pie de ladera y bordes de quebrada</t>
        </is>
      </c>
      <c r="D29" s="58" t="inlineStr"/>
    </row>
    <row r="30">
      <c r="A30" s="57" t="inlineStr">
        <is>
          <t>4. Suelos y erosión (F-DT-02)</t>
        </is>
      </c>
      <c r="B30" s="57" t="inlineStr">
        <is>
          <t>Longitud total de cárcavas (m)</t>
        </is>
      </c>
      <c r="C30" s="57" t="inlineStr">
        <is>
          <t>Aproximadamente 400</t>
        </is>
      </c>
      <c r="D30" s="57" t="inlineStr">
        <is>
          <t>m</t>
        </is>
      </c>
    </row>
    <row r="31">
      <c r="A31" s="58" t="inlineStr">
        <is>
          <t>4. Suelos y erosión (F-DT-02)</t>
        </is>
      </c>
      <c r="B31" s="58" t="inlineStr">
        <is>
          <t>% del bloque afectado por cárcavas</t>
        </is>
      </c>
      <c r="C31" s="58" t="inlineStr">
        <is>
          <t>8</t>
        </is>
      </c>
      <c r="D31" s="58" t="inlineStr">
        <is>
          <t>%</t>
        </is>
      </c>
    </row>
    <row r="32">
      <c r="A32" s="57" t="inlineStr">
        <is>
          <t>4. Suelos y erosión (F-DT-02)</t>
        </is>
      </c>
      <c r="B32" s="57" t="inlineStr">
        <is>
          <t>Erosión laminar (% del bloque)</t>
        </is>
      </c>
      <c r="C32" s="57" t="inlineStr">
        <is>
          <t>Aproximadamente 20</t>
        </is>
      </c>
      <c r="D32" s="57" t="inlineStr">
        <is>
          <t>%</t>
        </is>
      </c>
    </row>
    <row r="33">
      <c r="A33" s="58" t="inlineStr">
        <is>
          <t>4. Suelos y erosión (F-DT-02)</t>
        </is>
      </c>
      <c r="B33" s="58" t="inlineStr">
        <is>
          <t>Patrón de cárcavas</t>
        </is>
      </c>
      <c r="C33" s="58" t="inlineStr">
        <is>
          <t>Paralelo</t>
        </is>
      </c>
      <c r="D33" s="58" t="inlineStr"/>
    </row>
    <row r="34">
      <c r="A34" s="57" t="inlineStr">
        <is>
          <t>5. Ecosistema, cobertura y flora (F-DT-03)</t>
        </is>
      </c>
      <c r="B34" s="57" t="inlineStr">
        <is>
          <t>Cobertura del dosel (%)</t>
        </is>
      </c>
      <c r="C34" s="57" t="inlineStr">
        <is>
          <t>30</t>
        </is>
      </c>
      <c r="D34" s="57" t="inlineStr">
        <is>
          <t>%</t>
        </is>
      </c>
    </row>
    <row r="35">
      <c r="A35" s="58" t="inlineStr">
        <is>
          <t>5. Ecosistema, cobertura y flora (F-DT-03)</t>
        </is>
      </c>
      <c r="B35" s="58" t="inlineStr">
        <is>
          <t>Cobertura arbustiva (%)</t>
        </is>
      </c>
      <c r="C35" s="58" t="inlineStr">
        <is>
          <t>35</t>
        </is>
      </c>
      <c r="D35" s="58" t="inlineStr">
        <is>
          <t>%</t>
        </is>
      </c>
    </row>
    <row r="36">
      <c r="A36" s="57" t="inlineStr">
        <is>
          <t>5. Ecosistema, cobertura y flora (F-DT-03)</t>
        </is>
      </c>
      <c r="B36" s="57" t="inlineStr">
        <is>
          <t>Cobertura herbácea (%)</t>
        </is>
      </c>
      <c r="C36" s="57" t="inlineStr">
        <is>
          <t>25</t>
        </is>
      </c>
      <c r="D36" s="57" t="inlineStr">
        <is>
          <t>%</t>
        </is>
      </c>
    </row>
    <row r="37">
      <c r="A37" s="58" t="inlineStr">
        <is>
          <t>5. Ecosistema, cobertura y flora (F-DT-03)</t>
        </is>
      </c>
      <c r="B37" s="58" t="inlineStr">
        <is>
          <t>Cobertura de hojarasca (%)</t>
        </is>
      </c>
      <c r="C37" s="58" t="inlineStr">
        <is>
          <t>15</t>
        </is>
      </c>
      <c r="D37" s="58" t="inlineStr">
        <is>
          <t>%</t>
        </is>
      </c>
    </row>
    <row r="38">
      <c r="A38" s="57" t="inlineStr">
        <is>
          <t>5. Ecosistema, cobertura y flora (F-DT-03)</t>
        </is>
      </c>
      <c r="B38" s="57" t="inlineStr">
        <is>
          <t>Altura del estrato dominante (m)</t>
        </is>
      </c>
      <c r="C38" s="57" t="inlineStr">
        <is>
          <t>6</t>
        </is>
      </c>
      <c r="D38" s="57" t="inlineStr">
        <is>
          <t>m</t>
        </is>
      </c>
    </row>
    <row r="39">
      <c r="A39" s="58" t="inlineStr">
        <is>
          <t>5. Ecosistema, cobertura y flora (F-DT-03)</t>
        </is>
      </c>
      <c r="B39" s="58" t="inlineStr">
        <is>
          <t>Altura máxima registrada (m)</t>
        </is>
      </c>
      <c r="C39" s="58" t="inlineStr">
        <is>
          <t>14</t>
        </is>
      </c>
      <c r="D39" s="58" t="inlineStr">
        <is>
          <t>m</t>
        </is>
      </c>
    </row>
    <row r="40">
      <c r="A40" s="57" t="inlineStr">
        <is>
          <t>5. Ecosistema, cobertura y flora (F-DT-03)</t>
        </is>
      </c>
      <c r="B40" s="57" t="inlineStr">
        <is>
          <t>DAP promedio (cm)</t>
        </is>
      </c>
      <c r="C40" s="57" t="inlineStr">
        <is>
          <t>22</t>
        </is>
      </c>
      <c r="D40" s="57" t="inlineStr">
        <is>
          <t>cm</t>
        </is>
      </c>
    </row>
    <row r="41">
      <c r="A41" s="58" t="inlineStr">
        <is>
          <t>5. Ecosistema, cobertura y flora (F-DT-03)</t>
        </is>
      </c>
      <c r="B41" s="58" t="inlineStr">
        <is>
          <t>Presencia de epífitas</t>
        </is>
      </c>
      <c r="C41" s="58" t="inlineStr">
        <is>
          <t>Escasa (puntual en árboles emergentes de mayor porte)</t>
        </is>
      </c>
      <c r="D41" s="58" t="inlineStr"/>
    </row>
    <row r="42">
      <c r="A42" s="57" t="inlineStr">
        <is>
          <t>5. Ecosistema, cobertura y flora (F-DT-03)</t>
        </is>
      </c>
      <c r="B42" s="57" t="inlineStr">
        <is>
          <t>Fenología dominante</t>
        </is>
      </c>
      <c r="C42" s="57" t="inlineStr">
        <is>
          <t>Transición lluvia-seca: arbóreas con defoliación parcial; arbustivas en plena floración (Cordia lutea)</t>
        </is>
      </c>
      <c r="D42" s="57" t="inlineStr"/>
    </row>
    <row r="43">
      <c r="A43" s="58" t="inlineStr">
        <is>
          <t>5. Ecosistema, cobertura y flora (F-DT-03)</t>
        </is>
      </c>
      <c r="B43" s="58" t="inlineStr">
        <is>
          <t>Pendiente de la parcela (%)</t>
        </is>
      </c>
      <c r="C43" s="58" t="inlineStr">
        <is>
          <t>22</t>
        </is>
      </c>
      <c r="D43" s="58" t="inlineStr">
        <is>
          <t>%</t>
        </is>
      </c>
    </row>
    <row r="44">
      <c r="A44" s="57" t="inlineStr">
        <is>
          <t>5. Ecosistema, cobertura y flora (F-DT-03)</t>
        </is>
      </c>
      <c r="B44" s="57" t="inlineStr">
        <is>
          <t>Especies clave georreferenciadas</t>
        </is>
      </c>
      <c r="C44" s="57" t="inlineStr">
        <is>
          <t>5</t>
        </is>
      </c>
      <c r="D44" s="57" t="inlineStr"/>
    </row>
    <row r="45">
      <c r="A45" s="58" t="inlineStr">
        <is>
          <t>6. Degradación, causas y urgencia (F-DT-04)</t>
        </is>
      </c>
      <c r="B45" s="58" t="inlineStr">
        <is>
          <t>Causas directas de la degradación</t>
        </is>
      </c>
      <c r="C45" s="58" t="inlineStr">
        <is>
          <t>Causas directas principales: (i) sobrepastoreo caprino crónico que impide la regeneración natural, (ii) tala selectiva de especies maderables (Hualtaco, Ceibo, Algarrobo), (iii) expansión urbana informal sobre laderas y márgenes de quebrada</t>
        </is>
      </c>
      <c r="D45" s="58" t="inlineStr"/>
    </row>
    <row r="46">
      <c r="A46" s="57" t="inlineStr">
        <is>
          <t>6. Degradación, causas y urgencia (F-DT-04)</t>
        </is>
      </c>
      <c r="B46" s="57" t="inlineStr">
        <is>
          <t>N.° de causas activas en la matriz F-DT-04</t>
        </is>
      </c>
      <c r="C46" s="57" t="inlineStr">
        <is>
          <t>10</t>
        </is>
      </c>
      <c r="D46" s="57" t="inlineStr"/>
    </row>
    <row r="47">
      <c r="A47" s="58" t="inlineStr">
        <is>
          <t>7. Hidrología, acceso y logística (F-DT-05)</t>
        </is>
      </c>
      <c r="B47" s="58" t="inlineStr">
        <is>
          <t>Fuentes de agua inventariadas</t>
        </is>
      </c>
      <c r="C47" s="58" t="inlineStr">
        <is>
          <t>4</t>
        </is>
      </c>
      <c r="D47" s="58" t="inlineStr"/>
    </row>
    <row r="48">
      <c r="A48" s="57" t="inlineStr">
        <is>
          <t>7. Hidrología, acceso y logística (F-DT-05)</t>
        </is>
      </c>
      <c r="B48" s="57" t="inlineStr">
        <is>
          <t>Distancia a captación (m)</t>
        </is>
      </c>
      <c r="C48" s="57" t="inlineStr">
        <is>
          <t>350</t>
        </is>
      </c>
      <c r="D48" s="57" t="inlineStr">
        <is>
          <t>m</t>
        </is>
      </c>
    </row>
    <row r="49">
      <c r="A49" s="58" t="inlineStr">
        <is>
          <t>7. Hidrología, acceso y logística (F-DT-05)</t>
        </is>
      </c>
      <c r="B49" s="58" t="inlineStr">
        <is>
          <t>Interferencia con riego</t>
        </is>
      </c>
      <c r="C49" s="58" t="inlineStr">
        <is>
          <t>No directa; el bloque no intersecta canales de riego inventariados</t>
        </is>
      </c>
      <c r="D49" s="58" t="inlineStr"/>
    </row>
    <row r="50">
      <c r="A50" s="57" t="inlineStr">
        <is>
          <t>7. Hidrología, acceso y logística (F-DT-05)</t>
        </is>
      </c>
      <c r="B50" s="57" t="inlineStr">
        <is>
          <t>Vía principal de acceso</t>
        </is>
      </c>
      <c r="C50" s="57" t="inlineStr">
        <is>
          <t>PE-1NJ (carretera Buenos Aires – San Juan de Bigote)</t>
        </is>
      </c>
      <c r="D50" s="57" t="inlineStr"/>
    </row>
    <row r="51">
      <c r="A51" s="58" t="inlineStr">
        <is>
          <t>7. Hidrología, acceso y logística (F-DT-05)</t>
        </is>
      </c>
      <c r="B51" s="58" t="inlineStr">
        <is>
          <t>Tipo de vía del tramo final</t>
        </is>
      </c>
      <c r="C51" s="58" t="inlineStr">
        <is>
          <t>Trocha carrozable + sendero peatonal</t>
        </is>
      </c>
      <c r="D51" s="58" t="inlineStr"/>
    </row>
    <row r="52">
      <c r="A52" s="57" t="inlineStr">
        <is>
          <t>7. Hidrología, acceso y logística (F-DT-05)</t>
        </is>
      </c>
      <c r="B52" s="57" t="inlineStr">
        <is>
          <t>Transitabilidad en época seca</t>
        </is>
      </c>
      <c r="C52" s="57" t="inlineStr">
        <is>
          <t>Buena</t>
        </is>
      </c>
      <c r="D52" s="57" t="inlineStr"/>
    </row>
    <row r="53">
      <c r="A53" s="58" t="inlineStr">
        <is>
          <t>7. Hidrología, acceso y logística (F-DT-05)</t>
        </is>
      </c>
      <c r="B53" s="58" t="inlineStr">
        <is>
          <t>Transitabilidad en época lluviosa</t>
        </is>
      </c>
      <c r="C53" s="58" t="inlineStr">
        <is>
          <t>Regular (limitación en quebradas activas durante eventos intensos)</t>
        </is>
      </c>
      <c r="D53" s="58" t="inlineStr"/>
    </row>
    <row r="54">
      <c r="A54" s="57" t="inlineStr">
        <is>
          <t>7. Hidrología, acceso y logística (F-DT-05)</t>
        </is>
      </c>
      <c r="B54" s="57" t="inlineStr">
        <is>
          <t>Tiempo a la capital distrital (min)</t>
        </is>
      </c>
      <c r="C54" s="57" t="inlineStr">
        <is>
          <t>15</t>
        </is>
      </c>
      <c r="D54" s="57" t="inlineStr">
        <is>
          <t>min</t>
        </is>
      </c>
    </row>
    <row r="55">
      <c r="A55" s="58" t="inlineStr">
        <is>
          <t>7. Hidrología, acceso y logística (F-DT-05)</t>
        </is>
      </c>
      <c r="B55" s="58" t="inlineStr">
        <is>
          <t>Señal celular</t>
        </is>
      </c>
      <c r="C55" s="58" t="inlineStr">
        <is>
          <t>Regular (cobertura intermitente)</t>
        </is>
      </c>
      <c r="D55" s="58" t="inlineStr"/>
    </row>
    <row r="56">
      <c r="A56" s="57" t="inlineStr">
        <is>
          <t>7. Hidrología, acceso y logística (F-DT-05)</t>
        </is>
      </c>
      <c r="B56" s="57" t="inlineStr">
        <is>
          <t>Operador con cobertura</t>
        </is>
      </c>
      <c r="C56" s="57" t="inlineStr">
        <is>
          <t>Movistar / Claro (intermitente)</t>
        </is>
      </c>
      <c r="D56" s="57" t="inlineStr"/>
    </row>
    <row r="57">
      <c r="A57" s="58" t="inlineStr">
        <is>
          <t>7. Hidrología, acceso y logística (F-DT-05)</t>
        </is>
      </c>
      <c r="B57" s="58" t="inlineStr">
        <is>
          <t>Alojamiento disponible en la zona</t>
        </is>
      </c>
      <c r="C57" s="58" t="inlineStr">
        <is>
          <t>No (pernocte recomendado en Morropón o Buenos Aires)</t>
        </is>
      </c>
      <c r="D57" s="58" t="inlineStr"/>
    </row>
    <row r="58">
      <c r="A58" s="57" t="inlineStr">
        <is>
          <t>7. Hidrología, acceso y logística (F-DT-05)</t>
        </is>
      </c>
      <c r="B58" s="57" t="inlineStr">
        <is>
          <t>Requiere coordinación con ronda / comunidad</t>
        </is>
      </c>
      <c r="C58" s="57" t="inlineStr">
        <is>
          <t>El bloque está dentro del ámbito de actuación de comunidad campesina activa; coordinar con Presidnete de Comunidad y teniente gobernador del C.P. Alan García</t>
        </is>
      </c>
      <c r="D58" s="57" t="inlineStr"/>
    </row>
    <row r="59">
      <c r="A59" s="58" t="inlineStr">
        <is>
          <t>7. Hidrología, acceso y logística (F-DT-05)</t>
        </is>
      </c>
      <c r="B59" s="58" t="inlineStr">
        <is>
          <t>Contacto local de coordinación</t>
        </is>
      </c>
      <c r="C59" s="58" t="inlineStr">
        <is>
          <t>Sr. Teniente Gobernador C.P. Alan García (coordinación previa requerida)</t>
        </is>
      </c>
      <c r="D59" s="58" t="inlineStr"/>
    </row>
    <row r="61">
      <c r="A61" s="55" t="inlineStr">
        <is>
          <t>C. PROCEDENCIA DE LOS HECHOS DECLARADOS</t>
        </is>
      </c>
    </row>
    <row r="62">
      <c r="A62" s="56" t="inlineStr">
        <is>
          <t>Fuente</t>
        </is>
      </c>
      <c r="B62" s="56" t="inlineStr">
        <is>
          <t>Hechos</t>
        </is>
      </c>
      <c r="C62" s="56" t="inlineStr">
        <is>
          <t>Alcance de la fuente</t>
        </is>
      </c>
    </row>
    <row r="63">
      <c r="A63" s="57" t="inlineStr">
        <is>
          <t>Dato de campo</t>
        </is>
      </c>
      <c r="B63" s="57" t="n">
        <v>67</v>
      </c>
      <c r="C63" s="57" t="inlineStr">
        <is>
          <t>Verificación en campo. Fichas F-DT-01 a F-DT-05 de la Plantilla DT Campo Check Validada V5, suscritas por el evaluador.</t>
        </is>
      </c>
    </row>
    <row r="64">
      <c r="A64" s="58" t="inlineStr">
        <is>
          <t>Gabinete (GIS / teledetección)</t>
        </is>
      </c>
      <c r="B64" s="58" t="n">
        <v>24</v>
      </c>
      <c r="C64" s="58" t="inlineStr">
        <is>
          <t>Gabinete. Estadística zonal sobre el MDE y compuestos Sentinel-2 (NDVI mediana 2025, MSAVI 2024 por clase DN).</t>
        </is>
      </c>
    </row>
    <row r="65">
      <c r="A65" s="57" t="inlineStr">
        <is>
          <t>Fuente oficial</t>
        </is>
      </c>
      <c r="B65" s="57" t="n">
        <v>14</v>
      </c>
      <c r="C65" s="57" t="inlineStr">
        <is>
          <t>Fuente oficial. Catálogo maestro Bloques V5/V6, división política INEI y codificación de microcuencas de la ANA.</t>
        </is>
      </c>
    </row>
    <row r="67">
      <c r="A67" s="55" t="inlineStr">
        <is>
          <t>D. ESTADO DEL CRUCE ENTRE FUENTES</t>
        </is>
      </c>
    </row>
    <row r="68">
      <c r="A68" s="56" t="inlineStr">
        <is>
          <t>Estado</t>
        </is>
      </c>
      <c r="B68" s="56" t="inlineStr">
        <is>
          <t>Hechos</t>
        </is>
      </c>
      <c r="C68" s="56" t="inlineStr">
        <is>
          <t>Significado</t>
        </is>
      </c>
    </row>
    <row r="69">
      <c r="A69" s="57" t="inlineStr">
        <is>
          <t>CONFORME</t>
        </is>
      </c>
      <c r="B69" s="57" t="n">
        <v>93</v>
      </c>
      <c r="C69" s="57" t="inlineStr">
        <is>
          <t>Las dos fuentes declaran lo mismo, o solo la fuente que manda sobre el hecho lo declara.</t>
        </is>
      </c>
    </row>
    <row r="70">
      <c r="A70" s="58" t="inlineStr">
        <is>
          <t>COMPLEMENTADO</t>
        </is>
      </c>
      <c r="B70" s="58" t="n">
        <v>2</v>
      </c>
      <c r="C70" s="58" t="inlineStr">
        <is>
          <t>Solo una de las fuentes lo declara y se adopta ese valor.</t>
        </is>
      </c>
    </row>
    <row r="71">
      <c r="A71" s="57" t="inlineStr">
        <is>
          <t>ACTUALIZADO</t>
        </is>
      </c>
      <c r="B71" s="57" t="n">
        <v>10</v>
      </c>
      <c r="C71" s="57" t="inlineStr">
        <is>
          <t>La verificación de campo vigente corrige lo que traía el libro de resumen.</t>
        </is>
      </c>
    </row>
    <row r="72">
      <c r="A72" s="58" t="inlineStr">
        <is>
          <t>DISCREPANTE</t>
        </is>
      </c>
      <c r="B72" s="58" t="n">
        <v>0</v>
      </c>
      <c r="C72" s="58" t="inlineStr">
        <is>
          <t>Las fuentes se contradicen; prevalece la que manda sobre el hecho y la otra queda declarada.</t>
        </is>
      </c>
    </row>
    <row r="73">
      <c r="A73" s="57" t="inlineStr">
        <is>
          <t>PENDIENTE</t>
        </is>
      </c>
      <c r="B73" s="57" t="n">
        <v>9</v>
      </c>
      <c r="C73"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M3B3</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C-01</t>
        </is>
      </c>
      <c r="B9" s="57" t="inlineStr">
        <is>
          <t>Cárcava somera (0.5-2 m)</t>
        </is>
      </c>
      <c r="C9" s="62" t="n">
        <v>633100</v>
      </c>
      <c r="D9" s="62" t="n">
        <v>9411527</v>
      </c>
      <c r="E9" s="62" t="n">
        <v>110</v>
      </c>
      <c r="F9" s="63" t="n">
        <v>1.2</v>
      </c>
      <c r="G9" s="63" t="n">
        <v>1.8</v>
      </c>
      <c r="H9" s="57" t="inlineStr">
        <is>
          <t>Activa</t>
        </is>
      </c>
      <c r="I9" s="57" t="inlineStr">
        <is>
          <t>Socavamiento de cauce</t>
        </is>
      </c>
    </row>
    <row r="10">
      <c r="A10" s="58" t="inlineStr">
        <is>
          <t>C-02</t>
        </is>
      </c>
      <c r="B10" s="58" t="inlineStr">
        <is>
          <t>Surco (&lt;30 cm)</t>
        </is>
      </c>
      <c r="C10" s="64" t="n">
        <v>632913</v>
      </c>
      <c r="D10" s="64" t="n">
        <v>9411514</v>
      </c>
      <c r="E10" s="64" t="n">
        <v>90</v>
      </c>
      <c r="F10" s="65" t="n">
        <v>0.25</v>
      </c>
      <c r="G10" s="65" t="n">
        <v>0.4</v>
      </c>
      <c r="H10" s="58" t="inlineStr">
        <is>
          <t>Semi-activa</t>
        </is>
      </c>
      <c r="I10" s="58" t="inlineStr">
        <is>
          <t>Sobrepastoreo</t>
        </is>
      </c>
    </row>
    <row r="11">
      <c r="A11" s="57" t="inlineStr">
        <is>
          <t>C-03</t>
        </is>
      </c>
      <c r="B11" s="57" t="inlineStr">
        <is>
          <t>Cárcava incipiente (30-50 cm)</t>
        </is>
      </c>
      <c r="C11" s="62" t="n">
        <v>632845</v>
      </c>
      <c r="D11" s="62" t="n">
        <v>9411562</v>
      </c>
      <c r="E11" s="62" t="n">
        <v>55</v>
      </c>
      <c r="F11" s="63" t="n">
        <v>0.45</v>
      </c>
      <c r="G11" s="63" t="n">
        <v>0.7</v>
      </c>
      <c r="H11" s="57" t="inlineStr">
        <is>
          <t>Activa</t>
        </is>
      </c>
      <c r="I11" s="57" t="inlineStr">
        <is>
          <t>Caminos / huellas de ganado</t>
        </is>
      </c>
    </row>
    <row r="12">
      <c r="A12" s="58" t="inlineStr">
        <is>
          <t>C-04</t>
        </is>
      </c>
      <c r="B12" s="58" t="inlineStr">
        <is>
          <t>Surco (&lt;30 cm)</t>
        </is>
      </c>
      <c r="C12" s="64" t="n">
        <v>632748</v>
      </c>
      <c r="D12" s="64" t="n">
        <v>9411549</v>
      </c>
      <c r="E12" s="64" t="n">
        <v>150</v>
      </c>
      <c r="F12" s="65" t="n">
        <v>0.2</v>
      </c>
      <c r="G12" s="65" t="n">
        <v>0.35</v>
      </c>
      <c r="H12" s="58" t="inlineStr">
        <is>
          <t>Semi-activa</t>
        </is>
      </c>
      <c r="I12" s="58" t="inlineStr">
        <is>
          <t>Concentración natural de escorrentía</t>
        </is>
      </c>
    </row>
    <row r="14">
      <c r="A14" s="55" t="inlineStr">
        <is>
          <t>F-DT-03 · ELENCO FLORÍSTICO</t>
        </is>
      </c>
    </row>
    <row r="15">
      <c r="A15" s="56" t="inlineStr">
        <is>
          <t>N.o</t>
        </is>
      </c>
      <c r="B15" s="56" t="inlineStr">
        <is>
          <t>Nombre común</t>
        </is>
      </c>
      <c r="C15" s="56" t="inlineStr">
        <is>
          <t>Nombre científico</t>
        </is>
      </c>
      <c r="D15" s="56" t="inlineStr">
        <is>
          <t>Familia</t>
        </is>
      </c>
      <c r="E15" s="56" t="inlineStr">
        <is>
          <t>Estrato</t>
        </is>
      </c>
      <c r="F15" s="56" t="inlineStr">
        <is>
          <t>Origen</t>
        </is>
      </c>
      <c r="G15" s="56" t="inlineStr">
        <is>
          <t>Abundancia</t>
        </is>
      </c>
      <c r="H15" s="56" t="inlineStr">
        <is>
          <t>DAP (cm)</t>
        </is>
      </c>
      <c r="I15" s="56" t="inlineStr">
        <is>
          <t>Altura (m)</t>
        </is>
      </c>
    </row>
    <row r="16">
      <c r="A16" s="57" t="inlineStr">
        <is>
          <t>1</t>
        </is>
      </c>
      <c r="B16" s="57" t="inlineStr">
        <is>
          <t>Pasallo</t>
        </is>
      </c>
      <c r="C16" s="57" t="inlineStr">
        <is>
          <t>Eriotheca ruizii</t>
        </is>
      </c>
      <c r="D16" s="57" t="inlineStr">
        <is>
          <t>Malvaceae</t>
        </is>
      </c>
      <c r="E16" s="57" t="inlineStr">
        <is>
          <t>Arbóreo med(8-15 m)</t>
        </is>
      </c>
      <c r="F16" s="57" t="inlineStr">
        <is>
          <t>Nativa</t>
        </is>
      </c>
      <c r="G16" s="57" t="inlineStr">
        <is>
          <t>Abundante</t>
        </is>
      </c>
      <c r="H16" s="62" t="n">
        <v>30</v>
      </c>
      <c r="I16" s="62" t="n">
        <v>10</v>
      </c>
    </row>
    <row r="17">
      <c r="A17" s="58" t="inlineStr">
        <is>
          <t>2</t>
        </is>
      </c>
      <c r="B17" s="58" t="inlineStr">
        <is>
          <t>Charán / Charanal</t>
        </is>
      </c>
      <c r="C17" s="58" t="inlineStr">
        <is>
          <t>Caesalpinia paipai</t>
        </is>
      </c>
      <c r="D17" s="58" t="inlineStr">
        <is>
          <t>Fabaceae</t>
        </is>
      </c>
      <c r="E17" s="58" t="inlineStr">
        <is>
          <t>Arbóreo bajo(4-8 m)</t>
        </is>
      </c>
      <c r="F17" s="58" t="inlineStr">
        <is>
          <t>Nativa</t>
        </is>
      </c>
      <c r="G17" s="58" t="inlineStr">
        <is>
          <t>Abundante</t>
        </is>
      </c>
      <c r="H17" s="64" t="n">
        <v>18</v>
      </c>
      <c r="I17" s="65" t="n">
        <v>6</v>
      </c>
    </row>
    <row r="18">
      <c r="A18" s="57" t="inlineStr">
        <is>
          <t>3</t>
        </is>
      </c>
      <c r="B18" s="57" t="inlineStr">
        <is>
          <t>Hualtaco</t>
        </is>
      </c>
      <c r="C18" s="57" t="inlineStr">
        <is>
          <t>Loxopterygium huasango</t>
        </is>
      </c>
      <c r="D18" s="57" t="inlineStr">
        <is>
          <t>Anacardiaceae</t>
        </is>
      </c>
      <c r="E18" s="57" t="inlineStr">
        <is>
          <t>Arbóreo med(8-15 m)</t>
        </is>
      </c>
      <c r="F18" s="57" t="inlineStr">
        <is>
          <t>Nativa</t>
        </is>
      </c>
      <c r="G18" s="57" t="inlineStr">
        <is>
          <t>Frecuente</t>
        </is>
      </c>
      <c r="H18" s="62" t="n">
        <v>25</v>
      </c>
      <c r="I18" s="63" t="n">
        <v>9</v>
      </c>
    </row>
    <row r="19">
      <c r="A19" s="58" t="inlineStr">
        <is>
          <t>4</t>
        </is>
      </c>
      <c r="B19" s="58" t="inlineStr">
        <is>
          <t>Algarrobo</t>
        </is>
      </c>
      <c r="C19" s="58" t="inlineStr">
        <is>
          <t>Prosopis pallida</t>
        </is>
      </c>
      <c r="D19" s="58" t="inlineStr">
        <is>
          <t>Fabaceae</t>
        </is>
      </c>
      <c r="E19" s="58" t="inlineStr">
        <is>
          <t>Arbóreo med(8-15 m)</t>
        </is>
      </c>
      <c r="F19" s="58" t="inlineStr">
        <is>
          <t>Nativa</t>
        </is>
      </c>
      <c r="G19" s="58" t="inlineStr">
        <is>
          <t>Frecuente</t>
        </is>
      </c>
      <c r="H19" s="64" t="n">
        <v>32</v>
      </c>
      <c r="I19" s="65" t="n">
        <v>8</v>
      </c>
    </row>
    <row r="20">
      <c r="A20" s="57" t="inlineStr">
        <is>
          <t>5</t>
        </is>
      </c>
      <c r="B20" s="57" t="inlineStr">
        <is>
          <t>Ceibo / Pretino</t>
        </is>
      </c>
      <c r="C20" s="57" t="inlineStr">
        <is>
          <t>Ceiba trichistandra</t>
        </is>
      </c>
      <c r="D20" s="57" t="inlineStr">
        <is>
          <t>Malvaceae</t>
        </is>
      </c>
      <c r="E20" s="57" t="inlineStr">
        <is>
          <t>Arbóreo sup(&gt;15 m)</t>
        </is>
      </c>
      <c r="F20" s="57" t="inlineStr">
        <is>
          <t>Nativa</t>
        </is>
      </c>
      <c r="G20" s="57" t="inlineStr">
        <is>
          <t>Escasa</t>
        </is>
      </c>
      <c r="H20" s="62" t="n">
        <v>55</v>
      </c>
      <c r="I20" s="62" t="n">
        <v>14</v>
      </c>
    </row>
    <row r="21">
      <c r="A21" s="58" t="inlineStr">
        <is>
          <t>6</t>
        </is>
      </c>
      <c r="B21" s="58" t="inlineStr">
        <is>
          <t>Overo</t>
        </is>
      </c>
      <c r="C21" s="58" t="inlineStr">
        <is>
          <t>Cordia lutea</t>
        </is>
      </c>
      <c r="D21" s="58" t="inlineStr">
        <is>
          <t>Boraginaceae</t>
        </is>
      </c>
      <c r="E21" s="58" t="inlineStr">
        <is>
          <t>Arbustivo alto(1.5-4 m)</t>
        </is>
      </c>
      <c r="F21" s="58" t="inlineStr">
        <is>
          <t>Nativa</t>
        </is>
      </c>
      <c r="G21" s="58" t="inlineStr">
        <is>
          <t>Abundante</t>
        </is>
      </c>
      <c r="H21" s="65" t="n">
        <v>6</v>
      </c>
      <c r="I21" s="65" t="n">
        <v>3</v>
      </c>
    </row>
    <row r="22">
      <c r="A22" s="57" t="inlineStr">
        <is>
          <t>7</t>
        </is>
      </c>
      <c r="B22" s="57" t="inlineStr">
        <is>
          <t>Faique / Espino</t>
        </is>
      </c>
      <c r="C22" s="57" t="inlineStr">
        <is>
          <t>Vachellia macracantha</t>
        </is>
      </c>
      <c r="D22" s="57" t="inlineStr">
        <is>
          <t>Fabaceae</t>
        </is>
      </c>
      <c r="E22" s="57" t="inlineStr">
        <is>
          <t>Arbóreo medio (8-15 m)</t>
        </is>
      </c>
      <c r="F22" s="57" t="inlineStr">
        <is>
          <t>Nativa</t>
        </is>
      </c>
      <c r="G22" s="57" t="inlineStr">
        <is>
          <t>Frecuente</t>
        </is>
      </c>
      <c r="H22" s="63" t="n">
        <v>8</v>
      </c>
      <c r="I22" s="63" t="n">
        <v>4</v>
      </c>
    </row>
    <row r="23">
      <c r="A23" s="58" t="inlineStr">
        <is>
          <t>8</t>
        </is>
      </c>
      <c r="B23" s="58" t="inlineStr">
        <is>
          <t>Palo santo</t>
        </is>
      </c>
      <c r="C23" s="58" t="inlineStr">
        <is>
          <t>Bursera graveolens</t>
        </is>
      </c>
      <c r="D23" s="58" t="inlineStr">
        <is>
          <t>Burseraceae</t>
        </is>
      </c>
      <c r="E23" s="58" t="inlineStr">
        <is>
          <t>Arbóreo medio (8-15 m)</t>
        </is>
      </c>
      <c r="F23" s="58" t="inlineStr">
        <is>
          <t>Nativa</t>
        </is>
      </c>
      <c r="G23" s="58" t="inlineStr">
        <is>
          <t>Escasa</t>
        </is>
      </c>
      <c r="H23" s="64" t="n">
        <v>15</v>
      </c>
      <c r="I23" s="65" t="n">
        <v>5</v>
      </c>
    </row>
    <row r="24">
      <c r="A24" s="57" t="inlineStr">
        <is>
          <t>9</t>
        </is>
      </c>
      <c r="B24" s="57" t="inlineStr">
        <is>
          <t>Cactus columnar</t>
        </is>
      </c>
      <c r="C24" s="57" t="inlineStr">
        <is>
          <t>Armatocereus cartwrightianus</t>
        </is>
      </c>
      <c r="D24" s="57" t="inlineStr">
        <is>
          <t>Cactaceae</t>
        </is>
      </c>
      <c r="E24" s="57" t="inlineStr">
        <is>
          <t>Arbustivo alto(1.5-4 m)</t>
        </is>
      </c>
      <c r="F24" s="57" t="inlineStr">
        <is>
          <t>Nativa</t>
        </is>
      </c>
      <c r="G24" s="57" t="inlineStr">
        <is>
          <t>Abundante</t>
        </is>
      </c>
      <c r="H24" s="57" t="n"/>
      <c r="I24" s="63" t="n">
        <v>4</v>
      </c>
    </row>
    <row r="25">
      <c r="A25" s="58" t="inlineStr">
        <is>
          <t>10</t>
        </is>
      </c>
      <c r="B25" s="58" t="inlineStr">
        <is>
          <t>Borrachera</t>
        </is>
      </c>
      <c r="C25" s="58" t="inlineStr">
        <is>
          <t>Ipomoea carnea</t>
        </is>
      </c>
      <c r="D25" s="58" t="inlineStr">
        <is>
          <t>Convolvulaceae</t>
        </is>
      </c>
      <c r="E25" s="58" t="inlineStr">
        <is>
          <t>Arbustivo bajo(0.5-1.5 m)</t>
        </is>
      </c>
      <c r="F25" s="58" t="inlineStr">
        <is>
          <t>Nativa</t>
        </is>
      </c>
      <c r="G25" s="58" t="inlineStr">
        <is>
          <t>Frecuente</t>
        </is>
      </c>
      <c r="H25" s="58" t="n"/>
      <c r="I25" s="65" t="n">
        <v>2</v>
      </c>
    </row>
    <row r="26">
      <c r="A26" s="57" t="inlineStr">
        <is>
          <t>11</t>
        </is>
      </c>
      <c r="B26" s="57" t="inlineStr">
        <is>
          <t>Cardo</t>
        </is>
      </c>
      <c r="C26" s="57" t="inlineStr">
        <is>
          <t>Neoraimondia arequipensis</t>
        </is>
      </c>
      <c r="D26" s="57" t="inlineStr">
        <is>
          <t>Cactaceae</t>
        </is>
      </c>
      <c r="E26" s="57" t="inlineStr">
        <is>
          <t>Arbustivo alto(1.5-4 m)</t>
        </is>
      </c>
      <c r="F26" s="57" t="inlineStr">
        <is>
          <t>Nativa</t>
        </is>
      </c>
      <c r="G26" s="57" t="inlineStr">
        <is>
          <t>Escasa</t>
        </is>
      </c>
      <c r="H26" s="57" t="n"/>
      <c r="I26" s="63" t="n">
        <v>3</v>
      </c>
    </row>
    <row r="27">
      <c r="A27" s="58" t="inlineStr">
        <is>
          <t>12</t>
        </is>
      </c>
      <c r="B27" s="58" t="inlineStr">
        <is>
          <t>Vichayo</t>
        </is>
      </c>
      <c r="C27" s="58" t="inlineStr">
        <is>
          <t>Capparis avicennifolia</t>
        </is>
      </c>
      <c r="D27" s="58" t="inlineStr">
        <is>
          <t>Capparaceae</t>
        </is>
      </c>
      <c r="E27" s="58" t="inlineStr">
        <is>
          <t>Arbustivo alto(1.5-4 m)</t>
        </is>
      </c>
      <c r="F27" s="58" t="inlineStr">
        <is>
          <t>Nativa</t>
        </is>
      </c>
      <c r="G27" s="58" t="inlineStr">
        <is>
          <t>Frecuente</t>
        </is>
      </c>
      <c r="H27" s="58" t="n"/>
      <c r="I27" s="65" t="n">
        <v>2</v>
      </c>
    </row>
    <row r="28">
      <c r="A28" s="57" t="inlineStr">
        <is>
          <t>N°</t>
        </is>
      </c>
      <c r="B28" s="57" t="inlineStr">
        <is>
          <t>Nombre científico o común</t>
        </is>
      </c>
      <c r="C28" s="57" t="inlineStr">
        <is>
          <t>Categoría</t>
        </is>
      </c>
      <c r="D28" s="57" t="inlineStr">
        <is>
          <t>Estado UICN / D.S. 043</t>
        </is>
      </c>
      <c r="E28" s="57" t="inlineStr">
        <is>
          <t>UTM ESTE</t>
        </is>
      </c>
      <c r="F28" s="57" t="inlineStr">
        <is>
          <t>UTM NORTE</t>
        </is>
      </c>
      <c r="G28" s="57" t="inlineStr">
        <is>
          <t>N° indiv.</t>
        </is>
      </c>
      <c r="H28" s="57" t="n"/>
      <c r="I28" s="57" t="n"/>
    </row>
    <row r="30">
      <c r="A30" s="55" t="inlineStr">
        <is>
          <t>F-DT-03 · ESPECIES CLAVE GEORREFERENCIADAS</t>
        </is>
      </c>
    </row>
    <row r="31">
      <c r="A31" s="56" t="inlineStr">
        <is>
          <t>N.o</t>
        </is>
      </c>
      <c r="B31" s="56" t="inlineStr">
        <is>
          <t>Especie</t>
        </is>
      </c>
      <c r="C31" s="56" t="inlineStr">
        <is>
          <t>Categoría</t>
        </is>
      </c>
      <c r="D31" s="56" t="inlineStr">
        <is>
          <t>Estado UICN</t>
        </is>
      </c>
      <c r="E31" s="56" t="inlineStr">
        <is>
          <t>UTM ESTE</t>
        </is>
      </c>
      <c r="F31" s="56" t="inlineStr">
        <is>
          <t>UTM NORTE</t>
        </is>
      </c>
      <c r="G31" s="56" t="inlineStr">
        <is>
          <t>N.° individuos</t>
        </is>
      </c>
      <c r="H31" s="56" t="inlineStr">
        <is>
          <t>Observación</t>
        </is>
      </c>
    </row>
    <row r="32">
      <c r="A32" s="57" t="inlineStr">
        <is>
          <t>1</t>
        </is>
      </c>
      <c r="B32" s="57" t="inlineStr">
        <is>
          <t>Loxopterygium huasango</t>
        </is>
      </c>
      <c r="C32" s="57" t="inlineStr">
        <is>
          <t>Endémica / amenazada</t>
        </is>
      </c>
      <c r="D32" s="57" t="inlineStr">
        <is>
          <t>EN (D.S. 043-2006-AG)</t>
        </is>
      </c>
      <c r="E32" s="62" t="n">
        <v>632918</v>
      </c>
      <c r="F32" s="62" t="n">
        <v>9411574</v>
      </c>
      <c r="G32" s="63" t="n">
        <v>5</v>
      </c>
      <c r="H32" s="57" t="inlineStr">
        <is>
          <t>Especie de alto valor maderable; en peligro de extinción nacional. Indicador de bosque seco en buen estado relativo.</t>
        </is>
      </c>
    </row>
    <row r="33">
      <c r="A33" s="58" t="inlineStr">
        <is>
          <t>2</t>
        </is>
      </c>
      <c r="B33" s="58" t="inlineStr">
        <is>
          <t>Eriotheca ruizii</t>
        </is>
      </c>
      <c r="C33" s="58" t="inlineStr">
        <is>
          <t>Bandera del bosque seco</t>
        </is>
      </c>
      <c r="D33" s="58" t="inlineStr">
        <is>
          <t>No evaluada</t>
        </is>
      </c>
      <c r="E33" s="64" t="n">
        <v>632913</v>
      </c>
      <c r="F33" s="64" t="n">
        <v>9411514</v>
      </c>
      <c r="G33" s="64" t="n">
        <v>12</v>
      </c>
      <c r="H33" s="58" t="inlineStr">
        <is>
          <t>Especie emblemática del bosque seco norandino; pasallo de gran porte indicador de bosque relictual.</t>
        </is>
      </c>
    </row>
    <row r="34">
      <c r="A34" s="57" t="inlineStr">
        <is>
          <t>3</t>
        </is>
      </c>
      <c r="B34" s="57" t="inlineStr">
        <is>
          <t>Ceiba trichistandra</t>
        </is>
      </c>
      <c r="C34" s="57" t="inlineStr">
        <is>
          <t>Bandera / Estructural</t>
        </is>
      </c>
      <c r="D34" s="57" t="inlineStr">
        <is>
          <t>NT</t>
        </is>
      </c>
      <c r="E34" s="62" t="n">
        <v>632918</v>
      </c>
      <c r="F34" s="62" t="n">
        <v>9411574</v>
      </c>
      <c r="G34" s="63" t="n">
        <v>1</v>
      </c>
      <c r="H34" s="57" t="inlineStr">
        <is>
          <t>Único ejemplar identificado en parcela; árbol estructural de gran porte y baja regeneración natural.</t>
        </is>
      </c>
    </row>
    <row r="35">
      <c r="A35" s="58" t="inlineStr">
        <is>
          <t>4</t>
        </is>
      </c>
      <c r="B35" s="58" t="inlineStr">
        <is>
          <t>Bursera graveolens</t>
        </is>
      </c>
      <c r="C35" s="58" t="inlineStr">
        <is>
          <t>Aprovechamiento tradicional</t>
        </is>
      </c>
      <c r="D35" s="58" t="inlineStr">
        <is>
          <t>NT</t>
        </is>
      </c>
      <c r="E35" s="64" t="n">
        <v>632895</v>
      </c>
      <c r="F35" s="64" t="n">
        <v>9411559</v>
      </c>
      <c r="G35" s="65" t="n">
        <v>3</v>
      </c>
      <c r="H35" s="58" t="inlineStr">
        <is>
          <t>Palo santo, presión por aprovechamiento informal.</t>
        </is>
      </c>
    </row>
    <row r="36">
      <c r="A36" s="57" t="inlineStr">
        <is>
          <t>5</t>
        </is>
      </c>
      <c r="B36" s="57" t="inlineStr">
        <is>
          <t>Armatocereus cartwrightianus</t>
        </is>
      </c>
      <c r="C36" s="57" t="inlineStr">
        <is>
          <t>Indicadora xerofítica</t>
        </is>
      </c>
      <c r="D36" s="57" t="inlineStr">
        <is>
          <t>No evaluada</t>
        </is>
      </c>
      <c r="E36" s="62" t="n">
        <v>632965</v>
      </c>
      <c r="F36" s="62" t="n">
        <v>9411587</v>
      </c>
      <c r="G36" s="63" t="n">
        <v>9</v>
      </c>
      <c r="H36" s="57" t="inlineStr">
        <is>
          <t>Cactácea columnar característica del bosque seco; indica alta aridez estacional.</t>
        </is>
      </c>
    </row>
    <row r="38">
      <c r="A38" s="55" t="inlineStr">
        <is>
          <t>F-DT-04 · MATRIZ DE CAUSAS DE DEGRADACIÓN</t>
        </is>
      </c>
    </row>
    <row r="39">
      <c r="A39" s="56" t="inlineStr">
        <is>
          <t>N.o</t>
        </is>
      </c>
      <c r="B39" s="56" t="inlineStr">
        <is>
          <t>Causa</t>
        </is>
      </c>
      <c r="C39" s="56" t="inlineStr">
        <is>
          <t>Presencia</t>
        </is>
      </c>
      <c r="D39" s="56" t="inlineStr">
        <is>
          <t>Intensidad</t>
        </is>
      </c>
      <c r="E39" s="56" t="inlineStr">
        <is>
          <t>Extensión</t>
        </is>
      </c>
      <c r="F39" s="56" t="inlineStr">
        <is>
          <t>Antigüedad</t>
        </is>
      </c>
      <c r="G39" s="56" t="inlineStr">
        <is>
          <t>Evidencia</t>
        </is>
      </c>
    </row>
    <row r="40">
      <c r="A40" s="57" t="inlineStr">
        <is>
          <t>1</t>
        </is>
      </c>
      <c r="B40" s="57" t="inlineStr">
        <is>
          <t>Sobrepastoreo (caprino/vacuno)</t>
        </is>
      </c>
      <c r="C40" s="57" t="inlineStr">
        <is>
          <t>Sí</t>
        </is>
      </c>
      <c r="D40" s="57" t="inlineStr">
        <is>
          <t>Fuerte</t>
        </is>
      </c>
      <c r="E40" s="57" t="inlineStr">
        <is>
          <t>55</t>
        </is>
      </c>
      <c r="F40" s="57" t="inlineStr">
        <is>
          <t>Crónica (&gt;20)</t>
        </is>
      </c>
      <c r="G40" s="57" t="inlineStr">
        <is>
          <t>Senderos de ganado caprino, ramoneo de regeneración, suelo compactado</t>
        </is>
      </c>
    </row>
    <row r="41">
      <c r="A41" s="58" t="inlineStr">
        <is>
          <t>2</t>
        </is>
      </c>
      <c r="B41" s="58" t="inlineStr">
        <is>
          <t>Tala para leña</t>
        </is>
      </c>
      <c r="C41" s="58" t="inlineStr">
        <is>
          <t>Sí</t>
        </is>
      </c>
      <c r="D41" s="58" t="inlineStr">
        <is>
          <t>Moderada</t>
        </is>
      </c>
      <c r="E41" s="58" t="inlineStr">
        <is>
          <t>30</t>
        </is>
      </c>
      <c r="F41" s="58" t="inlineStr">
        <is>
          <t>15-20</t>
        </is>
      </c>
      <c r="G41" s="58" t="inlineStr">
        <is>
          <t>Tocones de Hualtaco y Algarrobo; corta selectiva para uso doméstico</t>
        </is>
      </c>
    </row>
    <row r="42">
      <c r="A42" s="57" t="inlineStr">
        <is>
          <t>3</t>
        </is>
      </c>
      <c r="B42" s="57" t="inlineStr">
        <is>
          <t>Tala para carbón</t>
        </is>
      </c>
      <c r="C42" s="57" t="inlineStr">
        <is>
          <t>No</t>
        </is>
      </c>
      <c r="D42" s="57" t="inlineStr">
        <is>
          <t>Nula</t>
        </is>
      </c>
      <c r="E42" s="57" t="inlineStr">
        <is>
          <t>0</t>
        </is>
      </c>
      <c r="F42" s="57" t="inlineStr">
        <is>
          <t>0</t>
        </is>
      </c>
      <c r="G42" s="57" t="inlineStr">
        <is>
          <t>No se observaron Indicios de carboneo (resto de fogones, troncos quemados)</t>
        </is>
      </c>
    </row>
    <row r="43">
      <c r="A43" s="58" t="inlineStr">
        <is>
          <t>4</t>
        </is>
      </c>
      <c r="B43" s="58" t="inlineStr">
        <is>
          <t>Tala para madera</t>
        </is>
      </c>
      <c r="C43" s="58" t="inlineStr">
        <is>
          <t>Sí</t>
        </is>
      </c>
      <c r="D43" s="58" t="inlineStr">
        <is>
          <t>Ligera</t>
        </is>
      </c>
      <c r="E43" s="58" t="inlineStr">
        <is>
          <t>8</t>
        </is>
      </c>
      <c r="F43" s="58" t="inlineStr">
        <is>
          <t>10-15</t>
        </is>
      </c>
      <c r="G43" s="58" t="inlineStr">
        <is>
          <t>Tala selectiva de Hualtaco para madera local</t>
        </is>
      </c>
    </row>
    <row r="44">
      <c r="A44" s="57" t="inlineStr">
        <is>
          <t>5</t>
        </is>
      </c>
      <c r="B44" s="57" t="inlineStr">
        <is>
          <t>Quema (renovación de pastos)</t>
        </is>
      </c>
      <c r="C44" s="57" t="inlineStr">
        <is>
          <t>Sí</t>
        </is>
      </c>
      <c r="D44" s="57" t="inlineStr">
        <is>
          <t>Ligera</t>
        </is>
      </c>
      <c r="E44" s="57" t="inlineStr">
        <is>
          <t>10</t>
        </is>
      </c>
      <c r="F44" s="57" t="inlineStr">
        <is>
          <t>5-10</t>
        </is>
      </c>
      <c r="G44" s="57" t="inlineStr">
        <is>
          <t>Áreas con quemas para renovación de pasto al inicio de la estación lluviosa</t>
        </is>
      </c>
    </row>
    <row r="45">
      <c r="A45" s="58" t="inlineStr">
        <is>
          <t>6</t>
        </is>
      </c>
      <c r="B45" s="58" t="inlineStr">
        <is>
          <t>Quema accidental / Incendio</t>
        </is>
      </c>
      <c r="C45" s="58" t="inlineStr">
        <is>
          <t>No</t>
        </is>
      </c>
      <c r="D45" s="58" t="inlineStr">
        <is>
          <t>Nula</t>
        </is>
      </c>
      <c r="E45" s="58" t="inlineStr">
        <is>
          <t>0</t>
        </is>
      </c>
      <c r="F45" s="58" t="inlineStr">
        <is>
          <t>N/A</t>
        </is>
      </c>
      <c r="G45" s="58" t="inlineStr">
        <is>
          <t>No se observaron cicatrices de incendio del año en curso</t>
        </is>
      </c>
    </row>
    <row r="46">
      <c r="A46" s="57" t="inlineStr">
        <is>
          <t>7</t>
        </is>
      </c>
      <c r="B46" s="57" t="inlineStr">
        <is>
          <t>Cambio de uso a agricultura</t>
        </is>
      </c>
      <c r="C46" s="57" t="inlineStr">
        <is>
          <t>No</t>
        </is>
      </c>
      <c r="D46" s="57" t="inlineStr">
        <is>
          <t>Nula</t>
        </is>
      </c>
      <c r="E46" s="57" t="inlineStr">
        <is>
          <t>0</t>
        </is>
      </c>
      <c r="F46" s="57" t="inlineStr">
        <is>
          <t>N/A</t>
        </is>
      </c>
      <c r="G46" s="57" t="inlineStr">
        <is>
          <t>No se identificó conversión a agricultura dentro del bloque</t>
        </is>
      </c>
    </row>
    <row r="47">
      <c r="A47" s="58" t="inlineStr">
        <is>
          <t>8</t>
        </is>
      </c>
      <c r="B47" s="58" t="inlineStr">
        <is>
          <t>Cambio de uso a pastoreo</t>
        </is>
      </c>
      <c r="C47" s="58" t="inlineStr">
        <is>
          <t>Sí</t>
        </is>
      </c>
      <c r="D47" s="58" t="inlineStr">
        <is>
          <t>Moderada</t>
        </is>
      </c>
      <c r="E47" s="58" t="inlineStr">
        <is>
          <t>20</t>
        </is>
      </c>
      <c r="F47" s="58" t="inlineStr">
        <is>
          <t>15-20</t>
        </is>
      </c>
      <c r="G47" s="58" t="inlineStr">
        <is>
          <t>Áreas con pastoreo extensivo continuo de caprinos y vacunos</t>
        </is>
      </c>
    </row>
    <row r="48">
      <c r="A48" s="57" t="inlineStr">
        <is>
          <t>9</t>
        </is>
      </c>
      <c r="B48" s="57" t="inlineStr">
        <is>
          <t>Expansión urbana / vial</t>
        </is>
      </c>
      <c r="C48" s="57" t="inlineStr">
        <is>
          <t>Sí</t>
        </is>
      </c>
      <c r="D48" s="57" t="inlineStr">
        <is>
          <t>Fuerte</t>
        </is>
      </c>
      <c r="E48" s="57" t="inlineStr">
        <is>
          <t>18</t>
        </is>
      </c>
      <c r="F48" s="57" t="inlineStr">
        <is>
          <t>5-10</t>
        </is>
      </c>
      <c r="G48" s="57" t="inlineStr">
        <is>
          <t>Expansión urbana informal sobre el pie de ladera y márgenes de Q. Charanal (C.P. Bigote/Alan García)</t>
        </is>
      </c>
    </row>
    <row r="49">
      <c r="A49" s="58" t="inlineStr">
        <is>
          <t>10</t>
        </is>
      </c>
      <c r="B49" s="58" t="inlineStr">
        <is>
          <t>Minería informal</t>
        </is>
      </c>
      <c r="C49" s="58" t="inlineStr">
        <is>
          <t>No</t>
        </is>
      </c>
      <c r="D49" s="58" t="inlineStr">
        <is>
          <t>Nula</t>
        </is>
      </c>
      <c r="E49" s="58" t="inlineStr">
        <is>
          <t>0</t>
        </is>
      </c>
      <c r="F49" s="58" t="inlineStr">
        <is>
          <t>N/A</t>
        </is>
      </c>
      <c r="G49" s="58" t="inlineStr">
        <is>
          <t>No se identificaron concesiones mineras activas en el bloque (verificar SIGDA-INGEMMET)</t>
        </is>
      </c>
    </row>
    <row r="50">
      <c r="A50" s="57" t="inlineStr">
        <is>
          <t>11</t>
        </is>
      </c>
      <c r="B50" s="57" t="inlineStr">
        <is>
          <t>Extracción de áridos (cauces)</t>
        </is>
      </c>
      <c r="C50" s="57" t="inlineStr">
        <is>
          <t>Sí</t>
        </is>
      </c>
      <c r="D50" s="57" t="inlineStr">
        <is>
          <t>Ligera</t>
        </is>
      </c>
      <c r="E50" s="57" t="inlineStr">
        <is>
          <t>5</t>
        </is>
      </c>
      <c r="F50" s="57" t="inlineStr">
        <is>
          <t>5-10</t>
        </is>
      </c>
      <c r="G50" s="57" t="inlineStr">
        <is>
          <t>Extracción puntual de cantos rodados en cauce de quebrada Charanal</t>
        </is>
      </c>
    </row>
    <row r="51">
      <c r="A51" s="58" t="inlineStr">
        <is>
          <t>12</t>
        </is>
      </c>
      <c r="B51" s="58" t="inlineStr">
        <is>
          <t>Especies invasoras</t>
        </is>
      </c>
      <c r="C51" s="58" t="inlineStr">
        <is>
          <t>Sí</t>
        </is>
      </c>
      <c r="D51" s="58" t="inlineStr">
        <is>
          <t>Ligera</t>
        </is>
      </c>
      <c r="E51" s="58" t="inlineStr">
        <is>
          <t>10</t>
        </is>
      </c>
      <c r="F51" s="58" t="inlineStr">
        <is>
          <t>10-15</t>
        </is>
      </c>
      <c r="G51" s="58" t="inlineStr">
        <is>
          <t>Presencia de Ipomoea carnea (borrachera) en bordes y áreas perturbadas</t>
        </is>
      </c>
    </row>
    <row r="52">
      <c r="A52" s="57" t="inlineStr">
        <is>
          <t>13</t>
        </is>
      </c>
      <c r="B52" s="57" t="inlineStr">
        <is>
          <t>Erosión natural severa</t>
        </is>
      </c>
      <c r="C52" s="57" t="inlineStr">
        <is>
          <t>Sí</t>
        </is>
      </c>
      <c r="D52" s="57" t="inlineStr">
        <is>
          <t>Moderada</t>
        </is>
      </c>
      <c r="E52" s="57" t="inlineStr">
        <is>
          <t>15</t>
        </is>
      </c>
      <c r="F52" s="57" t="inlineStr">
        <is>
          <t>Estructural</t>
        </is>
      </c>
      <c r="G52" s="57" t="inlineStr">
        <is>
          <t>Surcos paralelos, cárcavas incipientes y socavamiento de cauce</t>
        </is>
      </c>
    </row>
    <row r="53">
      <c r="A53" s="58" t="inlineStr">
        <is>
          <t>14</t>
        </is>
      </c>
      <c r="B53" s="58" t="inlineStr">
        <is>
          <t>Sequía prolongada / CC</t>
        </is>
      </c>
      <c r="C53" s="58" t="inlineStr">
        <is>
          <t>Sí</t>
        </is>
      </c>
      <c r="D53" s="58" t="inlineStr">
        <is>
          <t>Moderada</t>
        </is>
      </c>
      <c r="E53" s="58" t="inlineStr">
        <is>
          <t>100</t>
        </is>
      </c>
      <c r="F53" s="58" t="inlineStr">
        <is>
          <t>Estructural</t>
        </is>
      </c>
      <c r="G53" s="58" t="inlineStr">
        <is>
          <t>Estrés hídrico estacional acentuado en años neutros; déficit creciente bajo SSP 5-8.5</t>
        </is>
      </c>
    </row>
    <row r="54">
      <c r="A54" s="57" t="inlineStr">
        <is>
          <t>15</t>
        </is>
      </c>
      <c r="B54" s="57" t="inlineStr">
        <is>
          <t>Plagas o enfermedades forestales</t>
        </is>
      </c>
      <c r="C54" s="57" t="inlineStr">
        <is>
          <t>No</t>
        </is>
      </c>
      <c r="D54" s="57" t="inlineStr">
        <is>
          <t>Nula</t>
        </is>
      </c>
      <c r="E54" s="57" t="inlineStr">
        <is>
          <t>0</t>
        </is>
      </c>
      <c r="F54" s="57" t="inlineStr">
        <is>
          <t>N/A</t>
        </is>
      </c>
      <c r="G54" s="57" t="inlineStr">
        <is>
          <t>No se identificaron plagas relevantes en el bloque</t>
        </is>
      </c>
    </row>
    <row r="55">
      <c r="A55" s="58" t="inlineStr">
        <is>
          <t>16</t>
        </is>
      </c>
      <c r="B55" s="58" t="inlineStr">
        <is>
          <t>Otro</t>
        </is>
      </c>
      <c r="C55" s="58" t="inlineStr">
        <is>
          <t>No</t>
        </is>
      </c>
      <c r="D55" s="58" t="inlineStr">
        <is>
          <t>Nula</t>
        </is>
      </c>
      <c r="E55" s="58" t="inlineStr">
        <is>
          <t>0</t>
        </is>
      </c>
      <c r="F55" s="58" t="inlineStr">
        <is>
          <t>N/A</t>
        </is>
      </c>
      <c r="G55" s="58" t="inlineStr">
        <is>
          <t>—</t>
        </is>
      </c>
    </row>
    <row r="57">
      <c r="A57" s="55" t="inlineStr">
        <is>
          <t>F-DT-04 · INDICADORES CUANTITATIVOS</t>
        </is>
      </c>
    </row>
    <row r="58">
      <c r="A58" s="56" t="inlineStr">
        <is>
          <t>N.o</t>
        </is>
      </c>
      <c r="B58" s="56" t="inlineStr">
        <is>
          <t>Indicador</t>
        </is>
      </c>
      <c r="C58" s="56" t="inlineStr">
        <is>
          <t>Unidad</t>
        </is>
      </c>
      <c r="D58" s="56" t="inlineStr">
        <is>
          <t>Valor</t>
        </is>
      </c>
      <c r="E58" s="56" t="inlineStr">
        <is>
          <t>Fuente</t>
        </is>
      </c>
      <c r="F58" s="56" t="inlineStr">
        <is>
          <t>Umbral</t>
        </is>
      </c>
      <c r="G58" s="56" t="inlineStr">
        <is>
          <t>Nivel</t>
        </is>
      </c>
    </row>
    <row r="59">
      <c r="A59" s="57" t="inlineStr">
        <is>
          <t>1</t>
        </is>
      </c>
      <c r="B59" s="57" t="inlineStr">
        <is>
          <t>Cobertura vegetal total</t>
        </is>
      </c>
      <c r="C59" s="57" t="inlineStr">
        <is>
          <t>%</t>
        </is>
      </c>
      <c r="D59" s="57" t="inlineStr">
        <is>
          <t>65</t>
        </is>
      </c>
      <c r="E59" s="57" t="inlineStr">
        <is>
          <t>Campo (parcela P-M3B3-01) + MSAVI 2024</t>
        </is>
      </c>
      <c r="F59" s="57" t="inlineStr">
        <is>
          <t>&gt;60% bueno; 30-60% medio; &lt;30% malo</t>
        </is>
      </c>
      <c r="G59" s="57" t="inlineStr">
        <is>
          <t>Medio</t>
        </is>
      </c>
    </row>
    <row r="60">
      <c r="A60" s="58" t="inlineStr">
        <is>
          <t>2</t>
        </is>
      </c>
      <c r="B60" s="58" t="inlineStr">
        <is>
          <t>Porcentaje de suelo desnudo</t>
        </is>
      </c>
      <c r="C60" s="58" t="inlineStr">
        <is>
          <t>%</t>
        </is>
      </c>
      <c r="D60" s="58" t="inlineStr">
        <is>
          <t>20</t>
        </is>
      </c>
      <c r="E60" s="58" t="inlineStr">
        <is>
          <t>Campo + Sentinel-2 (2024-2025)</t>
        </is>
      </c>
      <c r="F60" s="58" t="inlineStr">
        <is>
          <t>&lt;10% bueno; 10-30% medio; &gt;30% malo</t>
        </is>
      </c>
      <c r="G60" s="58" t="inlineStr">
        <is>
          <t>Medio</t>
        </is>
      </c>
    </row>
    <row r="61">
      <c r="A61" s="57" t="inlineStr">
        <is>
          <t>3</t>
        </is>
      </c>
      <c r="B61" s="57" t="inlineStr">
        <is>
          <t>Densidad de cárcavas</t>
        </is>
      </c>
      <c r="C61" s="57" t="inlineStr">
        <is>
          <t>N°/ha</t>
        </is>
      </c>
      <c r="D61" s="57" t="inlineStr">
        <is>
          <t>0.05</t>
        </is>
      </c>
      <c r="E61" s="57" t="inlineStr">
        <is>
          <t>Campo (4 cárcavas en 84.82 ha)</t>
        </is>
      </c>
      <c r="F61" s="57" t="inlineStr">
        <is>
          <t>0 nulo; 1-3 medio; &gt;3 alto</t>
        </is>
      </c>
      <c r="G61" s="57" t="inlineStr">
        <is>
          <t>Medio</t>
        </is>
      </c>
    </row>
    <row r="62">
      <c r="A62" s="58" t="inlineStr">
        <is>
          <t>4</t>
        </is>
      </c>
      <c r="B62" s="58" t="inlineStr">
        <is>
          <t>Presencia de especies invasoras</t>
        </is>
      </c>
      <c r="C62" s="58" t="inlineStr">
        <is>
          <t>% área</t>
        </is>
      </c>
      <c r="D62" s="58" t="inlineStr">
        <is>
          <t>8</t>
        </is>
      </c>
      <c r="E62" s="58" t="inlineStr">
        <is>
          <t>Campo (Ipomoea carnea, áreas perturbadas)</t>
        </is>
      </c>
      <c r="F62" s="58" t="inlineStr">
        <is>
          <t>&lt;5% bueno; 5-20% medio; &gt;20% alto</t>
        </is>
      </c>
      <c r="G62" s="58" t="inlineStr">
        <is>
          <t>Medio</t>
        </is>
      </c>
    </row>
    <row r="63">
      <c r="A63" s="57" t="inlineStr">
        <is>
          <t>5</t>
        </is>
      </c>
      <c r="B63" s="57" t="inlineStr">
        <is>
          <t>Carga ganadera estimada</t>
        </is>
      </c>
      <c r="C63" s="57" t="inlineStr">
        <is>
          <t>UA/ha</t>
        </is>
      </c>
      <c r="D63" s="57" t="inlineStr">
        <is>
          <t>0.8</t>
        </is>
      </c>
      <c r="E63" s="57" t="inlineStr">
        <is>
          <t>Estimación local (caprinos y vacunos)</t>
        </is>
      </c>
      <c r="F63" s="57" t="inlineStr">
        <is>
          <t>Según tipo de ecosistema</t>
        </is>
      </c>
      <c r="G63" s="57" t="inlineStr">
        <is>
          <t>Alto</t>
        </is>
      </c>
    </row>
    <row r="64">
      <c r="A64" s="58" t="inlineStr">
        <is>
          <t>6</t>
        </is>
      </c>
      <c r="B64" s="58" t="inlineStr">
        <is>
          <t>Frecuencia de quemas últimos 5 años</t>
        </is>
      </c>
      <c r="C64" s="58" t="inlineStr">
        <is>
          <t>N°</t>
        </is>
      </c>
      <c r="D64" s="58" t="inlineStr"/>
      <c r="E64" s="58" t="inlineStr"/>
      <c r="F64" s="58" t="inlineStr">
        <is>
          <t>0 nulo; 1-2 medio; &gt;2 alto</t>
        </is>
      </c>
      <c r="G64" s="58" t="inlineStr"/>
    </row>
    <row r="65">
      <c r="A65" s="57" t="inlineStr">
        <is>
          <t>7</t>
        </is>
      </c>
      <c r="B65" s="57" t="inlineStr">
        <is>
          <t>% área con pendiente &gt;50%</t>
        </is>
      </c>
      <c r="C65" s="57" t="inlineStr">
        <is>
          <t>%</t>
        </is>
      </c>
      <c r="D65" s="57" t="inlineStr">
        <is>
          <t>35</t>
        </is>
      </c>
      <c r="E65" s="57" t="inlineStr">
        <is>
          <t>Medición con clinómetro</t>
        </is>
      </c>
      <c r="F65" s="57" t="inlineStr">
        <is>
          <t>Factor de susceptibilidad</t>
        </is>
      </c>
      <c r="G65" s="57" t="inlineStr">
        <is>
          <t>Alto</t>
        </is>
      </c>
    </row>
    <row r="66">
      <c r="A66" s="58" t="inlineStr">
        <is>
          <t>8</t>
        </is>
      </c>
      <c r="B66" s="58" t="inlineStr">
        <is>
          <t>Distancia a vía vecinal más cercana</t>
        </is>
      </c>
      <c r="C66" s="58" t="inlineStr">
        <is>
          <t>m</t>
        </is>
      </c>
      <c r="D66" s="58" t="inlineStr">
        <is>
          <t>120</t>
        </is>
      </c>
      <c r="E66" s="58" t="inlineStr">
        <is>
          <t>Cartografía MTC + Google Earth</t>
        </is>
      </c>
      <c r="F66" s="58" t="inlineStr">
        <is>
          <t>A menor distancia → mayor presión</t>
        </is>
      </c>
      <c r="G66" s="58" t="inlineStr">
        <is>
          <t>Alto</t>
        </is>
      </c>
    </row>
    <row r="68">
      <c r="A68" s="55" t="inlineStr">
        <is>
          <t>F-DT-05 · FUENTES DE AGUA INVENTARIADAS</t>
        </is>
      </c>
    </row>
    <row r="69">
      <c r="A69" s="56" t="inlineStr">
        <is>
          <t>N.o</t>
        </is>
      </c>
      <c r="B69" s="56" t="inlineStr">
        <is>
          <t>Tipo de fuente</t>
        </is>
      </c>
      <c r="C69" s="56" t="inlineStr">
        <is>
          <t>UTM ESTE</t>
        </is>
      </c>
      <c r="D69" s="56" t="inlineStr">
        <is>
          <t>UTM NORTE</t>
        </is>
      </c>
      <c r="E69" s="56" t="inlineStr">
        <is>
          <t>Régimen</t>
        </is>
      </c>
      <c r="F69" s="56" t="inlineStr">
        <is>
          <t>Calidad</t>
        </is>
      </c>
      <c r="G69" s="56" t="inlineStr">
        <is>
          <t>Distancia (m)</t>
        </is>
      </c>
      <c r="H69" s="56" t="inlineStr">
        <is>
          <t>Uso / observación</t>
        </is>
      </c>
    </row>
    <row r="70">
      <c r="A70" s="57" t="inlineStr">
        <is>
          <t>1</t>
        </is>
      </c>
      <c r="B70" s="57" t="inlineStr">
        <is>
          <t>Quebrada (cauce natural)</t>
        </is>
      </c>
      <c r="C70" s="62" t="n">
        <v>633139</v>
      </c>
      <c r="D70" s="62" t="n">
        <v>9411630</v>
      </c>
      <c r="E70" s="57" t="inlineStr">
        <is>
          <t>Estacional</t>
        </is>
      </c>
      <c r="F70" s="57" t="inlineStr">
        <is>
          <t>Regular</t>
        </is>
      </c>
      <c r="G70" s="63" t="n">
        <v>0</v>
      </c>
      <c r="H70" s="57" t="inlineStr">
        <is>
          <t>Sin uso permanente; flujo solo en lluvia (ene-abr). Cauce socavado.</t>
        </is>
      </c>
    </row>
    <row r="71">
      <c r="A71" s="58" t="inlineStr">
        <is>
          <t>2</t>
        </is>
      </c>
      <c r="B71" s="58" t="inlineStr">
        <is>
          <t>Quebrada (cauce natural)</t>
        </is>
      </c>
      <c r="C71" s="64" t="n">
        <v>633103</v>
      </c>
      <c r="D71" s="64" t="n">
        <v>9411529</v>
      </c>
      <c r="E71" s="58" t="inlineStr">
        <is>
          <t>Estacional</t>
        </is>
      </c>
      <c r="F71" s="58" t="inlineStr">
        <is>
          <t>Regular</t>
        </is>
      </c>
      <c r="G71" s="65" t="n">
        <v>0</v>
      </c>
      <c r="H71" s="58" t="inlineStr">
        <is>
          <t>Quebrada Charanal — afluente; flujo intermitente</t>
        </is>
      </c>
    </row>
    <row r="72">
      <c r="A72" s="57" t="inlineStr">
        <is>
          <t>3</t>
        </is>
      </c>
      <c r="B72" s="57" t="inlineStr">
        <is>
          <t>Manantial / ojo de agua</t>
        </is>
      </c>
      <c r="C72" s="62" t="n">
        <v>632748</v>
      </c>
      <c r="D72" s="62" t="n">
        <v>9411549</v>
      </c>
      <c r="E72" s="57" t="inlineStr">
        <is>
          <t>Estacional</t>
        </is>
      </c>
      <c r="F72" s="57" t="inlineStr">
        <is>
          <t>Buena</t>
        </is>
      </c>
      <c r="G72" s="62" t="n">
        <v>50</v>
      </c>
      <c r="H72" s="57" t="inlineStr">
        <is>
          <t>Pequeño afloramiento estacional; uso ganadero ocasional</t>
        </is>
      </c>
    </row>
    <row r="73">
      <c r="A73" s="58" t="inlineStr">
        <is>
          <t>4</t>
        </is>
      </c>
      <c r="B73" s="58" t="inlineStr">
        <is>
          <t>Río principal (Río Bigote)</t>
        </is>
      </c>
      <c r="C73" s="64" t="n">
        <v>633500</v>
      </c>
      <c r="D73" s="64" t="n">
        <v>9412000</v>
      </c>
      <c r="E73" s="58" t="inlineStr">
        <is>
          <t>Permanente</t>
        </is>
      </c>
      <c r="F73" s="58" t="inlineStr">
        <is>
          <t>Regular</t>
        </is>
      </c>
      <c r="G73" s="64" t="n">
        <v>450</v>
      </c>
      <c r="H73" s="58" t="inlineStr">
        <is>
          <t>Río Bigote — fuera del bloque pero conexión hidrográfica directa</t>
        </is>
      </c>
    </row>
    <row r="76">
      <c r="A76" s="55" t="inlineStr">
        <is>
          <t>OBSERVACIONES DEL EVALUADOR POR FICHA</t>
        </is>
      </c>
    </row>
    <row r="77">
      <c r="A77" s="56" t="inlineStr">
        <is>
          <t>Ficha</t>
        </is>
      </c>
      <c r="B77" s="56" t="inlineStr">
        <is>
          <t>Observación registrada en campo</t>
        </is>
      </c>
    </row>
    <row r="78">
      <c r="A78" s="57" t="inlineStr">
        <is>
          <t>F-DT-01</t>
        </is>
      </c>
      <c r="B78" s="57" t="inlineStr">
        <is>
          <t>El bloque M3B3 corresponde a un sector colinoso del flanco norte del valle del Río Bigote, con altitudes entre 195 y 300 msnm (perfil topográfico Google Earth). El ingreso se realizó desde el C.P. Alan García. Se evidencia presión antrópica fuerte en el pie de ladera por expansión urbana informal (viviendas asentadas sobre laderas y márgenes de quebrada). La litología dominante (esquistos/filitas) y la pendiente &gt;15% configuran un escenario de susceptibilidad media a alta frente a movimientos en masa, especialmente en eventos FEN extraordinarios.</t>
        </is>
      </c>
    </row>
    <row r="79">
      <c r="A79" s="58" t="inlineStr">
        <is>
          <t>F-DT-02</t>
        </is>
      </c>
      <c r="B79" s="58" t="inlineStr">
        <is>
          <t>Los procesos erosivos predominantes corresponden a erosión laminar (≈20 % del bloque) y surcos paralelos en laderas medias y bajas con cobertura herbácea-arbustiva discontinua. El proceso de mayor relevancia es el socavamiento del cauce de la Quebrada Charanal, donde se observan bloques rocosos angulares (esquistos/cuarzo) de hasta 1.5 m, indicadores de transporte por flujos de detritos en eventos extraordinarios. La expansión urbana informal cercana al cauce y los márgenes incrementa la exposición y la urgencia de control.</t>
        </is>
      </c>
    </row>
    <row r="80">
      <c r="A80" s="57" t="inlineStr">
        <is>
          <t>F-DT-03</t>
        </is>
      </c>
      <c r="B80" s="57" t="inlineStr">
        <is>
          <t>Ecosistema clasificado como Bosque Estacionalmente Seco de Colina y Montaña (Bes-cm) según tipología MINAM. Estado de conservación medianamente alterado: dosel discontinuo (~30 % de cobertura del estrato arbóreo), reducción de individuos de Hualtaco y Ceibo por tala selectiva histórica, ramoneo caprino que limita regeneración natural en estratos bajos. Persisten relictos de bosque en cabeceras con buena cobertura (&gt;70 %) según verificación de campo y soporte MSAVI (parches 0.38-0.50). Valor ecológico ALTO por presencia de Loxopterygium huasango (EN) y Ceiba trichistandra (NT) con baja densidad poblacional.</t>
        </is>
      </c>
    </row>
    <row r="81">
      <c r="A81" s="58" t="inlineStr">
        <is>
          <t>F-DT-04</t>
        </is>
      </c>
      <c r="B81" s="58" t="inlineStr">
        <is>
          <t>El bloque M3B3 presenta una degradación de nivel MEDIO con tendencia al deterioro. La combinación de presión caprina sostenida, tala selectiva histórica y expansión urbana informal en el pie de ladera configura un escenario donde la pérdida de cobertura avanza desde la base hacia la parte alta del bloque. Sin embargo, persisten relictos de bosque con valor de conservación alto (Hualtaco EN), lo que justifica una intervención temprana orientada a (a) recuperación de cobertura mediante revegetación y enriquecimiento con especies nativas, (b) control de cárcavas y socavamiento, y (c) gobernanza comunitaria con C.P. Alan García y Bigote.</t>
        </is>
      </c>
    </row>
    <row r="82">
      <c r="A82" s="57" t="inlineStr">
        <is>
          <t>F-DT-05</t>
        </is>
      </c>
      <c r="B82" s="57" t="inlineStr">
        <is>
          <t>El bloque presenta hidrografía intermitente característica del bosque seco: una red de quebradas estacionales tributarias del Río Bigote, con la Quebrada Charanal como cauce principal. En estiaje no se observó caudal superficial. Existe un manantial estacional en cabecera. El bloque NO contiene captaciones poblacionales activas, pero por su posición topográfica funciona como zona generadora de escorrentía hacia el valle del Río Bigote, donde se localizan las captaciones de C.P. Bigote y áreas agrícolas aguas abajo. Accesibilidad operativa BUENA: vehicular hasta C.P. Alan García (45 min desde San Juan de Bigote capital, 95 min desde Chulucanas) más caminata de 20-30 min al frente activo.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M3B3</t>
        </is>
      </c>
    </row>
    <row r="7">
      <c r="A7" s="55" t="inlineStr">
        <is>
          <t>Hechos declarados por fuente</t>
        </is>
      </c>
    </row>
    <row r="8">
      <c r="A8" s="56" t="inlineStr">
        <is>
          <t>Fuente</t>
        </is>
      </c>
      <c r="B8" s="56" t="inlineStr">
        <is>
          <t>Hechos</t>
        </is>
      </c>
    </row>
    <row r="9">
      <c r="A9" s="57" t="inlineStr">
        <is>
          <t>Dato de campo</t>
        </is>
      </c>
      <c r="B9" s="57" t="n">
        <v>67</v>
      </c>
    </row>
    <row r="10">
      <c r="A10" s="58" t="inlineStr">
        <is>
          <t>Gabinete (GIS / teledetección)</t>
        </is>
      </c>
      <c r="B10" s="58" t="n">
        <v>24</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93</v>
      </c>
    </row>
    <row r="31">
      <c r="A31" s="58" t="inlineStr">
        <is>
          <t>COMPLEMENTADO</t>
        </is>
      </c>
      <c r="B31" s="58" t="n">
        <v>2</v>
      </c>
    </row>
    <row r="32">
      <c r="A32" s="57" t="inlineStr">
        <is>
          <t>ACTUALIZADO</t>
        </is>
      </c>
      <c r="B32" s="57" t="n">
        <v>10</v>
      </c>
    </row>
    <row r="33">
      <c r="A33" s="58" t="inlineStr">
        <is>
          <t>DISCREPANTE</t>
        </is>
      </c>
      <c r="B33" s="58" t="n">
        <v>0</v>
      </c>
    </row>
    <row r="34">
      <c r="A34" s="57" t="inlineStr">
        <is>
          <t>PENDIENTE</t>
        </is>
      </c>
      <c r="B34" s="57" t="n">
        <v>9</v>
      </c>
    </row>
    <row r="51">
      <c r="A51" s="55" t="inlineStr">
        <is>
          <t>Cobertura por estrato — campo (%)</t>
        </is>
      </c>
    </row>
    <row r="52">
      <c r="A52" s="56" t="inlineStr">
        <is>
          <t>Estrato</t>
        </is>
      </c>
      <c r="B52" s="56" t="inlineStr">
        <is>
          <t>% del área</t>
        </is>
      </c>
    </row>
    <row r="53">
      <c r="A53" s="57" t="inlineStr">
        <is>
          <t>Dosel</t>
        </is>
      </c>
      <c r="B53" s="62" t="n">
        <v>30</v>
      </c>
    </row>
    <row r="54">
      <c r="A54" s="58" t="inlineStr">
        <is>
          <t>Arbustiva</t>
        </is>
      </c>
      <c r="B54" s="64" t="n">
        <v>35</v>
      </c>
    </row>
    <row r="55">
      <c r="A55" s="57" t="inlineStr">
        <is>
          <t>Herbácea</t>
        </is>
      </c>
      <c r="B55" s="62" t="n">
        <v>25</v>
      </c>
    </row>
    <row r="56">
      <c r="A56" s="58" t="inlineStr">
        <is>
          <t>Hojarasca</t>
        </is>
      </c>
      <c r="B56" s="64" t="n">
        <v>15</v>
      </c>
    </row>
    <row r="57">
      <c r="A57" s="57" t="inlineStr">
        <is>
          <t>Suelo desnudo</t>
        </is>
      </c>
      <c r="B57" s="62" t="n">
        <v>20</v>
      </c>
    </row>
    <row r="74">
      <c r="A74" s="55" t="inlineStr">
        <is>
          <t>Causas activas de degradación (F-DT-04)</t>
        </is>
      </c>
    </row>
    <row r="75">
      <c r="A75" s="56" t="inlineStr">
        <is>
          <t>Causa</t>
        </is>
      </c>
      <c r="B75" s="56" t="inlineStr">
        <is>
          <t>Intensidad (1 ligera - 4 muy fuerte)</t>
        </is>
      </c>
    </row>
    <row r="76">
      <c r="A76" s="57" t="inlineStr">
        <is>
          <t>Expansión urbana / vial</t>
        </is>
      </c>
      <c r="B76" s="57" t="n">
        <v>3</v>
      </c>
    </row>
    <row r="77">
      <c r="A77" s="58" t="inlineStr">
        <is>
          <t>Sobrepastoreo (caprino/vacuno)</t>
        </is>
      </c>
      <c r="B77" s="58" t="n">
        <v>3</v>
      </c>
    </row>
    <row r="78">
      <c r="A78" s="57" t="inlineStr">
        <is>
          <t>Cambio de uso a pastoreo</t>
        </is>
      </c>
      <c r="B78" s="57" t="n">
        <v>2</v>
      </c>
    </row>
    <row r="79">
      <c r="A79" s="58" t="inlineStr">
        <is>
          <t>Erosión natural severa</t>
        </is>
      </c>
      <c r="B79" s="58" t="n">
        <v>2</v>
      </c>
    </row>
    <row r="80">
      <c r="A80" s="57" t="inlineStr">
        <is>
          <t>Sequía prolongada / CC</t>
        </is>
      </c>
      <c r="B80" s="57" t="n">
        <v>2</v>
      </c>
    </row>
    <row r="81">
      <c r="A81" s="58" t="inlineStr">
        <is>
          <t>Tala para leña</t>
        </is>
      </c>
      <c r="B81" s="58" t="n">
        <v>2</v>
      </c>
    </row>
    <row r="82">
      <c r="A82" s="57" t="inlineStr">
        <is>
          <t>Especies invasoras</t>
        </is>
      </c>
      <c r="B82" s="57" t="n">
        <v>1</v>
      </c>
    </row>
    <row r="83">
      <c r="A83" s="58" t="inlineStr">
        <is>
          <t>Extracción de áridos (cauces)</t>
        </is>
      </c>
      <c r="B83" s="58" t="n">
        <v>1</v>
      </c>
    </row>
    <row r="84">
      <c r="A84" s="57" t="inlineStr">
        <is>
          <t>Quema (renovación de pastos)</t>
        </is>
      </c>
      <c r="B84" s="57" t="n">
        <v>1</v>
      </c>
    </row>
    <row r="85">
      <c r="A85" s="58" t="inlineStr">
        <is>
          <t>Tala para madera</t>
        </is>
      </c>
      <c r="B85" s="58" t="n">
        <v>1</v>
      </c>
    </row>
    <row r="102">
      <c r="A102" s="55" t="inlineStr">
        <is>
          <t>Control de consistencia por calificación</t>
        </is>
      </c>
    </row>
    <row r="103">
      <c r="A103" s="56" t="inlineStr">
        <is>
          <t>Calificación</t>
        </is>
      </c>
      <c r="B103" s="56" t="inlineStr">
        <is>
          <t>Verificaciones</t>
        </is>
      </c>
    </row>
    <row r="104">
      <c r="A104" s="57" t="inlineStr">
        <is>
          <t>SUSTANTIVA</t>
        </is>
      </c>
      <c r="B104" s="57" t="n">
        <v>5</v>
      </c>
    </row>
    <row r="105">
      <c r="A105" s="58" t="inlineStr">
        <is>
          <t>NO SUSTANTIVA</t>
        </is>
      </c>
      <c r="B105" s="58" t="n">
        <v>1</v>
      </c>
    </row>
    <row r="106">
      <c r="A106" s="57" t="inlineStr">
        <is>
          <t>CORREGIDO</t>
        </is>
      </c>
      <c r="B106" s="57" t="n">
        <v>11</v>
      </c>
    </row>
    <row r="107">
      <c r="A107" s="58" t="inlineStr">
        <is>
          <t>CONFORME</t>
        </is>
      </c>
      <c r="B107"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M3B3 — IN Piura</dc:title>
  <dc:subject>Diagnóstico Territorial por bloque de intervención</dc:subject>
  <dcterms:created xsi:type="dcterms:W3CDTF">2026-09-08T03:39:58Z</dcterms:created>
  <dcterms:modified xsi:type="dcterms:W3CDTF">2026-09-11T20:22:38Z</dcterms:modified>
</cp:coreProperties>
</file>