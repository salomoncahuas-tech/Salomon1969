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integración'!$A$74:$A$75</f>
            </numRef>
          </cat>
          <val>
            <numRef>
              <f>'Gráficos de integración'!$B$74:$B$75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integración'!B93</f>
            </strRef>
          </tx>
          <spPr>
            <a:ln>
              <a:prstDash val="solid"/>
            </a:ln>
          </spPr>
          <cat>
            <numRef>
              <f>'Gráficos de integración'!$A$94:$A$97</f>
            </numRef>
          </cat>
          <val>
            <numRef>
              <f>'Gráficos de integración'!$B$94:$B$97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77</t>
        </is>
      </c>
    </row>
    <row r="6" ht="24" customHeight="1">
      <c r="A6" s="4" t="inlineStr">
        <is>
          <t>Diagnóstico Territorial — Plantilla DT Campo Check Validada V5 | Sistema de referencia: UTM WGS 84 Zona 17S (EPSG:32717) · Integrado con la ficha de campo F-DT vigente (Plantilla_DT_Campo_V5_Bloque77.xlsx) — V7 - resumen V6 + campo F-DT integrado</t>
        </is>
      </c>
    </row>
    <row r="7"/>
    <row r="8" ht="18" customHeight="1">
      <c r="A8" s="5" t="inlineStr">
        <is>
          <t>1. IDENTIFICACIÓN Y LOCALIZACIÓN</t>
        </is>
      </c>
    </row>
    <row r="9">
      <c r="A9" s="6" t="inlineStr">
        <is>
          <t>Código del bloque</t>
        </is>
      </c>
      <c r="B9" s="7" t="inlineStr">
        <is>
          <t>77</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t>
        </is>
      </c>
      <c r="C13" s="6" t="inlineStr">
        <is>
          <t>Comunidad campesina</t>
        </is>
      </c>
      <c r="D13" s="7" t="inlineStr">
        <is>
          <t>Por verificar</t>
        </is>
      </c>
      <c r="E13" s="8" t="n"/>
      <c r="F13" s="8" t="n"/>
    </row>
    <row r="14">
      <c r="A14" s="6" t="inlineStr">
        <is>
          <t>Superficie de catálogo (V5/V6), ha</t>
        </is>
      </c>
      <c r="B14" s="7" t="n">
        <v>17.82</v>
      </c>
      <c r="C14" s="6" t="inlineStr">
        <is>
          <t>Fuente de superficie</t>
        </is>
      </c>
      <c r="D14" s="7" t="inlineStr">
        <is>
          <t>Catálogo maestro Bloques V5/V6</t>
        </is>
      </c>
      <c r="E14" s="8" t="n"/>
      <c r="F14" s="8" t="n"/>
    </row>
    <row r="15">
      <c r="A15" s="6" t="inlineStr">
        <is>
          <t>Centroide UTM ESTE (m)</t>
        </is>
      </c>
      <c r="B15" s="7" t="n">
        <v>638648</v>
      </c>
      <c r="C15" s="6" t="inlineStr">
        <is>
          <t>Centroide UTM NORTE (m)</t>
        </is>
      </c>
      <c r="D15" s="7" t="n">
        <v>9411370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242</v>
      </c>
      <c r="C19" s="6" t="inlineStr">
        <is>
          <t>Altitud máxima (msnm)</t>
        </is>
      </c>
      <c r="D19" s="7" t="n">
        <v>346</v>
      </c>
      <c r="E19" s="8" t="n"/>
      <c r="F19" s="8" t="n"/>
    </row>
    <row r="20">
      <c r="A20" s="6" t="inlineStr">
        <is>
          <t>Amplitud altitudinal (m)</t>
        </is>
      </c>
      <c r="B20" s="7" t="n">
        <v>104</v>
      </c>
      <c r="C20" s="6" t="inlineStr">
        <is>
          <t>Piso altitudinal dominante</t>
        </is>
      </c>
      <c r="D20" s="7" t="inlineStr">
        <is>
          <t>&lt;1000 m (Yunga)</t>
        </is>
      </c>
      <c r="E20" s="8" t="n"/>
      <c r="F20" s="8" t="n"/>
    </row>
    <row r="21">
      <c r="A21" s="6" t="inlineStr">
        <is>
          <t>Pendiente promedio (%)</t>
        </is>
      </c>
      <c r="B21" s="7" t="n">
        <v>13.71</v>
      </c>
      <c r="C21" s="6" t="inlineStr">
        <is>
          <t>Pendiente promedio (grados)</t>
        </is>
      </c>
      <c r="D21" s="7" t="n">
        <v>7.8</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Pie de ladera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0.2725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(61.69 %)</t>
        </is>
      </c>
      <c r="E29" s="8" t="n"/>
      <c r="F29" s="8" t="n"/>
    </row>
    <row r="30">
      <c r="A30" s="6" t="inlineStr">
        <is>
          <t>Superficie clasificada NDVI 2025 (ha)</t>
        </is>
      </c>
      <c r="B30" s="7" t="n">
        <v>17.827</v>
      </c>
      <c r="C30" s="6" t="inlineStr">
        <is>
          <t>Desviación frente al catálogo (%)</t>
        </is>
      </c>
      <c r="D30" s="7" t="n">
        <v>0.04</v>
      </c>
      <c r="E30" s="8" t="n"/>
      <c r="F30" s="8" t="n"/>
    </row>
    <row r="31">
      <c r="A31" s="6" t="inlineStr">
        <is>
          <t>Superficie clasificada MSAVI 2024 (ha)</t>
        </is>
      </c>
      <c r="B31" s="39" t="n">
        <v>17.821</v>
      </c>
      <c r="C31" s="6" t="inlineStr">
        <is>
          <t>Desviación MSAVI frente al catálogo (%)</t>
        </is>
      </c>
      <c r="D31" s="40" t="n">
        <v>0</v>
      </c>
      <c r="E31" s="8" t="n"/>
      <c r="F31" s="8" t="n"/>
    </row>
    <row r="32">
      <c r="A32" s="6" t="inlineStr">
        <is>
          <t>Superficie bajo umbral MSAVI 0.4976 (ha)</t>
        </is>
      </c>
      <c r="B32" s="39" t="n">
        <v>17.781</v>
      </c>
      <c r="C32" s="6" t="inlineStr">
        <is>
          <t>% del bloque bajo umbral (brecha espectral)</t>
        </is>
      </c>
      <c r="D32" s="40" t="n">
        <v>99.78</v>
      </c>
      <c r="E32" s="8" t="n"/>
      <c r="F32" s="8" t="n"/>
    </row>
    <row r="33">
      <c r="A33" s="6" t="inlineStr">
        <is>
          <t>Clase DN dominante (MSAVI 2024)</t>
        </is>
      </c>
      <c r="B33" s="7" t="inlineStr">
        <is>
          <t>DN 1 · &lt;= 0.2650 (Suelo desnudo / no vegetal)</t>
        </is>
      </c>
      <c r="C33" s="6" t="inlineStr">
        <is>
          <t>N.° de polígonos MSAVI del bloque</t>
        </is>
      </c>
      <c r="D33" s="41" t="n">
        <v>85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17.82 ha (100% del bloque)</t>
        </is>
      </c>
      <c r="E36" s="8" t="n"/>
      <c r="F36" s="8" t="n"/>
    </row>
    <row r="37">
      <c r="A37" s="6" t="inlineStr">
        <is>
          <t>Estado de conservación</t>
        </is>
      </c>
      <c r="B37" s="7" t="inlineStr">
        <is>
          <t>Alterado (intervención marcada)</t>
        </is>
      </c>
      <c r="C37" s="6" t="inlineStr">
        <is>
          <t>Uso actual dominante del suelo</t>
        </is>
      </c>
      <c r="D37" s="7" t="inlineStr">
        <is>
          <t>Pastoreo intensivo</t>
        </is>
      </c>
      <c r="E37" s="8" t="n"/>
      <c r="F37" s="8" t="n"/>
    </row>
    <row r="38">
      <c r="A38" s="6" t="inlineStr">
        <is>
          <t>Tipo de cobertura dominante</t>
        </is>
      </c>
      <c r="B38" s="7" t="inlineStr">
        <is>
          <t>Pastizal cultivado</t>
        </is>
      </c>
      <c r="C38" s="6" t="inlineStr">
        <is>
          <t>Cobertura vegetal total — campo (%)</t>
        </is>
      </c>
      <c r="D38" s="7" t="n">
        <v>10</v>
      </c>
      <c r="E38" s="8" t="n"/>
      <c r="F38" s="8" t="n"/>
    </row>
    <row r="39">
      <c r="A39" s="6" t="inlineStr">
        <is>
          <t>Suelo desnudo — campo (%)</t>
        </is>
      </c>
      <c r="B39" s="7" t="n">
        <v>0.25</v>
      </c>
      <c r="C39" s="6" t="inlineStr">
        <is>
          <t>Regeneración natural</t>
        </is>
      </c>
      <c r="D39" s="7" t="inlineStr">
        <is>
          <t>Ausente</t>
        </is>
      </c>
      <c r="E39" s="8" t="n"/>
      <c r="F39" s="8" t="n"/>
    </row>
    <row r="40">
      <c r="A40" s="6" t="inlineStr">
        <is>
          <t>Nivel general de erosión</t>
        </is>
      </c>
      <c r="B40" s="7" t="inlineStr">
        <is>
          <t>Moderada (surcos)</t>
        </is>
      </c>
      <c r="C40" s="6" t="inlineStr">
        <is>
          <t>N.° de cárcavas registradas</t>
        </is>
      </c>
      <c r="D40" s="7" t="n">
        <v>5</v>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 Domínguez / Petrov Arias</t>
        </is>
      </c>
      <c r="C44" s="6" t="inlineStr">
        <is>
          <t>Fecha de evaluación</t>
        </is>
      </c>
      <c r="D44" s="7" t="inlineStr">
        <is>
          <t>2026-06-03</t>
        </is>
      </c>
      <c r="E44" s="8" t="n"/>
      <c r="F44" s="8" t="n"/>
    </row>
    <row r="45">
      <c r="A45" s="6" t="inlineStr">
        <is>
          <t>Hora de registro</t>
        </is>
      </c>
      <c r="B45" s="7" t="inlineStr">
        <is>
          <t>09:31 - 10:12 h</t>
        </is>
      </c>
      <c r="C45" s="6" t="inlineStr">
        <is>
          <t>Correlativo de ficha</t>
        </is>
      </c>
      <c r="D45" s="51" t="inlineStr">
        <is>
          <t>F-DT-01..05/B77/2026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Potrero de cabras que pertenecen a los pobladores de Miguelpampa</t>
        </is>
      </c>
      <c r="C51" s="6" t="inlineStr">
        <is>
          <t>Velocidad de degradación</t>
        </is>
      </c>
      <c r="D51" s="7" t="inlineStr">
        <is>
          <t>Moderada</t>
        </is>
      </c>
      <c r="E51" s="8" t="n"/>
      <c r="F51" s="8" t="n"/>
    </row>
    <row r="52">
      <c r="A52" s="6" t="inlineStr">
        <is>
          <t>Reversibilidad técnica</t>
        </is>
      </c>
      <c r="B52" s="7" t="inlineStr">
        <is>
          <t>Difícilmente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0.0396</v>
      </c>
      <c r="C11" s="21">
        <f>ROUND(B11/$B$15*100,2)</f>
        <v/>
      </c>
      <c r="D11" s="13" t="inlineStr">
        <is>
          <t>Vigor moderado</t>
        </is>
      </c>
      <c r="E11" s="13" t="inlineStr">
        <is>
          <t>Sobre umbral</t>
        </is>
      </c>
    </row>
    <row r="12">
      <c r="A12" s="7" t="inlineStr">
        <is>
          <t>0.3813 - 0.4976 · DN 3</t>
        </is>
      </c>
      <c r="B12" s="18" t="n">
        <v>0.6328</v>
      </c>
      <c r="C12" s="19">
        <f>ROUND(B12/$B$15*100,2)</f>
        <v/>
      </c>
      <c r="D12" s="11" t="inlineStr">
        <is>
          <t>Vigor bajo</t>
        </is>
      </c>
      <c r="E12" s="11" t="inlineStr">
        <is>
          <t>BAJO umbral 0.4976</t>
        </is>
      </c>
    </row>
    <row r="13">
      <c r="A13" s="14" t="inlineStr">
        <is>
          <t>0.2650 - 0.3813 · DN 2</t>
        </is>
      </c>
      <c r="B13" s="32" t="n">
        <v>8.4437</v>
      </c>
      <c r="C13" s="31">
        <f>ROUND(B13/$B$15*100,2)</f>
        <v/>
      </c>
      <c r="D13" s="15" t="inlineStr">
        <is>
          <t>Vigor muy bajo</t>
        </is>
      </c>
      <c r="E13" s="15" t="inlineStr">
        <is>
          <t>BAJO umbral 0.4976</t>
        </is>
      </c>
    </row>
    <row r="14">
      <c r="A14" s="7" t="inlineStr">
        <is>
          <t>&lt;= 0.2650 · DN 1</t>
        </is>
      </c>
      <c r="B14" s="18" t="n">
        <v>8.704800000000001</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85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17.82</v>
      </c>
      <c r="C18" s="50" t="inlineStr">
        <is>
          <t>—</t>
        </is>
      </c>
      <c r="D18" s="47" t="inlineStr">
        <is>
          <t>Desviación planimétrica frente al catálogo</t>
        </is>
      </c>
      <c r="E18" s="47" t="inlineStr">
        <is>
          <t>+0.00 %</t>
        </is>
      </c>
    </row>
    <row r="19">
      <c r="A19" s="16" t="inlineStr">
        <is>
          <t>MSAVI 2024 — MEDIA DEL BLOQUE</t>
        </is>
      </c>
      <c r="B19" s="17" t="n">
        <v>0.272488</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(0.2725)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0.0198</v>
      </c>
      <c r="C25" s="19" t="n">
        <v>0.11</v>
      </c>
      <c r="D25" s="11" t="inlineStr">
        <is>
          <t>Dosel continuo, matorral denso o mosaico agroforestal</t>
        </is>
      </c>
      <c r="E25" s="11" t="inlineStr"/>
    </row>
    <row r="26">
      <c r="A26" s="12" t="inlineStr">
        <is>
          <t>Vegetación mediana</t>
        </is>
      </c>
      <c r="B26" s="20" t="n">
        <v>1.2784</v>
      </c>
      <c r="C26" s="21" t="n">
        <v>7.17</v>
      </c>
      <c r="D26" s="13" t="inlineStr">
        <is>
          <t>Pastizal cultivado, matorral ralo, parcelas agrícolas</t>
        </is>
      </c>
      <c r="E26" s="13" t="inlineStr"/>
    </row>
    <row r="27">
      <c r="A27" s="7" t="inlineStr">
        <is>
          <t>Vegetación ligera</t>
        </is>
      </c>
      <c r="B27" s="18" t="n">
        <v>10.9975</v>
      </c>
      <c r="C27" s="19" t="n">
        <v>61.69</v>
      </c>
      <c r="D27" s="11" t="inlineStr">
        <is>
          <t>Cobertura discontinua, suelo parcialmente expuesto</t>
        </is>
      </c>
      <c r="E27" s="11" t="inlineStr"/>
    </row>
    <row r="28">
      <c r="A28" s="12" t="inlineStr">
        <is>
          <t>Tierra desnuda</t>
        </is>
      </c>
      <c r="B28" s="20" t="n">
        <v>5.531</v>
      </c>
      <c r="C28" s="21" t="n">
        <v>31.03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17.82</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10 % frente a un 0.11 % del polígono clasificado como «Vegetación alta» por el NDVI 2025; la observación de campo corresponde a una parcela o recorrido puntual y no es estadísticamente representativa de las 17.820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77</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638729</v>
      </c>
      <c r="D10" s="26" t="n">
        <v>9411392</v>
      </c>
      <c r="E10" s="11" t="n">
        <v>83.90000000000001</v>
      </c>
      <c r="F10" s="11" t="inlineStr"/>
      <c r="G10" s="11" t="inlineStr">
        <is>
          <t>Coordenada consignada en F-DT-01</t>
        </is>
      </c>
    </row>
    <row r="11">
      <c r="A11" s="12" t="inlineStr">
        <is>
          <t>C-01</t>
        </is>
      </c>
      <c r="B11" s="13" t="inlineStr">
        <is>
          <t>Rasgo erosivo — Surco (&lt;30 cm) — 10 m long., 0.3 m prof., 0.7 m ancho</t>
        </is>
      </c>
      <c r="C11" s="27" t="n">
        <v>638729</v>
      </c>
      <c r="D11" s="27" t="n">
        <v>9411392</v>
      </c>
      <c r="E11" s="13" t="n">
        <v>83.90000000000001</v>
      </c>
      <c r="F11" s="13" t="inlineStr">
        <is>
          <t>Activa</t>
        </is>
      </c>
      <c r="G11" s="13" t="inlineStr">
        <is>
          <t>Concentración natural de escorrentía</t>
        </is>
      </c>
    </row>
    <row r="12">
      <c r="A12" s="7" t="inlineStr">
        <is>
          <t>C-02</t>
        </is>
      </c>
      <c r="B12" s="11" t="inlineStr">
        <is>
          <t>Rasgo erosivo — Surco (&lt;30 cm) — 20 m long., 0.4 m prof., 1.0 m ancho</t>
        </is>
      </c>
      <c r="C12" s="26" t="n">
        <v>638755</v>
      </c>
      <c r="D12" s="26" t="n">
        <v>9411484</v>
      </c>
      <c r="E12" s="11" t="n">
        <v>156.3</v>
      </c>
      <c r="F12" s="11" t="inlineStr">
        <is>
          <t>Semi-activa</t>
        </is>
      </c>
      <c r="G12" s="11" t="inlineStr">
        <is>
          <t>Concentración natural de escorrentía</t>
        </is>
      </c>
    </row>
    <row r="13">
      <c r="A13" s="12" t="inlineStr">
        <is>
          <t>H-01</t>
        </is>
      </c>
      <c r="B13" s="13" t="inlineStr">
        <is>
          <t>Fuente de agua — Quebrada estacional</t>
        </is>
      </c>
      <c r="C13" s="27" t="n">
        <v>638762</v>
      </c>
      <c r="D13" s="27" t="n">
        <v>9411557</v>
      </c>
      <c r="E13" s="13" t="n">
        <v>219</v>
      </c>
      <c r="F13" s="13" t="inlineStr">
        <is>
          <t>Estacional</t>
        </is>
      </c>
      <c r="G13" s="13" t="inlineStr">
        <is>
          <t>Seca por la estación de estiaje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638648</v>
      </c>
      <c r="C16" s="6" t="inlineStr">
        <is>
          <t>Centroide del bloque — UTM NORTE (m)</t>
        </is>
      </c>
      <c r="D16" s="7" t="n">
        <v>9411370</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20"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desde el distrito de San Juan de Bigote al CCPP de Miguelpampa; se detuvo la camioneta a 200 m del centro poblado. Se ingresó al bloque por la zona oeste, colindante al talud de la vía. EL PERÍMETRO DEL BLOQUE COINCIDE CON UN CERCO DE GANADO que delimita un área empleada como POTRERO PARA EL PASTOREO DE GANADO CAPRINO. La pendiente del terreno es menor a 30%. El talud de la vía asfaltada presentaba derrumbes por tramos distanciados.</t>
        </is>
      </c>
      <c r="B19" s="42" t="n"/>
      <c r="C19" s="42" t="n"/>
      <c r="D19" s="42" t="n"/>
      <c r="E19" s="42" t="n"/>
      <c r="F19" s="42" t="n"/>
      <c r="G19" s="43"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77</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14" t="inlineStr">
        <is>
          <t>► 77</t>
        </is>
      </c>
      <c r="B16" s="30" t="n">
        <v>17.82</v>
      </c>
      <c r="C16" s="31" t="n">
        <v>4.48</v>
      </c>
      <c r="D16" s="15" t="inlineStr">
        <is>
          <t>242 – 346</t>
        </is>
      </c>
      <c r="E16" s="15" t="n">
        <v>104</v>
      </c>
      <c r="F16" s="15" t="n">
        <v>13.71</v>
      </c>
      <c r="G16" s="32" t="n">
        <v>0.2725</v>
      </c>
      <c r="H16" s="31" t="n">
        <v>0.11</v>
      </c>
      <c r="I16" s="31"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2" t="n"/>
      <c r="C20" s="42" t="n"/>
      <c r="D20" s="42" t="n"/>
      <c r="E20" s="42" t="n"/>
      <c r="F20" s="42" t="n"/>
      <c r="G20" s="42" t="n"/>
      <c r="H20" s="42" t="n"/>
      <c r="I20" s="43" t="n"/>
    </row>
    <row r="22" ht="84" customHeight="1">
      <c r="A22" s="9" t="inlineStr">
        <is>
          <t>LECTURA INTRAMICROCUENCA. El bloque 77 ocupa el puesto 7 de 9 por superficie dentro de la microcuenca C1081-Q9583 (4.48 % de las 398.04 ha preliminares de la microcuenca). Su pendiente promedio (13.71 %, clase «8-15% (Mod. inclinado)») es la 1.ª más baja de 4 y se sitúa por debajo del promedio de la microcuenca (25.08 %). Su MSAVI 2024 (0.2725) es el 6.º de 9 y queda por debajo del promedio local (0.3616). Amplitud altitudinal del bloque: 104 m (242–346 msnm). El cuadro conserva todos los bloques catalogados en la microcuenca, incluidos los descartados en el tamizaje, para referencia del conjunto. Los bloques sin ficha DT figuran con sus parámetros de gabinete. BRECHA ESPECTRAL. El 99.78 % de la superficie del bloque (17.781 ha de 17.821 ha) se sitúa bajo el umbral MSAVI 0.4976, por encima del promedio local de la microcuenca (76.96 %) calculado sobre los bloques con dato MSAVI disponible.</t>
        </is>
      </c>
      <c r="B22" s="42" t="n"/>
      <c r="C22" s="42" t="n"/>
      <c r="D22" s="42" t="n"/>
      <c r="E22" s="42" t="n"/>
      <c r="F22" s="42" t="n"/>
      <c r="G22" s="42" t="n"/>
      <c r="H22" s="42" t="n"/>
      <c r="I22" s="43"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2" t="n"/>
      <c r="I24" s="43"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77</t>
        </is>
      </c>
    </row>
    <row r="6">
      <c r="A6" s="53" t="inlineStr">
        <is>
          <t>Cruce de la ficha de campo F-DT vigente con la ficha de resumen de gabinete y el catálogo maestro. Integración 2026-09-11 20:22:32.</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«C1081-Q9583».</t>
        </is>
      </c>
      <c r="D9" s="57" t="inlineStr">
        <is>
          <t>CONFORME</t>
        </is>
      </c>
      <c r="E9" s="57" t="inlineStr">
        <is>
          <t>Sin acción.</t>
        </is>
      </c>
    </row>
    <row r="10">
      <c r="A10" s="58" t="inlineStr">
        <is>
          <t>G-02</t>
        </is>
      </c>
      <c r="B10" s="58" t="inlineStr">
        <is>
          <t>UTM del punto de muestreo</t>
        </is>
      </c>
      <c r="C10" s="58" t="inlineStr">
        <is>
          <t>El punto de muestreo declarado dista 83.9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(250 msnm) cae dentro del rango altitudinal del bloque (242 - 346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(17.827 ha) se desvía 0.04 % de la superficie de catálogo (17.82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(17.821 ha) se desvía 0.01 % de la superficie de catálogo (17.82 ha).</t>
        </is>
      </c>
      <c r="D14" s="58" t="inlineStr">
        <is>
          <t>CONFORME</t>
        </is>
      </c>
      <c r="E14" s="58" t="inlineStr">
        <is>
          <t>Sin acción: la segmentación valida la geometría del bloque.</t>
        </is>
      </c>
    </row>
    <row r="15">
      <c r="A15" s="57" t="inlineStr">
        <is>
          <t>G-07</t>
        </is>
      </c>
      <c r="B15" s="57" t="inlineStr">
        <is>
          <t>Brecha espectral MSAVI</t>
        </is>
      </c>
      <c r="C15" s="57" t="inlineStr">
        <is>
          <t>El 99.78 % del bloque queda bajo el umbral 0.4976; superficie de brecha 17.78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17.82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(0.2725) cae en la clase «0.2650 - 0.3813 (Vigor muy bajo)» y la clase DN dominante por superficie es «DN 1 · &lt;= 0.2650 (Suelo desnudo / no vegetal)».</t>
        </is>
      </c>
      <c r="D17" s="57" t="inlineStr">
        <is>
          <t>NO SUSTANTIVA</t>
        </is>
      </c>
      <c r="E17" s="57" t="inlineStr">
        <is>
          <t>Se declaran ambas lecturas: la media resume el bloque y la clase dominante su reparto areal.</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F-01</t>
        </is>
      </c>
      <c r="B19" s="57" t="inlineStr">
        <is>
          <t>Fichas F-DT levantadas</t>
        </is>
      </c>
      <c r="C19" s="57" t="inlineStr">
        <is>
          <t>La plantilla de campo trae las cinco fichas F-DT-01 a F-DT-05 (completitud 100.0 % de los campos esperados).</t>
        </is>
      </c>
      <c r="D19" s="57" t="inlineStr">
        <is>
          <t>CONFORME</t>
        </is>
      </c>
      <c r="E19" s="57" t="inlineStr">
        <is>
          <t>Sin acción.</t>
        </is>
      </c>
    </row>
    <row r="20">
      <c r="A20" s="58" t="inlineStr">
        <is>
          <t>F-02</t>
        </is>
      </c>
      <c r="B20" s="58" t="inlineStr">
        <is>
          <t>Cobertura de la integración</t>
        </is>
      </c>
      <c r="C20" s="58" t="inlineStr">
        <is>
          <t>Se declararon 100 de 114 hechos integrados (87.7 %); 14 quedan sin dato en ninguna fuente.</t>
        </is>
      </c>
      <c r="D20" s="58" t="inlineStr">
        <is>
          <t>CONFORME</t>
        </is>
      </c>
      <c r="E20" s="58" t="inlineStr">
        <is>
          <t>Sin acción.</t>
        </is>
      </c>
    </row>
    <row r="21">
      <c r="A21" s="57" t="inlineStr">
        <is>
          <t>H-01</t>
        </is>
      </c>
      <c r="B21" s="57" t="inlineStr">
        <is>
          <t>Rango de pendiente dominante</t>
        </is>
      </c>
      <c r="C21" s="57" t="inlineStr">
        <is>
          <t>La ficha DT declara «15-25% (Fuert. inclinado)»; la estadística zonal sobre el MDE arroja una pendiente promedio de 13.71 %, que corresponde a la clase «8-15% (Mod. inclinado)»</t>
        </is>
      </c>
      <c r="D21" s="57" t="inlineStr">
        <is>
          <t>NO SUSTANTIVA</t>
        </is>
      </c>
      <c r="E21"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8" t="inlineStr">
        <is>
          <t>H-02</t>
        </is>
      </c>
      <c r="B22" s="58" t="inlineStr">
        <is>
          <t>Cobertura vegetal total</t>
        </is>
      </c>
      <c r="C22" s="58" t="inlineStr">
        <is>
          <t>La ficha DT estima 10 % de cobertura vegetal en campo; el NDVI mediana 2025 clasifica 68.97 % del polígono en clases de vegetación</t>
        </is>
      </c>
      <c r="D22" s="58" t="inlineStr">
        <is>
          <t>NO SUSTANTIVA</t>
        </is>
      </c>
      <c r="E22"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7" t="inlineStr">
        <is>
          <t>H-03</t>
        </is>
      </c>
      <c r="B23" s="57" t="inlineStr">
        <is>
          <t>Dimensiones del inventario de cárcavas</t>
        </is>
      </c>
      <c r="C23" s="57" t="inlineStr">
        <is>
          <t>Se registran 5 rasgos erosivos, pero longitud, profundidad y ancho no fueron medidos instrumentalmente</t>
        </is>
      </c>
      <c r="D23" s="57" t="inlineStr">
        <is>
          <t>NO SUSTANTIVA</t>
        </is>
      </c>
      <c r="E23" s="57" t="inlineStr">
        <is>
          <t>El conteo registrado no debe usarse para calcular densidad de cárcavas por hectárea. Pendiente de levantamiento con GPS submétrico. (Verificación heredada de la ficha de resumen V6.)</t>
        </is>
      </c>
    </row>
    <row r="24">
      <c r="A24" s="58" t="inlineStr">
        <is>
          <t>H-04</t>
        </is>
      </c>
      <c r="B24" s="58" t="inlineStr">
        <is>
          <t>Elenco florístico</t>
        </is>
      </c>
      <c r="C24" s="58" t="inlineStr">
        <is>
          <t>La ficha registra 5 taxones, por debajo del mínimo de 15 que exige el formato V5</t>
        </is>
      </c>
      <c r="D24" s="58" t="inlineStr">
        <is>
          <t>SUSTANTIVA</t>
        </is>
      </c>
      <c r="E24" s="58" t="inlineStr">
        <is>
          <t>Registro florístico preliminar, sin colecta ni determinación botánica formal. Debe cerrarse con colecta botánica en la siguiente campaña. (Verificación heredada de la ficha de resumen V6.)</t>
        </is>
      </c>
    </row>
    <row r="25">
      <c r="A25" s="57" t="inlineStr">
        <is>
          <t>H-05</t>
        </is>
      </c>
      <c r="B25" s="57" t="inlineStr">
        <is>
          <t>Representatividad del levantamiento</t>
        </is>
      </c>
      <c r="C25" s="57" t="inlineStr">
        <is>
          <t>Ninguna de las estaciones fotográficas georreferenciadas se localiza dentro del polígono del bloque</t>
        </is>
      </c>
      <c r="D25" s="57" t="inlineStr">
        <is>
          <t>SUSTANTIVA</t>
        </is>
      </c>
      <c r="E25" s="57" t="inlineStr">
        <is>
          <t>La verificación documenta el perímetro y la vista panorámica del bloque, no su interior. Los parámetros que exigen recorrido interno se consignan «Por determinar». (Verificación heredada de la ficha de resumen V6.)</t>
        </is>
      </c>
    </row>
    <row r="26">
      <c r="A26" s="58" t="inlineStr">
        <is>
          <t>H-06</t>
        </is>
      </c>
      <c r="B26" s="58" t="inlineStr">
        <is>
          <t>Centro poblado asociado</t>
        </is>
      </c>
      <c r="C26" s="58" t="inlineStr">
        <is>
          <t>La ficha DT declara «Miguel Pampa»; el cruce INEI-Bloques V5 identifica 1 centro(s) poblado(s) en el bloque: MIGUEL PAMPA</t>
        </is>
      </c>
      <c r="D26" s="58" t="inlineStr">
        <is>
          <t>CONFORME</t>
        </is>
      </c>
      <c r="E26" s="58" t="inlineStr">
        <is>
          <t>Se conserva el registro de campo como referencia y se adopta el listado INEI para el diagnóstico social y el cálculo de población beneficiaria. (Verificación heredada de la ficha de resumen V6.)</t>
        </is>
      </c>
    </row>
    <row r="27">
      <c r="A27" s="57" t="inlineStr">
        <is>
          <t>H-07</t>
        </is>
      </c>
      <c r="B27" s="57" t="inlineStr">
        <is>
          <t>F-DT-02</t>
        </is>
      </c>
      <c r="C27" s="57" t="inlineStr">
        <is>
          <t>La ficha declara 5 cárcavas pero solo 2 cuentan con coordenadas y dimensiones</t>
        </is>
      </c>
      <c r="D27" s="57" t="inlineStr">
        <is>
          <t>SUSTANTIVA</t>
        </is>
      </c>
      <c r="E27" s="57" t="inlineStr">
        <is>
          <t>Georreferenciar los 3 rasgos restantes (Verificación heredada de la ficha de resumen V6.)</t>
        </is>
      </c>
    </row>
    <row r="28">
      <c r="A28" s="58" t="inlineStr">
        <is>
          <t>H-08</t>
        </is>
      </c>
      <c r="B28" s="58" t="inlineStr">
        <is>
          <t>F-DT-03 / F-DT-04</t>
        </is>
      </c>
      <c r="C28" s="58" t="inlineStr">
        <is>
          <t>Suelo desnudo: F-DT-03 consigna 0.25% mientras el indicador N.° 2 de F-DT-04 consigna 90%</t>
        </is>
      </c>
      <c r="D28" s="58" t="inlineStr">
        <is>
          <t>SUSTANTIVA</t>
        </is>
      </c>
      <c r="E28" s="58" t="inlineStr">
        <is>
          <t>Inconsistencia interna a resolver; el valor 90% es coherente con cobertura vegetal total 10% (Verificación heredada de la ficha de resumen V6.)</t>
        </is>
      </c>
    </row>
    <row r="29">
      <c r="A29" s="57" t="inlineStr">
        <is>
          <t>H-09</t>
        </is>
      </c>
      <c r="B29" s="57" t="inlineStr">
        <is>
          <t>Plan de Ingreso</t>
        </is>
      </c>
      <c r="C29" s="57" t="inlineStr">
        <is>
          <t>Altitud = 0 msnm (captura por defecto del aplicativo)</t>
        </is>
      </c>
      <c r="D29" s="57" t="inlineStr">
        <is>
          <t>CORREGIDO</t>
        </is>
      </c>
      <c r="E29" s="57" t="inlineStr">
        <is>
          <t>Se reemplaza por la altitud GPS de campo (250 msnm) (Verificación heredada de la ficha de resumen V6.)</t>
        </is>
      </c>
    </row>
    <row r="30">
      <c r="A30" s="58" t="inlineStr">
        <is>
          <t>H-10</t>
        </is>
      </c>
      <c r="B30" s="58" t="inlineStr">
        <is>
          <t>F-DS-02</t>
        </is>
      </c>
      <c r="C30" s="58" t="inlineStr">
        <is>
          <t>La ficha social consigna microcuenca C1076-Q9584 (valor heredado de plantilla)</t>
        </is>
      </c>
      <c r="D30" s="58" t="inlineStr">
        <is>
          <t>NO SUSTANTIVA</t>
        </is>
      </c>
      <c r="E30" s="58" t="inlineStr">
        <is>
          <t>Se conserva la microcuenca del catálogo C1081-Q9583 (Verificación heredada de la ficha de resumen V6.)</t>
        </is>
      </c>
    </row>
    <row r="32">
      <c r="A32" s="59" t="inlineStr">
        <is>
          <t>RESUMEN</t>
        </is>
      </c>
      <c r="B32" s="60" t="inlineStr">
        <is>
          <t>22 verificaciones</t>
        </is>
      </c>
      <c r="C32" s="60" t="inlineStr">
        <is>
          <t>SUSTANTIVA: 5 · NO SUSTANTIVA: 5 · CORREGIDO: 1 · CONFORME: 11</t>
        </is>
      </c>
    </row>
    <row r="34">
      <c r="A34"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77</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t>
        </is>
      </c>
      <c r="B9" s="57" t="inlineStr">
        <is>
          <t>Sin cambios: la ficha de campo confirma el libro V6</t>
        </is>
      </c>
      <c r="C9" s="57" t="inlineStr"/>
      <c r="D9" s="57" t="inlineStr"/>
      <c r="E9" s="57" t="inlineStr"/>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638729</t>
        </is>
      </c>
      <c r="D13" s="57" t="inlineStr">
        <is>
          <t>m</t>
        </is>
      </c>
    </row>
    <row r="14">
      <c r="A14" s="58" t="inlineStr">
        <is>
          <t>1. Identificación y localización</t>
        </is>
      </c>
      <c r="B14" s="58" t="inlineStr">
        <is>
          <t>UTM NORTE del punto de muestreo (m)</t>
        </is>
      </c>
      <c r="C14" s="58" t="inlineStr">
        <is>
          <t>9411392</t>
        </is>
      </c>
      <c r="D14" s="58" t="inlineStr">
        <is>
          <t>m</t>
        </is>
      </c>
    </row>
    <row r="15">
      <c r="A15" s="57" t="inlineStr">
        <is>
          <t>2. Parámetros físicos del terreno</t>
        </is>
      </c>
      <c r="B15" s="57" t="inlineStr">
        <is>
          <t>Altitud GPS del punto de muestreo (msnm)</t>
        </is>
      </c>
      <c r="C15" s="57" t="inlineStr">
        <is>
          <t>250</t>
        </is>
      </c>
      <c r="D15" s="57" t="inlineStr">
        <is>
          <t>msnm</t>
        </is>
      </c>
    </row>
    <row r="16">
      <c r="A16" s="58" t="inlineStr">
        <is>
          <t>2. Parámetros físicos del terreno</t>
        </is>
      </c>
      <c r="B16" s="58" t="inlineStr">
        <is>
          <t>Piso altitudinal del punto de muestreo</t>
        </is>
      </c>
      <c r="C16" s="58" t="inlineStr">
        <is>
          <t>&lt;1000 m (Yunga)</t>
        </is>
      </c>
      <c r="D16" s="58" t="inlineStr"/>
    </row>
    <row r="17">
      <c r="A17" s="57" t="inlineStr">
        <is>
          <t>2. Parámetros físicos del terreno</t>
        </is>
      </c>
      <c r="B17" s="57" t="inlineStr">
        <is>
          <t>Paisaje dominante descrito en campo</t>
        </is>
      </c>
      <c r="C17" s="57" t="inlineStr">
        <is>
          <t>Sistema de laderas convexo-cóncavas tributarias de la quebrada Q9583 (microcuenca C1081); pie de ladera con potrero cercado sobre antiguo bosque seco.</t>
        </is>
      </c>
      <c r="D17" s="57" t="inlineStr"/>
    </row>
    <row r="18">
      <c r="A18" s="58" t="inlineStr">
        <is>
          <t>2. Parámetros físicos del terreno</t>
        </is>
      </c>
      <c r="B18" s="58" t="inlineStr">
        <is>
          <t>Reptación de suelo</t>
        </is>
      </c>
      <c r="C18" s="58" t="inlineStr">
        <is>
          <t>No</t>
        </is>
      </c>
      <c r="D18" s="58" t="inlineStr"/>
    </row>
    <row r="19">
      <c r="A19" s="57" t="inlineStr">
        <is>
          <t>2. Parámetros físicos del terreno</t>
        </is>
      </c>
      <c r="B19" s="57" t="inlineStr">
        <is>
          <t>Deslizamientos antiguos</t>
        </is>
      </c>
      <c r="C19" s="57" t="inlineStr">
        <is>
          <t>No</t>
        </is>
      </c>
      <c r="D19" s="57" t="inlineStr"/>
    </row>
    <row r="20">
      <c r="A20" s="58" t="inlineStr">
        <is>
          <t>4. Suelos y erosión (F-DT-02)</t>
        </is>
      </c>
      <c r="B20" s="58" t="inlineStr">
        <is>
          <t>Nivel de erosión - síntesis de campo</t>
        </is>
      </c>
      <c r="C20" s="58" t="inlineStr">
        <is>
          <t>Moderada (surcos)</t>
        </is>
      </c>
      <c r="D20" s="58" t="inlineStr"/>
    </row>
    <row r="21">
      <c r="A21" s="57" t="inlineStr">
        <is>
          <t>4. Suelos y erosión (F-DT-02)</t>
        </is>
      </c>
      <c r="B21" s="57" t="inlineStr">
        <is>
          <t>Sellamiento / costra superficial</t>
        </is>
      </c>
      <c r="C21" s="57" t="inlineStr">
        <is>
          <t>No</t>
        </is>
      </c>
      <c r="D21" s="57" t="inlineStr"/>
    </row>
    <row r="22">
      <c r="A22" s="58" t="inlineStr">
        <is>
          <t>4. Suelos y erosión (F-DT-02)</t>
        </is>
      </c>
      <c r="B22" s="58" t="inlineStr">
        <is>
          <t>Compactación por pisoteo</t>
        </is>
      </c>
      <c r="C22" s="58" t="inlineStr">
        <is>
          <t>Sí</t>
        </is>
      </c>
      <c r="D22" s="58" t="inlineStr"/>
    </row>
    <row r="23">
      <c r="A23" s="57" t="inlineStr">
        <is>
          <t>4. Suelos y erosión (F-DT-02)</t>
        </is>
      </c>
      <c r="B23" s="57" t="inlineStr">
        <is>
          <t>Raíces expuestas</t>
        </is>
      </c>
      <c r="C23" s="57" t="inlineStr">
        <is>
          <t>No</t>
        </is>
      </c>
      <c r="D23" s="57" t="inlineStr"/>
    </row>
    <row r="24">
      <c r="A24" s="58" t="inlineStr">
        <is>
          <t>4. Suelos y erosión (F-DT-02)</t>
        </is>
      </c>
      <c r="B24" s="58" t="inlineStr">
        <is>
          <t>% del bloque afectado por cárcavas</t>
        </is>
      </c>
      <c r="C24" s="58" t="inlineStr">
        <is>
          <t>2</t>
        </is>
      </c>
      <c r="D24" s="58" t="inlineStr">
        <is>
          <t>%</t>
        </is>
      </c>
    </row>
    <row r="25">
      <c r="A25" s="57" t="inlineStr">
        <is>
          <t>4. Suelos y erosión (F-DT-02)</t>
        </is>
      </c>
      <c r="B25" s="57" t="inlineStr">
        <is>
          <t>Patrón de cárcavas</t>
        </is>
      </c>
      <c r="C25" s="57" t="inlineStr">
        <is>
          <t>Aislado</t>
        </is>
      </c>
      <c r="D25" s="57" t="inlineStr"/>
    </row>
    <row r="26">
      <c r="A26" s="58" t="inlineStr">
        <is>
          <t>4. Suelos y erosión (F-DT-02)</t>
        </is>
      </c>
      <c r="B26" s="58" t="inlineStr">
        <is>
          <t>Socavamiento de cauce</t>
        </is>
      </c>
      <c r="C26" s="58" t="inlineStr">
        <is>
          <t>No</t>
        </is>
      </c>
      <c r="D26" s="58" t="inlineStr"/>
    </row>
    <row r="27">
      <c r="A27" s="57" t="inlineStr">
        <is>
          <t>5. Ecosistema, cobertura y flora (F-DT-03)</t>
        </is>
      </c>
      <c r="B27" s="57" t="inlineStr">
        <is>
          <t>Cobertura del dosel (%)</t>
        </is>
      </c>
      <c r="C27" s="57" t="inlineStr">
        <is>
          <t>10</t>
        </is>
      </c>
      <c r="D27" s="57" t="inlineStr">
        <is>
          <t>%</t>
        </is>
      </c>
    </row>
    <row r="28">
      <c r="A28" s="58" t="inlineStr">
        <is>
          <t>5. Ecosistema, cobertura y flora (F-DT-03)</t>
        </is>
      </c>
      <c r="B28" s="58" t="inlineStr">
        <is>
          <t>Cobertura herbácea (%)</t>
        </is>
      </c>
      <c r="C28" s="58" t="inlineStr">
        <is>
          <t>90</t>
        </is>
      </c>
      <c r="D28" s="58" t="inlineStr">
        <is>
          <t>%</t>
        </is>
      </c>
    </row>
    <row r="29">
      <c r="A29" s="57" t="inlineStr">
        <is>
          <t>5. Ecosistema, cobertura y flora (F-DT-03)</t>
        </is>
      </c>
      <c r="B29" s="57" t="inlineStr">
        <is>
          <t>Altura máxima registrada (m)</t>
        </is>
      </c>
      <c r="C29" s="57" t="inlineStr">
        <is>
          <t>6</t>
        </is>
      </c>
      <c r="D29" s="57" t="inlineStr">
        <is>
          <t>m</t>
        </is>
      </c>
    </row>
    <row r="30">
      <c r="A30" s="58" t="inlineStr">
        <is>
          <t>5. Ecosistema, cobertura y flora (F-DT-03)</t>
        </is>
      </c>
      <c r="B30" s="58" t="inlineStr">
        <is>
          <t>Presencia de epífitas</t>
        </is>
      </c>
      <c r="C30" s="58" t="inlineStr">
        <is>
          <t>No</t>
        </is>
      </c>
      <c r="D30" s="58" t="inlineStr"/>
    </row>
    <row r="31">
      <c r="A31" s="57" t="inlineStr">
        <is>
          <t>5. Ecosistema, cobertura y flora (F-DT-03)</t>
        </is>
      </c>
      <c r="B31" s="57" t="inlineStr">
        <is>
          <t>Fenología dominante</t>
        </is>
      </c>
      <c r="C31" s="57" t="inlineStr">
        <is>
          <t>Vegetativo</t>
        </is>
      </c>
      <c r="D31" s="57" t="inlineStr"/>
    </row>
    <row r="32">
      <c r="A32" s="58" t="inlineStr">
        <is>
          <t>6. Degradación, causas y urgencia (F-DT-04)</t>
        </is>
      </c>
      <c r="B32" s="58" t="inlineStr">
        <is>
          <t>Causas directas de la degradación</t>
        </is>
      </c>
      <c r="C32" s="58" t="inlineStr">
        <is>
          <t>Sobrepastoreo de ganado caprino. El bloque es un potrero.</t>
        </is>
      </c>
      <c r="D32" s="58" t="inlineStr"/>
    </row>
    <row r="33">
      <c r="A33" s="57" t="inlineStr">
        <is>
          <t>6. Degradación, causas y urgencia (F-DT-04)</t>
        </is>
      </c>
      <c r="B33" s="57" t="inlineStr">
        <is>
          <t>N.° de causas activas en la matriz F-DT-04</t>
        </is>
      </c>
      <c r="C33" s="57" t="inlineStr">
        <is>
          <t>2</t>
        </is>
      </c>
      <c r="D33" s="57" t="inlineStr"/>
    </row>
    <row r="34">
      <c r="A34" s="58" t="inlineStr">
        <is>
          <t>7. Hidrología, acceso y logística (F-DT-05)</t>
        </is>
      </c>
      <c r="B34" s="58" t="inlineStr">
        <is>
          <t>Escorrentía concentrada</t>
        </is>
      </c>
      <c r="C34" s="58" t="inlineStr">
        <is>
          <t>No</t>
        </is>
      </c>
      <c r="D34" s="58" t="inlineStr"/>
    </row>
    <row r="35">
      <c r="A35" s="57" t="inlineStr">
        <is>
          <t>7. Hidrología, acceso y logística (F-DT-05)</t>
        </is>
      </c>
      <c r="B35" s="57" t="inlineStr">
        <is>
          <t>Fuentes de agua inventariadas</t>
        </is>
      </c>
      <c r="C35" s="57" t="inlineStr">
        <is>
          <t>1</t>
        </is>
      </c>
      <c r="D35" s="57" t="inlineStr"/>
    </row>
    <row r="36">
      <c r="A36" s="58" t="inlineStr">
        <is>
          <t>7. Hidrología, acceso y logística (F-DT-05)</t>
        </is>
      </c>
      <c r="B36" s="58" t="inlineStr">
        <is>
          <t>Distancia a captación (m)</t>
        </is>
      </c>
      <c r="C36" s="58" t="inlineStr">
        <is>
          <t>500</t>
        </is>
      </c>
      <c r="D36" s="58" t="inlineStr">
        <is>
          <t>m</t>
        </is>
      </c>
    </row>
    <row r="37">
      <c r="A37" s="57" t="inlineStr">
        <is>
          <t>7. Hidrología, acceso y logística (F-DT-05)</t>
        </is>
      </c>
      <c r="B37" s="57" t="inlineStr">
        <is>
          <t>Interferencia con riego</t>
        </is>
      </c>
      <c r="C37" s="57" t="inlineStr">
        <is>
          <t>No</t>
        </is>
      </c>
      <c r="D37" s="57" t="inlineStr"/>
    </row>
    <row r="38">
      <c r="A38" s="58" t="inlineStr">
        <is>
          <t>7. Hidrología, acceso y logística (F-DT-05)</t>
        </is>
      </c>
      <c r="B38" s="58" t="inlineStr">
        <is>
          <t>Vía principal de acceso</t>
        </is>
      </c>
      <c r="C38" s="58" t="inlineStr">
        <is>
          <t>Vía vecinal afirmada San Juan de Bigote - Miguelpampa</t>
        </is>
      </c>
      <c r="D38" s="58" t="inlineStr"/>
    </row>
    <row r="39">
      <c r="A39" s="57" t="inlineStr">
        <is>
          <t>7. Hidrología, acceso y logística (F-DT-05)</t>
        </is>
      </c>
      <c r="B39" s="57" t="inlineStr">
        <is>
          <t>Tipo de vía del tramo final</t>
        </is>
      </c>
      <c r="C39" s="57" t="inlineStr">
        <is>
          <t>Vecinal afirmada</t>
        </is>
      </c>
      <c r="D39" s="57" t="inlineStr"/>
    </row>
    <row r="40">
      <c r="A40" s="58" t="inlineStr">
        <is>
          <t>7. Hidrología, acceso y logística (F-DT-05)</t>
        </is>
      </c>
      <c r="B40" s="58" t="inlineStr">
        <is>
          <t>Transitabilidad en época seca</t>
        </is>
      </c>
      <c r="C40" s="58" t="inlineStr">
        <is>
          <t>Bajo</t>
        </is>
      </c>
      <c r="D40" s="58" t="inlineStr"/>
    </row>
    <row r="41">
      <c r="A41" s="57" t="inlineStr">
        <is>
          <t>7. Hidrología, acceso y logística (F-DT-05)</t>
        </is>
      </c>
      <c r="B41" s="57" t="inlineStr">
        <is>
          <t>Transitabilidad en época lluviosa</t>
        </is>
      </c>
      <c r="C41" s="57" t="inlineStr">
        <is>
          <t>Bajo</t>
        </is>
      </c>
      <c r="D41" s="57" t="inlineStr"/>
    </row>
    <row r="42">
      <c r="A42" s="58" t="inlineStr">
        <is>
          <t>7. Hidrología, acceso y logística (F-DT-05)</t>
        </is>
      </c>
      <c r="B42" s="58" t="inlineStr">
        <is>
          <t>Tiempo a la capital distrital (min)</t>
        </is>
      </c>
      <c r="C42" s="58" t="inlineStr">
        <is>
          <t>10</t>
        </is>
      </c>
      <c r="D42" s="58" t="inlineStr">
        <is>
          <t>min</t>
        </is>
      </c>
    </row>
    <row r="43">
      <c r="A43" s="57" t="inlineStr">
        <is>
          <t>7. Hidrología, acceso y logística (F-DT-05)</t>
        </is>
      </c>
      <c r="B43" s="57" t="inlineStr">
        <is>
          <t>Señal celular</t>
        </is>
      </c>
      <c r="C43" s="57" t="inlineStr">
        <is>
          <t>Intermitente</t>
        </is>
      </c>
      <c r="D43" s="57" t="inlineStr"/>
    </row>
    <row r="44">
      <c r="A44" s="58" t="inlineStr">
        <is>
          <t>7. Hidrología, acceso y logística (F-DT-05)</t>
        </is>
      </c>
      <c r="B44" s="58" t="inlineStr">
        <is>
          <t>Operador con cobertura</t>
        </is>
      </c>
      <c r="C44" s="58" t="inlineStr">
        <is>
          <t>Entel</t>
        </is>
      </c>
      <c r="D44" s="58" t="inlineStr"/>
    </row>
    <row r="45">
      <c r="A45" s="57" t="inlineStr">
        <is>
          <t>7. Hidrología, acceso y logística (F-DT-05)</t>
        </is>
      </c>
      <c r="B45" s="57" t="inlineStr">
        <is>
          <t>Alojamiento disponible en la zona</t>
        </is>
      </c>
      <c r="C45" s="57" t="inlineStr">
        <is>
          <t>No</t>
        </is>
      </c>
      <c r="D45" s="57" t="inlineStr"/>
    </row>
    <row r="46">
      <c r="A46" s="58" t="inlineStr">
        <is>
          <t>7. Hidrología, acceso y logística (F-DT-05)</t>
        </is>
      </c>
      <c r="B46" s="58" t="inlineStr">
        <is>
          <t>Requiere coordinación con ronda / comunidad</t>
        </is>
      </c>
      <c r="C46" s="58" t="inlineStr">
        <is>
          <t>Sí</t>
        </is>
      </c>
      <c r="D46" s="58" t="inlineStr"/>
    </row>
    <row r="48">
      <c r="A48" s="55" t="inlineStr">
        <is>
          <t>C. PROCEDENCIA DE LOS HECHOS DECLARADOS</t>
        </is>
      </c>
    </row>
    <row r="49">
      <c r="A49" s="56" t="inlineStr">
        <is>
          <t>Fuente</t>
        </is>
      </c>
      <c r="B49" s="56" t="inlineStr">
        <is>
          <t>Hechos</t>
        </is>
      </c>
      <c r="C49" s="56" t="inlineStr">
        <is>
          <t>Alcance de la fuente</t>
        </is>
      </c>
    </row>
    <row r="50">
      <c r="A50" s="57" t="inlineStr">
        <is>
          <t>Dato de campo</t>
        </is>
      </c>
      <c r="B50" s="57" t="n">
        <v>62</v>
      </c>
      <c r="C50" s="57" t="inlineStr">
        <is>
          <t>Verificación en campo. Fichas F-DT-01 a F-DT-05 de la Plantilla DT Campo Check Validada V5, suscritas por el evaluador.</t>
        </is>
      </c>
    </row>
    <row r="51">
      <c r="A51" s="58" t="inlineStr">
        <is>
          <t>Gabinete (GIS / teledetección)</t>
        </is>
      </c>
      <c r="B51" s="58" t="n">
        <v>24</v>
      </c>
      <c r="C51" s="58" t="inlineStr">
        <is>
          <t>Gabinete. Estadística zonal sobre el MDE y compuestos Sentinel-2 (NDVI mediana 2025, MSAVI 2024 por clase DN).</t>
        </is>
      </c>
    </row>
    <row r="52">
      <c r="A52" s="57" t="inlineStr">
        <is>
          <t>Fuente oficial</t>
        </is>
      </c>
      <c r="B52" s="57" t="n">
        <v>14</v>
      </c>
      <c r="C52" s="57" t="inlineStr">
        <is>
          <t>Fuente oficial. Catálogo maestro Bloques V5/V6, división política INEI y codificación de microcuencas de la ANA.</t>
        </is>
      </c>
    </row>
    <row r="54">
      <c r="A54" s="55" t="inlineStr">
        <is>
          <t>D. ESTADO DEL CRUCE ENTRE FUENTES</t>
        </is>
      </c>
    </row>
    <row r="55">
      <c r="A55" s="56" t="inlineStr">
        <is>
          <t>Estado</t>
        </is>
      </c>
      <c r="B55" s="56" t="inlineStr">
        <is>
          <t>Hechos</t>
        </is>
      </c>
      <c r="C55" s="56" t="inlineStr">
        <is>
          <t>Significado</t>
        </is>
      </c>
    </row>
    <row r="56">
      <c r="A56" s="57" t="inlineStr">
        <is>
          <t>CONFORME</t>
        </is>
      </c>
      <c r="B56" s="57" t="n">
        <v>98</v>
      </c>
      <c r="C56" s="57" t="inlineStr">
        <is>
          <t>Las dos fuentes declaran lo mismo, o solo la fuente que manda sobre el hecho lo declara.</t>
        </is>
      </c>
    </row>
    <row r="57">
      <c r="A57" s="58" t="inlineStr">
        <is>
          <t>COMPLEMENTADO</t>
        </is>
      </c>
      <c r="B57" s="58" t="n">
        <v>2</v>
      </c>
      <c r="C57" s="58" t="inlineStr">
        <is>
          <t>Solo una de las fuentes lo declara y se adopta ese valor.</t>
        </is>
      </c>
    </row>
    <row r="58">
      <c r="A58" s="57" t="inlineStr">
        <is>
          <t>ACTUALIZADO</t>
        </is>
      </c>
      <c r="B58" s="57" t="n">
        <v>0</v>
      </c>
      <c r="C58" s="57" t="inlineStr">
        <is>
          <t>La verificación de campo vigente corrige lo que traía el libro de resumen.</t>
        </is>
      </c>
    </row>
    <row r="59">
      <c r="A59" s="58" t="inlineStr">
        <is>
          <t>DISCREPANTE</t>
        </is>
      </c>
      <c r="B59" s="58" t="n">
        <v>0</v>
      </c>
      <c r="C59" s="58" t="inlineStr">
        <is>
          <t>Las fuentes se contradicen; prevalece la que manda sobre el hecho y la otra queda declarada.</t>
        </is>
      </c>
    </row>
    <row r="60">
      <c r="A60" s="57" t="inlineStr">
        <is>
          <t>PENDIENTE</t>
        </is>
      </c>
      <c r="B60" s="57" t="n">
        <v>14</v>
      </c>
      <c r="C60"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77</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Surco (&lt;30 cm)</t>
        </is>
      </c>
      <c r="C9" s="62" t="n">
        <v>638729</v>
      </c>
      <c r="D9" s="62" t="n">
        <v>9411392</v>
      </c>
      <c r="E9" s="62" t="n">
        <v>10</v>
      </c>
      <c r="F9" s="63" t="n">
        <v>0.3</v>
      </c>
      <c r="G9" s="63" t="n">
        <v>0.7</v>
      </c>
      <c r="H9" s="57" t="inlineStr">
        <is>
          <t>Activa</t>
        </is>
      </c>
      <c r="I9" s="57" t="inlineStr">
        <is>
          <t>Concentración natural de escorrentía</t>
        </is>
      </c>
    </row>
    <row r="10">
      <c r="A10" s="58" t="inlineStr">
        <is>
          <t>C-02</t>
        </is>
      </c>
      <c r="B10" s="58" t="inlineStr">
        <is>
          <t>Surco (&lt;30 cm)</t>
        </is>
      </c>
      <c r="C10" s="64" t="n">
        <v>638755</v>
      </c>
      <c r="D10" s="64" t="n">
        <v>9411484</v>
      </c>
      <c r="E10" s="64" t="n">
        <v>20</v>
      </c>
      <c r="F10" s="65" t="n">
        <v>0.4</v>
      </c>
      <c r="G10" s="65" t="n">
        <v>1</v>
      </c>
      <c r="H10" s="58" t="inlineStr">
        <is>
          <t>Semi-activa</t>
        </is>
      </c>
      <c r="I10" s="58" t="inlineStr">
        <is>
          <t>Concentración natural de escorrentía</t>
        </is>
      </c>
    </row>
    <row r="12">
      <c r="A12" s="55" t="inlineStr">
        <is>
          <t>F-DT-03 · ELENCO FLORÍSTICO</t>
        </is>
      </c>
    </row>
    <row r="13">
      <c r="A13" s="56" t="inlineStr">
        <is>
          <t>N.o</t>
        </is>
      </c>
      <c r="B13" s="56" t="inlineStr">
        <is>
          <t>Nombre común</t>
        </is>
      </c>
      <c r="C13" s="56" t="inlineStr">
        <is>
          <t>Nombre científico</t>
        </is>
      </c>
      <c r="D13" s="56" t="inlineStr">
        <is>
          <t>Familia</t>
        </is>
      </c>
      <c r="E13" s="56" t="inlineStr">
        <is>
          <t>Estrato</t>
        </is>
      </c>
      <c r="F13" s="56" t="inlineStr">
        <is>
          <t>Origen</t>
        </is>
      </c>
      <c r="G13" s="56" t="inlineStr">
        <is>
          <t>Abundancia</t>
        </is>
      </c>
      <c r="H13" s="56" t="inlineStr">
        <is>
          <t>DAP (cm)</t>
        </is>
      </c>
      <c r="I13" s="56" t="inlineStr">
        <is>
          <t>Altura (m)</t>
        </is>
      </c>
    </row>
    <row r="14">
      <c r="A14" s="57" t="inlineStr">
        <is>
          <t>1</t>
        </is>
      </c>
      <c r="B14" s="57" t="inlineStr">
        <is>
          <t>Pasallo</t>
        </is>
      </c>
      <c r="C14" s="57" t="inlineStr">
        <is>
          <t>Eriotheca ruizii</t>
        </is>
      </c>
      <c r="D14" s="57" t="inlineStr">
        <is>
          <t>Malvaceae</t>
        </is>
      </c>
      <c r="E14" s="57" t="inlineStr">
        <is>
          <t>Arbóreo medio (8-15 m)</t>
        </is>
      </c>
      <c r="F14" s="57" t="inlineStr">
        <is>
          <t>Nativa</t>
        </is>
      </c>
      <c r="G14" s="57" t="inlineStr">
        <is>
          <t>Ocasional (1-5%)</t>
        </is>
      </c>
      <c r="H14" s="62" t="n">
        <v>30</v>
      </c>
      <c r="I14" s="63" t="n">
        <v>7</v>
      </c>
    </row>
    <row r="15">
      <c r="A15" s="58" t="inlineStr">
        <is>
          <t>2</t>
        </is>
      </c>
      <c r="B15" s="58" t="inlineStr">
        <is>
          <t>Charán</t>
        </is>
      </c>
      <c r="C15" s="58" t="inlineStr">
        <is>
          <t>Caesalpinia paipai</t>
        </is>
      </c>
      <c r="D15" s="58" t="inlineStr">
        <is>
          <t>Fabaceae</t>
        </is>
      </c>
      <c r="E15" s="58" t="inlineStr">
        <is>
          <t>Arbóreo bajo (4-8 m)</t>
        </is>
      </c>
      <c r="F15" s="58" t="inlineStr">
        <is>
          <t>Nativa</t>
        </is>
      </c>
      <c r="G15" s="58" t="inlineStr">
        <is>
          <t>Ocasional (1-5%)</t>
        </is>
      </c>
      <c r="H15" s="64" t="n">
        <v>20</v>
      </c>
      <c r="I15" s="65" t="n">
        <v>5</v>
      </c>
    </row>
    <row r="16">
      <c r="A16" s="57" t="inlineStr">
        <is>
          <t>3</t>
        </is>
      </c>
      <c r="B16" s="57" t="inlineStr">
        <is>
          <t>Ceibo</t>
        </is>
      </c>
      <c r="C16" s="57" t="inlineStr">
        <is>
          <t>Ceiba pentandra</t>
        </is>
      </c>
      <c r="D16" s="57" t="inlineStr">
        <is>
          <t>Malvaceae</t>
        </is>
      </c>
      <c r="E16" s="57" t="inlineStr">
        <is>
          <t>Arbóreo medio (8-15 m)</t>
        </is>
      </c>
      <c r="F16" s="57" t="inlineStr">
        <is>
          <t>Nativa</t>
        </is>
      </c>
      <c r="G16" s="57" t="inlineStr">
        <is>
          <t>Rara (&lt;1%)</t>
        </is>
      </c>
      <c r="H16" s="57" t="n"/>
      <c r="I16" s="57" t="n"/>
    </row>
    <row r="17">
      <c r="A17" s="58" t="inlineStr">
        <is>
          <t>4</t>
        </is>
      </c>
      <c r="B17" s="58" t="inlineStr">
        <is>
          <t>Cardos</t>
        </is>
      </c>
      <c r="C17" s="58" t="inlineStr">
        <is>
          <t>Armatocereus cartwrightianus</t>
        </is>
      </c>
      <c r="D17" s="58" t="inlineStr">
        <is>
          <t>Cactaceae</t>
        </is>
      </c>
      <c r="E17" s="58" t="inlineStr">
        <is>
          <t>Arbustivo alto (1.5-4 m)</t>
        </is>
      </c>
      <c r="F17" s="58" t="inlineStr">
        <is>
          <t>Nativa</t>
        </is>
      </c>
      <c r="G17" s="58" t="inlineStr">
        <is>
          <t>Ocasional (1-5%)</t>
        </is>
      </c>
      <c r="H17" s="58" t="n"/>
      <c r="I17" s="58" t="n"/>
    </row>
    <row r="18">
      <c r="A18" s="57" t="inlineStr">
        <is>
          <t>5</t>
        </is>
      </c>
      <c r="B18" s="57" t="inlineStr">
        <is>
          <t>Overo</t>
        </is>
      </c>
      <c r="C18" s="57" t="inlineStr">
        <is>
          <t>Cordia lutea</t>
        </is>
      </c>
      <c r="D18" s="57" t="inlineStr">
        <is>
          <t>Boraginaceae</t>
        </is>
      </c>
      <c r="E18" s="57" t="inlineStr">
        <is>
          <t>Arbustivo alto (1.5-4 m)</t>
        </is>
      </c>
      <c r="F18" s="57" t="inlineStr">
        <is>
          <t>Nativa</t>
        </is>
      </c>
      <c r="G18" s="57" t="inlineStr">
        <is>
          <t>Ocasional (1-5%)</t>
        </is>
      </c>
      <c r="H18" s="57" t="n"/>
      <c r="I18" s="57" t="n"/>
    </row>
    <row r="20">
      <c r="A20" s="55" t="inlineStr">
        <is>
          <t>F-DT-03 · ESPECIES CLAVE GEORREFERENCIADAS</t>
        </is>
      </c>
    </row>
    <row r="21">
      <c r="A21" s="56" t="inlineStr">
        <is>
          <t>N.o</t>
        </is>
      </c>
      <c r="B21" s="56" t="inlineStr">
        <is>
          <t>Especie</t>
        </is>
      </c>
      <c r="C21" s="56" t="inlineStr">
        <is>
          <t>Categoría</t>
        </is>
      </c>
      <c r="D21" s="56" t="inlineStr">
        <is>
          <t>Estado UICN</t>
        </is>
      </c>
      <c r="E21" s="56" t="inlineStr">
        <is>
          <t>UTM ESTE</t>
        </is>
      </c>
      <c r="F21" s="56" t="inlineStr">
        <is>
          <t>UTM NORTE</t>
        </is>
      </c>
      <c r="G21" s="56" t="inlineStr">
        <is>
          <t>N.° individuos</t>
        </is>
      </c>
      <c r="H21" s="56" t="inlineStr">
        <is>
          <t>Observación</t>
        </is>
      </c>
    </row>
    <row r="23">
      <c r="A23" s="55" t="inlineStr">
        <is>
          <t>F-DT-04 · MATRIZ DE CAUSAS DE DEGRADACIÓN</t>
        </is>
      </c>
    </row>
    <row r="24">
      <c r="A24" s="56" t="inlineStr">
        <is>
          <t>N.o</t>
        </is>
      </c>
      <c r="B24" s="56" t="inlineStr">
        <is>
          <t>Causa</t>
        </is>
      </c>
      <c r="C24" s="56" t="inlineStr">
        <is>
          <t>Presencia</t>
        </is>
      </c>
      <c r="D24" s="56" t="inlineStr">
        <is>
          <t>Intensidad</t>
        </is>
      </c>
      <c r="E24" s="56" t="inlineStr">
        <is>
          <t>Extensión</t>
        </is>
      </c>
      <c r="F24" s="56" t="inlineStr">
        <is>
          <t>Antigüedad</t>
        </is>
      </c>
      <c r="G24" s="56" t="inlineStr">
        <is>
          <t>Evidencia</t>
        </is>
      </c>
    </row>
    <row r="25">
      <c r="A25" s="57" t="inlineStr">
        <is>
          <t>1</t>
        </is>
      </c>
      <c r="B25" s="57" t="inlineStr">
        <is>
          <t>Sobrepastoreo (caprino/vacuno)</t>
        </is>
      </c>
      <c r="C25" s="57" t="inlineStr">
        <is>
          <t>Sí</t>
        </is>
      </c>
      <c r="D25" s="57" t="inlineStr">
        <is>
          <t>Muy fuerte</t>
        </is>
      </c>
      <c r="E25" s="57" t="inlineStr">
        <is>
          <t>100</t>
        </is>
      </c>
      <c r="F25" s="57" t="inlineStr">
        <is>
          <t>&gt;10</t>
        </is>
      </c>
      <c r="G25" s="57" t="inlineStr">
        <is>
          <t>Carga ganadera elevada; el bloque funciona como potrero de caprinos.</t>
        </is>
      </c>
    </row>
    <row r="26">
      <c r="A26" s="58" t="inlineStr">
        <is>
          <t>2</t>
        </is>
      </c>
      <c r="B26" s="58" t="inlineStr">
        <is>
          <t>Tala para leña</t>
        </is>
      </c>
      <c r="C26" s="58" t="inlineStr">
        <is>
          <t>Sí</t>
        </is>
      </c>
      <c r="D26" s="58" t="inlineStr">
        <is>
          <t>Muy fuerte</t>
        </is>
      </c>
      <c r="E26" s="58" t="inlineStr">
        <is>
          <t>1</t>
        </is>
      </c>
      <c r="F26" s="58" t="inlineStr">
        <is>
          <t>&gt;10</t>
        </is>
      </c>
      <c r="G26" s="58" t="inlineStr">
        <is>
          <t>Se encontraron algunos tocones por corte de arbustos y árboles remanentes.</t>
        </is>
      </c>
    </row>
    <row r="27">
      <c r="A27" s="57" t="inlineStr">
        <is>
          <t>3</t>
        </is>
      </c>
      <c r="B27" s="57" t="inlineStr">
        <is>
          <t>Tala para carbón</t>
        </is>
      </c>
      <c r="C27" s="57" t="inlineStr"/>
      <c r="D27" s="57" t="inlineStr"/>
      <c r="E27" s="57" t="inlineStr"/>
      <c r="F27" s="57" t="inlineStr"/>
      <c r="G27" s="57" t="inlineStr"/>
    </row>
    <row r="28">
      <c r="A28" s="58" t="inlineStr">
        <is>
          <t>4</t>
        </is>
      </c>
      <c r="B28" s="58" t="inlineStr">
        <is>
          <t>Tala para madera</t>
        </is>
      </c>
      <c r="C28" s="58" t="inlineStr"/>
      <c r="D28" s="58" t="inlineStr"/>
      <c r="E28" s="58" t="inlineStr"/>
      <c r="F28" s="58" t="inlineStr"/>
      <c r="G28" s="58" t="inlineStr"/>
    </row>
    <row r="29">
      <c r="A29" s="57" t="inlineStr">
        <is>
          <t>5</t>
        </is>
      </c>
      <c r="B29" s="57" t="inlineStr">
        <is>
          <t>Quema (renovación de pastos)</t>
        </is>
      </c>
      <c r="C29" s="57" t="inlineStr"/>
      <c r="D29" s="57" t="inlineStr"/>
      <c r="E29" s="57" t="inlineStr"/>
      <c r="F29" s="57" t="inlineStr"/>
      <c r="G29" s="57" t="inlineStr"/>
    </row>
    <row r="30">
      <c r="A30" s="58" t="inlineStr">
        <is>
          <t>6</t>
        </is>
      </c>
      <c r="B30" s="58" t="inlineStr">
        <is>
          <t>Quema accidental / Incendio</t>
        </is>
      </c>
      <c r="C30" s="58" t="inlineStr"/>
      <c r="D30" s="58" t="inlineStr"/>
      <c r="E30" s="58" t="inlineStr"/>
      <c r="F30" s="58" t="inlineStr"/>
      <c r="G30" s="58" t="inlineStr"/>
    </row>
    <row r="31">
      <c r="A31" s="57" t="inlineStr">
        <is>
          <t>7</t>
        </is>
      </c>
      <c r="B31" s="57" t="inlineStr">
        <is>
          <t>Cambio de uso a agricultura</t>
        </is>
      </c>
      <c r="C31" s="57" t="inlineStr"/>
      <c r="D31" s="57" t="inlineStr"/>
      <c r="E31" s="57" t="inlineStr"/>
      <c r="F31" s="57" t="inlineStr"/>
      <c r="G31" s="57" t="inlineStr"/>
    </row>
    <row r="32">
      <c r="A32" s="58" t="inlineStr">
        <is>
          <t>8</t>
        </is>
      </c>
      <c r="B32" s="58" t="inlineStr">
        <is>
          <t>Cambio de uso a pastoreo</t>
        </is>
      </c>
      <c r="C32" s="58" t="inlineStr"/>
      <c r="D32" s="58" t="inlineStr"/>
      <c r="E32" s="58" t="inlineStr"/>
      <c r="F32" s="58" t="inlineStr"/>
      <c r="G32" s="58" t="inlineStr"/>
    </row>
    <row r="33">
      <c r="A33" s="57" t="inlineStr">
        <is>
          <t>9</t>
        </is>
      </c>
      <c r="B33" s="57" t="inlineStr">
        <is>
          <t>Expansión urbana / vial</t>
        </is>
      </c>
      <c r="C33" s="57" t="inlineStr"/>
      <c r="D33" s="57" t="inlineStr"/>
      <c r="E33" s="57" t="inlineStr"/>
      <c r="F33" s="57" t="inlineStr"/>
      <c r="G33" s="57" t="inlineStr"/>
    </row>
    <row r="34">
      <c r="A34" s="58" t="inlineStr">
        <is>
          <t>10</t>
        </is>
      </c>
      <c r="B34" s="58" t="inlineStr">
        <is>
          <t>Minería informal</t>
        </is>
      </c>
      <c r="C34" s="58" t="inlineStr"/>
      <c r="D34" s="58" t="inlineStr"/>
      <c r="E34" s="58" t="inlineStr"/>
      <c r="F34" s="58" t="inlineStr"/>
      <c r="G34" s="58" t="inlineStr"/>
    </row>
    <row r="35">
      <c r="A35" s="57" t="inlineStr">
        <is>
          <t>11</t>
        </is>
      </c>
      <c r="B35" s="57" t="inlineStr">
        <is>
          <t>Extracción de áridos (cauces)</t>
        </is>
      </c>
      <c r="C35" s="57" t="inlineStr"/>
      <c r="D35" s="57" t="inlineStr"/>
      <c r="E35" s="57" t="inlineStr"/>
      <c r="F35" s="57" t="inlineStr"/>
      <c r="G35" s="57" t="inlineStr"/>
    </row>
    <row r="36">
      <c r="A36" s="58" t="inlineStr">
        <is>
          <t>12</t>
        </is>
      </c>
      <c r="B36" s="58" t="inlineStr">
        <is>
          <t>Especies invasoras</t>
        </is>
      </c>
      <c r="C36" s="58" t="inlineStr"/>
      <c r="D36" s="58" t="inlineStr"/>
      <c r="E36" s="58" t="inlineStr"/>
      <c r="F36" s="58" t="inlineStr"/>
      <c r="G36" s="58" t="inlineStr"/>
    </row>
    <row r="37">
      <c r="A37" s="57" t="inlineStr">
        <is>
          <t>13</t>
        </is>
      </c>
      <c r="B37" s="57" t="inlineStr">
        <is>
          <t>Erosión natural severa</t>
        </is>
      </c>
      <c r="C37" s="57" t="inlineStr"/>
      <c r="D37" s="57" t="inlineStr"/>
      <c r="E37" s="57" t="inlineStr"/>
      <c r="F37" s="57" t="inlineStr"/>
      <c r="G37" s="57" t="inlineStr"/>
    </row>
    <row r="38">
      <c r="A38" s="58" t="inlineStr">
        <is>
          <t>14</t>
        </is>
      </c>
      <c r="B38" s="58" t="inlineStr">
        <is>
          <t>Sequía prolongada / CC</t>
        </is>
      </c>
      <c r="C38" s="58" t="inlineStr"/>
      <c r="D38" s="58" t="inlineStr"/>
      <c r="E38" s="58" t="inlineStr"/>
      <c r="F38" s="58" t="inlineStr"/>
      <c r="G38" s="58" t="inlineStr"/>
    </row>
    <row r="39">
      <c r="A39" s="57" t="inlineStr">
        <is>
          <t>15</t>
        </is>
      </c>
      <c r="B39" s="57" t="inlineStr">
        <is>
          <t>Plagas o enfermedades forestales</t>
        </is>
      </c>
      <c r="C39" s="57" t="inlineStr"/>
      <c r="D39" s="57" t="inlineStr"/>
      <c r="E39" s="57" t="inlineStr"/>
      <c r="F39" s="57" t="inlineStr"/>
      <c r="G39" s="57" t="inlineStr"/>
    </row>
    <row r="40">
      <c r="A40" s="58" t="inlineStr">
        <is>
          <t>16</t>
        </is>
      </c>
      <c r="B40" s="58" t="inlineStr">
        <is>
          <t>Otro</t>
        </is>
      </c>
      <c r="C40" s="58" t="inlineStr"/>
      <c r="D40" s="58" t="inlineStr"/>
      <c r="E40" s="58" t="inlineStr"/>
      <c r="F40" s="58" t="inlineStr"/>
      <c r="G40" s="58" t="inlineStr"/>
    </row>
    <row r="42">
      <c r="A42" s="55" t="inlineStr">
        <is>
          <t>F-DT-04 · INDICADORES CUANTITATIVOS</t>
        </is>
      </c>
    </row>
    <row r="43">
      <c r="A43" s="56" t="inlineStr">
        <is>
          <t>N.o</t>
        </is>
      </c>
      <c r="B43" s="56" t="inlineStr">
        <is>
          <t>Indicador</t>
        </is>
      </c>
      <c r="C43" s="56" t="inlineStr">
        <is>
          <t>Unidad</t>
        </is>
      </c>
      <c r="D43" s="56" t="inlineStr">
        <is>
          <t>Valor</t>
        </is>
      </c>
      <c r="E43" s="56" t="inlineStr">
        <is>
          <t>Fuente</t>
        </is>
      </c>
      <c r="F43" s="56" t="inlineStr">
        <is>
          <t>Umbral</t>
        </is>
      </c>
      <c r="G43" s="56" t="inlineStr">
        <is>
          <t>Nivel</t>
        </is>
      </c>
    </row>
    <row r="44">
      <c r="A44" s="57" t="inlineStr">
        <is>
          <t>1</t>
        </is>
      </c>
      <c r="B44" s="57" t="inlineStr">
        <is>
          <t>Cobertura vegetal total</t>
        </is>
      </c>
      <c r="C44" s="57" t="inlineStr">
        <is>
          <t>%</t>
        </is>
      </c>
      <c r="D44" s="57" t="inlineStr">
        <is>
          <t>10</t>
        </is>
      </c>
      <c r="E44" s="57" t="inlineStr">
        <is>
          <t>Estimación visual de campo</t>
        </is>
      </c>
      <c r="F44" s="57" t="inlineStr">
        <is>
          <t>&gt;60% bueno; 30-60% medio; &lt;30% malo</t>
        </is>
      </c>
      <c r="G44" s="57" t="inlineStr">
        <is>
          <t>Bajo</t>
        </is>
      </c>
    </row>
    <row r="45">
      <c r="A45" s="58" t="inlineStr">
        <is>
          <t>2</t>
        </is>
      </c>
      <c r="B45" s="58" t="inlineStr">
        <is>
          <t>Porcentaje de suelo desnudo</t>
        </is>
      </c>
      <c r="C45" s="58" t="inlineStr">
        <is>
          <t>%</t>
        </is>
      </c>
      <c r="D45" s="58" t="inlineStr">
        <is>
          <t>90</t>
        </is>
      </c>
      <c r="E45" s="58" t="inlineStr">
        <is>
          <t>Estimación visual de campo</t>
        </is>
      </c>
      <c r="F45" s="58" t="inlineStr">
        <is>
          <t>&lt;10% bueno; 10-30% medio; &gt;30% malo</t>
        </is>
      </c>
      <c r="G45" s="58" t="inlineStr">
        <is>
          <t>Medio</t>
        </is>
      </c>
    </row>
    <row r="46">
      <c r="A46" s="57" t="inlineStr">
        <is>
          <t>3</t>
        </is>
      </c>
      <c r="B46" s="57" t="inlineStr">
        <is>
          <t>Densidad de cárcavas</t>
        </is>
      </c>
      <c r="C46" s="57" t="inlineStr">
        <is>
          <t>N°/ha</t>
        </is>
      </c>
      <c r="D46" s="57" t="inlineStr">
        <is>
          <t>3</t>
        </is>
      </c>
      <c r="E46" s="57" t="inlineStr">
        <is>
          <t>Inventario de campo (F-DT-02)</t>
        </is>
      </c>
      <c r="F46" s="57" t="inlineStr">
        <is>
          <t>0 nulo; 1-3 medio; &gt;3 alto</t>
        </is>
      </c>
      <c r="G46" s="57" t="inlineStr">
        <is>
          <t>Medio</t>
        </is>
      </c>
    </row>
    <row r="47">
      <c r="A47" s="58" t="inlineStr">
        <is>
          <t>4</t>
        </is>
      </c>
      <c r="B47" s="58" t="inlineStr">
        <is>
          <t>Presencia de especies invasoras</t>
        </is>
      </c>
      <c r="C47" s="58" t="inlineStr">
        <is>
          <t>% área</t>
        </is>
      </c>
      <c r="D47" s="58" t="inlineStr">
        <is>
          <t>0</t>
        </is>
      </c>
      <c r="E47" s="58" t="inlineStr">
        <is>
          <t>Estimación visual de campo</t>
        </is>
      </c>
      <c r="F47" s="58" t="inlineStr">
        <is>
          <t>&lt;5% bueno; 5-20% medio; &gt;20% alto</t>
        </is>
      </c>
      <c r="G47" s="58" t="inlineStr">
        <is>
          <t>Bajo</t>
        </is>
      </c>
    </row>
    <row r="48">
      <c r="A48" s="57" t="inlineStr">
        <is>
          <t>5</t>
        </is>
      </c>
      <c r="B48" s="57" t="inlineStr">
        <is>
          <t>Carga ganadera estimada</t>
        </is>
      </c>
      <c r="C48" s="57" t="inlineStr">
        <is>
          <t>UA/ha</t>
        </is>
      </c>
      <c r="D48" s="57" t="inlineStr">
        <is>
          <t>5</t>
        </is>
      </c>
      <c r="E48" s="57" t="inlineStr">
        <is>
          <t>Estimación por pastoreo observado</t>
        </is>
      </c>
      <c r="F48" s="57" t="inlineStr">
        <is>
          <t>Según tipo de ecosistema</t>
        </is>
      </c>
      <c r="G48" s="57" t="inlineStr">
        <is>
          <t>Alto</t>
        </is>
      </c>
    </row>
    <row r="49">
      <c r="A49" s="58" t="inlineStr">
        <is>
          <t>6</t>
        </is>
      </c>
      <c r="B49" s="58" t="inlineStr">
        <is>
          <t>Frecuencia de quemas últimos 5 años</t>
        </is>
      </c>
      <c r="C49" s="58" t="inlineStr">
        <is>
          <t>N°</t>
        </is>
      </c>
      <c r="D49" s="58" t="inlineStr">
        <is>
          <t>1</t>
        </is>
      </c>
      <c r="E49" s="58" t="inlineStr">
        <is>
          <t>Información comunal</t>
        </is>
      </c>
      <c r="F49" s="58" t="inlineStr">
        <is>
          <t>0 nulo; 1-2 medio; &gt;2 alto</t>
        </is>
      </c>
      <c r="G49" s="58" t="inlineStr">
        <is>
          <t>Medio</t>
        </is>
      </c>
    </row>
    <row r="50">
      <c r="A50" s="57" t="inlineStr">
        <is>
          <t>7</t>
        </is>
      </c>
      <c r="B50" s="57" t="inlineStr">
        <is>
          <t>% área con pendiente &gt;50%</t>
        </is>
      </c>
      <c r="C50" s="57" t="inlineStr">
        <is>
          <t>%</t>
        </is>
      </c>
      <c r="D50" s="57" t="inlineStr">
        <is>
          <t>0</t>
        </is>
      </c>
      <c r="E50" s="57" t="inlineStr">
        <is>
          <t>Verificación de campo</t>
        </is>
      </c>
      <c r="F50" s="57" t="inlineStr">
        <is>
          <t>Factor de susceptibilidad</t>
        </is>
      </c>
      <c r="G50" s="57" t="inlineStr">
        <is>
          <t>Medio</t>
        </is>
      </c>
    </row>
    <row r="51">
      <c r="A51" s="58" t="inlineStr">
        <is>
          <t>8</t>
        </is>
      </c>
      <c r="B51" s="58" t="inlineStr">
        <is>
          <t>Distancia a vía vecinal más cercana</t>
        </is>
      </c>
      <c r="C51" s="58" t="inlineStr">
        <is>
          <t>m</t>
        </is>
      </c>
      <c r="D51" s="58" t="inlineStr">
        <is>
          <t>10</t>
        </is>
      </c>
      <c r="E51" s="58" t="inlineStr">
        <is>
          <t>Trocha vecinal colindante</t>
        </is>
      </c>
      <c r="F51" s="58" t="inlineStr">
        <is>
          <t>A menor distancia → mayor presión</t>
        </is>
      </c>
      <c r="G51" s="58" t="inlineStr">
        <is>
          <t>Alto</t>
        </is>
      </c>
    </row>
    <row r="53">
      <c r="A53" s="55" t="inlineStr">
        <is>
          <t>F-DT-05 · FUENTES DE AGUA INVENTARIADAS</t>
        </is>
      </c>
    </row>
    <row r="54">
      <c r="A54" s="56" t="inlineStr">
        <is>
          <t>N.o</t>
        </is>
      </c>
      <c r="B54" s="56" t="inlineStr">
        <is>
          <t>Tipo de fuente</t>
        </is>
      </c>
      <c r="C54" s="56" t="inlineStr">
        <is>
          <t>UTM ESTE</t>
        </is>
      </c>
      <c r="D54" s="56" t="inlineStr">
        <is>
          <t>UTM NORTE</t>
        </is>
      </c>
      <c r="E54" s="56" t="inlineStr">
        <is>
          <t>Régimen</t>
        </is>
      </c>
      <c r="F54" s="56" t="inlineStr">
        <is>
          <t>Calidad</t>
        </is>
      </c>
      <c r="G54" s="56" t="inlineStr">
        <is>
          <t>Distancia (m)</t>
        </is>
      </c>
      <c r="H54" s="56" t="inlineStr">
        <is>
          <t>Uso / observación</t>
        </is>
      </c>
    </row>
    <row r="55">
      <c r="A55" s="57" t="inlineStr">
        <is>
          <t>1</t>
        </is>
      </c>
      <c r="B55" s="57" t="inlineStr">
        <is>
          <t>Quebrada estacional</t>
        </is>
      </c>
      <c r="C55" s="62" t="n">
        <v>638762</v>
      </c>
      <c r="D55" s="62" t="n">
        <v>9411557</v>
      </c>
      <c r="E55" s="57" t="inlineStr">
        <is>
          <t>Estacional (lluvias)</t>
        </is>
      </c>
      <c r="F55" s="57" t="inlineStr">
        <is>
          <t>Regular (ligeramente turbia o con sedimentos)</t>
        </is>
      </c>
      <c r="G55" s="63" t="n">
        <v>0</v>
      </c>
      <c r="H55" s="57" t="inlineStr">
        <is>
          <t>Seca por la estación de evaluación; drenaje natural del bloque.</t>
        </is>
      </c>
    </row>
    <row r="58">
      <c r="A58" s="55" t="inlineStr">
        <is>
          <t>OBSERVACIONES DEL EVALUADOR POR FICHA</t>
        </is>
      </c>
    </row>
    <row r="59">
      <c r="A59" s="56" t="inlineStr">
        <is>
          <t>Ficha</t>
        </is>
      </c>
      <c r="B59" s="56" t="inlineStr">
        <is>
          <t>Observación registrada en campo</t>
        </is>
      </c>
    </row>
    <row r="60">
      <c r="A60" s="57" t="inlineStr">
        <is>
          <t>F-DT-01</t>
        </is>
      </c>
      <c r="B60" s="57" t="inlineStr">
        <is>
          <t>Acceso por vía vecinal, ruta desde el distrito de San Juan de Bigote al CCPP de Miguelpampa; se detuvo la camioneta a 200 m del centro poblado. Se ingresó al bloque por la zona oeste, colindante al talud de la vía. El perímetro del bloque coincide con un cerco de ganado que delimita un área empleada como potrero para el pastoreo de ganado caprino. La pendiente del terreno es menor a 30 %. El talud de la vía asfaltada presentaba derrumbes por tramos distanciados.</t>
        </is>
      </c>
    </row>
    <row r="61">
      <c r="A61" s="58" t="inlineStr">
        <is>
          <t>F-DT-02</t>
        </is>
      </c>
      <c r="B61" s="58" t="inlineStr">
        <is>
          <t>Suelos erosionados por el flujo del agua de lluvia que discurre por la ladera sobre suelos degradados por el sobrepastoreo de caprinos. Se evidenciaron surcos en formación con profundidad menor a 30 cm y anchos menores a 0.5 m, y cárcavas semiprofundas de hasta 0.4 m de profundidad, 1 m de ancho y 20 m de largo. El terreno presenta estrías en las laderas producidas por el tránsito de los animales.</t>
        </is>
      </c>
    </row>
    <row r="62">
      <c r="A62" s="57" t="inlineStr">
        <is>
          <t>F-DT-03</t>
        </is>
      </c>
      <c r="B62" s="57" t="inlineStr">
        <is>
          <t>El área es un bosque degradado con cambio de uso de la tierra: lo que anteriormente fue bosque hoy es una pradera de pastos para el forraje de ganado. Se registran árboles remanentes de especies nativas (pasallo, charán y ceibo).</t>
        </is>
      </c>
    </row>
    <row r="63">
      <c r="A63" s="58" t="inlineStr">
        <is>
          <t>F-DT-04</t>
        </is>
      </c>
      <c r="B63" s="58" t="inlineStr">
        <is>
          <t>El bloque es un área degradada a nivel de suelo y cobertura vegetal. Se recomienda intervenir mediante medidas de restauración activa.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77</t>
        </is>
      </c>
    </row>
    <row r="7">
      <c r="A7" s="55" t="inlineStr">
        <is>
          <t>Hechos declarados por fuente</t>
        </is>
      </c>
    </row>
    <row r="8">
      <c r="A8" s="56" t="inlineStr">
        <is>
          <t>Fuente</t>
        </is>
      </c>
      <c r="B8" s="56" t="inlineStr">
        <is>
          <t>Hechos</t>
        </is>
      </c>
    </row>
    <row r="9">
      <c r="A9" s="57" t="inlineStr">
        <is>
          <t>Dato de campo</t>
        </is>
      </c>
      <c r="B9" s="57" t="n">
        <v>62</v>
      </c>
    </row>
    <row r="10">
      <c r="A10" s="58" t="inlineStr">
        <is>
          <t>Gabinete (GIS / teledetección)</t>
        </is>
      </c>
      <c r="B10" s="58" t="n">
        <v>24</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98</v>
      </c>
    </row>
    <row r="31">
      <c r="A31" s="58" t="inlineStr">
        <is>
          <t>COMPLEMENTADO</t>
        </is>
      </c>
      <c r="B31" s="58" t="n">
        <v>2</v>
      </c>
    </row>
    <row r="32">
      <c r="A32" s="57" t="inlineStr">
        <is>
          <t>ACTUALIZADO</t>
        </is>
      </c>
      <c r="B32" s="57" t="n">
        <v>0</v>
      </c>
    </row>
    <row r="33">
      <c r="A33" s="58" t="inlineStr">
        <is>
          <t>DISCREPANTE</t>
        </is>
      </c>
      <c r="B33" s="58" t="n">
        <v>0</v>
      </c>
    </row>
    <row r="34">
      <c r="A34" s="57" t="inlineStr">
        <is>
          <t>PENDIENTE</t>
        </is>
      </c>
      <c r="B34" s="57" t="n">
        <v>14</v>
      </c>
    </row>
    <row r="51">
      <c r="A51" s="55" t="inlineStr">
        <is>
          <t>Cobertura por estrato — campo (%)</t>
        </is>
      </c>
    </row>
    <row r="52">
      <c r="A52" s="56" t="inlineStr">
        <is>
          <t>Estrato</t>
        </is>
      </c>
      <c r="B52" s="56" t="inlineStr">
        <is>
          <t>% del área</t>
        </is>
      </c>
    </row>
    <row r="53">
      <c r="A53" s="57" t="inlineStr">
        <is>
          <t>Dosel</t>
        </is>
      </c>
      <c r="B53" s="62" t="n">
        <v>10</v>
      </c>
    </row>
    <row r="54">
      <c r="A54" s="58" t="inlineStr">
        <is>
          <t>Herbácea</t>
        </is>
      </c>
      <c r="B54" s="64" t="n">
        <v>90</v>
      </c>
    </row>
    <row r="55">
      <c r="A55" s="57" t="inlineStr">
        <is>
          <t>Suelo desnudo</t>
        </is>
      </c>
      <c r="B55" s="63" t="n">
        <v>0.25</v>
      </c>
    </row>
    <row r="72">
      <c r="A72" s="55" t="inlineStr">
        <is>
          <t>Causas activas de degradación (F-DT-04)</t>
        </is>
      </c>
    </row>
    <row r="73">
      <c r="A73" s="56" t="inlineStr">
        <is>
          <t>Causa</t>
        </is>
      </c>
      <c r="B73" s="56" t="inlineStr">
        <is>
          <t>Intensidad (1 ligera - 4 muy fuerte)</t>
        </is>
      </c>
    </row>
    <row r="74">
      <c r="A74" s="57" t="inlineStr">
        <is>
          <t>Sobrepastoreo (caprino/vacuno)</t>
        </is>
      </c>
      <c r="B74" s="57" t="n">
        <v>4</v>
      </c>
    </row>
    <row r="75">
      <c r="A75" s="58" t="inlineStr">
        <is>
          <t>Tala para leña</t>
        </is>
      </c>
      <c r="B75" s="58" t="n">
        <v>4</v>
      </c>
    </row>
    <row r="92">
      <c r="A92" s="55" t="inlineStr">
        <is>
          <t>Control de consistencia por calificación</t>
        </is>
      </c>
    </row>
    <row r="93">
      <c r="A93" s="56" t="inlineStr">
        <is>
          <t>Calificación</t>
        </is>
      </c>
      <c r="B93" s="56" t="inlineStr">
        <is>
          <t>Verificaciones</t>
        </is>
      </c>
    </row>
    <row r="94">
      <c r="A94" s="57" t="inlineStr">
        <is>
          <t>SUSTANTIVA</t>
        </is>
      </c>
      <c r="B94" s="57" t="n">
        <v>5</v>
      </c>
    </row>
    <row r="95">
      <c r="A95" s="58" t="inlineStr">
        <is>
          <t>NO SUSTANTIVA</t>
        </is>
      </c>
      <c r="B95" s="58" t="n">
        <v>5</v>
      </c>
    </row>
    <row r="96">
      <c r="A96" s="57" t="inlineStr">
        <is>
          <t>CORREGIDO</t>
        </is>
      </c>
      <c r="B96" s="57" t="n">
        <v>1</v>
      </c>
    </row>
    <row r="97">
      <c r="A97" s="58" t="inlineStr">
        <is>
          <t>CONFORME</t>
        </is>
      </c>
      <c r="B97" s="58"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77 — IN Piura</dc:title>
  <dc:subject>Diagnóstico Territorial por bloque de intervención</dc:subject>
  <dcterms:created xsi:type="dcterms:W3CDTF">2026-09-08T03:39:54Z</dcterms:created>
  <dcterms:modified xsi:type="dcterms:W3CDTF">2026-09-11T20:22:32Z</dcterms:modified>
</cp:coreProperties>
</file>