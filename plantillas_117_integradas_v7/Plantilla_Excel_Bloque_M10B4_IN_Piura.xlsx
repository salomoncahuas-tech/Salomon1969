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M10B4</t>
        </is>
      </c>
    </row>
    <row r="6" ht="24" customHeight="1">
      <c r="A6" s="4" t="inlineStr">
        <is>
          <t>Diagnóstico Territorial — Plantilla DT Campo Check Validada V5 | Sistema de referencia: UTM WGS 84 Zona 17S (EPSG:32717) · Integrado con la ficha de campo F-DT vigente (FDT_M10B4_IN_Piura_V5.xlsx) — V7 - resumen V6 + campo F-DT integrado</t>
        </is>
      </c>
    </row>
    <row r="7"/>
    <row r="8" ht="18" customHeight="1">
      <c r="A8" s="5" t="inlineStr">
        <is>
          <t>1. IDENTIFICACIÓN Y LOCALIZACIÓN</t>
        </is>
      </c>
    </row>
    <row r="9">
      <c r="A9" s="6" t="inlineStr">
        <is>
          <t>Código del bloque</t>
        </is>
      </c>
      <c r="B9" s="7" t="inlineStr">
        <is>
          <t>M10B4</t>
        </is>
      </c>
      <c r="C9" s="6" t="inlineStr">
        <is>
          <t>Microcuenca (catálogo)</t>
        </is>
      </c>
      <c r="D9" s="7" t="inlineStr">
        <is>
          <t>C1096-Q9547</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C1096-Q9547)</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Río Seco Alto</t>
        </is>
      </c>
      <c r="C13" s="6" t="inlineStr">
        <is>
          <t>Comunidad campesina</t>
        </is>
      </c>
      <c r="D13" s="50" t="inlineStr">
        <is>
          <t>C.C. Carlos Augusto Rivera (denominacion por verificar)</t>
        </is>
      </c>
      <c r="E13" s="8" t="n"/>
      <c r="F13" s="8" t="n"/>
    </row>
    <row r="14">
      <c r="A14" s="6" t="inlineStr">
        <is>
          <t>Superficie de catálogo (V5/V6), ha</t>
        </is>
      </c>
      <c r="B14" s="7" t="n">
        <v>68.89</v>
      </c>
      <c r="C14" s="6" t="inlineStr">
        <is>
          <t>Fuente de superficie</t>
        </is>
      </c>
      <c r="D14" s="7" t="inlineStr">
        <is>
          <t>Catálogo maestro Bloques V5/V6</t>
        </is>
      </c>
      <c r="E14" s="8" t="n"/>
      <c r="F14" s="8" t="n"/>
    </row>
    <row r="15">
      <c r="A15" s="6" t="inlineStr">
        <is>
          <t>Centroide UTM ESTE (m)</t>
        </is>
      </c>
      <c r="B15" s="7" t="n">
        <v>596773</v>
      </c>
      <c r="C15" s="6" t="inlineStr">
        <is>
          <t>Centroide UTM NORTE (m)</t>
        </is>
      </c>
      <c r="D15" s="7" t="n">
        <v>9448273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170</v>
      </c>
      <c r="C19" s="6" t="inlineStr">
        <is>
          <t>Altitud máxima (msnm)</t>
        </is>
      </c>
      <c r="D19" s="7" t="n">
        <v>313</v>
      </c>
      <c r="E19" s="8" t="n"/>
      <c r="F19" s="8" t="n"/>
    </row>
    <row r="20">
      <c r="A20" s="6" t="inlineStr">
        <is>
          <t>Amplitud altitudinal (m)</t>
        </is>
      </c>
      <c r="B20" s="7" t="n">
        <v>143</v>
      </c>
      <c r="C20" s="6" t="inlineStr">
        <is>
          <t>Piso altitudinal dominante</t>
        </is>
      </c>
      <c r="D20" s="7" t="inlineStr">
        <is>
          <t>&lt;1000 m (Yunga)</t>
        </is>
      </c>
      <c r="E20" s="8" t="n"/>
      <c r="F20" s="8" t="n"/>
    </row>
    <row r="21">
      <c r="A21" s="6" t="inlineStr">
        <is>
          <t>Pendiente promedio (%)</t>
        </is>
      </c>
      <c r="B21" s="7" t="n">
        <v>13.83</v>
      </c>
      <c r="C21" s="6" t="inlineStr">
        <is>
          <t>Pendiente promedio (grados)</t>
        </is>
      </c>
      <c r="D21" s="7" t="n">
        <v>7.9</v>
      </c>
      <c r="E21" s="8" t="n"/>
      <c r="F21" s="8" t="n"/>
    </row>
    <row r="22">
      <c r="A22" s="6" t="inlineStr">
        <is>
          <t>Clase de pendiente equivalente</t>
        </is>
      </c>
      <c r="B22" s="7" t="inlineStr">
        <is>
          <t>8-15% (Mod. inclinado)</t>
        </is>
      </c>
      <c r="C22" s="6" t="inlineStr">
        <is>
          <t>Rango de pendiente declarado en campo</t>
        </is>
      </c>
      <c r="D22" s="50"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0.3133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(73.83 %)</t>
        </is>
      </c>
      <c r="E29" s="8" t="n"/>
      <c r="F29" s="8" t="n"/>
    </row>
    <row r="30">
      <c r="A30" s="6" t="inlineStr">
        <is>
          <t>Superficie clasificada NDVI 2025 (ha)</t>
        </is>
      </c>
      <c r="B30" s="7" t="n">
        <v>68.926</v>
      </c>
      <c r="C30" s="6" t="inlineStr">
        <is>
          <t>Desviación frente al catálogo (%)</t>
        </is>
      </c>
      <c r="D30" s="7" t="n">
        <v>0.05</v>
      </c>
      <c r="E30" s="8" t="n"/>
      <c r="F30" s="8" t="n"/>
    </row>
    <row r="31">
      <c r="A31" s="6" t="inlineStr">
        <is>
          <t>Superficie clasificada MSAVI 2024 (ha)</t>
        </is>
      </c>
      <c r="B31" s="38" t="n">
        <v>68.887</v>
      </c>
      <c r="C31" s="6" t="inlineStr">
        <is>
          <t>Desviación MSAVI frente al catálogo (%)</t>
        </is>
      </c>
      <c r="D31" s="39" t="n">
        <v>-0.01</v>
      </c>
      <c r="E31" s="8" t="n"/>
      <c r="F31" s="8" t="n"/>
    </row>
    <row r="32">
      <c r="A32" s="6" t="inlineStr">
        <is>
          <t>Superficie bajo umbral MSAVI 0.4976 (ha)</t>
        </is>
      </c>
      <c r="B32" s="38" t="n">
        <v>68.758</v>
      </c>
      <c r="C32" s="6" t="inlineStr">
        <is>
          <t>% del bloque bajo umbral (brecha espectral)</t>
        </is>
      </c>
      <c r="D32" s="39" t="n">
        <v>99.81</v>
      </c>
      <c r="E32" s="8" t="n"/>
      <c r="F32" s="8" t="n"/>
    </row>
    <row r="33">
      <c r="A33" s="6" t="inlineStr">
        <is>
          <t>Clase DN dominante (MSAVI 2024)</t>
        </is>
      </c>
      <c r="B33" s="7" t="inlineStr">
        <is>
          <t>DN 2 · 0.2650 - 0.3813 (Vigor muy bajo)</t>
        </is>
      </c>
      <c r="C33" s="6" t="inlineStr">
        <is>
          <t>N.° de polígonos MSAVI del bloque</t>
        </is>
      </c>
      <c r="D33" s="40" t="n">
        <v>222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62 ha (de 68.89 ha del bloque)</t>
        </is>
      </c>
      <c r="E36" s="8" t="n"/>
      <c r="F36" s="8" t="n"/>
    </row>
    <row r="37">
      <c r="A37" s="6" t="inlineStr">
        <is>
          <t>Estado de conservación</t>
        </is>
      </c>
      <c r="B37" s="7"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50" t="inlineStr">
        <is>
          <t>Ligera (laminar)</t>
        </is>
      </c>
      <c r="C40" s="6" t="inlineStr">
        <is>
          <t>N.° de cárcavas registradas</t>
        </is>
      </c>
      <c r="D40" s="50" t="inlineStr">
        <is>
          <t>0</t>
        </is>
      </c>
      <c r="E40" s="8" t="n"/>
      <c r="F40" s="8" t="n"/>
    </row>
    <row r="41">
      <c r="A41" s="6" t="inlineStr">
        <is>
          <t>Elenco florístico (n.° de taxones)</t>
        </is>
      </c>
      <c r="B41" s="50" t="inlineStr">
        <is>
          <t>6</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Juan Carlos Dominguez Varas; Ing. Pedro Talledo Hernandez; Blgo. Abel Aucasime Orihuela; Sr. Cristhian Camacho</t>
        </is>
      </c>
      <c r="C44" s="6" t="inlineStr">
        <is>
          <t>Fecha de evaluación</t>
        </is>
      </c>
      <c r="D44" s="7" t="inlineStr">
        <is>
          <t>2026-07-03</t>
        </is>
      </c>
      <c r="E44" s="8" t="n"/>
      <c r="F44" s="8" t="n"/>
    </row>
    <row r="45">
      <c r="A45" s="6" t="inlineStr">
        <is>
          <t>Hora de registro</t>
        </is>
      </c>
      <c r="B45" s="7" t="inlineStr">
        <is>
          <t>12:15 h</t>
        </is>
      </c>
      <c r="C45" s="6" t="inlineStr">
        <is>
          <t>Correlativo de ficha</t>
        </is>
      </c>
      <c r="D45" s="50"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S/R - por verificar</t>
        </is>
      </c>
      <c r="E47" s="8" t="n"/>
      <c r="F47" s="8" t="n"/>
    </row>
    <row r="48">
      <c r="A48" s="6" t="inlineStr">
        <is>
          <t>Estaciones fotográficas georreferenciadas</t>
        </is>
      </c>
      <c r="B48" s="7" t="n">
        <v>0</v>
      </c>
      <c r="C48" s="6" t="inlineStr">
        <is>
          <t>Modalidad de acceso</t>
        </is>
      </c>
      <c r="D48" s="50"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0" t="inlineStr">
        <is>
          <t>Dependencia energetica domestica de la lena y ausencia de alternativas de manejo pecuario; proximidad inmediata del bloque al CCPP (150 m a la via vecinal PI-778).</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Por determinar</t>
        </is>
      </c>
      <c r="C53" s="6" t="inlineStr">
        <is>
          <t>Zona de recarga hídrica</t>
        </is>
      </c>
      <c r="D53" s="50"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M10B4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0.1287</v>
      </c>
      <c r="C11" s="21">
        <f>ROUND(B11/$B$15*100,2)</f>
        <v/>
      </c>
      <c r="D11" s="13" t="inlineStr">
        <is>
          <t>Vigor moderado</t>
        </is>
      </c>
      <c r="E11" s="13" t="inlineStr">
        <is>
          <t>Sobre umbral</t>
        </is>
      </c>
    </row>
    <row r="12">
      <c r="A12" s="7" t="inlineStr">
        <is>
          <t>0.3813 - 0.4976 · DN 3</t>
        </is>
      </c>
      <c r="B12" s="18" t="n">
        <v>5.7469</v>
      </c>
      <c r="C12" s="19">
        <f>ROUND(B12/$B$15*100,2)</f>
        <v/>
      </c>
      <c r="D12" s="11" t="inlineStr">
        <is>
          <t>Vigor bajo</t>
        </is>
      </c>
      <c r="E12" s="11" t="inlineStr">
        <is>
          <t>BAJO umbral 0.4976</t>
        </is>
      </c>
    </row>
    <row r="13">
      <c r="A13" s="14" t="inlineStr">
        <is>
          <t>0.2650 - 0.3813 · DN 2</t>
        </is>
      </c>
      <c r="B13" s="30" t="n">
        <v>51.4644</v>
      </c>
      <c r="C13" s="29">
        <f>ROUND(B13/$B$15*100,2)</f>
        <v/>
      </c>
      <c r="D13" s="15" t="inlineStr">
        <is>
          <t>Vigor muy bajo</t>
        </is>
      </c>
      <c r="E13" s="15" t="inlineStr">
        <is>
          <t>BAJO umbral 0.4976</t>
        </is>
      </c>
    </row>
    <row r="14">
      <c r="A14" s="7" t="inlineStr">
        <is>
          <t>&lt;= 0.2650 · DN 1</t>
        </is>
      </c>
      <c r="B14" s="18" t="n">
        <v>11.5466</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222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68.89</v>
      </c>
      <c r="C18" s="49" t="inlineStr">
        <is>
          <t>—</t>
        </is>
      </c>
      <c r="D18" s="46" t="inlineStr">
        <is>
          <t>Desviación planimétrica frente al catálogo</t>
        </is>
      </c>
      <c r="E18" s="46" t="inlineStr">
        <is>
          <t>-0.01 %</t>
        </is>
      </c>
    </row>
    <row r="19">
      <c r="A19" s="16" t="inlineStr">
        <is>
          <t>MSAVI 2024 — MEDIA DEL BLOQUE</t>
        </is>
      </c>
      <c r="B19" s="17" t="n">
        <v>0.313301</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222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(0.3133)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1.8372</v>
      </c>
      <c r="C25" s="19" t="n">
        <v>2.67</v>
      </c>
      <c r="D25" s="11" t="inlineStr">
        <is>
          <t>Pastizal cultivado, matorral ralo, parcelas agrícolas</t>
        </is>
      </c>
      <c r="E25" s="11" t="inlineStr"/>
    </row>
    <row r="26">
      <c r="A26" s="12" t="inlineStr">
        <is>
          <t>Vegetación ligera</t>
        </is>
      </c>
      <c r="B26" s="20" t="n">
        <v>50.8887</v>
      </c>
      <c r="C26" s="21" t="n">
        <v>73.83</v>
      </c>
      <c r="D26" s="13" t="inlineStr">
        <is>
          <t>Cobertura discontinua, suelo parcialmente expuesto</t>
        </is>
      </c>
      <c r="E26" s="13" t="inlineStr"/>
    </row>
    <row r="27">
      <c r="A27" s="7" t="inlineStr">
        <is>
          <t>Tierra desnuda</t>
        </is>
      </c>
      <c r="B27" s="18" t="n">
        <v>16.1998</v>
      </c>
      <c r="C27" s="19" t="n">
        <v>23.5</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68.89</v>
      </c>
      <c r="C29" s="25" t="inlineStr">
        <is>
          <t>—</t>
        </is>
      </c>
      <c r="D29" s="25" t="inlineStr">
        <is>
          <t>Desviación planimétrica frente al catálogo</t>
        </is>
      </c>
      <c r="E29" s="25" t="inlineStr">
        <is>
          <t>+0.05 %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0.00 % del polígono clasificado como «Vegetación alta» por el NDVI 2025; la observación de campo corresponde a una parcela o recorrido puntual y no es estadísticamente representativa de las 68.890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M10B4</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73360.2</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596773</v>
      </c>
      <c r="C13" s="6" t="inlineStr">
        <is>
          <t>Centroide del bloque — UTM NORTE (m)</t>
        </is>
      </c>
      <c r="D13" s="7" t="n">
        <v>9448273</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caracteriza por LADERAS DE COLINAS BAJAS, con pendientes inferiores al 60% que se vuelven progresivamente más pronunciadas al ganar altitud. La cota media ronda los 230 msnm; en su sector inferior se localizan el CCPP y una vía afirmada. Afloramientos rocosos en pendientes empinadas. Piedras de tamaño pequeño a mediano, SIN EVIDENCIA DE SURCOS NI CÁRCAVAS en proceso de formación. Se registró PASTOREO DE GANADO CAPRINO DE BAJA INTENSIDAD y EXTRACCIÓN DE LEÑA DE IMPACTO REDUCIDO. En la zona adyacente al CCPP se detectó AFECCIÓN LEVE, asociada principalmente a la reducción de la cobertura vegetal arbórea. ATENCIÓN: el UTM del punto de registro (645 575 · 9 393 500) es el valor por defecto de la plantilla; el centroide de catálogo es 596 773 · 9 448 270.</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M10B4</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t>
        </is>
      </c>
      <c r="B10" s="27" t="n">
        <v>168.41</v>
      </c>
      <c r="C10" s="19" t="n">
        <v>53.36</v>
      </c>
      <c r="D10" s="11" t="inlineStr">
        <is>
          <t>1398 – 2016</t>
        </is>
      </c>
      <c r="E10" s="11" t="n">
        <v>618</v>
      </c>
      <c r="F10" s="11" t="n">
        <v>33.74</v>
      </c>
      <c r="G10" s="18" t="n">
        <v>0.5381</v>
      </c>
      <c r="H10" s="19" t="n">
        <v>40.11</v>
      </c>
      <c r="I10" s="19" t="n">
        <v>35.41</v>
      </c>
    </row>
    <row r="11">
      <c r="A11" s="14" t="inlineStr">
        <is>
          <t>► M10B4</t>
        </is>
      </c>
      <c r="B11" s="28" t="n">
        <v>68.89</v>
      </c>
      <c r="C11" s="29" t="n">
        <v>21.83</v>
      </c>
      <c r="D11" s="15" t="inlineStr">
        <is>
          <t>170 – 313</t>
        </is>
      </c>
      <c r="E11" s="15" t="n">
        <v>143</v>
      </c>
      <c r="F11" s="15" t="n">
        <v>13.83</v>
      </c>
      <c r="G11" s="30" t="n">
        <v>0.3133</v>
      </c>
      <c r="H11" s="29" t="n">
        <v>0</v>
      </c>
      <c r="I11" s="29" t="n">
        <v>99.81</v>
      </c>
    </row>
    <row r="12">
      <c r="A12" s="7" t="inlineStr">
        <is>
          <t>25</t>
        </is>
      </c>
      <c r="B12" s="27" t="n">
        <v>53.48</v>
      </c>
      <c r="C12" s="19" t="n">
        <v>16.94</v>
      </c>
      <c r="D12" s="11" t="inlineStr">
        <is>
          <t>143 – 210</t>
        </is>
      </c>
      <c r="E12" s="11" t="n">
        <v>67</v>
      </c>
      <c r="F12" s="11" t="n">
        <v>11.68</v>
      </c>
      <c r="G12" s="18" t="n">
        <v>0.2565</v>
      </c>
      <c r="H12" s="19" t="inlineStr">
        <is>
          <t>Por determinar</t>
        </is>
      </c>
      <c r="I12" s="11" t="inlineStr">
        <is>
          <t>s/d</t>
        </is>
      </c>
    </row>
    <row r="13">
      <c r="A13" s="12" t="inlineStr">
        <is>
          <t>36</t>
        </is>
      </c>
      <c r="B13" s="31" t="n">
        <v>24.84</v>
      </c>
      <c r="C13" s="21" t="n">
        <v>7.87</v>
      </c>
      <c r="D13" s="13" t="inlineStr">
        <is>
          <t>1239 – 1476</t>
        </is>
      </c>
      <c r="E13" s="13" t="n">
        <v>237</v>
      </c>
      <c r="F13" s="13" t="n">
        <v>30.65</v>
      </c>
      <c r="G13" s="20" t="n">
        <v>0.5395</v>
      </c>
      <c r="H13" s="21" t="n">
        <v>49.11</v>
      </c>
      <c r="I13" s="21" t="n">
        <v>35.63</v>
      </c>
    </row>
    <row r="14">
      <c r="A14" s="16" t="inlineStr">
        <is>
          <t>TOTAL / PROMEDIO</t>
        </is>
      </c>
      <c r="B14" s="32">
        <f>SUM(B10:B13)</f>
        <v/>
      </c>
      <c r="C14" s="23">
        <f>SUM(C10:C13)</f>
        <v/>
      </c>
      <c r="D14" s="17" t="inlineStr">
        <is>
          <t>143 – 2016</t>
        </is>
      </c>
      <c r="E14" s="17" t="inlineStr"/>
      <c r="F14" s="17">
        <f>ROUND(AVERAGE(F10:F13),2)</f>
        <v/>
      </c>
      <c r="G14" s="22">
        <f>ROUND(AVERAGE(G10:G13),4)</f>
        <v/>
      </c>
      <c r="H14" s="23">
        <f>ROUND(AVERAGE(H10:H13),2)</f>
        <v/>
      </c>
      <c r="I14" s="23">
        <f>ROUND(AVERAGE(I10:I13),2)</f>
        <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41" t="n"/>
      <c r="C15" s="41" t="n"/>
      <c r="D15" s="41" t="n"/>
      <c r="E15" s="41" t="n"/>
      <c r="F15" s="41" t="n"/>
      <c r="G15" s="41" t="n"/>
      <c r="H15" s="41" t="n"/>
      <c r="I15" s="42" t="n"/>
    </row>
    <row r="17" ht="84" customHeight="1">
      <c r="A17" s="9" t="inlineStr">
        <is>
          <t>LECTURA INTRAMICROCUENCA. El bloque M10B4 ocupa el puesto 2 de 4 por superficie dentro de la microcuenca C1096-Q9547 (21.83 % de las 315.62 ha preliminares de la microcuenca). Su pendiente promedio (13.83 %, clase «8-15% (Mod. inclinado)») es la 2.ª más baja de 4 y se sitúa por debajo del promedio de la microcuenca (22.48 %). Su MSAVI 2024 (0.3133) es el 3.º de 4 y queda por debajo del promedio local (0.4119). Amplitud altitudinal del bloque: 143 m (170–313 msnm). El cuadro conserva todos los bloques catalogados en la microcuenca, incluidos los descartados en el tamizaje, para referencia del conjunto. Los bloques sin ficha DT figuran con sus parámetros de gabinete. BRECHA ESPECTRAL. El 99.81 % de la superficie del bloque (68.758 ha de 68.887 ha) se sitúa bajo el umbral MSAVI 0.4976, por encima del promedio local de la microcuenca (56.95 %) calculado sobre los bloques con dato MSAVI disponible.</t>
        </is>
      </c>
      <c r="B17" s="41" t="n"/>
      <c r="C17" s="41" t="n"/>
      <c r="D17" s="41" t="n"/>
      <c r="E17" s="41" t="n"/>
      <c r="F17" s="41" t="n"/>
      <c r="G17" s="41" t="n"/>
      <c r="H17" s="41" t="n"/>
      <c r="I17" s="42"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1" t="n"/>
      <c r="I19" s="42" t="n"/>
    </row>
  </sheetData>
  <mergeCells count="10">
    <mergeCell ref="A15:I15"/>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M10B4</t>
        </is>
      </c>
    </row>
    <row r="6">
      <c r="A6" s="52" t="inlineStr">
        <is>
          <t>Cruce de la ficha de campo F-DT vigente con la ficha de resumen de gabinete y el catálogo maestro. Integración 2026-09-11 20:22:34.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«C1096-Q9547».</t>
        </is>
      </c>
      <c r="D9" s="56" t="inlineStr">
        <is>
          <t>CONFORME</t>
        </is>
      </c>
      <c r="E9" s="56" t="inlineStr">
        <is>
          <t>Sin acción.</t>
        </is>
      </c>
    </row>
    <row r="10">
      <c r="A10" s="57" t="inlineStr">
        <is>
          <t>G-02</t>
        </is>
      </c>
      <c r="B10" s="57" t="inlineStr">
        <is>
          <t>UTM del punto de muestreo</t>
        </is>
      </c>
      <c r="C10" s="57" t="inlineStr">
        <is>
          <t>El punto de muestreo declarado dista 496.5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(177 msnm) cae dentro del rango altitudinal del bloque (170 - 313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(68.926 ha) se desvía 0.05 % de la superficie de catálogo (68.89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(68.887 ha) se desvía -0.00 % de la superficie de catálogo (68.89 ha).</t>
        </is>
      </c>
      <c r="D14" s="57" t="inlineStr">
        <is>
          <t>CONFORME</t>
        </is>
      </c>
      <c r="E14" s="57" t="inlineStr">
        <is>
          <t>Sin acción: la segmentación valida la geometría del bloque.</t>
        </is>
      </c>
    </row>
    <row r="15">
      <c r="A15" s="56" t="inlineStr">
        <is>
          <t>G-07</t>
        </is>
      </c>
      <c r="B15" s="56" t="inlineStr">
        <is>
          <t>Brecha espectral MSAVI</t>
        </is>
      </c>
      <c r="C15" s="56" t="inlineStr">
        <is>
          <t>El 99.81 % del bloque queda bajo el umbral 0.4976; superficie de brecha 68.76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68.89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(0.3133) cae en la clase «0.2650 - 0.3813 (Vigor muy bajo)» y la clase DN dominante por superficie es «DN 2 · 0.2650 - 0.3813 (Vigor muy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Comunidad campesina</t>
        </is>
      </c>
      <c r="C19" s="56" t="inlineStr">
        <is>
          <t>El libro de resumen V6 consignaba «Comunidad Campesina reconocida con título (F-DS-01); registro contradictorio con «Caserío / Anexo» en la segunda F-DS-01»; la ficha de campo vigente declara «C.C. Carlos Augusto Rivera (denominacion por verificar)».</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Rango de pendiente declarado en campo</t>
        </is>
      </c>
      <c r="C20" s="57" t="inlineStr">
        <is>
          <t>El libro de resumen V6 consignaba «No consignado en el campo de lista (narrativa: &lt;60%)»; la ficha de campo vigente declara «25-50% (Mod. escarpado)».</t>
        </is>
      </c>
      <c r="D20" s="57" t="inlineStr">
        <is>
          <t>CORREGIDO</t>
        </is>
      </c>
      <c r="E20" s="57" t="inlineStr">
        <is>
          <t>Se adopta el valor de campo por ser la fuente que manda sobre el dato y la más reciente. El valor anterior queda declarado para trazabilidad.</t>
        </is>
      </c>
    </row>
    <row r="21">
      <c r="A21" s="56" t="inlineStr">
        <is>
          <t>I-03</t>
        </is>
      </c>
      <c r="B21" s="56" t="inlineStr">
        <is>
          <t>Nivel general de erosión</t>
        </is>
      </c>
      <c r="C21" s="56" t="inlineStr">
        <is>
          <t>El libro de resumen V6 consignaba «FICHA F-DT-02 SIN CONTENIDO. Narrativa de F-DT-01: sin evidencia de surcos ni cárcavas»; la ficha de campo vigente declara «Ligera (laminar)».</t>
        </is>
      </c>
      <c r="D21" s="56" t="inlineStr">
        <is>
          <t>CORREGIDO</t>
        </is>
      </c>
      <c r="E21" s="56" t="inlineStr">
        <is>
          <t>Se adopta el valor de campo por ser la fuente que manda sobre el dato y la más reciente. El valor anterior queda declarado para trazabilidad.</t>
        </is>
      </c>
    </row>
    <row r="22">
      <c r="A22" s="57" t="inlineStr">
        <is>
          <t>I-04</t>
        </is>
      </c>
      <c r="B22" s="57" t="inlineStr">
        <is>
          <t>N.° de cárcavas registradas</t>
        </is>
      </c>
      <c r="C22" s="57" t="inlineStr">
        <is>
          <t>El libro de resumen V6 consignaba «No inventariadas (F-DT-02 sin contenido)»; la ficha de campo vigente declara «0».</t>
        </is>
      </c>
      <c r="D22" s="57" t="inlineStr">
        <is>
          <t>CORREGIDO</t>
        </is>
      </c>
      <c r="E22" s="57" t="inlineStr">
        <is>
          <t>Se adopta el valor de campo por ser la fuente que manda sobre el dato y la más reciente. El valor anterior queda declarado para trazabilidad.</t>
        </is>
      </c>
    </row>
    <row r="23">
      <c r="A23" s="56" t="inlineStr">
        <is>
          <t>I-05</t>
        </is>
      </c>
      <c r="B23" s="56" t="inlineStr">
        <is>
          <t>Parcela de muestreo</t>
        </is>
      </c>
      <c r="C23" s="56" t="inlineStr">
        <is>
          <t>El libro de resumen V6 consignaba «Sin registro en ficha»; la ficha de campo vigente declara «S/R - por verificar».</t>
        </is>
      </c>
      <c r="D23" s="56" t="inlineStr">
        <is>
          <t>CORREGIDO</t>
        </is>
      </c>
      <c r="E23" s="56" t="inlineStr">
        <is>
          <t>Se adopta el valor de campo por ser la fuente que manda sobre el dato y la más reciente. El valor anterior queda declarado para trazabilidad.</t>
        </is>
      </c>
    </row>
    <row r="24">
      <c r="A24" s="57" t="inlineStr">
        <is>
          <t>I-06</t>
        </is>
      </c>
      <c r="B24" s="57" t="inlineStr">
        <is>
          <t>Elenco florístico (n.o de taxones)</t>
        </is>
      </c>
      <c r="C24" s="57" t="inlineStr">
        <is>
          <t>El libro de resumen V6 consignaba «5»; la ficha de campo vigente declara «6».</t>
        </is>
      </c>
      <c r="D24" s="57" t="inlineStr">
        <is>
          <t>CORREGIDO</t>
        </is>
      </c>
      <c r="E24" s="57" t="inlineStr">
        <is>
          <t>Se adopta el valor de campo por ser la fuente que manda sobre el dato y la más reciente. El valor anterior queda declarado para trazabilidad.</t>
        </is>
      </c>
    </row>
    <row r="25">
      <c r="A25" s="56" t="inlineStr">
        <is>
          <t>I-07</t>
        </is>
      </c>
      <c r="B25" s="56" t="inlineStr">
        <is>
          <t>Causa subyacente principal</t>
        </is>
      </c>
      <c r="C25" s="56" t="inlineStr">
        <is>
          <t>El libro de resumen V6 consignaba «No consignada en la ficha»; la ficha de campo vigente declara «Dependencia energetica domestica de la lena y ausencia de alternativas de manejo pecuario; proximidad inmediata del bloque al CCPP (150 m a…».</t>
        </is>
      </c>
      <c r="D25" s="56" t="inlineStr">
        <is>
          <t>CORREGIDO</t>
        </is>
      </c>
      <c r="E25" s="56" t="inlineStr">
        <is>
          <t>Se adopta el valor de campo por ser la fuente que manda sobre el dato y la más reciente. El valor anterior queda declarado para trazabilidad.</t>
        </is>
      </c>
    </row>
    <row r="26">
      <c r="A26" s="57" t="inlineStr">
        <is>
          <t>I-08</t>
        </is>
      </c>
      <c r="B26" s="57" t="inlineStr">
        <is>
          <t>Zona de recarga hídrica</t>
        </is>
      </c>
      <c r="C26" s="57" t="inlineStr">
        <is>
          <t>El libro de resumen V6 consignaba «Sin registro en ficha»; la ficha de campo vigente declara «No».</t>
        </is>
      </c>
      <c r="D26" s="57" t="inlineStr">
        <is>
          <t>CORREGIDO</t>
        </is>
      </c>
      <c r="E26" s="57" t="inlineStr">
        <is>
          <t>Se adopta el valor de campo por ser la fuente que manda sobre el dato y la más reciente. El valor anterior queda declarado para trazabilidad.</t>
        </is>
      </c>
    </row>
    <row r="27">
      <c r="A27" s="56" t="inlineStr">
        <is>
          <t>I-09</t>
        </is>
      </c>
      <c r="B27" s="56" t="inlineStr">
        <is>
          <t>Modalidad de acceso</t>
        </is>
      </c>
      <c r="C27" s="56" t="inlineStr">
        <is>
          <t>El libro de resumen V6 consignaba «Sin registro en ficha»; la ficha de campo vigente declara «Vehicular + caminata &lt;30 min».</t>
        </is>
      </c>
      <c r="D27" s="56" t="inlineStr">
        <is>
          <t>CORREGIDO</t>
        </is>
      </c>
      <c r="E27" s="56" t="inlineStr">
        <is>
          <t>Se adopta el valor de campo por ser la fuente que manda sobre el dato y la más reciente. El valor anterior queda declarado para trazabilidad.</t>
        </is>
      </c>
    </row>
    <row r="28">
      <c r="A28" s="57" t="inlineStr">
        <is>
          <t>I-10</t>
        </is>
      </c>
      <c r="B28" s="57" t="inlineStr">
        <is>
          <t>Responsable de la evaluación</t>
        </is>
      </c>
      <c r="C28" s="57" t="inlineStr">
        <is>
          <t>El libro de resumen V6 consignaba «Juan Domínguez»; la ficha de campo vigente declara «Ing. Juan Carlos Dominguez Varas; Ing. Pedro Talledo Hernandez; Blgo. Abel Aucasime Orihuela; Sr. Cristhian Camacho».</t>
        </is>
      </c>
      <c r="D28" s="57" t="inlineStr">
        <is>
          <t>CORREGIDO</t>
        </is>
      </c>
      <c r="E28" s="57" t="inlineStr">
        <is>
          <t>Se adopta el valor de campo por ser la fuente que manda sobre el dato y la más reciente. El valor anterior queda declarado para trazabilidad.</t>
        </is>
      </c>
    </row>
    <row r="29">
      <c r="A29" s="56" t="inlineStr">
        <is>
          <t>I-11</t>
        </is>
      </c>
      <c r="B29" s="56" t="inlineStr">
        <is>
          <t>Correlativo de ficha</t>
        </is>
      </c>
      <c r="C29" s="56" t="inlineStr">
        <is>
          <t>El libro de resumen V6 consignaba «Sin registro en ficha»; la ficha de campo vigente declara «01».</t>
        </is>
      </c>
      <c r="D29" s="56" t="inlineStr">
        <is>
          <t>CORREGIDO</t>
        </is>
      </c>
      <c r="E29" s="56" t="inlineStr">
        <is>
          <t>Se adopta el valor de campo por ser la fuente que manda sobre el dato y la más reciente. El valor anterior queda declarado para trazabilidad.</t>
        </is>
      </c>
    </row>
    <row r="30">
      <c r="A30" s="57" t="inlineStr">
        <is>
          <t>F-01</t>
        </is>
      </c>
      <c r="B30" s="57" t="inlineStr">
        <is>
          <t>Fichas F-DT levantadas</t>
        </is>
      </c>
      <c r="C30" s="57" t="inlineStr">
        <is>
          <t>La plantilla de campo trae las cinco fichas F-DT-01 a F-DT-05 (completitud 100.0 % de los campos esperados).</t>
        </is>
      </c>
      <c r="D30" s="57" t="inlineStr">
        <is>
          <t>CONFORME</t>
        </is>
      </c>
      <c r="E30" s="57" t="inlineStr">
        <is>
          <t>Sin acción.</t>
        </is>
      </c>
    </row>
    <row r="31">
      <c r="A31" s="56" t="inlineStr">
        <is>
          <t>F-02</t>
        </is>
      </c>
      <c r="B31" s="56" t="inlineStr">
        <is>
          <t>Cobertura de la integración</t>
        </is>
      </c>
      <c r="C31" s="56" t="inlineStr">
        <is>
          <t>Se declararon 102 de 114 hechos integrados (89.5 %); 12 quedan sin dato en ninguna fuente.</t>
        </is>
      </c>
      <c r="D31" s="56" t="inlineStr">
        <is>
          <t>CONFORME</t>
        </is>
      </c>
      <c r="E31" s="56" t="inlineStr">
        <is>
          <t>Sin acción.</t>
        </is>
      </c>
    </row>
    <row r="32">
      <c r="A32" s="57" t="inlineStr">
        <is>
          <t>H-01</t>
        </is>
      </c>
      <c r="B32" s="57" t="inlineStr">
        <is>
          <t>Rango de pendiente dominante</t>
        </is>
      </c>
      <c r="C32" s="57" t="inlineStr">
        <is>
          <t>La ficha DT declara «No consignado en el campo de lista (narrativa: &lt;60%)»; la estadística zonal sobre el MDE arroja una pendiente promedio de 13.83 %, que corresponde a la clase «8-15% (Mod. inclinado)»</t>
        </is>
      </c>
      <c r="D32" s="57" t="inlineStr">
        <is>
          <t>NO SUSTANTIVA</t>
        </is>
      </c>
      <c r="E3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33">
      <c r="A33" s="56" t="inlineStr">
        <is>
          <t>H-02</t>
        </is>
      </c>
      <c r="B33" s="56" t="inlineStr">
        <is>
          <t>Dimensiones del inventario de cárcavas</t>
        </is>
      </c>
      <c r="C33" s="56" t="inlineStr">
        <is>
          <t>Se registran No inventariadas (F-DT-02 sin contenido) rasgos erosivos, pero longitud, profundidad y ancho no fueron medidos instrumentalmente</t>
        </is>
      </c>
      <c r="D33" s="56" t="inlineStr">
        <is>
          <t>NO SUSTANTIVA</t>
        </is>
      </c>
      <c r="E33" s="56" t="inlineStr">
        <is>
          <t>El conteo registrado no debe usarse para calcular densidad de cárcavas por hectárea. Pendiente de levantamiento con GPS submétrico. (Verificación heredada de la ficha de resumen V6.)</t>
        </is>
      </c>
    </row>
    <row r="34">
      <c r="A34" s="57" t="inlineStr">
        <is>
          <t>H-03</t>
        </is>
      </c>
      <c r="B34" s="57" t="inlineStr">
        <is>
          <t>Representatividad del levantamiento</t>
        </is>
      </c>
      <c r="C34" s="57" t="inlineStr">
        <is>
          <t>Ninguna de las estaciones fotográficas georreferenciadas se localiza dentro del polígono del bloque</t>
        </is>
      </c>
      <c r="D34" s="57" t="inlineStr">
        <is>
          <t>SUSTANTIVA</t>
        </is>
      </c>
      <c r="E34" s="57" t="inlineStr">
        <is>
          <t>La verificación documenta el perímetro y la vista panorámica del bloque, no su interior. Los parámetros que exigen recorrido interno se consignan «Por determinar». (Verificación heredada de la ficha de resumen V6.)</t>
        </is>
      </c>
    </row>
    <row r="35">
      <c r="A35" s="56" t="inlineStr">
        <is>
          <t>H-04</t>
        </is>
      </c>
      <c r="B35" s="56" t="inlineStr">
        <is>
          <t>Centro poblado asociado</t>
        </is>
      </c>
      <c r="C35" s="56" t="inlineStr">
        <is>
          <t>La ficha DT declara «Río Seco Alto»; el cruce INEI-Bloques V5 identifica 1 centro(s) poblado(s) en el bloque: RIO SECO ALTO</t>
        </is>
      </c>
      <c r="D35" s="56" t="inlineStr">
        <is>
          <t>NO SUSTANTIVA</t>
        </is>
      </c>
      <c r="E35" s="56" t="inlineStr">
        <is>
          <t>Se conserva el registro de campo como referencia y se adopta el listado INEI para el diagnóstico social y el cálculo de población beneficiaria. (Verificación heredada de la ficha de resumen V6.)</t>
        </is>
      </c>
    </row>
    <row r="36">
      <c r="A36" s="57" t="inlineStr">
        <is>
          <t>H-05</t>
        </is>
      </c>
      <c r="B36" s="57" t="inlineStr">
        <is>
          <t>Ficha DT</t>
        </is>
      </c>
      <c r="C36" s="57" t="inlineStr">
        <is>
          <t>La ficha consigna microcuenca C1076-Q9584; el catálogo maestro asigna a M10B4 la microcuenca C1096-Q9547</t>
        </is>
      </c>
      <c r="D36" s="57" t="inlineStr">
        <is>
          <t>SUSTANTIVA</t>
        </is>
      </c>
      <c r="E36" s="57" t="inlineStr">
        <is>
          <t>Valor por defecto de la plantilla; se conserva el del catálogo (Verificación heredada de la ficha de resumen V6.)</t>
        </is>
      </c>
    </row>
    <row r="37">
      <c r="A37" s="56" t="inlineStr">
        <is>
          <t>H-06</t>
        </is>
      </c>
      <c r="B37" s="56" t="inlineStr">
        <is>
          <t>Plan de Ingreso</t>
        </is>
      </c>
      <c r="C37" s="56" t="inlineStr">
        <is>
          <t>Altitud = 0 msnm (captura por defecto del aplicativo)</t>
        </is>
      </c>
      <c r="D37" s="56" t="inlineStr">
        <is>
          <t>CORREGIDO</t>
        </is>
      </c>
      <c r="E37" s="56" t="inlineStr">
        <is>
          <t>Se reemplaza por la altitud GPS de campo (177 msnm) (Verificación heredada de la ficha de resumen V6.)</t>
        </is>
      </c>
    </row>
    <row r="38">
      <c r="A38" s="57" t="inlineStr">
        <is>
          <t>H-07</t>
        </is>
      </c>
      <c r="B38" s="57" t="inlineStr">
        <is>
          <t>F-DT-01</t>
        </is>
      </c>
      <c r="C38" s="57" t="inlineStr">
        <is>
          <t>Rango de pendiente no consignado en el campo de lista</t>
        </is>
      </c>
      <c r="D38" s="57" t="inlineStr">
        <is>
          <t>NO SUSTANTIVA</t>
        </is>
      </c>
      <c r="E38" s="57" t="inlineStr">
        <is>
          <t>Completar (Verificación heredada de la ficha de resumen V6.)</t>
        </is>
      </c>
    </row>
    <row r="39">
      <c r="A39" s="56" t="inlineStr">
        <is>
          <t>H-08</t>
        </is>
      </c>
      <c r="B39" s="56" t="inlineStr">
        <is>
          <t>F-DT-02</t>
        </is>
      </c>
      <c r="C39" s="56" t="inlineStr">
        <is>
          <t>Sección SIN CONTENIDO en el documento de origen</t>
        </is>
      </c>
      <c r="D39" s="56" t="inlineStr">
        <is>
          <t>SUSTANTIVA</t>
        </is>
      </c>
      <c r="E39" s="56" t="inlineStr">
        <is>
          <t>Levantamiento pendiente en su totalidad (Verificación heredada de la ficha de resumen V6.)</t>
        </is>
      </c>
    </row>
    <row r="40">
      <c r="A40" s="57" t="inlineStr">
        <is>
          <t>H-09</t>
        </is>
      </c>
      <c r="B40" s="57" t="inlineStr">
        <is>
          <t>F-DT-03</t>
        </is>
      </c>
      <c r="C40" s="57" t="inlineStr">
        <is>
          <t>Solo 5 taxones registrados, sin nombre científico ni familia, frente al mínimo de 15</t>
        </is>
      </c>
      <c r="D40" s="57" t="inlineStr">
        <is>
          <t>SUSTANTIVA</t>
        </is>
      </c>
      <c r="E40" s="57" t="inlineStr">
        <is>
          <t>Inventario florístico incompleto (Verificación heredada de la ficha de resumen V6.)</t>
        </is>
      </c>
    </row>
    <row r="41">
      <c r="A41" s="56" t="inlineStr">
        <is>
          <t>H-10</t>
        </is>
      </c>
      <c r="B41" s="56" t="inlineStr">
        <is>
          <t>F-DT-04</t>
        </is>
      </c>
      <c r="C41" s="56" t="inlineStr">
        <is>
          <t>Densidad de cárcavas 1 N.°/ha pese a declararse que no hay cárcavas y a no existir inventario</t>
        </is>
      </c>
      <c r="D41" s="56" t="inlineStr">
        <is>
          <t>SUSTANTIVA</t>
        </is>
      </c>
      <c r="E41" s="56" t="inlineStr">
        <is>
          <t>Inconsistencia interna a resolver (Verificación heredada de la ficha de resumen V6.)</t>
        </is>
      </c>
    </row>
    <row r="42">
      <c r="A42" s="57" t="inlineStr">
        <is>
          <t>H-11</t>
        </is>
      </c>
      <c r="B42" s="57" t="inlineStr">
        <is>
          <t>F-DT-05</t>
        </is>
      </c>
      <c r="C42" s="57" t="inlineStr">
        <is>
          <t>Ficha no diligenciada: inventario hídrico vacío y accesibilidad sin consignar</t>
        </is>
      </c>
      <c r="D42" s="57" t="inlineStr">
        <is>
          <t>SUSTANTIVA</t>
        </is>
      </c>
      <c r="E42" s="57" t="inlineStr">
        <is>
          <t>Levantamiento pendiente (Verificación heredada de la ficha de resumen V6.)</t>
        </is>
      </c>
    </row>
    <row r="43">
      <c r="A43" s="56" t="inlineStr">
        <is>
          <t>H-12</t>
        </is>
      </c>
      <c r="B43" s="56" t="inlineStr">
        <is>
          <t>F-DS-01</t>
        </is>
      </c>
      <c r="C43" s="56" t="inlineStr">
        <is>
          <t>Contradicción entre las dos fichas sociales: «Comunidad Campesina reconocida con título» vs. «Caserío / Anexo»</t>
        </is>
      </c>
      <c r="D43" s="56" t="inlineStr">
        <is>
          <t>SUSTANTIVA</t>
        </is>
      </c>
      <c r="E43" s="56" t="inlineStr">
        <is>
          <t>Condiciona el tamizaje predial: resolver (Verificación heredada de la ficha de resumen V6.)</t>
        </is>
      </c>
    </row>
    <row r="45">
      <c r="A45" s="58" t="inlineStr">
        <is>
          <t>RESUMEN</t>
        </is>
      </c>
      <c r="B45" s="59" t="inlineStr">
        <is>
          <t>35 verificaciones</t>
        </is>
      </c>
      <c r="C45" s="59" t="inlineStr">
        <is>
          <t>SUSTANTIVA: 8 · NO SUSTANTIVA: 4 · CORREGIDO: 12 · CONFORME: 11</t>
        </is>
      </c>
    </row>
    <row r="47">
      <c r="A4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47:E47"/>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M10B4</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Comunidad campesina</t>
        </is>
      </c>
      <c r="C9" s="56" t="inlineStr">
        <is>
          <t>Comunidad Campesina reconocida con título (F-DS-01); registro contradictorio con «Caserío / Anexo» en la segunda F-DS-01</t>
        </is>
      </c>
      <c r="D9" s="56" t="inlineStr">
        <is>
          <t>C.C. Carlos Augusto Rivera (denominacion por verificar)</t>
        </is>
      </c>
      <c r="E9" s="56" t="inlineStr">
        <is>
          <t>Dato de campo</t>
        </is>
      </c>
    </row>
    <row r="10">
      <c r="A10" s="57" t="inlineStr">
        <is>
          <t>2. Parámetros físicos del terreno</t>
        </is>
      </c>
      <c r="B10" s="57" t="inlineStr">
        <is>
          <t>Rango de pendiente declarado en campo</t>
        </is>
      </c>
      <c r="C10" s="57" t="inlineStr">
        <is>
          <t>No consignado en el campo de lista (narrativa: &lt;60%)</t>
        </is>
      </c>
      <c r="D10" s="57" t="inlineStr">
        <is>
          <t>25-50% (Mod. escarpado)</t>
        </is>
      </c>
      <c r="E10" s="57" t="inlineStr">
        <is>
          <t>Dato de campo</t>
        </is>
      </c>
    </row>
    <row r="11">
      <c r="A11" s="56" t="inlineStr">
        <is>
          <t>4. Suelos y erosión (F-DT-02)</t>
        </is>
      </c>
      <c r="B11" s="56" t="inlineStr">
        <is>
          <t>Nivel general de erosión</t>
        </is>
      </c>
      <c r="C11" s="56" t="inlineStr">
        <is>
          <t>FICHA F-DT-02 SIN CONTENIDO. Narrativa de F-DT-01: sin evidencia de surcos ni cárcavas</t>
        </is>
      </c>
      <c r="D11" s="56" t="inlineStr">
        <is>
          <t>Ligera (laminar)</t>
        </is>
      </c>
      <c r="E11" s="56" t="inlineStr">
        <is>
          <t>Dato de campo</t>
        </is>
      </c>
    </row>
    <row r="12">
      <c r="A12" s="57" t="inlineStr">
        <is>
          <t>4. Suelos y erosión (F-DT-02)</t>
        </is>
      </c>
      <c r="B12" s="57" t="inlineStr">
        <is>
          <t>N.° de cárcavas registradas</t>
        </is>
      </c>
      <c r="C12" s="57" t="inlineStr">
        <is>
          <t>No inventariadas (F-DT-02 sin contenido)</t>
        </is>
      </c>
      <c r="D12" s="57" t="inlineStr">
        <is>
          <t>0</t>
        </is>
      </c>
      <c r="E12" s="57" t="inlineStr">
        <is>
          <t>Dato de campo</t>
        </is>
      </c>
    </row>
    <row r="13">
      <c r="A13" s="56" t="inlineStr">
        <is>
          <t>5. Ecosistema, cobertura y flora (F-DT-03)</t>
        </is>
      </c>
      <c r="B13" s="56" t="inlineStr">
        <is>
          <t>Parcela de muestreo</t>
        </is>
      </c>
      <c r="C13" s="56" t="inlineStr">
        <is>
          <t>Sin registro en ficha</t>
        </is>
      </c>
      <c r="D13" s="56" t="inlineStr">
        <is>
          <t>S/R - por verificar</t>
        </is>
      </c>
      <c r="E13" s="56" t="inlineStr">
        <is>
          <t>Dato de campo</t>
        </is>
      </c>
    </row>
    <row r="14">
      <c r="A14" s="57" t="inlineStr">
        <is>
          <t>5. Ecosistema, cobertura y flora (F-DT-03)</t>
        </is>
      </c>
      <c r="B14" s="57" t="inlineStr">
        <is>
          <t>Elenco florístico (n.o de taxones)</t>
        </is>
      </c>
      <c r="C14" s="57" t="inlineStr">
        <is>
          <t>5</t>
        </is>
      </c>
      <c r="D14" s="57" t="inlineStr">
        <is>
          <t>6</t>
        </is>
      </c>
      <c r="E14" s="57" t="inlineStr">
        <is>
          <t>Dato de campo</t>
        </is>
      </c>
    </row>
    <row r="15">
      <c r="A15" s="56" t="inlineStr">
        <is>
          <t>6. Degradación, causas y urgencia (F-DT-04)</t>
        </is>
      </c>
      <c r="B15" s="56" t="inlineStr">
        <is>
          <t>Causa subyacente principal</t>
        </is>
      </c>
      <c r="C15" s="56" t="inlineStr">
        <is>
          <t>No consignada en la ficha</t>
        </is>
      </c>
      <c r="D15" s="56" t="inlineStr">
        <is>
          <t>Dependencia energetica domestica de la lena y ausencia de alternativas de manejo pecuario; proximidad inmediata del bloque al CCPP (150 m a la via vecinal PI-778).</t>
        </is>
      </c>
      <c r="E15" s="56" t="inlineStr">
        <is>
          <t>Dato de campo</t>
        </is>
      </c>
    </row>
    <row r="16">
      <c r="A16" s="57" t="inlineStr">
        <is>
          <t>7. Hidrología, acceso y logística (F-DT-05)</t>
        </is>
      </c>
      <c r="B16" s="57" t="inlineStr">
        <is>
          <t>Zona de recarga hídrica</t>
        </is>
      </c>
      <c r="C16" s="57" t="inlineStr">
        <is>
          <t>Sin registro en ficha</t>
        </is>
      </c>
      <c r="D16" s="57" t="inlineStr">
        <is>
          <t>No</t>
        </is>
      </c>
      <c r="E16" s="57" t="inlineStr">
        <is>
          <t>Dato de campo</t>
        </is>
      </c>
    </row>
    <row r="17">
      <c r="A17" s="56" t="inlineStr">
        <is>
          <t>7. Hidrología, acceso y logística (F-DT-05)</t>
        </is>
      </c>
      <c r="B17" s="56" t="inlineStr">
        <is>
          <t>Modalidad de acceso</t>
        </is>
      </c>
      <c r="C17" s="56" t="inlineStr">
        <is>
          <t>Sin registro en ficha</t>
        </is>
      </c>
      <c r="D17" s="56" t="inlineStr">
        <is>
          <t>Vehicular + caminata &lt;30 min</t>
        </is>
      </c>
      <c r="E17" s="56" t="inlineStr">
        <is>
          <t>Dato de campo</t>
        </is>
      </c>
    </row>
    <row r="18">
      <c r="A18" s="57" t="inlineStr">
        <is>
          <t>8. Responsable y modalidad de la evaluación</t>
        </is>
      </c>
      <c r="B18" s="57" t="inlineStr">
        <is>
          <t>Responsable de la evaluación</t>
        </is>
      </c>
      <c r="C18" s="57" t="inlineStr">
        <is>
          <t>Juan Domínguez</t>
        </is>
      </c>
      <c r="D18" s="57" t="inlineStr">
        <is>
          <t>Ing. Juan Carlos Dominguez Varas; Ing. Pedro Talledo Hernandez; Blgo. Abel Aucasime Orihuela; Sr. Cristhian Camacho</t>
        </is>
      </c>
      <c r="E18" s="57" t="inlineStr">
        <is>
          <t>Dato de campo</t>
        </is>
      </c>
    </row>
    <row r="19">
      <c r="A19" s="56" t="inlineStr">
        <is>
          <t>8. Responsable y modalidad de la evaluación</t>
        </is>
      </c>
      <c r="B19" s="56" t="inlineStr">
        <is>
          <t>Correlativo de ficha</t>
        </is>
      </c>
      <c r="C19" s="56" t="inlineStr">
        <is>
          <t>Sin registro en ficha</t>
        </is>
      </c>
      <c r="D19" s="56" t="inlineStr">
        <is>
          <t>01</t>
        </is>
      </c>
      <c r="E19" s="56" t="inlineStr">
        <is>
          <t>Dato de campo</t>
        </is>
      </c>
    </row>
    <row r="21">
      <c r="A21" s="54" t="inlineStr">
        <is>
          <t>B. HECHOS APORTADOS ÚNICAMENTE POR LA FICHA DE CAMPO</t>
        </is>
      </c>
    </row>
    <row r="22">
      <c r="A22" s="55" t="inlineStr">
        <is>
          <t>Sección</t>
        </is>
      </c>
      <c r="B22" s="55" t="inlineStr">
        <is>
          <t>Hecho</t>
        </is>
      </c>
      <c r="C22" s="55" t="inlineStr">
        <is>
          <t>Valor</t>
        </is>
      </c>
      <c r="D22" s="55" t="inlineStr">
        <is>
          <t>Unidad</t>
        </is>
      </c>
    </row>
    <row r="23">
      <c r="A23" s="56" t="inlineStr">
        <is>
          <t>1. Identificación y localización</t>
        </is>
      </c>
      <c r="B23" s="56" t="inlineStr">
        <is>
          <t>UTM ESTE del punto de muestreo (m)</t>
        </is>
      </c>
      <c r="C23" s="56" t="inlineStr">
        <is>
          <t>596933</t>
        </is>
      </c>
      <c r="D23" s="56" t="inlineStr">
        <is>
          <t>m</t>
        </is>
      </c>
    </row>
    <row r="24">
      <c r="A24" s="57" t="inlineStr">
        <is>
          <t>1. Identificación y localización</t>
        </is>
      </c>
      <c r="B24" s="57" t="inlineStr">
        <is>
          <t>UTM NORTE del punto de muestreo (m)</t>
        </is>
      </c>
      <c r="C24" s="57" t="inlineStr">
        <is>
          <t>9447803</t>
        </is>
      </c>
      <c r="D24" s="57" t="inlineStr">
        <is>
          <t>m</t>
        </is>
      </c>
    </row>
    <row r="25">
      <c r="A25" s="56" t="inlineStr">
        <is>
          <t>2. Parámetros físicos del terreno</t>
        </is>
      </c>
      <c r="B25" s="56" t="inlineStr">
        <is>
          <t>Altitud GPS del punto de muestreo (msnm)</t>
        </is>
      </c>
      <c r="C25" s="56" t="inlineStr">
        <is>
          <t>177</t>
        </is>
      </c>
      <c r="D25" s="56" t="inlineStr">
        <is>
          <t>msnm</t>
        </is>
      </c>
    </row>
    <row r="26">
      <c r="A26" s="57" t="inlineStr">
        <is>
          <t>2. Parámetros físicos del terreno</t>
        </is>
      </c>
      <c r="B26" s="57" t="inlineStr">
        <is>
          <t>Piso altitudinal del punto de muestreo</t>
        </is>
      </c>
      <c r="C26" s="57" t="inlineStr">
        <is>
          <t>&lt;1000 m (Yunga)</t>
        </is>
      </c>
      <c r="D26" s="57" t="inlineStr"/>
    </row>
    <row r="27">
      <c r="A27" s="56" t="inlineStr">
        <is>
          <t>2. Parámetros físicos del terreno</t>
        </is>
      </c>
      <c r="B27" s="56" t="inlineStr">
        <is>
          <t>Paisaje dominante descrito en campo</t>
        </is>
      </c>
      <c r="C27" s="56" t="inlineStr">
        <is>
          <t>Sistema de laderas convexo-concavas tributarias de la quebrada Q9547 (microcuenca C1096-Q9547), con cotas de 170 a 313 m s.n.m. y desniveles internos de hasta 143 m. Ladera media dominada por bosque estacionalmente seco de colina y montana (Bes-cm), con afloramientos rocosos en los tramos de mayor pendiente. En el sector inferior (SO del poligono) se emplaza el CCPP Rio Seco Alto y la via vecinal PI-778.</t>
        </is>
      </c>
      <c r="D27" s="56" t="inlineStr"/>
    </row>
    <row r="28">
      <c r="A28" s="57" t="inlineStr">
        <is>
          <t>2. Parámetros físicos del terreno</t>
        </is>
      </c>
      <c r="B28" s="57" t="inlineStr">
        <is>
          <t>Reptación de suelo</t>
        </is>
      </c>
      <c r="C28" s="57" t="inlineStr">
        <is>
          <t>No</t>
        </is>
      </c>
      <c r="D28" s="57" t="inlineStr"/>
    </row>
    <row r="29">
      <c r="A29" s="56" t="inlineStr">
        <is>
          <t>2. Parámetros físicos del terreno</t>
        </is>
      </c>
      <c r="B29" s="56" t="inlineStr">
        <is>
          <t>Deslizamientos antiguos</t>
        </is>
      </c>
      <c r="C29" s="56" t="inlineStr">
        <is>
          <t>No</t>
        </is>
      </c>
      <c r="D29" s="56" t="inlineStr"/>
    </row>
    <row r="30">
      <c r="A30" s="57" t="inlineStr">
        <is>
          <t>4. Suelos y erosión (F-DT-02)</t>
        </is>
      </c>
      <c r="B30" s="57" t="inlineStr">
        <is>
          <t>Nivel de erosión - síntesis de campo</t>
        </is>
      </c>
      <c r="C30" s="57" t="inlineStr">
        <is>
          <t>Ligera (laminar)</t>
        </is>
      </c>
      <c r="D30" s="57" t="inlineStr"/>
    </row>
    <row r="31">
      <c r="A31" s="56" t="inlineStr">
        <is>
          <t>4. Suelos y erosión (F-DT-02)</t>
        </is>
      </c>
      <c r="B31" s="56" t="inlineStr">
        <is>
          <t>Sellamiento / costra superficial</t>
        </is>
      </c>
      <c r="C31" s="56" t="inlineStr">
        <is>
          <t>No</t>
        </is>
      </c>
      <c r="D31" s="56" t="inlineStr"/>
    </row>
    <row r="32">
      <c r="A32" s="57" t="inlineStr">
        <is>
          <t>4. Suelos y erosión (F-DT-02)</t>
        </is>
      </c>
      <c r="B32" s="57" t="inlineStr">
        <is>
          <t>Compactación por pisoteo</t>
        </is>
      </c>
      <c r="C32" s="57" t="inlineStr">
        <is>
          <t>No</t>
        </is>
      </c>
      <c r="D32" s="57" t="inlineStr"/>
    </row>
    <row r="33">
      <c r="A33" s="56" t="inlineStr">
        <is>
          <t>4. Suelos y erosión (F-DT-02)</t>
        </is>
      </c>
      <c r="B33" s="56" t="inlineStr">
        <is>
          <t>Raíces expuestas</t>
        </is>
      </c>
      <c r="C33" s="56" t="inlineStr">
        <is>
          <t>No</t>
        </is>
      </c>
      <c r="D33" s="56" t="inlineStr"/>
    </row>
    <row r="34">
      <c r="A34" s="57" t="inlineStr">
        <is>
          <t>4. Suelos y erosión (F-DT-02)</t>
        </is>
      </c>
      <c r="B34" s="57" t="inlineStr">
        <is>
          <t>Longitud total de cárcavas (m)</t>
        </is>
      </c>
      <c r="C34" s="57" t="inlineStr">
        <is>
          <t>0</t>
        </is>
      </c>
      <c r="D34" s="57" t="inlineStr">
        <is>
          <t>m</t>
        </is>
      </c>
    </row>
    <row r="35">
      <c r="A35" s="56" t="inlineStr">
        <is>
          <t>4. Suelos y erosión (F-DT-02)</t>
        </is>
      </c>
      <c r="B35" s="56" t="inlineStr">
        <is>
          <t>% del bloque afectado por cárcavas</t>
        </is>
      </c>
      <c r="C35" s="56" t="inlineStr">
        <is>
          <t>0</t>
        </is>
      </c>
      <c r="D35" s="56" t="inlineStr">
        <is>
          <t>%</t>
        </is>
      </c>
    </row>
    <row r="36">
      <c r="A36" s="57" t="inlineStr">
        <is>
          <t>4. Suelos y erosión (F-DT-02)</t>
        </is>
      </c>
      <c r="B36" s="57" t="inlineStr">
        <is>
          <t>Erosión laminar (% del bloque)</t>
        </is>
      </c>
      <c r="C36" s="57" t="inlineStr">
        <is>
          <t>5</t>
        </is>
      </c>
      <c r="D36" s="57" t="inlineStr">
        <is>
          <t>%</t>
        </is>
      </c>
    </row>
    <row r="37">
      <c r="A37" s="56" t="inlineStr">
        <is>
          <t>4. Suelos y erosión (F-DT-02)</t>
        </is>
      </c>
      <c r="B37" s="56" t="inlineStr">
        <is>
          <t>Socavamiento de cauce</t>
        </is>
      </c>
      <c r="C37" s="56" t="inlineStr">
        <is>
          <t>No</t>
        </is>
      </c>
      <c r="D37" s="56" t="inlineStr"/>
    </row>
    <row r="38">
      <c r="A38" s="57" t="inlineStr">
        <is>
          <t>5. Ecosistema, cobertura y flora (F-DT-03)</t>
        </is>
      </c>
      <c r="B38" s="57" t="inlineStr">
        <is>
          <t>Cobertura del dosel (%)</t>
        </is>
      </c>
      <c r="C38" s="57" t="inlineStr">
        <is>
          <t>90</t>
        </is>
      </c>
      <c r="D38" s="57" t="inlineStr">
        <is>
          <t>%</t>
        </is>
      </c>
    </row>
    <row r="39">
      <c r="A39" s="56" t="inlineStr">
        <is>
          <t>5. Ecosistema, cobertura y flora (F-DT-03)</t>
        </is>
      </c>
      <c r="B39" s="56" t="inlineStr">
        <is>
          <t>Cobertura arbustiva (%)</t>
        </is>
      </c>
      <c r="C39" s="56" t="inlineStr">
        <is>
          <t>20</t>
        </is>
      </c>
      <c r="D39" s="56" t="inlineStr">
        <is>
          <t>%</t>
        </is>
      </c>
    </row>
    <row r="40">
      <c r="A40" s="57" t="inlineStr">
        <is>
          <t>5. Ecosistema, cobertura y flora (F-DT-03)</t>
        </is>
      </c>
      <c r="B40" s="57" t="inlineStr">
        <is>
          <t>Cobertura herbácea (%)</t>
        </is>
      </c>
      <c r="C40" s="57" t="inlineStr">
        <is>
          <t>10</t>
        </is>
      </c>
      <c r="D40" s="57" t="inlineStr">
        <is>
          <t>%</t>
        </is>
      </c>
    </row>
    <row r="41">
      <c r="A41" s="56" t="inlineStr">
        <is>
          <t>5. Ecosistema, cobertura y flora (F-DT-03)</t>
        </is>
      </c>
      <c r="B41" s="56" t="inlineStr">
        <is>
          <t>Cobertura de hojarasca (%)</t>
        </is>
      </c>
      <c r="C41" s="56" t="inlineStr">
        <is>
          <t>5</t>
        </is>
      </c>
      <c r="D41" s="56" t="inlineStr">
        <is>
          <t>%</t>
        </is>
      </c>
    </row>
    <row r="42">
      <c r="A42" s="57" t="inlineStr">
        <is>
          <t>5. Ecosistema, cobertura y flora (F-DT-03)</t>
        </is>
      </c>
      <c r="B42" s="57" t="inlineStr">
        <is>
          <t>Altura del estrato dominante (m)</t>
        </is>
      </c>
      <c r="C42" s="57" t="inlineStr">
        <is>
          <t>8</t>
        </is>
      </c>
      <c r="D42" s="57" t="inlineStr">
        <is>
          <t>m</t>
        </is>
      </c>
    </row>
    <row r="43">
      <c r="A43" s="56" t="inlineStr">
        <is>
          <t>5. Ecosistema, cobertura y flora (F-DT-03)</t>
        </is>
      </c>
      <c r="B43" s="56" t="inlineStr">
        <is>
          <t>Altura máxima registrada (m)</t>
        </is>
      </c>
      <c r="C43" s="56" t="inlineStr">
        <is>
          <t>10</t>
        </is>
      </c>
      <c r="D43" s="56" t="inlineStr">
        <is>
          <t>m</t>
        </is>
      </c>
    </row>
    <row r="44">
      <c r="A44" s="57" t="inlineStr">
        <is>
          <t>5. Ecosistema, cobertura y flora (F-DT-03)</t>
        </is>
      </c>
      <c r="B44" s="57" t="inlineStr">
        <is>
          <t>DAP promedio (cm)</t>
        </is>
      </c>
      <c r="C44" s="57" t="inlineStr">
        <is>
          <t>25</t>
        </is>
      </c>
      <c r="D44" s="57" t="inlineStr">
        <is>
          <t>cm</t>
        </is>
      </c>
    </row>
    <row r="45">
      <c r="A45" s="56" t="inlineStr">
        <is>
          <t>5. Ecosistema, cobertura y flora (F-DT-03)</t>
        </is>
      </c>
      <c r="B45" s="56" t="inlineStr">
        <is>
          <t>Presencia de epífitas</t>
        </is>
      </c>
      <c r="C45" s="56" t="inlineStr">
        <is>
          <t>No</t>
        </is>
      </c>
      <c r="D45" s="56" t="inlineStr"/>
    </row>
    <row r="46">
      <c r="A46" s="57" t="inlineStr">
        <is>
          <t>5. Ecosistema, cobertura y flora (F-DT-03)</t>
        </is>
      </c>
      <c r="B46" s="57" t="inlineStr">
        <is>
          <t>Fenología dominante</t>
        </is>
      </c>
      <c r="C46" s="57" t="inlineStr">
        <is>
          <t>Floración</t>
        </is>
      </c>
      <c r="D46" s="57" t="inlineStr"/>
    </row>
    <row r="47">
      <c r="A47" s="56" t="inlineStr">
        <is>
          <t>5. Ecosistema, cobertura y flora (F-DT-03)</t>
        </is>
      </c>
      <c r="B47" s="56" t="inlineStr">
        <is>
          <t>Dimensiones de la parcela (m)</t>
        </is>
      </c>
      <c r="C47" s="56" t="inlineStr">
        <is>
          <t>S/R - por verificar</t>
        </is>
      </c>
      <c r="D47" s="56" t="inlineStr"/>
    </row>
    <row r="48">
      <c r="A48" s="57" t="inlineStr">
        <is>
          <t>5. Ecosistema, cobertura y flora (F-DT-03)</t>
        </is>
      </c>
      <c r="B48" s="57" t="inlineStr">
        <is>
          <t>Pendiente de la parcela (%)</t>
        </is>
      </c>
      <c r="C48" s="57" t="inlineStr">
        <is>
          <t>S/R - por verificar</t>
        </is>
      </c>
      <c r="D48" s="57" t="inlineStr">
        <is>
          <t>%</t>
        </is>
      </c>
    </row>
    <row r="49">
      <c r="A49" s="56" t="inlineStr">
        <is>
          <t>6. Degradación, causas y urgencia (F-DT-04)</t>
        </is>
      </c>
      <c r="B49" s="56" t="inlineStr">
        <is>
          <t>Causas directas de la degradación</t>
        </is>
      </c>
      <c r="C49" s="56" t="inlineStr">
        <is>
          <t>La degradacion, de grado leve, se atribuye principalmente al pastoreo de ganado caprino de baja carga y a la extraccion de lena para uso domestico por parte de la poblacion del CCPP Rio Seco Alto. Se suma una presion incipiente por expansion urbana y vial en la franja contigua al centro poblado.</t>
        </is>
      </c>
      <c r="D49" s="56" t="inlineStr"/>
    </row>
    <row r="50">
      <c r="A50" s="57" t="inlineStr">
        <is>
          <t>6. Degradación, causas y urgencia (F-DT-04)</t>
        </is>
      </c>
      <c r="B50" s="57" t="inlineStr">
        <is>
          <t>N.° de causas activas en la matriz F-DT-04</t>
        </is>
      </c>
      <c r="C50" s="57" t="inlineStr">
        <is>
          <t>3</t>
        </is>
      </c>
      <c r="D50" s="57" t="inlineStr"/>
    </row>
    <row r="51">
      <c r="A51" s="56" t="inlineStr">
        <is>
          <t>7. Hidrología, acceso y logística (F-DT-05)</t>
        </is>
      </c>
      <c r="B51" s="56" t="inlineStr">
        <is>
          <t>Escorrentía concentrada</t>
        </is>
      </c>
      <c r="C51" s="56" t="inlineStr">
        <is>
          <t>No</t>
        </is>
      </c>
      <c r="D51" s="56" t="inlineStr"/>
    </row>
    <row r="52">
      <c r="A52" s="57" t="inlineStr">
        <is>
          <t>7. Hidrología, acceso y logística (F-DT-05)</t>
        </is>
      </c>
      <c r="B52" s="57" t="inlineStr">
        <is>
          <t>Distancia a captación (m)</t>
        </is>
      </c>
      <c r="C52" s="57" t="inlineStr">
        <is>
          <t>S/R - por verificar</t>
        </is>
      </c>
      <c r="D52" s="57" t="inlineStr">
        <is>
          <t>m</t>
        </is>
      </c>
    </row>
    <row r="53">
      <c r="A53" s="56" t="inlineStr">
        <is>
          <t>7. Hidrología, acceso y logística (F-DT-05)</t>
        </is>
      </c>
      <c r="B53" s="56" t="inlineStr">
        <is>
          <t>Interferencia con riego</t>
        </is>
      </c>
      <c r="C53" s="56" t="inlineStr">
        <is>
          <t>No</t>
        </is>
      </c>
      <c r="D53" s="56" t="inlineStr"/>
    </row>
    <row r="54">
      <c r="A54" s="57" t="inlineStr">
        <is>
          <t>7. Hidrología, acceso y logística (F-DT-05)</t>
        </is>
      </c>
      <c r="B54" s="57" t="inlineStr">
        <is>
          <t>Vía principal de acceso</t>
        </is>
      </c>
      <c r="C54" s="57" t="inlineStr">
        <is>
          <t>PI-778 (via vecinal Rio Seco Alto)</t>
        </is>
      </c>
      <c r="D54" s="57" t="inlineStr"/>
    </row>
    <row r="55">
      <c r="A55" s="56" t="inlineStr">
        <is>
          <t>7. Hidrología, acceso y logística (F-DT-05)</t>
        </is>
      </c>
      <c r="B55" s="56" t="inlineStr">
        <is>
          <t>Tipo de vía del tramo final</t>
        </is>
      </c>
      <c r="C55" s="56" t="inlineStr">
        <is>
          <t>Vecinal afirmada</t>
        </is>
      </c>
      <c r="D55" s="56" t="inlineStr"/>
    </row>
    <row r="56">
      <c r="A56" s="57" t="inlineStr">
        <is>
          <t>7. Hidrología, acceso y logística (F-DT-05)</t>
        </is>
      </c>
      <c r="B56" s="57" t="inlineStr">
        <is>
          <t>Señal celular</t>
        </is>
      </c>
      <c r="C56" s="57" t="inlineStr">
        <is>
          <t>Completa</t>
        </is>
      </c>
      <c r="D56" s="57" t="inlineStr"/>
    </row>
    <row r="57">
      <c r="A57" s="56" t="inlineStr">
        <is>
          <t>7. Hidrología, acceso y logística (F-DT-05)</t>
        </is>
      </c>
      <c r="B57" s="56" t="inlineStr">
        <is>
          <t>Operador con cobertura</t>
        </is>
      </c>
      <c r="C57" s="56" t="inlineStr">
        <is>
          <t>Movistar</t>
        </is>
      </c>
      <c r="D57" s="56" t="inlineStr"/>
    </row>
    <row r="59">
      <c r="A59" s="54" t="inlineStr">
        <is>
          <t>C. PROCEDENCIA DE LOS HECHOS DECLARADOS</t>
        </is>
      </c>
    </row>
    <row r="60">
      <c r="A60" s="55" t="inlineStr">
        <is>
          <t>Fuente</t>
        </is>
      </c>
      <c r="B60" s="55" t="inlineStr">
        <is>
          <t>Hechos</t>
        </is>
      </c>
      <c r="C60" s="55" t="inlineStr">
        <is>
          <t>Alcance de la fuente</t>
        </is>
      </c>
    </row>
    <row r="61">
      <c r="A61" s="56" t="inlineStr">
        <is>
          <t>Dato de campo</t>
        </is>
      </c>
      <c r="B61" s="56" t="n">
        <v>66</v>
      </c>
      <c r="C61" s="56" t="inlineStr">
        <is>
          <t>Verificación en campo. Fichas F-DT-01 a F-DT-05 de la Plantilla DT Campo Check Validada V5, suscritas por el evaluador.</t>
        </is>
      </c>
    </row>
    <row r="62">
      <c r="A62" s="57" t="inlineStr">
        <is>
          <t>Gabinete (GIS / teledetección)</t>
        </is>
      </c>
      <c r="B62" s="57" t="n">
        <v>22</v>
      </c>
      <c r="C62" s="57" t="inlineStr">
        <is>
          <t>Gabinete. Estadística zonal sobre el MDE y compuestos Sentinel-2 (NDVI mediana 2025, MSAVI 2024 por clase DN).</t>
        </is>
      </c>
    </row>
    <row r="63">
      <c r="A63" s="56" t="inlineStr">
        <is>
          <t>Fuente oficial</t>
        </is>
      </c>
      <c r="B63" s="56" t="n">
        <v>14</v>
      </c>
      <c r="C63" s="56" t="inlineStr">
        <is>
          <t>Fuente oficial. Catálogo maestro Bloques V5/V6, división política INEI y codificación de microcuencas de la ANA.</t>
        </is>
      </c>
    </row>
    <row r="65">
      <c r="A65" s="54" t="inlineStr">
        <is>
          <t>D. ESTADO DEL CRUCE ENTRE FUENTES</t>
        </is>
      </c>
    </row>
    <row r="66">
      <c r="A66" s="55" t="inlineStr">
        <is>
          <t>Estado</t>
        </is>
      </c>
      <c r="B66" s="55" t="inlineStr">
        <is>
          <t>Hechos</t>
        </is>
      </c>
      <c r="C66" s="55" t="inlineStr">
        <is>
          <t>Significado</t>
        </is>
      </c>
    </row>
    <row r="67">
      <c r="A67" s="56" t="inlineStr">
        <is>
          <t>CONFORME</t>
        </is>
      </c>
      <c r="B67" s="56" t="n">
        <v>91</v>
      </c>
      <c r="C67" s="56" t="inlineStr">
        <is>
          <t>Las dos fuentes declaran lo mismo, o solo la fuente que manda sobre el hecho lo declara.</t>
        </is>
      </c>
    </row>
    <row r="68">
      <c r="A68" s="57" t="inlineStr">
        <is>
          <t>COMPLEMENTADO</t>
        </is>
      </c>
      <c r="B68" s="57" t="n">
        <v>0</v>
      </c>
      <c r="C68" s="57" t="inlineStr">
        <is>
          <t>Solo una de las fuentes lo declara y se adopta ese valor.</t>
        </is>
      </c>
    </row>
    <row r="69">
      <c r="A69" s="56" t="inlineStr">
        <is>
          <t>ACTUALIZADO</t>
        </is>
      </c>
      <c r="B69" s="56" t="n">
        <v>11</v>
      </c>
      <c r="C69" s="56" t="inlineStr">
        <is>
          <t>La verificación de campo vigente corrige lo que traía el libro de resumen.</t>
        </is>
      </c>
    </row>
    <row r="70">
      <c r="A70" s="57" t="inlineStr">
        <is>
          <t>DISCREPANTE</t>
        </is>
      </c>
      <c r="B70" s="57" t="n">
        <v>0</v>
      </c>
      <c r="C70" s="57" t="inlineStr">
        <is>
          <t>Las fuentes se contradicen; prevalece la que manda sobre el hecho y la otra queda declarada.</t>
        </is>
      </c>
    </row>
    <row r="71">
      <c r="A71" s="56" t="inlineStr">
        <is>
          <t>PENDIENTE</t>
        </is>
      </c>
      <c r="B71" s="56" t="n">
        <v>12</v>
      </c>
      <c r="C7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M10B4</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macracantha</t>
        </is>
      </c>
      <c r="D13" s="56" t="inlineStr">
        <is>
          <t>Fabaceae</t>
        </is>
      </c>
      <c r="E13" s="56" t="inlineStr">
        <is>
          <t>Arbóreo bajo (4-8 m)</t>
        </is>
      </c>
      <c r="F13" s="56" t="inlineStr">
        <is>
          <t>Nativa</t>
        </is>
      </c>
      <c r="G13" s="56" t="inlineStr">
        <is>
          <t>Frecuente (5-20%)</t>
        </is>
      </c>
      <c r="H13" s="61" t="n">
        <v>25</v>
      </c>
      <c r="I13" s="62" t="n">
        <v>8</v>
      </c>
    </row>
    <row r="14">
      <c r="A14" s="57" t="inlineStr">
        <is>
          <t>2</t>
        </is>
      </c>
      <c r="B14" s="57" t="inlineStr">
        <is>
          <t>Algarrobo</t>
        </is>
      </c>
      <c r="C14" s="57" t="inlineStr">
        <is>
          <t>Neltuma pallida</t>
        </is>
      </c>
      <c r="D14" s="57" t="inlineStr">
        <is>
          <t>Fabaceae</t>
        </is>
      </c>
      <c r="E14" s="57" t="inlineStr">
        <is>
          <t>Arbóreo bajo (4-8 m)</t>
        </is>
      </c>
      <c r="F14" s="57" t="inlineStr">
        <is>
          <t>Nativa</t>
        </is>
      </c>
      <c r="G14" s="57" t="inlineStr">
        <is>
          <t>Ocasional (1-5%)</t>
        </is>
      </c>
      <c r="H14" s="57" t="n"/>
      <c r="I14" s="57" t="n"/>
    </row>
    <row r="15">
      <c r="A15" s="56" t="inlineStr">
        <is>
          <t>3</t>
        </is>
      </c>
      <c r="B15" s="56" t="inlineStr">
        <is>
          <t>Pasallo</t>
        </is>
      </c>
      <c r="C15" s="56" t="inlineStr">
        <is>
          <t>Eriotheca ruizii</t>
        </is>
      </c>
      <c r="D15" s="56" t="inlineStr">
        <is>
          <t>Malvaceae</t>
        </is>
      </c>
      <c r="E15" s="56" t="inlineStr">
        <is>
          <t>Arbóreo bajo (4-8 m)</t>
        </is>
      </c>
      <c r="F15" s="56" t="inlineStr">
        <is>
          <t>Nativa</t>
        </is>
      </c>
      <c r="G15" s="56" t="inlineStr">
        <is>
          <t>Ocasional (1-5%)</t>
        </is>
      </c>
      <c r="H15" s="56" t="n"/>
      <c r="I15" s="56" t="n"/>
    </row>
    <row r="16">
      <c r="A16" s="57" t="inlineStr">
        <is>
          <t>4</t>
        </is>
      </c>
      <c r="B16" s="57" t="inlineStr">
        <is>
          <t>Charán</t>
        </is>
      </c>
      <c r="C16" s="57" t="inlineStr">
        <is>
          <t>Caesalpinia paipai</t>
        </is>
      </c>
      <c r="D16" s="57" t="inlineStr">
        <is>
          <t>Fabaceae</t>
        </is>
      </c>
      <c r="E16" s="57" t="inlineStr">
        <is>
          <t>Arbóreo bajo (4-8 m)</t>
        </is>
      </c>
      <c r="F16" s="57" t="inlineStr">
        <is>
          <t>Nativa</t>
        </is>
      </c>
      <c r="G16" s="57" t="inlineStr">
        <is>
          <t>Frecuente (5-20%)</t>
        </is>
      </c>
      <c r="H16" s="57" t="n"/>
      <c r="I16" s="57" t="n"/>
    </row>
    <row r="17">
      <c r="A17" s="56" t="inlineStr">
        <is>
          <t>5</t>
        </is>
      </c>
      <c r="B17" s="56" t="inlineStr">
        <is>
          <t>Overo</t>
        </is>
      </c>
      <c r="C17" s="56" t="inlineStr">
        <is>
          <t>Cordia lutea</t>
        </is>
      </c>
      <c r="D17" s="56" t="inlineStr">
        <is>
          <t>Boraginaceae</t>
        </is>
      </c>
      <c r="E17" s="56" t="inlineStr">
        <is>
          <t>Arbustivo alto (1.5-4 m)</t>
        </is>
      </c>
      <c r="F17" s="56" t="inlineStr">
        <is>
          <t>Nativa</t>
        </is>
      </c>
      <c r="G17" s="56" t="inlineStr">
        <is>
          <t>Ocasional (1-5%)</t>
        </is>
      </c>
      <c r="H17" s="56" t="n"/>
      <c r="I17" s="56" t="n"/>
    </row>
    <row r="18">
      <c r="A18" s="57" t="inlineStr">
        <is>
          <t>6</t>
        </is>
      </c>
      <c r="B18" s="57" t="inlineStr">
        <is>
          <t>Cardo</t>
        </is>
      </c>
      <c r="C18" s="57" t="inlineStr">
        <is>
          <t>Cactaceae (gén. por determinar)</t>
        </is>
      </c>
      <c r="D18" s="57" t="inlineStr">
        <is>
          <t>Cactaceae</t>
        </is>
      </c>
      <c r="E18" s="57" t="inlineStr">
        <is>
          <t>Arbustivo alto (1.5-4 m)</t>
        </is>
      </c>
      <c r="F18" s="57" t="inlineStr">
        <is>
          <t>Nativa</t>
        </is>
      </c>
      <c r="G18" s="57" t="inlineStr">
        <is>
          <t>Abundante (20-40%)</t>
        </is>
      </c>
      <c r="H18" s="57" t="n"/>
      <c r="I18" s="57" t="n"/>
    </row>
    <row r="20">
      <c r="A20" s="54" t="inlineStr">
        <is>
          <t>F-DT-03 · ESPECIES CLAVE GEORREFERENCIADAS</t>
        </is>
      </c>
    </row>
    <row r="21">
      <c r="A21" s="55" t="inlineStr">
        <is>
          <t>N.o</t>
        </is>
      </c>
      <c r="B21" s="55" t="inlineStr">
        <is>
          <t>Especie</t>
        </is>
      </c>
      <c r="C21" s="55" t="inlineStr">
        <is>
          <t>Categoría</t>
        </is>
      </c>
      <c r="D21" s="55" t="inlineStr">
        <is>
          <t>Estado UICN</t>
        </is>
      </c>
      <c r="E21" s="55" t="inlineStr">
        <is>
          <t>UTM ESTE</t>
        </is>
      </c>
      <c r="F21" s="55" t="inlineStr">
        <is>
          <t>UTM NORTE</t>
        </is>
      </c>
      <c r="G21" s="55" t="inlineStr">
        <is>
          <t>N.° individuos</t>
        </is>
      </c>
      <c r="H21" s="55" t="inlineStr">
        <is>
          <t>Observación</t>
        </is>
      </c>
    </row>
    <row r="23">
      <c r="A23" s="54" t="inlineStr">
        <is>
          <t>F-DT-04 · MATRIZ DE CAUSAS DE DEGRADACIÓN</t>
        </is>
      </c>
    </row>
    <row r="24">
      <c r="A24" s="55" t="inlineStr">
        <is>
          <t>N.o</t>
        </is>
      </c>
      <c r="B24" s="55" t="inlineStr">
        <is>
          <t>Causa</t>
        </is>
      </c>
      <c r="C24" s="55" t="inlineStr">
        <is>
          <t>Presencia</t>
        </is>
      </c>
      <c r="D24" s="55" t="inlineStr">
        <is>
          <t>Intensidad</t>
        </is>
      </c>
      <c r="E24" s="55" t="inlineStr">
        <is>
          <t>Extensión</t>
        </is>
      </c>
      <c r="F24" s="55" t="inlineStr">
        <is>
          <t>Antigüedad</t>
        </is>
      </c>
      <c r="G24" s="55" t="inlineStr">
        <is>
          <t>Evidencia</t>
        </is>
      </c>
    </row>
    <row r="25">
      <c r="A25" s="56" t="inlineStr">
        <is>
          <t>1</t>
        </is>
      </c>
      <c r="B25" s="56" t="inlineStr">
        <is>
          <t>Sobrepastoreo (caprino/vacuno)</t>
        </is>
      </c>
      <c r="C25" s="56" t="inlineStr">
        <is>
          <t>Sí</t>
        </is>
      </c>
      <c r="D25" s="56" t="inlineStr">
        <is>
          <t>Ligera</t>
        </is>
      </c>
      <c r="E25" s="56" t="inlineStr">
        <is>
          <t>15</t>
        </is>
      </c>
      <c r="F25" s="56" t="inlineStr">
        <is>
          <t>30</t>
        </is>
      </c>
      <c r="G25" s="56" t="inlineStr">
        <is>
          <t>Se observo ganado caprino pastoreando en el interior y en el borde del bloque.</t>
        </is>
      </c>
    </row>
    <row r="26">
      <c r="A26" s="57" t="inlineStr">
        <is>
          <t>2</t>
        </is>
      </c>
      <c r="B26" s="57" t="inlineStr">
        <is>
          <t>Tala para leña</t>
        </is>
      </c>
      <c r="C26" s="57" t="inlineStr">
        <is>
          <t>Sí</t>
        </is>
      </c>
      <c r="D26" s="57" t="inlineStr">
        <is>
          <t>Ligera</t>
        </is>
      </c>
      <c r="E26" s="57" t="inlineStr">
        <is>
          <t>10</t>
        </is>
      </c>
      <c r="F26" s="57" t="inlineStr">
        <is>
          <t>30</t>
        </is>
      </c>
      <c r="G26" s="57" t="inlineStr">
        <is>
          <t>Se observo lena apilada en viviendas del CCPP Rio Seco Alto, extraida de areas proximas al bloque.</t>
        </is>
      </c>
    </row>
    <row r="27">
      <c r="A27" s="56" t="inlineStr">
        <is>
          <t>3</t>
        </is>
      </c>
      <c r="B27" s="56" t="inlineStr">
        <is>
          <t>Tala para carbón</t>
        </is>
      </c>
      <c r="C27" s="56" t="inlineStr">
        <is>
          <t>No</t>
        </is>
      </c>
      <c r="D27" s="56" t="inlineStr">
        <is>
          <t>Nula</t>
        </is>
      </c>
      <c r="E27" s="56" t="inlineStr"/>
      <c r="F27" s="56" t="inlineStr"/>
      <c r="G27" s="56" t="inlineStr">
        <is>
          <t>Sin evidencia.</t>
        </is>
      </c>
    </row>
    <row r="28">
      <c r="A28" s="57" t="inlineStr">
        <is>
          <t>4</t>
        </is>
      </c>
      <c r="B28" s="57" t="inlineStr">
        <is>
          <t>Tala para madera</t>
        </is>
      </c>
      <c r="C28" s="57" t="inlineStr">
        <is>
          <t>No</t>
        </is>
      </c>
      <c r="D28" s="57" t="inlineStr">
        <is>
          <t>Nula</t>
        </is>
      </c>
      <c r="E28" s="57" t="inlineStr"/>
      <c r="F28" s="57" t="inlineStr"/>
      <c r="G28" s="57" t="inlineStr">
        <is>
          <t>Sin evidencia.</t>
        </is>
      </c>
    </row>
    <row r="29">
      <c r="A29" s="56" t="inlineStr">
        <is>
          <t>5</t>
        </is>
      </c>
      <c r="B29" s="56" t="inlineStr">
        <is>
          <t>Quema (renovación de pastos)</t>
        </is>
      </c>
      <c r="C29" s="56" t="inlineStr">
        <is>
          <t>No</t>
        </is>
      </c>
      <c r="D29" s="56" t="inlineStr">
        <is>
          <t>Nula</t>
        </is>
      </c>
      <c r="E29" s="56" t="inlineStr"/>
      <c r="F29" s="56" t="inlineStr"/>
      <c r="G29" s="56" t="inlineStr">
        <is>
          <t>Sin evidencia.</t>
        </is>
      </c>
    </row>
    <row r="30">
      <c r="A30" s="57" t="inlineStr">
        <is>
          <t>6</t>
        </is>
      </c>
      <c r="B30" s="57" t="inlineStr">
        <is>
          <t>Quema accidental / Incendio</t>
        </is>
      </c>
      <c r="C30" s="57" t="inlineStr">
        <is>
          <t>No</t>
        </is>
      </c>
      <c r="D30" s="57" t="inlineStr">
        <is>
          <t>Nula</t>
        </is>
      </c>
      <c r="E30" s="57" t="inlineStr"/>
      <c r="F30" s="57" t="inlineStr"/>
      <c r="G30" s="57" t="inlineStr">
        <is>
          <t>Sin evidencia.</t>
        </is>
      </c>
    </row>
    <row r="31">
      <c r="A31" s="56" t="inlineStr">
        <is>
          <t>7</t>
        </is>
      </c>
      <c r="B31" s="56" t="inlineStr">
        <is>
          <t>Cambio de uso a agricultura</t>
        </is>
      </c>
      <c r="C31" s="56" t="inlineStr">
        <is>
          <t>No</t>
        </is>
      </c>
      <c r="D31" s="56" t="inlineStr">
        <is>
          <t>Nula</t>
        </is>
      </c>
      <c r="E31" s="56" t="inlineStr"/>
      <c r="F31" s="56" t="inlineStr"/>
      <c r="G31" s="56" t="inlineStr">
        <is>
          <t>Sin actividad agricola dentro del bloque.</t>
        </is>
      </c>
    </row>
    <row r="32">
      <c r="A32" s="57" t="inlineStr">
        <is>
          <t>8</t>
        </is>
      </c>
      <c r="B32" s="57" t="inlineStr">
        <is>
          <t>Cambio de uso a pastoreo</t>
        </is>
      </c>
      <c r="C32" s="57" t="inlineStr">
        <is>
          <t>No</t>
        </is>
      </c>
      <c r="D32" s="57" t="inlineStr">
        <is>
          <t>Nula</t>
        </is>
      </c>
      <c r="E32" s="57" t="inlineStr"/>
      <c r="F32" s="57" t="inlineStr"/>
      <c r="G32" s="57" t="inlineStr">
        <is>
          <t>Sin evidencia de conversion a pastizal cultivado.</t>
        </is>
      </c>
    </row>
    <row r="33">
      <c r="A33" s="56" t="inlineStr">
        <is>
          <t>9</t>
        </is>
      </c>
      <c r="B33" s="56" t="inlineStr">
        <is>
          <t>Expansión urbana / vial</t>
        </is>
      </c>
      <c r="C33" s="56" t="inlineStr">
        <is>
          <t>Sí</t>
        </is>
      </c>
      <c r="D33" s="56" t="inlineStr">
        <is>
          <t>Ligera</t>
        </is>
      </c>
      <c r="E33" s="56" t="inlineStr">
        <is>
          <t>2</t>
        </is>
      </c>
      <c r="F33" s="56" t="inlineStr">
        <is>
          <t>10</t>
        </is>
      </c>
      <c r="G33" s="56" t="inlineStr">
        <is>
          <t>Se observaron nuevas construcciones y apertura vial en el sector contiguo al CCPP.</t>
        </is>
      </c>
    </row>
    <row r="34">
      <c r="A34" s="57" t="inlineStr">
        <is>
          <t>10</t>
        </is>
      </c>
      <c r="B34" s="57" t="inlineStr">
        <is>
          <t>Minería informal</t>
        </is>
      </c>
      <c r="C34" s="57" t="inlineStr">
        <is>
          <t>No</t>
        </is>
      </c>
      <c r="D34" s="57" t="inlineStr">
        <is>
          <t>Nula</t>
        </is>
      </c>
      <c r="E34" s="57" t="inlineStr"/>
      <c r="F34" s="57" t="inlineStr"/>
      <c r="G34" s="57" t="inlineStr">
        <is>
          <t>Sin evidencia.</t>
        </is>
      </c>
    </row>
    <row r="35">
      <c r="A35" s="56" t="inlineStr">
        <is>
          <t>11</t>
        </is>
      </c>
      <c r="B35" s="56" t="inlineStr">
        <is>
          <t>Extracción de áridos (cauces)</t>
        </is>
      </c>
      <c r="C35" s="56" t="inlineStr">
        <is>
          <t>No</t>
        </is>
      </c>
      <c r="D35" s="56" t="inlineStr">
        <is>
          <t>Nula</t>
        </is>
      </c>
      <c r="E35" s="56" t="inlineStr"/>
      <c r="F35" s="56" t="inlineStr"/>
      <c r="G35" s="56" t="inlineStr">
        <is>
          <t>Sin evidencia.</t>
        </is>
      </c>
    </row>
    <row r="36">
      <c r="A36" s="57" t="inlineStr">
        <is>
          <t>12</t>
        </is>
      </c>
      <c r="B36" s="57" t="inlineStr">
        <is>
          <t>Especies invasoras</t>
        </is>
      </c>
      <c r="C36" s="57" t="inlineStr">
        <is>
          <t>No</t>
        </is>
      </c>
      <c r="D36" s="57" t="inlineStr">
        <is>
          <t>Nula</t>
        </is>
      </c>
      <c r="E36" s="57" t="inlineStr"/>
      <c r="F36" s="57" t="inlineStr"/>
      <c r="G36" s="57" t="inlineStr">
        <is>
          <t>Sin evidencia.</t>
        </is>
      </c>
    </row>
    <row r="37">
      <c r="A37" s="56" t="inlineStr">
        <is>
          <t>13</t>
        </is>
      </c>
      <c r="B37" s="56" t="inlineStr">
        <is>
          <t>Erosión natural severa</t>
        </is>
      </c>
      <c r="C37" s="56" t="inlineStr">
        <is>
          <t>No</t>
        </is>
      </c>
      <c r="D37" s="56" t="inlineStr">
        <is>
          <t>Nula</t>
        </is>
      </c>
      <c r="E37" s="56" t="inlineStr"/>
      <c r="F37" s="56" t="inlineStr"/>
      <c r="G37" s="56" t="inlineStr">
        <is>
          <t>Sin evidencia.</t>
        </is>
      </c>
    </row>
    <row r="38">
      <c r="A38" s="57" t="inlineStr">
        <is>
          <t>14</t>
        </is>
      </c>
      <c r="B38" s="57" t="inlineStr">
        <is>
          <t>Sequía prolongada / CC</t>
        </is>
      </c>
      <c r="C38" s="57" t="inlineStr">
        <is>
          <t>No</t>
        </is>
      </c>
      <c r="D38" s="57" t="inlineStr">
        <is>
          <t>Nula</t>
        </is>
      </c>
      <c r="E38" s="57" t="inlineStr"/>
      <c r="F38" s="57" t="inlineStr"/>
      <c r="G38" s="57" t="inlineStr">
        <is>
          <t>Sin evidencia directa en campo; ver analisis de escenarios climaticos en gabinete.</t>
        </is>
      </c>
    </row>
    <row r="39">
      <c r="A39" s="56" t="inlineStr">
        <is>
          <t>15</t>
        </is>
      </c>
      <c r="B39" s="56" t="inlineStr">
        <is>
          <t>Plagas o enfermedades forestales</t>
        </is>
      </c>
      <c r="C39" s="56" t="inlineStr">
        <is>
          <t>No</t>
        </is>
      </c>
      <c r="D39" s="56" t="inlineStr">
        <is>
          <t>Nula</t>
        </is>
      </c>
      <c r="E39" s="56" t="inlineStr"/>
      <c r="F39" s="56" t="inlineStr"/>
      <c r="G39" s="56" t="inlineStr">
        <is>
          <t>Dosel sano, sin sintomas de plaga o enfermedad.</t>
        </is>
      </c>
    </row>
    <row r="40">
      <c r="A40" s="57" t="inlineStr">
        <is>
          <t>16</t>
        </is>
      </c>
      <c r="B40" s="57" t="inlineStr">
        <is>
          <t>Otro</t>
        </is>
      </c>
      <c r="C40" s="57" t="inlineStr">
        <is>
          <t>No</t>
        </is>
      </c>
      <c r="D40" s="57" t="inlineStr">
        <is>
          <t>Nula</t>
        </is>
      </c>
      <c r="E40" s="57" t="inlineStr"/>
      <c r="F40" s="57" t="inlineStr"/>
      <c r="G40" s="57" t="inlineStr">
        <is>
          <t>-</t>
        </is>
      </c>
    </row>
    <row r="42">
      <c r="A42" s="54" t="inlineStr">
        <is>
          <t>F-DT-04 · INDICADORES CUANTITATIVOS</t>
        </is>
      </c>
    </row>
    <row r="43">
      <c r="A43" s="55" t="inlineStr">
        <is>
          <t>N.o</t>
        </is>
      </c>
      <c r="B43" s="55" t="inlineStr">
        <is>
          <t>Indicador</t>
        </is>
      </c>
      <c r="C43" s="55" t="inlineStr">
        <is>
          <t>Unidad</t>
        </is>
      </c>
      <c r="D43" s="55" t="inlineStr">
        <is>
          <t>Valor</t>
        </is>
      </c>
      <c r="E43" s="55" t="inlineStr">
        <is>
          <t>Fuente</t>
        </is>
      </c>
      <c r="F43" s="55" t="inlineStr">
        <is>
          <t>Umbral</t>
        </is>
      </c>
      <c r="G43" s="55" t="inlineStr">
        <is>
          <t>Nivel</t>
        </is>
      </c>
    </row>
    <row r="44">
      <c r="A44" s="56" t="inlineStr">
        <is>
          <t>1</t>
        </is>
      </c>
      <c r="B44" s="56" t="inlineStr">
        <is>
          <t>Cobertura vegetal total</t>
        </is>
      </c>
      <c r="C44" s="56" t="inlineStr">
        <is>
          <t>%</t>
        </is>
      </c>
      <c r="D44" s="56" t="inlineStr">
        <is>
          <t>90</t>
        </is>
      </c>
      <c r="E44" s="56" t="inlineStr">
        <is>
          <t>Estimacion visual en campo (03-07-2026)</t>
        </is>
      </c>
      <c r="F44" s="56" t="inlineStr">
        <is>
          <t>&gt;60% bueno; 30-60% medio; &lt;30% malo</t>
        </is>
      </c>
      <c r="G44" s="56" t="inlineStr">
        <is>
          <t>Alto</t>
        </is>
      </c>
    </row>
    <row r="45">
      <c r="A45" s="57" t="inlineStr">
        <is>
          <t>2</t>
        </is>
      </c>
      <c r="B45" s="57" t="inlineStr">
        <is>
          <t>Porcentaje de suelo desnudo</t>
        </is>
      </c>
      <c r="C45" s="57" t="inlineStr">
        <is>
          <t>%</t>
        </is>
      </c>
      <c r="D45" s="57" t="inlineStr">
        <is>
          <t>5</t>
        </is>
      </c>
      <c r="E45" s="57" t="inlineStr">
        <is>
          <t>Estimacion visual en campo (03-07-2026)</t>
        </is>
      </c>
      <c r="F45" s="57" t="inlineStr">
        <is>
          <t>&lt;10% bueno; 10-30% medio; &gt;30% malo</t>
        </is>
      </c>
      <c r="G45" s="57" t="inlineStr">
        <is>
          <t>Bajo</t>
        </is>
      </c>
    </row>
    <row r="46">
      <c r="A46" s="56" t="inlineStr">
        <is>
          <t>3</t>
        </is>
      </c>
      <c r="B46" s="56" t="inlineStr">
        <is>
          <t>Densidad de cárcavas</t>
        </is>
      </c>
      <c r="C46" s="56" t="inlineStr">
        <is>
          <t>N°/ha</t>
        </is>
      </c>
      <c r="D46" s="56" t="inlineStr">
        <is>
          <t>1</t>
        </is>
      </c>
      <c r="E46" s="56" t="inlineStr">
        <is>
          <t>Estimacion visual en campo (03-07-2026)</t>
        </is>
      </c>
      <c r="F46" s="56" t="inlineStr">
        <is>
          <t>0 nulo; 1-3 medio; &gt;3 alto</t>
        </is>
      </c>
      <c r="G46" s="56" t="inlineStr">
        <is>
          <t>Bajo</t>
        </is>
      </c>
    </row>
    <row r="47">
      <c r="A47" s="57" t="inlineStr">
        <is>
          <t>4</t>
        </is>
      </c>
      <c r="B47" s="57" t="inlineStr">
        <is>
          <t>Presencia de especies invasoras</t>
        </is>
      </c>
      <c r="C47" s="57" t="inlineStr">
        <is>
          <t>% área</t>
        </is>
      </c>
      <c r="D47" s="57" t="inlineStr">
        <is>
          <t>0</t>
        </is>
      </c>
      <c r="E47" s="57" t="inlineStr">
        <is>
          <t>Estimacion visual en campo (03-07-2026)</t>
        </is>
      </c>
      <c r="F47" s="57" t="inlineStr">
        <is>
          <t>&lt;5% bueno; 5-20% medio; &gt;20% alto</t>
        </is>
      </c>
      <c r="G47" s="57" t="inlineStr">
        <is>
          <t>Bajo</t>
        </is>
      </c>
    </row>
    <row r="48">
      <c r="A48" s="56" t="inlineStr">
        <is>
          <t>5</t>
        </is>
      </c>
      <c r="B48" s="56" t="inlineStr">
        <is>
          <t>Carga ganadera estimada</t>
        </is>
      </c>
      <c r="C48" s="56" t="inlineStr">
        <is>
          <t>UA/ha</t>
        </is>
      </c>
      <c r="D48" s="56" t="inlineStr">
        <is>
          <t>1</t>
        </is>
      </c>
      <c r="E48" s="56" t="inlineStr">
        <is>
          <t>Estimacion visual en campo (03-07-2026)</t>
        </is>
      </c>
      <c r="F48" s="56" t="inlineStr">
        <is>
          <t>Según tipo de ecosistema</t>
        </is>
      </c>
      <c r="G48" s="56" t="inlineStr">
        <is>
          <t>Bajo</t>
        </is>
      </c>
    </row>
    <row r="49">
      <c r="A49" s="57" t="inlineStr">
        <is>
          <t>6</t>
        </is>
      </c>
      <c r="B49" s="57" t="inlineStr">
        <is>
          <t>Frecuencia de quemas últimos 5 años</t>
        </is>
      </c>
      <c r="C49" s="57" t="inlineStr">
        <is>
          <t>N°</t>
        </is>
      </c>
      <c r="D49" s="57" t="inlineStr">
        <is>
          <t>0</t>
        </is>
      </c>
      <c r="E49" s="57" t="inlineStr">
        <is>
          <t>Estimacion visual en campo (03-07-2026)</t>
        </is>
      </c>
      <c r="F49" s="57" t="inlineStr">
        <is>
          <t>0 nulo; 1-2 medio; &gt;2 alto</t>
        </is>
      </c>
      <c r="G49" s="57" t="inlineStr">
        <is>
          <t>Bajo</t>
        </is>
      </c>
    </row>
    <row r="50">
      <c r="A50" s="56" t="inlineStr">
        <is>
          <t>7</t>
        </is>
      </c>
      <c r="B50" s="56" t="inlineStr">
        <is>
          <t>% área con pendiente &gt;50%</t>
        </is>
      </c>
      <c r="C50" s="56" t="inlineStr">
        <is>
          <t>%</t>
        </is>
      </c>
      <c r="D50" s="56" t="inlineStr">
        <is>
          <t>20</t>
        </is>
      </c>
      <c r="E50" s="56" t="inlineStr">
        <is>
          <t>Estimacion visual en campo (03-07-2026)</t>
        </is>
      </c>
      <c r="F50" s="56" t="inlineStr">
        <is>
          <t>Factor de susceptibilidad</t>
        </is>
      </c>
      <c r="G50" s="56" t="inlineStr">
        <is>
          <t>Bajo</t>
        </is>
      </c>
    </row>
    <row r="51">
      <c r="A51" s="57" t="inlineStr">
        <is>
          <t>8</t>
        </is>
      </c>
      <c r="B51" s="57" t="inlineStr">
        <is>
          <t>Distancia a vía vecinal más cercana</t>
        </is>
      </c>
      <c r="C51" s="57" t="inlineStr">
        <is>
          <t>m</t>
        </is>
      </c>
      <c r="D51" s="57" t="inlineStr">
        <is>
          <t>150</t>
        </is>
      </c>
      <c r="E51" s="57" t="inlineStr">
        <is>
          <t>Estimacion visual en campo (03-07-2026)</t>
        </is>
      </c>
      <c r="F51" s="57" t="inlineStr">
        <is>
          <t>A menor distancia → mayor presión</t>
        </is>
      </c>
      <c r="G51" s="57" t="inlineStr">
        <is>
          <t>Alto</t>
        </is>
      </c>
    </row>
    <row r="53">
      <c r="A53" s="54" t="inlineStr">
        <is>
          <t>F-DT-05 · FUENTES DE AGUA INVENTARIADAS</t>
        </is>
      </c>
    </row>
    <row r="54">
      <c r="A54" s="55" t="inlineStr">
        <is>
          <t>N.o</t>
        </is>
      </c>
      <c r="B54" s="55" t="inlineStr">
        <is>
          <t>Tipo de fuente</t>
        </is>
      </c>
      <c r="C54" s="55" t="inlineStr">
        <is>
          <t>UTM ESTE</t>
        </is>
      </c>
      <c r="D54" s="55" t="inlineStr">
        <is>
          <t>UTM NORTE</t>
        </is>
      </c>
      <c r="E54" s="55" t="inlineStr">
        <is>
          <t>Régimen</t>
        </is>
      </c>
      <c r="F54" s="55" t="inlineStr">
        <is>
          <t>Calidad</t>
        </is>
      </c>
      <c r="G54" s="55" t="inlineStr">
        <is>
          <t>Distancia (m)</t>
        </is>
      </c>
      <c r="H54" s="55" t="inlineStr">
        <is>
          <t>Uso / observación</t>
        </is>
      </c>
    </row>
    <row r="57">
      <c r="A57" s="54" t="inlineStr">
        <is>
          <t>OBSERVACIONES DEL EVALUADOR POR FICHA</t>
        </is>
      </c>
    </row>
    <row r="58">
      <c r="A58" s="55" t="inlineStr">
        <is>
          <t>Ficha</t>
        </is>
      </c>
      <c r="B58" s="55" t="inlineStr">
        <is>
          <t>Observación registrada en campo</t>
        </is>
      </c>
    </row>
    <row r="59">
      <c r="A59" s="56" t="inlineStr">
        <is>
          <t>F-DT-01</t>
        </is>
      </c>
      <c r="B59" s="56" t="inlineStr">
        <is>
          <t>PARAMETROS DE GABINETE (tabla maestra Bloques V5 / DEM): rango altitudinal 170-313 m s.n.m. (amplitud 143 m); pendiente media del bloque 13.83 % (DEM); area SIG 68.887 ha. DISCREPANCIA 1: la pendiente media derivada del DEM (13.83 %) corresponde a la clase 8-15 % (moderadamente inclinado), mientras el rango dominante observado en campo y consignado en el Entregable OS 2841-2026 es 25-50 % (moderadamente escarpado). Se consigna el registro de campo y se deja constancia del valor DEM: la diferencia se explica porque el promedio areal integra los sectores bajos de menor gradiente, mientras la observacion de campo se concentro en las laderas de trabajo. Requiere verificacion con analisis zonal de pendientes por rangos. DISCREPANCIA 2: la ficha digital del 02-08-2026 consigna para el punto de muestreo UTM E 645575 / N 9393500 y microcuenca C1076-Q9584, valores que no corresponden al bloque (se ubican a ~55 km al SE, ambito Huarmaca). Se adopta el registro del Entregable OS 2841-2026 (E 596933 / N 9447803), consistente con el poligono y con el centroide oficial (E 596773 / N 9448273). Corregir en la base de campo. REGISTRO DE CAMPO: laderas de colinas bajas con pendientes que se acentuan al ganar altitud; cota media aproximada 230 m s.n.m.; piedras de tamano pequeno a mediano; sin surcos ni carcavas en formacion; pastoreo caprino de baja intensidad y extraccion de lena de bajo impacto; afeccion leve en la franja contigua al CCPP asociada a reduccion de cobertura arborea.</t>
        </is>
      </c>
    </row>
    <row r="60">
      <c r="A60" s="57" t="inlineStr">
        <is>
          <t>F-DT-02</t>
        </is>
      </c>
      <c r="B60" s="57" t="inlineStr">
        <is>
          <t>La ficha F-DT-02 no fue diligenciada en la visita del 03-07-2026. Los campos de esta hoja se reconstruyen a partir de la descripcion de procesos erosivos del PRIMER ENTREGABLE OS 2841-2026 (evaluacion biofisica del bloque M10B4), que consigna: nivel general de erosion bajo; sin sellamiento superficial ni costras; sin compactacion por pisoteo; sin raices expuestas; sin surcos ni carcavas en proceso de formacion; densidad de carcavas nula; urgencia de control baja. El % de erosion laminar (5 %) se toma del porcentaje de suelo desnudo registrado en F-DT-03. PATRON DE CARCAVAS: no aplica (inventario vacio), se deja en blanco. DISCREPANCIA 3: el indicador N. 3 de F-DT-04 registra densidad de carcavas = 1 N./ha, en tanto la descripcion narrativa del Entregable indica densidad nula. Se conserva cada valor en su hoja de origen y se deja la observacion para verificacion en la siguiente salida de campo. PENDIENTE: no se realizo inventario georreferenciado de carcavas; de confirmarse el valor 1 N./ha debera levantarse el inventario del punto 3 de esta ficha.</t>
        </is>
      </c>
    </row>
    <row r="61">
      <c r="A61" s="56" t="inlineStr">
        <is>
          <t>F-DT-03</t>
        </is>
      </c>
      <c r="B61" s="56" t="inlineStr">
        <is>
          <t>COMPOSICION FLORISTICA: en campo se registraron unicamente nombres comunes (faique, algarrobo, pasallo, charan, overo) y presencia abundante de cardos (Cactaceae). Los nombres cientificos consignados son PRELIMINARES, asignados por correspondencia con la nomenclatura regional del bosque estacionalmente seco de Piura; requieren confirmacion mediante colecta botanica y determinacion en herbario. No se alcanza el minimo de 15 especies exigido por la ficha: el registro se limita a los taxa efectivamente observados y no se completa con especies de literatura para no introducir datos no verificados. ESPECIES CLAVE / INDICADORAS (punto 5): sin registro; la categorizacion UICN y D.S. 043-2006-AG queda pendiente de la colecta botanica. DISCREPANCIA 4: la superficie de ecosistema declarada en campo (62 ha) difiere de la cartografia MINAM procesada para el proyecto, que asigna 688 865 m2 (68.887 ha) de Bosque estacionalmente seco de colina y montana, es decir el 100 % del bloque, sin unidades de zona agricola ni matorral. Se conserva el valor de campo en la celda y se deja constancia del valor cartografico. MSAVI 2024: valor medio del bloque 0.3133 (clase dominante 0.2650-0.3813 del raster MSAVI_Piura_2024), con parches &lt; 0.2650 en el extremo SO y en el borde NE. Este valor es aparentemente bajo frente a la cobertura de dosel registrada (90 %); la explicacion es fenologica: el Bes-cm es caducifolio y la escena utilizada corresponde a condicion de estiaje, por lo que el indice subestima la cobertura leñosa real. La ficha consigna fenologia dominante en floracion y estado sanitario sano, y la imagen de satelite del 23-04-2026 muestra masa leñosa continua dentro del poligono. REGISTRO DE CAMPO: cobertura vegetal en buen estado con impacto antropico muy leve; sin actividad agricola interna; ganado caprino y lena apilada en el CCPP procedente de areas proximas; sin claros ni areas deforestadas dentro del bloque; altura promedio del dosel &lt;= 8 m y clases diametricas &lt;= 30 cm de DAP; abundante vegetacion arbustiva de porte &lt; 3 m y cardos dispersos.</t>
        </is>
      </c>
    </row>
    <row r="62">
      <c r="A62" s="57" t="inlineStr">
        <is>
          <t>F-DT-04</t>
        </is>
      </c>
      <c r="B62" s="57" t="inlineStr">
        <is>
          <t>INDICADOR DE GABINETE (no incluido en la tabla de 8 indicadores de la ficha): MSAVI 2024 medio del bloque = 0.3133, clase dominante 0.2650-0.3813 del raster MSAVI_Piura_2024. Interpretacion: valor intermedio-bajo atribuible a la fenologia caducifolia del Bes-cm en escena de estiaje, no necesariamente a perdida de cobertura; debe leerse junto con el 90 % de cobertura de dosel registrado en campo. Se recomienda contrastar con una escena de la ventana humeda (enero-abril) y con la tendencia Theil-Sen antes de usar el MSAVI como criterio de degradacion en bloques de bosque seco. INDICADOR 3 (densidad de carcavas = 1 N./ha): valor inconsistente con la descripcion narrativa del Entregable OS 2841-2026, que reporta densidad nula y ausencia de carcavas en formacion. Ver observaciones de F-DT-02. Por verificar. INDICADOR 7 (% area con pendiente &gt; 50 % = 20 %): coherente con el DEM, que arroja pendiente media de 13.83 % para el conjunto del bloque. CONCLUSION DE LA FICHA (registro de campo): "Evaluar la pertinencia de la intervencion, ya que el area conserva su cobertura vegetal y el riesgo de desastre por movimiento en masa no es tan evidente."</t>
        </is>
      </c>
    </row>
    <row r="63">
      <c r="A63" s="56" t="inlineStr">
        <is>
          <t>F-DT-05</t>
        </is>
      </c>
      <c r="B63" s="56" t="inlineStr">
        <is>
          <t>El inventario de fuentes de agua (punto 2) no registro ningun punto durante la visita del 03-07-2026, realizada en condicion de tiempo seco. El Entregable OS 2841-2026 precisa que no se identificaron fuentes permanentes, zonas de recarga hidrica activa ni escorrentia concentrada dentro del bloque, y que la configuracion topografica incluye una quebrada que conduce aguas pluviales y se activa estacionalmente durante la temporada de lluvias (enero-abril). Se recomienda repetir el inventario en epoca humeda. ACCESIBILIDAD: la modalidad de acceso y el tipo de via se derivan del indicador 8 de F-DT-04 (150 m a la via vecinal mas cercana), de la observacion de campo que situa el CCPP y una via afirmada en el sector inferior del bloque, y de la imagen satelital del 23-04-2026, donde se identifica la via PI-778 / Rio Seco Alto al pie del poligono. Verificar en campo. CAMPOS SIN REGISTRO (por verificar en la siguiente salida): transitabilidad en epoca seca y lluviosa; distancia a la captacion poblacional; denominacion oficial de la JASS; tiempos desde capital distrital (Chulucanas) y provincial (Chulucanas, capital de Morropon); disponibilidad de alojamiento rural; requerimiento de autorizacion de Ronda Campesina y contacto responsable. TELECOMUNICACIONES: la ficha social F-DS-01 registra cobertura celular con internet y operadores Movistar, Claro y Bitel en el CCPP Rio Seco Alto; se consigna Movistar como operador dominante,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M10B4</t>
        </is>
      </c>
    </row>
    <row r="7">
      <c r="A7" s="54" t="inlineStr">
        <is>
          <t>Hechos declarados por fuente</t>
        </is>
      </c>
    </row>
    <row r="8">
      <c r="A8" s="55" t="inlineStr">
        <is>
          <t>Fuente</t>
        </is>
      </c>
      <c r="B8" s="55" t="inlineStr">
        <is>
          <t>Hechos</t>
        </is>
      </c>
    </row>
    <row r="9">
      <c r="A9" s="56" t="inlineStr">
        <is>
          <t>Dato de campo</t>
        </is>
      </c>
      <c r="B9" s="56" t="n">
        <v>66</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91</v>
      </c>
    </row>
    <row r="31">
      <c r="A31" s="57" t="inlineStr">
        <is>
          <t>COMPLEMENTADO</t>
        </is>
      </c>
      <c r="B31" s="57" t="n">
        <v>0</v>
      </c>
    </row>
    <row r="32">
      <c r="A32" s="56" t="inlineStr">
        <is>
          <t>ACTUALIZADO</t>
        </is>
      </c>
      <c r="B32" s="56" t="n">
        <v>11</v>
      </c>
    </row>
    <row r="33">
      <c r="A33" s="57" t="inlineStr">
        <is>
          <t>DISCREPANTE</t>
        </is>
      </c>
      <c r="B33" s="57" t="n">
        <v>0</v>
      </c>
    </row>
    <row r="34">
      <c r="A34" s="56" t="inlineStr">
        <is>
          <t>PENDIENTE</t>
        </is>
      </c>
      <c r="B34" s="56" t="n">
        <v>12</v>
      </c>
    </row>
    <row r="51">
      <c r="A51" s="54" t="inlineStr">
        <is>
          <t>Cobertura por estrato — campo (%)</t>
        </is>
      </c>
    </row>
    <row r="52">
      <c r="A52" s="55" t="inlineStr">
        <is>
          <t>Estrato</t>
        </is>
      </c>
      <c r="B52" s="55" t="inlineStr">
        <is>
          <t>% del área</t>
        </is>
      </c>
    </row>
    <row r="53">
      <c r="A53" s="56" t="inlineStr">
        <is>
          <t>Dosel</t>
        </is>
      </c>
      <c r="B53" s="61" t="n">
        <v>90</v>
      </c>
    </row>
    <row r="54">
      <c r="A54" s="57" t="inlineStr">
        <is>
          <t>Arbustiva</t>
        </is>
      </c>
      <c r="B54" s="63" t="n">
        <v>20</v>
      </c>
    </row>
    <row r="55">
      <c r="A55" s="56" t="inlineStr">
        <is>
          <t>Herbácea</t>
        </is>
      </c>
      <c r="B55" s="61" t="n">
        <v>10</v>
      </c>
    </row>
    <row r="56">
      <c r="A56" s="57" t="inlineStr">
        <is>
          <t>Hojarasca</t>
        </is>
      </c>
      <c r="B56" s="64" t="n">
        <v>5</v>
      </c>
    </row>
    <row r="57">
      <c r="A57" s="56" t="inlineStr">
        <is>
          <t>Suelo desnudo</t>
        </is>
      </c>
      <c r="B57" s="62" t="n">
        <v>5</v>
      </c>
    </row>
    <row r="74">
      <c r="A74" s="54" t="inlineStr">
        <is>
          <t>Causas activas de degradación (F-DT-04)</t>
        </is>
      </c>
    </row>
    <row r="75">
      <c r="A75" s="55" t="inlineStr">
        <is>
          <t>Causa</t>
        </is>
      </c>
      <c r="B75" s="55" t="inlineStr">
        <is>
          <t>Intensidad (1 ligera - 4 muy fuerte)</t>
        </is>
      </c>
    </row>
    <row r="76">
      <c r="A76" s="56" t="inlineStr">
        <is>
          <t>Expansión urbana / vial</t>
        </is>
      </c>
      <c r="B76" s="56" t="n">
        <v>1</v>
      </c>
    </row>
    <row r="77">
      <c r="A77" s="57" t="inlineStr">
        <is>
          <t>Sobrepastoreo (caprino/vacuno)</t>
        </is>
      </c>
      <c r="B77" s="57" t="n">
        <v>1</v>
      </c>
    </row>
    <row r="78">
      <c r="A78" s="56" t="inlineStr">
        <is>
          <t>Tala para leña</t>
        </is>
      </c>
      <c r="B78" s="56" t="n">
        <v>1</v>
      </c>
    </row>
    <row r="95">
      <c r="A95" s="54" t="inlineStr">
        <is>
          <t>Control de consistencia por calificación</t>
        </is>
      </c>
    </row>
    <row r="96">
      <c r="A96" s="55" t="inlineStr">
        <is>
          <t>Calificación</t>
        </is>
      </c>
      <c r="B96" s="55" t="inlineStr">
        <is>
          <t>Verificaciones</t>
        </is>
      </c>
    </row>
    <row r="97">
      <c r="A97" s="56" t="inlineStr">
        <is>
          <t>SUSTANTIVA</t>
        </is>
      </c>
      <c r="B97" s="56" t="n">
        <v>8</v>
      </c>
    </row>
    <row r="98">
      <c r="A98" s="57" t="inlineStr">
        <is>
          <t>NO SUSTANTIVA</t>
        </is>
      </c>
      <c r="B98" s="57" t="n">
        <v>4</v>
      </c>
    </row>
    <row r="99">
      <c r="A99" s="56" t="inlineStr">
        <is>
          <t>CORREGIDO</t>
        </is>
      </c>
      <c r="B99" s="56" t="n">
        <v>12</v>
      </c>
    </row>
    <row r="100">
      <c r="A100" s="57" t="inlineStr">
        <is>
          <t>CONFORME</t>
        </is>
      </c>
      <c r="B100"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M10B4 — IN Piura</dc:title>
  <dc:subject>Diagnóstico Territorial por bloque de intervención</dc:subject>
  <dcterms:created xsi:type="dcterms:W3CDTF">2026-09-08T03:39:57Z</dcterms:created>
  <dcterms:modified xsi:type="dcterms:W3CDTF">2026-09-11T20:22:34Z</dcterms:modified>
</cp:coreProperties>
</file>