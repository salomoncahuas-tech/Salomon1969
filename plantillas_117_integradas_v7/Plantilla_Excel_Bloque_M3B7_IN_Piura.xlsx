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166" fontId="6" fillId="0" borderId="7" pivotButton="0" quotePrefix="0" xfId="0"/>
    <xf numFmtId="4" fontId="6" fillId="5"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integración'!$A$53:$A$55</f>
            </numRef>
          </cat>
          <val>
            <numRef>
              <f>'Gráficos de integración'!$B$53:$B$55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integración'!B73</f>
            </strRef>
          </tx>
          <spPr>
            <a:ln>
              <a:prstDash val="solid"/>
            </a:ln>
          </spPr>
          <cat>
            <numRef>
              <f>'Gráficos de integración'!$A$74:$A$76</f>
            </numRef>
          </cat>
          <val>
            <numRef>
              <f>'Gráficos de integración'!$B$74:$B$76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integración'!B94</f>
            </strRef>
          </tx>
          <spPr>
            <a:ln>
              <a:prstDash val="solid"/>
            </a:ln>
          </spPr>
          <cat>
            <numRef>
              <f>'Gráficos de integración'!$A$95:$A$98</f>
            </numRef>
          </cat>
          <val>
            <numRef>
              <f>'Gráficos de integración'!$B$95:$B$98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72</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93</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M3B7</t>
        </is>
      </c>
    </row>
    <row r="6" ht="24" customHeight="1">
      <c r="A6" s="4" t="inlineStr">
        <is>
          <t>Diagnóstico Territorial — Plantilla DT Campo Check Validada V5 | Sistema de referencia: UTM WGS 84 Zona 17S (EPSG:32717) · Integrado con la ficha de campo F-DT vigente (Plantilla_DT_Campo_V5_BloqueM3B7.xlsx) — V7 - resumen V6 + campo F-DT integrado</t>
        </is>
      </c>
    </row>
    <row r="7"/>
    <row r="8" ht="18" customHeight="1">
      <c r="A8" s="5" t="inlineStr">
        <is>
          <t>1. IDENTIFICACIÓN Y LOCALIZACIÓN</t>
        </is>
      </c>
    </row>
    <row r="9">
      <c r="A9" s="6" t="inlineStr">
        <is>
          <t>Código del bloque</t>
        </is>
      </c>
      <c r="B9" s="7" t="inlineStr">
        <is>
          <t>M3B7</t>
        </is>
      </c>
      <c r="C9" s="6" t="inlineStr">
        <is>
          <t>Microcuenca (catálogo)</t>
        </is>
      </c>
      <c r="D9" s="7" t="inlineStr">
        <is>
          <t>C1081-Q9582</t>
        </is>
      </c>
      <c r="E9" s="8" t="n"/>
      <c r="F9" s="8" t="n"/>
    </row>
    <row r="10">
      <c r="A10" s="6" t="inlineStr">
        <is>
          <t>Zona de planificación</t>
        </is>
      </c>
      <c r="B10" s="7" t="inlineStr">
        <is>
          <t>Z08</t>
        </is>
      </c>
      <c r="C10" s="6" t="inlineStr">
        <is>
          <t>Microcuenca declarada en ficha DT</t>
        </is>
      </c>
      <c r="D10" s="7" t="inlineStr">
        <is>
          <t>C1081-Q9582</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 Juan de Bigote</t>
        </is>
      </c>
      <c r="C12" s="6" t="inlineStr">
        <is>
          <t>Capital distrital</t>
        </is>
      </c>
      <c r="D12" s="7" t="inlineStr">
        <is>
          <t>San Juan de Bigote</t>
        </is>
      </c>
      <c r="E12" s="8" t="n"/>
      <c r="F12" s="8" t="n"/>
    </row>
    <row r="13">
      <c r="A13" s="6" t="inlineStr">
        <is>
          <t>Centro poblado asociado</t>
        </is>
      </c>
      <c r="B13" s="7" t="inlineStr">
        <is>
          <t>Polluco; Sinaí</t>
        </is>
      </c>
      <c r="C13" s="6" t="inlineStr">
        <is>
          <t>Comunidad campesina</t>
        </is>
      </c>
      <c r="D13" s="51" t="inlineStr">
        <is>
          <t>No pertenecen a ninguna comunidad campesina (F-DS-02)</t>
        </is>
      </c>
      <c r="E13" s="8" t="n"/>
      <c r="F13" s="8" t="n"/>
    </row>
    <row r="14">
      <c r="A14" s="6" t="inlineStr">
        <is>
          <t>Superficie de catálogo (V5/V6), ha</t>
        </is>
      </c>
      <c r="B14" s="7" t="n">
        <v>122.95</v>
      </c>
      <c r="C14" s="6" t="inlineStr">
        <is>
          <t>Fuente de superficie</t>
        </is>
      </c>
      <c r="D14" s="7" t="inlineStr">
        <is>
          <t>Catálogo maestro Bloques V5/V6</t>
        </is>
      </c>
      <c r="E14" s="8" t="n"/>
      <c r="F14" s="8" t="n"/>
    </row>
    <row r="15">
      <c r="A15" s="6" t="inlineStr">
        <is>
          <t>Centroide UTM ESTE (m)</t>
        </is>
      </c>
      <c r="B15" s="7" t="n">
        <v>638309</v>
      </c>
      <c r="C15" s="6" t="inlineStr">
        <is>
          <t>Centroide UTM NORTE (m)</t>
        </is>
      </c>
      <c r="D15" s="7" t="n">
        <v>9415217</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238</v>
      </c>
      <c r="C19" s="6" t="inlineStr">
        <is>
          <t>Altitud máxima (msnm)</t>
        </is>
      </c>
      <c r="D19" s="7" t="n">
        <v>447</v>
      </c>
      <c r="E19" s="8" t="n"/>
      <c r="F19" s="8" t="n"/>
    </row>
    <row r="20">
      <c r="A20" s="6" t="inlineStr">
        <is>
          <t>Amplitud altitudinal (m)</t>
        </is>
      </c>
      <c r="B20" s="7" t="n">
        <v>209</v>
      </c>
      <c r="C20" s="6" t="inlineStr">
        <is>
          <t>Piso altitudinal dominante</t>
        </is>
      </c>
      <c r="D20" s="7" t="inlineStr">
        <is>
          <t>&lt;1000 m (Yunga)</t>
        </is>
      </c>
      <c r="E20" s="8" t="n"/>
      <c r="F20" s="8" t="n"/>
    </row>
    <row r="21">
      <c r="A21" s="6" t="inlineStr">
        <is>
          <t>Pendiente promedio (%)</t>
        </is>
      </c>
      <c r="B21" s="7" t="n">
        <v>18.21</v>
      </c>
      <c r="C21" s="6" t="inlineStr">
        <is>
          <t>Pendiente promedio (grados)</t>
        </is>
      </c>
      <c r="D21" s="7" t="n">
        <v>10.3</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Suroeste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0.3707</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mediana (47.03 %)</t>
        </is>
      </c>
      <c r="E29" s="8" t="n"/>
      <c r="F29" s="8" t="n"/>
    </row>
    <row r="30">
      <c r="A30" s="6" t="inlineStr">
        <is>
          <t>Superficie clasificada NDVI 2025 (ha)</t>
        </is>
      </c>
      <c r="B30" s="7" t="n">
        <v>122.987</v>
      </c>
      <c r="C30" s="6" t="inlineStr">
        <is>
          <t>Desviación frente al catálogo (%)</t>
        </is>
      </c>
      <c r="D30" s="7" t="n">
        <v>0.03</v>
      </c>
      <c r="E30" s="8" t="n"/>
      <c r="F30" s="8" t="n"/>
    </row>
    <row r="31">
      <c r="A31" s="6" t="inlineStr">
        <is>
          <t>Superficie clasificada MSAVI 2024 (ha)</t>
        </is>
      </c>
      <c r="B31" s="39" t="n">
        <v>122.946</v>
      </c>
      <c r="C31" s="6" t="inlineStr">
        <is>
          <t>Desviación MSAVI frente al catálogo (%)</t>
        </is>
      </c>
      <c r="D31" s="40" t="n">
        <v>0</v>
      </c>
      <c r="E31" s="8" t="n"/>
      <c r="F31" s="8" t="n"/>
    </row>
    <row r="32">
      <c r="A32" s="6" t="inlineStr">
        <is>
          <t>Superficie bajo umbral MSAVI 0.4976 (ha)</t>
        </is>
      </c>
      <c r="B32" s="39" t="n">
        <v>117.943</v>
      </c>
      <c r="C32" s="6" t="inlineStr">
        <is>
          <t>% del bloque bajo umbral (brecha espectral)</t>
        </is>
      </c>
      <c r="D32" s="40" t="n">
        <v>95.93000000000001</v>
      </c>
      <c r="E32" s="8" t="n"/>
      <c r="F32" s="8" t="n"/>
    </row>
    <row r="33">
      <c r="A33" s="6" t="inlineStr">
        <is>
          <t>Clase DN dominante (MSAVI 2024)</t>
        </is>
      </c>
      <c r="B33" s="7" t="inlineStr">
        <is>
          <t>DN 2 · 0.2650 - 0.3813 (Vigor muy bajo)</t>
        </is>
      </c>
      <c r="C33" s="6" t="inlineStr">
        <is>
          <t>N.° de polígonos MSAVI del bloque</t>
        </is>
      </c>
      <c r="D33" s="41" t="n">
        <v>454</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122.95 ha (100% del bloque)</t>
        </is>
      </c>
      <c r="E36" s="8" t="n"/>
      <c r="F36" s="8" t="n"/>
    </row>
    <row r="37">
      <c r="A37" s="6" t="inlineStr">
        <is>
          <t>Estado de conservación</t>
        </is>
      </c>
      <c r="B37" s="7" t="inlineStr">
        <is>
          <t>Alterado (intervención marcada)</t>
        </is>
      </c>
      <c r="C37" s="6" t="inlineStr">
        <is>
          <t>Uso actual dominante del suelo</t>
        </is>
      </c>
      <c r="D37" s="7" t="inlineStr">
        <is>
          <t>Pastoreo extensivo</t>
        </is>
      </c>
      <c r="E37" s="8" t="n"/>
      <c r="F37" s="8" t="n"/>
    </row>
    <row r="38">
      <c r="A38" s="6" t="inlineStr">
        <is>
          <t>Tipo de cobertura dominante</t>
        </is>
      </c>
      <c r="B38" s="7" t="inlineStr">
        <is>
          <t>Bosque ralo (30-70%)</t>
        </is>
      </c>
      <c r="C38" s="6" t="inlineStr">
        <is>
          <t>Cobertura vegetal total — campo (%)</t>
        </is>
      </c>
      <c r="D38" s="7" t="n">
        <v>60</v>
      </c>
      <c r="E38" s="8" t="n"/>
      <c r="F38" s="8" t="n"/>
    </row>
    <row r="39">
      <c r="A39" s="6" t="inlineStr">
        <is>
          <t>Suelo desnudo — campo (%)</t>
        </is>
      </c>
      <c r="B39" s="7" t="n">
        <v>40</v>
      </c>
      <c r="C39" s="6" t="inlineStr">
        <is>
          <t>Regeneración natural</t>
        </is>
      </c>
      <c r="D39" s="7" t="inlineStr">
        <is>
          <t>Escasa (&lt;10 pl./100m²)</t>
        </is>
      </c>
      <c r="E39" s="8" t="n"/>
      <c r="F39" s="8" t="n"/>
    </row>
    <row r="40">
      <c r="A40" s="6" t="inlineStr">
        <is>
          <t>Nivel general de erosión</t>
        </is>
      </c>
      <c r="B40" s="7" t="inlineStr">
        <is>
          <t>Fuerte (cárcavas incipientes)</t>
        </is>
      </c>
      <c r="C40" s="6" t="inlineStr">
        <is>
          <t>N.° de cárcavas registradas</t>
        </is>
      </c>
      <c r="D40" s="7" t="n">
        <v>15</v>
      </c>
      <c r="E40" s="8" t="n"/>
      <c r="F40" s="8" t="n"/>
    </row>
    <row r="41">
      <c r="A41" s="6" t="inlineStr">
        <is>
          <t>Elenco florístico (n.° de taxones)</t>
        </is>
      </c>
      <c r="B41" s="7" t="n">
        <v>7</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Juan Carlos Domínguez Varas</t>
        </is>
      </c>
      <c r="C44" s="6" t="inlineStr">
        <is>
          <t>Fecha de evaluación</t>
        </is>
      </c>
      <c r="D44" s="7" t="inlineStr">
        <is>
          <t>2026-06-03</t>
        </is>
      </c>
      <c r="E44" s="8" t="n"/>
      <c r="F44" s="8" t="n"/>
    </row>
    <row r="45">
      <c r="A45" s="6" t="inlineStr">
        <is>
          <t>Hora de registro</t>
        </is>
      </c>
      <c r="B45" s="7" t="inlineStr">
        <is>
          <t>12:10 - 13:03 h</t>
        </is>
      </c>
      <c r="C45" s="6" t="inlineStr">
        <is>
          <t>Correlativo de ficha</t>
        </is>
      </c>
      <c r="D45" s="51" t="inlineStr">
        <is>
          <t>F-DT/M3B7/2026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51" t="inlineStr">
        <is>
          <t>Sin registro en ficha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Pastoreo de ganado caprino</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Alta</t>
        </is>
      </c>
      <c r="C53" s="6" t="inlineStr">
        <is>
          <t>Zona de recarga hídrica</t>
        </is>
      </c>
      <c r="D53" s="7" t="inlineStr">
        <is>
          <t>No</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M3B7</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0.009900000000000001</v>
      </c>
      <c r="C10" s="19">
        <f>ROUND(B10/$B$15*100,2)</f>
        <v/>
      </c>
      <c r="D10" s="11" t="inlineStr">
        <is>
          <t>Vigor alto</t>
        </is>
      </c>
      <c r="E10" s="11" t="inlineStr">
        <is>
          <t>Sobre umbral</t>
        </is>
      </c>
    </row>
    <row r="11">
      <c r="A11" s="12" t="inlineStr">
        <is>
          <t>0.4976 - 0.6139 · DN 4</t>
        </is>
      </c>
      <c r="B11" s="20" t="n">
        <v>4.994</v>
      </c>
      <c r="C11" s="21">
        <f>ROUND(B11/$B$15*100,2)</f>
        <v/>
      </c>
      <c r="D11" s="13" t="inlineStr">
        <is>
          <t>Vigor moderado</t>
        </is>
      </c>
      <c r="E11" s="13" t="inlineStr">
        <is>
          <t>Sobre umbral</t>
        </is>
      </c>
    </row>
    <row r="12">
      <c r="A12" s="7" t="inlineStr">
        <is>
          <t>0.3813 - 0.4976 · DN 3</t>
        </is>
      </c>
      <c r="B12" s="18" t="n">
        <v>42.1183</v>
      </c>
      <c r="C12" s="19">
        <f>ROUND(B12/$B$15*100,2)</f>
        <v/>
      </c>
      <c r="D12" s="11" t="inlineStr">
        <is>
          <t>Vigor bajo</t>
        </is>
      </c>
      <c r="E12" s="11" t="inlineStr">
        <is>
          <t>BAJO umbral 0.4976</t>
        </is>
      </c>
    </row>
    <row r="13">
      <c r="A13" s="14" t="inlineStr">
        <is>
          <t>0.2650 - 0.3813 · DN 2</t>
        </is>
      </c>
      <c r="B13" s="32" t="n">
        <v>73.3038</v>
      </c>
      <c r="C13" s="31">
        <f>ROUND(B13/$B$15*100,2)</f>
        <v/>
      </c>
      <c r="D13" s="15" t="inlineStr">
        <is>
          <t>Vigor muy bajo</t>
        </is>
      </c>
      <c r="E13" s="15" t="inlineStr">
        <is>
          <t>BAJO umbral 0.4976</t>
        </is>
      </c>
    </row>
    <row r="14">
      <c r="A14" s="7" t="inlineStr">
        <is>
          <t>&lt;= 0.2650 · DN 1</t>
        </is>
      </c>
      <c r="B14" s="18" t="n">
        <v>2.5205</v>
      </c>
      <c r="C14" s="19">
        <f>ROUND(B14/$B$15*100,2)</f>
        <v/>
      </c>
      <c r="D14" s="11" t="inlineStr">
        <is>
          <t>Suelo desnudo / no vegetal</t>
        </is>
      </c>
      <c r="E14" s="11" t="inlineStr">
        <is>
          <t>BAJO umbral 0.4976</t>
        </is>
      </c>
    </row>
    <row r="15" ht="30" customHeight="1">
      <c r="A15" s="44" t="inlineStr">
        <is>
          <t>TOTAL CLASIFICADO MSAVI 2024</t>
        </is>
      </c>
      <c r="B15" s="45">
        <f>SUM(B10:B14)</f>
        <v/>
      </c>
      <c r="C15" s="46">
        <f>SUM(C10:C14)</f>
        <v/>
      </c>
      <c r="D15" s="44" t="inlineStr">
        <is>
          <t>Suma de la distribución areal · 454 polígonos</t>
        </is>
      </c>
      <c r="E15" s="44" t="inlineStr">
        <is>
          <t>—</t>
        </is>
      </c>
    </row>
    <row r="16" ht="30" customHeight="1">
      <c r="A16" s="47" t="inlineStr">
        <is>
          <t>Superficie SOBRE umbral 0.4976 (ha)</t>
        </is>
      </c>
      <c r="B16" s="48">
        <f>SUM(B10:B11)</f>
        <v/>
      </c>
      <c r="C16" s="49">
        <f>ROUND(B16/B15*100,2)</f>
        <v/>
      </c>
      <c r="D16" s="47" t="inlineStr">
        <is>
          <t>Vigor alto y moderado (DN 4 y DN 5)</t>
        </is>
      </c>
      <c r="E16" s="47" t="inlineStr">
        <is>
          <t>Sobre umbral 0.4976</t>
        </is>
      </c>
    </row>
    <row r="17" ht="30" customHeight="1">
      <c r="A17" s="47" t="inlineStr">
        <is>
          <t>Superficie BAJO umbral 0.4976 (ha) — brecha</t>
        </is>
      </c>
      <c r="B17" s="48">
        <f>SUM(B12:B14)</f>
        <v/>
      </c>
      <c r="C17" s="49">
        <f>ROUND(B17/B15*100,2)</f>
        <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122.95</v>
      </c>
      <c r="C18" s="50" t="inlineStr">
        <is>
          <t>—</t>
        </is>
      </c>
      <c r="D18" s="47" t="inlineStr">
        <is>
          <t>Desviación planimétrica frente al catálogo</t>
        </is>
      </c>
      <c r="E18" s="47" t="inlineStr">
        <is>
          <t>+0.00 %</t>
        </is>
      </c>
    </row>
    <row r="19">
      <c r="A19" s="16" t="inlineStr">
        <is>
          <t>MSAVI 2024 — MEDIA DEL BLOQUE</t>
        </is>
      </c>
      <c r="B19" s="17" t="n">
        <v>0.370678</v>
      </c>
      <c r="C19" s="17" t="inlineStr">
        <is>
          <t>—</t>
        </is>
      </c>
      <c r="D19" s="17" t="inlineStr">
        <is>
          <t>Vigor muy bajo · clase 0.2650 - 0.3813</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454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(0.3707) se conserva del catálogo maestro y es dato oficial; la fila resaltada indica la clase en la que cae dicha media. Los totales y porcentajes se calculan con fórmulas sobre las filas del cuadro.</t>
        </is>
      </c>
      <c r="B21" s="42" t="n"/>
      <c r="C21" s="42" t="n"/>
      <c r="D21" s="42" t="n"/>
      <c r="E21" s="43"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9.833600000000001</v>
      </c>
      <c r="C25" s="19" t="n">
        <v>8</v>
      </c>
      <c r="D25" s="11" t="inlineStr">
        <is>
          <t>Dosel continuo, matorral denso o mosaico agroforestal</t>
        </is>
      </c>
      <c r="E25" s="11" t="inlineStr"/>
    </row>
    <row r="26">
      <c r="A26" s="12" t="inlineStr">
        <is>
          <t>Vegetación mediana</t>
        </is>
      </c>
      <c r="B26" s="20" t="n">
        <v>57.8366</v>
      </c>
      <c r="C26" s="21" t="n">
        <v>47.03</v>
      </c>
      <c r="D26" s="13" t="inlineStr">
        <is>
          <t>Pastizal cultivado, matorral ralo, parcelas agrícolas</t>
        </is>
      </c>
      <c r="E26" s="13" t="inlineStr"/>
    </row>
    <row r="27">
      <c r="A27" s="7" t="inlineStr">
        <is>
          <t>Vegetación ligera</t>
        </is>
      </c>
      <c r="B27" s="18" t="n">
        <v>54.3937</v>
      </c>
      <c r="C27" s="19" t="n">
        <v>44.23</v>
      </c>
      <c r="D27" s="11" t="inlineStr">
        <is>
          <t>Cobertura discontinua, suelo parcialmente expuesto</t>
        </is>
      </c>
      <c r="E27" s="11" t="inlineStr"/>
    </row>
    <row r="28">
      <c r="A28" s="12" t="inlineStr">
        <is>
          <t>Tierra desnuda</t>
        </is>
      </c>
      <c r="B28" s="20" t="n">
        <v>0.9227</v>
      </c>
      <c r="C28" s="21" t="n">
        <v>0.75</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122.95</v>
      </c>
      <c r="C30" s="25" t="inlineStr">
        <is>
          <t>—</t>
        </is>
      </c>
      <c r="D30" s="25" t="inlineStr">
        <is>
          <t>Desviación planimétrica frente al catálogo</t>
        </is>
      </c>
      <c r="E30" s="25" t="inlineStr">
        <is>
          <t>+0.03 %</t>
        </is>
      </c>
    </row>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60 % frente a un 8.00 % del polígono clasificado como «Vegetación alta» por el NDVI 2025; la observación de campo corresponde a una parcela o recorrido puntual y no es estadísticamente representativa de las 122.950 ha del bloque.</t>
        </is>
      </c>
      <c r="B32" s="42" t="n"/>
      <c r="C32" s="42" t="n"/>
      <c r="D32" s="42" t="n"/>
      <c r="E32" s="43"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M3B7</t>
        </is>
      </c>
    </row>
    <row r="6" ht="24" customHeight="1">
      <c r="A6" s="4" t="inlineStr">
        <is>
          <t>Levantamiento del 2026-06-03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637368</v>
      </c>
      <c r="D10" s="26" t="n">
        <v>9414353</v>
      </c>
      <c r="E10" s="11" t="n">
        <v>1277.5</v>
      </c>
      <c r="F10" s="11" t="inlineStr"/>
      <c r="G10" s="11" t="inlineStr">
        <is>
          <t>Coordenada consignada en F-DT-01</t>
        </is>
      </c>
    </row>
    <row r="11">
      <c r="A11" s="12" t="inlineStr">
        <is>
          <t>C-01</t>
        </is>
      </c>
      <c r="B11" s="13" t="inlineStr">
        <is>
          <t>Rasgo erosivo — Cárcava somera — 15 m, 0.5 m prof., 2.0 m ancho</t>
        </is>
      </c>
      <c r="C11" s="27" t="n">
        <v>637368</v>
      </c>
      <c r="D11" s="27" t="n">
        <v>9414353</v>
      </c>
      <c r="E11" s="13" t="n">
        <v>1277.5</v>
      </c>
      <c r="F11" s="13" t="inlineStr">
        <is>
          <t>Activa</t>
        </is>
      </c>
      <c r="G11" s="13" t="inlineStr">
        <is>
          <t>Caminos / huellas de ganado</t>
        </is>
      </c>
    </row>
    <row r="12">
      <c r="A12" s="7" t="inlineStr">
        <is>
          <t>C-02</t>
        </is>
      </c>
      <c r="B12" s="11" t="inlineStr">
        <is>
          <t>Rasgo erosivo — Cárcava somera — 30 m, 0.5 m prof., 1.5 m ancho</t>
        </is>
      </c>
      <c r="C12" s="26" t="n">
        <v>637352</v>
      </c>
      <c r="D12" s="26" t="n">
        <v>9414391</v>
      </c>
      <c r="E12" s="11" t="n">
        <v>1264.2</v>
      </c>
      <c r="F12" s="11" t="inlineStr">
        <is>
          <t>Activa</t>
        </is>
      </c>
      <c r="G12" s="11" t="inlineStr">
        <is>
          <t>Caminos / huellas de ganado</t>
        </is>
      </c>
    </row>
    <row r="13">
      <c r="A13" s="12" t="inlineStr">
        <is>
          <t>C-03</t>
        </is>
      </c>
      <c r="B13" s="13" t="inlineStr">
        <is>
          <t>Rasgo erosivo — Cárcava incipiente — 10 m, 0.3 m prof., 0.5 m ancho</t>
        </is>
      </c>
      <c r="C13" s="27" t="n">
        <v>637371</v>
      </c>
      <c r="D13" s="27" t="n">
        <v>9414397</v>
      </c>
      <c r="E13" s="13" t="n">
        <v>1245.9</v>
      </c>
      <c r="F13" s="13" t="inlineStr">
        <is>
          <t>Activa</t>
        </is>
      </c>
      <c r="G13" s="13" t="inlineStr">
        <is>
          <t>Caminos / huellas de ganado</t>
        </is>
      </c>
    </row>
    <row r="14">
      <c r="A14" s="7" t="inlineStr">
        <is>
          <t>C-04</t>
        </is>
      </c>
      <c r="B14" s="11" t="inlineStr">
        <is>
          <t>Rasgo erosivo — Cárcava somera — 50 m, 0.5 m prof., 1.5 m ancho</t>
        </is>
      </c>
      <c r="C14" s="26" t="n">
        <v>637400</v>
      </c>
      <c r="D14" s="26" t="n">
        <v>9414445</v>
      </c>
      <c r="E14" s="11" t="n">
        <v>1192.6</v>
      </c>
      <c r="F14" s="11" t="inlineStr">
        <is>
          <t>Activa</t>
        </is>
      </c>
      <c r="G14" s="11" t="inlineStr">
        <is>
          <t>Caminos / huellas de ganado</t>
        </is>
      </c>
    </row>
    <row r="15">
      <c r="A15" s="12" t="inlineStr">
        <is>
          <t>C-05</t>
        </is>
      </c>
      <c r="B15" s="13" t="inlineStr">
        <is>
          <t>Rasgo erosivo — Cárcava incipiente — 20 m, 0.3 m prof., 1.0 m ancho</t>
        </is>
      </c>
      <c r="C15" s="27" t="n">
        <v>637417</v>
      </c>
      <c r="D15" s="27" t="n">
        <v>9414458</v>
      </c>
      <c r="E15" s="13" t="n">
        <v>1171.2</v>
      </c>
      <c r="F15" s="13" t="inlineStr">
        <is>
          <t>Activa</t>
        </is>
      </c>
      <c r="G15" s="13" t="inlineStr">
        <is>
          <t>Caminos / huellas de ganado</t>
        </is>
      </c>
    </row>
    <row r="16">
      <c r="A16" s="7" t="inlineStr">
        <is>
          <t>C-06</t>
        </is>
      </c>
      <c r="B16" s="11" t="inlineStr">
        <is>
          <t>Rasgo erosivo — Cárcava incipiente — 30 m, 0.3 m prof., 0.5 m ancho</t>
        </is>
      </c>
      <c r="C16" s="26" t="n">
        <v>637487</v>
      </c>
      <c r="D16" s="26" t="n">
        <v>9414495</v>
      </c>
      <c r="E16" s="11" t="n">
        <v>1094.1</v>
      </c>
      <c r="F16" s="11" t="inlineStr">
        <is>
          <t>Activa</t>
        </is>
      </c>
      <c r="G16" s="11" t="inlineStr">
        <is>
          <t>Caminos / huellas de ganado</t>
        </is>
      </c>
    </row>
    <row r="17">
      <c r="A17" s="12" t="inlineStr">
        <is>
          <t>C-07</t>
        </is>
      </c>
      <c r="B17" s="13" t="inlineStr">
        <is>
          <t>Rasgo erosivo — Cárcava somera — 50 m, 0.5 m prof., 1.5 m ancho</t>
        </is>
      </c>
      <c r="C17" s="27" t="n">
        <v>637498</v>
      </c>
      <c r="D17" s="27" t="n">
        <v>9414496</v>
      </c>
      <c r="E17" s="13" t="n">
        <v>1085.2</v>
      </c>
      <c r="F17" s="13" t="inlineStr">
        <is>
          <t>Activa</t>
        </is>
      </c>
      <c r="G17" s="13" t="inlineStr">
        <is>
          <t>Caminos / huellas de ganado</t>
        </is>
      </c>
    </row>
    <row r="18">
      <c r="A18" s="7" t="inlineStr">
        <is>
          <t>C-08</t>
        </is>
      </c>
      <c r="B18" s="11" t="inlineStr">
        <is>
          <t>Rasgo erosivo — Cárcava somera — 60 m, 0.6 m prof., 2.0 m ancho</t>
        </is>
      </c>
      <c r="C18" s="26" t="n">
        <v>637562</v>
      </c>
      <c r="D18" s="26" t="n">
        <v>9414531</v>
      </c>
      <c r="E18" s="11" t="n">
        <v>1014.2</v>
      </c>
      <c r="F18" s="11" t="inlineStr">
        <is>
          <t>Activa</t>
        </is>
      </c>
      <c r="G18" s="11" t="inlineStr">
        <is>
          <t>Caminos / huellas de ganado</t>
        </is>
      </c>
    </row>
    <row r="19">
      <c r="A19" s="12" t="inlineStr">
        <is>
          <t>C-09</t>
        </is>
      </c>
      <c r="B19" s="13" t="inlineStr">
        <is>
          <t>Rasgo erosivo — Cárcava somera — 100 m, 0.5 m prof., 2.5 m ancho</t>
        </is>
      </c>
      <c r="C19" s="27" t="n">
        <v>637572</v>
      </c>
      <c r="D19" s="27" t="n">
        <v>9414534</v>
      </c>
      <c r="E19" s="13" t="n">
        <v>1004.8</v>
      </c>
      <c r="F19" s="13" t="inlineStr">
        <is>
          <t>Activa</t>
        </is>
      </c>
      <c r="G19" s="13" t="inlineStr">
        <is>
          <t>Caminos / huellas de ganado</t>
        </is>
      </c>
    </row>
    <row r="20">
      <c r="A20" s="7" t="inlineStr">
        <is>
          <t>C-10</t>
        </is>
      </c>
      <c r="B20" s="11" t="inlineStr">
        <is>
          <t>Rasgo erosivo — Cárcava incipiente — 10 m, 0.3 m prof., 0.5 m ancho</t>
        </is>
      </c>
      <c r="C20" s="26" t="n">
        <v>637700</v>
      </c>
      <c r="D20" s="26" t="n">
        <v>9414556</v>
      </c>
      <c r="E20" s="11" t="n">
        <v>898.8</v>
      </c>
      <c r="F20" s="11" t="inlineStr">
        <is>
          <t>Activa</t>
        </is>
      </c>
      <c r="G20" s="11" t="inlineStr">
        <is>
          <t>Caminos / huellas de ganado</t>
        </is>
      </c>
    </row>
    <row r="21">
      <c r="A21" s="12" t="inlineStr">
        <is>
          <t>H-01</t>
        </is>
      </c>
      <c r="B21" s="13" t="inlineStr">
        <is>
          <t>Fuente de agua — Quebrada estacional</t>
        </is>
      </c>
      <c r="C21" s="27" t="n">
        <v>637567</v>
      </c>
      <c r="D21" s="27" t="n">
        <v>9414532</v>
      </c>
      <c r="E21" s="13" t="n">
        <v>1009.8</v>
      </c>
      <c r="F21" s="13" t="inlineStr">
        <is>
          <t>Estacional</t>
        </is>
      </c>
      <c r="G21" s="13" t="inlineStr">
        <is>
          <t>Drenaje natural; seca en la evaluación</t>
        </is>
      </c>
    </row>
    <row r="22">
      <c r="A22" s="16" t="inlineStr">
        <is>
          <t>TOTAL: 12 puntos</t>
        </is>
      </c>
      <c r="B22" s="17" t="inlineStr"/>
      <c r="C22" s="17" t="inlineStr"/>
      <c r="D22" s="17" t="inlineStr"/>
      <c r="E22" s="17" t="inlineStr"/>
      <c r="F22" s="17" t="inlineStr"/>
      <c r="G22" s="17" t="inlineStr"/>
    </row>
    <row r="24">
      <c r="A24" s="6" t="inlineStr">
        <is>
          <t>Centroide del bloque — UTM ESTE (m)</t>
        </is>
      </c>
      <c r="B24" s="7" t="n">
        <v>638309</v>
      </c>
      <c r="C24" s="6" t="inlineStr">
        <is>
          <t>Centroide del bloque — UTM NORTE (m)</t>
        </is>
      </c>
      <c r="D24" s="7" t="n">
        <v>9415217</v>
      </c>
      <c r="E24" s="8" t="n"/>
      <c r="F24" s="8" t="n"/>
      <c r="G24" s="8" t="n"/>
      <c r="H24" s="8" t="n"/>
    </row>
    <row r="25">
      <c r="A25" s="6" t="inlineStr">
        <is>
          <t>N.° de estaciones fotográficas declaradas</t>
        </is>
      </c>
      <c r="B25" s="7" t="n">
        <v>0</v>
      </c>
      <c r="C25" s="6" t="inlineStr">
        <is>
          <t>Estaciones dentro del polígono</t>
        </is>
      </c>
      <c r="D25" s="7" t="n">
        <v>0</v>
      </c>
      <c r="E25" s="8" t="n"/>
      <c r="F25" s="8" t="n"/>
      <c r="G25" s="8" t="n"/>
      <c r="H25" s="8" t="n"/>
    </row>
    <row r="27" ht="120" customHeight="1">
      <c r="A2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Acceso por vía vecinal, ruta desde San Juan de Bigote al CCPP de Polluco y Sinaí; se detuvo la camioneta en el centro poblado y al pie del bloque en la vía afirmada. Se ingresó por la zona suroeste, colindante a la vía. POR ZONAS EL BLOQUE COLINDA CON EL CCPP DE POLLUCO EN ÁREAS DESTINADAS AL PASTOREO DE GANADO CAPRINO. Se observó presencia de TOCONES POR EXTRACCIÓN DE LEÑA. LA ZONA PRÓXIMA A LA VÍA Y AL CCPP ES LA PARTE MÁS DEGRADADA DEL BLOQUE.</t>
        </is>
      </c>
      <c r="B27" s="42" t="n"/>
      <c r="C27" s="42" t="n"/>
      <c r="D27" s="42" t="n"/>
      <c r="E27" s="42" t="n"/>
      <c r="F27" s="42" t="n"/>
      <c r="G27" s="43" t="n"/>
    </row>
  </sheetData>
  <mergeCells count="8">
    <mergeCell ref="A1:G1"/>
    <mergeCell ref="A27:G2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C1081-Q9582 — BLOQUE M3B7</t>
        </is>
      </c>
    </row>
    <row r="6" ht="24" customHeight="1">
      <c r="A6" s="4" t="inlineStr">
        <is>
          <t>Distrito de San Juan de Bigote · Provincia de Morropon · Comparación de los bloques preliminares de intervención de la misma microcuenca</t>
        </is>
      </c>
    </row>
    <row r="8" ht="18" customHeight="1">
      <c r="A8" s="5" t="inlineStr">
        <is>
          <t>BLOQUES DE LA MICROCUENCA C1081-Q9582</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M3B8</t>
        </is>
      </c>
      <c r="B10" s="28" t="n">
        <v>565.58</v>
      </c>
      <c r="C10" s="19" t="n">
        <v>44.83</v>
      </c>
      <c r="D10" s="11" t="inlineStr">
        <is>
          <t>195 – 562</t>
        </is>
      </c>
      <c r="E10" s="11" t="n">
        <v>367</v>
      </c>
      <c r="F10" s="11" t="n">
        <v>13.65</v>
      </c>
      <c r="G10" s="18" t="n">
        <v>0.2934</v>
      </c>
      <c r="H10" s="19" t="n">
        <v>3.19</v>
      </c>
      <c r="I10" s="19" t="n">
        <v>99.40000000000001</v>
      </c>
    </row>
    <row r="11">
      <c r="A11" s="12" t="inlineStr">
        <is>
          <t>M3B9</t>
        </is>
      </c>
      <c r="B11" s="29" t="n">
        <v>294.2</v>
      </c>
      <c r="C11" s="21" t="n">
        <v>23.32</v>
      </c>
      <c r="D11" s="13" t="inlineStr">
        <is>
          <t>189 – 497</t>
        </is>
      </c>
      <c r="E11" s="13" t="n">
        <v>308</v>
      </c>
      <c r="F11" s="13" t="n">
        <v>17.69</v>
      </c>
      <c r="G11" s="20" t="n">
        <v>0.3214</v>
      </c>
      <c r="H11" s="21" t="n">
        <v>3.14</v>
      </c>
      <c r="I11" s="21" t="n">
        <v>99.40000000000001</v>
      </c>
    </row>
    <row r="12">
      <c r="A12" s="14" t="inlineStr">
        <is>
          <t>► M3B7</t>
        </is>
      </c>
      <c r="B12" s="30" t="n">
        <v>122.95</v>
      </c>
      <c r="C12" s="31" t="n">
        <v>9.75</v>
      </c>
      <c r="D12" s="15" t="inlineStr">
        <is>
          <t>238 – 447</t>
        </is>
      </c>
      <c r="E12" s="15" t="n">
        <v>209</v>
      </c>
      <c r="F12" s="15" t="n">
        <v>18.21</v>
      </c>
      <c r="G12" s="32" t="n">
        <v>0.3707</v>
      </c>
      <c r="H12" s="31" t="n">
        <v>8</v>
      </c>
      <c r="I12" s="31" t="n">
        <v>95.93000000000001</v>
      </c>
    </row>
    <row r="13">
      <c r="A13" s="12" t="inlineStr">
        <is>
          <t>M3B3</t>
        </is>
      </c>
      <c r="B13" s="29" t="n">
        <v>84.81999999999999</v>
      </c>
      <c r="C13" s="21" t="n">
        <v>6.72</v>
      </c>
      <c r="D13" s="13" t="inlineStr">
        <is>
          <t>194 – 375</t>
        </is>
      </c>
      <c r="E13" s="13" t="n">
        <v>181</v>
      </c>
      <c r="F13" s="13" t="n">
        <v>18.87</v>
      </c>
      <c r="G13" s="20" t="n">
        <v>0.2985</v>
      </c>
      <c r="H13" s="21" t="n">
        <v>0.59</v>
      </c>
      <c r="I13" s="21" t="n">
        <v>99.89</v>
      </c>
    </row>
    <row r="14">
      <c r="A14" s="7" t="inlineStr">
        <is>
          <t>M3B1</t>
        </is>
      </c>
      <c r="B14" s="28" t="n">
        <v>80.98</v>
      </c>
      <c r="C14" s="19" t="n">
        <v>6.42</v>
      </c>
      <c r="D14" s="11" t="inlineStr">
        <is>
          <t>184 – 395</t>
        </is>
      </c>
      <c r="E14" s="11" t="n">
        <v>211</v>
      </c>
      <c r="F14" s="11" t="n">
        <v>19.4</v>
      </c>
      <c r="G14" s="18" t="n">
        <v>0.3239</v>
      </c>
      <c r="H14" s="19" t="n">
        <v>1.37</v>
      </c>
      <c r="I14" s="19" t="n">
        <v>99.83</v>
      </c>
    </row>
    <row r="15">
      <c r="A15" s="12" t="inlineStr">
        <is>
          <t>M3B6</t>
        </is>
      </c>
      <c r="B15" s="29" t="n">
        <v>60.35</v>
      </c>
      <c r="C15" s="21" t="n">
        <v>4.78</v>
      </c>
      <c r="D15" s="13" t="inlineStr">
        <is>
          <t>235 – 499</t>
        </is>
      </c>
      <c r="E15" s="13" t="n">
        <v>264</v>
      </c>
      <c r="F15" s="13" t="n">
        <v>23.39</v>
      </c>
      <c r="G15" s="20" t="n">
        <v>0.3425</v>
      </c>
      <c r="H15" s="21" t="n">
        <v>1.08</v>
      </c>
      <c r="I15" s="21" t="n">
        <v>99.73999999999999</v>
      </c>
    </row>
    <row r="16">
      <c r="A16" s="7" t="inlineStr">
        <is>
          <t>M3B5</t>
        </is>
      </c>
      <c r="B16" s="28" t="n">
        <v>52.74</v>
      </c>
      <c r="C16" s="19" t="n">
        <v>4.18</v>
      </c>
      <c r="D16" s="11" t="inlineStr">
        <is>
          <t>221 – 401</t>
        </is>
      </c>
      <c r="E16" s="11" t="n">
        <v>180</v>
      </c>
      <c r="F16" s="11" t="n">
        <v>18.94</v>
      </c>
      <c r="G16" s="18" t="n">
        <v>0.283</v>
      </c>
      <c r="H16" s="19" t="n">
        <v>0.13</v>
      </c>
      <c r="I16" s="19" t="n">
        <v>99.89</v>
      </c>
    </row>
    <row r="17">
      <c r="A17" s="16" t="inlineStr">
        <is>
          <t>TOTAL / PROMEDIO</t>
        </is>
      </c>
      <c r="B17" s="33">
        <f>SUM(B10:B16)</f>
        <v/>
      </c>
      <c r="C17" s="23">
        <f>SUM(C10:C16)</f>
        <v/>
      </c>
      <c r="D17" s="17" t="inlineStr">
        <is>
          <t>184 – 562</t>
        </is>
      </c>
      <c r="E17" s="17" t="inlineStr"/>
      <c r="F17" s="17">
        <f>ROUND(AVERAGE(F10:F16),2)</f>
        <v/>
      </c>
      <c r="G17" s="22">
        <f>ROUND(AVERAGE(G10:G16),4)</f>
        <v/>
      </c>
      <c r="H17" s="23">
        <f>ROUND(AVERAGE(H10:H16),2)</f>
        <v/>
      </c>
      <c r="I17" s="23">
        <f>ROUND(AVERAGE(I10:I16),2)</f>
        <v/>
      </c>
    </row>
    <row r="19" ht="84" customHeight="1">
      <c r="A19" s="9" t="inlineStr">
        <is>
          <t>LECTURA INTRAMICROCUENCA. El bloque M3B7 ocupa el puesto 3 de 7 por superficie dentro de la microcuenca C1081-Q9582 (9.75 % de las 1261.62 ha preliminares de la microcuenca). Su pendiente promedio (18.21 %, clase «15-25% (Fuert. inclinado)») es la 3.ª más baja de 7 y se sitúa por debajo del promedio de la microcuenca (18.59 %). Su MSAVI 2024 (0.3707) es el 1.º de 7 y queda por encima del promedio local (0.3190). Amplitud altitudinal del bloque: 209 m (238–447 msnm). El cuadro conserva todos los bloques catalogados en la microcuenca, incluidos los descartados en el tamizaje, para referencia del conjunto. Los bloques sin ficha DT figuran con sus parámetros de gabinete. BRECHA ESPECTRAL. El 95.93 % de la superficie del bloque (117.943 ha de 122.946 ha) se sitúa bajo el umbral MSAVI 0.4976, por debajo del promedio local de la microcuenca (99.15 %) calculado sobre los bloques con dato MSAVI disponible.</t>
        </is>
      </c>
      <c r="B19" s="42" t="n"/>
      <c r="C19" s="42" t="n"/>
      <c r="D19" s="42" t="n"/>
      <c r="E19" s="42" t="n"/>
      <c r="F19" s="42" t="n"/>
      <c r="G19" s="42" t="n"/>
      <c r="H19" s="42" t="n"/>
      <c r="I19" s="43" t="n"/>
    </row>
    <row r="21" ht="60" customHeight="1">
      <c r="A21"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1" s="42" t="n"/>
      <c r="C21" s="42" t="n"/>
      <c r="D21" s="42" t="n"/>
      <c r="E21" s="42" t="n"/>
      <c r="F21" s="42" t="n"/>
      <c r="G21" s="42" t="n"/>
      <c r="H21" s="42" t="n"/>
      <c r="I21" s="43" t="n"/>
    </row>
  </sheetData>
  <mergeCells count="9">
    <mergeCell ref="A19:I19"/>
    <mergeCell ref="A2:I2"/>
    <mergeCell ref="A5:I5"/>
    <mergeCell ref="A1:I1"/>
    <mergeCell ref="A8:I8"/>
    <mergeCell ref="A3:I3"/>
    <mergeCell ref="A6:I6"/>
    <mergeCell ref="A4:I4"/>
    <mergeCell ref="A21:I2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4"/>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CONTROL DE CONSISTENCIA — BLOQUE M3B7</t>
        </is>
      </c>
    </row>
    <row r="6">
      <c r="A6" s="53" t="inlineStr">
        <is>
          <t>Cruce de la ficha de campo F-DT vigente con la ficha de resumen de gabinete y el catálogo maestro. Integración 2026-09-11 20:22:39.</t>
        </is>
      </c>
    </row>
    <row r="7">
      <c r="A7" s="55" t="inlineStr">
        <is>
          <t>DISCREPANCIAS Y VERIFICACIONES</t>
        </is>
      </c>
    </row>
    <row r="8">
      <c r="A8" s="56" t="inlineStr">
        <is>
          <t>Cod.</t>
        </is>
      </c>
      <c r="B8" s="56" t="inlineStr">
        <is>
          <t>Campo afectado</t>
        </is>
      </c>
      <c r="C8" s="56" t="inlineStr">
        <is>
          <t>Discrepancia observada</t>
        </is>
      </c>
      <c r="D8" s="56" t="inlineStr">
        <is>
          <t>Calificación</t>
        </is>
      </c>
      <c r="E8" s="56" t="inlineStr">
        <is>
          <t>Tratamiento adoptado</t>
        </is>
      </c>
    </row>
    <row r="9">
      <c r="A9" s="57" t="inlineStr">
        <is>
          <t>G-01</t>
        </is>
      </c>
      <c r="B9" s="57" t="inlineStr">
        <is>
          <t>Código de microcuenca</t>
        </is>
      </c>
      <c r="C9" s="57" t="inlineStr">
        <is>
          <t>Ficha DT y catálogo maestro coinciden en «C1081-Q9582».</t>
        </is>
      </c>
      <c r="D9" s="57" t="inlineStr">
        <is>
          <t>CONFORME</t>
        </is>
      </c>
      <c r="E9" s="57" t="inlineStr">
        <is>
          <t>Sin acción.</t>
        </is>
      </c>
    </row>
    <row r="10">
      <c r="A10" s="58" t="inlineStr">
        <is>
          <t>G-02</t>
        </is>
      </c>
      <c r="B10" s="58" t="inlineStr">
        <is>
          <t>UTM del punto de muestreo</t>
        </is>
      </c>
      <c r="C10" s="58" t="inlineStr">
        <is>
          <t>El punto de muestreo declarado dista 1277.5 m del centroide, dentro del radio de control.</t>
        </is>
      </c>
      <c r="D10" s="58" t="inlineStr">
        <is>
          <t>CONFORME</t>
        </is>
      </c>
      <c r="E10" s="58" t="inlineStr">
        <is>
          <t>Sin acción.</t>
        </is>
      </c>
    </row>
    <row r="11">
      <c r="A11" s="57" t="inlineStr">
        <is>
          <t>G-03</t>
        </is>
      </c>
      <c r="B11" s="57" t="inlineStr">
        <is>
          <t>Sistema de referencia UTM 17S</t>
        </is>
      </c>
      <c r="C11" s="57" t="inlineStr">
        <is>
          <t>Verificación de rango para EPSG:32717: Conforme.</t>
        </is>
      </c>
      <c r="D11" s="57" t="inlineStr">
        <is>
          <t>CONFORME</t>
        </is>
      </c>
      <c r="E11" s="57" t="inlineStr">
        <is>
          <t>Sin acción.</t>
        </is>
      </c>
    </row>
    <row r="12">
      <c r="A12" s="58" t="inlineStr">
        <is>
          <t>G-04</t>
        </is>
      </c>
      <c r="B12" s="58" t="inlineStr">
        <is>
          <t>Altitud del punto de muestreo</t>
        </is>
      </c>
      <c r="C12" s="58" t="inlineStr">
        <is>
          <t>La altitud GPS (260 msnm) cae dentro del rango altitudinal del bloque (238 - 447 msnm).</t>
        </is>
      </c>
      <c r="D12" s="58" t="inlineStr">
        <is>
          <t>CONFORME</t>
        </is>
      </c>
      <c r="E12" s="58" t="inlineStr">
        <is>
          <t>Sin acción.</t>
        </is>
      </c>
    </row>
    <row r="13">
      <c r="A13" s="57" t="inlineStr">
        <is>
          <t>G-05</t>
        </is>
      </c>
      <c r="B13" s="57" t="inlineStr">
        <is>
          <t>Superficie NDVI vs. catálogo</t>
        </is>
      </c>
      <c r="C13" s="57" t="inlineStr">
        <is>
          <t>La superficie clasificada por el NDVI mediana 2025 (122.987 ha) se desvía 0.03 % de la superficie de catálogo (122.95 ha).</t>
        </is>
      </c>
      <c r="D13" s="57" t="inlineStr">
        <is>
          <t>CONFORME</t>
        </is>
      </c>
      <c r="E13" s="57" t="inlineStr">
        <is>
          <t>Sin acción: la segmentación valida la geometría del bloque.</t>
        </is>
      </c>
    </row>
    <row r="14">
      <c r="A14" s="58" t="inlineStr">
        <is>
          <t>G-06</t>
        </is>
      </c>
      <c r="B14" s="58" t="inlineStr">
        <is>
          <t>Superficie MSAVI vs. catálogo</t>
        </is>
      </c>
      <c r="C14" s="58" t="inlineStr">
        <is>
          <t>La superficie clasificada por el MSAVI 2024 (122.946 ha) se desvía -0.00 % de la superficie de catálogo (122.95 ha).</t>
        </is>
      </c>
      <c r="D14" s="58" t="inlineStr">
        <is>
          <t>CONFORME</t>
        </is>
      </c>
      <c r="E14" s="58" t="inlineStr">
        <is>
          <t>Sin acción: la segmentación valida la geometría del bloque.</t>
        </is>
      </c>
    </row>
    <row r="15">
      <c r="A15" s="57" t="inlineStr">
        <is>
          <t>G-07</t>
        </is>
      </c>
      <c r="B15" s="57" t="inlineStr">
        <is>
          <t>Brecha espectral MSAVI</t>
        </is>
      </c>
      <c r="C15" s="57" t="inlineStr">
        <is>
          <t>El 95.93 % del bloque queda bajo el umbral 0.4976; superficie de brecha 117.94 ha.</t>
        </is>
      </c>
      <c r="D15" s="57" t="inlineStr">
        <is>
          <t>CONFORME</t>
        </is>
      </c>
      <c r="E15" s="57" t="inlineStr">
        <is>
          <t>Sin acción: alimenta el indicador de brecha del proyecto.</t>
        </is>
      </c>
    </row>
    <row r="16">
      <c r="A16" s="58" t="inlineStr">
        <is>
          <t>G-08</t>
        </is>
      </c>
      <c r="B16" s="58" t="inlineStr">
        <is>
          <t>Distribución areal MSAVI 2024</t>
        </is>
      </c>
      <c r="C16" s="58" t="inlineStr">
        <is>
          <t>La hoja de cobertura declara 5 clases DN con superficie, 122.95 ha clasificadas en total.</t>
        </is>
      </c>
      <c r="D16" s="58" t="inlineStr">
        <is>
          <t>CONFORME</t>
        </is>
      </c>
      <c r="E16" s="58" t="inlineStr">
        <is>
          <t>Sin acción: procede de la estadística zonal del raster MSAVI 2024 clasificado.</t>
        </is>
      </c>
    </row>
    <row r="17">
      <c r="A17" s="57" t="inlineStr">
        <is>
          <t>G-09</t>
        </is>
      </c>
      <c r="B17" s="57" t="inlineStr">
        <is>
          <t>Media MSAVI vs. clase DN dominante</t>
        </is>
      </c>
      <c r="C17" s="57" t="inlineStr">
        <is>
          <t>La media del bloque (0.3707) cae en la clase «0.2650 - 0.3813 (Vigor muy bajo)» y la clase DN dominante por superficie es «DN 2 · 0.2650 - 0.3813 (Vigor muy bajo)».</t>
        </is>
      </c>
      <c r="D17" s="57" t="inlineStr">
        <is>
          <t>CONFORME</t>
        </is>
      </c>
      <c r="E17" s="57" t="inlineStr">
        <is>
          <t>Sin acción: media y clase dominante son coherentes.</t>
        </is>
      </c>
    </row>
    <row r="18">
      <c r="A18" s="58" t="inlineStr">
        <is>
          <t>G-10</t>
        </is>
      </c>
      <c r="B18" s="58" t="inlineStr">
        <is>
          <t>Peligro integrado (MCA-AHP)</t>
        </is>
      </c>
      <c r="C18" s="58" t="inlineStr">
        <is>
          <t>El nivel de peligro integrado no está disponible en los insumos de este entregable.</t>
        </is>
      </c>
      <c r="D18" s="58" t="inlineStr">
        <is>
          <t>SUSTANTIVA</t>
        </is>
      </c>
      <c r="E18" s="58" t="inlineStr">
        <is>
          <t>Debe tomarse del modelamiento de mesolocalización (MCA-AHP de PMM, EPH y PGI) antes de cerrar el perfil.</t>
        </is>
      </c>
    </row>
    <row r="19">
      <c r="A19" s="57" t="inlineStr">
        <is>
          <t>F-01</t>
        </is>
      </c>
      <c r="B19" s="57" t="inlineStr">
        <is>
          <t>Fichas F-DT levantadas</t>
        </is>
      </c>
      <c r="C19" s="57" t="inlineStr">
        <is>
          <t>La plantilla de campo trae las cinco fichas F-DT-01 a F-DT-05 (completitud 100.0 % de los campos esperados).</t>
        </is>
      </c>
      <c r="D19" s="57" t="inlineStr">
        <is>
          <t>CONFORME</t>
        </is>
      </c>
      <c r="E19" s="57" t="inlineStr">
        <is>
          <t>Sin acción.</t>
        </is>
      </c>
    </row>
    <row r="20">
      <c r="A20" s="58" t="inlineStr">
        <is>
          <t>F-02</t>
        </is>
      </c>
      <c r="B20" s="58" t="inlineStr">
        <is>
          <t>Cobertura de la integración</t>
        </is>
      </c>
      <c r="C20" s="58" t="inlineStr">
        <is>
          <t>Se declararon 101 de 114 hechos integrados (88.6 %); 13 quedan sin dato en ninguna fuente.</t>
        </is>
      </c>
      <c r="D20" s="58" t="inlineStr">
        <is>
          <t>CONFORME</t>
        </is>
      </c>
      <c r="E20" s="58" t="inlineStr">
        <is>
          <t>Sin acción.</t>
        </is>
      </c>
    </row>
    <row r="21">
      <c r="A21" s="57" t="inlineStr">
        <is>
          <t>H-01</t>
        </is>
      </c>
      <c r="B21" s="57" t="inlineStr">
        <is>
          <t>Rango de pendiente dominante</t>
        </is>
      </c>
      <c r="C21" s="57" t="inlineStr">
        <is>
          <t>La ficha DT declara «25-50% (Mod. escarpado)»; la estadística zonal sobre el MDE arroja una pendiente promedio de 18.21 %, que corresponde a la clase «15-25% (Fuert. inclinado)»</t>
        </is>
      </c>
      <c r="D21" s="57" t="inlineStr">
        <is>
          <t>NO SUSTANTIVA</t>
        </is>
      </c>
      <c r="E21" s="5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2">
      <c r="A22" s="58" t="inlineStr">
        <is>
          <t>H-02</t>
        </is>
      </c>
      <c r="B22" s="58" t="inlineStr">
        <is>
          <t>Cobertura vegetal total</t>
        </is>
      </c>
      <c r="C22" s="58" t="inlineStr">
        <is>
          <t>La ficha DT estima 60 % de cobertura vegetal en campo; el NDVI mediana 2025 clasifica 99.26 % del polígono en clases de vegetación</t>
        </is>
      </c>
      <c r="D22" s="58" t="inlineStr">
        <is>
          <t>NO SUSTANTIVA</t>
        </is>
      </c>
      <c r="E22" s="58"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3">
      <c r="A23" s="57" t="inlineStr">
        <is>
          <t>H-03</t>
        </is>
      </c>
      <c r="B23" s="57" t="inlineStr">
        <is>
          <t>Elenco florístico</t>
        </is>
      </c>
      <c r="C23" s="57" t="inlineStr">
        <is>
          <t>La ficha registra 7 taxones, por debajo del mínimo de 15 que exige el formato V5</t>
        </is>
      </c>
      <c r="D23" s="57" t="inlineStr">
        <is>
          <t>SUSTANTIVA</t>
        </is>
      </c>
      <c r="E23" s="57" t="inlineStr">
        <is>
          <t>Registro florístico preliminar, sin colecta ni determinación botánica formal. Debe cerrarse con colecta botánica en la siguiente campaña. (Verificación heredada de la ficha de resumen V6.)</t>
        </is>
      </c>
    </row>
    <row r="24">
      <c r="A24" s="58" t="inlineStr">
        <is>
          <t>H-04</t>
        </is>
      </c>
      <c r="B24" s="58" t="inlineStr">
        <is>
          <t>Representatividad del levantamiento</t>
        </is>
      </c>
      <c r="C24" s="58" t="inlineStr">
        <is>
          <t>Ninguna de las estaciones fotográficas georreferenciadas se localiza dentro del polígono del bloque</t>
        </is>
      </c>
      <c r="D24" s="58" t="inlineStr">
        <is>
          <t>SUSTANTIVA</t>
        </is>
      </c>
      <c r="E24" s="58" t="inlineStr">
        <is>
          <t>La verificación documenta el perímetro y la vista panorámica del bloque, no su interior. Los parámetros que exigen recorrido interno se consignan «Por determinar». (Verificación heredada de la ficha de resumen V6.)</t>
        </is>
      </c>
    </row>
    <row r="25">
      <c r="A25" s="57" t="inlineStr">
        <is>
          <t>H-05</t>
        </is>
      </c>
      <c r="B25" s="57" t="inlineStr">
        <is>
          <t>Centro poblado asociado</t>
        </is>
      </c>
      <c r="C25" s="57" t="inlineStr">
        <is>
          <t>La ficha DT declara «Polluco; Sinaí»; el cruce INEI-Bloques V5 identifica 2 centro(s) poblado(s) en el bloque: POLLUCO, SINAI</t>
        </is>
      </c>
      <c r="D25" s="57" t="inlineStr">
        <is>
          <t>CONFORME</t>
        </is>
      </c>
      <c r="E25" s="57" t="inlineStr">
        <is>
          <t>Se conserva el registro de campo como referencia y se adopta el listado INEI para el diagnóstico social y el cálculo de población beneficiaria. (Verificación heredada de la ficha de resumen V6.)</t>
        </is>
      </c>
    </row>
    <row r="26">
      <c r="A26" s="58" t="inlineStr">
        <is>
          <t>H-06</t>
        </is>
      </c>
      <c r="B26" s="58" t="inlineStr">
        <is>
          <t>Plan de Ingreso</t>
        </is>
      </c>
      <c r="C26" s="58" t="inlineStr">
        <is>
          <t>Altitud = 0 msnm (captura por defecto del aplicativo)</t>
        </is>
      </c>
      <c r="D26" s="58" t="inlineStr">
        <is>
          <t>CORREGIDO</t>
        </is>
      </c>
      <c r="E26" s="58" t="inlineStr">
        <is>
          <t>Se reemplaza por la altitud GPS de campo (260 msnm) (Verificación heredada de la ficha de resumen V6.)</t>
        </is>
      </c>
    </row>
    <row r="27">
      <c r="A27" s="57" t="inlineStr">
        <is>
          <t>H-07</t>
        </is>
      </c>
      <c r="B27" s="57" t="inlineStr">
        <is>
          <t>F-DT-03</t>
        </is>
      </c>
      <c r="C27" s="57" t="inlineStr">
        <is>
          <t>Suelo desnudo 40% en F-DT-03 frente a 15% en el indicador N.° 2 de F-DT-04</t>
        </is>
      </c>
      <c r="D27" s="57" t="inlineStr">
        <is>
          <t>SUSTANTIVA</t>
        </is>
      </c>
      <c r="E27" s="57" t="inlineStr">
        <is>
          <t>Inconsistencia interna a resolver (Verificación heredada de la ficha de resumen V6.)</t>
        </is>
      </c>
    </row>
    <row r="28">
      <c r="A28" s="58" t="inlineStr">
        <is>
          <t>H-08</t>
        </is>
      </c>
      <c r="B28" s="58" t="inlineStr">
        <is>
          <t>F-DT-04</t>
        </is>
      </c>
      <c r="C28" s="58" t="inlineStr">
        <is>
          <t>Densidad de cárcavas 10 N.°/ha calificada «Bajo», incompatible con el umbral de la propia ficha (&gt;3 = alto)</t>
        </is>
      </c>
      <c r="D28" s="58" t="inlineStr">
        <is>
          <t>SUSTANTIVA</t>
        </is>
      </c>
      <c r="E28" s="58" t="inlineStr">
        <is>
          <t>Recalificar a nivel ALTO (Verificación heredada de la ficha de resumen V6.)</t>
        </is>
      </c>
    </row>
    <row r="29">
      <c r="A29" s="57" t="inlineStr">
        <is>
          <t>H-09</t>
        </is>
      </c>
      <c r="B29" s="57" t="inlineStr">
        <is>
          <t>F-DT-05</t>
        </is>
      </c>
      <c r="C29" s="57" t="inlineStr">
        <is>
          <t>Zona de recarga «No» y escorrentía concentrada «No», pese a 15 cárcavas activas por concentración de escorrentía</t>
        </is>
      </c>
      <c r="D29" s="57" t="inlineStr">
        <is>
          <t>SUSTANTIVA</t>
        </is>
      </c>
      <c r="E29" s="57" t="inlineStr">
        <is>
          <t>Inconsistencia interna a resolver (Verificación heredada de la ficha de resumen V6.)</t>
        </is>
      </c>
    </row>
    <row r="30">
      <c r="A30" s="58" t="inlineStr">
        <is>
          <t>H-10</t>
        </is>
      </c>
      <c r="B30" s="58" t="inlineStr">
        <is>
          <t>F-DS-02</t>
        </is>
      </c>
      <c r="C30" s="58" t="inlineStr">
        <is>
          <t>La ficha social consigna microcuenca C1076-Q9584 (valor heredado de plantilla)</t>
        </is>
      </c>
      <c r="D30" s="58" t="inlineStr">
        <is>
          <t>NO SUSTANTIVA</t>
        </is>
      </c>
      <c r="E30" s="58" t="inlineStr">
        <is>
          <t>Se conserva la microcuenca del catálogo C1081-Q9582 (Verificación heredada de la ficha de resumen V6.)</t>
        </is>
      </c>
    </row>
    <row r="32">
      <c r="A32" s="59" t="inlineStr">
        <is>
          <t>RESUMEN</t>
        </is>
      </c>
      <c r="B32" s="60" t="inlineStr">
        <is>
          <t>22 verificaciones</t>
        </is>
      </c>
      <c r="C32" s="60" t="inlineStr">
        <is>
          <t>SUSTANTIVA: 6 · NO SUSTANTIVA: 3 · CORREGIDO: 1 · CONFORME: 12</t>
        </is>
      </c>
    </row>
    <row r="34">
      <c r="A34" s="61"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34:E34"/>
    <mergeCell ref="A4:E4"/>
    <mergeCell ref="A2:E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0"/>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INTEGRACIÓN DE LA FICHA DE CAMPO — BLOQUE M3B7</t>
        </is>
      </c>
    </row>
    <row r="7">
      <c r="A7" s="55" t="inlineStr">
        <is>
          <t>A. HECHOS ACTUALIZADOS POR LA VERIFICACIÓN DE CAMPO</t>
        </is>
      </c>
    </row>
    <row r="8">
      <c r="A8" s="56" t="inlineStr">
        <is>
          <t>Sección</t>
        </is>
      </c>
      <c r="B8" s="56" t="inlineStr">
        <is>
          <t>Hecho</t>
        </is>
      </c>
      <c r="C8" s="56" t="inlineStr">
        <is>
          <t>Valor en la ficha V6</t>
        </is>
      </c>
      <c r="D8" s="56" t="inlineStr">
        <is>
          <t>Valor de campo vigente</t>
        </is>
      </c>
      <c r="E8" s="56" t="inlineStr">
        <is>
          <t>Fuente que manda</t>
        </is>
      </c>
    </row>
    <row r="9">
      <c r="A9" s="57" t="inlineStr">
        <is>
          <t>—</t>
        </is>
      </c>
      <c r="B9" s="57" t="inlineStr">
        <is>
          <t>Sin cambios: la ficha de campo confirma el libro V6</t>
        </is>
      </c>
      <c r="C9" s="57" t="inlineStr"/>
      <c r="D9" s="57" t="inlineStr"/>
      <c r="E9" s="57" t="inlineStr"/>
    </row>
    <row r="11">
      <c r="A11" s="55" t="inlineStr">
        <is>
          <t>B. HECHOS APORTADOS ÚNICAMENTE POR LA FICHA DE CAMPO</t>
        </is>
      </c>
    </row>
    <row r="12">
      <c r="A12" s="56" t="inlineStr">
        <is>
          <t>Sección</t>
        </is>
      </c>
      <c r="B12" s="56" t="inlineStr">
        <is>
          <t>Hecho</t>
        </is>
      </c>
      <c r="C12" s="56" t="inlineStr">
        <is>
          <t>Valor</t>
        </is>
      </c>
      <c r="D12" s="56" t="inlineStr">
        <is>
          <t>Unidad</t>
        </is>
      </c>
    </row>
    <row r="13">
      <c r="A13" s="57" t="inlineStr">
        <is>
          <t>1. Identificación y localización</t>
        </is>
      </c>
      <c r="B13" s="57" t="inlineStr">
        <is>
          <t>UTM ESTE del punto de muestreo (m)</t>
        </is>
      </c>
      <c r="C13" s="57" t="inlineStr">
        <is>
          <t>637368</t>
        </is>
      </c>
      <c r="D13" s="57" t="inlineStr">
        <is>
          <t>m</t>
        </is>
      </c>
    </row>
    <row r="14">
      <c r="A14" s="58" t="inlineStr">
        <is>
          <t>1. Identificación y localización</t>
        </is>
      </c>
      <c r="B14" s="58" t="inlineStr">
        <is>
          <t>UTM NORTE del punto de muestreo (m)</t>
        </is>
      </c>
      <c r="C14" s="58" t="inlineStr">
        <is>
          <t>9414353</t>
        </is>
      </c>
      <c r="D14" s="58" t="inlineStr">
        <is>
          <t>m</t>
        </is>
      </c>
    </row>
    <row r="15">
      <c r="A15" s="57" t="inlineStr">
        <is>
          <t>2. Parámetros físicos del terreno</t>
        </is>
      </c>
      <c r="B15" s="57" t="inlineStr">
        <is>
          <t>Altitud GPS del punto de muestreo (msnm)</t>
        </is>
      </c>
      <c r="C15" s="57" t="inlineStr">
        <is>
          <t>260</t>
        </is>
      </c>
      <c r="D15" s="57" t="inlineStr">
        <is>
          <t>msnm</t>
        </is>
      </c>
    </row>
    <row r="16">
      <c r="A16" s="58" t="inlineStr">
        <is>
          <t>2. Parámetros físicos del terreno</t>
        </is>
      </c>
      <c r="B16" s="58" t="inlineStr">
        <is>
          <t>Piso altitudinal del punto de muestreo</t>
        </is>
      </c>
      <c r="C16" s="58" t="inlineStr">
        <is>
          <t>&lt;1000 m (Yunga)</t>
        </is>
      </c>
      <c r="D16" s="58" t="inlineStr"/>
    </row>
    <row r="17">
      <c r="A17" s="57" t="inlineStr">
        <is>
          <t>2. Parámetros físicos del terreno</t>
        </is>
      </c>
      <c r="B17" s="57" t="inlineStr">
        <is>
          <t>Paisaje dominante descrito en campo</t>
        </is>
      </c>
      <c r="C17" s="57" t="inlineStr">
        <is>
          <t>Sistema de laderas convexo-cóncavas tributarias de la quebrada Q9582 (microcuenca C1081); ladera media colinosa sobre terrenos de cultivo y vía afirmada.</t>
        </is>
      </c>
      <c r="D17" s="57" t="inlineStr"/>
    </row>
    <row r="18">
      <c r="A18" s="58" t="inlineStr">
        <is>
          <t>2. Parámetros físicos del terreno</t>
        </is>
      </c>
      <c r="B18" s="58" t="inlineStr">
        <is>
          <t>Reptación de suelo</t>
        </is>
      </c>
      <c r="C18" s="58" t="inlineStr">
        <is>
          <t>No</t>
        </is>
      </c>
      <c r="D18" s="58" t="inlineStr"/>
    </row>
    <row r="19">
      <c r="A19" s="57" t="inlineStr">
        <is>
          <t>2. Parámetros físicos del terreno</t>
        </is>
      </c>
      <c r="B19" s="57" t="inlineStr">
        <is>
          <t>Deslizamientos antiguos</t>
        </is>
      </c>
      <c r="C19" s="57" t="inlineStr">
        <is>
          <t>No</t>
        </is>
      </c>
      <c r="D19" s="57" t="inlineStr"/>
    </row>
    <row r="20">
      <c r="A20" s="58" t="inlineStr">
        <is>
          <t>4. Suelos y erosión (F-DT-02)</t>
        </is>
      </c>
      <c r="B20" s="58" t="inlineStr">
        <is>
          <t>Nivel de erosión - síntesis de campo</t>
        </is>
      </c>
      <c r="C20" s="58" t="inlineStr">
        <is>
          <t>Fuerte (cárcavas incipientes)</t>
        </is>
      </c>
      <c r="D20" s="58" t="inlineStr"/>
    </row>
    <row r="21">
      <c r="A21" s="57" t="inlineStr">
        <is>
          <t>4. Suelos y erosión (F-DT-02)</t>
        </is>
      </c>
      <c r="B21" s="57" t="inlineStr">
        <is>
          <t>Sellamiento / costra superficial</t>
        </is>
      </c>
      <c r="C21" s="57" t="inlineStr">
        <is>
          <t>No</t>
        </is>
      </c>
      <c r="D21" s="57" t="inlineStr"/>
    </row>
    <row r="22">
      <c r="A22" s="58" t="inlineStr">
        <is>
          <t>4. Suelos y erosión (F-DT-02)</t>
        </is>
      </c>
      <c r="B22" s="58" t="inlineStr">
        <is>
          <t>Compactación por pisoteo</t>
        </is>
      </c>
      <c r="C22" s="58" t="inlineStr">
        <is>
          <t>Sí</t>
        </is>
      </c>
      <c r="D22" s="58" t="inlineStr"/>
    </row>
    <row r="23">
      <c r="A23" s="57" t="inlineStr">
        <is>
          <t>4. Suelos y erosión (F-DT-02)</t>
        </is>
      </c>
      <c r="B23" s="57" t="inlineStr">
        <is>
          <t>Raíces expuestas</t>
        </is>
      </c>
      <c r="C23" s="57" t="inlineStr">
        <is>
          <t>Sí</t>
        </is>
      </c>
      <c r="D23" s="57" t="inlineStr"/>
    </row>
    <row r="24">
      <c r="A24" s="58" t="inlineStr">
        <is>
          <t>4. Suelos y erosión (F-DT-02)</t>
        </is>
      </c>
      <c r="B24" s="58" t="inlineStr">
        <is>
          <t>% del bloque afectado por cárcavas</t>
        </is>
      </c>
      <c r="C24" s="58" t="inlineStr">
        <is>
          <t>5</t>
        </is>
      </c>
      <c r="D24" s="58" t="inlineStr">
        <is>
          <t>%</t>
        </is>
      </c>
    </row>
    <row r="25">
      <c r="A25" s="57" t="inlineStr">
        <is>
          <t>4. Suelos y erosión (F-DT-02)</t>
        </is>
      </c>
      <c r="B25" s="57" t="inlineStr">
        <is>
          <t>Patrón de cárcavas</t>
        </is>
      </c>
      <c r="C25" s="57" t="inlineStr">
        <is>
          <t>Paralelo</t>
        </is>
      </c>
      <c r="D25" s="57" t="inlineStr"/>
    </row>
    <row r="26">
      <c r="A26" s="58" t="inlineStr">
        <is>
          <t>4. Suelos y erosión (F-DT-02)</t>
        </is>
      </c>
      <c r="B26" s="58" t="inlineStr">
        <is>
          <t>Socavamiento de cauce</t>
        </is>
      </c>
      <c r="C26" s="58" t="inlineStr">
        <is>
          <t>No</t>
        </is>
      </c>
      <c r="D26" s="58" t="inlineStr"/>
    </row>
    <row r="27">
      <c r="A27" s="57" t="inlineStr">
        <is>
          <t>5. Ecosistema, cobertura y flora (F-DT-03)</t>
        </is>
      </c>
      <c r="B27" s="57" t="inlineStr">
        <is>
          <t>Cobertura del dosel (%)</t>
        </is>
      </c>
      <c r="C27" s="57" t="inlineStr">
        <is>
          <t>40</t>
        </is>
      </c>
      <c r="D27" s="57" t="inlineStr">
        <is>
          <t>%</t>
        </is>
      </c>
    </row>
    <row r="28">
      <c r="A28" s="58" t="inlineStr">
        <is>
          <t>5. Ecosistema, cobertura y flora (F-DT-03)</t>
        </is>
      </c>
      <c r="B28" s="58" t="inlineStr">
        <is>
          <t>Cobertura herbácea (%)</t>
        </is>
      </c>
      <c r="C28" s="58" t="inlineStr">
        <is>
          <t>20</t>
        </is>
      </c>
      <c r="D28" s="58" t="inlineStr">
        <is>
          <t>%</t>
        </is>
      </c>
    </row>
    <row r="29">
      <c r="A29" s="57" t="inlineStr">
        <is>
          <t>5. Ecosistema, cobertura y flora (F-DT-03)</t>
        </is>
      </c>
      <c r="B29" s="57" t="inlineStr">
        <is>
          <t>Altura máxima registrada (m)</t>
        </is>
      </c>
      <c r="C29" s="57" t="inlineStr">
        <is>
          <t>10</t>
        </is>
      </c>
      <c r="D29" s="57" t="inlineStr">
        <is>
          <t>m</t>
        </is>
      </c>
    </row>
    <row r="30">
      <c r="A30" s="58" t="inlineStr">
        <is>
          <t>5. Ecosistema, cobertura y flora (F-DT-03)</t>
        </is>
      </c>
      <c r="B30" s="58" t="inlineStr">
        <is>
          <t>Presencia de epífitas</t>
        </is>
      </c>
      <c r="C30" s="58" t="inlineStr">
        <is>
          <t>Sí</t>
        </is>
      </c>
      <c r="D30" s="58" t="inlineStr"/>
    </row>
    <row r="31">
      <c r="A31" s="57" t="inlineStr">
        <is>
          <t>5. Ecosistema, cobertura y flora (F-DT-03)</t>
        </is>
      </c>
      <c r="B31" s="57" t="inlineStr">
        <is>
          <t>Fenología dominante</t>
        </is>
      </c>
      <c r="C31" s="57" t="inlineStr">
        <is>
          <t>Vegetativo</t>
        </is>
      </c>
      <c r="D31" s="57" t="inlineStr"/>
    </row>
    <row r="32">
      <c r="A32" s="58" t="inlineStr">
        <is>
          <t>6. Degradación, causas y urgencia (F-DT-04)</t>
        </is>
      </c>
      <c r="B32" s="58" t="inlineStr">
        <is>
          <t>Causas directas de la degradación</t>
        </is>
      </c>
      <c r="C32" s="58" t="inlineStr">
        <is>
          <t>Extracción de individuos para leña y sobrepastoreo de ganado caprino.</t>
        </is>
      </c>
      <c r="D32" s="58" t="inlineStr"/>
    </row>
    <row r="33">
      <c r="A33" s="57" t="inlineStr">
        <is>
          <t>6. Degradación, causas y urgencia (F-DT-04)</t>
        </is>
      </c>
      <c r="B33" s="57" t="inlineStr">
        <is>
          <t>N.° de causas activas en la matriz F-DT-04</t>
        </is>
      </c>
      <c r="C33" s="57" t="inlineStr">
        <is>
          <t>3</t>
        </is>
      </c>
      <c r="D33" s="57" t="inlineStr"/>
    </row>
    <row r="34">
      <c r="A34" s="58" t="inlineStr">
        <is>
          <t>7. Hidrología, acceso y logística (F-DT-05)</t>
        </is>
      </c>
      <c r="B34" s="58" t="inlineStr">
        <is>
          <t>Escorrentía concentrada</t>
        </is>
      </c>
      <c r="C34" s="58" t="inlineStr">
        <is>
          <t>No</t>
        </is>
      </c>
      <c r="D34" s="58" t="inlineStr"/>
    </row>
    <row r="35">
      <c r="A35" s="57" t="inlineStr">
        <is>
          <t>7. Hidrología, acceso y logística (F-DT-05)</t>
        </is>
      </c>
      <c r="B35" s="57" t="inlineStr">
        <is>
          <t>Fuentes de agua inventariadas</t>
        </is>
      </c>
      <c r="C35" s="57" t="inlineStr">
        <is>
          <t>1</t>
        </is>
      </c>
      <c r="D35" s="57" t="inlineStr"/>
    </row>
    <row r="36">
      <c r="A36" s="58" t="inlineStr">
        <is>
          <t>7. Hidrología, acceso y logística (F-DT-05)</t>
        </is>
      </c>
      <c r="B36" s="58" t="inlineStr">
        <is>
          <t>Distancia a captación (m)</t>
        </is>
      </c>
      <c r="C36" s="58" t="inlineStr">
        <is>
          <t>300</t>
        </is>
      </c>
      <c r="D36" s="58" t="inlineStr">
        <is>
          <t>m</t>
        </is>
      </c>
    </row>
    <row r="37">
      <c r="A37" s="57" t="inlineStr">
        <is>
          <t>7. Hidrología, acceso y logística (F-DT-05)</t>
        </is>
      </c>
      <c r="B37" s="57" t="inlineStr">
        <is>
          <t>Interferencia con riego</t>
        </is>
      </c>
      <c r="C37" s="57" t="inlineStr">
        <is>
          <t>No</t>
        </is>
      </c>
      <c r="D37" s="57" t="inlineStr"/>
    </row>
    <row r="38">
      <c r="A38" s="58" t="inlineStr">
        <is>
          <t>7. Hidrología, acceso y logística (F-DT-05)</t>
        </is>
      </c>
      <c r="B38" s="58" t="inlineStr">
        <is>
          <t>Vía principal de acceso</t>
        </is>
      </c>
      <c r="C38" s="58" t="inlineStr">
        <is>
          <t>Vía vecinal afirmada San Juan de Bigote - Polluco</t>
        </is>
      </c>
      <c r="D38" s="58" t="inlineStr"/>
    </row>
    <row r="39">
      <c r="A39" s="57" t="inlineStr">
        <is>
          <t>7. Hidrología, acceso y logística (F-DT-05)</t>
        </is>
      </c>
      <c r="B39" s="57" t="inlineStr">
        <is>
          <t>Tipo de vía del tramo final</t>
        </is>
      </c>
      <c r="C39" s="57" t="inlineStr">
        <is>
          <t>Vecinal afirmada</t>
        </is>
      </c>
      <c r="D39" s="57" t="inlineStr"/>
    </row>
    <row r="40">
      <c r="A40" s="58" t="inlineStr">
        <is>
          <t>7. Hidrología, acceso y logística (F-DT-05)</t>
        </is>
      </c>
      <c r="B40" s="58" t="inlineStr">
        <is>
          <t>Transitabilidad en época seca</t>
        </is>
      </c>
      <c r="C40" s="58" t="inlineStr">
        <is>
          <t>Bajo</t>
        </is>
      </c>
      <c r="D40" s="58" t="inlineStr"/>
    </row>
    <row r="41">
      <c r="A41" s="57" t="inlineStr">
        <is>
          <t>7. Hidrología, acceso y logística (F-DT-05)</t>
        </is>
      </c>
      <c r="B41" s="57" t="inlineStr">
        <is>
          <t>Transitabilidad en época lluviosa</t>
        </is>
      </c>
      <c r="C41" s="57" t="inlineStr">
        <is>
          <t>Bajo</t>
        </is>
      </c>
      <c r="D41" s="57" t="inlineStr"/>
    </row>
    <row r="42">
      <c r="A42" s="58" t="inlineStr">
        <is>
          <t>7. Hidrología, acceso y logística (F-DT-05)</t>
        </is>
      </c>
      <c r="B42" s="58" t="inlineStr">
        <is>
          <t>Tiempo a la capital distrital (min)</t>
        </is>
      </c>
      <c r="C42" s="58" t="inlineStr">
        <is>
          <t>10</t>
        </is>
      </c>
      <c r="D42" s="58" t="inlineStr">
        <is>
          <t>min</t>
        </is>
      </c>
    </row>
    <row r="43">
      <c r="A43" s="57" t="inlineStr">
        <is>
          <t>7. Hidrología, acceso y logística (F-DT-05)</t>
        </is>
      </c>
      <c r="B43" s="57" t="inlineStr">
        <is>
          <t>Señal celular</t>
        </is>
      </c>
      <c r="C43" s="57" t="inlineStr">
        <is>
          <t>Intermitente</t>
        </is>
      </c>
      <c r="D43" s="57" t="inlineStr"/>
    </row>
    <row r="44">
      <c r="A44" s="58" t="inlineStr">
        <is>
          <t>7. Hidrología, acceso y logística (F-DT-05)</t>
        </is>
      </c>
      <c r="B44" s="58" t="inlineStr">
        <is>
          <t>Operador con cobertura</t>
        </is>
      </c>
      <c r="C44" s="58" t="inlineStr">
        <is>
          <t>Entel</t>
        </is>
      </c>
      <c r="D44" s="58" t="inlineStr"/>
    </row>
    <row r="45">
      <c r="A45" s="57" t="inlineStr">
        <is>
          <t>7. Hidrología, acceso y logística (F-DT-05)</t>
        </is>
      </c>
      <c r="B45" s="57" t="inlineStr">
        <is>
          <t>Alojamiento disponible en la zona</t>
        </is>
      </c>
      <c r="C45" s="57" t="inlineStr">
        <is>
          <t>No</t>
        </is>
      </c>
      <c r="D45" s="57" t="inlineStr"/>
    </row>
    <row r="46">
      <c r="A46" s="58" t="inlineStr">
        <is>
          <t>7. Hidrología, acceso y logística (F-DT-05)</t>
        </is>
      </c>
      <c r="B46" s="58" t="inlineStr">
        <is>
          <t>Requiere coordinación con ronda / comunidad</t>
        </is>
      </c>
      <c r="C46" s="58" t="inlineStr">
        <is>
          <t>Sí</t>
        </is>
      </c>
      <c r="D46" s="58" t="inlineStr"/>
    </row>
    <row r="48">
      <c r="A48" s="55" t="inlineStr">
        <is>
          <t>C. PROCEDENCIA DE LOS HECHOS DECLARADOS</t>
        </is>
      </c>
    </row>
    <row r="49">
      <c r="A49" s="56" t="inlineStr">
        <is>
          <t>Fuente</t>
        </is>
      </c>
      <c r="B49" s="56" t="inlineStr">
        <is>
          <t>Hechos</t>
        </is>
      </c>
      <c r="C49" s="56" t="inlineStr">
        <is>
          <t>Alcance de la fuente</t>
        </is>
      </c>
    </row>
    <row r="50">
      <c r="A50" s="57" t="inlineStr">
        <is>
          <t>Dato de campo</t>
        </is>
      </c>
      <c r="B50" s="57" t="n">
        <v>62</v>
      </c>
      <c r="C50" s="57" t="inlineStr">
        <is>
          <t>Verificación en campo. Fichas F-DT-01 a F-DT-05 de la Plantilla DT Campo Check Validada V5, suscritas por el evaluador.</t>
        </is>
      </c>
    </row>
    <row r="51">
      <c r="A51" s="58" t="inlineStr">
        <is>
          <t>Gabinete (GIS / teledetección)</t>
        </is>
      </c>
      <c r="B51" s="58" t="n">
        <v>25</v>
      </c>
      <c r="C51" s="58" t="inlineStr">
        <is>
          <t>Gabinete. Estadística zonal sobre el MDE y compuestos Sentinel-2 (NDVI mediana 2025, MSAVI 2024 por clase DN).</t>
        </is>
      </c>
    </row>
    <row r="52">
      <c r="A52" s="57" t="inlineStr">
        <is>
          <t>Fuente oficial</t>
        </is>
      </c>
      <c r="B52" s="57" t="n">
        <v>14</v>
      </c>
      <c r="C52" s="57" t="inlineStr">
        <is>
          <t>Fuente oficial. Catálogo maestro Bloques V5/V6, división política INEI y codificación de microcuencas de la ANA.</t>
        </is>
      </c>
    </row>
    <row r="54">
      <c r="A54" s="55" t="inlineStr">
        <is>
          <t>D. ESTADO DEL CRUCE ENTRE FUENTES</t>
        </is>
      </c>
    </row>
    <row r="55">
      <c r="A55" s="56" t="inlineStr">
        <is>
          <t>Estado</t>
        </is>
      </c>
      <c r="B55" s="56" t="inlineStr">
        <is>
          <t>Hechos</t>
        </is>
      </c>
      <c r="C55" s="56" t="inlineStr">
        <is>
          <t>Significado</t>
        </is>
      </c>
    </row>
    <row r="56">
      <c r="A56" s="57" t="inlineStr">
        <is>
          <t>CONFORME</t>
        </is>
      </c>
      <c r="B56" s="57" t="n">
        <v>98</v>
      </c>
      <c r="C56" s="57" t="inlineStr">
        <is>
          <t>Las dos fuentes declaran lo mismo, o solo la fuente que manda sobre el hecho lo declara.</t>
        </is>
      </c>
    </row>
    <row r="57">
      <c r="A57" s="58" t="inlineStr">
        <is>
          <t>COMPLEMENTADO</t>
        </is>
      </c>
      <c r="B57" s="58" t="n">
        <v>3</v>
      </c>
      <c r="C57" s="58" t="inlineStr">
        <is>
          <t>Solo una de las fuentes lo declara y se adopta ese valor.</t>
        </is>
      </c>
    </row>
    <row r="58">
      <c r="A58" s="57" t="inlineStr">
        <is>
          <t>ACTUALIZADO</t>
        </is>
      </c>
      <c r="B58" s="57" t="n">
        <v>0</v>
      </c>
      <c r="C58" s="57" t="inlineStr">
        <is>
          <t>La verificación de campo vigente corrige lo que traía el libro de resumen.</t>
        </is>
      </c>
    </row>
    <row r="59">
      <c r="A59" s="58" t="inlineStr">
        <is>
          <t>DISCREPANTE</t>
        </is>
      </c>
      <c r="B59" s="58" t="n">
        <v>0</v>
      </c>
      <c r="C59" s="58" t="inlineStr">
        <is>
          <t>Las fuentes se contradicen; prevalece la que manda sobre el hecho y la otra queda declarada.</t>
        </is>
      </c>
    </row>
    <row r="60">
      <c r="A60" s="57" t="inlineStr">
        <is>
          <t>PENDIENTE</t>
        </is>
      </c>
      <c r="B60" s="57" t="n">
        <v>13</v>
      </c>
      <c r="C60" s="57"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3"/>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REGISTRO DE CAMPO F-DT-01 A F-DT-05 — BLOQUE M3B7</t>
        </is>
      </c>
    </row>
    <row r="7">
      <c r="A7" s="55" t="inlineStr">
        <is>
          <t>F-DT-02 · INVENTARIO DE CÁRCAVAS</t>
        </is>
      </c>
    </row>
    <row r="8">
      <c r="A8" s="56" t="inlineStr">
        <is>
          <t>Código</t>
        </is>
      </c>
      <c r="B8" s="56" t="inlineStr">
        <is>
          <t>Tipo</t>
        </is>
      </c>
      <c r="C8" s="56" t="inlineStr">
        <is>
          <t>UTM E ini.</t>
        </is>
      </c>
      <c r="D8" s="56" t="inlineStr">
        <is>
          <t>UTM N ini.</t>
        </is>
      </c>
      <c r="E8" s="56" t="inlineStr">
        <is>
          <t>Longitud (m)</t>
        </is>
      </c>
      <c r="F8" s="56" t="inlineStr">
        <is>
          <t>Prof. (m)</t>
        </is>
      </c>
      <c r="G8" s="56" t="inlineStr">
        <is>
          <t>Ancho (m)</t>
        </is>
      </c>
      <c r="H8" s="56" t="inlineStr">
        <is>
          <t>Estado</t>
        </is>
      </c>
      <c r="I8" s="56" t="inlineStr">
        <is>
          <t>Causa</t>
        </is>
      </c>
    </row>
    <row r="9">
      <c r="A9" s="57" t="inlineStr">
        <is>
          <t>C-01</t>
        </is>
      </c>
      <c r="B9" s="57" t="inlineStr">
        <is>
          <t>Cárcava somera (0.5-2 m)</t>
        </is>
      </c>
      <c r="C9" s="62" t="n">
        <v>637368</v>
      </c>
      <c r="D9" s="62" t="n">
        <v>9414353</v>
      </c>
      <c r="E9" s="62" t="n">
        <v>15</v>
      </c>
      <c r="F9" s="63" t="n">
        <v>0.5</v>
      </c>
      <c r="G9" s="63" t="n">
        <v>2</v>
      </c>
      <c r="H9" s="57" t="inlineStr">
        <is>
          <t>Activa</t>
        </is>
      </c>
      <c r="I9" s="57" t="inlineStr">
        <is>
          <t>Caminos / huellas de ganado</t>
        </is>
      </c>
    </row>
    <row r="10">
      <c r="A10" s="58" t="inlineStr">
        <is>
          <t>C-02</t>
        </is>
      </c>
      <c r="B10" s="58" t="inlineStr">
        <is>
          <t>Cárcava somera (0.5-2 m)</t>
        </is>
      </c>
      <c r="C10" s="64" t="n">
        <v>637352</v>
      </c>
      <c r="D10" s="64" t="n">
        <v>9414391</v>
      </c>
      <c r="E10" s="64" t="n">
        <v>30</v>
      </c>
      <c r="F10" s="65" t="n">
        <v>0.5</v>
      </c>
      <c r="G10" s="65" t="n">
        <v>1.5</v>
      </c>
      <c r="H10" s="58" t="inlineStr">
        <is>
          <t>Activa</t>
        </is>
      </c>
      <c r="I10" s="58" t="inlineStr">
        <is>
          <t>Caminos / huellas de ganado</t>
        </is>
      </c>
    </row>
    <row r="11">
      <c r="A11" s="57" t="inlineStr">
        <is>
          <t>C-03</t>
        </is>
      </c>
      <c r="B11" s="57" t="inlineStr">
        <is>
          <t>Cárcava incipiente (30-50 cm)</t>
        </is>
      </c>
      <c r="C11" s="62" t="n">
        <v>637371</v>
      </c>
      <c r="D11" s="62" t="n">
        <v>9414397</v>
      </c>
      <c r="E11" s="62" t="n">
        <v>10</v>
      </c>
      <c r="F11" s="63" t="n">
        <v>0.3</v>
      </c>
      <c r="G11" s="63" t="n">
        <v>0.5</v>
      </c>
      <c r="H11" s="57" t="inlineStr">
        <is>
          <t>Activa</t>
        </is>
      </c>
      <c r="I11" s="57" t="inlineStr">
        <is>
          <t>Caminos / huellas de ganado</t>
        </is>
      </c>
    </row>
    <row r="12">
      <c r="A12" s="58" t="inlineStr">
        <is>
          <t>C-04</t>
        </is>
      </c>
      <c r="B12" s="58" t="inlineStr">
        <is>
          <t>Cárcava somera (0.5-2 m)</t>
        </is>
      </c>
      <c r="C12" s="64" t="n">
        <v>637400</v>
      </c>
      <c r="D12" s="64" t="n">
        <v>9414445</v>
      </c>
      <c r="E12" s="64" t="n">
        <v>50</v>
      </c>
      <c r="F12" s="65" t="n">
        <v>0.5</v>
      </c>
      <c r="G12" s="65" t="n">
        <v>1.5</v>
      </c>
      <c r="H12" s="58" t="inlineStr">
        <is>
          <t>Activa</t>
        </is>
      </c>
      <c r="I12" s="58" t="inlineStr">
        <is>
          <t>Caminos / huellas de ganado</t>
        </is>
      </c>
    </row>
    <row r="13">
      <c r="A13" s="57" t="inlineStr">
        <is>
          <t>C-05</t>
        </is>
      </c>
      <c r="B13" s="57" t="inlineStr">
        <is>
          <t>Cárcava incipiente (30-50 cm)</t>
        </is>
      </c>
      <c r="C13" s="62" t="n">
        <v>637417</v>
      </c>
      <c r="D13" s="62" t="n">
        <v>9414458</v>
      </c>
      <c r="E13" s="62" t="n">
        <v>20</v>
      </c>
      <c r="F13" s="63" t="n">
        <v>0.3</v>
      </c>
      <c r="G13" s="63" t="n">
        <v>1</v>
      </c>
      <c r="H13" s="57" t="inlineStr">
        <is>
          <t>Activa</t>
        </is>
      </c>
      <c r="I13" s="57" t="inlineStr">
        <is>
          <t>Caminos / huellas de ganado</t>
        </is>
      </c>
    </row>
    <row r="14">
      <c r="A14" s="58" t="inlineStr">
        <is>
          <t>C-06</t>
        </is>
      </c>
      <c r="B14" s="58" t="inlineStr">
        <is>
          <t>Cárcava incipiente (30-50 cm)</t>
        </is>
      </c>
      <c r="C14" s="64" t="n">
        <v>637487</v>
      </c>
      <c r="D14" s="64" t="n">
        <v>9414495</v>
      </c>
      <c r="E14" s="64" t="n">
        <v>30</v>
      </c>
      <c r="F14" s="65" t="n">
        <v>0.3</v>
      </c>
      <c r="G14" s="65" t="n">
        <v>0.5</v>
      </c>
      <c r="H14" s="58" t="inlineStr">
        <is>
          <t>Activa</t>
        </is>
      </c>
      <c r="I14" s="58" t="inlineStr">
        <is>
          <t>Caminos / huellas de ganado</t>
        </is>
      </c>
    </row>
    <row r="15">
      <c r="A15" s="57" t="inlineStr">
        <is>
          <t>C-07</t>
        </is>
      </c>
      <c r="B15" s="57" t="inlineStr">
        <is>
          <t>Cárcava somera (0.5-2 m)</t>
        </is>
      </c>
      <c r="C15" s="62" t="n">
        <v>637498</v>
      </c>
      <c r="D15" s="62" t="n">
        <v>9414496</v>
      </c>
      <c r="E15" s="62" t="n">
        <v>50</v>
      </c>
      <c r="F15" s="63" t="n">
        <v>0.5</v>
      </c>
      <c r="G15" s="63" t="n">
        <v>1.5</v>
      </c>
      <c r="H15" s="57" t="inlineStr">
        <is>
          <t>Activa</t>
        </is>
      </c>
      <c r="I15" s="57" t="inlineStr">
        <is>
          <t>Caminos / huellas de ganado</t>
        </is>
      </c>
    </row>
    <row r="16">
      <c r="A16" s="58" t="inlineStr">
        <is>
          <t>C-08</t>
        </is>
      </c>
      <c r="B16" s="58" t="inlineStr">
        <is>
          <t>Cárcava somera (0.5-2 m)</t>
        </is>
      </c>
      <c r="C16" s="64" t="n">
        <v>637562</v>
      </c>
      <c r="D16" s="64" t="n">
        <v>9414531</v>
      </c>
      <c r="E16" s="64" t="n">
        <v>60</v>
      </c>
      <c r="F16" s="65" t="n">
        <v>0.6</v>
      </c>
      <c r="G16" s="65" t="n">
        <v>2</v>
      </c>
      <c r="H16" s="58" t="inlineStr">
        <is>
          <t>Activa</t>
        </is>
      </c>
      <c r="I16" s="58" t="inlineStr">
        <is>
          <t>Caminos / huellas de ganado</t>
        </is>
      </c>
    </row>
    <row r="17">
      <c r="A17" s="57" t="inlineStr">
        <is>
          <t>C-09</t>
        </is>
      </c>
      <c r="B17" s="57" t="inlineStr">
        <is>
          <t>Cárcava somera (0.5-2 m)</t>
        </is>
      </c>
      <c r="C17" s="62" t="n">
        <v>637572</v>
      </c>
      <c r="D17" s="62" t="n">
        <v>9414534</v>
      </c>
      <c r="E17" s="62" t="n">
        <v>100</v>
      </c>
      <c r="F17" s="63" t="n">
        <v>0.5</v>
      </c>
      <c r="G17" s="63" t="n">
        <v>2.5</v>
      </c>
      <c r="H17" s="57" t="inlineStr">
        <is>
          <t>Activa</t>
        </is>
      </c>
      <c r="I17" s="57" t="inlineStr">
        <is>
          <t>Caminos / huellas de ganado</t>
        </is>
      </c>
    </row>
    <row r="18">
      <c r="A18" s="58" t="inlineStr">
        <is>
          <t>C-10</t>
        </is>
      </c>
      <c r="B18" s="58" t="inlineStr">
        <is>
          <t>Cárcava incipiente (30-50 cm)</t>
        </is>
      </c>
      <c r="C18" s="64" t="n">
        <v>637700</v>
      </c>
      <c r="D18" s="64" t="n">
        <v>9414556</v>
      </c>
      <c r="E18" s="64" t="n">
        <v>10</v>
      </c>
      <c r="F18" s="65" t="n">
        <v>0.3</v>
      </c>
      <c r="G18" s="65" t="n">
        <v>0.5</v>
      </c>
      <c r="H18" s="58" t="inlineStr">
        <is>
          <t>Activa</t>
        </is>
      </c>
      <c r="I18" s="58" t="inlineStr">
        <is>
          <t>Caminos / huellas de ganado</t>
        </is>
      </c>
    </row>
    <row r="20">
      <c r="A20" s="55" t="inlineStr">
        <is>
          <t>F-DT-03 · ELENCO FLORÍSTICO</t>
        </is>
      </c>
    </row>
    <row r="21">
      <c r="A21" s="56" t="inlineStr">
        <is>
          <t>N.o</t>
        </is>
      </c>
      <c r="B21" s="56" t="inlineStr">
        <is>
          <t>Nombre común</t>
        </is>
      </c>
      <c r="C21" s="56" t="inlineStr">
        <is>
          <t>Nombre científico</t>
        </is>
      </c>
      <c r="D21" s="56" t="inlineStr">
        <is>
          <t>Familia</t>
        </is>
      </c>
      <c r="E21" s="56" t="inlineStr">
        <is>
          <t>Estrato</t>
        </is>
      </c>
      <c r="F21" s="56" t="inlineStr">
        <is>
          <t>Origen</t>
        </is>
      </c>
      <c r="G21" s="56" t="inlineStr">
        <is>
          <t>Abundancia</t>
        </is>
      </c>
      <c r="H21" s="56" t="inlineStr">
        <is>
          <t>DAP (cm)</t>
        </is>
      </c>
      <c r="I21" s="56" t="inlineStr">
        <is>
          <t>Altura (m)</t>
        </is>
      </c>
    </row>
    <row r="22">
      <c r="A22" s="57" t="inlineStr">
        <is>
          <t>1</t>
        </is>
      </c>
      <c r="B22" s="57" t="inlineStr">
        <is>
          <t>Pasallo</t>
        </is>
      </c>
      <c r="C22" s="57" t="inlineStr">
        <is>
          <t>Eriotheca ruizii</t>
        </is>
      </c>
      <c r="D22" s="57" t="inlineStr">
        <is>
          <t>Malvaceae</t>
        </is>
      </c>
      <c r="E22" s="57" t="inlineStr">
        <is>
          <t>Arbóreo medio (8-15 m)</t>
        </is>
      </c>
      <c r="F22" s="57" t="inlineStr">
        <is>
          <t>Nativa</t>
        </is>
      </c>
      <c r="G22" s="57" t="inlineStr">
        <is>
          <t>Abundante (20-40%)</t>
        </is>
      </c>
      <c r="H22" s="62" t="n">
        <v>30</v>
      </c>
      <c r="I22" s="63" t="n">
        <v>8</v>
      </c>
    </row>
    <row r="23">
      <c r="A23" s="58" t="inlineStr">
        <is>
          <t>2</t>
        </is>
      </c>
      <c r="B23" s="58" t="inlineStr">
        <is>
          <t>Charán</t>
        </is>
      </c>
      <c r="C23" s="58" t="inlineStr">
        <is>
          <t>Caesalpinia paipai</t>
        </is>
      </c>
      <c r="D23" s="58" t="inlineStr">
        <is>
          <t>Fabaceae</t>
        </is>
      </c>
      <c r="E23" s="58" t="inlineStr">
        <is>
          <t>Arbóreo bajo (4-8 m)</t>
        </is>
      </c>
      <c r="F23" s="58" t="inlineStr">
        <is>
          <t>Nativa</t>
        </is>
      </c>
      <c r="G23" s="58" t="inlineStr">
        <is>
          <t>Dominante (&gt;40%)</t>
        </is>
      </c>
      <c r="H23" s="64" t="n">
        <v>20</v>
      </c>
      <c r="I23" s="65" t="n">
        <v>5</v>
      </c>
    </row>
    <row r="24">
      <c r="A24" s="57" t="inlineStr">
        <is>
          <t>3</t>
        </is>
      </c>
      <c r="B24" s="57" t="inlineStr">
        <is>
          <t>Ceibo</t>
        </is>
      </c>
      <c r="C24" s="57" t="inlineStr">
        <is>
          <t>Ceiba pentandra</t>
        </is>
      </c>
      <c r="D24" s="57" t="inlineStr">
        <is>
          <t>Malvaceae</t>
        </is>
      </c>
      <c r="E24" s="57" t="inlineStr">
        <is>
          <t>Arbóreo medio (8-15 m)</t>
        </is>
      </c>
      <c r="F24" s="57" t="inlineStr">
        <is>
          <t>Nativa</t>
        </is>
      </c>
      <c r="G24" s="57" t="inlineStr">
        <is>
          <t>Ocasional (1-5%)</t>
        </is>
      </c>
      <c r="H24" s="62" t="n">
        <v>40</v>
      </c>
      <c r="I24" s="62" t="n">
        <v>12</v>
      </c>
    </row>
    <row r="25">
      <c r="A25" s="58" t="inlineStr">
        <is>
          <t>4</t>
        </is>
      </c>
      <c r="B25" s="58" t="inlineStr">
        <is>
          <t>Palo Santo</t>
        </is>
      </c>
      <c r="C25" s="58" t="inlineStr">
        <is>
          <t>Bursera graveolens</t>
        </is>
      </c>
      <c r="D25" s="58" t="inlineStr">
        <is>
          <t>Burseraceae</t>
        </is>
      </c>
      <c r="E25" s="58" t="inlineStr">
        <is>
          <t>Arbóreo medio (8-15 m)</t>
        </is>
      </c>
      <c r="F25" s="58" t="inlineStr">
        <is>
          <t>Nativa</t>
        </is>
      </c>
      <c r="G25" s="58" t="inlineStr">
        <is>
          <t>Ocasional (1-5%)</t>
        </is>
      </c>
      <c r="H25" s="64" t="n">
        <v>30</v>
      </c>
      <c r="I25" s="65" t="n">
        <v>7</v>
      </c>
    </row>
    <row r="26">
      <c r="A26" s="57" t="inlineStr">
        <is>
          <t>5</t>
        </is>
      </c>
      <c r="B26" s="57" t="inlineStr">
        <is>
          <t>Overo</t>
        </is>
      </c>
      <c r="C26" s="57" t="inlineStr">
        <is>
          <t>Cordia lutea</t>
        </is>
      </c>
      <c r="D26" s="57" t="inlineStr">
        <is>
          <t>Boraginaceae</t>
        </is>
      </c>
      <c r="E26" s="57" t="inlineStr">
        <is>
          <t>Arbustivo alto (1.5-4 m)</t>
        </is>
      </c>
      <c r="F26" s="57" t="inlineStr">
        <is>
          <t>Nativa</t>
        </is>
      </c>
      <c r="G26" s="57" t="inlineStr">
        <is>
          <t>Ocasional (1-5%)</t>
        </is>
      </c>
      <c r="H26" s="57" t="n"/>
      <c r="I26" s="57" t="n"/>
    </row>
    <row r="27">
      <c r="A27" s="58" t="inlineStr">
        <is>
          <t>6</t>
        </is>
      </c>
      <c r="B27" s="58" t="inlineStr">
        <is>
          <t>Uña de gato</t>
        </is>
      </c>
      <c r="C27" s="58" t="inlineStr">
        <is>
          <t>Mimosa pellita</t>
        </is>
      </c>
      <c r="D27" s="58" t="inlineStr">
        <is>
          <t>Fabaceae</t>
        </is>
      </c>
      <c r="E27" s="58" t="inlineStr">
        <is>
          <t>Arbustivo alto (1.5-4 m)</t>
        </is>
      </c>
      <c r="F27" s="58" t="inlineStr">
        <is>
          <t>Nativa</t>
        </is>
      </c>
      <c r="G27" s="58" t="inlineStr">
        <is>
          <t>Ocasional (1-5%)</t>
        </is>
      </c>
      <c r="H27" s="58" t="n"/>
      <c r="I27" s="58" t="n"/>
    </row>
    <row r="28">
      <c r="A28" s="57" t="inlineStr">
        <is>
          <t>7</t>
        </is>
      </c>
      <c r="B28" s="57" t="inlineStr">
        <is>
          <t>Cardos</t>
        </is>
      </c>
      <c r="C28" s="57" t="inlineStr">
        <is>
          <t>Armatocereus cartwrightianus</t>
        </is>
      </c>
      <c r="D28" s="57" t="inlineStr">
        <is>
          <t>Cactaceae</t>
        </is>
      </c>
      <c r="E28" s="57" t="inlineStr">
        <is>
          <t>Arbustivo alto (1.5-4 m)</t>
        </is>
      </c>
      <c r="F28" s="57" t="inlineStr">
        <is>
          <t>Nativa</t>
        </is>
      </c>
      <c r="G28" s="57" t="inlineStr">
        <is>
          <t>Ocasional (1-5%)</t>
        </is>
      </c>
      <c r="H28" s="57" t="n"/>
      <c r="I28" s="57" t="n"/>
    </row>
    <row r="30">
      <c r="A30" s="55" t="inlineStr">
        <is>
          <t>F-DT-03 · ESPECIES CLAVE GEORREFERENCIADAS</t>
        </is>
      </c>
    </row>
    <row r="31">
      <c r="A31" s="56" t="inlineStr">
        <is>
          <t>N.o</t>
        </is>
      </c>
      <c r="B31" s="56" t="inlineStr">
        <is>
          <t>Especie</t>
        </is>
      </c>
      <c r="C31" s="56" t="inlineStr">
        <is>
          <t>Categoría</t>
        </is>
      </c>
      <c r="D31" s="56" t="inlineStr">
        <is>
          <t>Estado UICN</t>
        </is>
      </c>
      <c r="E31" s="56" t="inlineStr">
        <is>
          <t>UTM ESTE</t>
        </is>
      </c>
      <c r="F31" s="56" t="inlineStr">
        <is>
          <t>UTM NORTE</t>
        </is>
      </c>
      <c r="G31" s="56" t="inlineStr">
        <is>
          <t>N.° individuos</t>
        </is>
      </c>
      <c r="H31" s="56" t="inlineStr">
        <is>
          <t>Observación</t>
        </is>
      </c>
    </row>
    <row r="33">
      <c r="A33" s="55" t="inlineStr">
        <is>
          <t>F-DT-04 · MATRIZ DE CAUSAS DE DEGRADACIÓN</t>
        </is>
      </c>
    </row>
    <row r="34">
      <c r="A34" s="56" t="inlineStr">
        <is>
          <t>N.o</t>
        </is>
      </c>
      <c r="B34" s="56" t="inlineStr">
        <is>
          <t>Causa</t>
        </is>
      </c>
      <c r="C34" s="56" t="inlineStr">
        <is>
          <t>Presencia</t>
        </is>
      </c>
      <c r="D34" s="56" t="inlineStr">
        <is>
          <t>Intensidad</t>
        </is>
      </c>
      <c r="E34" s="56" t="inlineStr">
        <is>
          <t>Extensión</t>
        </is>
      </c>
      <c r="F34" s="56" t="inlineStr">
        <is>
          <t>Antigüedad</t>
        </is>
      </c>
      <c r="G34" s="56" t="inlineStr">
        <is>
          <t>Evidencia</t>
        </is>
      </c>
    </row>
    <row r="35">
      <c r="A35" s="57" t="inlineStr">
        <is>
          <t>1</t>
        </is>
      </c>
      <c r="B35" s="57" t="inlineStr">
        <is>
          <t>Sobrepastoreo (caprino/vacuno)</t>
        </is>
      </c>
      <c r="C35" s="57" t="inlineStr">
        <is>
          <t>Sí</t>
        </is>
      </c>
      <c r="D35" s="57" t="inlineStr">
        <is>
          <t>Fuerte</t>
        </is>
      </c>
      <c r="E35" s="57" t="inlineStr">
        <is>
          <t>25</t>
        </is>
      </c>
      <c r="F35" s="57" t="inlineStr">
        <is>
          <t>20</t>
        </is>
      </c>
      <c r="G35" s="57" t="inlineStr">
        <is>
          <t>Se observó ganado caprino en pastoreo dentro del bloque.</t>
        </is>
      </c>
    </row>
    <row r="36">
      <c r="A36" s="58" t="inlineStr">
        <is>
          <t>2</t>
        </is>
      </c>
      <c r="B36" s="58" t="inlineStr">
        <is>
          <t>Tala para leña</t>
        </is>
      </c>
      <c r="C36" s="58" t="inlineStr">
        <is>
          <t>Sí</t>
        </is>
      </c>
      <c r="D36" s="58" t="inlineStr">
        <is>
          <t>Moderada</t>
        </is>
      </c>
      <c r="E36" s="58" t="inlineStr">
        <is>
          <t>10</t>
        </is>
      </c>
      <c r="F36" s="58" t="inlineStr">
        <is>
          <t>10</t>
        </is>
      </c>
      <c r="G36" s="58" t="inlineStr">
        <is>
          <t>Se observaron tocones por extracción de leña.</t>
        </is>
      </c>
    </row>
    <row r="37">
      <c r="A37" s="57" t="inlineStr">
        <is>
          <t>3</t>
        </is>
      </c>
      <c r="B37" s="57" t="inlineStr">
        <is>
          <t>Tala para carbón</t>
        </is>
      </c>
      <c r="C37" s="57" t="inlineStr"/>
      <c r="D37" s="57" t="inlineStr"/>
      <c r="E37" s="57" t="inlineStr"/>
      <c r="F37" s="57" t="inlineStr"/>
      <c r="G37" s="57" t="inlineStr"/>
    </row>
    <row r="38">
      <c r="A38" s="58" t="inlineStr">
        <is>
          <t>4</t>
        </is>
      </c>
      <c r="B38" s="58" t="inlineStr">
        <is>
          <t>Tala para madera</t>
        </is>
      </c>
      <c r="C38" s="58" t="inlineStr"/>
      <c r="D38" s="58" t="inlineStr"/>
      <c r="E38" s="58" t="inlineStr"/>
      <c r="F38" s="58" t="inlineStr"/>
      <c r="G38" s="58" t="inlineStr"/>
    </row>
    <row r="39">
      <c r="A39" s="57" t="inlineStr">
        <is>
          <t>5</t>
        </is>
      </c>
      <c r="B39" s="57" t="inlineStr">
        <is>
          <t>Quema (renovación de pastos)</t>
        </is>
      </c>
      <c r="C39" s="57" t="inlineStr"/>
      <c r="D39" s="57" t="inlineStr"/>
      <c r="E39" s="57" t="inlineStr"/>
      <c r="F39" s="57" t="inlineStr"/>
      <c r="G39" s="57" t="inlineStr"/>
    </row>
    <row r="40">
      <c r="A40" s="58" t="inlineStr">
        <is>
          <t>6</t>
        </is>
      </c>
      <c r="B40" s="58" t="inlineStr">
        <is>
          <t>Quema accidental / Incendio</t>
        </is>
      </c>
      <c r="C40" s="58" t="inlineStr"/>
      <c r="D40" s="58" t="inlineStr"/>
      <c r="E40" s="58" t="inlineStr"/>
      <c r="F40" s="58" t="inlineStr"/>
      <c r="G40" s="58" t="inlineStr"/>
    </row>
    <row r="41">
      <c r="A41" s="57" t="inlineStr">
        <is>
          <t>7</t>
        </is>
      </c>
      <c r="B41" s="57" t="inlineStr">
        <is>
          <t>Cambio de uso a agricultura</t>
        </is>
      </c>
      <c r="C41" s="57" t="inlineStr"/>
      <c r="D41" s="57" t="inlineStr"/>
      <c r="E41" s="57" t="inlineStr"/>
      <c r="F41" s="57" t="inlineStr"/>
      <c r="G41" s="57" t="inlineStr"/>
    </row>
    <row r="42">
      <c r="A42" s="58" t="inlineStr">
        <is>
          <t>8</t>
        </is>
      </c>
      <c r="B42" s="58" t="inlineStr">
        <is>
          <t>Cambio de uso a pastoreo</t>
        </is>
      </c>
      <c r="C42" s="58" t="inlineStr">
        <is>
          <t>Sí</t>
        </is>
      </c>
      <c r="D42" s="58" t="inlineStr">
        <is>
          <t>Ligera</t>
        </is>
      </c>
      <c r="E42" s="58" t="inlineStr">
        <is>
          <t>25</t>
        </is>
      </c>
      <c r="F42" s="58" t="inlineStr">
        <is>
          <t>10</t>
        </is>
      </c>
      <c r="G42" s="58" t="inlineStr">
        <is>
          <t>Se observó ganado caprino y áreas destinadas a pastoreo.</t>
        </is>
      </c>
    </row>
    <row r="43">
      <c r="A43" s="57" t="inlineStr">
        <is>
          <t>9</t>
        </is>
      </c>
      <c r="B43" s="57" t="inlineStr">
        <is>
          <t>Expansión urbana / vial</t>
        </is>
      </c>
      <c r="C43" s="57" t="inlineStr"/>
      <c r="D43" s="57" t="inlineStr"/>
      <c r="E43" s="57" t="inlineStr"/>
      <c r="F43" s="57" t="inlineStr"/>
      <c r="G43" s="57" t="inlineStr"/>
    </row>
    <row r="44">
      <c r="A44" s="58" t="inlineStr">
        <is>
          <t>10</t>
        </is>
      </c>
      <c r="B44" s="58" t="inlineStr">
        <is>
          <t>Minería informal</t>
        </is>
      </c>
      <c r="C44" s="58" t="inlineStr"/>
      <c r="D44" s="58" t="inlineStr"/>
      <c r="E44" s="58" t="inlineStr"/>
      <c r="F44" s="58" t="inlineStr"/>
      <c r="G44" s="58" t="inlineStr"/>
    </row>
    <row r="45">
      <c r="A45" s="57" t="inlineStr">
        <is>
          <t>11</t>
        </is>
      </c>
      <c r="B45" s="57" t="inlineStr">
        <is>
          <t>Extracción de áridos (cauces)</t>
        </is>
      </c>
      <c r="C45" s="57" t="inlineStr"/>
      <c r="D45" s="57" t="inlineStr"/>
      <c r="E45" s="57" t="inlineStr"/>
      <c r="F45" s="57" t="inlineStr"/>
      <c r="G45" s="57" t="inlineStr"/>
    </row>
    <row r="46">
      <c r="A46" s="58" t="inlineStr">
        <is>
          <t>12</t>
        </is>
      </c>
      <c r="B46" s="58" t="inlineStr">
        <is>
          <t>Especies invasoras</t>
        </is>
      </c>
      <c r="C46" s="58" t="inlineStr"/>
      <c r="D46" s="58" t="inlineStr"/>
      <c r="E46" s="58" t="inlineStr"/>
      <c r="F46" s="58" t="inlineStr"/>
      <c r="G46" s="58" t="inlineStr"/>
    </row>
    <row r="47">
      <c r="A47" s="57" t="inlineStr">
        <is>
          <t>13</t>
        </is>
      </c>
      <c r="B47" s="57" t="inlineStr">
        <is>
          <t>Erosión natural severa</t>
        </is>
      </c>
      <c r="C47" s="57" t="inlineStr"/>
      <c r="D47" s="57" t="inlineStr"/>
      <c r="E47" s="57" t="inlineStr"/>
      <c r="F47" s="57" t="inlineStr"/>
      <c r="G47" s="57" t="inlineStr"/>
    </row>
    <row r="48">
      <c r="A48" s="58" t="inlineStr">
        <is>
          <t>14</t>
        </is>
      </c>
      <c r="B48" s="58" t="inlineStr">
        <is>
          <t>Sequía prolongada / CC</t>
        </is>
      </c>
      <c r="C48" s="58" t="inlineStr"/>
      <c r="D48" s="58" t="inlineStr"/>
      <c r="E48" s="58" t="inlineStr"/>
      <c r="F48" s="58" t="inlineStr"/>
      <c r="G48" s="58" t="inlineStr"/>
    </row>
    <row r="49">
      <c r="A49" s="57" t="inlineStr">
        <is>
          <t>15</t>
        </is>
      </c>
      <c r="B49" s="57" t="inlineStr">
        <is>
          <t>Plagas o enfermedades forestales</t>
        </is>
      </c>
      <c r="C49" s="57" t="inlineStr"/>
      <c r="D49" s="57" t="inlineStr"/>
      <c r="E49" s="57" t="inlineStr"/>
      <c r="F49" s="57" t="inlineStr"/>
      <c r="G49" s="57" t="inlineStr"/>
    </row>
    <row r="50">
      <c r="A50" s="58" t="inlineStr">
        <is>
          <t>16</t>
        </is>
      </c>
      <c r="B50" s="58" t="inlineStr">
        <is>
          <t>Otro</t>
        </is>
      </c>
      <c r="C50" s="58" t="inlineStr"/>
      <c r="D50" s="58" t="inlineStr"/>
      <c r="E50" s="58" t="inlineStr"/>
      <c r="F50" s="58" t="inlineStr"/>
      <c r="G50" s="58" t="inlineStr"/>
    </row>
    <row r="52">
      <c r="A52" s="55" t="inlineStr">
        <is>
          <t>F-DT-04 · INDICADORES CUANTITATIVOS</t>
        </is>
      </c>
    </row>
    <row r="53">
      <c r="A53" s="56" t="inlineStr">
        <is>
          <t>N.o</t>
        </is>
      </c>
      <c r="B53" s="56" t="inlineStr">
        <is>
          <t>Indicador</t>
        </is>
      </c>
      <c r="C53" s="56" t="inlineStr">
        <is>
          <t>Unidad</t>
        </is>
      </c>
      <c r="D53" s="56" t="inlineStr">
        <is>
          <t>Valor</t>
        </is>
      </c>
      <c r="E53" s="56" t="inlineStr">
        <is>
          <t>Fuente</t>
        </is>
      </c>
      <c r="F53" s="56" t="inlineStr">
        <is>
          <t>Umbral</t>
        </is>
      </c>
      <c r="G53" s="56" t="inlineStr">
        <is>
          <t>Nivel</t>
        </is>
      </c>
    </row>
    <row r="54">
      <c r="A54" s="57" t="inlineStr">
        <is>
          <t>1</t>
        </is>
      </c>
      <c r="B54" s="57" t="inlineStr">
        <is>
          <t>Cobertura vegetal total</t>
        </is>
      </c>
      <c r="C54" s="57" t="inlineStr">
        <is>
          <t>%</t>
        </is>
      </c>
      <c r="D54" s="57" t="inlineStr">
        <is>
          <t>60</t>
        </is>
      </c>
      <c r="E54" s="57" t="inlineStr">
        <is>
          <t>Estimación visual de campo</t>
        </is>
      </c>
      <c r="F54" s="57" t="inlineStr">
        <is>
          <t>&gt;60% bueno; 30-60% medio; &lt;30% malo</t>
        </is>
      </c>
      <c r="G54" s="57" t="inlineStr">
        <is>
          <t>Alto</t>
        </is>
      </c>
    </row>
    <row r="55">
      <c r="A55" s="58" t="inlineStr">
        <is>
          <t>2</t>
        </is>
      </c>
      <c r="B55" s="58" t="inlineStr">
        <is>
          <t>Porcentaje de suelo desnudo</t>
        </is>
      </c>
      <c r="C55" s="58" t="inlineStr">
        <is>
          <t>%</t>
        </is>
      </c>
      <c r="D55" s="58" t="inlineStr">
        <is>
          <t>15</t>
        </is>
      </c>
      <c r="E55" s="58" t="inlineStr">
        <is>
          <t>Estimación visual de campo</t>
        </is>
      </c>
      <c r="F55" s="58" t="inlineStr">
        <is>
          <t>&lt;10% bueno; 10-30% medio; &gt;30% malo</t>
        </is>
      </c>
      <c r="G55" s="58" t="inlineStr">
        <is>
          <t>Bajo</t>
        </is>
      </c>
    </row>
    <row r="56">
      <c r="A56" s="57" t="inlineStr">
        <is>
          <t>3</t>
        </is>
      </c>
      <c r="B56" s="57" t="inlineStr">
        <is>
          <t>Densidad de cárcavas</t>
        </is>
      </c>
      <c r="C56" s="57" t="inlineStr">
        <is>
          <t>N°/ha</t>
        </is>
      </c>
      <c r="D56" s="57" t="inlineStr">
        <is>
          <t>10</t>
        </is>
      </c>
      <c r="E56" s="57" t="inlineStr">
        <is>
          <t>Inventario de campo (F-DT-02)</t>
        </is>
      </c>
      <c r="F56" s="57" t="inlineStr">
        <is>
          <t>0 nulo; 1-3 medio; &gt;3 alto</t>
        </is>
      </c>
      <c r="G56" s="57" t="inlineStr">
        <is>
          <t>Bajo</t>
        </is>
      </c>
    </row>
    <row r="57">
      <c r="A57" s="58" t="inlineStr">
        <is>
          <t>4</t>
        </is>
      </c>
      <c r="B57" s="58" t="inlineStr">
        <is>
          <t>Presencia de especies invasoras</t>
        </is>
      </c>
      <c r="C57" s="58" t="inlineStr">
        <is>
          <t>% área</t>
        </is>
      </c>
      <c r="D57" s="58" t="inlineStr"/>
      <c r="E57" s="58" t="inlineStr"/>
      <c r="F57" s="58" t="inlineStr">
        <is>
          <t>&lt;5% bueno; 5-20% medio; &gt;20% alto</t>
        </is>
      </c>
      <c r="G57" s="58" t="inlineStr"/>
    </row>
    <row r="58">
      <c r="A58" s="57" t="inlineStr">
        <is>
          <t>5</t>
        </is>
      </c>
      <c r="B58" s="57" t="inlineStr">
        <is>
          <t>Carga ganadera estimada</t>
        </is>
      </c>
      <c r="C58" s="57" t="inlineStr">
        <is>
          <t>UA/ha</t>
        </is>
      </c>
      <c r="D58" s="57" t="inlineStr">
        <is>
          <t>10</t>
        </is>
      </c>
      <c r="E58" s="57" t="inlineStr">
        <is>
          <t>Estimación por pastoreo observado</t>
        </is>
      </c>
      <c r="F58" s="57" t="inlineStr">
        <is>
          <t>Según tipo de ecosistema</t>
        </is>
      </c>
      <c r="G58" s="57" t="inlineStr">
        <is>
          <t>Medio</t>
        </is>
      </c>
    </row>
    <row r="59">
      <c r="A59" s="58" t="inlineStr">
        <is>
          <t>6</t>
        </is>
      </c>
      <c r="B59" s="58" t="inlineStr">
        <is>
          <t>Frecuencia de quemas últimos 5 años</t>
        </is>
      </c>
      <c r="C59" s="58" t="inlineStr">
        <is>
          <t>N°</t>
        </is>
      </c>
      <c r="D59" s="58" t="inlineStr">
        <is>
          <t>1</t>
        </is>
      </c>
      <c r="E59" s="58" t="inlineStr">
        <is>
          <t>Información comunal</t>
        </is>
      </c>
      <c r="F59" s="58" t="inlineStr">
        <is>
          <t>0 nulo; 1-2 medio; &gt;2 alto</t>
        </is>
      </c>
      <c r="G59" s="58" t="inlineStr">
        <is>
          <t>Bajo</t>
        </is>
      </c>
    </row>
    <row r="60">
      <c r="A60" s="57" t="inlineStr">
        <is>
          <t>7</t>
        </is>
      </c>
      <c r="B60" s="57" t="inlineStr">
        <is>
          <t>% área con pendiente &gt;50%</t>
        </is>
      </c>
      <c r="C60" s="57" t="inlineStr">
        <is>
          <t>%</t>
        </is>
      </c>
      <c r="D60" s="57" t="inlineStr">
        <is>
          <t>10</t>
        </is>
      </c>
      <c r="E60" s="57" t="inlineStr">
        <is>
          <t>Verificación de campo</t>
        </is>
      </c>
      <c r="F60" s="57" t="inlineStr">
        <is>
          <t>Factor de susceptibilidad</t>
        </is>
      </c>
      <c r="G60" s="57" t="inlineStr">
        <is>
          <t>Medio</t>
        </is>
      </c>
    </row>
    <row r="61">
      <c r="A61" s="58" t="inlineStr">
        <is>
          <t>8</t>
        </is>
      </c>
      <c r="B61" s="58" t="inlineStr">
        <is>
          <t>Distancia a vía vecinal más cercana</t>
        </is>
      </c>
      <c r="C61" s="58" t="inlineStr">
        <is>
          <t>m</t>
        </is>
      </c>
      <c r="D61" s="58" t="inlineStr">
        <is>
          <t>0</t>
        </is>
      </c>
      <c r="E61" s="58" t="inlineStr">
        <is>
          <t>Vía afirmada colindante</t>
        </is>
      </c>
      <c r="F61" s="58" t="inlineStr">
        <is>
          <t>A menor distancia → mayor presión</t>
        </is>
      </c>
      <c r="G61" s="58" t="inlineStr">
        <is>
          <t>Alto</t>
        </is>
      </c>
    </row>
    <row r="63">
      <c r="A63" s="55" t="inlineStr">
        <is>
          <t>F-DT-05 · FUENTES DE AGUA INVENTARIADAS</t>
        </is>
      </c>
    </row>
    <row r="64">
      <c r="A64" s="56" t="inlineStr">
        <is>
          <t>N.o</t>
        </is>
      </c>
      <c r="B64" s="56" t="inlineStr">
        <is>
          <t>Tipo de fuente</t>
        </is>
      </c>
      <c r="C64" s="56" t="inlineStr">
        <is>
          <t>UTM ESTE</t>
        </is>
      </c>
      <c r="D64" s="56" t="inlineStr">
        <is>
          <t>UTM NORTE</t>
        </is>
      </c>
      <c r="E64" s="56" t="inlineStr">
        <is>
          <t>Régimen</t>
        </is>
      </c>
      <c r="F64" s="56" t="inlineStr">
        <is>
          <t>Calidad</t>
        </is>
      </c>
      <c r="G64" s="56" t="inlineStr">
        <is>
          <t>Distancia (m)</t>
        </is>
      </c>
      <c r="H64" s="56" t="inlineStr">
        <is>
          <t>Uso / observación</t>
        </is>
      </c>
    </row>
    <row r="65">
      <c r="A65" s="57" t="inlineStr">
        <is>
          <t>1</t>
        </is>
      </c>
      <c r="B65" s="57" t="inlineStr">
        <is>
          <t>Quebrada estacional</t>
        </is>
      </c>
      <c r="C65" s="62" t="n">
        <v>637567</v>
      </c>
      <c r="D65" s="62" t="n">
        <v>9414532</v>
      </c>
      <c r="E65" s="57" t="inlineStr">
        <is>
          <t>Estacional (lluvias)</t>
        </is>
      </c>
      <c r="F65" s="57" t="inlineStr">
        <is>
          <t>Regular (ligeramente turbia o con sedimentos)</t>
        </is>
      </c>
      <c r="G65" s="63" t="n">
        <v>0</v>
      </c>
      <c r="H65" s="57" t="inlineStr">
        <is>
          <t>Drenaje natural; seca al momento de la evaluación.</t>
        </is>
      </c>
    </row>
    <row r="68">
      <c r="A68" s="55" t="inlineStr">
        <is>
          <t>OBSERVACIONES DEL EVALUADOR POR FICHA</t>
        </is>
      </c>
    </row>
    <row r="69">
      <c r="A69" s="56" t="inlineStr">
        <is>
          <t>Ficha</t>
        </is>
      </c>
      <c r="B69" s="56" t="inlineStr">
        <is>
          <t>Observación registrada en campo</t>
        </is>
      </c>
    </row>
    <row r="70">
      <c r="A70" s="57" t="inlineStr">
        <is>
          <t>F-DT-01</t>
        </is>
      </c>
      <c r="B70" s="57" t="inlineStr">
        <is>
          <t>Acceso por vía vecinal, ruta desde San Juan de Bigote al CCPP de Polluco y Sinai; se detuvo la camioneta en el centro poblado y al pie del bloque en la vía afirmada. Se ingresó por la zona suroeste, colindante a la vía. Por zonas el bloque colinda con el CCPP de Polluco en áreas destinadas al pastoreo de ganado caprino. Se observó presencia de tocones por extracción de leña. La zona próxima a la vía y al CCPP es la parte más degradada del bloque.</t>
        </is>
      </c>
    </row>
    <row r="71">
      <c r="A71" s="58" t="inlineStr">
        <is>
          <t>F-DT-02</t>
        </is>
      </c>
      <c r="B71" s="58" t="inlineStr">
        <is>
          <t>Se evidenció la formación de varias cárcavas de distintas profundidades y anchos que discurren por la ladera y terminan en la vía afirmada, con un nivel avanzado de formación. El terreno presenta erosión eólica e hídrica; con las lluvias las cárcavas tienden a aumentar en número, profundidad y ancho, por la degradación del suelo por el ganado caprino y el retiro de individuos arbóreos. Se observan raíces expuestas. Inventario: 15 cárcavas en total; se registran 10 representativas georreferenciadas.</t>
        </is>
      </c>
    </row>
    <row r="72">
      <c r="A72" s="57" t="inlineStr">
        <is>
          <t>F-DT-03</t>
        </is>
      </c>
      <c r="B72" s="57" t="inlineStr">
        <is>
          <t>El bosque se encuentra degradado en zonas cercanas al centro poblado, con población arbórea menos densa y árboles dispersos de altura menor a 10 m y clases diamétricas menores a 40 cm. La zona alta del bloque, de mayor pendiente, conserva la vegetación con árboles altos (&gt;8 m) y clases diamétricas mayores a 30 cm.</t>
        </is>
      </c>
    </row>
    <row r="73">
      <c r="A73" s="58" t="inlineStr">
        <is>
          <t>F-DT-04</t>
        </is>
      </c>
      <c r="B73" s="58" t="inlineStr">
        <is>
          <t>El bloque se encuentra degradado a nivel de cobertura vegetal y suelo en zonas próximas a la vía y cercanas al CCPP. En la parte alta se conserva la vegetación. Se evidencian claros producto de la extracción de individuos arbóreos cercanos a la carretera.</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98"/>
  <sheetViews>
    <sheetView workbookViewId="0">
      <selection activeCell="A1" sqref="A1"/>
    </sheetView>
  </sheetViews>
  <sheetFormatPr baseColWidth="8" defaultRowHeight="15"/>
  <cols>
    <col width="44" customWidth="1" min="1" max="1"/>
    <col width="18" customWidth="1" min="2" max="2"/>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GRÁFICOS DE LA INTEGRACIÓN — BLOQUE M3B7</t>
        </is>
      </c>
    </row>
    <row r="7">
      <c r="A7" s="55" t="inlineStr">
        <is>
          <t>Hechos declarados por fuente</t>
        </is>
      </c>
    </row>
    <row r="8">
      <c r="A8" s="56" t="inlineStr">
        <is>
          <t>Fuente</t>
        </is>
      </c>
      <c r="B8" s="56" t="inlineStr">
        <is>
          <t>Hechos</t>
        </is>
      </c>
    </row>
    <row r="9">
      <c r="A9" s="57" t="inlineStr">
        <is>
          <t>Dato de campo</t>
        </is>
      </c>
      <c r="B9" s="57" t="n">
        <v>62</v>
      </c>
    </row>
    <row r="10">
      <c r="A10" s="58" t="inlineStr">
        <is>
          <t>Gabinete (GIS / teledetección)</t>
        </is>
      </c>
      <c r="B10" s="58" t="n">
        <v>25</v>
      </c>
    </row>
    <row r="11">
      <c r="A11" s="57" t="inlineStr">
        <is>
          <t>Fuente oficial</t>
        </is>
      </c>
      <c r="B11" s="57" t="n">
        <v>14</v>
      </c>
    </row>
    <row r="28">
      <c r="A28" s="55" t="inlineStr">
        <is>
          <t>Estado del cruce entre fuentes</t>
        </is>
      </c>
    </row>
    <row r="29">
      <c r="A29" s="56" t="inlineStr">
        <is>
          <t>Estado</t>
        </is>
      </c>
      <c r="B29" s="56" t="inlineStr">
        <is>
          <t>Hechos</t>
        </is>
      </c>
    </row>
    <row r="30">
      <c r="A30" s="57" t="inlineStr">
        <is>
          <t>CONFORME</t>
        </is>
      </c>
      <c r="B30" s="57" t="n">
        <v>98</v>
      </c>
    </row>
    <row r="31">
      <c r="A31" s="58" t="inlineStr">
        <is>
          <t>COMPLEMENTADO</t>
        </is>
      </c>
      <c r="B31" s="58" t="n">
        <v>3</v>
      </c>
    </row>
    <row r="32">
      <c r="A32" s="57" t="inlineStr">
        <is>
          <t>ACTUALIZADO</t>
        </is>
      </c>
      <c r="B32" s="57" t="n">
        <v>0</v>
      </c>
    </row>
    <row r="33">
      <c r="A33" s="58" t="inlineStr">
        <is>
          <t>DISCREPANTE</t>
        </is>
      </c>
      <c r="B33" s="58" t="n">
        <v>0</v>
      </c>
    </row>
    <row r="34">
      <c r="A34" s="57" t="inlineStr">
        <is>
          <t>PENDIENTE</t>
        </is>
      </c>
      <c r="B34" s="57" t="n">
        <v>13</v>
      </c>
    </row>
    <row r="51">
      <c r="A51" s="55" t="inlineStr">
        <is>
          <t>Cobertura por estrato — campo (%)</t>
        </is>
      </c>
    </row>
    <row r="52">
      <c r="A52" s="56" t="inlineStr">
        <is>
          <t>Estrato</t>
        </is>
      </c>
      <c r="B52" s="56" t="inlineStr">
        <is>
          <t>% del área</t>
        </is>
      </c>
    </row>
    <row r="53">
      <c r="A53" s="57" t="inlineStr">
        <is>
          <t>Dosel</t>
        </is>
      </c>
      <c r="B53" s="62" t="n">
        <v>40</v>
      </c>
    </row>
    <row r="54">
      <c r="A54" s="58" t="inlineStr">
        <is>
          <t>Herbácea</t>
        </is>
      </c>
      <c r="B54" s="64" t="n">
        <v>20</v>
      </c>
    </row>
    <row r="55">
      <c r="A55" s="57" t="inlineStr">
        <is>
          <t>Suelo desnudo</t>
        </is>
      </c>
      <c r="B55" s="62" t="n">
        <v>40</v>
      </c>
    </row>
    <row r="72">
      <c r="A72" s="55" t="inlineStr">
        <is>
          <t>Causas activas de degradación (F-DT-04)</t>
        </is>
      </c>
    </row>
    <row r="73">
      <c r="A73" s="56" t="inlineStr">
        <is>
          <t>Causa</t>
        </is>
      </c>
      <c r="B73" s="56" t="inlineStr">
        <is>
          <t>Intensidad (1 ligera - 4 muy fuerte)</t>
        </is>
      </c>
    </row>
    <row r="74">
      <c r="A74" s="57" t="inlineStr">
        <is>
          <t>Sobrepastoreo (caprino/vacuno)</t>
        </is>
      </c>
      <c r="B74" s="57" t="n">
        <v>3</v>
      </c>
    </row>
    <row r="75">
      <c r="A75" s="58" t="inlineStr">
        <is>
          <t>Tala para leña</t>
        </is>
      </c>
      <c r="B75" s="58" t="n">
        <v>2</v>
      </c>
    </row>
    <row r="76">
      <c r="A76" s="57" t="inlineStr">
        <is>
          <t>Cambio de uso a pastoreo</t>
        </is>
      </c>
      <c r="B76" s="57" t="n">
        <v>1</v>
      </c>
    </row>
    <row r="93">
      <c r="A93" s="55" t="inlineStr">
        <is>
          <t>Control de consistencia por calificación</t>
        </is>
      </c>
    </row>
    <row r="94">
      <c r="A94" s="56" t="inlineStr">
        <is>
          <t>Calificación</t>
        </is>
      </c>
      <c r="B94" s="56" t="inlineStr">
        <is>
          <t>Verificaciones</t>
        </is>
      </c>
    </row>
    <row r="95">
      <c r="A95" s="57" t="inlineStr">
        <is>
          <t>SUSTANTIVA</t>
        </is>
      </c>
      <c r="B95" s="57" t="n">
        <v>6</v>
      </c>
    </row>
    <row r="96">
      <c r="A96" s="58" t="inlineStr">
        <is>
          <t>NO SUSTANTIVA</t>
        </is>
      </c>
      <c r="B96" s="58" t="n">
        <v>3</v>
      </c>
    </row>
    <row r="97">
      <c r="A97" s="57" t="inlineStr">
        <is>
          <t>CORREGIDO</t>
        </is>
      </c>
      <c r="B97" s="57" t="n">
        <v>1</v>
      </c>
    </row>
    <row r="98">
      <c r="A98" s="58" t="inlineStr">
        <is>
          <t>CONFORME</t>
        </is>
      </c>
      <c r="B98" s="58" t="n">
        <v>12</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M3B7 — IN Piura</dc:title>
  <dc:subject>Diagnóstico Territorial por bloque de intervención</dc:subject>
  <dcterms:created xsi:type="dcterms:W3CDTF">2026-09-08T03:39:58Z</dcterms:created>
  <dcterms:modified xsi:type="dcterms:W3CDTF">2026-09-11T20:22:39Z</dcterms:modified>
</cp:coreProperties>
</file>