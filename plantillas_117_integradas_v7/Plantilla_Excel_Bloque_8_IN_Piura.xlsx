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integración'!$A$53:$A$60</f>
            </numRef>
          </cat>
          <val>
            <numRef>
              <f>'Gráficos de integración'!$B$53:$B$60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integración'!B78</f>
            </strRef>
          </tx>
          <spPr>
            <a:ln>
              <a:prstDash val="solid"/>
            </a:ln>
          </spPr>
          <cat>
            <numRef>
              <f>'Gráficos de integración'!$A$79:$A$82</f>
            </numRef>
          </cat>
          <val>
            <numRef>
              <f>'Gráficos de integración'!$B$79:$B$82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77</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t>
        </is>
      </c>
    </row>
    <row r="6" ht="24" customHeight="1">
      <c r="A6" s="4" t="inlineStr">
        <is>
          <t>Diagnóstico Territorial — Plantilla DT Campo Check Validada V5 | Sistema de referencia: UTM WGS 84 Zona 17S (EPSG:32717) · Integrado con la ficha de campo F-DT vigente (Plantilla_DT_Campo_Bloque8_IN_Piura_rev_hscm.xlsx) — V7 - resumen V6 + campo F-DT integrado</t>
        </is>
      </c>
    </row>
    <row r="7"/>
    <row r="8" ht="18" customHeight="1">
      <c r="A8" s="5" t="inlineStr">
        <is>
          <t>1. IDENTIFICACIÓN Y LOCALIZACIÓN</t>
        </is>
      </c>
    </row>
    <row r="9">
      <c r="A9" s="6" t="inlineStr">
        <is>
          <t>Código del bloque</t>
        </is>
      </c>
      <c r="B9" s="7" t="inlineStr">
        <is>
          <t>8</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Pirga (y Chonta de Platanal)</t>
        </is>
      </c>
      <c r="C13" s="6" t="inlineStr">
        <is>
          <t>Comunidad campesina</t>
        </is>
      </c>
      <c r="D13" s="7" t="inlineStr">
        <is>
          <t>Por verificar</t>
        </is>
      </c>
      <c r="E13" s="8" t="n"/>
      <c r="F13" s="8" t="n"/>
    </row>
    <row r="14">
      <c r="A14" s="6" t="inlineStr">
        <is>
          <t>Superficie de catálogo (V5/V6), ha</t>
        </is>
      </c>
      <c r="B14" s="7" t="n">
        <v>126.95</v>
      </c>
      <c r="C14" s="6" t="inlineStr">
        <is>
          <t>Fuente de superficie</t>
        </is>
      </c>
      <c r="D14" s="7" t="inlineStr">
        <is>
          <t>Catálogo maestro Bloques V5/V6</t>
        </is>
      </c>
      <c r="E14" s="8" t="n"/>
      <c r="F14" s="8" t="n"/>
    </row>
    <row r="15">
      <c r="A15" s="6" t="inlineStr">
        <is>
          <t>Centroide UTM ESTE (m)</t>
        </is>
      </c>
      <c r="B15" s="7" t="n">
        <v>651673</v>
      </c>
      <c r="C15" s="6" t="inlineStr">
        <is>
          <t>Centroide UTM NORTE (m)</t>
        </is>
      </c>
      <c r="D15" s="7" t="n">
        <v>9373383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1504</v>
      </c>
      <c r="C19" s="6" t="inlineStr">
        <is>
          <t>Altitud máxima (msnm)</t>
        </is>
      </c>
      <c r="D19" s="7" t="n">
        <v>1970</v>
      </c>
      <c r="E19" s="8" t="n"/>
      <c r="F19" s="8" t="n"/>
    </row>
    <row r="20">
      <c r="A20" s="6" t="inlineStr">
        <is>
          <t>Amplitud altitudinal (m)</t>
        </is>
      </c>
      <c r="B20" s="7" t="n">
        <v>466</v>
      </c>
      <c r="C20" s="6" t="inlineStr">
        <is>
          <t>Piso altitudinal dominante</t>
        </is>
      </c>
      <c r="D20" s="7" t="inlineStr">
        <is>
          <t>1500-2000 m (Quechua media)</t>
        </is>
      </c>
      <c r="E20" s="8" t="n"/>
      <c r="F20" s="8" t="n"/>
    </row>
    <row r="21">
      <c r="A21" s="6" t="inlineStr">
        <is>
          <t>Pendiente promedio (%)</t>
        </is>
      </c>
      <c r="B21" s="7" t="n">
        <v>29.85</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0.5548</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(72.25 %)</t>
        </is>
      </c>
      <c r="E29" s="8" t="n"/>
      <c r="F29" s="8" t="n"/>
    </row>
    <row r="30">
      <c r="A30" s="6" t="inlineStr">
        <is>
          <t>Superficie clasificada NDVI 2025 (ha)</t>
        </is>
      </c>
      <c r="B30" s="7" t="n">
        <v>126.981</v>
      </c>
      <c r="C30" s="6" t="inlineStr">
        <is>
          <t>Desviación frente al catálogo (%)</t>
        </is>
      </c>
      <c r="D30" s="7" t="n">
        <v>0.02</v>
      </c>
      <c r="E30" s="8" t="n"/>
      <c r="F30" s="8" t="n"/>
    </row>
    <row r="31">
      <c r="A31" s="6" t="inlineStr">
        <is>
          <t>Superficie clasificada MSAVI 2024 (ha)</t>
        </is>
      </c>
      <c r="B31" s="38" t="n">
        <v>126.952</v>
      </c>
      <c r="C31" s="6" t="inlineStr">
        <is>
          <t>Desviación MSAVI frente al catálogo (%)</t>
        </is>
      </c>
      <c r="D31" s="39" t="n">
        <v>0</v>
      </c>
      <c r="E31" s="8" t="n"/>
      <c r="F31" s="8" t="n"/>
    </row>
    <row r="32">
      <c r="A32" s="6" t="inlineStr">
        <is>
          <t>Superficie bajo umbral MSAVI 0.4976 (ha)</t>
        </is>
      </c>
      <c r="B32" s="38" t="n">
        <v>36.058</v>
      </c>
      <c r="C32" s="6" t="inlineStr">
        <is>
          <t>% del bloque bajo umbral (brecha espectral)</t>
        </is>
      </c>
      <c r="D32" s="39" t="n">
        <v>28.4</v>
      </c>
      <c r="E32" s="8" t="n"/>
      <c r="F32" s="8" t="n"/>
    </row>
    <row r="33">
      <c r="A33" s="6" t="inlineStr">
        <is>
          <t>Clase DN dominante (MSAVI 2024)</t>
        </is>
      </c>
      <c r="B33" s="7" t="inlineStr">
        <is>
          <t>DN 4 · 0.4976 - 0.6139 (Vigor moderado)</t>
        </is>
      </c>
      <c r="C33" s="6" t="inlineStr">
        <is>
          <t>N.° de polígonos MSAVI del bloque</t>
        </is>
      </c>
      <c r="D33" s="40" t="n">
        <v>463</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inlineStr">
        <is>
          <t>Sin inventario</t>
        </is>
      </c>
      <c r="E40" s="8" t="n"/>
      <c r="F40" s="8" t="n"/>
    </row>
    <row r="41">
      <c r="A41" s="6" t="inlineStr">
        <is>
          <t>Elenco florístico (n.° de taxones)</t>
        </is>
      </c>
      <c r="B41" s="50" t="inlineStr">
        <is>
          <t>15</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 e Ing. Héctor S. Cahuas Miller</t>
        </is>
      </c>
      <c r="C44" s="6" t="inlineStr">
        <is>
          <t>Fecha de evaluación</t>
        </is>
      </c>
      <c r="D44" s="7" t="inlineStr">
        <is>
          <t>2026-08-18</t>
        </is>
      </c>
      <c r="E44" s="8" t="n"/>
      <c r="F44" s="8" t="n"/>
    </row>
    <row r="45">
      <c r="A45" s="6" t="inlineStr">
        <is>
          <t>Hora de registro</t>
        </is>
      </c>
      <c r="B45" s="7" t="inlineStr">
        <is>
          <t>14:38 - 14:48 h</t>
        </is>
      </c>
      <c r="C45" s="6" t="inlineStr">
        <is>
          <t>Correlativo de ficha</t>
        </is>
      </c>
      <c r="D45" s="7" t="inlineStr">
        <is>
          <t>DT-B08-2026-01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11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habilitación vial y de frontera agropecuaria sobre laderas de fuerte pendiente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36.8754</v>
      </c>
      <c r="C10" s="19">
        <f>ROUND(B10/$B$15*100,2)</f>
        <v/>
      </c>
      <c r="D10" s="11" t="inlineStr">
        <is>
          <t>Vigor alto</t>
        </is>
      </c>
      <c r="E10" s="11" t="inlineStr">
        <is>
          <t>Sobre umbral</t>
        </is>
      </c>
    </row>
    <row r="11">
      <c r="A11" s="12" t="inlineStr">
        <is>
          <t>0.4976 - 0.6139 · DN 4</t>
        </is>
      </c>
      <c r="B11" s="31" t="n">
        <v>54.0181</v>
      </c>
      <c r="C11" s="30">
        <f>ROUND(B11/$B$15*100,2)</f>
        <v/>
      </c>
      <c r="D11" s="13" t="inlineStr">
        <is>
          <t>Vigor moderado</t>
        </is>
      </c>
      <c r="E11" s="13" t="inlineStr">
        <is>
          <t>Sobre umbral</t>
        </is>
      </c>
    </row>
    <row r="12">
      <c r="A12" s="7" t="inlineStr">
        <is>
          <t>0.3813 - 0.4976 · DN 3</t>
        </is>
      </c>
      <c r="B12" s="18" t="n">
        <v>31.6455</v>
      </c>
      <c r="C12" s="19">
        <f>ROUND(B12/$B$15*100,2)</f>
        <v/>
      </c>
      <c r="D12" s="11" t="inlineStr">
        <is>
          <t>Vigor bajo</t>
        </is>
      </c>
      <c r="E12" s="11" t="inlineStr">
        <is>
          <t>BAJO umbral 0.4976</t>
        </is>
      </c>
    </row>
    <row r="13">
      <c r="A13" s="14" t="inlineStr">
        <is>
          <t>0.2650 - 0.3813 · DN 2</t>
        </is>
      </c>
      <c r="B13" s="20" t="n">
        <v>4.36</v>
      </c>
      <c r="C13" s="21">
        <f>ROUND(B13/$B$15*100,2)</f>
        <v/>
      </c>
      <c r="D13" s="15" t="inlineStr">
        <is>
          <t>Vigor muy bajo</t>
        </is>
      </c>
      <c r="E13" s="15" t="inlineStr">
        <is>
          <t>BAJO umbral 0.4976</t>
        </is>
      </c>
    </row>
    <row r="14">
      <c r="A14" s="7" t="inlineStr">
        <is>
          <t>&lt;= 0.2650 · DN 1</t>
        </is>
      </c>
      <c r="B14" s="18" t="n">
        <v>0.053</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463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126.95</v>
      </c>
      <c r="C18" s="49" t="inlineStr">
        <is>
          <t>—</t>
        </is>
      </c>
      <c r="D18" s="46" t="inlineStr">
        <is>
          <t>Desviación planimétrica frente al catálogo</t>
        </is>
      </c>
      <c r="E18" s="46" t="inlineStr">
        <is>
          <t>+0.00 %</t>
        </is>
      </c>
    </row>
    <row r="19">
      <c r="A19" s="16" t="inlineStr">
        <is>
          <t>MSAVI 2024 — MEDIA DEL BLOQUE</t>
        </is>
      </c>
      <c r="B19" s="17" t="n">
        <v>0.554802</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463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(0.5548)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91.74630000000001</v>
      </c>
      <c r="C25" s="19" t="n">
        <v>72.25</v>
      </c>
      <c r="D25" s="11" t="inlineStr">
        <is>
          <t>Dosel continuo, matorral denso o mosaico agroforestal</t>
        </is>
      </c>
      <c r="E25" s="11" t="inlineStr"/>
    </row>
    <row r="26">
      <c r="A26" s="14" t="inlineStr">
        <is>
          <t>Vegetación mediana</t>
        </is>
      </c>
      <c r="B26" s="20" t="n">
        <v>32.8202</v>
      </c>
      <c r="C26" s="21" t="n">
        <v>25.85</v>
      </c>
      <c r="D26" s="15" t="inlineStr">
        <is>
          <t>Pastizal cultivado, matorral ralo, parcelas agrícolas</t>
        </is>
      </c>
      <c r="E26" s="15" t="inlineStr"/>
    </row>
    <row r="27">
      <c r="A27" s="7" t="inlineStr">
        <is>
          <t>Vegetación ligera</t>
        </is>
      </c>
      <c r="B27" s="18" t="n">
        <v>2.3386</v>
      </c>
      <c r="C27" s="19" t="n">
        <v>1.84</v>
      </c>
      <c r="D27" s="11" t="inlineStr">
        <is>
          <t>Cobertura discontinua, suelo parcialmente expuesto</t>
        </is>
      </c>
      <c r="E27" s="11" t="inlineStr"/>
    </row>
    <row r="28">
      <c r="A28" s="14" t="inlineStr">
        <is>
          <t>Tierra desnuda</t>
        </is>
      </c>
      <c r="B28" s="20" t="n">
        <v>0.0762</v>
      </c>
      <c r="C28" s="21" t="n">
        <v>0.06</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126.95</v>
      </c>
      <c r="C30" s="25" t="inlineStr">
        <is>
          <t>—</t>
        </is>
      </c>
      <c r="D30" s="25" t="inlineStr">
        <is>
          <t>Desviación planimétrica frente al catálogo</t>
        </is>
      </c>
      <c r="E30" s="25" t="inlineStr">
        <is>
          <t>+0.02 %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t>
        </is>
      </c>
    </row>
    <row r="6" ht="24" customHeight="1">
      <c r="A6" s="4" t="inlineStr">
        <is>
          <t>Levantamiento del 2026-08-18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651673</v>
      </c>
      <c r="D10" s="26" t="n">
        <v>9373383</v>
      </c>
      <c r="E10" s="11" t="n">
        <v>0</v>
      </c>
      <c r="F10" s="11" t="inlineStr"/>
      <c r="G10" s="11" t="inlineStr">
        <is>
          <t>Coordenada consignada en F-DT-01</t>
        </is>
      </c>
    </row>
    <row r="11">
      <c r="A11" s="14" t="inlineStr">
        <is>
          <t>E-01</t>
        </is>
      </c>
      <c r="B11" s="15" t="inlineStr">
        <is>
          <t>Estación fotográfica</t>
        </is>
      </c>
      <c r="C11" s="27" t="n">
        <v>651827</v>
      </c>
      <c r="D11" s="27" t="n">
        <v>9373156</v>
      </c>
      <c r="E11" s="15" t="n">
        <v>274.3</v>
      </c>
      <c r="F11" s="15" t="inlineStr"/>
      <c r="G11" s="15" t="inlineStr">
        <is>
          <t>Registro fotográfico georreferenciado</t>
        </is>
      </c>
    </row>
    <row r="12">
      <c r="A12" s="7" t="inlineStr">
        <is>
          <t>E-02</t>
        </is>
      </c>
      <c r="B12" s="11" t="inlineStr">
        <is>
          <t>Estación fotográfica</t>
        </is>
      </c>
      <c r="C12" s="26" t="n">
        <v>651828</v>
      </c>
      <c r="D12" s="26" t="n">
        <v>9373159</v>
      </c>
      <c r="E12" s="11" t="n">
        <v>272.4</v>
      </c>
      <c r="F12" s="11" t="inlineStr"/>
      <c r="G12" s="11" t="inlineStr">
        <is>
          <t>Registro fotográfico georreferenciado</t>
        </is>
      </c>
    </row>
    <row r="13">
      <c r="A13" s="14" t="inlineStr">
        <is>
          <t>E-05</t>
        </is>
      </c>
      <c r="B13" s="15" t="inlineStr">
        <is>
          <t>Estación fotográfica</t>
        </is>
      </c>
      <c r="C13" s="27" t="n">
        <v>652148</v>
      </c>
      <c r="D13" s="27" t="n">
        <v>9373246</v>
      </c>
      <c r="E13" s="15" t="n">
        <v>494.4</v>
      </c>
      <c r="F13" s="15" t="inlineStr"/>
      <c r="G13" s="15" t="inlineStr">
        <is>
          <t>Registro fotográfico georreferenciado</t>
        </is>
      </c>
    </row>
    <row r="14">
      <c r="A14" s="7" t="inlineStr">
        <is>
          <t>E-10</t>
        </is>
      </c>
      <c r="B14" s="11" t="inlineStr">
        <is>
          <t>Estación fotográfica</t>
        </is>
      </c>
      <c r="C14" s="26" t="n">
        <v>652380</v>
      </c>
      <c r="D14" s="26" t="n">
        <v>9373408</v>
      </c>
      <c r="E14" s="11" t="n">
        <v>707.4</v>
      </c>
      <c r="F14" s="11" t="inlineStr"/>
      <c r="G14" s="11" t="inlineStr">
        <is>
          <t>Registro fotográfico georreferenciado</t>
        </is>
      </c>
    </row>
    <row r="15">
      <c r="A15" s="14" t="inlineStr">
        <is>
          <t>H-01</t>
        </is>
      </c>
      <c r="B15" s="15" t="inlineStr">
        <is>
          <t>Fuente de agua — Quebrada estacional</t>
        </is>
      </c>
      <c r="C15" s="27" t="n">
        <v>651828</v>
      </c>
      <c r="D15" s="27" t="n">
        <v>9373159</v>
      </c>
      <c r="E15" s="15" t="n">
        <v>272.4</v>
      </c>
      <c r="F15" s="15" t="inlineStr"/>
      <c r="G15" s="15" t="inlineStr">
        <is>
          <t>Vaguada de lecho pedregoso</t>
        </is>
      </c>
    </row>
    <row r="16">
      <c r="A16" s="7" t="inlineStr">
        <is>
          <t>H-02</t>
        </is>
      </c>
      <c r="B16" s="11" t="inlineStr">
        <is>
          <t>Fuente de agua — Quebrada estacional</t>
        </is>
      </c>
      <c r="C16" s="26" t="n">
        <v>652381</v>
      </c>
      <c r="D16" s="26" t="n">
        <v>9373408</v>
      </c>
      <c r="E16" s="11" t="n">
        <v>708.4</v>
      </c>
      <c r="F16" s="11" t="inlineStr"/>
      <c r="G16" s="11" t="inlineStr">
        <is>
          <t>Cruce de la trocha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651673</v>
      </c>
      <c r="C19" s="6" t="inlineStr">
        <is>
          <t>Centroide del bloque — UTM NORTE (m)</t>
        </is>
      </c>
      <c r="D19" s="7" t="n">
        <v>9373383</v>
      </c>
      <c r="E19" s="8" t="n"/>
      <c r="F19" s="8" t="n"/>
      <c r="G19" s="8" t="n"/>
      <c r="H19" s="8" t="n"/>
    </row>
    <row r="20">
      <c r="A20" s="6" t="inlineStr">
        <is>
          <t>N.° de estaciones fotográficas declaradas</t>
        </is>
      </c>
      <c r="B20" s="7" t="n">
        <v>11</v>
      </c>
      <c r="C20" s="6" t="inlineStr">
        <is>
          <t>Estaciones dentro del polígono</t>
        </is>
      </c>
      <c r="D20" s="7" t="n">
        <v>0</v>
      </c>
      <c r="E20" s="8" t="n"/>
      <c r="F20" s="8" t="n"/>
      <c r="G20" s="8" t="n"/>
      <c r="H20" s="8" t="n"/>
    </row>
    <row r="22" ht="132"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Reconocimiento por recorrido vehicular sobre la trocha que separa los bloques 8 (norte) y 71 (sur); 11 tomas en 6 posiciones sobre ~800 m. CONTROL GEOMÉTRICO: las 11 tomas se sitúan FUERA del polígono, entre ~20 y ~90 m del límite; la caracterización es representativa del corredor vial, NO del interior. Las coordenadas corresponden al CENTROIDE del catálogo, no a un punto GPS. Indicios: afloramientos de roca metamórfica fracturada, taludes de corte activos de 2-5 m sin banquetas, bloque rocoso métrico desprendido y árbol volteado, cicatriz de deslizamiento antiguo.</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8</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2" t="inlineStr">
        <is>
          <t>► 8</t>
        </is>
      </c>
      <c r="B11" s="29" t="n">
        <v>126.95</v>
      </c>
      <c r="C11" s="30" t="n">
        <v>24.23</v>
      </c>
      <c r="D11" s="13" t="inlineStr">
        <is>
          <t>1504 – 1970</t>
        </is>
      </c>
      <c r="E11" s="13" t="n">
        <v>466</v>
      </c>
      <c r="F11" s="13" t="n">
        <v>29.85</v>
      </c>
      <c r="G11" s="31" t="n">
        <v>0.5548</v>
      </c>
      <c r="H11" s="30" t="n">
        <v>72.25</v>
      </c>
      <c r="I11" s="30"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4" t="inlineStr">
        <is>
          <t>20</t>
        </is>
      </c>
      <c r="B13" s="32" t="n">
        <v>81.33</v>
      </c>
      <c r="C13" s="21" t="n">
        <v>15.52</v>
      </c>
      <c r="D13" s="15" t="inlineStr">
        <is>
          <t>1217 – 1607</t>
        </is>
      </c>
      <c r="E13" s="15" t="n">
        <v>390</v>
      </c>
      <c r="F13" s="15" t="n">
        <v>24.54</v>
      </c>
      <c r="G13" s="20" t="n">
        <v>0.4851</v>
      </c>
      <c r="H13" s="21" t="n">
        <v>52.44</v>
      </c>
      <c r="I13" s="21" t="n">
        <v>59.23</v>
      </c>
    </row>
    <row r="14">
      <c r="A14" s="7" t="inlineStr">
        <is>
          <t>80</t>
        </is>
      </c>
      <c r="B14" s="28" t="n">
        <v>28.83</v>
      </c>
      <c r="C14" s="19" t="n">
        <v>5.5</v>
      </c>
      <c r="D14" s="11" t="inlineStr">
        <is>
          <t>2180 – 2491</t>
        </is>
      </c>
      <c r="E14" s="11" t="n">
        <v>311</v>
      </c>
      <c r="F14" s="11" t="n">
        <v>32.9</v>
      </c>
      <c r="G14" s="18" t="n">
        <v>0.5931</v>
      </c>
      <c r="H14" s="19" t="n">
        <v>78.73</v>
      </c>
      <c r="I14" s="19" t="n">
        <v>16.88</v>
      </c>
    </row>
    <row r="15">
      <c r="A15" s="14" t="inlineStr">
        <is>
          <t>51</t>
        </is>
      </c>
      <c r="B15" s="32" t="n">
        <v>22.93</v>
      </c>
      <c r="C15" s="21" t="n">
        <v>4.38</v>
      </c>
      <c r="D15" s="15" t="inlineStr">
        <is>
          <t>1734 – 2018</t>
        </is>
      </c>
      <c r="E15" s="15" t="n">
        <v>284</v>
      </c>
      <c r="F15" s="15" t="n">
        <v>31.74</v>
      </c>
      <c r="G15" s="20" t="n">
        <v>0.5238</v>
      </c>
      <c r="H15" s="21" t="n">
        <v>69.45999999999999</v>
      </c>
      <c r="I15" s="21" t="n">
        <v>34.63</v>
      </c>
    </row>
    <row r="16">
      <c r="A16" s="7" t="inlineStr">
        <is>
          <t>76</t>
        </is>
      </c>
      <c r="B16" s="28" t="n">
        <v>19.62</v>
      </c>
      <c r="C16" s="19" t="n">
        <v>3.75</v>
      </c>
      <c r="D16" s="11" t="inlineStr">
        <is>
          <t>1647 – 1838</t>
        </is>
      </c>
      <c r="E16" s="11" t="n">
        <v>191</v>
      </c>
      <c r="F16" s="11" t="n">
        <v>26.25</v>
      </c>
      <c r="G16" s="18" t="n">
        <v>0.4925</v>
      </c>
      <c r="H16" s="19" t="n">
        <v>46.27</v>
      </c>
      <c r="I16" s="19" t="n">
        <v>54.14</v>
      </c>
    </row>
    <row r="17">
      <c r="A17" s="14" t="inlineStr">
        <is>
          <t>71</t>
        </is>
      </c>
      <c r="B17" s="32" t="n">
        <v>10.67</v>
      </c>
      <c r="C17" s="21" t="n">
        <v>2.04</v>
      </c>
      <c r="D17" s="15" t="inlineStr">
        <is>
          <t>1478 – 1609</t>
        </is>
      </c>
      <c r="E17" s="15" t="n">
        <v>131</v>
      </c>
      <c r="F17" s="15"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20" ht="84" customHeight="1">
      <c r="A20" s="9" t="inlineStr">
        <is>
          <t>LECTURA INTRAMICROCUENCA. El bloque 8 ocupa el puesto 2 de 8 por superficie dentro de la microcuenca C1076-Q9593 (24.23 % de las 523.87 ha preliminares de la microcuenca). Su pendiente promedio (29.85 %, clase «25-50% (Mod. escarpado)») es la 6.ª más baja de 8 y se sitúa por encima del promedio de la microcuenca (28.06 %). Su MSAVI 2024 (0.5548) es el 4.º de 8 y queda por encima del promedio local (0.5477). Amplitud altitudinal del bloque: 466 m (1504–1970 msnm). El cuadro conserva todos los bloques catalogados en la microcuenca, incluidos los descartados en el tamizaje, para referencia del conjunto. Los bloques sin ficha DT figuran con sus parámetros de gabinete. BRECHA ESPECTRAL. El 28.40 % de la superficie del bloque (36.058 ha de 126.952 ha) se sitúa bajo el umbral MSAVI 0.4976, por debajo del promedio local de la microcuenca (31.88 %) calculado sobre los bloques con dato MSAVI disponible.</t>
        </is>
      </c>
      <c r="B20" s="41" t="n"/>
      <c r="C20" s="41" t="n"/>
      <c r="D20" s="41" t="n"/>
      <c r="E20" s="41" t="n"/>
      <c r="F20" s="41" t="n"/>
      <c r="G20" s="41" t="n"/>
      <c r="H20" s="41" t="n"/>
      <c r="I20" s="42"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1" t="n"/>
      <c r="I22" s="42" t="n"/>
    </row>
  </sheetData>
  <mergeCells count="9">
    <mergeCell ref="A2:I2"/>
    <mergeCell ref="A5:I5"/>
    <mergeCell ref="A1:I1"/>
    <mergeCell ref="A8:I8"/>
    <mergeCell ref="A3:I3"/>
    <mergeCell ref="A6:I6"/>
    <mergeCell ref="A22:I22"/>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8</t>
        </is>
      </c>
    </row>
    <row r="6">
      <c r="A6" s="52" t="inlineStr">
        <is>
          <t>Cruce de la ficha de campo F-DT vigente con la ficha de resumen de gabinete y el catálogo maestro. Integración 2026-09-11 20:22:34.</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«C1076-Q9593».</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(126.981 ha) se desvía 0.02 % de la superficie de catálogo (126.95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(126.952 ha) se desvía 0.00 % de la superficie de catálogo (126.95 ha).</t>
        </is>
      </c>
      <c r="D14" s="57" t="inlineStr">
        <is>
          <t>CONFORME</t>
        </is>
      </c>
      <c r="E14" s="57" t="inlineStr">
        <is>
          <t>Sin acción: la segmentación valida la geometría del bloque.</t>
        </is>
      </c>
    </row>
    <row r="15">
      <c r="A15" s="56" t="inlineStr">
        <is>
          <t>G-07</t>
        </is>
      </c>
      <c r="B15" s="56" t="inlineStr">
        <is>
          <t>Brecha espectral MSAVI</t>
        </is>
      </c>
      <c r="C15" s="56" t="inlineStr">
        <is>
          <t>El 28.40 % del bloque queda bajo el umbral 0.4976; superficie de brecha 36.06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126.95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(0.5548)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Elenco florístico (n.o de taxones)</t>
        </is>
      </c>
      <c r="C19" s="56" t="inlineStr">
        <is>
          <t>El libro de resumen V6 consignaba «14»; la ficha de campo vigente declara «15».</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82.1 % de los campos esperados).</t>
        </is>
      </c>
      <c r="D20" s="57" t="inlineStr">
        <is>
          <t>CONFORME</t>
        </is>
      </c>
      <c r="E20" s="57" t="inlineStr">
        <is>
          <t>Sin acción.</t>
        </is>
      </c>
    </row>
    <row r="21">
      <c r="A21" s="56" t="inlineStr">
        <is>
          <t>F-02</t>
        </is>
      </c>
      <c r="B21" s="56" t="inlineStr">
        <is>
          <t>Cobertura de la integración</t>
        </is>
      </c>
      <c r="C21" s="56" t="inlineStr">
        <is>
          <t>Se declararon 88 de 114 hechos integrados (77.2 %); 26 quedan sin dato en ninguna fuente.</t>
        </is>
      </c>
      <c r="D21" s="56" t="inlineStr">
        <is>
          <t>CONFORME</t>
        </is>
      </c>
      <c r="E21" s="56" t="inlineStr">
        <is>
          <t>Sin acción.</t>
        </is>
      </c>
    </row>
    <row r="22">
      <c r="A22" s="57" t="inlineStr">
        <is>
          <t>H-01</t>
        </is>
      </c>
      <c r="B22" s="57" t="inlineStr">
        <is>
          <t>Inventario georreferenciado de cárcavas</t>
        </is>
      </c>
      <c r="C22" s="57" t="inlineStr">
        <is>
          <t>El inventario de cárcavas no fue ejecutado o no consta en la ficha DT</t>
        </is>
      </c>
      <c r="D22" s="57" t="inlineStr">
        <is>
          <t>SUSTANTIVA</t>
        </is>
      </c>
      <c r="E22" s="57"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3">
      <c r="A23" s="56" t="inlineStr">
        <is>
          <t>H-02</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H-03</t>
        </is>
      </c>
      <c r="B24" s="57" t="inlineStr">
        <is>
          <t>Centro poblado asociado</t>
        </is>
      </c>
      <c r="C24" s="57" t="inlineStr">
        <is>
          <t>La ficha DT declara «Pirga (y Chonta de Platanal)»; el cruce INEI-Bloques V5 identifica 1 centro(s) poblado(s) en el bloque: PIRGA</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3 · NO SUSTANTIVA: 1 · CORREGIDO: 1 · CONFORME: 11</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8</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5. Ecosistema, cobertura y flora (F-DT-03)</t>
        </is>
      </c>
      <c r="B9" s="56" t="inlineStr">
        <is>
          <t>Elenco florístico (n.o de taxones)</t>
        </is>
      </c>
      <c r="C9" s="56" t="inlineStr">
        <is>
          <t>14</t>
        </is>
      </c>
      <c r="D9" s="56" t="inlineStr">
        <is>
          <t>15</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651673</t>
        </is>
      </c>
      <c r="D13" s="56" t="inlineStr">
        <is>
          <t>m</t>
        </is>
      </c>
    </row>
    <row r="14">
      <c r="A14" s="57" t="inlineStr">
        <is>
          <t>1. Identificación y localización</t>
        </is>
      </c>
      <c r="B14" s="57" t="inlineStr">
        <is>
          <t>UTM NORTE del punto de muestreo (m)</t>
        </is>
      </c>
      <c r="C14" s="57" t="inlineStr">
        <is>
          <t>9373383</t>
        </is>
      </c>
      <c r="D14" s="57" t="inlineStr">
        <is>
          <t>m</t>
        </is>
      </c>
    </row>
    <row r="15">
      <c r="A15" s="56" t="inlineStr">
        <is>
          <t>2. Parámetros físicos del terreno</t>
        </is>
      </c>
      <c r="B15" s="56" t="inlineStr">
        <is>
          <t>Piso altitudinal del punto de muestreo</t>
        </is>
      </c>
      <c r="C15" s="56" t="inlineStr">
        <is>
          <t>1500-2000 m (Quechua media)</t>
        </is>
      </c>
      <c r="D15" s="56" t="inlineStr"/>
    </row>
    <row r="16">
      <c r="A16" s="57" t="inlineStr">
        <is>
          <t>2. Parámetros físicos del terreno</t>
        </is>
      </c>
      <c r="B16" s="57" t="inlineStr">
        <is>
          <t>Paisaje dominante descrito en campo</t>
        </is>
      </c>
      <c r="C16" s="57" t="inlineStr">
        <is>
          <t>Sistema de laderas de fuerte inclinación tributarias de la quebrada Q9593, entre las cotas 1 504 y 1 970 msnm. Mosaico de bosque estacionalmente seco de colina y montaña en transición a matorral andino subhúmedo: dosel semidenso con epifitismo abundante de bromeliáceas y helechos en las quebradas y sectores de umbría, y matorral más ralo con cactáceas columnares y agaves en las aristas y laderas de mayor insolación. En el sector oriental y en el contacto con la trocha aparecen rodales de eucalipto y grevilea y parcelas de café bajo sombra y plátano. Neblina densa durante todo el recorrido (14:38–14:48 h), en plena estación seca.</t>
        </is>
      </c>
      <c r="D16" s="57" t="inlineStr"/>
    </row>
    <row r="17">
      <c r="A17" s="56" t="inlineStr">
        <is>
          <t>2. Parámetros físicos del terreno</t>
        </is>
      </c>
      <c r="B17" s="56" t="inlineStr">
        <is>
          <t>Reptación de suelo</t>
        </is>
      </c>
      <c r="C17" s="56" t="inlineStr">
        <is>
          <t>No</t>
        </is>
      </c>
      <c r="D17" s="56" t="inlineStr"/>
    </row>
    <row r="18">
      <c r="A18" s="57" t="inlineStr">
        <is>
          <t>2. Parámetros físicos del terreno</t>
        </is>
      </c>
      <c r="B18" s="57" t="inlineStr">
        <is>
          <t>Deslizamientos antiguos</t>
        </is>
      </c>
      <c r="C18" s="57" t="inlineStr">
        <is>
          <t>Sí</t>
        </is>
      </c>
      <c r="D18" s="57" t="inlineStr"/>
    </row>
    <row r="19">
      <c r="A19" s="56" t="inlineStr">
        <is>
          <t>4. Suelos y erosión (F-DT-02)</t>
        </is>
      </c>
      <c r="B19" s="56" t="inlineStr">
        <is>
          <t>Nivel de erosión - síntesis de campo</t>
        </is>
      </c>
      <c r="C19" s="56" t="inlineStr">
        <is>
          <t>Moderada (surcos)</t>
        </is>
      </c>
      <c r="D19" s="56" t="inlineStr"/>
    </row>
    <row r="20">
      <c r="A20" s="57" t="inlineStr">
        <is>
          <t>4. Suelos y erosión (F-DT-02)</t>
        </is>
      </c>
      <c r="B20" s="57" t="inlineStr">
        <is>
          <t>Sellamiento / costra superficial</t>
        </is>
      </c>
      <c r="C20" s="57" t="inlineStr">
        <is>
          <t>No</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Longitud total de cárcavas (m)</t>
        </is>
      </c>
      <c r="C23" s="56" t="inlineStr">
        <is>
          <t>Sin inventario</t>
        </is>
      </c>
      <c r="D23" s="56" t="inlineStr">
        <is>
          <t>m</t>
        </is>
      </c>
    </row>
    <row r="24">
      <c r="A24" s="57" t="inlineStr">
        <is>
          <t>4. Suelos y erosión (F-DT-02)</t>
        </is>
      </c>
      <c r="B24" s="57" t="inlineStr">
        <is>
          <t>Patrón de cárcavas</t>
        </is>
      </c>
      <c r="C24" s="57" t="inlineStr">
        <is>
          <t>Lineal</t>
        </is>
      </c>
      <c r="D24" s="57" t="inlineStr"/>
    </row>
    <row r="25">
      <c r="A25" s="56" t="inlineStr">
        <is>
          <t>4. Suelos y erosión (F-DT-02)</t>
        </is>
      </c>
      <c r="B25" s="56" t="inlineStr">
        <is>
          <t>Socavamiento de cauce</t>
        </is>
      </c>
      <c r="C25" s="56" t="inlineStr">
        <is>
          <t>Sí</t>
        </is>
      </c>
      <c r="D25" s="56" t="inlineStr"/>
    </row>
    <row r="26">
      <c r="A26" s="57" t="inlineStr">
        <is>
          <t>5. Ecosistema, cobertura y flora (F-DT-03)</t>
        </is>
      </c>
      <c r="B26" s="57" t="inlineStr">
        <is>
          <t>Presencia de epífitas</t>
        </is>
      </c>
      <c r="C26" s="57" t="inlineStr">
        <is>
          <t>Sí</t>
        </is>
      </c>
      <c r="D26" s="57" t="inlineStr"/>
    </row>
    <row r="27">
      <c r="A27" s="56" t="inlineStr">
        <is>
          <t>5. Ecosistema, cobertura y flora (F-DT-03)</t>
        </is>
      </c>
      <c r="B27" s="56" t="inlineStr">
        <is>
          <t>Fenología dominante</t>
        </is>
      </c>
      <c r="C27" s="56" t="inlineStr">
        <is>
          <t>Floración</t>
        </is>
      </c>
      <c r="D27" s="56" t="inlineStr"/>
    </row>
    <row r="28">
      <c r="A28" s="57" t="inlineStr">
        <is>
          <t>5. Ecosistema, cobertura y flora (F-DT-03)</t>
        </is>
      </c>
      <c r="B28" s="57" t="inlineStr">
        <is>
          <t>Dimensiones de la parcela (m)</t>
        </is>
      </c>
      <c r="C28" s="57" t="inlineStr">
        <is>
          <t>No aplica</t>
        </is>
      </c>
      <c r="D28" s="57" t="inlineStr"/>
    </row>
    <row r="29">
      <c r="A29" s="56" t="inlineStr">
        <is>
          <t>5. Ecosistema, cobertura y flora (F-DT-03)</t>
        </is>
      </c>
      <c r="B29" s="56" t="inlineStr">
        <is>
          <t>Pendiente de la parcela (%)</t>
        </is>
      </c>
      <c r="C29" s="56" t="inlineStr">
        <is>
          <t>29.85</t>
        </is>
      </c>
      <c r="D29" s="56" t="inlineStr">
        <is>
          <t>%</t>
        </is>
      </c>
    </row>
    <row r="30">
      <c r="A30" s="57" t="inlineStr">
        <is>
          <t>5. Ecosistema, cobertura y flora (F-DT-03)</t>
        </is>
      </c>
      <c r="B30" s="57" t="inlineStr">
        <is>
          <t>Especies clave georreferenciadas</t>
        </is>
      </c>
      <c r="C30" s="57" t="inlineStr">
        <is>
          <t>4</t>
        </is>
      </c>
      <c r="D30" s="57" t="inlineStr"/>
    </row>
    <row r="31">
      <c r="A31" s="56" t="inlineStr">
        <is>
          <t>6. Degradación, causas y urgencia (F-DT-04)</t>
        </is>
      </c>
      <c r="B31" s="56" t="inlineStr">
        <is>
          <t>Causas directas de la degradación</t>
        </is>
      </c>
      <c r="C31" s="56" t="inlineStr">
        <is>
          <t>Causa dominante: expansión vial — trocha carrozable con cortes frescos, sin drenaje ni revegetación, en el corredor que separa los bloques 8 y 71. Causas concurrentes de menor intensidad: cambio de uso a agricultura (café bajo sombra y plátano en el borde oriental), pastoreo extensivo, tala para leña y madera, y erosión natural severa asociada a los propios cortes.</t>
        </is>
      </c>
      <c r="D31" s="56" t="inlineStr"/>
    </row>
    <row r="32">
      <c r="A32" s="57" t="inlineStr">
        <is>
          <t>6. Degradación, causas y urgencia (F-DT-04)</t>
        </is>
      </c>
      <c r="B32" s="57" t="inlineStr">
        <is>
          <t>N.° de causas activas en la matriz F-DT-04</t>
        </is>
      </c>
      <c r="C32" s="57" t="inlineStr">
        <is>
          <t>8</t>
        </is>
      </c>
      <c r="D32" s="57" t="inlineStr"/>
    </row>
    <row r="33">
      <c r="A33" s="56" t="inlineStr">
        <is>
          <t>7. Hidrología, acceso y logística (F-DT-05)</t>
        </is>
      </c>
      <c r="B33" s="56" t="inlineStr">
        <is>
          <t>Escorrentía concentrada</t>
        </is>
      </c>
      <c r="C33" s="56" t="inlineStr">
        <is>
          <t>Sí</t>
        </is>
      </c>
      <c r="D33" s="56" t="inlineStr"/>
    </row>
    <row r="34">
      <c r="A34" s="57" t="inlineStr">
        <is>
          <t>7. Hidrología, acceso y logística (F-DT-05)</t>
        </is>
      </c>
      <c r="B34" s="57" t="inlineStr">
        <is>
          <t>Fuentes de agua inventariadas</t>
        </is>
      </c>
      <c r="C34" s="57" t="inlineStr">
        <is>
          <t>2</t>
        </is>
      </c>
      <c r="D34" s="57" t="inlineStr"/>
    </row>
    <row r="35">
      <c r="A35" s="56" t="inlineStr">
        <is>
          <t>7. Hidrología, acceso y logística (F-DT-05)</t>
        </is>
      </c>
      <c r="B35" s="56" t="inlineStr">
        <is>
          <t>Vía principal de acceso</t>
        </is>
      </c>
      <c r="C35" s="56" t="inlineStr">
        <is>
          <t>Trocha carrozable de acceso al C.P. Pirga (sin código MTC verificado)</t>
        </is>
      </c>
      <c r="D35" s="56" t="inlineStr"/>
    </row>
    <row r="36">
      <c r="A36" s="57" t="inlineStr">
        <is>
          <t>7. Hidrología, acceso y logística (F-DT-05)</t>
        </is>
      </c>
      <c r="B36" s="57" t="inlineStr">
        <is>
          <t>Tipo de vía del tramo final</t>
        </is>
      </c>
      <c r="C36" s="57" t="inlineStr">
        <is>
          <t>Trocha carrozable</t>
        </is>
      </c>
      <c r="D36" s="57" t="inlineStr"/>
    </row>
    <row r="37">
      <c r="A37" s="56" t="inlineStr">
        <is>
          <t>7. Hidrología, acceso y logística (F-DT-05)</t>
        </is>
      </c>
      <c r="B37" s="56" t="inlineStr">
        <is>
          <t>Transitabilidad en época seca</t>
        </is>
      </c>
      <c r="C37" s="56" t="inlineStr">
        <is>
          <t>Medio</t>
        </is>
      </c>
      <c r="D37" s="56" t="inlineStr"/>
    </row>
    <row r="38">
      <c r="A38" s="57" t="inlineStr">
        <is>
          <t>7. Hidrología, acceso y logística (F-DT-05)</t>
        </is>
      </c>
      <c r="B38" s="57" t="inlineStr">
        <is>
          <t>Transitabilidad en época lluviosa</t>
        </is>
      </c>
      <c r="C38" s="57" t="inlineStr">
        <is>
          <t>Bajo</t>
        </is>
      </c>
      <c r="D38" s="57" t="inlineStr"/>
    </row>
    <row r="40">
      <c r="A40" s="54" t="inlineStr">
        <is>
          <t>C. PROCEDENCIA DE LOS HECHOS DECLARADOS</t>
        </is>
      </c>
    </row>
    <row r="41">
      <c r="A41" s="55" t="inlineStr">
        <is>
          <t>Fuente</t>
        </is>
      </c>
      <c r="B41" s="55" t="inlineStr">
        <is>
          <t>Hechos</t>
        </is>
      </c>
      <c r="C41" s="55" t="inlineStr">
        <is>
          <t>Alcance de la fuente</t>
        </is>
      </c>
    </row>
    <row r="42">
      <c r="A42" s="56" t="inlineStr">
        <is>
          <t>Dato de campo</t>
        </is>
      </c>
      <c r="B42" s="56" t="n">
        <v>54</v>
      </c>
      <c r="C42" s="56" t="inlineStr">
        <is>
          <t>Verificación en campo. Fichas F-DT-01 a F-DT-05 de la Plantilla DT Campo Check Validada V5, suscritas por el evaluador.</t>
        </is>
      </c>
    </row>
    <row r="43">
      <c r="A43" s="57" t="inlineStr">
        <is>
          <t>Gabinete (GIS / teledetección)</t>
        </is>
      </c>
      <c r="B43" s="57" t="n">
        <v>20</v>
      </c>
      <c r="C43" s="57" t="inlineStr">
        <is>
          <t>Gabinete. Estadística zonal sobre el MDE y compuestos Sentinel-2 (NDVI mediana 2025, MSAVI 2024 por clase DN).</t>
        </is>
      </c>
    </row>
    <row r="44">
      <c r="A44" s="56" t="inlineStr">
        <is>
          <t>Fuente oficial</t>
        </is>
      </c>
      <c r="B44" s="56" t="n">
        <v>14</v>
      </c>
      <c r="C44" s="56" t="inlineStr">
        <is>
          <t>Fuente oficial. Catálogo maestro Bloques V5/V6, división política INEI y codificación de microcuencas de la ANA.</t>
        </is>
      </c>
    </row>
    <row r="46">
      <c r="A46" s="54" t="inlineStr">
        <is>
          <t>D. ESTADO DEL CRUCE ENTRE FUENTES</t>
        </is>
      </c>
    </row>
    <row r="47">
      <c r="A47" s="55" t="inlineStr">
        <is>
          <t>Estado</t>
        </is>
      </c>
      <c r="B47" s="55" t="inlineStr">
        <is>
          <t>Hechos</t>
        </is>
      </c>
      <c r="C47" s="55" t="inlineStr">
        <is>
          <t>Significado</t>
        </is>
      </c>
    </row>
    <row r="48">
      <c r="A48" s="56" t="inlineStr">
        <is>
          <t>CONFORME</t>
        </is>
      </c>
      <c r="B48" s="56" t="n">
        <v>87</v>
      </c>
      <c r="C48" s="56" t="inlineStr">
        <is>
          <t>Las dos fuentes declaran lo mismo, o solo la fuente que manda sobre el hecho lo declara.</t>
        </is>
      </c>
    </row>
    <row r="49">
      <c r="A49" s="57" t="inlineStr">
        <is>
          <t>COMPLEMENTADO</t>
        </is>
      </c>
      <c r="B49" s="57" t="n">
        <v>0</v>
      </c>
      <c r="C49" s="57" t="inlineStr">
        <is>
          <t>Solo una de las fuentes lo declara y se adopta ese valor.</t>
        </is>
      </c>
    </row>
    <row r="50">
      <c r="A50" s="56" t="inlineStr">
        <is>
          <t>ACTUALIZADO</t>
        </is>
      </c>
      <c r="B50" s="56" t="n">
        <v>1</v>
      </c>
      <c r="C50" s="56" t="inlineStr">
        <is>
          <t>La verificación de campo vigente corrige lo que traía el libro de resumen.</t>
        </is>
      </c>
    </row>
    <row r="51">
      <c r="A51" s="57" t="inlineStr">
        <is>
          <t>DISCREPANTE</t>
        </is>
      </c>
      <c r="B51" s="57" t="n">
        <v>0</v>
      </c>
      <c r="C51" s="57" t="inlineStr">
        <is>
          <t>Las fuentes se contradicen; prevalece la que manda sobre el hecho y la otra queda declarada.</t>
        </is>
      </c>
    </row>
    <row r="52">
      <c r="A52" s="56" t="inlineStr">
        <is>
          <t>PENDIENTE</t>
        </is>
      </c>
      <c r="B52" s="56" t="n">
        <v>26</v>
      </c>
      <c r="C52"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8</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Achupalla / salvajina (epífita)</t>
        </is>
      </c>
      <c r="C13" s="56" t="inlineStr">
        <is>
          <t>Tillandsia spp.</t>
        </is>
      </c>
      <c r="D13" s="56" t="inlineStr">
        <is>
          <t>Bromeliaceae</t>
        </is>
      </c>
      <c r="E13" s="56" t="inlineStr">
        <is>
          <t>Epífito</t>
        </is>
      </c>
      <c r="F13" s="56" t="inlineStr">
        <is>
          <t>Nativa</t>
        </is>
      </c>
      <c r="G13" s="56" t="inlineStr">
        <is>
          <t>Abundante (20-40%)</t>
        </is>
      </c>
      <c r="H13" s="56" t="n"/>
      <c r="I13" s="56" t="n"/>
    </row>
    <row r="14">
      <c r="A14" s="57" t="inlineStr">
        <is>
          <t>2</t>
        </is>
      </c>
      <c r="B14" s="57" t="inlineStr">
        <is>
          <t>Helecho</t>
        </is>
      </c>
      <c r="C14" s="57" t="inlineStr">
        <is>
          <t>Pteridophyta por determinar</t>
        </is>
      </c>
      <c r="D14" s="57" t="inlineStr">
        <is>
          <t>Por determinar</t>
        </is>
      </c>
      <c r="E14" s="57" t="inlineStr">
        <is>
          <t>Herbáceo (&lt;0.5 m)</t>
        </is>
      </c>
      <c r="F14" s="57" t="inlineStr">
        <is>
          <t>Nativa</t>
        </is>
      </c>
      <c r="G14" s="57" t="inlineStr">
        <is>
          <t>Frecuente (5-20%)</t>
        </is>
      </c>
      <c r="H14" s="57" t="n"/>
      <c r="I14" s="57" t="n"/>
    </row>
    <row r="15">
      <c r="A15" s="56" t="inlineStr">
        <is>
          <t>3</t>
        </is>
      </c>
      <c r="B15" s="56" t="inlineStr">
        <is>
          <t>Cactácea columnar</t>
        </is>
      </c>
      <c r="C15" s="56" t="inlineStr">
        <is>
          <t>Armatocereus sp. / Neoraimondia sp.</t>
        </is>
      </c>
      <c r="D15" s="56" t="inlineStr">
        <is>
          <t>Cactaceae</t>
        </is>
      </c>
      <c r="E15" s="56" t="inlineStr">
        <is>
          <t>Arbustivo alto (1.5-4 m)</t>
        </is>
      </c>
      <c r="F15" s="56" t="inlineStr">
        <is>
          <t>Nativa</t>
        </is>
      </c>
      <c r="G15" s="56" t="inlineStr">
        <is>
          <t>Ocasional (1-5%)</t>
        </is>
      </c>
      <c r="H15" s="56" t="n"/>
      <c r="I15" s="56" t="n"/>
    </row>
    <row r="16">
      <c r="A16" s="57" t="inlineStr">
        <is>
          <t>4</t>
        </is>
      </c>
      <c r="B16" s="57" t="inlineStr">
        <is>
          <t>Agave / penca</t>
        </is>
      </c>
      <c r="C16" s="57" t="inlineStr">
        <is>
          <t>Agave americana</t>
        </is>
      </c>
      <c r="D16" s="57" t="inlineStr">
        <is>
          <t>Asparagaceae</t>
        </is>
      </c>
      <c r="E16" s="57" t="inlineStr">
        <is>
          <t>Arbustivo alto (1.5-4 m)</t>
        </is>
      </c>
      <c r="F16" s="57" t="inlineStr">
        <is>
          <t>Introducida</t>
        </is>
      </c>
      <c r="G16" s="57" t="inlineStr">
        <is>
          <t>Ocasional (1-5%)</t>
        </is>
      </c>
      <c r="H16" s="57" t="n"/>
      <c r="I16" s="57" t="n"/>
    </row>
    <row r="17">
      <c r="A17" s="56" t="inlineStr">
        <is>
          <t>5</t>
        </is>
      </c>
      <c r="B17" s="56" t="inlineStr">
        <is>
          <t>Chirimoya silvestre</t>
        </is>
      </c>
      <c r="C17" s="56" t="inlineStr">
        <is>
          <t>Annona sp.</t>
        </is>
      </c>
      <c r="D17" s="56" t="inlineStr">
        <is>
          <t>Annonaceae</t>
        </is>
      </c>
      <c r="E17" s="56" t="inlineStr">
        <is>
          <t>Arbóreo bajo (4-8 m)</t>
        </is>
      </c>
      <c r="F17" s="56" t="inlineStr">
        <is>
          <t>Nativa</t>
        </is>
      </c>
      <c r="G17" s="56" t="inlineStr">
        <is>
          <t>Rara (&lt;1%)</t>
        </is>
      </c>
      <c r="H17" s="56" t="n"/>
      <c r="I17" s="56" t="n"/>
    </row>
    <row r="18">
      <c r="A18" s="57" t="inlineStr">
        <is>
          <t>6</t>
        </is>
      </c>
      <c r="B18" s="57" t="inlineStr">
        <is>
          <t>Guaba o pacae</t>
        </is>
      </c>
      <c r="C18" s="57" t="inlineStr">
        <is>
          <t>Inga feuillei</t>
        </is>
      </c>
      <c r="D18" s="57" t="inlineStr">
        <is>
          <t>Fabaceae</t>
        </is>
      </c>
      <c r="E18" s="57" t="inlineStr">
        <is>
          <t>Arbóreo medio (8-15 m)</t>
        </is>
      </c>
      <c r="F18" s="57" t="inlineStr">
        <is>
          <t>Nativa</t>
        </is>
      </c>
      <c r="G18" s="57" t="inlineStr">
        <is>
          <t>Ocasional (1-5%)</t>
        </is>
      </c>
      <c r="H18" s="57" t="n"/>
      <c r="I18" s="57" t="n"/>
    </row>
    <row r="19">
      <c r="A19" s="56" t="inlineStr">
        <is>
          <t>7</t>
        </is>
      </c>
      <c r="B19" s="56" t="inlineStr">
        <is>
          <t>Asterácea arbustiva</t>
        </is>
      </c>
      <c r="C19" s="56" t="inlineStr">
        <is>
          <t>Encelia canescens</t>
        </is>
      </c>
      <c r="D19" s="56" t="inlineStr">
        <is>
          <t>Asteraceae</t>
        </is>
      </c>
      <c r="E19" s="56" t="inlineStr">
        <is>
          <t>Arbustivo bajo (0.5-1.5 m)</t>
        </is>
      </c>
      <c r="F19" s="56" t="inlineStr">
        <is>
          <t>Nativa</t>
        </is>
      </c>
      <c r="G19" s="56" t="inlineStr">
        <is>
          <t>Frecuente (5-20%)</t>
        </is>
      </c>
      <c r="H19" s="56" t="n"/>
      <c r="I19" s="56" t="n"/>
    </row>
    <row r="20">
      <c r="A20" s="57" t="inlineStr">
        <is>
          <t>8</t>
        </is>
      </c>
      <c r="B20" s="57" t="inlineStr">
        <is>
          <t>Arbusto de flor blanca</t>
        </is>
      </c>
      <c r="C20" s="57" t="inlineStr">
        <is>
          <t>Asteraceae por determinar</t>
        </is>
      </c>
      <c r="D20" s="57" t="inlineStr">
        <is>
          <t>Asteraceae</t>
        </is>
      </c>
      <c r="E20" s="57" t="inlineStr">
        <is>
          <t>Arbustivo alto (1.5-4 m)</t>
        </is>
      </c>
      <c r="F20" s="57" t="inlineStr">
        <is>
          <t>Nativa</t>
        </is>
      </c>
      <c r="G20" s="57" t="inlineStr">
        <is>
          <t>Frecuente (5-20%)</t>
        </is>
      </c>
      <c r="H20" s="57" t="n"/>
      <c r="I20" s="57" t="n"/>
    </row>
    <row r="21">
      <c r="A21" s="56" t="inlineStr">
        <is>
          <t>9</t>
        </is>
      </c>
      <c r="B21" s="56" t="inlineStr">
        <is>
          <t>Arbusto de flor amarilla</t>
        </is>
      </c>
      <c r="C21" s="56" t="inlineStr">
        <is>
          <t>Asteraceae por determinar</t>
        </is>
      </c>
      <c r="D21" s="56" t="inlineStr">
        <is>
          <t>Asteraceae</t>
        </is>
      </c>
      <c r="E21" s="56" t="inlineStr">
        <is>
          <t>Arbustivo alto (1.5-4 m)</t>
        </is>
      </c>
      <c r="F21" s="56" t="inlineStr">
        <is>
          <t>Nativa</t>
        </is>
      </c>
      <c r="G21" s="56" t="inlineStr">
        <is>
          <t>Ocasional (1-5%)</t>
        </is>
      </c>
      <c r="H21" s="56" t="n"/>
      <c r="I21" s="56" t="n"/>
    </row>
    <row r="22">
      <c r="A22" s="57" t="inlineStr">
        <is>
          <t>10</t>
        </is>
      </c>
      <c r="B22" s="57" t="inlineStr">
        <is>
          <t>Gramíneas / pastos naturales</t>
        </is>
      </c>
      <c r="C22" s="57" t="inlineStr">
        <is>
          <t>Poaceae por determinar</t>
        </is>
      </c>
      <c r="D22" s="57" t="inlineStr">
        <is>
          <t>Poaceae</t>
        </is>
      </c>
      <c r="E22" s="57" t="inlineStr">
        <is>
          <t>Herbáceo (&lt;0.5 m)</t>
        </is>
      </c>
      <c r="F22" s="57" t="inlineStr">
        <is>
          <t>Nativa</t>
        </is>
      </c>
      <c r="G22" s="57" t="inlineStr">
        <is>
          <t>Frecuente (5-20%)</t>
        </is>
      </c>
      <c r="H22" s="57" t="n"/>
      <c r="I22" s="57" t="n"/>
    </row>
    <row r="23">
      <c r="A23" s="56" t="inlineStr">
        <is>
          <t>11</t>
        </is>
      </c>
      <c r="B23" s="56" t="inlineStr">
        <is>
          <t>Eucalipto</t>
        </is>
      </c>
      <c r="C23" s="56" t="inlineStr">
        <is>
          <t>Eucalyptus globulus</t>
        </is>
      </c>
      <c r="D23" s="56" t="inlineStr">
        <is>
          <t>Myrtaceae</t>
        </is>
      </c>
      <c r="E23" s="56" t="inlineStr">
        <is>
          <t>Arbóreo superior (&gt;15 m)</t>
        </is>
      </c>
      <c r="F23" s="56" t="inlineStr">
        <is>
          <t>Introducida</t>
        </is>
      </c>
      <c r="G23" s="56" t="inlineStr">
        <is>
          <t>Ocasional (1-5%)</t>
        </is>
      </c>
      <c r="H23" s="56" t="n"/>
      <c r="I23" s="56" t="n"/>
    </row>
    <row r="24">
      <c r="A24" s="57" t="inlineStr">
        <is>
          <t>12</t>
        </is>
      </c>
      <c r="B24" s="57" t="inlineStr">
        <is>
          <t>Grevilea</t>
        </is>
      </c>
      <c r="C24" s="57" t="inlineStr">
        <is>
          <t>Grevillea robusta</t>
        </is>
      </c>
      <c r="D24" s="57" t="inlineStr">
        <is>
          <t>Proteaceae</t>
        </is>
      </c>
      <c r="E24" s="57" t="inlineStr">
        <is>
          <t>Arbóreo medio (8-15 m)</t>
        </is>
      </c>
      <c r="F24" s="57" t="inlineStr">
        <is>
          <t>Introducida</t>
        </is>
      </c>
      <c r="G24" s="57" t="inlineStr">
        <is>
          <t>Ocasional (1-5%)</t>
        </is>
      </c>
      <c r="H24" s="57" t="n"/>
      <c r="I24" s="57" t="n"/>
    </row>
    <row r="25">
      <c r="A25" s="56" t="inlineStr">
        <is>
          <t>13</t>
        </is>
      </c>
      <c r="B25" s="56" t="inlineStr">
        <is>
          <t>Plátano (cultivo)</t>
        </is>
      </c>
      <c r="C25" s="56" t="inlineStr">
        <is>
          <t>Musa × paradisiaca</t>
        </is>
      </c>
      <c r="D25" s="56" t="inlineStr">
        <is>
          <t>Musaceae</t>
        </is>
      </c>
      <c r="E25" s="56" t="inlineStr">
        <is>
          <t>Arbóreo bajo (4-8 m)</t>
        </is>
      </c>
      <c r="F25" s="56" t="inlineStr">
        <is>
          <t>Introducida</t>
        </is>
      </c>
      <c r="G25" s="56" t="inlineStr">
        <is>
          <t>Ocasional (1-5%)</t>
        </is>
      </c>
      <c r="H25" s="56" t="n"/>
      <c r="I25" s="56" t="n"/>
    </row>
    <row r="26">
      <c r="A26" s="57" t="inlineStr">
        <is>
          <t>14</t>
        </is>
      </c>
      <c r="B26" s="57" t="inlineStr">
        <is>
          <t>Café (cultivo bajo sombra)</t>
        </is>
      </c>
      <c r="C26" s="57" t="inlineStr">
        <is>
          <t>Coffea arabica</t>
        </is>
      </c>
      <c r="D26" s="57" t="inlineStr">
        <is>
          <t>Rubiaceae</t>
        </is>
      </c>
      <c r="E26" s="57" t="inlineStr">
        <is>
          <t>Arbustivo alto (1.5-4 m)</t>
        </is>
      </c>
      <c r="F26" s="57" t="inlineStr">
        <is>
          <t>Introducida</t>
        </is>
      </c>
      <c r="G26" s="57" t="inlineStr">
        <is>
          <t>Frecuente (5-20%)</t>
        </is>
      </c>
      <c r="H26" s="57" t="n"/>
      <c r="I26" s="57" t="n"/>
    </row>
    <row r="27">
      <c r="A27" s="56" t="inlineStr">
        <is>
          <t>15</t>
        </is>
      </c>
      <c r="B27" s="56" t="inlineStr">
        <is>
          <t>— (registro pendiente: la ficha exige mínimo 15 especies; falta 1)</t>
        </is>
      </c>
      <c r="C27" s="56" t="inlineStr"/>
      <c r="D27" s="56" t="inlineStr"/>
      <c r="E27" s="56" t="inlineStr"/>
      <c r="F27" s="56" t="inlineStr"/>
      <c r="G27" s="56" t="inlineStr"/>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Tillandsia spp. (bromeliáceas epífitas)</t>
        </is>
      </c>
      <c r="C31" s="56" t="inlineStr">
        <is>
          <t>Indicadora de buen estado</t>
        </is>
      </c>
      <c r="D31" s="56" t="inlineStr">
        <is>
          <t>NE — No Evaluado</t>
        </is>
      </c>
      <c r="E31" s="61" t="n">
        <v>651828</v>
      </c>
      <c r="F31" s="61" t="n">
        <v>9373159</v>
      </c>
      <c r="G31" s="56" t="n"/>
      <c r="H31" s="56" t="inlineStr">
        <is>
          <t>Epifitismo denso sobre dosel y ramas caídas: indica humedad atmosférica persistente por condensación de neblina</t>
        </is>
      </c>
    </row>
    <row r="32">
      <c r="A32" s="57" t="inlineStr">
        <is>
          <t>2</t>
        </is>
      </c>
      <c r="B32" s="57" t="inlineStr">
        <is>
          <t>Helechos (Pteridophyta)</t>
        </is>
      </c>
      <c r="C32" s="57" t="inlineStr">
        <is>
          <t>Indicadora de buen estado</t>
        </is>
      </c>
      <c r="D32" s="57" t="inlineStr">
        <is>
          <t>NE — No Evaluado</t>
        </is>
      </c>
      <c r="E32" s="62" t="n">
        <v>652148</v>
      </c>
      <c r="F32" s="62" t="n">
        <v>9373246</v>
      </c>
      <c r="G32" s="57" t="n"/>
      <c r="H32" s="57" t="inlineStr">
        <is>
          <t>Colonizan taludes y bordes húmedos; confirman el régimen de neblina y el potencial de recuperación pasiva</t>
        </is>
      </c>
    </row>
    <row r="33">
      <c r="A33" s="56" t="inlineStr">
        <is>
          <t>3</t>
        </is>
      </c>
      <c r="B33" s="56" t="inlineStr">
        <is>
          <t>Cactáceas columnares (Cactaceae)</t>
        </is>
      </c>
      <c r="C33" s="56" t="inlineStr">
        <is>
          <t>Indicadora de perturbación</t>
        </is>
      </c>
      <c r="D33" s="56" t="inlineStr">
        <is>
          <t>NE — No Evaluado</t>
        </is>
      </c>
      <c r="E33" s="61" t="n">
        <v>651827</v>
      </c>
      <c r="F33" s="61" t="n">
        <v>9373156</v>
      </c>
      <c r="G33" s="56" t="n"/>
      <c r="H33" s="56" t="inlineStr">
        <is>
          <t>Presentes en aristas y cortes de mayor insolación; delimitan el sector de mayor déficit hídrico edáfico</t>
        </is>
      </c>
    </row>
    <row r="34">
      <c r="A34" s="57" t="inlineStr">
        <is>
          <t>4</t>
        </is>
      </c>
      <c r="B34" s="57" t="inlineStr">
        <is>
          <t>Eucalyptus globulus</t>
        </is>
      </c>
      <c r="C34" s="57" t="inlineStr">
        <is>
          <t>Indicadora de perturbación</t>
        </is>
      </c>
      <c r="D34" s="57" t="inlineStr">
        <is>
          <t>No aplica</t>
        </is>
      </c>
      <c r="E34" s="62" t="n">
        <v>652380</v>
      </c>
      <c r="F34" s="62" t="n">
        <v>9373408</v>
      </c>
      <c r="G34" s="57" t="n"/>
      <c r="H34" s="57" t="inlineStr">
        <is>
          <t>Rodal de eucalipto en el borde nororiental; especie introducida de alta demanda hídrica</t>
        </is>
      </c>
    </row>
    <row r="36">
      <c r="A36" s="54" t="inlineStr">
        <is>
          <t>F-DT-04 · MATRIZ DE CAUSAS DE DEGRADACIÓN</t>
        </is>
      </c>
    </row>
    <row r="37">
      <c r="A37" s="55" t="inlineStr">
        <is>
          <t>N.o</t>
        </is>
      </c>
      <c r="B37" s="55" t="inlineStr">
        <is>
          <t>Causa</t>
        </is>
      </c>
      <c r="C37" s="55" t="inlineStr">
        <is>
          <t>Presencia</t>
        </is>
      </c>
      <c r="D37" s="55" t="inlineStr">
        <is>
          <t>Intensidad</t>
        </is>
      </c>
      <c r="E37" s="55" t="inlineStr">
        <is>
          <t>Extensión</t>
        </is>
      </c>
      <c r="F37" s="55" t="inlineStr">
        <is>
          <t>Antigüedad</t>
        </is>
      </c>
      <c r="G37" s="55" t="inlineStr">
        <is>
          <t>Evidencia</t>
        </is>
      </c>
    </row>
    <row r="38">
      <c r="A38" s="56" t="inlineStr">
        <is>
          <t>1</t>
        </is>
      </c>
      <c r="B38" s="56" t="inlineStr">
        <is>
          <t>Sobrepastoreo (caprino/vacuno)</t>
        </is>
      </c>
      <c r="C38" s="56" t="inlineStr">
        <is>
          <t>Sí</t>
        </is>
      </c>
      <c r="D38" s="56" t="inlineStr">
        <is>
          <t>Ligera</t>
        </is>
      </c>
      <c r="E38" s="56" t="inlineStr">
        <is>
          <t>Por determinar</t>
        </is>
      </c>
      <c r="F38" s="56" t="inlineStr">
        <is>
          <t>Por determinar</t>
        </is>
      </c>
      <c r="G38" s="56" t="inlineStr">
        <is>
          <t>Indicios de pastoreo extensivo en matorral ralo y pastos naturales; carga no cuantificada</t>
        </is>
      </c>
    </row>
    <row r="39">
      <c r="A39" s="57" t="inlineStr">
        <is>
          <t>2</t>
        </is>
      </c>
      <c r="B39" s="57" t="inlineStr">
        <is>
          <t>Tala para leña</t>
        </is>
      </c>
      <c r="C39" s="57" t="inlineStr">
        <is>
          <t>Sí</t>
        </is>
      </c>
      <c r="D39" s="57" t="inlineStr">
        <is>
          <t>Ligera</t>
        </is>
      </c>
      <c r="E39" s="57" t="inlineStr">
        <is>
          <t>Por determinar</t>
        </is>
      </c>
      <c r="F39" s="57" t="inlineStr">
        <is>
          <t>Por determinar</t>
        </is>
      </c>
      <c r="G39" s="57" t="inlineStr">
        <is>
          <t>Ramoneo y corte de leña en el entorno del corredor vial; extensión no cuantificada</t>
        </is>
      </c>
    </row>
    <row r="40">
      <c r="A40" s="56" t="inlineStr">
        <is>
          <t>3</t>
        </is>
      </c>
      <c r="B40" s="56" t="inlineStr">
        <is>
          <t>Tala para carbón</t>
        </is>
      </c>
      <c r="C40" s="56" t="inlineStr">
        <is>
          <t>No</t>
        </is>
      </c>
      <c r="D40" s="56" t="inlineStr">
        <is>
          <t>Nula</t>
        </is>
      </c>
      <c r="E40" s="56" t="inlineStr"/>
      <c r="F40" s="56" t="inlineStr"/>
      <c r="G40" s="56" t="inlineStr">
        <is>
          <t>Sin evidencia observada</t>
        </is>
      </c>
    </row>
    <row r="41">
      <c r="A41" s="57" t="inlineStr">
        <is>
          <t>4</t>
        </is>
      </c>
      <c r="B41" s="57" t="inlineStr">
        <is>
          <t>Tala para madera</t>
        </is>
      </c>
      <c r="C41" s="57" t="inlineStr">
        <is>
          <t>Sí</t>
        </is>
      </c>
      <c r="D41" s="57" t="inlineStr">
        <is>
          <t>Ligera</t>
        </is>
      </c>
      <c r="E41" s="57" t="inlineStr">
        <is>
          <t>Por determinar</t>
        </is>
      </c>
      <c r="F41" s="57" t="inlineStr">
        <is>
          <t>Por determinar</t>
        </is>
      </c>
      <c r="G41" s="57" t="inlineStr">
        <is>
          <t>Trozas apiladas al borde de la trocha (E-11) y fustes cortados sobre la vaguada (E-02)</t>
        </is>
      </c>
    </row>
    <row r="42">
      <c r="A42" s="56" t="inlineStr">
        <is>
          <t>5</t>
        </is>
      </c>
      <c r="B42" s="56" t="inlineStr">
        <is>
          <t>Quema (renovación de pastos)</t>
        </is>
      </c>
      <c r="C42" s="56" t="inlineStr">
        <is>
          <t>No</t>
        </is>
      </c>
      <c r="D42" s="56" t="inlineStr"/>
      <c r="E42" s="56" t="inlineStr"/>
      <c r="F42" s="56" t="inlineStr"/>
      <c r="G42" s="56" t="inlineStr">
        <is>
          <t>Sin evidencia observada — por verificar en campo</t>
        </is>
      </c>
    </row>
    <row r="43">
      <c r="A43" s="57" t="inlineStr">
        <is>
          <t>6</t>
        </is>
      </c>
      <c r="B43" s="57" t="inlineStr">
        <is>
          <t>Quema accidental / Incendio</t>
        </is>
      </c>
      <c r="C43" s="57" t="inlineStr">
        <is>
          <t>No</t>
        </is>
      </c>
      <c r="D43" s="57" t="inlineStr">
        <is>
          <t>Nula</t>
        </is>
      </c>
      <c r="E43" s="57" t="inlineStr"/>
      <c r="F43" s="57" t="inlineStr"/>
      <c r="G43" s="57" t="inlineStr">
        <is>
          <t>Sin evidencia observada</t>
        </is>
      </c>
    </row>
    <row r="44">
      <c r="A44" s="56" t="inlineStr">
        <is>
          <t>7</t>
        </is>
      </c>
      <c r="B44" s="56" t="inlineStr">
        <is>
          <t>Cambio de uso a agricultura</t>
        </is>
      </c>
      <c r="C44" s="56" t="inlineStr">
        <is>
          <t>Sí</t>
        </is>
      </c>
      <c r="D44" s="56" t="inlineStr">
        <is>
          <t>Moderada</t>
        </is>
      </c>
      <c r="E44" s="56" t="inlineStr">
        <is>
          <t>Por determinar</t>
        </is>
      </c>
      <c r="F44" s="56" t="inlineStr">
        <is>
          <t>Por determinar</t>
        </is>
      </c>
      <c r="G44" s="56" t="inlineStr">
        <is>
          <t>Cultivos de café bajo sombra y plátano en el borde oriental y en la ladera contigua (E-11); parcelas en pendiente</t>
        </is>
      </c>
    </row>
    <row r="45">
      <c r="A45" s="57" t="inlineStr">
        <is>
          <t>8</t>
        </is>
      </c>
      <c r="B45" s="57" t="inlineStr">
        <is>
          <t>Cambio de uso a pastoreo</t>
        </is>
      </c>
      <c r="C45" s="57" t="inlineStr">
        <is>
          <t>Sí</t>
        </is>
      </c>
      <c r="D45" s="57" t="inlineStr">
        <is>
          <t>Ligera</t>
        </is>
      </c>
      <c r="E45" s="57" t="inlineStr">
        <is>
          <t>Por determinar</t>
        </is>
      </c>
      <c r="F45" s="57" t="inlineStr">
        <is>
          <t>Por determinar</t>
        </is>
      </c>
      <c r="G45" s="57" t="inlineStr">
        <is>
          <t>Pastos y matorral ralo con signos de ramoneo en aristas y sectores de mayor insolación</t>
        </is>
      </c>
    </row>
    <row r="46">
      <c r="A46" s="56" t="inlineStr">
        <is>
          <t>9</t>
        </is>
      </c>
      <c r="B46" s="56" t="inlineStr">
        <is>
          <t>Expansión urbana / vial</t>
        </is>
      </c>
      <c r="C46" s="56" t="inlineStr">
        <is>
          <t>Sí</t>
        </is>
      </c>
      <c r="D46" s="56" t="inlineStr">
        <is>
          <t>Fuerte</t>
        </is>
      </c>
      <c r="E46" s="56" t="inlineStr">
        <is>
          <t>Por determinar</t>
        </is>
      </c>
      <c r="F46" s="56" t="inlineStr">
        <is>
          <t>&lt; 2 años (cortes frescos)</t>
        </is>
      </c>
      <c r="G46" s="56" t="inlineStr">
        <is>
          <t>CAUSA DOMINANTE. Trocha carrozable con evidencias de apertura/ensanche reciente en el corredor entre los bloques 8 y 71: plataforma sin afirmado en tramos, taludes de corte de 2-5 m sin banquetas ni revegetación, material excedente desplazado sobre el flanco de aguas abajo, vaguada intersectada sin obra de cruce. Documentada en 6 posiciones sobre ~800 m</t>
        </is>
      </c>
    </row>
    <row r="47">
      <c r="A47" s="57" t="inlineStr">
        <is>
          <t>10</t>
        </is>
      </c>
      <c r="B47" s="57" t="inlineStr">
        <is>
          <t>Minería informal</t>
        </is>
      </c>
      <c r="C47" s="57" t="inlineStr">
        <is>
          <t>No</t>
        </is>
      </c>
      <c r="D47" s="57" t="inlineStr">
        <is>
          <t>Nula</t>
        </is>
      </c>
      <c r="E47" s="57" t="inlineStr"/>
      <c r="F47" s="57" t="inlineStr"/>
      <c r="G47" s="57" t="inlineStr">
        <is>
          <t>Sin evidencia observada</t>
        </is>
      </c>
    </row>
    <row r="48">
      <c r="A48" s="56" t="inlineStr">
        <is>
          <t>11</t>
        </is>
      </c>
      <c r="B48" s="56" t="inlineStr">
        <is>
          <t>Extracción de áridos (cauces)</t>
        </is>
      </c>
      <c r="C48" s="56" t="inlineStr">
        <is>
          <t>No</t>
        </is>
      </c>
      <c r="D48" s="56" t="inlineStr">
        <is>
          <t>Nula</t>
        </is>
      </c>
      <c r="E48" s="56" t="inlineStr"/>
      <c r="F48" s="56" t="inlineStr"/>
      <c r="G48" s="56" t="inlineStr">
        <is>
          <t>Sin evidencia observada</t>
        </is>
      </c>
    </row>
    <row r="49">
      <c r="A49" s="57" t="inlineStr">
        <is>
          <t>12</t>
        </is>
      </c>
      <c r="B49" s="57" t="inlineStr">
        <is>
          <t>Especies invasoras</t>
        </is>
      </c>
      <c r="C49" s="57" t="inlineStr">
        <is>
          <t>Sí</t>
        </is>
      </c>
      <c r="D49" s="57" t="inlineStr">
        <is>
          <t>Ligera</t>
        </is>
      </c>
      <c r="E49" s="57" t="inlineStr">
        <is>
          <t>Por determinar</t>
        </is>
      </c>
      <c r="F49" s="57" t="inlineStr">
        <is>
          <t>Por determinar</t>
        </is>
      </c>
      <c r="G49" s="57" t="inlineStr">
        <is>
          <t>Rodales de eucalipto y grevilea (especies introducidas); no se verificó comportamiento invasor</t>
        </is>
      </c>
    </row>
    <row r="50">
      <c r="A50" s="56" t="inlineStr">
        <is>
          <t>13</t>
        </is>
      </c>
      <c r="B50" s="56" t="inlineStr">
        <is>
          <t>Erosión natural severa</t>
        </is>
      </c>
      <c r="C50" s="56" t="inlineStr">
        <is>
          <t>Sí</t>
        </is>
      </c>
      <c r="D50" s="56" t="inlineStr">
        <is>
          <t>Moderada</t>
        </is>
      </c>
      <c r="E50" s="56" t="inlineStr">
        <is>
          <t>Por determinar</t>
        </is>
      </c>
      <c r="F50" s="56" t="inlineStr">
        <is>
          <t>&lt; 2 años</t>
        </is>
      </c>
      <c r="G50" s="56" t="inlineStr">
        <is>
          <t>Erosión concentrada en taludes y plataforma; desprendimiento de bloque rocoso métrico y árbol volteado (E-02)</t>
        </is>
      </c>
    </row>
    <row r="51">
      <c r="A51" s="57" t="inlineStr">
        <is>
          <t>14</t>
        </is>
      </c>
      <c r="B51" s="57" t="inlineStr">
        <is>
          <t>Sequía prolongada / CC</t>
        </is>
      </c>
      <c r="C51" s="57" t="inlineStr"/>
      <c r="D51" s="57" t="inlineStr"/>
      <c r="E51" s="57" t="inlineStr"/>
      <c r="F51" s="57" t="inlineStr"/>
      <c r="G51" s="57" t="inlineStr">
        <is>
          <t>Por determinar — requiere serie climática y análisis de tendencia (Theil-Sen)</t>
        </is>
      </c>
    </row>
    <row r="52">
      <c r="A52" s="56" t="inlineStr">
        <is>
          <t>15</t>
        </is>
      </c>
      <c r="B52" s="56" t="inlineStr">
        <is>
          <t>Plagas o enfermedades forestales</t>
        </is>
      </c>
      <c r="C52" s="56" t="inlineStr">
        <is>
          <t>No</t>
        </is>
      </c>
      <c r="D52" s="56" t="inlineStr">
        <is>
          <t>Nula</t>
        </is>
      </c>
      <c r="E52" s="56" t="inlineStr"/>
      <c r="F52" s="56" t="inlineStr"/>
      <c r="G52" s="56" t="inlineStr">
        <is>
          <t>Dosel de aspecto sano; sin sintomatología observable a la escala del registro</t>
        </is>
      </c>
    </row>
    <row r="53">
      <c r="A53" s="57" t="inlineStr">
        <is>
          <t>16</t>
        </is>
      </c>
      <c r="B53" s="57" t="inlineStr">
        <is>
          <t>Otro</t>
        </is>
      </c>
      <c r="C53" s="57" t="inlineStr"/>
      <c r="D53" s="57" t="inlineStr"/>
      <c r="E53" s="57" t="inlineStr"/>
      <c r="F53" s="57" t="inlineStr"/>
      <c r="G53" s="57" t="inlineStr"/>
    </row>
    <row r="55">
      <c r="A55" s="54" t="inlineStr">
        <is>
          <t>F-DT-04 · INDICADORES CUANTITATIVOS</t>
        </is>
      </c>
    </row>
    <row r="56">
      <c r="A56" s="55" t="inlineStr">
        <is>
          <t>N.o</t>
        </is>
      </c>
      <c r="B56" s="55" t="inlineStr">
        <is>
          <t>Indicador</t>
        </is>
      </c>
      <c r="C56" s="55" t="inlineStr">
        <is>
          <t>Unidad</t>
        </is>
      </c>
      <c r="D56" s="55" t="inlineStr">
        <is>
          <t>Valor</t>
        </is>
      </c>
      <c r="E56" s="55" t="inlineStr">
        <is>
          <t>Fuente</t>
        </is>
      </c>
      <c r="F56" s="55" t="inlineStr">
        <is>
          <t>Umbral</t>
        </is>
      </c>
      <c r="G56" s="55" t="inlineStr">
        <is>
          <t>Nivel</t>
        </is>
      </c>
    </row>
    <row r="57">
      <c r="A57" s="56" t="inlineStr">
        <is>
          <t>1</t>
        </is>
      </c>
      <c r="B57" s="56" t="inlineStr">
        <is>
          <t>Cobertura vegetal total</t>
        </is>
      </c>
      <c r="C57" s="56" t="inlineStr">
        <is>
          <t>%</t>
        </is>
      </c>
      <c r="D57" s="56" t="inlineStr">
        <is>
          <t>Por determinar</t>
        </is>
      </c>
      <c r="E57" s="56" t="inlineStr">
        <is>
          <t>No cuantificada en campo</t>
        </is>
      </c>
      <c r="F57" s="56" t="inlineStr">
        <is>
          <t>&gt;60% bueno; 30-60% medio; &lt;30% malo</t>
        </is>
      </c>
      <c r="G57" s="56" t="inlineStr"/>
    </row>
    <row r="58">
      <c r="A58" s="57" t="inlineStr">
        <is>
          <t>2</t>
        </is>
      </c>
      <c r="B58" s="57" t="inlineStr">
        <is>
          <t>Porcentaje de suelo desnudo</t>
        </is>
      </c>
      <c r="C58" s="57" t="inlineStr">
        <is>
          <t>%</t>
        </is>
      </c>
      <c r="D58" s="57" t="inlineStr">
        <is>
          <t>Por determinar</t>
        </is>
      </c>
      <c r="E58" s="57" t="inlineStr">
        <is>
          <t>No cuantificada en campo</t>
        </is>
      </c>
      <c r="F58" s="57" t="inlineStr">
        <is>
          <t>&lt;10% bueno; 10-30% medio; &gt;30% malo</t>
        </is>
      </c>
      <c r="G58" s="57" t="inlineStr"/>
    </row>
    <row r="59">
      <c r="A59" s="56" t="inlineStr">
        <is>
          <t>3</t>
        </is>
      </c>
      <c r="B59" s="56" t="inlineStr">
        <is>
          <t>Densidad de cárcavas</t>
        </is>
      </c>
      <c r="C59" s="56" t="inlineStr">
        <is>
          <t>N°/ha</t>
        </is>
      </c>
      <c r="D59" s="56" t="inlineStr">
        <is>
          <t>Por determinar</t>
        </is>
      </c>
      <c r="E59" s="56" t="inlineStr">
        <is>
          <t>Sin inventario (F-DT-02 no levantada)</t>
        </is>
      </c>
      <c r="F59" s="56" t="inlineStr">
        <is>
          <t>0 nulo; 1-3 medio; &gt;3 alto</t>
        </is>
      </c>
      <c r="G59" s="56" t="inlineStr"/>
    </row>
    <row r="60">
      <c r="A60" s="57" t="inlineStr">
        <is>
          <t>4</t>
        </is>
      </c>
      <c r="B60" s="57" t="inlineStr">
        <is>
          <t>Presencia de especies invasoras</t>
        </is>
      </c>
      <c r="C60" s="57" t="inlineStr">
        <is>
          <t>% área</t>
        </is>
      </c>
      <c r="D60" s="57" t="inlineStr">
        <is>
          <t>Por determinar</t>
        </is>
      </c>
      <c r="E60" s="57" t="inlineStr">
        <is>
          <t>No cuantificada en campo</t>
        </is>
      </c>
      <c r="F60" s="57" t="inlineStr">
        <is>
          <t>&lt;5% bueno; 5-20% medio; &gt;20% alto</t>
        </is>
      </c>
      <c r="G60" s="57" t="inlineStr"/>
    </row>
    <row r="61">
      <c r="A61" s="56" t="inlineStr">
        <is>
          <t>5</t>
        </is>
      </c>
      <c r="B61" s="56" t="inlineStr">
        <is>
          <t>Carga ganadera estimada</t>
        </is>
      </c>
      <c r="C61" s="56" t="inlineStr">
        <is>
          <t>UA/ha</t>
        </is>
      </c>
      <c r="D61" s="56" t="inlineStr">
        <is>
          <t>Por determinar</t>
        </is>
      </c>
      <c r="E61" s="56" t="inlineStr">
        <is>
          <t>Sin conteo de hato</t>
        </is>
      </c>
      <c r="F61" s="56" t="inlineStr">
        <is>
          <t>Según tipo de ecosistema</t>
        </is>
      </c>
      <c r="G61" s="56" t="inlineStr"/>
    </row>
    <row r="62">
      <c r="A62" s="57" t="inlineStr">
        <is>
          <t>6</t>
        </is>
      </c>
      <c r="B62" s="57" t="inlineStr">
        <is>
          <t>Frecuencia de quemas últimos 5 años</t>
        </is>
      </c>
      <c r="C62" s="57" t="inlineStr">
        <is>
          <t>N°</t>
        </is>
      </c>
      <c r="D62" s="57" t="inlineStr">
        <is>
          <t>Por determinar</t>
        </is>
      </c>
      <c r="E62" s="57" t="inlineStr">
        <is>
          <t>Sin registro</t>
        </is>
      </c>
      <c r="F62" s="57" t="inlineStr">
        <is>
          <t>0 nulo; 1-2 medio; &gt;2 alto</t>
        </is>
      </c>
      <c r="G62" s="57" t="inlineStr"/>
    </row>
    <row r="63">
      <c r="A63" s="56" t="inlineStr">
        <is>
          <t>7</t>
        </is>
      </c>
      <c r="B63" s="56" t="inlineStr">
        <is>
          <t>% área con pendiente &gt;50%</t>
        </is>
      </c>
      <c r="C63" s="56" t="inlineStr">
        <is>
          <t>%</t>
        </is>
      </c>
      <c r="D63" s="56" t="inlineStr">
        <is>
          <t>Por determinar</t>
        </is>
      </c>
      <c r="E63" s="56" t="inlineStr">
        <is>
          <t>Requiere reclasificación del MDE</t>
        </is>
      </c>
      <c r="F63" s="56" t="inlineStr">
        <is>
          <t>Factor de susceptibilidad</t>
        </is>
      </c>
      <c r="G63" s="56" t="inlineStr"/>
    </row>
    <row r="64">
      <c r="A64" s="57" t="inlineStr">
        <is>
          <t>8</t>
        </is>
      </c>
      <c r="B64" s="57" t="inlineStr">
        <is>
          <t>Distancia a vía vecinal más cercana</t>
        </is>
      </c>
      <c r="C64" s="57" t="inlineStr">
        <is>
          <t>m</t>
        </is>
      </c>
      <c r="D64" s="57" t="inlineStr">
        <is>
          <t>≈ 20</t>
        </is>
      </c>
      <c r="E64" s="57" t="inlineStr">
        <is>
          <t>Estaciones fotográficas 18-08-2026 · medición sobre plano temático</t>
        </is>
      </c>
      <c r="F64" s="57" t="inlineStr">
        <is>
          <t>A menor distancia → mayor presión</t>
        </is>
      </c>
      <c r="G64" s="57" t="inlineStr">
        <is>
          <t>Alto</t>
        </is>
      </c>
    </row>
    <row r="66">
      <c r="A66" s="54" t="inlineStr">
        <is>
          <t>F-DT-05 · FUENTES DE AGUA INVENTARIADAS</t>
        </is>
      </c>
    </row>
    <row r="67">
      <c r="A67" s="55" t="inlineStr">
        <is>
          <t>N.o</t>
        </is>
      </c>
      <c r="B67" s="55" t="inlineStr">
        <is>
          <t>Tipo de fuente</t>
        </is>
      </c>
      <c r="C67" s="55" t="inlineStr">
        <is>
          <t>UTM ESTE</t>
        </is>
      </c>
      <c r="D67" s="55" t="inlineStr">
        <is>
          <t>UTM NORTE</t>
        </is>
      </c>
      <c r="E67" s="55" t="inlineStr">
        <is>
          <t>Régimen</t>
        </is>
      </c>
      <c r="F67" s="55" t="inlineStr">
        <is>
          <t>Calidad</t>
        </is>
      </c>
      <c r="G67" s="55" t="inlineStr">
        <is>
          <t>Distancia (m)</t>
        </is>
      </c>
      <c r="H67" s="55" t="inlineStr">
        <is>
          <t>Uso / observación</t>
        </is>
      </c>
    </row>
    <row r="68">
      <c r="A68" s="56" t="inlineStr">
        <is>
          <t>1</t>
        </is>
      </c>
      <c r="B68" s="56" t="inlineStr">
        <is>
          <t>Quebrada estacional</t>
        </is>
      </c>
      <c r="C68" s="61" t="n">
        <v>651828</v>
      </c>
      <c r="D68" s="61" t="n">
        <v>9373159</v>
      </c>
      <c r="E68" s="56" t="inlineStr">
        <is>
          <t>Estacional (lluvias)</t>
        </is>
      </c>
      <c r="F68" s="56" t="inlineStr">
        <is>
          <t>No evaluable</t>
        </is>
      </c>
      <c r="G68" s="61" t="n">
        <v>45</v>
      </c>
      <c r="H68" s="56" t="inlineStr">
        <is>
          <t>Vaguada de lecho pedregoso intersectada por la trocha sin obra de drenaje ni alcantarilla; escorrentía concentrada con arrastre de bolonería y gravas; bloque rocoso métrico y árbol volteado en el cauce; elementos tubulares expuestos junto al cruce (posible línea de conducción de agua — POR CONFIRMAR)</t>
        </is>
      </c>
    </row>
    <row r="69">
      <c r="A69" s="57" t="inlineStr">
        <is>
          <t>2</t>
        </is>
      </c>
      <c r="B69" s="57" t="inlineStr">
        <is>
          <t>Quebrada estacional</t>
        </is>
      </c>
      <c r="C69" s="62" t="n">
        <v>652381</v>
      </c>
      <c r="D69" s="62" t="n">
        <v>9373408</v>
      </c>
      <c r="E69" s="57" t="inlineStr">
        <is>
          <t>Estacional (lluvias)</t>
        </is>
      </c>
      <c r="F69" s="57" t="inlineStr">
        <is>
          <t>No evaluable</t>
        </is>
      </c>
      <c r="G69" s="62" t="n">
        <v>25</v>
      </c>
      <c r="H69" s="57" t="inlineStr">
        <is>
          <t>Cruce de la trocha en curva, con talud de corte fresco y socavamiento del borde exterior de la plataforma (E-08)</t>
        </is>
      </c>
    </row>
    <row r="72">
      <c r="A72" s="54" t="inlineStr">
        <is>
          <t>OBSERVACIONES DEL EVALUADOR POR FICHA</t>
        </is>
      </c>
    </row>
    <row r="73">
      <c r="A73" s="55" t="inlineStr">
        <is>
          <t>Ficha</t>
        </is>
      </c>
      <c r="B73" s="55" t="inlineStr">
        <is>
          <t>Observación registrada en campo</t>
        </is>
      </c>
    </row>
    <row r="74">
      <c r="A74" s="56" t="inlineStr">
        <is>
          <t>F-DT-01</t>
        </is>
      </c>
      <c r="B74" s="56" t="inlineStr">
        <is>
          <t>OBSERVACIONES: Reconocimiento por recorrido vehicular sobre la trocha carrozable que separa los bloques 8 (norte) y 71 (sur), con registro fotográfico georreferenciado (sello UTM 17M impreso); 11 tomas en 6 posiciones distintas, sobre ~800 m de recorrido. CONTROL GEOMÉTRICO: las 11 tomas se sitúan FUERA del polígono del Bloque 8, entre ~20 y ~90 m de su límite meridional/oriental (y entre ~12 y ~314 m del Bloque 71); la caracterización de campo es representativa del corredor vial y del borde del bloque, NO de su interior. Las coordenadas de esta ficha corresponden al CENTROIDE del polígono (catálogo Bloques V4/V5) y no a un punto de muestreo GPS. No se registró altitud GPS. Indicios de inestabilidad documentados: afloramientos de roca metamórfica fracturada en cortes y aristas (E-01, E-03), taludes de corte activos de 2 a 5 m sin banquetas ni revegetación (E-01, E-07, E-08, E-09), bloque rocoso métrico desprendido y árbol volteado con raíces expuestas sobre la vaguada (E-02) y cicatriz de deslizamiento antiguo en la ladera contigua (E-08). La neblina densa impidió la verificación panorámica.</t>
        </is>
      </c>
    </row>
    <row r="75">
      <c r="A75" s="57" t="inlineStr">
        <is>
          <t>F-DT-02</t>
        </is>
      </c>
      <c r="B75" s="57" t="inlineStr">
        <is>
          <t>OBSERVACIONES: FICHA NO DILIGENCIADA EN CAMPO — la presente es una sistematización de gabinete a partir del registro fotográfico georreferenciado del 18-08-2026. EL INVENTARIO GEORREFERENCIADO DE CÁRCAVAS NO FUE EJECUTADO; la ausencia de registros NO equivale a ausencia verificada de cárcavas. Material observado en los cortes: coluvión arcillo-limoso pardo-rojizo a rojo intenso, con clastos angulosos dispersos, sobre saprolito y roca metamórfica fracturada que aflora en los cortes de mayor profundidad (E-01, E-03, E-07). Procesos documentados: (i) raíces expuestas y suelo evacuado bajo el sistema radicular en el borde superior del talud, con árbol volteado (E-02); (ii) surcos incipientes y acanaladuras sobre las superficies de corte, con suelo desnudo continuo en la faja de plataforma y pie de talud (E-08, E-09); (iii) escorrentía concentrada con arrastre de bolonería y gravas en la vaguada intersectada por la trocha, sin obra de drenaje ni alcantarilla (E-02); (iv) socavamiento del borde exterior de la plataforma en la curva del sector nororiental (E-08). Nivel de erosión y urgencia de control se proponen por juicio experto sobre evidencia fotográfica, no por medición.</t>
        </is>
      </c>
    </row>
    <row r="76">
      <c r="A76" s="56" t="inlineStr">
        <is>
          <t>F-DT-03</t>
        </is>
      </c>
      <c r="B76" s="56" t="inlineStr">
        <is>
          <t>OBSERVACIONES: FICHA NO DILIGENCIADA EN CAMPO. No se instalaron parcelas de muestreo ni se efectuó colecta botánica o medición dasométrica (DAP, alturas, coberturas por estrato), por lo que dichos campos se consignan como «Por determinar» y NO fueron inferidos. La composición florística procede de los nombres comunes remitidos por el responsable de brigada y de la fotointerpretación de las 11 estaciones; ningún binomio ha sido confirmado taxonómicamente. Se registran 14 taxones frente al mínimo de 15 exigido por la ficha. La determinación específica de las cactáceas columnares es indispensable para verificar su situación frente al D.S. 043-2006-AG. El bloque presenta un fuerte gradiente interno: sectores de umbría y quebradas con epifitismo denso y helechos (transición a matorral andino subhúmedo / bosque montano) frente a aristas y cortes con cactáceas columnares y agaves. La franja oriental del polígono está en contacto directo con agroecosistemas de café bajo sombra y plátano y con rodales de eucalipto y grevilea.</t>
        </is>
      </c>
    </row>
    <row r="77">
      <c r="A77" s="57" t="inlineStr">
        <is>
          <t>F-DT-04</t>
        </is>
      </c>
      <c r="B77" s="57" t="inlineStr">
        <is>
          <t>OBSERVACIONES: FICHA NO DILIGENCIADA EN CAMPO — matriz construida en gabinete sobre el registro fotográfico georreferenciado del 18-08-2026. La distancia a vía vecinal (≈ 20 m) se midió sobre el plano temático entre la estación más próxima y el límite del polígono, y es el valor más desfavorable de la escala. NOTA DE ALCANCE: la evidencia disponible sostiene que la vía es hoy el factor activo de degradación en el borde del bloque, pero NO permite cuantificar qué proporción de la superficie bajo umbral MSAVI es atribuible a ella y cuál corresponde a la condición natural del matorral en aristas de mayor insolación. Esa discriminación exige comparación multitemporal del MSAVI (antes/después de la apertura) y se propone como acción de cierre.</t>
        </is>
      </c>
    </row>
    <row r="78">
      <c r="A78" s="56" t="inlineStr">
        <is>
          <t>F-DT-05</t>
        </is>
      </c>
      <c r="B78" s="56" t="inlineStr">
        <is>
          <t>OBSERVACIONES: FICHA LEVANTADA DE FORMA PARCIAL — no se dispone de inventario de manantiales con GPS, datos de JASS, captación poblacional, señal celular, tiempos de viaje, alojamiento rural ni contacto de Ronda Campesina. El bloque se declara en ZONA DE RECARGA HÍDRICA por su posición en la cabecera del sistema de drenaje de la quebrada Q9593 y por la condensación de neblina evidenciada en la totalidad de las estaciones; el epifitismo denso de bromeliáceas y la presencia de helechos son sus indicadores biológicos directos. Se sitúa, por tanto, en la ZONA DE ORIGEN del peligro generador de inundaciones (PGI): su tratamiento incide sobre la generación de escorrentía de la microcuenca aguas abajo. Acceso vehicular 4×4 por la trocha que separa los bloques 8 y 71; transitabilidad media en época seca y baja en época lluviosa por plataforma sin afirmado en tramos y taludes inestables.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8</t>
        </is>
      </c>
    </row>
    <row r="7">
      <c r="A7" s="54" t="inlineStr">
        <is>
          <t>Hechos declarados por fuente</t>
        </is>
      </c>
    </row>
    <row r="8">
      <c r="A8" s="55" t="inlineStr">
        <is>
          <t>Fuente</t>
        </is>
      </c>
      <c r="B8" s="55" t="inlineStr">
        <is>
          <t>Hechos</t>
        </is>
      </c>
    </row>
    <row r="9">
      <c r="A9" s="56" t="inlineStr">
        <is>
          <t>Dato de campo</t>
        </is>
      </c>
      <c r="B9" s="56" t="n">
        <v>54</v>
      </c>
    </row>
    <row r="10">
      <c r="A10" s="57" t="inlineStr">
        <is>
          <t>Gabinete (GIS / teledetección)</t>
        </is>
      </c>
      <c r="B10" s="57" t="n">
        <v>20</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87</v>
      </c>
    </row>
    <row r="31">
      <c r="A31" s="57" t="inlineStr">
        <is>
          <t>COMPLEMENTADO</t>
        </is>
      </c>
      <c r="B31" s="57" t="n">
        <v>0</v>
      </c>
    </row>
    <row r="32">
      <c r="A32" s="56" t="inlineStr">
        <is>
          <t>ACTUALIZADO</t>
        </is>
      </c>
      <c r="B32" s="56" t="n">
        <v>1</v>
      </c>
    </row>
    <row r="33">
      <c r="A33" s="57" t="inlineStr">
        <is>
          <t>DISCREPANTE</t>
        </is>
      </c>
      <c r="B33" s="57" t="n">
        <v>0</v>
      </c>
    </row>
    <row r="34">
      <c r="A34" s="56" t="inlineStr">
        <is>
          <t>PENDIENTE</t>
        </is>
      </c>
      <c r="B34" s="56" t="n">
        <v>26</v>
      </c>
    </row>
    <row r="51">
      <c r="A51" s="54" t="inlineStr">
        <is>
          <t>Causas activas de degradación (F-DT-04)</t>
        </is>
      </c>
    </row>
    <row r="52">
      <c r="A52" s="55" t="inlineStr">
        <is>
          <t>Causa</t>
        </is>
      </c>
      <c r="B52" s="55" t="inlineStr">
        <is>
          <t>Intensidad (1 ligera - 4 muy fuerte)</t>
        </is>
      </c>
    </row>
    <row r="53">
      <c r="A53" s="56" t="inlineStr">
        <is>
          <t>Expansión urbana / vial</t>
        </is>
      </c>
      <c r="B53" s="56" t="n">
        <v>3</v>
      </c>
    </row>
    <row r="54">
      <c r="A54" s="57" t="inlineStr">
        <is>
          <t>Cambio de uso a agricultura</t>
        </is>
      </c>
      <c r="B54" s="57" t="n">
        <v>2</v>
      </c>
    </row>
    <row r="55">
      <c r="A55" s="56" t="inlineStr">
        <is>
          <t>Erosión natural severa</t>
        </is>
      </c>
      <c r="B55" s="56" t="n">
        <v>2</v>
      </c>
    </row>
    <row r="56">
      <c r="A56" s="57" t="inlineStr">
        <is>
          <t>Cambio de uso a pastoreo</t>
        </is>
      </c>
      <c r="B56" s="57" t="n">
        <v>1</v>
      </c>
    </row>
    <row r="57">
      <c r="A57" s="56" t="inlineStr">
        <is>
          <t>Especies invasoras</t>
        </is>
      </c>
      <c r="B57" s="56" t="n">
        <v>1</v>
      </c>
    </row>
    <row r="58">
      <c r="A58" s="57" t="inlineStr">
        <is>
          <t>Sobrepastoreo (caprino/vacuno)</t>
        </is>
      </c>
      <c r="B58" s="57" t="n">
        <v>1</v>
      </c>
    </row>
    <row r="59">
      <c r="A59" s="56" t="inlineStr">
        <is>
          <t>Tala para leña</t>
        </is>
      </c>
      <c r="B59" s="56" t="n">
        <v>1</v>
      </c>
    </row>
    <row r="60">
      <c r="A60" s="57" t="inlineStr">
        <is>
          <t>Tala para madera</t>
        </is>
      </c>
      <c r="B60" s="57" t="n">
        <v>1</v>
      </c>
    </row>
    <row r="77">
      <c r="A77" s="54" t="inlineStr">
        <is>
          <t>Control de consistencia por calificación</t>
        </is>
      </c>
    </row>
    <row r="78">
      <c r="A78" s="55" t="inlineStr">
        <is>
          <t>Calificación</t>
        </is>
      </c>
      <c r="B78" s="55" t="inlineStr">
        <is>
          <t>Verificaciones</t>
        </is>
      </c>
    </row>
    <row r="79">
      <c r="A79" s="56" t="inlineStr">
        <is>
          <t>SUSTANTIVA</t>
        </is>
      </c>
      <c r="B79" s="56" t="n">
        <v>3</v>
      </c>
    </row>
    <row r="80">
      <c r="A80" s="57" t="inlineStr">
        <is>
          <t>NO SUSTANTIVA</t>
        </is>
      </c>
      <c r="B80" s="57" t="n">
        <v>1</v>
      </c>
    </row>
    <row r="81">
      <c r="A81" s="56" t="inlineStr">
        <is>
          <t>CORREGIDO</t>
        </is>
      </c>
      <c r="B81" s="56" t="n">
        <v>1</v>
      </c>
    </row>
    <row r="82">
      <c r="A82" s="57" t="inlineStr">
        <is>
          <t>CONFORME</t>
        </is>
      </c>
      <c r="B82"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 — IN Piura</dc:title>
  <dc:subject>Diagnóstico Territorial por bloque de intervención</dc:subject>
  <dcterms:created xsi:type="dcterms:W3CDTF">2026-09-08T03:39:55Z</dcterms:created>
  <dcterms:modified xsi:type="dcterms:W3CDTF">2026-09-11T20:22:34Z</dcterms:modified>
</cp:coreProperties>
</file>