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M12B1</t>
        </is>
      </c>
    </row>
    <row r="6" ht="24" customHeight="1">
      <c r="A6" s="4" t="inlineStr">
        <is>
          <t>Diagnóstico Territorial — Plantilla DT Campo Check Validada V5 | Sistema de referencia: UTM WGS 84 Zona 17S (EPSG:32717) · Integrado con la ficha de campo F-DT vigente (Plantilla_DT_Campo_V5_Bloque_M12B1_IN_Piura.xlsx) — V7 - resumen V6 + campo F-DT integrado</t>
        </is>
      </c>
    </row>
    <row r="7"/>
    <row r="8" ht="18" customHeight="1">
      <c r="A8" s="5" t="inlineStr">
        <is>
          <t>1. IDENTIFICACIÓN Y LOCALIZACIÓN</t>
        </is>
      </c>
    </row>
    <row r="9">
      <c r="A9" s="6" t="inlineStr">
        <is>
          <t>Código del bloque</t>
        </is>
      </c>
      <c r="B9" s="7" t="inlineStr">
        <is>
          <t>M12B1</t>
        </is>
      </c>
      <c r="C9" s="6" t="inlineStr">
        <is>
          <t>Microcuenca (catálogo)</t>
        </is>
      </c>
      <c r="D9" s="7" t="inlineStr">
        <is>
          <t>C1076-Q9588</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C1076-Q9588)</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Nueva Esperanza de Los Molinos y Faicalito</t>
        </is>
      </c>
      <c r="C13" s="6" t="inlineStr">
        <is>
          <t>Comunidad campesina</t>
        </is>
      </c>
      <c r="D13" s="49" t="inlineStr">
        <is>
          <t>No consignada</t>
        </is>
      </c>
      <c r="E13" s="8" t="n"/>
      <c r="F13" s="8" t="n"/>
    </row>
    <row r="14">
      <c r="A14" s="6" t="inlineStr">
        <is>
          <t>Superficie de catálogo (V5/V6), ha</t>
        </is>
      </c>
      <c r="B14" s="7" t="n">
        <v>268.39</v>
      </c>
      <c r="C14" s="6" t="inlineStr">
        <is>
          <t>Fuente de superficie</t>
        </is>
      </c>
      <c r="D14" s="7" t="inlineStr">
        <is>
          <t>Catálogo maestro Bloques V5/V6</t>
        </is>
      </c>
      <c r="E14" s="8" t="n"/>
      <c r="F14" s="8" t="n"/>
    </row>
    <row r="15">
      <c r="A15" s="6" t="inlineStr">
        <is>
          <t>Centroide UTM ESTE (m)</t>
        </is>
      </c>
      <c r="B15" s="7" t="n">
        <v>644546</v>
      </c>
      <c r="C15" s="6" t="inlineStr">
        <is>
          <t>Centroide UTM NORTE (m)</t>
        </is>
      </c>
      <c r="D15" s="7" t="n">
        <v>9389106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333</v>
      </c>
      <c r="C19" s="6" t="inlineStr">
        <is>
          <t>Altitud máxima (msnm)</t>
        </is>
      </c>
      <c r="D19" s="7" t="n">
        <v>821</v>
      </c>
      <c r="E19" s="8" t="n"/>
      <c r="F19" s="8" t="n"/>
    </row>
    <row r="20">
      <c r="A20" s="6" t="inlineStr">
        <is>
          <t>Amplitud altitudinal (m)</t>
        </is>
      </c>
      <c r="B20" s="7" t="n">
        <v>488</v>
      </c>
      <c r="C20" s="6" t="inlineStr">
        <is>
          <t>Piso altitudinal dominante</t>
        </is>
      </c>
      <c r="D20" s="7" t="inlineStr">
        <is>
          <t>&lt;1000 m (Yunga)</t>
        </is>
      </c>
      <c r="E20" s="8" t="n"/>
      <c r="F20" s="8" t="n"/>
    </row>
    <row r="21">
      <c r="A21" s="6" t="inlineStr">
        <is>
          <t>Pendiente promedio (%)</t>
        </is>
      </c>
      <c r="B21" s="7" t="n">
        <v>18.18</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0.3475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(53.38 %)</t>
        </is>
      </c>
      <c r="E29" s="8" t="n"/>
      <c r="F29" s="8" t="n"/>
    </row>
    <row r="30">
      <c r="A30" s="6" t="inlineStr">
        <is>
          <t>Superficie clasificada NDVI 2025 (ha)</t>
        </is>
      </c>
      <c r="B30" s="7" t="n">
        <v>268.469</v>
      </c>
      <c r="C30" s="6" t="inlineStr">
        <is>
          <t>Desviación frente al catálogo (%)</t>
        </is>
      </c>
      <c r="D30" s="7" t="n">
        <v>0.03</v>
      </c>
      <c r="E30" s="8" t="n"/>
      <c r="F30" s="8" t="n"/>
    </row>
    <row r="31">
      <c r="A31" s="6" t="inlineStr">
        <is>
          <t>Superficie clasificada MSAVI 2024 (ha)</t>
        </is>
      </c>
      <c r="B31" s="37" t="n">
        <v>268.393</v>
      </c>
      <c r="C31" s="6" t="inlineStr">
        <is>
          <t>Desviación MSAVI frente al catálogo (%)</t>
        </is>
      </c>
      <c r="D31" s="38" t="n">
        <v>0</v>
      </c>
      <c r="E31" s="8" t="n"/>
      <c r="F31" s="8" t="n"/>
    </row>
    <row r="32">
      <c r="A32" s="6" t="inlineStr">
        <is>
          <t>Superficie bajo umbral MSAVI 0.4976 (ha)</t>
        </is>
      </c>
      <c r="B32" s="37" t="n">
        <v>259.309</v>
      </c>
      <c r="C32" s="6" t="inlineStr">
        <is>
          <t>% del bloque bajo umbral (brecha espectral)</t>
        </is>
      </c>
      <c r="D32" s="38" t="n">
        <v>96.62</v>
      </c>
      <c r="E32" s="8" t="n"/>
      <c r="F32" s="8" t="n"/>
    </row>
    <row r="33">
      <c r="A33" s="6" t="inlineStr">
        <is>
          <t>Clase DN dominante (MSAVI 2024)</t>
        </is>
      </c>
      <c r="B33" s="7" t="inlineStr">
        <is>
          <t>DN 2 · 0.2650 - 0.3813 (Vigor muy bajo)</t>
        </is>
      </c>
      <c r="C33" s="6" t="inlineStr">
        <is>
          <t>N.° de polígonos MSAVI del bloque</t>
        </is>
      </c>
      <c r="D33" s="39" t="n">
        <v>825</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120 ha (de 268.39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2026-08-10</t>
        </is>
      </c>
      <c r="E44" s="8" t="n"/>
      <c r="F44" s="8" t="n"/>
    </row>
    <row r="45">
      <c r="A45" s="6" t="inlineStr">
        <is>
          <t>Hora de registro</t>
        </is>
      </c>
      <c r="B45" s="7" t="inlineStr">
        <is>
          <t>11:46 h</t>
        </is>
      </c>
      <c r="C45" s="6" t="inlineStr">
        <is>
          <t>Correlativo de ficha</t>
        </is>
      </c>
      <c r="D45" s="7"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49"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M12B1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0.1188</v>
      </c>
      <c r="C10" s="19">
        <f>ROUND(B10/$B$15*100,2)</f>
        <v/>
      </c>
      <c r="D10" s="11" t="inlineStr">
        <is>
          <t>Vigor alto</t>
        </is>
      </c>
      <c r="E10" s="11" t="inlineStr">
        <is>
          <t>Sobre umbral</t>
        </is>
      </c>
    </row>
    <row r="11">
      <c r="A11" s="12" t="inlineStr">
        <is>
          <t>0.4976 - 0.6139 · DN 4</t>
        </is>
      </c>
      <c r="B11" s="20" t="n">
        <v>8.965</v>
      </c>
      <c r="C11" s="21">
        <f>ROUND(B11/$B$15*100,2)</f>
        <v/>
      </c>
      <c r="D11" s="13" t="inlineStr">
        <is>
          <t>Vigor moderado</t>
        </is>
      </c>
      <c r="E11" s="13" t="inlineStr">
        <is>
          <t>Sobre umbral</t>
        </is>
      </c>
    </row>
    <row r="12">
      <c r="A12" s="7" t="inlineStr">
        <is>
          <t>0.3813 - 0.4976 · DN 3</t>
        </is>
      </c>
      <c r="B12" s="18" t="n">
        <v>77.95950000000001</v>
      </c>
      <c r="C12" s="19">
        <f>ROUND(B12/$B$15*100,2)</f>
        <v/>
      </c>
      <c r="D12" s="11" t="inlineStr">
        <is>
          <t>Vigor bajo</t>
        </is>
      </c>
      <c r="E12" s="11" t="inlineStr">
        <is>
          <t>BAJO umbral 0.4976</t>
        </is>
      </c>
    </row>
    <row r="13">
      <c r="A13" s="14" t="inlineStr">
        <is>
          <t>0.2650 - 0.3813 · DN 2</t>
        </is>
      </c>
      <c r="B13" s="29" t="n">
        <v>139.215</v>
      </c>
      <c r="C13" s="28">
        <f>ROUND(B13/$B$15*100,2)</f>
        <v/>
      </c>
      <c r="D13" s="15" t="inlineStr">
        <is>
          <t>Vigor muy bajo</t>
        </is>
      </c>
      <c r="E13" s="15" t="inlineStr">
        <is>
          <t>BAJO umbral 0.4976</t>
        </is>
      </c>
    </row>
    <row r="14">
      <c r="A14" s="7" t="inlineStr">
        <is>
          <t>&lt;= 0.2650 · DN 1</t>
        </is>
      </c>
      <c r="B14" s="18" t="n">
        <v>42.1349</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825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268.39</v>
      </c>
      <c r="C18" s="48" t="inlineStr">
        <is>
          <t>—</t>
        </is>
      </c>
      <c r="D18" s="45" t="inlineStr">
        <is>
          <t>Desviación planimétrica frente al catálogo</t>
        </is>
      </c>
      <c r="E18" s="45" t="inlineStr">
        <is>
          <t>+0.00 %</t>
        </is>
      </c>
    </row>
    <row r="19">
      <c r="A19" s="16" t="inlineStr">
        <is>
          <t>MSAVI 2024 — MEDIA DEL BLOQUE</t>
        </is>
      </c>
      <c r="B19" s="17" t="n">
        <v>0.34753</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825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(0.3475)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6.6849</v>
      </c>
      <c r="C25" s="19" t="n">
        <v>2.49</v>
      </c>
      <c r="D25" s="11" t="inlineStr">
        <is>
          <t>Dosel continuo, matorral denso o mosaico agroforestal</t>
        </is>
      </c>
      <c r="E25" s="11" t="inlineStr"/>
    </row>
    <row r="26">
      <c r="A26" s="12" t="inlineStr">
        <is>
          <t>Vegetación mediana</t>
        </is>
      </c>
      <c r="B26" s="20" t="n">
        <v>143.3102</v>
      </c>
      <c r="C26" s="21" t="n">
        <v>53.38</v>
      </c>
      <c r="D26" s="13" t="inlineStr">
        <is>
          <t>Pastizal cultivado, matorral ralo, parcelas agrícolas</t>
        </is>
      </c>
      <c r="E26" s="13" t="inlineStr"/>
    </row>
    <row r="27">
      <c r="A27" s="7" t="inlineStr">
        <is>
          <t>Vegetación ligera</t>
        </is>
      </c>
      <c r="B27" s="18" t="n">
        <v>116.8474</v>
      </c>
      <c r="C27" s="19" t="n">
        <v>43.52</v>
      </c>
      <c r="D27" s="11" t="inlineStr">
        <is>
          <t>Cobertura discontinua, suelo parcialmente expuesto</t>
        </is>
      </c>
      <c r="E27" s="11" t="inlineStr"/>
    </row>
    <row r="28">
      <c r="A28" s="12" t="inlineStr">
        <is>
          <t>Tierra desnuda</t>
        </is>
      </c>
      <c r="B28" s="20" t="n">
        <v>1.6265</v>
      </c>
      <c r="C28" s="21" t="n">
        <v>0.61</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268.39</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2.49 % del polígono clasificado como «Vegetación alta» por el NDVI 2025; la observación de campo corresponde a una parcela o recorrido puntual y no es estadísticamente representativa de las 268.390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M12B1</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643508</v>
      </c>
      <c r="D10" s="26" t="n">
        <v>9389713</v>
      </c>
      <c r="E10" s="11" t="n">
        <v>1202.5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644546</v>
      </c>
      <c r="C13" s="6" t="inlineStr">
        <is>
          <t>Centroide del bloque — UTM NORTE (m)</t>
        </is>
      </c>
      <c r="D13" s="7" t="n">
        <v>9389106</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6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≈380 msnm. Presenta AFLORAMIENTO ROCOSO, rocas semienterradas y piedras medianas a grandes dispersas.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INCONSISTENCIA INTERNA (D-04): la sección 3 de la ficha responde «No» a la presencia de afloramientos rocosos, mientras estas mismas observaciones afirman que «presenta afloramiento rocoso». NOTA: el punto de muestreo (643 508 · 9 389 713) dista ≈1.2 km al SO del centroide catastral (644 546 · 9 389 110) y es contiguo al empleado en las fichas de M4B3 y M4B4.</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C1076-Q9588 — BLOQUE M12B1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M12B1</t>
        </is>
      </c>
      <c r="B10" s="27" t="n">
        <v>268.39</v>
      </c>
      <c r="C10" s="28" t="n">
        <v>50.86</v>
      </c>
      <c r="D10" s="15" t="inlineStr">
        <is>
          <t>333 – 821</t>
        </is>
      </c>
      <c r="E10" s="15" t="n">
        <v>488</v>
      </c>
      <c r="F10" s="15" t="n">
        <v>18.18</v>
      </c>
      <c r="G10" s="29" t="n">
        <v>0.3475</v>
      </c>
      <c r="H10" s="28" t="n">
        <v>2.49</v>
      </c>
      <c r="I10" s="28" t="n">
        <v>96.62</v>
      </c>
    </row>
    <row r="11">
      <c r="A11" s="12" t="inlineStr">
        <is>
          <t>4</t>
        </is>
      </c>
      <c r="B11" s="30" t="n">
        <v>230.1</v>
      </c>
      <c r="C11" s="21" t="n">
        <v>43.6</v>
      </c>
      <c r="D11" s="13" t="inlineStr">
        <is>
          <t>1378 – 2318</t>
        </is>
      </c>
      <c r="E11" s="13" t="n">
        <v>940</v>
      </c>
      <c r="F11" s="13" t="n">
        <v>35.01</v>
      </c>
      <c r="G11" s="20" t="n">
        <v>0.6601</v>
      </c>
      <c r="H11" s="21" t="n">
        <v>88.09999999999999</v>
      </c>
      <c r="I11" s="21" t="n">
        <v>9.23</v>
      </c>
    </row>
    <row r="12">
      <c r="A12" s="7" t="inlineStr">
        <is>
          <t>74</t>
        </is>
      </c>
      <c r="B12" s="31" t="n">
        <v>29.23</v>
      </c>
      <c r="C12" s="19" t="n">
        <v>5.54</v>
      </c>
      <c r="D12" s="11" t="inlineStr">
        <is>
          <t>663 – 975</t>
        </is>
      </c>
      <c r="E12" s="11" t="n">
        <v>312</v>
      </c>
      <c r="F12" s="11" t="n">
        <v>29.51</v>
      </c>
      <c r="G12" s="18" t="n">
        <v>0.3565</v>
      </c>
      <c r="H12" s="19" t="n">
        <v>3.75</v>
      </c>
      <c r="I12" s="19" t="n">
        <v>99.8</v>
      </c>
    </row>
    <row r="13">
      <c r="A13" s="16" t="inlineStr">
        <is>
          <t>TOTAL / PROMEDIO</t>
        </is>
      </c>
      <c r="B13" s="32">
        <f>SUM(B10:B12)</f>
        <v/>
      </c>
      <c r="C13" s="23">
        <f>SUM(C10:C12)</f>
        <v/>
      </c>
      <c r="D13" s="17" t="inlineStr">
        <is>
          <t>333 – 2318</t>
        </is>
      </c>
      <c r="E13" s="17" t="inlineStr"/>
      <c r="F13" s="17">
        <f>ROUND(AVERAGE(F10:F12),2)</f>
        <v/>
      </c>
      <c r="G13" s="22">
        <f>ROUND(AVERAGE(G10:G12),4)</f>
        <v/>
      </c>
      <c r="H13" s="23">
        <f>ROUND(AVERAGE(H10:H12),2)</f>
        <v/>
      </c>
      <c r="I13" s="23">
        <f>ROUND(AVERAGE(I10:I12),2)</f>
        <v/>
      </c>
    </row>
    <row r="15" ht="84" customHeight="1">
      <c r="A15" s="9" t="inlineStr">
        <is>
          <t>LECTURA INTRAMICROCUENCA. El bloque M12B1 ocupa el puesto 1 de 3 por superficie dentro de la microcuenca C1076-Q9588 (50.86 % de las 527.72 ha preliminares de la microcuenca). Su pendiente promedio (18.18 %, clase «15-25% (Fuert. inclinado)») es la 1.ª más baja de 3 y se sitúa por debajo del promedio de la microcuenca (27.57 %). Su MSAVI 2024 (0.3475) es el 3.º de 3 y queda por debajo del promedio local (0.4547). Amplitud altitudinal del bloque: 488 m (333–821 msnm). El cuadro conserva todos los bloques catalogados en la microcuenca, incluidos los descartados en el tamizaje, para referencia del conjunto. Los bloques sin ficha DT figuran con sus parámetros de gabinete. BRECHA ESPECTRAL. El 96.62 % de la superficie del bloque (259.309 ha de 268.393 ha) se sitúa bajo el umbral MSAVI 0.4976, por encima del promedio local de la microcuenca (68.55 %) calculado sobre los bloques con dato MSAVI disponible.</t>
        </is>
      </c>
      <c r="B15" s="40" t="n"/>
      <c r="C15" s="40" t="n"/>
      <c r="D15" s="40" t="n"/>
      <c r="E15" s="40" t="n"/>
      <c r="F15" s="40" t="n"/>
      <c r="G15" s="40" t="n"/>
      <c r="H15" s="40" t="n"/>
      <c r="I15" s="41" t="n"/>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7" s="40" t="n"/>
      <c r="C17" s="40" t="n"/>
      <c r="D17" s="40" t="n"/>
      <c r="E17" s="40" t="n"/>
      <c r="F17" s="40" t="n"/>
      <c r="G17" s="40" t="n"/>
      <c r="H17" s="40" t="n"/>
      <c r="I17" s="41" t="n"/>
    </row>
  </sheetData>
  <mergeCells count="9">
    <mergeCell ref="A15:I15"/>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M12B1</t>
        </is>
      </c>
    </row>
    <row r="6">
      <c r="A6" s="51" t="inlineStr">
        <is>
          <t>Cruce de la ficha de campo F-DT vigente con la ficha de resumen de gabinete y el catálogo maestro. Integración 2026-09-11 21:26:33.</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«C1076-Q9588».</t>
        </is>
      </c>
      <c r="D9" s="55" t="inlineStr">
        <is>
          <t>CONFORME</t>
        </is>
      </c>
      <c r="E9" s="55" t="inlineStr">
        <is>
          <t>Sin acción.</t>
        </is>
      </c>
    </row>
    <row r="10">
      <c r="A10" s="56" t="inlineStr">
        <is>
          <t>G-02</t>
        </is>
      </c>
      <c r="B10" s="56" t="inlineStr">
        <is>
          <t>UTM del punto de muestreo</t>
        </is>
      </c>
      <c r="C10" s="56" t="inlineStr">
        <is>
          <t>El punto de muestreo declarado dista 1202.5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(340 msnm) cae dentro del rango altitudinal del bloque (333 - 821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(268.469 ha) se desvía 0.03 % de la superficie de catálogo (268.39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(268.393 ha) se desvía 0.00 % de la superficie de catálogo (268.39 ha).</t>
        </is>
      </c>
      <c r="D14" s="56" t="inlineStr">
        <is>
          <t>CONFORME</t>
        </is>
      </c>
      <c r="E14" s="56" t="inlineStr">
        <is>
          <t>Sin acción: la segmentación valida la geometría del bloque.</t>
        </is>
      </c>
    </row>
    <row r="15">
      <c r="A15" s="55" t="inlineStr">
        <is>
          <t>G-07</t>
        </is>
      </c>
      <c r="B15" s="55" t="inlineStr">
        <is>
          <t>Brecha espectral MSAVI</t>
        </is>
      </c>
      <c r="C15" s="55" t="inlineStr">
        <is>
          <t>El 96.62 % del bloque queda bajo el umbral 0.4976; superficie de brecha 259.31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268.39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(0.3475) cae en la clase «0.2650 - 0.3813 (Vigor muy bajo)» y la clase DN dominante por superficie es «DN 2 · 0.2650 - 0.3813 (Vigor muy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85.7 % de los campos esperados).</t>
        </is>
      </c>
      <c r="D19" s="55" t="inlineStr">
        <is>
          <t>CONFORME</t>
        </is>
      </c>
      <c r="E19" s="55" t="inlineStr">
        <is>
          <t>Sin acción.</t>
        </is>
      </c>
    </row>
    <row r="20">
      <c r="A20" s="56" t="inlineStr">
        <is>
          <t>F-02</t>
        </is>
      </c>
      <c r="B20" s="56" t="inlineStr">
        <is>
          <t>Cobertura de la integración</t>
        </is>
      </c>
      <c r="C20" s="56" t="inlineStr">
        <is>
          <t>Se declararon 94 de 114 hechos integrados (82.5 %); 20 quedan sin dato en ninguna fuente.</t>
        </is>
      </c>
      <c r="D20" s="56" t="inlineStr">
        <is>
          <t>CONFORME</t>
        </is>
      </c>
      <c r="E20" s="56" t="inlineStr">
        <is>
          <t>Sin acción.</t>
        </is>
      </c>
    </row>
    <row r="21">
      <c r="A21" s="55" t="inlineStr">
        <is>
          <t>H-01</t>
        </is>
      </c>
      <c r="B21" s="55" t="inlineStr">
        <is>
          <t>Rango de pendiente dominante</t>
        </is>
      </c>
      <c r="C21" s="55" t="inlineStr">
        <is>
          <t>La ficha DT declara «25-50% (Mod. escarpado)»; la estadística zonal sobre el MDE arroja una pendiente promedio de 18.18 %, que corresponde a la clase «15-25% (Fuert. inclinado)»</t>
        </is>
      </c>
      <c r="D21" s="55" t="inlineStr">
        <is>
          <t>NO SUSTANTIVA</t>
        </is>
      </c>
      <c r="E21"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6" t="inlineStr">
        <is>
          <t>H-02</t>
        </is>
      </c>
      <c r="B22" s="56" t="inlineStr">
        <is>
          <t>Cobertura vegetal total</t>
        </is>
      </c>
      <c r="C22" s="56" t="inlineStr">
        <is>
          <t>La ficha DT estima 70 % de cobertura vegetal en campo; el NDVI mediana 2025 clasifica 99.39 % del polígono en clases de vegetación</t>
        </is>
      </c>
      <c r="D22" s="56" t="inlineStr">
        <is>
          <t>NO SUSTANTIVA</t>
        </is>
      </c>
      <c r="E22"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5" t="inlineStr">
        <is>
          <t>H-03</t>
        </is>
      </c>
      <c r="B23" s="55" t="inlineStr">
        <is>
          <t>Elenco florístico</t>
        </is>
      </c>
      <c r="C23" s="55" t="inlineStr">
        <is>
          <t>La ficha registra 7 taxones, por debajo del mínimo de 15 que exige el formato V5</t>
        </is>
      </c>
      <c r="D23" s="55" t="inlineStr">
        <is>
          <t>SUSTANTIVA</t>
        </is>
      </c>
      <c r="E23" s="55" t="inlineStr">
        <is>
          <t>Registro florístico preliminar, sin colecta ni determinación botánica formal. Debe cerrarse con colecta botánica en la siguiente campaña. (Verificación heredada de la ficha de resumen V6.)</t>
        </is>
      </c>
    </row>
    <row r="24">
      <c r="A24" s="56" t="inlineStr">
        <is>
          <t>H-04</t>
        </is>
      </c>
      <c r="B24" s="56" t="inlineStr">
        <is>
          <t>Representatividad del levantamiento</t>
        </is>
      </c>
      <c r="C24" s="56" t="inlineStr">
        <is>
          <t>Ninguna de las estaciones fotográficas georreferenciadas se localiza dentro del polígono del bloque</t>
        </is>
      </c>
      <c r="D24" s="56" t="inlineStr">
        <is>
          <t>SUSTANTIVA</t>
        </is>
      </c>
      <c r="E24" s="56" t="inlineStr">
        <is>
          <t>La verificación documenta el perímetro y la vista panorámica del bloque, no su interior. Los parámetros que exigen recorrido interno se consignan «Por determinar». (Verificación heredada de la ficha de resumen V6.)</t>
        </is>
      </c>
    </row>
    <row r="25">
      <c r="A25" s="55" t="inlineStr">
        <is>
          <t>H-05</t>
        </is>
      </c>
      <c r="B25" s="55" t="inlineStr">
        <is>
          <t>Centro poblado asociado</t>
        </is>
      </c>
      <c r="C25" s="55" t="inlineStr">
        <is>
          <t>La ficha DT declara «Nueva Esperanza de Los Molinos y Faicalito»; el cruce INEI-Bloques V5 identifica 2 centro(s) poblado(s) en el bloque: FAICALITO, NUEVA ESPERANZA</t>
        </is>
      </c>
      <c r="D25" s="55" t="inlineStr">
        <is>
          <t>CONFORME</t>
        </is>
      </c>
      <c r="E25" s="55" t="inlineStr">
        <is>
          <t>Se conserva el registro de campo como referencia y se adopta el listado INEI para el diagnóstico social y el cálculo de población beneficiaria. (Verificación heredada de la ficha de resumen V6.)</t>
        </is>
      </c>
    </row>
    <row r="26">
      <c r="A26" s="56" t="inlineStr">
        <is>
          <t>H-06</t>
        </is>
      </c>
      <c r="B26" s="56" t="inlineStr">
        <is>
          <t>Ficha DT</t>
        </is>
      </c>
      <c r="C26" s="56" t="inlineStr">
        <is>
          <t>La ficha consigna microcuenca C1076-Q9584; el catálogo maestro asigna a M12B1 la microcuenca C1076-Q9588</t>
        </is>
      </c>
      <c r="D26" s="56" t="inlineStr">
        <is>
          <t>SUSTANTIVA</t>
        </is>
      </c>
      <c r="E26" s="56" t="inlineStr">
        <is>
          <t>Valor por defecto de la plantilla; se conserva el del catálogo (Verificación heredada de la ficha de resumen V6.)</t>
        </is>
      </c>
    </row>
    <row r="27">
      <c r="A27" s="55" t="inlineStr">
        <is>
          <t>H-07</t>
        </is>
      </c>
      <c r="B27" s="55" t="inlineStr">
        <is>
          <t>F-DT-01</t>
        </is>
      </c>
      <c r="C27" s="55" t="inlineStr">
        <is>
          <t>D-04: la sección 3 responde «No» a afloramientos rocosos mientras la narrativa afirma que «presenta afloramiento rocoso»</t>
        </is>
      </c>
      <c r="D27" s="55" t="inlineStr">
        <is>
          <t>SUSTANTIVA</t>
        </is>
      </c>
      <c r="E27" s="55" t="inlineStr">
        <is>
          <t>Inconsistencia interna a corregir (Verificación heredada de la ficha de resumen V6.)</t>
        </is>
      </c>
    </row>
    <row r="28">
      <c r="A28" s="56" t="inlineStr">
        <is>
          <t>H-08</t>
        </is>
      </c>
      <c r="B28" s="56" t="inlineStr">
        <is>
          <t>F-DT-02</t>
        </is>
      </c>
      <c r="C28" s="56" t="inlineStr">
        <is>
          <t>Sin ficha F-DT-02 firmada en el ANEXO 01; inventario de cárcavas pendiente</t>
        </is>
      </c>
      <c r="D28" s="56" t="inlineStr">
        <is>
          <t>SUSTANTIVA</t>
        </is>
      </c>
      <c r="E28" s="56" t="inlineStr">
        <is>
          <t>Levantamiento pendiente (Verificación heredada de la ficha de resumen V6.)</t>
        </is>
      </c>
    </row>
    <row r="29">
      <c r="A29" s="55" t="inlineStr">
        <is>
          <t>H-09</t>
        </is>
      </c>
      <c r="B29" s="55" t="inlineStr">
        <is>
          <t>F-DT-03</t>
        </is>
      </c>
      <c r="C29" s="55" t="inlineStr">
        <is>
          <t>D-05: altura del estrato dominante (9 m) y DAP (30 cm) de la sección 3 no coinciden con las observaciones (&lt;8 m y &lt;20 cm)</t>
        </is>
      </c>
      <c r="D29" s="55" t="inlineStr">
        <is>
          <t>SUSTANTIVA</t>
        </is>
      </c>
      <c r="E29" s="55" t="inlineStr">
        <is>
          <t>Inconsistencia interna a resolver (Verificación heredada de la ficha de resumen V6.)</t>
        </is>
      </c>
    </row>
    <row r="30">
      <c r="A30" s="56" t="inlineStr">
        <is>
          <t>H-10</t>
        </is>
      </c>
      <c r="B30" s="56" t="inlineStr">
        <is>
          <t>F-DT-04</t>
        </is>
      </c>
      <c r="C30" s="56" t="inlineStr">
        <is>
          <t>Densidad de cárcavas 1 N.°/ha frente a inventario de 0 cárcavas; % pendiente &gt;50% = 35% calificado «Bajo»</t>
        </is>
      </c>
      <c r="D30" s="56" t="inlineStr">
        <is>
          <t>SUSTANTIVA</t>
        </is>
      </c>
      <c r="E30" s="56" t="inlineStr">
        <is>
          <t>Inconsistencias internas a resolver (Verificación heredada de la ficha de resumen V6.)</t>
        </is>
      </c>
    </row>
    <row r="31">
      <c r="A31" s="55" t="inlineStr">
        <is>
          <t>H-11</t>
        </is>
      </c>
      <c r="B31" s="55" t="inlineStr">
        <is>
          <t>F-DT-05</t>
        </is>
      </c>
      <c r="C31" s="55" t="inlineStr">
        <is>
          <t>Sin ficha F-DT-05 en el ANEXO 01</t>
        </is>
      </c>
      <c r="D31" s="55" t="inlineStr">
        <is>
          <t>SUSTANTIVA</t>
        </is>
      </c>
      <c r="E31" s="55" t="inlineStr">
        <is>
          <t>Inventario hídrico y accesibilidad por completar (Verificación heredada de la ficha de resumen V6.)</t>
        </is>
      </c>
    </row>
    <row r="33">
      <c r="A33" s="57" t="inlineStr">
        <is>
          <t>RESUMEN</t>
        </is>
      </c>
      <c r="B33" s="58" t="inlineStr">
        <is>
          <t>23 verificaciones</t>
        </is>
      </c>
      <c r="C33" s="58" t="inlineStr">
        <is>
          <t>SUSTANTIVA: 9 · NO SUSTANTIVA: 2 · CONFORME: 12</t>
        </is>
      </c>
    </row>
    <row r="35">
      <c r="A35"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M12B1</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643508</t>
        </is>
      </c>
      <c r="D13" s="55" t="inlineStr">
        <is>
          <t>m</t>
        </is>
      </c>
    </row>
    <row r="14">
      <c r="A14" s="56" t="inlineStr">
        <is>
          <t>1. Identificación y localización</t>
        </is>
      </c>
      <c r="B14" s="56" t="inlineStr">
        <is>
          <t>UTM NORTE del punto de muestreo (m)</t>
        </is>
      </c>
      <c r="C14" s="56" t="inlineStr">
        <is>
          <t>9389713</t>
        </is>
      </c>
      <c r="D14" s="56" t="inlineStr">
        <is>
          <t>m</t>
        </is>
      </c>
    </row>
    <row r="15">
      <c r="A15" s="55" t="inlineStr">
        <is>
          <t>2. Parámetros físicos del terreno</t>
        </is>
      </c>
      <c r="B15" s="55" t="inlineStr">
        <is>
          <t>Altitud GPS del punto de muestreo (msnm)</t>
        </is>
      </c>
      <c r="C15" s="55" t="inlineStr">
        <is>
          <t>340</t>
        </is>
      </c>
      <c r="D15" s="55" t="inlineStr">
        <is>
          <t>msnm</t>
        </is>
      </c>
    </row>
    <row r="16">
      <c r="A16" s="56" t="inlineStr">
        <is>
          <t>2. Parámetros físicos del terreno</t>
        </is>
      </c>
      <c r="B16" s="56" t="inlineStr">
        <is>
          <t>Piso altitudinal del punto de muestreo</t>
        </is>
      </c>
      <c r="C16" s="56" t="inlineStr">
        <is>
          <t>&lt;1000 m (Yunga)</t>
        </is>
      </c>
      <c r="D16" s="56" t="inlineStr"/>
    </row>
    <row r="17">
      <c r="A17" s="55" t="inlineStr">
        <is>
          <t>2. Parámetros físicos del terreno</t>
        </is>
      </c>
      <c r="B17" s="55" t="inlineStr">
        <is>
          <t>Paisaje dominante descrito en campo</t>
        </is>
      </c>
      <c r="C17" s="55" t="inlineStr">
        <is>
          <t>Sistema de laderas convexo-cóncavas tributarias de la quebrada Q9588 (microcuenca C1076), con altitudes de 320 a 700 msnm y desniveles internos. Paisaje de colina media, dominado por bosque estacionalmente seco de colina y montaña y zona agrícola.</t>
        </is>
      </c>
      <c r="D17" s="55" t="inlineStr"/>
    </row>
    <row r="18">
      <c r="A18" s="56" t="inlineStr">
        <is>
          <t>2. Parámetros físicos del terreno</t>
        </is>
      </c>
      <c r="B18" s="56" t="inlineStr">
        <is>
          <t>Reptación de suelo</t>
        </is>
      </c>
      <c r="C18" s="56" t="inlineStr">
        <is>
          <t>No</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Compactación por pisoteo</t>
        </is>
      </c>
      <c r="C21" s="55" t="inlineStr">
        <is>
          <t>Sí</t>
        </is>
      </c>
      <c r="D21" s="55" t="inlineStr"/>
    </row>
    <row r="22">
      <c r="A22" s="56" t="inlineStr">
        <is>
          <t>4. Suelos y erosión (F-DT-02)</t>
        </is>
      </c>
      <c r="B22" s="56" t="inlineStr">
        <is>
          <t>Longitud total de cárcavas (m)</t>
        </is>
      </c>
      <c r="C22" s="56" t="inlineStr">
        <is>
          <t>0</t>
        </is>
      </c>
      <c r="D22" s="56" t="inlineStr">
        <is>
          <t>m</t>
        </is>
      </c>
    </row>
    <row r="23">
      <c r="A23" s="55" t="inlineStr">
        <is>
          <t>4. Suelos y erosión (F-DT-02)</t>
        </is>
      </c>
      <c r="B23" s="55" t="inlineStr">
        <is>
          <t>% del bloque afectado por cárcavas</t>
        </is>
      </c>
      <c r="C23" s="55" t="inlineStr">
        <is>
          <t>0</t>
        </is>
      </c>
      <c r="D23" s="55" t="inlineStr">
        <is>
          <t>%</t>
        </is>
      </c>
    </row>
    <row r="24">
      <c r="A24" s="56" t="inlineStr">
        <is>
          <t>4. Suelos y erosión (F-DT-02)</t>
        </is>
      </c>
      <c r="B24" s="56" t="inlineStr">
        <is>
          <t>Socavamiento de cauce</t>
        </is>
      </c>
      <c r="C24" s="56" t="inlineStr">
        <is>
          <t>No</t>
        </is>
      </c>
      <c r="D24" s="56" t="inlineStr"/>
    </row>
    <row r="25">
      <c r="A25" s="55" t="inlineStr">
        <is>
          <t>5. Ecosistema, cobertura y flora (F-DT-03)</t>
        </is>
      </c>
      <c r="B25" s="55" t="inlineStr">
        <is>
          <t>Cobertura del dosel (%)</t>
        </is>
      </c>
      <c r="C25" s="55" t="inlineStr">
        <is>
          <t>70</t>
        </is>
      </c>
      <c r="D25" s="55" t="inlineStr">
        <is>
          <t>%</t>
        </is>
      </c>
    </row>
    <row r="26">
      <c r="A26" s="56" t="inlineStr">
        <is>
          <t>5. Ecosistema, cobertura y flora (F-DT-03)</t>
        </is>
      </c>
      <c r="B26" s="56" t="inlineStr">
        <is>
          <t>Cobertura arbustiva (%)</t>
        </is>
      </c>
      <c r="C26" s="56" t="inlineStr">
        <is>
          <t>15</t>
        </is>
      </c>
      <c r="D26" s="56" t="inlineStr">
        <is>
          <t>%</t>
        </is>
      </c>
    </row>
    <row r="27">
      <c r="A27" s="55" t="inlineStr">
        <is>
          <t>5. Ecosistema, cobertura y flora (F-DT-03)</t>
        </is>
      </c>
      <c r="B27" s="55" t="inlineStr">
        <is>
          <t>Cobertura herbácea (%)</t>
        </is>
      </c>
      <c r="C27" s="55" t="inlineStr">
        <is>
          <t>10</t>
        </is>
      </c>
      <c r="D27" s="55" t="inlineStr">
        <is>
          <t>%</t>
        </is>
      </c>
    </row>
    <row r="28">
      <c r="A28" s="56" t="inlineStr">
        <is>
          <t>5. Ecosistema, cobertura y flora (F-DT-03)</t>
        </is>
      </c>
      <c r="B28" s="56" t="inlineStr">
        <is>
          <t>Cobertura de hojarasca (%)</t>
        </is>
      </c>
      <c r="C28" s="56" t="inlineStr">
        <is>
          <t>5</t>
        </is>
      </c>
      <c r="D28" s="56" t="inlineStr">
        <is>
          <t>%</t>
        </is>
      </c>
    </row>
    <row r="29">
      <c r="A29" s="55" t="inlineStr">
        <is>
          <t>5. Ecosistema, cobertura y flora (F-DT-03)</t>
        </is>
      </c>
      <c r="B29" s="55" t="inlineStr">
        <is>
          <t>Altura del estrato dominante (m)</t>
        </is>
      </c>
      <c r="C29" s="55" t="inlineStr">
        <is>
          <t>9</t>
        </is>
      </c>
      <c r="D29" s="55" t="inlineStr">
        <is>
          <t>m</t>
        </is>
      </c>
    </row>
    <row r="30">
      <c r="A30" s="56" t="inlineStr">
        <is>
          <t>5. Ecosistema, cobertura y flora (F-DT-03)</t>
        </is>
      </c>
      <c r="B30" s="56" t="inlineStr">
        <is>
          <t>Altura máxima registrada (m)</t>
        </is>
      </c>
      <c r="C30" s="56" t="inlineStr">
        <is>
          <t>12</t>
        </is>
      </c>
      <c r="D30" s="56" t="inlineStr">
        <is>
          <t>m</t>
        </is>
      </c>
    </row>
    <row r="31">
      <c r="A31" s="55" t="inlineStr">
        <is>
          <t>5. Ecosistema, cobertura y flora (F-DT-03)</t>
        </is>
      </c>
      <c r="B31" s="55" t="inlineStr">
        <is>
          <t>DAP promedio (cm)</t>
        </is>
      </c>
      <c r="C31" s="55" t="inlineStr">
        <is>
          <t>30</t>
        </is>
      </c>
      <c r="D31" s="55" t="inlineStr">
        <is>
          <t>cm</t>
        </is>
      </c>
    </row>
    <row r="32">
      <c r="A32" s="56" t="inlineStr">
        <is>
          <t>5. Ecosistema, cobertura y flora (F-DT-03)</t>
        </is>
      </c>
      <c r="B32" s="56" t="inlineStr">
        <is>
          <t>Presencia de epífitas</t>
        </is>
      </c>
      <c r="C32" s="56" t="inlineStr">
        <is>
          <t>No</t>
        </is>
      </c>
      <c r="D32" s="56" t="inlineStr"/>
    </row>
    <row r="33">
      <c r="A33" s="55" t="inlineStr">
        <is>
          <t>5. Ecosistema, cobertura y flora (F-DT-03)</t>
        </is>
      </c>
      <c r="B33" s="55" t="inlineStr">
        <is>
          <t>Fenología dominante</t>
        </is>
      </c>
      <c r="C33" s="55" t="inlineStr">
        <is>
          <t>Vegetativo</t>
        </is>
      </c>
      <c r="D33" s="55" t="inlineStr"/>
    </row>
    <row r="34">
      <c r="A34" s="56" t="inlineStr">
        <is>
          <t>5. Ecosistema, cobertura y flora (F-DT-03)</t>
        </is>
      </c>
      <c r="B34" s="56" t="inlineStr">
        <is>
          <t>Especies clave georreferenciadas</t>
        </is>
      </c>
      <c r="C34" s="56" t="inlineStr">
        <is>
          <t>3</t>
        </is>
      </c>
      <c r="D34" s="56" t="inlineStr"/>
    </row>
    <row r="35">
      <c r="A35" s="55" t="inlineStr">
        <is>
          <t>6. Degradación, causas y urgencia (F-DT-04)</t>
        </is>
      </c>
      <c r="B35" s="55" t="inlineStr">
        <is>
          <t>Causas directas de la degradación</t>
        </is>
      </c>
      <c r="C35" s="55" t="inlineStr">
        <is>
          <t>La degradación leve del ecosistema se debe principalmente a las actividades de pastoreo de ganado caprino y a la extracción de leña para uso doméstico.</t>
        </is>
      </c>
      <c r="D35" s="55" t="inlineStr"/>
    </row>
    <row r="36">
      <c r="A36" s="56" t="inlineStr">
        <is>
          <t>6. Degradación, causas y urgencia (F-DT-04)</t>
        </is>
      </c>
      <c r="B36" s="56" t="inlineStr">
        <is>
          <t>N.° de causas activas en la matriz F-DT-04</t>
        </is>
      </c>
      <c r="C36" s="56" t="inlineStr">
        <is>
          <t>3</t>
        </is>
      </c>
      <c r="D36" s="56" t="inlineStr"/>
    </row>
    <row r="37">
      <c r="A37" s="55" t="inlineStr">
        <is>
          <t>7. Hidrología, acceso y logística (F-DT-05)</t>
        </is>
      </c>
      <c r="B37" s="55" t="inlineStr">
        <is>
          <t>Escorrentía concentrada</t>
        </is>
      </c>
      <c r="C37" s="55" t="inlineStr">
        <is>
          <t>Sí</t>
        </is>
      </c>
      <c r="D37" s="55" t="inlineStr"/>
    </row>
    <row r="38">
      <c r="A38" s="56" t="inlineStr">
        <is>
          <t>7. Hidrología, acceso y logística (F-DT-05)</t>
        </is>
      </c>
      <c r="B38" s="56" t="inlineStr">
        <is>
          <t>Vía principal de acceso</t>
        </is>
      </c>
      <c r="C38" s="56" t="inlineStr">
        <is>
          <t>Vía afirmada de acceso a Nueva Esperanza de Los Molinos, margen derecha del río Huarmaca</t>
        </is>
      </c>
      <c r="D38" s="56" t="inlineStr"/>
    </row>
    <row r="39">
      <c r="A39" s="55" t="inlineStr">
        <is>
          <t>7. Hidrología, acceso y logística (F-DT-05)</t>
        </is>
      </c>
      <c r="B39" s="55" t="inlineStr">
        <is>
          <t>Tipo de vía del tramo final</t>
        </is>
      </c>
      <c r="C39" s="55" t="inlineStr">
        <is>
          <t>Camino de herradura</t>
        </is>
      </c>
      <c r="D39" s="55" t="inlineStr"/>
    </row>
    <row r="41">
      <c r="A41" s="53" t="inlineStr">
        <is>
          <t>C. PROCEDENCIA DE LOS HECHOS DECLARADOS</t>
        </is>
      </c>
    </row>
    <row r="42">
      <c r="A42" s="54" t="inlineStr">
        <is>
          <t>Fuente</t>
        </is>
      </c>
      <c r="B42" s="54" t="inlineStr">
        <is>
          <t>Hechos</t>
        </is>
      </c>
      <c r="C42" s="54" t="inlineStr">
        <is>
          <t>Alcance de la fuente</t>
        </is>
      </c>
    </row>
    <row r="43">
      <c r="A43" s="55" t="inlineStr">
        <is>
          <t>Dato de campo</t>
        </is>
      </c>
      <c r="B43" s="55" t="n">
        <v>55</v>
      </c>
      <c r="C43" s="55" t="inlineStr">
        <is>
          <t>Verificación en campo. Fichas F-DT-01 a F-DT-05 de la Plantilla DT Campo Check Validada V5, suscritas por el evaluador.</t>
        </is>
      </c>
    </row>
    <row r="44">
      <c r="A44" s="56" t="inlineStr">
        <is>
          <t>Gabinete (GIS / teledetección)</t>
        </is>
      </c>
      <c r="B44" s="56" t="n">
        <v>25</v>
      </c>
      <c r="C44" s="56" t="inlineStr">
        <is>
          <t>Gabinete. Estadística zonal sobre el MDE y compuestos Sentinel-2 (NDVI mediana 2025, MSAVI 2024 por clase DN).</t>
        </is>
      </c>
    </row>
    <row r="45">
      <c r="A45" s="55" t="inlineStr">
        <is>
          <t>Fuente oficial</t>
        </is>
      </c>
      <c r="B45" s="55" t="n">
        <v>14</v>
      </c>
      <c r="C45" s="55" t="inlineStr">
        <is>
          <t>Fuente oficial. Catálogo maestro Bloques V5/V6, división política INEI y codificación de microcuencas de la ANA.</t>
        </is>
      </c>
    </row>
    <row r="47">
      <c r="A47" s="53" t="inlineStr">
        <is>
          <t>D. ESTADO DEL CRUCE ENTRE FUENTES</t>
        </is>
      </c>
    </row>
    <row r="48">
      <c r="A48" s="54" t="inlineStr">
        <is>
          <t>Estado</t>
        </is>
      </c>
      <c r="B48" s="54" t="inlineStr">
        <is>
          <t>Hechos</t>
        </is>
      </c>
      <c r="C48" s="54" t="inlineStr">
        <is>
          <t>Significado</t>
        </is>
      </c>
    </row>
    <row r="49">
      <c r="A49" s="55" t="inlineStr">
        <is>
          <t>CONFORME</t>
        </is>
      </c>
      <c r="B49" s="55" t="n">
        <v>91</v>
      </c>
      <c r="C49" s="55" t="inlineStr">
        <is>
          <t>Las dos fuentes declaran lo mismo, o solo la fuente que manda sobre el hecho lo declara.</t>
        </is>
      </c>
    </row>
    <row r="50">
      <c r="A50" s="56" t="inlineStr">
        <is>
          <t>COMPLEMENTADO</t>
        </is>
      </c>
      <c r="B50" s="56" t="n">
        <v>3</v>
      </c>
      <c r="C50" s="56" t="inlineStr">
        <is>
          <t>Solo una de las fuentes lo declara y se adopta ese valor.</t>
        </is>
      </c>
    </row>
    <row r="51">
      <c r="A51" s="55" t="inlineStr">
        <is>
          <t>ACTUALIZADO</t>
        </is>
      </c>
      <c r="B51" s="55" t="n">
        <v>0</v>
      </c>
      <c r="C51" s="55" t="inlineStr">
        <is>
          <t>La verificación de campo vigente corrige lo que traía el libro de resumen.</t>
        </is>
      </c>
    </row>
    <row r="52">
      <c r="A52" s="56" t="inlineStr">
        <is>
          <t>DISCREPANTE</t>
        </is>
      </c>
      <c r="B52" s="56" t="n">
        <v>0</v>
      </c>
      <c r="C52" s="56" t="inlineStr">
        <is>
          <t>Las fuentes se contradicen; prevalece la que manda sobre el hecho y la otra queda declarada.</t>
        </is>
      </c>
    </row>
    <row r="53">
      <c r="A53" s="55" t="inlineStr">
        <is>
          <t>PENDIENTE</t>
        </is>
      </c>
      <c r="B53" s="55" t="n">
        <v>20</v>
      </c>
      <c r="C53"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M12B1</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Faique</t>
        </is>
      </c>
      <c r="C13" s="55" t="inlineStr">
        <is>
          <t>Vachellia macracantha</t>
        </is>
      </c>
      <c r="D13" s="55" t="inlineStr">
        <is>
          <t>Fabaceae</t>
        </is>
      </c>
      <c r="E13" s="55" t="inlineStr">
        <is>
          <t>Arbóreo bajo (4-8 m)</t>
        </is>
      </c>
      <c r="F13" s="55" t="inlineStr">
        <is>
          <t>Nativa</t>
        </is>
      </c>
      <c r="G13" s="55" t="inlineStr">
        <is>
          <t>Ocasional (1-5%)</t>
        </is>
      </c>
      <c r="H13" s="60" t="n">
        <v>20</v>
      </c>
      <c r="I13" s="61" t="n">
        <v>5</v>
      </c>
    </row>
    <row r="14">
      <c r="A14" s="56" t="inlineStr">
        <is>
          <t>2</t>
        </is>
      </c>
      <c r="B14" s="56" t="inlineStr">
        <is>
          <t>Palo santo</t>
        </is>
      </c>
      <c r="C14" s="56" t="inlineStr">
        <is>
          <t>Bursera graveolens</t>
        </is>
      </c>
      <c r="D14" s="56" t="inlineStr">
        <is>
          <t>Burseraceae</t>
        </is>
      </c>
      <c r="E14" s="56" t="inlineStr">
        <is>
          <t>Arbóreo bajo (4-8 m)</t>
        </is>
      </c>
      <c r="F14" s="56" t="inlineStr">
        <is>
          <t>Nativa</t>
        </is>
      </c>
      <c r="G14" s="56" t="inlineStr">
        <is>
          <t>Ocasional (1-5%)</t>
        </is>
      </c>
      <c r="H14" s="62" t="n">
        <v>25</v>
      </c>
      <c r="I14" s="63" t="n">
        <v>7</v>
      </c>
    </row>
    <row r="15">
      <c r="A15" s="55" t="inlineStr">
        <is>
          <t>3</t>
        </is>
      </c>
      <c r="B15" s="55" t="inlineStr">
        <is>
          <t>Pasallo</t>
        </is>
      </c>
      <c r="C15" s="55" t="inlineStr">
        <is>
          <t>Eriotheca ruizii</t>
        </is>
      </c>
      <c r="D15" s="55" t="inlineStr">
        <is>
          <t>Malvaceae</t>
        </is>
      </c>
      <c r="E15" s="55" t="inlineStr">
        <is>
          <t>Arbóreo bajo (4-8 m)</t>
        </is>
      </c>
      <c r="F15" s="55" t="inlineStr">
        <is>
          <t>Nativa</t>
        </is>
      </c>
      <c r="G15" s="55" t="inlineStr">
        <is>
          <t>Ocasional (1-5%)</t>
        </is>
      </c>
      <c r="H15" s="60" t="n">
        <v>30</v>
      </c>
      <c r="I15" s="61" t="n">
        <v>6</v>
      </c>
    </row>
    <row r="16">
      <c r="A16" s="56" t="inlineStr">
        <is>
          <t>4</t>
        </is>
      </c>
      <c r="B16" s="56" t="inlineStr">
        <is>
          <t>Hualtaco</t>
        </is>
      </c>
      <c r="C16" s="56" t="inlineStr">
        <is>
          <t>Loxopterygium huasango</t>
        </is>
      </c>
      <c r="D16" s="56" t="inlineStr">
        <is>
          <t>Anacardiaceae</t>
        </is>
      </c>
      <c r="E16" s="56" t="inlineStr">
        <is>
          <t>Arbóreo bajo (4-8 m)</t>
        </is>
      </c>
      <c r="F16" s="56" t="inlineStr">
        <is>
          <t>Nativa</t>
        </is>
      </c>
      <c r="G16" s="56" t="inlineStr">
        <is>
          <t>Ocasional (1-5%)</t>
        </is>
      </c>
      <c r="H16" s="62" t="n">
        <v>30</v>
      </c>
      <c r="I16" s="63" t="n">
        <v>8</v>
      </c>
    </row>
    <row r="17">
      <c r="A17" s="55" t="inlineStr">
        <is>
          <t>5</t>
        </is>
      </c>
      <c r="B17" s="55" t="inlineStr">
        <is>
          <t>Charán</t>
        </is>
      </c>
      <c r="C17" s="55" t="inlineStr">
        <is>
          <t>Caesalpinia paipai</t>
        </is>
      </c>
      <c r="D17" s="55" t="inlineStr">
        <is>
          <t>Fabaceae</t>
        </is>
      </c>
      <c r="E17" s="55" t="inlineStr">
        <is>
          <t>Arbóreo bajo (4-8 m)</t>
        </is>
      </c>
      <c r="F17" s="55" t="inlineStr">
        <is>
          <t>Nativa</t>
        </is>
      </c>
      <c r="G17" s="55" t="inlineStr">
        <is>
          <t>Ocasional (1-5%)</t>
        </is>
      </c>
      <c r="H17" s="60" t="n">
        <v>20</v>
      </c>
      <c r="I17" s="61" t="n">
        <v>5</v>
      </c>
    </row>
    <row r="18">
      <c r="A18" s="56" t="inlineStr">
        <is>
          <t>6</t>
        </is>
      </c>
      <c r="B18" s="56" t="inlineStr">
        <is>
          <t>Overo</t>
        </is>
      </c>
      <c r="C18" s="56" t="inlineStr">
        <is>
          <t>Cordia lutea</t>
        </is>
      </c>
      <c r="D18" s="56" t="inlineStr">
        <is>
          <t>Boraginaceae</t>
        </is>
      </c>
      <c r="E18" s="56" t="inlineStr">
        <is>
          <t>Arbustivo alto (1.5-4 m)</t>
        </is>
      </c>
      <c r="F18" s="56" t="inlineStr">
        <is>
          <t>Nativa</t>
        </is>
      </c>
      <c r="G18" s="56" t="inlineStr">
        <is>
          <t>Frecuente (5-20%)</t>
        </is>
      </c>
      <c r="H18" s="62" t="n">
        <v>15</v>
      </c>
      <c r="I18" s="63" t="n">
        <v>4</v>
      </c>
    </row>
    <row r="19">
      <c r="A19" s="55" t="inlineStr">
        <is>
          <t>7</t>
        </is>
      </c>
      <c r="B19" s="55" t="inlineStr">
        <is>
          <t>Ceibo</t>
        </is>
      </c>
      <c r="C19" s="55" t="inlineStr">
        <is>
          <t>Ceiba trichistandra</t>
        </is>
      </c>
      <c r="D19" s="55" t="inlineStr">
        <is>
          <t>Malvaceae</t>
        </is>
      </c>
      <c r="E19" s="55" t="inlineStr">
        <is>
          <t>Arbóreo medio (8-15 m)</t>
        </is>
      </c>
      <c r="F19" s="55" t="inlineStr">
        <is>
          <t>Nativa</t>
        </is>
      </c>
      <c r="G19" s="55" t="inlineStr">
        <is>
          <t>Dominante (&gt;40%)</t>
        </is>
      </c>
      <c r="H19" s="60" t="n">
        <v>40</v>
      </c>
      <c r="I19" s="60" t="n">
        <v>10</v>
      </c>
    </row>
    <row r="21">
      <c r="A21" s="53" t="inlineStr">
        <is>
          <t>F-DT-03 · ESPECIES CLAVE GEORREFERENCIADAS</t>
        </is>
      </c>
    </row>
    <row r="22">
      <c r="A22" s="54" t="inlineStr">
        <is>
          <t>N.o</t>
        </is>
      </c>
      <c r="B22" s="54" t="inlineStr">
        <is>
          <t>Especie</t>
        </is>
      </c>
      <c r="C22" s="54" t="inlineStr">
        <is>
          <t>Categoría</t>
        </is>
      </c>
      <c r="D22" s="54" t="inlineStr">
        <is>
          <t>Estado UICN</t>
        </is>
      </c>
      <c r="E22" s="54" t="inlineStr">
        <is>
          <t>UTM ESTE</t>
        </is>
      </c>
      <c r="F22" s="54" t="inlineStr">
        <is>
          <t>UTM NORTE</t>
        </is>
      </c>
      <c r="G22" s="54" t="inlineStr">
        <is>
          <t>N.° individuos</t>
        </is>
      </c>
      <c r="H22" s="54" t="inlineStr">
        <is>
          <t>Observación</t>
        </is>
      </c>
    </row>
    <row r="23">
      <c r="A23" s="55" t="inlineStr">
        <is>
          <t>1</t>
        </is>
      </c>
      <c r="B23" s="55" t="inlineStr">
        <is>
          <t>Hualtaco (Loxopterygium huasango)</t>
        </is>
      </c>
      <c r="C23" s="55" t="inlineStr">
        <is>
          <t>Amenazada (D.S. 043-2006-AG)</t>
        </is>
      </c>
      <c r="D23" s="55" t="inlineStr">
        <is>
          <t>CR — En Peligro Crítico</t>
        </is>
      </c>
      <c r="E23" s="55" t="n"/>
      <c r="F23" s="55" t="n"/>
      <c r="G23" s="55" t="n"/>
      <c r="H23" s="55" t="inlineStr">
        <is>
          <t>Registrada en la ficha F-DT-03 como estrato arbóreo. Sin conteo ni georreferenciación individual: POR VERIFICAR.</t>
        </is>
      </c>
    </row>
    <row r="24">
      <c r="A24" s="56" t="inlineStr">
        <is>
          <t>2</t>
        </is>
      </c>
      <c r="B24" s="56" t="inlineStr">
        <is>
          <t>Palo santo (Bursera graveolens)</t>
        </is>
      </c>
      <c r="C24" s="56" t="inlineStr">
        <is>
          <t>Amenazada (D.S. 043-2006-AG)</t>
        </is>
      </c>
      <c r="D24" s="56" t="inlineStr">
        <is>
          <t>No aplica</t>
        </is>
      </c>
      <c r="E24" s="56" t="n"/>
      <c r="F24" s="56" t="n"/>
      <c r="G24" s="56" t="n"/>
      <c r="H24" s="56" t="inlineStr">
        <is>
          <t>Registrada en la ficha F-DT-03. Categoría nacional por confirmar con el estudio de ecosistema.</t>
        </is>
      </c>
    </row>
    <row r="25">
      <c r="A25" s="55" t="inlineStr">
        <is>
          <t>3</t>
        </is>
      </c>
      <c r="B25" s="55" t="inlineStr">
        <is>
          <t>Sapote (Colicodendron scabridum)</t>
        </is>
      </c>
      <c r="C25" s="55" t="inlineStr">
        <is>
          <t>Indicadora de buen estado</t>
        </is>
      </c>
      <c r="D25" s="55" t="inlineStr">
        <is>
          <t>No aplica</t>
        </is>
      </c>
      <c r="E25" s="55" t="n"/>
      <c r="F25" s="55" t="n"/>
      <c r="G25" s="55" t="n"/>
      <c r="H25" s="55" t="inlineStr">
        <is>
          <t>Citada en las observaciones de la ficha y en el 2do Entregable; no incluida en la tabla florística.</t>
        </is>
      </c>
    </row>
    <row r="27">
      <c r="A27" s="53" t="inlineStr">
        <is>
          <t>F-DT-04 · MATRIZ DE CAUSAS DE DEGRADACIÓN</t>
        </is>
      </c>
    </row>
    <row r="28">
      <c r="A28" s="54" t="inlineStr">
        <is>
          <t>N.o</t>
        </is>
      </c>
      <c r="B28" s="54" t="inlineStr">
        <is>
          <t>Causa</t>
        </is>
      </c>
      <c r="C28" s="54" t="inlineStr">
        <is>
          <t>Presencia</t>
        </is>
      </c>
      <c r="D28" s="54" t="inlineStr">
        <is>
          <t>Intensidad</t>
        </is>
      </c>
      <c r="E28" s="54" t="inlineStr">
        <is>
          <t>Extensión</t>
        </is>
      </c>
      <c r="F28" s="54" t="inlineStr">
        <is>
          <t>Antigüedad</t>
        </is>
      </c>
      <c r="G28" s="54" t="inlineStr">
        <is>
          <t>Evidencia</t>
        </is>
      </c>
    </row>
    <row r="29">
      <c r="A29" s="55" t="inlineStr">
        <is>
          <t>1</t>
        </is>
      </c>
      <c r="B29" s="55" t="inlineStr">
        <is>
          <t>Sobrepastoreo (caprino/vacuno)</t>
        </is>
      </c>
      <c r="C29" s="55" t="inlineStr">
        <is>
          <t>Sí</t>
        </is>
      </c>
      <c r="D29" s="55" t="inlineStr">
        <is>
          <t>Moderada</t>
        </is>
      </c>
      <c r="E29" s="55" t="inlineStr">
        <is>
          <t>70</t>
        </is>
      </c>
      <c r="F29" s="55" t="inlineStr">
        <is>
          <t>30</t>
        </is>
      </c>
      <c r="G29" s="55" t="inlineStr">
        <is>
          <t>Se observó presencia de ganado caprino.</t>
        </is>
      </c>
    </row>
    <row r="30">
      <c r="A30" s="56" t="inlineStr">
        <is>
          <t>2</t>
        </is>
      </c>
      <c r="B30" s="56" t="inlineStr">
        <is>
          <t>Tala para leña</t>
        </is>
      </c>
      <c r="C30" s="56" t="inlineStr">
        <is>
          <t>Sí</t>
        </is>
      </c>
      <c r="D30" s="56" t="inlineStr">
        <is>
          <t>Moderada</t>
        </is>
      </c>
      <c r="E30" s="56" t="inlineStr">
        <is>
          <t>30</t>
        </is>
      </c>
      <c r="F30" s="56" t="inlineStr">
        <is>
          <t>30</t>
        </is>
      </c>
      <c r="G30" s="56" t="inlineStr">
        <is>
          <t>Se observó leña apilada en los patios de las viviendas.</t>
        </is>
      </c>
    </row>
    <row r="31">
      <c r="A31" s="55" t="inlineStr">
        <is>
          <t>3</t>
        </is>
      </c>
      <c r="B31" s="55" t="inlineStr">
        <is>
          <t>Tala para carbón</t>
        </is>
      </c>
      <c r="C31" s="55" t="inlineStr"/>
      <c r="D31" s="55" t="inlineStr"/>
      <c r="E31" s="55" t="inlineStr"/>
      <c r="F31" s="55" t="inlineStr"/>
      <c r="G31" s="55" t="inlineStr"/>
    </row>
    <row r="32">
      <c r="A32" s="56" t="inlineStr">
        <is>
          <t>4</t>
        </is>
      </c>
      <c r="B32" s="56" t="inlineStr">
        <is>
          <t>Tala para madera</t>
        </is>
      </c>
      <c r="C32" s="56" t="inlineStr"/>
      <c r="D32" s="56" t="inlineStr"/>
      <c r="E32" s="56" t="inlineStr"/>
      <c r="F32" s="56" t="inlineStr"/>
      <c r="G32" s="56" t="inlineStr"/>
    </row>
    <row r="33">
      <c r="A33" s="55" t="inlineStr">
        <is>
          <t>5</t>
        </is>
      </c>
      <c r="B33" s="55" t="inlineStr">
        <is>
          <t>Quema (renovación de pastos)</t>
        </is>
      </c>
      <c r="C33" s="55" t="inlineStr"/>
      <c r="D33" s="55" t="inlineStr"/>
      <c r="E33" s="55" t="inlineStr"/>
      <c r="F33" s="55" t="inlineStr"/>
      <c r="G33" s="55" t="inlineStr"/>
    </row>
    <row r="34">
      <c r="A34" s="56" t="inlineStr">
        <is>
          <t>6</t>
        </is>
      </c>
      <c r="B34" s="56" t="inlineStr">
        <is>
          <t>Quema accidental / Incendio</t>
        </is>
      </c>
      <c r="C34" s="56" t="inlineStr"/>
      <c r="D34" s="56" t="inlineStr"/>
      <c r="E34" s="56" t="inlineStr"/>
      <c r="F34" s="56" t="inlineStr"/>
      <c r="G34" s="56" t="inlineStr"/>
    </row>
    <row r="35">
      <c r="A35" s="55" t="inlineStr">
        <is>
          <t>7</t>
        </is>
      </c>
      <c r="B35" s="55" t="inlineStr">
        <is>
          <t>Cambio de uso a agricultura</t>
        </is>
      </c>
      <c r="C35" s="55" t="inlineStr"/>
      <c r="D35" s="55" t="inlineStr"/>
      <c r="E35" s="55" t="inlineStr"/>
      <c r="F35" s="55" t="inlineStr"/>
      <c r="G35" s="55" t="inlineStr"/>
    </row>
    <row r="36">
      <c r="A36" s="56" t="inlineStr">
        <is>
          <t>8</t>
        </is>
      </c>
      <c r="B36" s="56" t="inlineStr">
        <is>
          <t>Cambio de uso a pastoreo</t>
        </is>
      </c>
      <c r="C36" s="56" t="inlineStr">
        <is>
          <t>Sí</t>
        </is>
      </c>
      <c r="D36" s="56" t="inlineStr">
        <is>
          <t>Moderada</t>
        </is>
      </c>
      <c r="E36" s="56" t="inlineStr">
        <is>
          <t>70</t>
        </is>
      </c>
      <c r="F36" s="56" t="inlineStr">
        <is>
          <t>30</t>
        </is>
      </c>
      <c r="G36" s="56" t="inlineStr">
        <is>
          <t>Se observó presencia de ganado caprino.</t>
        </is>
      </c>
    </row>
    <row r="37">
      <c r="A37" s="55" t="inlineStr">
        <is>
          <t>9</t>
        </is>
      </c>
      <c r="B37" s="55" t="inlineStr">
        <is>
          <t>Expansión urbana / vial</t>
        </is>
      </c>
      <c r="C37" s="55" t="inlineStr"/>
      <c r="D37" s="55" t="inlineStr"/>
      <c r="E37" s="55" t="inlineStr"/>
      <c r="F37" s="55" t="inlineStr"/>
      <c r="G37" s="55" t="inlineStr"/>
    </row>
    <row r="38">
      <c r="A38" s="56" t="inlineStr">
        <is>
          <t>10</t>
        </is>
      </c>
      <c r="B38" s="56" t="inlineStr">
        <is>
          <t>Minería informal</t>
        </is>
      </c>
      <c r="C38" s="56" t="inlineStr"/>
      <c r="D38" s="56" t="inlineStr"/>
      <c r="E38" s="56" t="inlineStr"/>
      <c r="F38" s="56" t="inlineStr"/>
      <c r="G38" s="56" t="inlineStr"/>
    </row>
    <row r="39">
      <c r="A39" s="55" t="inlineStr">
        <is>
          <t>11</t>
        </is>
      </c>
      <c r="B39" s="55" t="inlineStr">
        <is>
          <t>Extracción de áridos (cauces)</t>
        </is>
      </c>
      <c r="C39" s="55" t="inlineStr"/>
      <c r="D39" s="55" t="inlineStr"/>
      <c r="E39" s="55" t="inlineStr"/>
      <c r="F39" s="55" t="inlineStr"/>
      <c r="G39" s="55" t="inlineStr"/>
    </row>
    <row r="40">
      <c r="A40" s="56" t="inlineStr">
        <is>
          <t>12</t>
        </is>
      </c>
      <c r="B40" s="56" t="inlineStr">
        <is>
          <t>Especies invasoras</t>
        </is>
      </c>
      <c r="C40" s="56" t="inlineStr"/>
      <c r="D40" s="56" t="inlineStr"/>
      <c r="E40" s="56" t="inlineStr"/>
      <c r="F40" s="56" t="inlineStr"/>
      <c r="G40" s="56" t="inlineStr"/>
    </row>
    <row r="41">
      <c r="A41" s="55" t="inlineStr">
        <is>
          <t>13</t>
        </is>
      </c>
      <c r="B41" s="55" t="inlineStr">
        <is>
          <t>Erosión natural severa</t>
        </is>
      </c>
      <c r="C41" s="55" t="inlineStr"/>
      <c r="D41" s="55" t="inlineStr"/>
      <c r="E41" s="55" t="inlineStr"/>
      <c r="F41" s="55" t="inlineStr"/>
      <c r="G41" s="55" t="inlineStr"/>
    </row>
    <row r="42">
      <c r="A42" s="56" t="inlineStr">
        <is>
          <t>14</t>
        </is>
      </c>
      <c r="B42" s="56" t="inlineStr">
        <is>
          <t>Sequía prolongada / CC</t>
        </is>
      </c>
      <c r="C42" s="56" t="inlineStr"/>
      <c r="D42" s="56" t="inlineStr"/>
      <c r="E42" s="56" t="inlineStr"/>
      <c r="F42" s="56" t="inlineStr"/>
      <c r="G42" s="56" t="inlineStr"/>
    </row>
    <row r="43">
      <c r="A43" s="55" t="inlineStr">
        <is>
          <t>15</t>
        </is>
      </c>
      <c r="B43" s="55" t="inlineStr">
        <is>
          <t>Plagas o enfermedades forestales</t>
        </is>
      </c>
      <c r="C43" s="55" t="inlineStr"/>
      <c r="D43" s="55" t="inlineStr"/>
      <c r="E43" s="55" t="inlineStr"/>
      <c r="F43" s="55" t="inlineStr"/>
      <c r="G43" s="55" t="inlineStr"/>
    </row>
    <row r="44">
      <c r="A44" s="56" t="inlineStr">
        <is>
          <t>16</t>
        </is>
      </c>
      <c r="B44" s="56" t="inlineStr">
        <is>
          <t>Otro</t>
        </is>
      </c>
      <c r="C44" s="56" t="inlineStr"/>
      <c r="D44" s="56" t="inlineStr"/>
      <c r="E44" s="56" t="inlineStr"/>
      <c r="F44" s="56" t="inlineStr"/>
      <c r="G44" s="56" t="inlineStr"/>
    </row>
    <row r="46">
      <c r="A46" s="53" t="inlineStr">
        <is>
          <t>F-DT-04 · INDICADORES CUANTITATIVOS</t>
        </is>
      </c>
    </row>
    <row r="47">
      <c r="A47" s="54" t="inlineStr">
        <is>
          <t>N.o</t>
        </is>
      </c>
      <c r="B47" s="54" t="inlineStr">
        <is>
          <t>Indicador</t>
        </is>
      </c>
      <c r="C47" s="54" t="inlineStr">
        <is>
          <t>Unidad</t>
        </is>
      </c>
      <c r="D47" s="54" t="inlineStr">
        <is>
          <t>Valor</t>
        </is>
      </c>
      <c r="E47" s="54" t="inlineStr">
        <is>
          <t>Fuente</t>
        </is>
      </c>
      <c r="F47" s="54" t="inlineStr">
        <is>
          <t>Umbral</t>
        </is>
      </c>
      <c r="G47" s="54" t="inlineStr">
        <is>
          <t>Nivel</t>
        </is>
      </c>
    </row>
    <row r="48">
      <c r="A48" s="55" t="inlineStr">
        <is>
          <t>1</t>
        </is>
      </c>
      <c r="B48" s="55" t="inlineStr">
        <is>
          <t>Cobertura vegetal total</t>
        </is>
      </c>
      <c r="C48" s="55" t="inlineStr">
        <is>
          <t>%</t>
        </is>
      </c>
      <c r="D48" s="55" t="inlineStr">
        <is>
          <t>70</t>
        </is>
      </c>
      <c r="E48" s="55" t="inlineStr">
        <is>
          <t>Estimación visual de campo</t>
        </is>
      </c>
      <c r="F48" s="55" t="inlineStr">
        <is>
          <t>&gt;60% bueno; 30-60% medio; &lt;30% malo</t>
        </is>
      </c>
      <c r="G48" s="55" t="inlineStr">
        <is>
          <t>Alto</t>
        </is>
      </c>
    </row>
    <row r="49">
      <c r="A49" s="56" t="inlineStr">
        <is>
          <t>2</t>
        </is>
      </c>
      <c r="B49" s="56" t="inlineStr">
        <is>
          <t>Porcentaje de suelo desnudo</t>
        </is>
      </c>
      <c r="C49" s="56" t="inlineStr">
        <is>
          <t>%</t>
        </is>
      </c>
      <c r="D49" s="56" t="inlineStr">
        <is>
          <t>5</t>
        </is>
      </c>
      <c r="E49" s="56" t="inlineStr">
        <is>
          <t>Estimación visual de campo</t>
        </is>
      </c>
      <c r="F49" s="56" t="inlineStr">
        <is>
          <t>&lt;10% bueno; 10-30% medio; &gt;30% malo</t>
        </is>
      </c>
      <c r="G49" s="56" t="inlineStr">
        <is>
          <t>Bajo</t>
        </is>
      </c>
    </row>
    <row r="50">
      <c r="A50" s="55" t="inlineStr">
        <is>
          <t>3</t>
        </is>
      </c>
      <c r="B50" s="55" t="inlineStr">
        <is>
          <t>Densidad de cárcavas</t>
        </is>
      </c>
      <c r="C50" s="55" t="inlineStr">
        <is>
          <t>N°/ha</t>
        </is>
      </c>
      <c r="D50" s="55" t="inlineStr">
        <is>
          <t>1</t>
        </is>
      </c>
      <c r="E50" s="55" t="inlineStr">
        <is>
          <t>Estimación visual de campo</t>
        </is>
      </c>
      <c r="F50" s="55" t="inlineStr">
        <is>
          <t>0 nulo; 1-3 medio; &gt;3 alto</t>
        </is>
      </c>
      <c r="G50" s="55" t="inlineStr">
        <is>
          <t>Bajo</t>
        </is>
      </c>
    </row>
    <row r="51">
      <c r="A51" s="56" t="inlineStr">
        <is>
          <t>4</t>
        </is>
      </c>
      <c r="B51" s="56" t="inlineStr">
        <is>
          <t>Presencia de especies invasoras</t>
        </is>
      </c>
      <c r="C51" s="56" t="inlineStr">
        <is>
          <t>% área</t>
        </is>
      </c>
      <c r="D51" s="56" t="inlineStr">
        <is>
          <t>0</t>
        </is>
      </c>
      <c r="E51" s="56" t="inlineStr">
        <is>
          <t>Estimación visual de campo</t>
        </is>
      </c>
      <c r="F51" s="56" t="inlineStr">
        <is>
          <t>&lt;5% bueno; 5-20% medio; &gt;20% alto</t>
        </is>
      </c>
      <c r="G51" s="56" t="inlineStr">
        <is>
          <t>Bajo</t>
        </is>
      </c>
    </row>
    <row r="52">
      <c r="A52" s="55" t="inlineStr">
        <is>
          <t>5</t>
        </is>
      </c>
      <c r="B52" s="55" t="inlineStr">
        <is>
          <t>Carga ganadera estimada</t>
        </is>
      </c>
      <c r="C52" s="55" t="inlineStr">
        <is>
          <t>UA/ha</t>
        </is>
      </c>
      <c r="D52" s="55" t="inlineStr">
        <is>
          <t>3</t>
        </is>
      </c>
      <c r="E52" s="55" t="inlineStr">
        <is>
          <t>Estimación visual de campo</t>
        </is>
      </c>
      <c r="F52" s="55" t="inlineStr">
        <is>
          <t>Según tipo de ecosistema</t>
        </is>
      </c>
      <c r="G52" s="55" t="inlineStr">
        <is>
          <t>Medio</t>
        </is>
      </c>
    </row>
    <row r="53">
      <c r="A53" s="56" t="inlineStr">
        <is>
          <t>6</t>
        </is>
      </c>
      <c r="B53" s="56" t="inlineStr">
        <is>
          <t>Frecuencia de quemas últimos 5 años</t>
        </is>
      </c>
      <c r="C53" s="56" t="inlineStr">
        <is>
          <t>N°</t>
        </is>
      </c>
      <c r="D53" s="56" t="inlineStr">
        <is>
          <t>1</t>
        </is>
      </c>
      <c r="E53" s="56" t="inlineStr">
        <is>
          <t>Estimación visual de campo</t>
        </is>
      </c>
      <c r="F53" s="56" t="inlineStr">
        <is>
          <t>0 nulo; 1-2 medio; &gt;2 alto</t>
        </is>
      </c>
      <c r="G53" s="56" t="inlineStr">
        <is>
          <t>Medio</t>
        </is>
      </c>
    </row>
    <row r="54">
      <c r="A54" s="55" t="inlineStr">
        <is>
          <t>7</t>
        </is>
      </c>
      <c r="B54" s="55" t="inlineStr">
        <is>
          <t>% área con pendiente &gt;50%</t>
        </is>
      </c>
      <c r="C54" s="55" t="inlineStr">
        <is>
          <t>%</t>
        </is>
      </c>
      <c r="D54" s="55" t="inlineStr">
        <is>
          <t>35</t>
        </is>
      </c>
      <c r="E54" s="55" t="inlineStr">
        <is>
          <t>Estimación visual de campo</t>
        </is>
      </c>
      <c r="F54" s="55" t="inlineStr">
        <is>
          <t>Factor de susceptibilidad</t>
        </is>
      </c>
      <c r="G54" s="55" t="inlineStr">
        <is>
          <t>Bajo</t>
        </is>
      </c>
    </row>
    <row r="55">
      <c r="A55" s="56" t="inlineStr">
        <is>
          <t>8</t>
        </is>
      </c>
      <c r="B55" s="56" t="inlineStr">
        <is>
          <t>Distancia a vía vecinal más cercana</t>
        </is>
      </c>
      <c r="C55" s="56" t="inlineStr">
        <is>
          <t>m</t>
        </is>
      </c>
      <c r="D55" s="56" t="inlineStr">
        <is>
          <t>100</t>
        </is>
      </c>
      <c r="E55" s="56" t="inlineStr">
        <is>
          <t>Estimación visual de campo</t>
        </is>
      </c>
      <c r="F55" s="56" t="inlineStr">
        <is>
          <t>A menor distancia → mayor presión</t>
        </is>
      </c>
      <c r="G55" s="56" t="inlineStr">
        <is>
          <t>Alto</t>
        </is>
      </c>
    </row>
    <row r="57">
      <c r="A57" s="53" t="inlineStr">
        <is>
          <t>F-DT-05 · FUENTES DE AGUA INVENTARIADAS</t>
        </is>
      </c>
    </row>
    <row r="58">
      <c r="A58" s="54" t="inlineStr">
        <is>
          <t>N.o</t>
        </is>
      </c>
      <c r="B58" s="54" t="inlineStr">
        <is>
          <t>Tipo de fuente</t>
        </is>
      </c>
      <c r="C58" s="54" t="inlineStr">
        <is>
          <t>UTM ESTE</t>
        </is>
      </c>
      <c r="D58" s="54" t="inlineStr">
        <is>
          <t>UTM NORTE</t>
        </is>
      </c>
      <c r="E58" s="54" t="inlineStr">
        <is>
          <t>Régimen</t>
        </is>
      </c>
      <c r="F58" s="54" t="inlineStr">
        <is>
          <t>Calidad</t>
        </is>
      </c>
      <c r="G58" s="54" t="inlineStr">
        <is>
          <t>Distancia (m)</t>
        </is>
      </c>
      <c r="H58" s="54" t="inlineStr">
        <is>
          <t>Uso / observación</t>
        </is>
      </c>
    </row>
    <row r="61">
      <c r="A61" s="53" t="inlineStr">
        <is>
          <t>OBSERVACIONES DEL EVALUADOR POR FICHA</t>
        </is>
      </c>
    </row>
    <row r="62">
      <c r="A62" s="54" t="inlineStr">
        <is>
          <t>Ficha</t>
        </is>
      </c>
      <c r="B62" s="54" t="inlineStr">
        <is>
          <t>Observación registrada en campo</t>
        </is>
      </c>
    </row>
    <row r="63">
      <c r="A63" s="55" t="inlineStr">
        <is>
          <t>F-DT-01</t>
        </is>
      </c>
      <c r="B63" s="55" t="inlineStr">
        <is>
          <t>El bloque se ubica en una ladera de colina alta. Presenta una pendiente menor a 60 %. El terreno se inclina más conforme se asciende. Se encuentra a una altitud de 380 msnm aprox. Presenta afloramiento rocoso, rocas semienterradas y piedras medianas a grandes dispersas en el área. Se tienen zonas con cobertura vegetal remanente. Esta ladera es empleada para el pastoreo extensivo de ganado caprino que pertenece al centro poblado próximo al bloque. También se ha evidenciado leña apilada en viviendas próximas al bloque. El suelo del bloque presenta erosión eólica. En la ladera se observan estrías y surcos dejados por el tránsito habitual del ganado. Existen caminos de herradura dentro del bloque y áreas de suelo desprovistas de vegetación y expuestas a lluvia. El bloque se encuentra próximo a una vía afirmada y medios de vida. INCONSISTENCIA INTERNA: la sección 3 de la ficha responde «No» a la presencia de afloramientos rocosos, mientras que estas mismas observaciones afirman que «presenta afloramiento rocoso». Ver discrepancia D-04.</t>
        </is>
      </c>
    </row>
    <row r="64">
      <c r="A64" s="56" t="inlineStr">
        <is>
          <t>F-DT-02</t>
        </is>
      </c>
      <c r="B64" s="56" t="inlineStr">
        <is>
          <t>Nivel general de erosión moderado, dominado por erosión eólica. Estrías y surcos en la ladera por tránsito habitual del ganado y áreas de suelo desprovistas de vegetación expuestas a la lluvia. No se identifican cárcavas desarrolladas dentro del bloque. Compactación por pisoteo y piedras dispersas; rocas semienterradas y piedras medianas a grandes. Sin ficha F-DT-02 firmada en el ANEXO 01; el inventario georreferenciado de cárcavas queda pendiente.</t>
        </is>
      </c>
    </row>
    <row r="65">
      <c r="A65" s="55" t="inlineStr">
        <is>
          <t>F-DT-03</t>
        </is>
      </c>
      <c r="B65" s="55" t="inlineStr">
        <is>
          <t>Al momento de la evaluación, la cobertura vegetal del área corresponde a un bosque seco con zonas empobrecidas y con claros próximos a la vía afirmada. La altura promedio de los individuos arbóreos es menor a los 8 m y los diámetros a la altura del pecho, menores a 20 cm. La parte alta del bloque conserva la vegetación. La eliminación de la vegetación provoca la formación de claros en el bosque, lo que conlleva un empobrecimiento de la cobertura vegetal. Se ha observado presencia de arbustos dispersos, principalmente overo. La vegetación es nativa y la mayoría de los individuos se encuentran en época de defoliación. Entre las especies arbóreas nativas: ceibo, pasallo, charán, faique, palo santo, hualtaco y sapote. También hay presencia de cardos. El 2do Entregable precisa la determinación de hualtaco (Loxopterygium huasango), sapote (Capparis scabrida) y cardos (Armatocereus cartwrightianus). INCONSISTENCIA: la altura promedio del estrato dominante de la sección 3 (9 m) y el DAP (30 cm) no coinciden con estas observaciones (&lt;8 m y &lt;20 cm). Ver discrepancia D-05.</t>
        </is>
      </c>
    </row>
    <row r="66">
      <c r="A66" s="56" t="inlineStr">
        <is>
          <t>F-DT-04</t>
        </is>
      </c>
      <c r="B66" s="56" t="inlineStr">
        <is>
          <t>Redelimitar el bloque priorizando las áreas próximas a los centros poblados y desestimando las áreas donde el ecosistema se encuentra conservado. Hay presencia de casas muy próximas al bloque.</t>
        </is>
      </c>
    </row>
    <row r="67">
      <c r="A67" s="55" t="inlineStr">
        <is>
          <t>F-DT-05</t>
        </is>
      </c>
      <c r="B67" s="55" t="inlineStr">
        <is>
          <t>El bloque se encuentra próximo a una vía afirmada y a medios de vida de la población; el desplazamiento interior se realiza a pie por caminos de herradura. Se sitúa en la zona de origen de los peligros de la microcuenca C1076-Q9588, cuyo colector es el río Huarmaca. POR COMPLETAR: inventario de fuentes de agua, JASS y captación poblacional, tiempos de viaje, señal celular y autorización de Ronda Campesina — sin ficha F-DT-05 en el ANEXO 01.</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M12B1</t>
        </is>
      </c>
    </row>
    <row r="7">
      <c r="A7" s="53" t="inlineStr">
        <is>
          <t>Hechos declarados por fuente</t>
        </is>
      </c>
    </row>
    <row r="8">
      <c r="A8" s="54" t="inlineStr">
        <is>
          <t>Fuente</t>
        </is>
      </c>
      <c r="B8" s="54" t="inlineStr">
        <is>
          <t>Hechos</t>
        </is>
      </c>
    </row>
    <row r="9">
      <c r="A9" s="55" t="inlineStr">
        <is>
          <t>Dato de campo</t>
        </is>
      </c>
      <c r="B9" s="55" t="n">
        <v>55</v>
      </c>
    </row>
    <row r="10">
      <c r="A10" s="56" t="inlineStr">
        <is>
          <t>Gabinete (GIS / teledetección)</t>
        </is>
      </c>
      <c r="B10" s="56" t="n">
        <v>25</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91</v>
      </c>
    </row>
    <row r="29">
      <c r="A29" s="56" t="inlineStr">
        <is>
          <t>COMPLEMENTADO</t>
        </is>
      </c>
      <c r="B29" s="56" t="n">
        <v>3</v>
      </c>
    </row>
    <row r="30">
      <c r="A30" s="55" t="inlineStr">
        <is>
          <t>ACTUALIZADO</t>
        </is>
      </c>
      <c r="B30" s="55" t="n">
        <v>0</v>
      </c>
    </row>
    <row r="31">
      <c r="A31" s="56" t="inlineStr">
        <is>
          <t>DISCREPANTE</t>
        </is>
      </c>
      <c r="B31" s="56" t="n">
        <v>0</v>
      </c>
    </row>
    <row r="32">
      <c r="A32" s="55" t="inlineStr">
        <is>
          <t>PENDIENTE</t>
        </is>
      </c>
      <c r="B32" s="55" t="n">
        <v>20</v>
      </c>
    </row>
    <row r="45">
      <c r="A45" s="53" t="inlineStr">
        <is>
          <t>Cobertura por estrato — campo (%)</t>
        </is>
      </c>
    </row>
    <row r="46">
      <c r="A46" s="54" t="inlineStr">
        <is>
          <t>Estrato</t>
        </is>
      </c>
      <c r="B46" s="54" t="inlineStr">
        <is>
          <t>% del área</t>
        </is>
      </c>
    </row>
    <row r="47">
      <c r="A47" s="55" t="inlineStr">
        <is>
          <t>Dosel</t>
        </is>
      </c>
      <c r="B47" s="60" t="n">
        <v>70</v>
      </c>
    </row>
    <row r="48">
      <c r="A48" s="56" t="inlineStr">
        <is>
          <t>Arbustiva</t>
        </is>
      </c>
      <c r="B48" s="62" t="n">
        <v>15</v>
      </c>
    </row>
    <row r="49">
      <c r="A49" s="55" t="inlineStr">
        <is>
          <t>Herbácea</t>
        </is>
      </c>
      <c r="B49" s="60" t="n">
        <v>10</v>
      </c>
    </row>
    <row r="50">
      <c r="A50" s="56" t="inlineStr">
        <is>
          <t>Hojarasca</t>
        </is>
      </c>
      <c r="B50" s="63" t="n">
        <v>5</v>
      </c>
    </row>
    <row r="51">
      <c r="A51" s="55" t="inlineStr">
        <is>
          <t>Suelo desnudo</t>
        </is>
      </c>
      <c r="B51" s="60" t="n">
        <v>10</v>
      </c>
    </row>
    <row r="64">
      <c r="A64" s="53" t="inlineStr">
        <is>
          <t>Causas activas de degradación (F-DT-04)</t>
        </is>
      </c>
    </row>
    <row r="65">
      <c r="A65" s="54" t="inlineStr">
        <is>
          <t>Causa</t>
        </is>
      </c>
      <c r="B65" s="54" t="inlineStr">
        <is>
          <t>Intensidad (1 ligera - 4 muy fuerte)</t>
        </is>
      </c>
    </row>
    <row r="66">
      <c r="A66" s="55" t="inlineStr">
        <is>
          <t>Cambio de uso a pastoreo</t>
        </is>
      </c>
      <c r="B66" s="55" t="n">
        <v>2</v>
      </c>
    </row>
    <row r="67">
      <c r="A67" s="56" t="inlineStr">
        <is>
          <t>Sobrepastoreo (caprino/vacuno)</t>
        </is>
      </c>
      <c r="B67" s="56" t="n">
        <v>2</v>
      </c>
    </row>
    <row r="68">
      <c r="A68" s="55" t="inlineStr">
        <is>
          <t>Tala para leña</t>
        </is>
      </c>
      <c r="B68" s="55" t="n">
        <v>2</v>
      </c>
    </row>
    <row r="83">
      <c r="A83" s="53" t="inlineStr">
        <is>
          <t>Control de consistencia por calificación</t>
        </is>
      </c>
    </row>
    <row r="84">
      <c r="A84" s="54" t="inlineStr">
        <is>
          <t>Calificación</t>
        </is>
      </c>
      <c r="B84" s="54" t="inlineStr">
        <is>
          <t>Verificaciones</t>
        </is>
      </c>
    </row>
    <row r="85">
      <c r="A85" s="55" t="inlineStr">
        <is>
          <t>SUSTANTIVA</t>
        </is>
      </c>
      <c r="B85" s="55" t="n">
        <v>9</v>
      </c>
    </row>
    <row r="86">
      <c r="A86" s="56" t="inlineStr">
        <is>
          <t>NO SUSTANTIVA</t>
        </is>
      </c>
      <c r="B86" s="56" t="n">
        <v>2</v>
      </c>
    </row>
    <row r="87">
      <c r="A87" s="55" t="inlineStr">
        <is>
          <t>CORREGIDO</t>
        </is>
      </c>
      <c r="B87" s="55" t="n">
        <v>0</v>
      </c>
    </row>
    <row r="88">
      <c r="A88" s="56" t="inlineStr">
        <is>
          <t>CONFORME</t>
        </is>
      </c>
      <c r="B88"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M12B1 — IN Piura</dc:title>
  <dc:subject>Diagnóstico Territorial por bloque de intervención</dc:subject>
  <dcterms:created xsi:type="dcterms:W3CDTF">2026-09-08T03:39:57Z</dcterms:created>
  <dcterms:modified xsi:type="dcterms:W3CDTF">2026-09-11T21:26:33Z</dcterms:modified>
</cp:coreProperties>
</file>