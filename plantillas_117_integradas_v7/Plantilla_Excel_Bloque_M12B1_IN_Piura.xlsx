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 name="Integración de campo" sheetId="6" state="visible" r:id="rId6"/>
    <sheet name="Registro de campo F-DT" sheetId="7" state="visible" r:id="rId7"/>
    <sheet name="Gráficos de integración" sheetId="8" state="visible" r:id="rId8"/>
  </sheets>
  <definedNames/>
  <calcPr calcId="124519" fullCalcOnLoad="1"/>
</workbook>
</file>

<file path=xl/styles.xml><?xml version="1.0" encoding="utf-8"?>
<styleSheet xmlns="http://schemas.openxmlformats.org/spreadsheetml/2006/main">
  <numFmts count="3">
    <numFmt numFmtId="164" formatCode="0.0000"/>
    <numFmt numFmtId="165" formatCode="0.000"/>
    <numFmt numFmtId="166" formatCode="#,##0.0000"/>
  </numFmts>
  <fonts count="14">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
      <name val="Arial"/>
      <b val="1"/>
      <color rgb="001B4D2E"/>
      <sz val="9"/>
    </font>
    <font>
      <name val="Arial"/>
      <i val="1"/>
      <sz val="8"/>
    </font>
    <font>
      <name val="Arial"/>
      <b val="1"/>
      <color rgb="00FFFFFF"/>
      <sz val="12"/>
    </font>
    <font>
      <name val="Arial"/>
      <b val="1"/>
      <color rgb="001B4F72"/>
      <sz val="10"/>
    </font>
    <font>
      <name val="Arial"/>
      <i val="1"/>
      <sz val="7.5"/>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F8CBAD"/>
      </patternFill>
    </fill>
    <fill>
      <patternFill patternType="solid">
        <fgColor rgb="00D9E1F2"/>
      </patternFill>
    </fill>
  </fills>
  <borders count="8">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
      <left style="thin">
        <color rgb="00BFBFBF"/>
      </left>
      <right style="thin">
        <color rgb="00BFBFBF"/>
      </right>
      <top style="thin">
        <color rgb="00BFBFBF"/>
      </top>
      <bottom style="thin">
        <color rgb="00BFBFBF"/>
      </bottom>
    </border>
  </borders>
  <cellStyleXfs count="1">
    <xf numFmtId="0" fontId="0" fillId="0" borderId="0"/>
  </cellStyleXfs>
  <cellXfs count="64">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xf numFmtId="0" fontId="6" fillId="0" borderId="1" applyAlignment="1" pivotButton="0" quotePrefix="0" xfId="0">
      <alignment vertical="top" wrapText="1"/>
    </xf>
    <xf numFmtId="0" fontId="9" fillId="0" borderId="0" pivotButton="0" quotePrefix="0" xfId="0"/>
    <xf numFmtId="0" fontId="10" fillId="0" borderId="0" pivotButton="0" quotePrefix="0" xfId="0"/>
    <xf numFmtId="0" fontId="11" fillId="2" borderId="0" applyAlignment="1" pivotButton="0" quotePrefix="0" xfId="0">
      <alignment horizontal="center" vertical="center"/>
    </xf>
    <xf numFmtId="0" fontId="12" fillId="0" borderId="0" pivotButton="0" quotePrefix="0" xfId="0"/>
    <xf numFmtId="0" fontId="8" fillId="2" borderId="7" applyAlignment="1" pivotButton="0" quotePrefix="0" xfId="0">
      <alignment horizontal="center" wrapText="1"/>
    </xf>
    <xf numFmtId="0" fontId="6" fillId="0" borderId="7" pivotButton="0" quotePrefix="0" xfId="0"/>
    <xf numFmtId="0" fontId="6" fillId="5" borderId="7" pivotButton="0" quotePrefix="0" xfId="0"/>
    <xf numFmtId="0" fontId="5" fillId="0" borderId="0" pivotButton="0" quotePrefix="0" xfId="0"/>
    <xf numFmtId="0" fontId="6" fillId="0" borderId="0" pivotButton="0" quotePrefix="0" xfId="0"/>
    <xf numFmtId="0" fontId="13" fillId="0" borderId="0" applyAlignment="1" pivotButton="0" quotePrefix="0" xfId="0">
      <alignment vertical="top" wrapText="1"/>
    </xf>
    <xf numFmtId="4" fontId="6" fillId="0" borderId="7" pivotButton="0" quotePrefix="0" xfId="0"/>
    <xf numFmtId="166" fontId="6" fillId="0" borderId="7" pivotButton="0" quotePrefix="0" xfId="0"/>
    <xf numFmtId="4" fontId="6" fillId="5" borderId="7" pivotButton="0" quotePrefix="0" xfId="0"/>
    <xf numFmtId="166" fontId="6" fillId="5" borderId="7"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charts/chart1.xml><?xml version="1.0" encoding="utf-8"?>
<chartSpace xmlns:a="http://schemas.openxmlformats.org/drawingml/2006/main" xmlns="http://schemas.openxmlformats.org/drawingml/2006/chart">
  <chart>
    <title>
      <tx>
        <rich>
          <a:bodyPr/>
          <a:p>
            <a:pPr>
              <a:defRPr/>
            </a:pPr>
            <a:r>
              <a:t>Procedencia de los hechos declarados</a:t>
            </a:r>
          </a:p>
        </rich>
      </tx>
    </title>
    <plotArea>
      <pieChart>
        <varyColors val="1"/>
        <ser>
          <idx val="0"/>
          <order val="0"/>
          <tx>
            <strRef>
              <f>'Gráficos de integración'!B8</f>
            </strRef>
          </tx>
          <spPr>
            <a:ln>
              <a:prstDash val="solid"/>
            </a:ln>
          </spPr>
          <cat>
            <numRef>
              <f>'Gráficos de integración'!$A$9:$A$11</f>
            </numRef>
          </cat>
          <val>
            <numRef>
              <f>'Gráficos de integración'!$B$9:$B$11</f>
            </numRef>
          </val>
        </ser>
        <firstSliceAng val="0"/>
      </pieChart>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Estado del cruce entre fuentes</a:t>
            </a:r>
          </a:p>
        </rich>
      </tx>
    </title>
    <plotArea>
      <barChart>
        <barDir val="col"/>
        <grouping val="clustered"/>
        <ser>
          <idx val="0"/>
          <order val="0"/>
          <tx>
            <strRef>
              <f>'Gráficos de integración'!B29</f>
            </strRef>
          </tx>
          <spPr>
            <a:ln>
              <a:prstDash val="solid"/>
            </a:ln>
          </spPr>
          <cat>
            <numRef>
              <f>'Gráficos de integración'!$A$30:$A$34</f>
            </numRef>
          </cat>
          <val>
            <numRef>
              <f>'Gráficos de integración'!$B$30:$B$34</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Hechos</a:t>
                </a:r>
              </a:p>
            </rich>
          </tx>
        </title>
        <majorTickMark val="none"/>
        <minorTickMark val="none"/>
        <crossAx val="10"/>
      </valAx>
    </plotArea>
    <plotVisOnly val="1"/>
    <dispBlanksAs val="gap"/>
  </chart>
</chartSpace>
</file>

<file path=xl/charts/chart3.xml><?xml version="1.0" encoding="utf-8"?>
<chartSpace xmlns:a="http://schemas.openxmlformats.org/drawingml/2006/main" xmlns="http://schemas.openxmlformats.org/drawingml/2006/chart">
  <style val="10"/>
  <chart>
    <title>
      <tx>
        <rich>
          <a:bodyPr/>
          <a:p>
            <a:pPr>
              <a:defRPr/>
            </a:pPr>
            <a:r>
              <a:t>Cobertura por estrato (%)</a:t>
            </a:r>
          </a:p>
        </rich>
      </tx>
    </title>
    <plotArea>
      <barChart>
        <barDir val="col"/>
        <grouping val="clustered"/>
        <ser>
          <idx val="0"/>
          <order val="0"/>
          <tx>
            <strRef>
              <f>'Gráficos de integración'!B52</f>
            </strRef>
          </tx>
          <spPr>
            <a:ln>
              <a:prstDash val="solid"/>
            </a:ln>
          </spPr>
          <cat>
            <numRef>
              <f>'Gráficos de integración'!$A$53:$A$57</f>
            </numRef>
          </cat>
          <val>
            <numRef>
              <f>'Gráficos de integración'!$B$53:$B$57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t>
                </a:r>
              </a:p>
            </rich>
          </tx>
        </title>
        <majorTickMark val="none"/>
        <minorTickMark val="none"/>
        <crossAx val="10"/>
      </valAx>
    </plotArea>
    <plotVisOnly val="1"/>
    <dispBlanksAs val="gap"/>
  </chart>
</chartSpace>
</file>

<file path=xl/charts/chart4.xml><?xml version="1.0" encoding="utf-8"?>
<chartSpace xmlns:a="http://schemas.openxmlformats.org/drawingml/2006/main" xmlns="http://schemas.openxmlformats.org/drawingml/2006/chart">
  <style val="10"/>
  <chart>
    <title>
      <tx>
        <rich>
          <a:bodyPr/>
          <a:p>
            <a:pPr>
              <a:defRPr/>
            </a:pPr>
            <a:r>
              <a:t>Causas activas por intensidad</a:t>
            </a:r>
          </a:p>
        </rich>
      </tx>
    </title>
    <plotArea>
      <barChart>
        <barDir val="col"/>
        <grouping val="clustered"/>
        <ser>
          <idx val="0"/>
          <order val="0"/>
          <tx>
            <strRef>
              <f>'Gráficos de integración'!B75</f>
            </strRef>
          </tx>
          <spPr>
            <a:ln>
              <a:prstDash val="solid"/>
            </a:ln>
          </spPr>
          <cat>
            <numRef>
              <f>'Gráficos de integración'!$A$76:$A$78</f>
            </numRef>
          </cat>
          <val>
            <numRef>
              <f>'Gráficos de integración'!$B$76:$B$78</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Intensidad</a:t>
                </a:r>
              </a:p>
            </rich>
          </tx>
        </title>
        <majorTickMark val="none"/>
        <minorTickMark val="none"/>
        <crossAx val="10"/>
      </valAx>
    </plotArea>
    <plotVisOnly val="1"/>
    <dispBlanksAs val="gap"/>
  </chart>
</chartSpace>
</file>

<file path=xl/charts/chart5.xml><?xml version="1.0" encoding="utf-8"?>
<chartSpace xmlns:a="http://schemas.openxmlformats.org/drawingml/2006/main" xmlns="http://schemas.openxmlformats.org/drawingml/2006/chart">
  <chart>
    <title>
      <tx>
        <rich>
          <a:bodyPr/>
          <a:p>
            <a:pPr>
              <a:defRPr/>
            </a:pPr>
            <a:r>
              <a:t>Control de consistencia</a:t>
            </a:r>
          </a:p>
        </rich>
      </tx>
    </title>
    <plotArea>
      <pieChart>
        <varyColors val="1"/>
        <ser>
          <idx val="0"/>
          <order val="0"/>
          <tx>
            <strRef>
              <f>'Gráficos de integración'!B96</f>
            </strRef>
          </tx>
          <spPr>
            <a:ln>
              <a:prstDash val="solid"/>
            </a:ln>
          </spPr>
          <cat>
            <numRef>
              <f>'Gráficos de integración'!$A$97:$A$100</f>
            </numRef>
          </cat>
          <val>
            <numRef>
              <f>'Gráficos de integración'!$B$97:$B$100</f>
            </numRef>
          </val>
        </ser>
        <firstSliceAng val="0"/>
      </pie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 Type="http://schemas.openxmlformats.org/officeDocument/2006/relationships/chart" Target="/xl/charts/chart5.xml" Id="rId5"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7</row>
      <rowOff>0</rowOff>
    </from>
    <ext cx="4320000" cy="2880000"/>
    <graphicFrame>
      <nvGraphicFramePr>
        <cNvPr id="1" name="Chart 1"/>
        <cNvGraphicFramePr/>
      </nvGraphicFramePr>
      <xfrm/>
      <a:graphic>
        <a:graphicData uri="http://schemas.openxmlformats.org/drawingml/2006/chart">
          <c:chart r:id="rId1"/>
        </a:graphicData>
      </a:graphic>
    </graphicFrame>
    <clientData/>
  </oneCellAnchor>
  <oneCellAnchor>
    <from>
      <col>3</col>
      <colOff>0</colOff>
      <row>28</row>
      <rowOff>0</rowOff>
    </from>
    <ext cx="5760000" cy="2880000"/>
    <graphicFrame>
      <nvGraphicFramePr>
        <cNvPr id="2" name="Chart 2"/>
        <cNvGraphicFramePr/>
      </nvGraphicFramePr>
      <xfrm/>
      <a:graphic>
        <a:graphicData uri="http://schemas.openxmlformats.org/drawingml/2006/chart">
          <c:chart r:id="rId2"/>
        </a:graphicData>
      </a:graphic>
    </graphicFrame>
    <clientData/>
  </oneCellAnchor>
  <oneCellAnchor>
    <from>
      <col>3</col>
      <colOff>0</colOff>
      <row>51</row>
      <rowOff>0</rowOff>
    </from>
    <ext cx="5760000" cy="2880000"/>
    <graphicFrame>
      <nvGraphicFramePr>
        <cNvPr id="3" name="Chart 3"/>
        <cNvGraphicFramePr/>
      </nvGraphicFramePr>
      <xfrm/>
      <a:graphic>
        <a:graphicData uri="http://schemas.openxmlformats.org/drawingml/2006/chart">
          <c:chart r:id="rId3"/>
        </a:graphicData>
      </a:graphic>
    </graphicFrame>
    <clientData/>
  </oneCellAnchor>
  <oneCellAnchor>
    <from>
      <col>3</col>
      <colOff>0</colOff>
      <row>74</row>
      <rowOff>0</rowOff>
    </from>
    <ext cx="5760000" cy="2880000"/>
    <graphicFrame>
      <nvGraphicFramePr>
        <cNvPr id="4" name="Chart 4"/>
        <cNvGraphicFramePr/>
      </nvGraphicFramePr>
      <xfrm/>
      <a:graphic>
        <a:graphicData uri="http://schemas.openxmlformats.org/drawingml/2006/chart">
          <c:chart r:id="rId4"/>
        </a:graphicData>
      </a:graphic>
    </graphicFrame>
    <clientData/>
  </oneCellAnchor>
  <oneCellAnchor>
    <from>
      <col>3</col>
      <colOff>0</colOff>
      <row>95</row>
      <rowOff>0</rowOff>
    </from>
    <ext cx="4320000" cy="2880000"/>
    <graphicFrame>
      <nvGraphicFramePr>
        <cNvPr id="5" name="Chart 5"/>
        <cNvGraphicFramePr/>
      </nvGraphicFramePr>
      <xfrm/>
      <a:graphic>
        <a:graphicData uri="http://schemas.openxmlformats.org/drawingml/2006/chart">
          <c:chart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M12B1</t>
        </is>
      </c>
    </row>
    <row r="6" ht="24" customHeight="1">
      <c r="A6" s="4" t="inlineStr">
        <is>
          <t>Diagnóstico Territorial — Plantilla DT Campo Check Validada V5 | Sistema de referencia: UTM WGS 84 Zona 17S (EPSG:32717) · Integrado con la ficha de campo F-DT vigente (Plantilla_DT_Campo_V5_Bloque_M12B1_IN_Piura.xlsx) — V7 - resumen V6 + campo F-DT integrado</t>
        </is>
      </c>
    </row>
    <row r="7"/>
    <row r="8" ht="18" customHeight="1">
      <c r="A8" s="5" t="inlineStr">
        <is>
          <t>1. IDENTIFICACIÓN Y LOCALIZACIÓN</t>
        </is>
      </c>
    </row>
    <row r="9">
      <c r="A9" s="6" t="inlineStr">
        <is>
          <t>Código del bloque</t>
        </is>
      </c>
      <c r="B9" s="7" t="inlineStr">
        <is>
          <t>M12B1</t>
        </is>
      </c>
      <c r="C9" s="6" t="inlineStr">
        <is>
          <t>Microcuenca (catálogo)</t>
        </is>
      </c>
      <c r="D9" s="7" t="inlineStr">
        <is>
          <t>C1076-Q9588</t>
        </is>
      </c>
      <c r="E9" s="8" t="n"/>
      <c r="F9" s="8" t="n"/>
    </row>
    <row r="10">
      <c r="A10" s="6" t="inlineStr">
        <is>
          <t>Zona de planificación</t>
        </is>
      </c>
      <c r="B10" s="7" t="inlineStr">
        <is>
          <t>Z13</t>
        </is>
      </c>
      <c r="C10" s="6" t="inlineStr">
        <is>
          <t>Microcuenca declarada en ficha DT</t>
        </is>
      </c>
      <c r="D10" s="7" t="inlineStr">
        <is>
          <t>C1076-Q9584 (según ficha — valor por defecto de plantilla; catálogo: C1076-Q9588)</t>
        </is>
      </c>
      <c r="E10" s="8" t="n"/>
      <c r="F10" s="8" t="n"/>
    </row>
    <row r="11">
      <c r="A11" s="6" t="inlineStr">
        <is>
          <t>Departamento</t>
        </is>
      </c>
      <c r="B11" s="7" t="inlineStr">
        <is>
          <t>Piura</t>
        </is>
      </c>
      <c r="C11" s="6" t="inlineStr">
        <is>
          <t>Provincia</t>
        </is>
      </c>
      <c r="D11" s="7" t="inlineStr">
        <is>
          <t>Huancabamba</t>
        </is>
      </c>
      <c r="E11" s="8" t="n"/>
      <c r="F11" s="8" t="n"/>
    </row>
    <row r="12">
      <c r="A12" s="6" t="inlineStr">
        <is>
          <t>Distrito</t>
        </is>
      </c>
      <c r="B12" s="7" t="inlineStr">
        <is>
          <t>Huarmaca</t>
        </is>
      </c>
      <c r="C12" s="6" t="inlineStr">
        <is>
          <t>Capital distrital</t>
        </is>
      </c>
      <c r="D12" s="7" t="inlineStr">
        <is>
          <t>Huarmaca</t>
        </is>
      </c>
      <c r="E12" s="8" t="n"/>
      <c r="F12" s="8" t="n"/>
    </row>
    <row r="13">
      <c r="A13" s="6" t="inlineStr">
        <is>
          <t>Centro poblado asociado</t>
        </is>
      </c>
      <c r="B13" s="7" t="inlineStr">
        <is>
          <t>Nueva Esperanza de Los Molinos y Faicalito</t>
        </is>
      </c>
      <c r="C13" s="6" t="inlineStr">
        <is>
          <t>Comunidad campesina</t>
        </is>
      </c>
      <c r="D13" s="49" t="inlineStr">
        <is>
          <t>No consignada</t>
        </is>
      </c>
      <c r="E13" s="8" t="n"/>
      <c r="F13" s="8" t="n"/>
    </row>
    <row r="14">
      <c r="A14" s="6" t="inlineStr">
        <is>
          <t>Superficie de catálogo (V5/V6), ha</t>
        </is>
      </c>
      <c r="B14" s="7" t="n">
        <v>268.39</v>
      </c>
      <c r="C14" s="6" t="inlineStr">
        <is>
          <t>Fuente de superficie</t>
        </is>
      </c>
      <c r="D14" s="7" t="inlineStr">
        <is>
          <t>Catálogo maestro Bloques V5/V6</t>
        </is>
      </c>
      <c r="E14" s="8" t="n"/>
      <c r="F14" s="8" t="n"/>
    </row>
    <row r="15">
      <c r="A15" s="6" t="inlineStr">
        <is>
          <t>Centroide UTM ESTE (m)</t>
        </is>
      </c>
      <c r="B15" s="7" t="n">
        <v>644546</v>
      </c>
      <c r="C15" s="6" t="inlineStr">
        <is>
          <t>Centroide UTM NORTE (m)</t>
        </is>
      </c>
      <c r="D15" s="7" t="n">
        <v>9389106</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333</v>
      </c>
      <c r="C19" s="6" t="inlineStr">
        <is>
          <t>Altitud máxima (msnm)</t>
        </is>
      </c>
      <c r="D19" s="7" t="n">
        <v>821</v>
      </c>
      <c r="E19" s="8" t="n"/>
      <c r="F19" s="8" t="n"/>
    </row>
    <row r="20">
      <c r="A20" s="6" t="inlineStr">
        <is>
          <t>Amplitud altitudinal (m)</t>
        </is>
      </c>
      <c r="B20" s="7" t="n">
        <v>488</v>
      </c>
      <c r="C20" s="6" t="inlineStr">
        <is>
          <t>Piso altitudinal dominante</t>
        </is>
      </c>
      <c r="D20" s="7" t="inlineStr">
        <is>
          <t>&lt;1000 m (Yunga)</t>
        </is>
      </c>
      <c r="E20" s="8" t="n"/>
      <c r="F20" s="8" t="n"/>
    </row>
    <row r="21">
      <c r="A21" s="6" t="inlineStr">
        <is>
          <t>Pendiente promedio (%)</t>
        </is>
      </c>
      <c r="B21" s="7" t="n">
        <v>18.18</v>
      </c>
      <c r="C21" s="6" t="inlineStr">
        <is>
          <t>Pendiente promedio (grados)</t>
        </is>
      </c>
      <c r="D21" s="7" t="n">
        <v>10.3</v>
      </c>
      <c r="E21" s="8" t="n"/>
      <c r="F21" s="8" t="n"/>
    </row>
    <row r="22">
      <c r="A22" s="6" t="inlineStr">
        <is>
          <t>Clase de pendiente equivalente</t>
        </is>
      </c>
      <c r="B22" s="7" t="inlineStr">
        <is>
          <t>15-25% (Fuert. inclinado)</t>
        </is>
      </c>
      <c r="C22" s="6" t="inlineStr">
        <is>
          <t>Rango de pendiente declarado en campo</t>
        </is>
      </c>
      <c r="D22" s="7" t="inlineStr">
        <is>
          <t>25-50% (Mod. escarpado)</t>
        </is>
      </c>
      <c r="E22" s="8" t="n"/>
      <c r="F22" s="8" t="n"/>
    </row>
    <row r="23">
      <c r="A23" s="6" t="inlineStr">
        <is>
          <t>Forma predominante del terreno</t>
        </is>
      </c>
      <c r="B23" s="7" t="inlineStr">
        <is>
          <t>Colinoso</t>
        </is>
      </c>
      <c r="C23" s="6" t="inlineStr">
        <is>
          <t>Posición fisiográfica</t>
        </is>
      </c>
      <c r="D23" s="7" t="inlineStr">
        <is>
          <t>Ladera baja</t>
        </is>
      </c>
      <c r="E23" s="8" t="n"/>
      <c r="F23" s="8" t="n"/>
    </row>
    <row r="24">
      <c r="A24" s="6" t="inlineStr">
        <is>
          <t>Exposición / orientación</t>
        </is>
      </c>
      <c r="B24" s="7" t="inlineStr">
        <is>
          <t>Norte</t>
        </is>
      </c>
      <c r="C24" s="6" t="inlineStr">
        <is>
          <t>Afloramientos rocosos</t>
        </is>
      </c>
      <c r="D24" s="7" t="inlineStr">
        <is>
          <t>No</t>
        </is>
      </c>
      <c r="E24" s="8" t="n"/>
      <c r="F24" s="8" t="n"/>
    </row>
    <row r="25">
      <c r="A25" s="6" t="inlineStr">
        <is>
          <t>Escarpes activos</t>
        </is>
      </c>
      <c r="B25" s="7" t="inlineStr">
        <is>
          <t>No</t>
        </is>
      </c>
      <c r="C25" s="6" t="inlineStr">
        <is>
          <t>Remociones en masa activas</t>
        </is>
      </c>
      <c r="D25" s="7" t="inlineStr">
        <is>
          <t>No</t>
        </is>
      </c>
      <c r="E25" s="8" t="n"/>
      <c r="F25" s="8" t="n"/>
    </row>
    <row r="26"/>
    <row r="27" ht="18" customHeight="1">
      <c r="A27" s="5" t="inlineStr">
        <is>
          <t>3. ÍNDICES DE VEGETACIÓN (SENTINEL-2)</t>
        </is>
      </c>
    </row>
    <row r="28">
      <c r="A28" s="6" t="inlineStr">
        <is>
          <t>MSAVI 2024 — media del bloque</t>
        </is>
      </c>
      <c r="B28" s="7" t="n">
        <v>0.3475</v>
      </c>
      <c r="C28" s="6" t="inlineStr">
        <is>
          <t>MSAVI 2024 — clase de la media</t>
        </is>
      </c>
      <c r="D28" s="7" t="inlineStr">
        <is>
          <t>0.2650 - 0.3813 (Vigor muy bajo)</t>
        </is>
      </c>
      <c r="E28" s="8" t="n"/>
      <c r="F28" s="8" t="n"/>
    </row>
    <row r="29">
      <c r="A29" s="6" t="inlineStr">
        <is>
          <t>Condición frente al umbral 0.4976</t>
        </is>
      </c>
      <c r="B29" s="7" t="inlineStr">
        <is>
          <t>BAJO umbral 0.4976</t>
        </is>
      </c>
      <c r="C29" s="6" t="inlineStr">
        <is>
          <t>NDVI mediana 2025 — clase modal</t>
        </is>
      </c>
      <c r="D29" s="7" t="inlineStr">
        <is>
          <t>Vegetación mediana (53.38 %)</t>
        </is>
      </c>
      <c r="E29" s="8" t="n"/>
      <c r="F29" s="8" t="n"/>
    </row>
    <row r="30">
      <c r="A30" s="6" t="inlineStr">
        <is>
          <t>Superficie clasificada NDVI 2025 (ha)</t>
        </is>
      </c>
      <c r="B30" s="7" t="n">
        <v>268.469</v>
      </c>
      <c r="C30" s="6" t="inlineStr">
        <is>
          <t>Desviación frente al catálogo (%)</t>
        </is>
      </c>
      <c r="D30" s="7" t="n">
        <v>0.03</v>
      </c>
      <c r="E30" s="8" t="n"/>
      <c r="F30" s="8" t="n"/>
    </row>
    <row r="31">
      <c r="A31" s="6" t="inlineStr">
        <is>
          <t>Superficie clasificada MSAVI 2024 (ha)</t>
        </is>
      </c>
      <c r="B31" s="37" t="n">
        <v>268.393</v>
      </c>
      <c r="C31" s="6" t="inlineStr">
        <is>
          <t>Desviación MSAVI frente al catálogo (%)</t>
        </is>
      </c>
      <c r="D31" s="38" t="n">
        <v>0</v>
      </c>
      <c r="E31" s="8" t="n"/>
      <c r="F31" s="8" t="n"/>
    </row>
    <row r="32">
      <c r="A32" s="6" t="inlineStr">
        <is>
          <t>Superficie bajo umbral MSAVI 0.4976 (ha)</t>
        </is>
      </c>
      <c r="B32" s="37" t="n">
        <v>259.309</v>
      </c>
      <c r="C32" s="6" t="inlineStr">
        <is>
          <t>% del bloque bajo umbral (brecha espectral)</t>
        </is>
      </c>
      <c r="D32" s="38" t="n">
        <v>96.62</v>
      </c>
      <c r="E32" s="8" t="n"/>
      <c r="F32" s="8" t="n"/>
    </row>
    <row r="33">
      <c r="A33" s="6" t="inlineStr">
        <is>
          <t>Clase DN dominante (MSAVI 2024)</t>
        </is>
      </c>
      <c r="B33" s="7" t="inlineStr">
        <is>
          <t>DN 2 · 0.2650 - 0.3813 (Vigor muy bajo)</t>
        </is>
      </c>
      <c r="C33" s="6" t="inlineStr">
        <is>
          <t>N.° de polígonos MSAVI del bloque</t>
        </is>
      </c>
      <c r="D33" s="39" t="n">
        <v>825</v>
      </c>
      <c r="E33" s="8" t="n"/>
      <c r="F33" s="8" t="n"/>
    </row>
    <row r="34"/>
    <row r="35" ht="18" customHeight="1">
      <c r="A35" s="5" t="inlineStr">
        <is>
          <t>4. ECOSISTEMA Y ESTADO DE CONSERVACIÓN</t>
        </is>
      </c>
    </row>
    <row r="36">
      <c r="A36" s="6" t="inlineStr">
        <is>
          <t>Tipo de ecosistema (UP)</t>
        </is>
      </c>
      <c r="B36" s="7" t="inlineStr">
        <is>
          <t>Bosque Estacionalmente Seco de Colina y Montaña (Bes-cm)</t>
        </is>
      </c>
      <c r="C36" s="6" t="inlineStr">
        <is>
          <t>Superficie de ecosistema (ha)</t>
        </is>
      </c>
      <c r="D36" s="7" t="inlineStr">
        <is>
          <t>120 ha (de 268.39 ha del bloque)</t>
        </is>
      </c>
      <c r="E36" s="8" t="n"/>
      <c r="F36" s="8" t="n"/>
    </row>
    <row r="37">
      <c r="A37" s="6" t="inlineStr">
        <is>
          <t>Estado de conservación</t>
        </is>
      </c>
      <c r="B37" s="7" t="inlineStr">
        <is>
          <t>Medianamente alterado</t>
        </is>
      </c>
      <c r="C37" s="6" t="inlineStr">
        <is>
          <t>Uso actual dominante del suelo</t>
        </is>
      </c>
      <c r="D37" s="7" t="inlineStr">
        <is>
          <t>Pastoreo extensivo</t>
        </is>
      </c>
      <c r="E37" s="8" t="n"/>
      <c r="F37" s="8" t="n"/>
    </row>
    <row r="38">
      <c r="A38" s="6" t="inlineStr">
        <is>
          <t>Tipo de cobertura dominante</t>
        </is>
      </c>
      <c r="B38" s="7" t="inlineStr">
        <is>
          <t>Bosque ralo (30-70%)</t>
        </is>
      </c>
      <c r="C38" s="6" t="inlineStr">
        <is>
          <t>Cobertura vegetal total — campo (%)</t>
        </is>
      </c>
      <c r="D38" s="7" t="n">
        <v>70</v>
      </c>
      <c r="E38" s="8" t="n"/>
      <c r="F38" s="8" t="n"/>
    </row>
    <row r="39">
      <c r="A39" s="6" t="inlineStr">
        <is>
          <t>Suelo desnudo — campo (%)</t>
        </is>
      </c>
      <c r="B39" s="7" t="n">
        <v>10</v>
      </c>
      <c r="C39" s="6" t="inlineStr">
        <is>
          <t>Regeneración natural</t>
        </is>
      </c>
      <c r="D39" s="7" t="inlineStr">
        <is>
          <t>Regular (10-50 pl./100m²)</t>
        </is>
      </c>
      <c r="E39" s="8" t="n"/>
      <c r="F39" s="8" t="n"/>
    </row>
    <row r="40">
      <c r="A40" s="6" t="inlineStr">
        <is>
          <t>Nivel general de erosión</t>
        </is>
      </c>
      <c r="B40" s="7" t="inlineStr">
        <is>
          <t>Moderada (surcos)</t>
        </is>
      </c>
      <c r="C40" s="6" t="inlineStr">
        <is>
          <t>N.° de cárcavas registradas</t>
        </is>
      </c>
      <c r="D40" s="7" t="n">
        <v>0</v>
      </c>
      <c r="E40" s="8" t="n"/>
      <c r="F40" s="8" t="n"/>
    </row>
    <row r="41">
      <c r="A41" s="6" t="inlineStr">
        <is>
          <t>Elenco florístico (n.° de taxones)</t>
        </is>
      </c>
      <c r="B41" s="7" t="n">
        <v>7</v>
      </c>
      <c r="C41" s="6" t="inlineStr">
        <is>
          <t>Estado sanitario</t>
        </is>
      </c>
      <c r="D41" s="7" t="inlineStr">
        <is>
          <t>Sano</t>
        </is>
      </c>
      <c r="E41" s="8" t="n"/>
      <c r="F41" s="8" t="n"/>
    </row>
    <row r="42"/>
    <row r="43" ht="18" customHeight="1">
      <c r="A43" s="5" t="inlineStr">
        <is>
          <t>5. RESPONSABLE Y MODALIDAD DE LA EVALUACIÓN</t>
        </is>
      </c>
    </row>
    <row r="44">
      <c r="A44" s="6" t="inlineStr">
        <is>
          <t>Responsable de la evaluación</t>
        </is>
      </c>
      <c r="B44" s="7" t="inlineStr">
        <is>
          <t>Ing. Juan Domínguez</t>
        </is>
      </c>
      <c r="C44" s="6" t="inlineStr">
        <is>
          <t>Fecha de evaluación</t>
        </is>
      </c>
      <c r="D44" s="7" t="inlineStr">
        <is>
          <t>2026-08-10</t>
        </is>
      </c>
      <c r="E44" s="8" t="n"/>
      <c r="F44" s="8" t="n"/>
    </row>
    <row r="45">
      <c r="A45" s="6" t="inlineStr">
        <is>
          <t>Hora de registro</t>
        </is>
      </c>
      <c r="B45" s="7" t="inlineStr">
        <is>
          <t>11:46 h</t>
        </is>
      </c>
      <c r="C45" s="6" t="inlineStr">
        <is>
          <t>Correlativo de ficha</t>
        </is>
      </c>
      <c r="D45" s="7" t="inlineStr">
        <is>
          <t>01</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49" t="inlineStr">
        <is>
          <t>Sin registro en ficha</t>
        </is>
      </c>
      <c r="E47" s="8" t="n"/>
      <c r="F47" s="8" t="n"/>
    </row>
    <row r="48">
      <c r="A48" s="6" t="inlineStr">
        <is>
          <t>Estaciones fotográficas georreferenciadas</t>
        </is>
      </c>
      <c r="B48" s="7" t="n">
        <v>0</v>
      </c>
      <c r="C48" s="6" t="inlineStr">
        <is>
          <t>Modalidad de acceso</t>
        </is>
      </c>
      <c r="D48" s="7" t="inlineStr">
        <is>
          <t>Vehicular + caminata &lt;30 min</t>
        </is>
      </c>
      <c r="E48" s="8" t="n"/>
      <c r="F48" s="8" t="n"/>
    </row>
    <row r="49"/>
    <row r="50" ht="18" customHeight="1">
      <c r="A50" s="5" t="inlineStr">
        <is>
          <t>6. SÍNTESIS PARA LA GESTIÓN DEL RIESGO EN CONTEXTO DE CAMBIO CLIMÁTICO</t>
        </is>
      </c>
    </row>
    <row r="51">
      <c r="A51" s="6" t="inlineStr">
        <is>
          <t>Causa subyacente principal</t>
        </is>
      </c>
      <c r="B51" s="49" t="inlineStr">
        <is>
          <t>No consignada en la ficha</t>
        </is>
      </c>
      <c r="C51" s="6" t="inlineStr">
        <is>
          <t>Velocidad de degradación</t>
        </is>
      </c>
      <c r="D51" s="7" t="inlineStr">
        <is>
          <t>Lenta</t>
        </is>
      </c>
      <c r="E51" s="8" t="n"/>
      <c r="F51" s="8" t="n"/>
    </row>
    <row r="52">
      <c r="A52" s="6" t="inlineStr">
        <is>
          <t>Reversibilidad técnica</t>
        </is>
      </c>
      <c r="B52" s="7" t="inlineStr">
        <is>
          <t>Totalmente reversible</t>
        </is>
      </c>
      <c r="C52" s="6" t="inlineStr">
        <is>
          <t>Urgencia de intervención</t>
        </is>
      </c>
      <c r="D52" s="7" t="inlineStr">
        <is>
          <t>Baja</t>
        </is>
      </c>
      <c r="E52" s="8" t="n"/>
      <c r="F52" s="8" t="n"/>
    </row>
    <row r="53">
      <c r="A53" s="6" t="inlineStr">
        <is>
          <t>Urgencia de control de erosión</t>
        </is>
      </c>
      <c r="B53" s="7" t="inlineStr">
        <is>
          <t>Media</t>
        </is>
      </c>
      <c r="C53" s="6" t="inlineStr">
        <is>
          <t>Zona de recarga hídrica</t>
        </is>
      </c>
      <c r="D53" s="7" t="inlineStr">
        <is>
          <t>Sí</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40" t="n"/>
      <c r="C57" s="40" t="n"/>
      <c r="D57" s="40" t="n"/>
      <c r="E57" s="40" t="n"/>
      <c r="F57" s="41" t="n"/>
    </row>
  </sheetData>
  <mergeCells count="13">
    <mergeCell ref="A2:F2"/>
    <mergeCell ref="A43:F43"/>
    <mergeCell ref="A1:F1"/>
    <mergeCell ref="A5:F5"/>
    <mergeCell ref="A27:F27"/>
    <mergeCell ref="A8:F8"/>
    <mergeCell ref="A6:F6"/>
    <mergeCell ref="A50:F50"/>
    <mergeCell ref="A35:F35"/>
    <mergeCell ref="A18:F18"/>
    <mergeCell ref="A3:F3"/>
    <mergeCell ref="A4:F4"/>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2"/>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M12B1</t>
        </is>
      </c>
    </row>
    <row r="6" ht="24" customHeight="1">
      <c r="A6" s="4" t="inlineStr">
        <is>
          <t>MSAVI 2024 y NDVI mediana 2025 (Sentinel-2, mosaico Piura) · Umbral de brecha del proyecto: MSAVI = 0.4976</t>
        </is>
      </c>
    </row>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 · DN 5</t>
        </is>
      </c>
      <c r="B10" s="18" t="n">
        <v>0.1188</v>
      </c>
      <c r="C10" s="19">
        <f>ROUND(B10/$B$15*100,2)</f>
        <v/>
      </c>
      <c r="D10" s="11" t="inlineStr">
        <is>
          <t>Vigor alto</t>
        </is>
      </c>
      <c r="E10" s="11" t="inlineStr">
        <is>
          <t>Sobre umbral</t>
        </is>
      </c>
    </row>
    <row r="11">
      <c r="A11" s="12" t="inlineStr">
        <is>
          <t>0.4976 - 0.6139 · DN 4</t>
        </is>
      </c>
      <c r="B11" s="20" t="n">
        <v>8.965</v>
      </c>
      <c r="C11" s="21">
        <f>ROUND(B11/$B$15*100,2)</f>
        <v/>
      </c>
      <c r="D11" s="13" t="inlineStr">
        <is>
          <t>Vigor moderado</t>
        </is>
      </c>
      <c r="E11" s="13" t="inlineStr">
        <is>
          <t>Sobre umbral</t>
        </is>
      </c>
    </row>
    <row r="12">
      <c r="A12" s="7" t="inlineStr">
        <is>
          <t>0.3813 - 0.4976 · DN 3</t>
        </is>
      </c>
      <c r="B12" s="18" t="n">
        <v>77.95950000000001</v>
      </c>
      <c r="C12" s="19">
        <f>ROUND(B12/$B$15*100,2)</f>
        <v/>
      </c>
      <c r="D12" s="11" t="inlineStr">
        <is>
          <t>Vigor bajo</t>
        </is>
      </c>
      <c r="E12" s="11" t="inlineStr">
        <is>
          <t>BAJO umbral 0.4976</t>
        </is>
      </c>
    </row>
    <row r="13">
      <c r="A13" s="14" t="inlineStr">
        <is>
          <t>0.2650 - 0.3813 · DN 2</t>
        </is>
      </c>
      <c r="B13" s="29" t="n">
        <v>139.215</v>
      </c>
      <c r="C13" s="28">
        <f>ROUND(B13/$B$15*100,2)</f>
        <v/>
      </c>
      <c r="D13" s="15" t="inlineStr">
        <is>
          <t>Vigor muy bajo</t>
        </is>
      </c>
      <c r="E13" s="15" t="inlineStr">
        <is>
          <t>BAJO umbral 0.4976</t>
        </is>
      </c>
    </row>
    <row r="14">
      <c r="A14" s="7" t="inlineStr">
        <is>
          <t>&lt;= 0.2650 · DN 1</t>
        </is>
      </c>
      <c r="B14" s="18" t="n">
        <v>42.1349</v>
      </c>
      <c r="C14" s="19">
        <f>ROUND(B14/$B$15*100,2)</f>
        <v/>
      </c>
      <c r="D14" s="11" t="inlineStr">
        <is>
          <t>Suelo desnudo / no vegetal</t>
        </is>
      </c>
      <c r="E14" s="11" t="inlineStr">
        <is>
          <t>BAJO umbral 0.4976</t>
        </is>
      </c>
    </row>
    <row r="15" ht="30" customHeight="1">
      <c r="A15" s="42" t="inlineStr">
        <is>
          <t>TOTAL CLASIFICADO MSAVI 2024</t>
        </is>
      </c>
      <c r="B15" s="43">
        <f>SUM(B10:B14)</f>
        <v/>
      </c>
      <c r="C15" s="44">
        <f>SUM(C10:C14)</f>
        <v/>
      </c>
      <c r="D15" s="42" t="inlineStr">
        <is>
          <t>Suma de la distribución areal · 825 polígonos</t>
        </is>
      </c>
      <c r="E15" s="42" t="inlineStr">
        <is>
          <t>—</t>
        </is>
      </c>
    </row>
    <row r="16" ht="30" customHeight="1">
      <c r="A16" s="45" t="inlineStr">
        <is>
          <t>Superficie SOBRE umbral 0.4976 (ha)</t>
        </is>
      </c>
      <c r="B16" s="46">
        <f>SUM(B10:B11)</f>
        <v/>
      </c>
      <c r="C16" s="47">
        <f>ROUND(B16/B15*100,2)</f>
        <v/>
      </c>
      <c r="D16" s="45" t="inlineStr">
        <is>
          <t>Vigor alto y moderado (DN 4 y DN 5)</t>
        </is>
      </c>
      <c r="E16" s="45" t="inlineStr">
        <is>
          <t>Sobre umbral 0.4976</t>
        </is>
      </c>
    </row>
    <row r="17" ht="30" customHeight="1">
      <c r="A17" s="45" t="inlineStr">
        <is>
          <t>Superficie BAJO umbral 0.4976 (ha) — brecha</t>
        </is>
      </c>
      <c r="B17" s="46">
        <f>SUM(B12:B14)</f>
        <v/>
      </c>
      <c r="C17" s="47">
        <f>ROUND(B17/B15*100,2)</f>
        <v/>
      </c>
      <c r="D17" s="45" t="inlineStr">
        <is>
          <t>Vigor bajo, muy bajo y suelo desnudo (DN 1 a DN 3)</t>
        </is>
      </c>
      <c r="E17" s="45" t="inlineStr">
        <is>
          <t>Base para el indicador de brecha (R.M. N.° 00213-2024-MINAM)</t>
        </is>
      </c>
    </row>
    <row r="18" ht="30" customHeight="1">
      <c r="A18" s="45" t="inlineStr">
        <is>
          <t>Superficie de catálogo (V5/V6) — contraste MSAVI</t>
        </is>
      </c>
      <c r="B18" s="46" t="n">
        <v>268.39</v>
      </c>
      <c r="C18" s="48" t="inlineStr">
        <is>
          <t>—</t>
        </is>
      </c>
      <c r="D18" s="45" t="inlineStr">
        <is>
          <t>Desviación planimétrica frente al catálogo</t>
        </is>
      </c>
      <c r="E18" s="45" t="inlineStr">
        <is>
          <t>+0.00 %</t>
        </is>
      </c>
    </row>
    <row r="19">
      <c r="A19" s="16" t="inlineStr">
        <is>
          <t>MSAVI 2024 — MEDIA DEL BLOQUE</t>
        </is>
      </c>
      <c r="B19" s="17" t="n">
        <v>0.34753</v>
      </c>
      <c r="C19" s="17" t="inlineStr">
        <is>
          <t>—</t>
        </is>
      </c>
      <c r="D19" s="17" t="inlineStr">
        <is>
          <t>Vigor muy bajo · clase 0.2650 - 0.3813</t>
        </is>
      </c>
      <c r="E19" s="17" t="inlineStr">
        <is>
          <t>BAJO umbral 0.4976</t>
        </is>
      </c>
    </row>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825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(0.3475) se conserva del catálogo maestro y es dato oficial; la fila resaltada indica la clase en la que cae dicha media. Los totales y porcentajes se calculan con fórmulas sobre las filas del cuadro.</t>
        </is>
      </c>
      <c r="B21" s="40" t="n"/>
      <c r="C21" s="40" t="n"/>
      <c r="D21" s="40" t="n"/>
      <c r="E21" s="41" t="n"/>
    </row>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alta</t>
        </is>
      </c>
      <c r="B25" s="18" t="n">
        <v>6.6849</v>
      </c>
      <c r="C25" s="19" t="n">
        <v>2.49</v>
      </c>
      <c r="D25" s="11" t="inlineStr">
        <is>
          <t>Dosel continuo, matorral denso o mosaico agroforestal</t>
        </is>
      </c>
      <c r="E25" s="11" t="inlineStr"/>
    </row>
    <row r="26">
      <c r="A26" s="12" t="inlineStr">
        <is>
          <t>Vegetación mediana</t>
        </is>
      </c>
      <c r="B26" s="20" t="n">
        <v>143.3102</v>
      </c>
      <c r="C26" s="21" t="n">
        <v>53.38</v>
      </c>
      <c r="D26" s="13" t="inlineStr">
        <is>
          <t>Pastizal cultivado, matorral ralo, parcelas agrícolas</t>
        </is>
      </c>
      <c r="E26" s="13" t="inlineStr"/>
    </row>
    <row r="27">
      <c r="A27" s="7" t="inlineStr">
        <is>
          <t>Vegetación ligera</t>
        </is>
      </c>
      <c r="B27" s="18" t="n">
        <v>116.8474</v>
      </c>
      <c r="C27" s="19" t="n">
        <v>43.52</v>
      </c>
      <c r="D27" s="11" t="inlineStr">
        <is>
          <t>Cobertura discontinua, suelo parcialmente expuesto</t>
        </is>
      </c>
      <c r="E27" s="11" t="inlineStr"/>
    </row>
    <row r="28">
      <c r="A28" s="12" t="inlineStr">
        <is>
          <t>Tierra desnuda</t>
        </is>
      </c>
      <c r="B28" s="20" t="n">
        <v>1.6265</v>
      </c>
      <c r="C28" s="21" t="n">
        <v>0.61</v>
      </c>
      <c r="D28" s="13" t="inlineStr">
        <is>
          <t>Suelo desnudo, afloramientos, plataformas y taludes</t>
        </is>
      </c>
      <c r="E28" s="13" t="inlineStr"/>
    </row>
    <row r="29">
      <c r="A29" s="16" t="inlineStr">
        <is>
          <t>TOTAL CLASIFICADO</t>
        </is>
      </c>
      <c r="B29" s="22">
        <f>SUM(B25:B28)</f>
        <v/>
      </c>
      <c r="C29" s="23">
        <f>SUM(C25:C28)</f>
        <v/>
      </c>
      <c r="D29" s="17" t="inlineStr"/>
      <c r="E29" s="17" t="inlineStr"/>
    </row>
    <row r="30">
      <c r="A30" s="24" t="inlineStr">
        <is>
          <t>Superficie de catálogo (V5/V6)</t>
        </is>
      </c>
      <c r="B30" s="25" t="n">
        <v>268.39</v>
      </c>
      <c r="C30" s="25" t="inlineStr">
        <is>
          <t>—</t>
        </is>
      </c>
      <c r="D30" s="25" t="inlineStr">
        <is>
          <t>Desviación planimétrica frente al catálogo</t>
        </is>
      </c>
      <c r="E30" s="25" t="inlineStr">
        <is>
          <t>+0.03 %</t>
        </is>
      </c>
    </row>
    <row r="32" ht="108" customHeight="1">
      <c r="A32"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70 % frente a un 2.49 % del polígono clasificado como «Vegetación alta» por el NDVI 2025; la observación de campo corresponde a una parcela o recorrido puntual y no es estadísticamente representativa de las 268.390 ha del bloque.</t>
        </is>
      </c>
      <c r="B32" s="40" t="n"/>
      <c r="C32" s="40" t="n"/>
      <c r="D32" s="40" t="n"/>
      <c r="E32" s="41" t="n"/>
    </row>
  </sheetData>
  <mergeCells count="10">
    <mergeCell ref="A21:E21"/>
    <mergeCell ref="A4:E4"/>
    <mergeCell ref="A2:E2"/>
    <mergeCell ref="A1:E1"/>
    <mergeCell ref="A23:E23"/>
    <mergeCell ref="A32:E32"/>
    <mergeCell ref="A5:E5"/>
    <mergeCell ref="A8:E8"/>
    <mergeCell ref="A6:E6"/>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6"/>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M12B1</t>
        </is>
      </c>
    </row>
    <row r="6" ht="24" customHeight="1">
      <c r="A6" s="4" t="inlineStr">
        <is>
          <t>Levantamiento del 2026-08-10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643508</v>
      </c>
      <c r="D10" s="26" t="n">
        <v>9389713</v>
      </c>
      <c r="E10" s="11" t="n">
        <v>1202.5</v>
      </c>
      <c r="F10" s="11" t="inlineStr"/>
      <c r="G10" s="11" t="inlineStr">
        <is>
          <t>Coordenada consignada en F-DT-01</t>
        </is>
      </c>
    </row>
    <row r="11">
      <c r="A11" s="16" t="inlineStr">
        <is>
          <t>TOTAL: 1 puntos</t>
        </is>
      </c>
      <c r="B11" s="17" t="inlineStr"/>
      <c r="C11" s="17" t="inlineStr"/>
      <c r="D11" s="17" t="inlineStr"/>
      <c r="E11" s="17" t="inlineStr"/>
      <c r="F11" s="17" t="inlineStr"/>
      <c r="G11" s="17" t="inlineStr"/>
    </row>
    <row r="13">
      <c r="A13" s="6" t="inlineStr">
        <is>
          <t>Centroide del bloque — UTM ESTE (m)</t>
        </is>
      </c>
      <c r="B13" s="7" t="n">
        <v>644546</v>
      </c>
      <c r="C13" s="6" t="inlineStr">
        <is>
          <t>Centroide del bloque — UTM NORTE (m)</t>
        </is>
      </c>
      <c r="D13" s="7" t="n">
        <v>9389106</v>
      </c>
      <c r="E13" s="8" t="n"/>
      <c r="F13" s="8" t="n"/>
      <c r="G13" s="8" t="n"/>
      <c r="H13" s="8" t="n"/>
    </row>
    <row r="14">
      <c r="A14" s="6" t="inlineStr">
        <is>
          <t>N.° de estaciones fotográficas declaradas</t>
        </is>
      </c>
      <c r="B14" s="7" t="n">
        <v>0</v>
      </c>
      <c r="C14" s="6" t="inlineStr">
        <is>
          <t>Estaciones dentro del polígono</t>
        </is>
      </c>
      <c r="D14" s="7" t="n">
        <v>0</v>
      </c>
      <c r="E14" s="8" t="n"/>
      <c r="F14" s="8" t="n"/>
      <c r="G14" s="8" t="n"/>
      <c r="H14" s="8" t="n"/>
    </row>
    <row r="16" ht="168" customHeight="1">
      <c r="A16"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El bloque se ubica en una ladera de colina alta, con pendiente menor a 60%; el terreno se inclina más conforme se asciende. Altitud ≈380 msnm. Presenta AFLORAMIENTO ROCOSO, rocas semienterradas y piedras medianas a grandes dispersas. Zonas con cobertura vegetal remanente. LA LADERA ES EMPLEADA PARA PASTOREO EXTENSIVO DE GANADO CAPRINO del centro poblado próximo. LEÑA APILADA en viviendas próximas. El suelo presenta erosión eólica; estrías y surcos por tránsito de ganado; caminos de herradura dentro del bloque y áreas de suelo desprovistas de vegetación. INCONSISTENCIA INTERNA (D-04): la sección 3 de la ficha responde «No» a la presencia de afloramientos rocosos, mientras estas mismas observaciones afirman que «presenta afloramiento rocoso». NOTA: el punto de muestreo (643 508 · 9 389 713) dista ≈1.2 km al SO del centroide catastral (644 546 · 9 389 110) y es contiguo al empleado en las fichas de M4B3 y M4B4.</t>
        </is>
      </c>
      <c r="B16" s="40" t="n"/>
      <c r="C16" s="40" t="n"/>
      <c r="D16" s="40" t="n"/>
      <c r="E16" s="40" t="n"/>
      <c r="F16" s="40" t="n"/>
      <c r="G16" s="41" t="n"/>
    </row>
  </sheetData>
  <mergeCells count="8">
    <mergeCell ref="A1:G1"/>
    <mergeCell ref="A8:G8"/>
    <mergeCell ref="A3:G3"/>
    <mergeCell ref="A6:G6"/>
    <mergeCell ref="A4:G4"/>
    <mergeCell ref="A2:G2"/>
    <mergeCell ref="A16:G16"/>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7"/>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C1076-Q9588 — BLOQUE M12B1</t>
        </is>
      </c>
    </row>
    <row r="6" ht="24" customHeight="1">
      <c r="A6" s="4" t="inlineStr">
        <is>
          <t>Distrito de Huarmaca · Provincia de Huancabamba · Comparación de los bloques preliminares de intervención de la misma microcuenca</t>
        </is>
      </c>
    </row>
    <row r="8" ht="18" customHeight="1">
      <c r="A8" s="5" t="inlineStr">
        <is>
          <t>BLOQUES DE LA MICROCUENCA C1076-Q9588</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14" t="inlineStr">
        <is>
          <t>► M12B1</t>
        </is>
      </c>
      <c r="B10" s="27" t="n">
        <v>268.39</v>
      </c>
      <c r="C10" s="28" t="n">
        <v>50.86</v>
      </c>
      <c r="D10" s="15" t="inlineStr">
        <is>
          <t>333 – 821</t>
        </is>
      </c>
      <c r="E10" s="15" t="n">
        <v>488</v>
      </c>
      <c r="F10" s="15" t="n">
        <v>18.18</v>
      </c>
      <c r="G10" s="29" t="n">
        <v>0.3475</v>
      </c>
      <c r="H10" s="28" t="n">
        <v>2.49</v>
      </c>
      <c r="I10" s="28" t="n">
        <v>96.62</v>
      </c>
    </row>
    <row r="11">
      <c r="A11" s="12" t="inlineStr">
        <is>
          <t>4</t>
        </is>
      </c>
      <c r="B11" s="30" t="n">
        <v>230.1</v>
      </c>
      <c r="C11" s="21" t="n">
        <v>43.6</v>
      </c>
      <c r="D11" s="13" t="inlineStr">
        <is>
          <t>1378 – 2318</t>
        </is>
      </c>
      <c r="E11" s="13" t="n">
        <v>940</v>
      </c>
      <c r="F11" s="13" t="n">
        <v>35.01</v>
      </c>
      <c r="G11" s="20" t="n">
        <v>0.6601</v>
      </c>
      <c r="H11" s="21" t="n">
        <v>88.09999999999999</v>
      </c>
      <c r="I11" s="21" t="n">
        <v>9.23</v>
      </c>
    </row>
    <row r="12">
      <c r="A12" s="7" t="inlineStr">
        <is>
          <t>74</t>
        </is>
      </c>
      <c r="B12" s="31" t="n">
        <v>29.23</v>
      </c>
      <c r="C12" s="19" t="n">
        <v>5.54</v>
      </c>
      <c r="D12" s="11" t="inlineStr">
        <is>
          <t>663 – 975</t>
        </is>
      </c>
      <c r="E12" s="11" t="n">
        <v>312</v>
      </c>
      <c r="F12" s="11" t="n">
        <v>29.51</v>
      </c>
      <c r="G12" s="18" t="n">
        <v>0.3565</v>
      </c>
      <c r="H12" s="19" t="n">
        <v>3.75</v>
      </c>
      <c r="I12" s="19" t="n">
        <v>99.8</v>
      </c>
    </row>
    <row r="13">
      <c r="A13" s="16" t="inlineStr">
        <is>
          <t>TOTAL / PROMEDIO</t>
        </is>
      </c>
      <c r="B13" s="32">
        <f>SUM(B10:B12)</f>
        <v/>
      </c>
      <c r="C13" s="23">
        <f>SUM(C10:C12)</f>
        <v/>
      </c>
      <c r="D13" s="17" t="inlineStr">
        <is>
          <t>333 – 2318</t>
        </is>
      </c>
      <c r="E13" s="17" t="inlineStr"/>
      <c r="F13" s="17">
        <f>ROUND(AVERAGE(F10:F12),2)</f>
        <v/>
      </c>
      <c r="G13" s="22">
        <f>ROUND(AVERAGE(G10:G12),4)</f>
        <v/>
      </c>
      <c r="H13" s="23">
        <f>ROUND(AVERAGE(H10:H12),2)</f>
        <v/>
      </c>
      <c r="I13" s="23">
        <f>ROUND(AVERAGE(I10:I12),2)</f>
        <v/>
      </c>
    </row>
    <row r="15" ht="84" customHeight="1">
      <c r="A15" s="9" t="inlineStr">
        <is>
          <t>LECTURA INTRAMICROCUENCA. El bloque M12B1 ocupa el puesto 1 de 3 por superficie dentro de la microcuenca C1076-Q9588 (50.86 % de las 527.72 ha preliminares de la microcuenca). Su pendiente promedio (18.18 %, clase «15-25% (Fuert. inclinado)») es la 1.ª más baja de 3 y se sitúa por debajo del promedio de la microcuenca (27.57 %). Su MSAVI 2024 (0.3475) es el 3.º de 3 y queda por debajo del promedio local (0.4547). Amplitud altitudinal del bloque: 488 m (333–821 msnm). El cuadro conserva todos los bloques catalogados en la microcuenca, incluidos los descartados en el tamizaje, para referencia del conjunto. Los bloques sin ficha DT figuran con sus parámetros de gabinete. BRECHA ESPECTRAL. El 96.62 % de la superficie del bloque (259.309 ha de 268.393 ha) se sitúa bajo el umbral MSAVI 0.4976, por encima del promedio local de la microcuenca (68.55 %) calculado sobre los bloques con dato MSAVI disponible.</t>
        </is>
      </c>
      <c r="B15" s="40" t="n"/>
      <c r="C15" s="40" t="n"/>
      <c r="D15" s="40" t="n"/>
      <c r="E15" s="40" t="n"/>
      <c r="F15" s="40" t="n"/>
      <c r="G15" s="40" t="n"/>
      <c r="H15" s="40" t="n"/>
      <c r="I15" s="41" t="n"/>
    </row>
    <row r="17" ht="60" customHeight="1">
      <c r="A17"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17" s="40" t="n"/>
      <c r="C17" s="40" t="n"/>
      <c r="D17" s="40" t="n"/>
      <c r="E17" s="40" t="n"/>
      <c r="F17" s="40" t="n"/>
      <c r="G17" s="40" t="n"/>
      <c r="H17" s="40" t="n"/>
      <c r="I17" s="41" t="n"/>
    </row>
  </sheetData>
  <mergeCells count="9">
    <mergeCell ref="A15:I15"/>
    <mergeCell ref="A2:I2"/>
    <mergeCell ref="A5:I5"/>
    <mergeCell ref="A1:I1"/>
    <mergeCell ref="A17:I17"/>
    <mergeCell ref="A8:I8"/>
    <mergeCell ref="A3:I3"/>
    <mergeCell ref="A6:I6"/>
    <mergeCell ref="A4:I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5"/>
  <sheetViews>
    <sheetView workbookViewId="0">
      <pane ySplit="8" topLeftCell="A9" activePane="bottomLeft" state="frozen"/>
      <selection pane="bottomLeft" activeCell="A1" sqref="A1"/>
    </sheetView>
  </sheetViews>
  <sheetFormatPr baseColWidth="8" defaultRowHeight="15"/>
  <cols>
    <col width="8" customWidth="1" min="1" max="1"/>
    <col width="30" customWidth="1" min="2" max="2"/>
    <col width="62" customWidth="1" min="3" max="3"/>
    <col width="16" customWidth="1" min="4" max="4"/>
    <col width="62" customWidth="1" min="5" max="5"/>
  </cols>
  <sheetData>
    <row r="1">
      <c r="A1" s="50" t="inlineStr">
        <is>
          <t>AUTORIDAD NACIONAL DE INFRAESTRUCTURA - ANIN</t>
        </is>
      </c>
    </row>
    <row r="2">
      <c r="A2" s="50" t="inlineStr">
        <is>
          <t>DIRECCION DE INTERVENCIONES MULTISECTORIALES Y DE EMERGENCIA - DIME</t>
        </is>
      </c>
    </row>
    <row r="3">
      <c r="A3" s="50" t="inlineStr">
        <is>
          <t>SUBDIRECCION DE ESTUDIOS DE INVERSION - SESDI</t>
        </is>
      </c>
    </row>
    <row r="4">
      <c r="A4" s="51" t="inlineStr">
        <is>
          <t>PROYECTO IN PIURA | CUI 2669244 | Recuperacion del servicio de regulacion de riesgos naturales y de ecosistemas degradados - Cuenca Alta del Rio Piura</t>
        </is>
      </c>
    </row>
    <row r="5" ht="22" customHeight="1">
      <c r="A5" s="52" t="inlineStr">
        <is>
          <t>CONTROL DE CONSISTENCIA — BLOQUE M12B1</t>
        </is>
      </c>
    </row>
    <row r="6">
      <c r="A6" s="51" t="inlineStr">
        <is>
          <t>Cruce de la ficha de campo F-DT vigente con la ficha de resumen de gabinete y el catálogo maestro. Integración 2026-09-11 20:22:34.</t>
        </is>
      </c>
    </row>
    <row r="7">
      <c r="A7" s="53" t="inlineStr">
        <is>
          <t>DISCREPANCIAS Y VERIFICACIONES</t>
        </is>
      </c>
    </row>
    <row r="8">
      <c r="A8" s="54" t="inlineStr">
        <is>
          <t>Cod.</t>
        </is>
      </c>
      <c r="B8" s="54" t="inlineStr">
        <is>
          <t>Campo afectado</t>
        </is>
      </c>
      <c r="C8" s="54" t="inlineStr">
        <is>
          <t>Discrepancia observada</t>
        </is>
      </c>
      <c r="D8" s="54" t="inlineStr">
        <is>
          <t>Calificación</t>
        </is>
      </c>
      <c r="E8" s="54" t="inlineStr">
        <is>
          <t>Tratamiento adoptado</t>
        </is>
      </c>
    </row>
    <row r="9">
      <c r="A9" s="55" t="inlineStr">
        <is>
          <t>G-01</t>
        </is>
      </c>
      <c r="B9" s="55" t="inlineStr">
        <is>
          <t>Código de microcuenca</t>
        </is>
      </c>
      <c r="C9" s="55" t="inlineStr">
        <is>
          <t>Ficha DT y catálogo maestro coinciden en «C1076-Q9588».</t>
        </is>
      </c>
      <c r="D9" s="55" t="inlineStr">
        <is>
          <t>CONFORME</t>
        </is>
      </c>
      <c r="E9" s="55" t="inlineStr">
        <is>
          <t>Sin acción.</t>
        </is>
      </c>
    </row>
    <row r="10">
      <c r="A10" s="56" t="inlineStr">
        <is>
          <t>G-02</t>
        </is>
      </c>
      <c r="B10" s="56" t="inlineStr">
        <is>
          <t>UTM del punto de muestreo</t>
        </is>
      </c>
      <c r="C10" s="56" t="inlineStr">
        <is>
          <t>El punto de muestreo declarado dista 1202.5 m del centroide, dentro del radio de control.</t>
        </is>
      </c>
      <c r="D10" s="56" t="inlineStr">
        <is>
          <t>CONFORME</t>
        </is>
      </c>
      <c r="E10" s="56" t="inlineStr">
        <is>
          <t>Sin acción.</t>
        </is>
      </c>
    </row>
    <row r="11">
      <c r="A11" s="55" t="inlineStr">
        <is>
          <t>G-03</t>
        </is>
      </c>
      <c r="B11" s="55" t="inlineStr">
        <is>
          <t>Sistema de referencia UTM 17S</t>
        </is>
      </c>
      <c r="C11" s="55" t="inlineStr">
        <is>
          <t>Verificación de rango para EPSG:32717: Conforme.</t>
        </is>
      </c>
      <c r="D11" s="55" t="inlineStr">
        <is>
          <t>CONFORME</t>
        </is>
      </c>
      <c r="E11" s="55" t="inlineStr">
        <is>
          <t>Sin acción.</t>
        </is>
      </c>
    </row>
    <row r="12">
      <c r="A12" s="56" t="inlineStr">
        <is>
          <t>G-04</t>
        </is>
      </c>
      <c r="B12" s="56" t="inlineStr">
        <is>
          <t>Altitud del punto de muestreo</t>
        </is>
      </c>
      <c r="C12" s="56" t="inlineStr">
        <is>
          <t>La altitud GPS (340 msnm) cae dentro del rango altitudinal del bloque (333 - 821 msnm).</t>
        </is>
      </c>
      <c r="D12" s="56" t="inlineStr">
        <is>
          <t>CONFORME</t>
        </is>
      </c>
      <c r="E12" s="56" t="inlineStr">
        <is>
          <t>Sin acción.</t>
        </is>
      </c>
    </row>
    <row r="13">
      <c r="A13" s="55" t="inlineStr">
        <is>
          <t>G-05</t>
        </is>
      </c>
      <c r="B13" s="55" t="inlineStr">
        <is>
          <t>Superficie NDVI vs. catálogo</t>
        </is>
      </c>
      <c r="C13" s="55" t="inlineStr">
        <is>
          <t>La superficie clasificada por el NDVI mediana 2025 (268.469 ha) se desvía 0.03 % de la superficie de catálogo (268.39 ha).</t>
        </is>
      </c>
      <c r="D13" s="55" t="inlineStr">
        <is>
          <t>CONFORME</t>
        </is>
      </c>
      <c r="E13" s="55" t="inlineStr">
        <is>
          <t>Sin acción: la segmentación valida la geometría del bloque.</t>
        </is>
      </c>
    </row>
    <row r="14">
      <c r="A14" s="56" t="inlineStr">
        <is>
          <t>G-06</t>
        </is>
      </c>
      <c r="B14" s="56" t="inlineStr">
        <is>
          <t>Superficie MSAVI vs. catálogo</t>
        </is>
      </c>
      <c r="C14" s="56" t="inlineStr">
        <is>
          <t>La superficie clasificada por el MSAVI 2024 (268.393 ha) se desvía 0.00 % de la superficie de catálogo (268.39 ha).</t>
        </is>
      </c>
      <c r="D14" s="56" t="inlineStr">
        <is>
          <t>CONFORME</t>
        </is>
      </c>
      <c r="E14" s="56" t="inlineStr">
        <is>
          <t>Sin acción: la segmentación valida la geometría del bloque.</t>
        </is>
      </c>
    </row>
    <row r="15">
      <c r="A15" s="55" t="inlineStr">
        <is>
          <t>G-07</t>
        </is>
      </c>
      <c r="B15" s="55" t="inlineStr">
        <is>
          <t>Brecha espectral MSAVI</t>
        </is>
      </c>
      <c r="C15" s="55" t="inlineStr">
        <is>
          <t>El 96.62 % del bloque queda bajo el umbral 0.4976; superficie de brecha 259.31 ha.</t>
        </is>
      </c>
      <c r="D15" s="55" t="inlineStr">
        <is>
          <t>CONFORME</t>
        </is>
      </c>
      <c r="E15" s="55" t="inlineStr">
        <is>
          <t>Sin acción: alimenta el indicador de brecha del proyecto.</t>
        </is>
      </c>
    </row>
    <row r="16">
      <c r="A16" s="56" t="inlineStr">
        <is>
          <t>G-08</t>
        </is>
      </c>
      <c r="B16" s="56" t="inlineStr">
        <is>
          <t>Distribución areal MSAVI 2024</t>
        </is>
      </c>
      <c r="C16" s="56" t="inlineStr">
        <is>
          <t>La hoja de cobertura declara 5 clases DN con superficie, 268.39 ha clasificadas en total.</t>
        </is>
      </c>
      <c r="D16" s="56" t="inlineStr">
        <is>
          <t>CONFORME</t>
        </is>
      </c>
      <c r="E16" s="56" t="inlineStr">
        <is>
          <t>Sin acción: procede de la estadística zonal del raster MSAVI 2024 clasificado.</t>
        </is>
      </c>
    </row>
    <row r="17">
      <c r="A17" s="55" t="inlineStr">
        <is>
          <t>G-09</t>
        </is>
      </c>
      <c r="B17" s="55" t="inlineStr">
        <is>
          <t>Media MSAVI vs. clase DN dominante</t>
        </is>
      </c>
      <c r="C17" s="55" t="inlineStr">
        <is>
          <t>La media del bloque (0.3475) cae en la clase «0.2650 - 0.3813 (Vigor muy bajo)» y la clase DN dominante por superficie es «DN 2 · 0.2650 - 0.3813 (Vigor muy bajo)».</t>
        </is>
      </c>
      <c r="D17" s="55" t="inlineStr">
        <is>
          <t>CONFORME</t>
        </is>
      </c>
      <c r="E17" s="55" t="inlineStr">
        <is>
          <t>Sin acción: media y clase dominante son coherentes.</t>
        </is>
      </c>
    </row>
    <row r="18">
      <c r="A18" s="56" t="inlineStr">
        <is>
          <t>G-10</t>
        </is>
      </c>
      <c r="B18" s="56" t="inlineStr">
        <is>
          <t>Peligro integrado (MCA-AHP)</t>
        </is>
      </c>
      <c r="C18" s="56" t="inlineStr">
        <is>
          <t>El nivel de peligro integrado no está disponible en los insumos de este entregable.</t>
        </is>
      </c>
      <c r="D18" s="56" t="inlineStr">
        <is>
          <t>SUSTANTIVA</t>
        </is>
      </c>
      <c r="E18" s="56" t="inlineStr">
        <is>
          <t>Debe tomarse del modelamiento de mesolocalización (MCA-AHP de PMM, EPH y PGI) antes de cerrar el perfil.</t>
        </is>
      </c>
    </row>
    <row r="19">
      <c r="A19" s="55" t="inlineStr">
        <is>
          <t>F-01</t>
        </is>
      </c>
      <c r="B19" s="55" t="inlineStr">
        <is>
          <t>Fichas F-DT levantadas</t>
        </is>
      </c>
      <c r="C19" s="55" t="inlineStr">
        <is>
          <t>La plantilla de campo trae las cinco fichas F-DT-01 a F-DT-05 (completitud 85.7 % de los campos esperados).</t>
        </is>
      </c>
      <c r="D19" s="55" t="inlineStr">
        <is>
          <t>CONFORME</t>
        </is>
      </c>
      <c r="E19" s="55" t="inlineStr">
        <is>
          <t>Sin acción.</t>
        </is>
      </c>
    </row>
    <row r="20">
      <c r="A20" s="56" t="inlineStr">
        <is>
          <t>F-02</t>
        </is>
      </c>
      <c r="B20" s="56" t="inlineStr">
        <is>
          <t>Cobertura de la integración</t>
        </is>
      </c>
      <c r="C20" s="56" t="inlineStr">
        <is>
          <t>Se declararon 94 de 114 hechos integrados (82.5 %); 20 quedan sin dato en ninguna fuente.</t>
        </is>
      </c>
      <c r="D20" s="56" t="inlineStr">
        <is>
          <t>CONFORME</t>
        </is>
      </c>
      <c r="E20" s="56" t="inlineStr">
        <is>
          <t>Sin acción.</t>
        </is>
      </c>
    </row>
    <row r="21">
      <c r="A21" s="55" t="inlineStr">
        <is>
          <t>H-01</t>
        </is>
      </c>
      <c r="B21" s="55" t="inlineStr">
        <is>
          <t>Rango de pendiente dominante</t>
        </is>
      </c>
      <c r="C21" s="55" t="inlineStr">
        <is>
          <t>La ficha DT declara «25-50% (Mod. escarpado)»; la estadística zonal sobre el MDE arroja una pendiente promedio de 18.18 %, que corresponde a la clase «15-25% (Fuert. inclinado)»</t>
        </is>
      </c>
      <c r="D21" s="55" t="inlineStr">
        <is>
          <t>NO SUSTANTIVA</t>
        </is>
      </c>
      <c r="E21" s="55" t="inlineStr">
        <is>
          <t>Se conserva el registro de campo como observación de sector y se adopta el valor del MDE para el cálculo intramicrocuenca. La divergencia es esperable: el dato de campo es puntual y el del MDE es promedio del polígono. (Verificación heredada de la ficha de resumen V6.)</t>
        </is>
      </c>
    </row>
    <row r="22">
      <c r="A22" s="56" t="inlineStr">
        <is>
          <t>H-02</t>
        </is>
      </c>
      <c r="B22" s="56" t="inlineStr">
        <is>
          <t>Cobertura vegetal total</t>
        </is>
      </c>
      <c r="C22" s="56" t="inlineStr">
        <is>
          <t>La ficha DT estima 70 % de cobertura vegetal en campo; el NDVI mediana 2025 clasifica 99.39 % del polígono en clases de vegetación</t>
        </is>
      </c>
      <c r="D22" s="56" t="inlineStr">
        <is>
          <t>NO SUSTANTIVA</t>
        </is>
      </c>
      <c r="E22" s="56" t="inlineStr">
        <is>
          <t>Se declaran ambos valores. La observación de campo corresponde a una parcela o recorrido puntual y no es representativa de la totalidad del bloque; el índice espectral no discrimina composición ni integridad ecosistémica. (Verificación heredada de la ficha de resumen V6.)</t>
        </is>
      </c>
    </row>
    <row r="23">
      <c r="A23" s="55" t="inlineStr">
        <is>
          <t>H-03</t>
        </is>
      </c>
      <c r="B23" s="55" t="inlineStr">
        <is>
          <t>Elenco florístico</t>
        </is>
      </c>
      <c r="C23" s="55" t="inlineStr">
        <is>
          <t>La ficha registra 7 taxones, por debajo del mínimo de 15 que exige el formato V5</t>
        </is>
      </c>
      <c r="D23" s="55" t="inlineStr">
        <is>
          <t>SUSTANTIVA</t>
        </is>
      </c>
      <c r="E23" s="55" t="inlineStr">
        <is>
          <t>Registro florístico preliminar, sin colecta ni determinación botánica formal. Debe cerrarse con colecta botánica en la siguiente campaña. (Verificación heredada de la ficha de resumen V6.)</t>
        </is>
      </c>
    </row>
    <row r="24">
      <c r="A24" s="56" t="inlineStr">
        <is>
          <t>H-04</t>
        </is>
      </c>
      <c r="B24" s="56" t="inlineStr">
        <is>
          <t>Representatividad del levantamiento</t>
        </is>
      </c>
      <c r="C24" s="56" t="inlineStr">
        <is>
          <t>Ninguna de las estaciones fotográficas georreferenciadas se localiza dentro del polígono del bloque</t>
        </is>
      </c>
      <c r="D24" s="56" t="inlineStr">
        <is>
          <t>SUSTANTIVA</t>
        </is>
      </c>
      <c r="E24" s="56" t="inlineStr">
        <is>
          <t>La verificación documenta el perímetro y la vista panorámica del bloque, no su interior. Los parámetros que exigen recorrido interno se consignan «Por determinar». (Verificación heredada de la ficha de resumen V6.)</t>
        </is>
      </c>
    </row>
    <row r="25">
      <c r="A25" s="55" t="inlineStr">
        <is>
          <t>H-05</t>
        </is>
      </c>
      <c r="B25" s="55" t="inlineStr">
        <is>
          <t>Centro poblado asociado</t>
        </is>
      </c>
      <c r="C25" s="55" t="inlineStr">
        <is>
          <t>La ficha DT declara «Nueva Esperanza de Los Molinos y Faicalito»; el cruce INEI-Bloques V5 identifica 2 centro(s) poblado(s) en el bloque: FAICALITO, NUEVA ESPERANZA</t>
        </is>
      </c>
      <c r="D25" s="55" t="inlineStr">
        <is>
          <t>CONFORME</t>
        </is>
      </c>
      <c r="E25" s="55" t="inlineStr">
        <is>
          <t>Se conserva el registro de campo como referencia y se adopta el listado INEI para el diagnóstico social y el cálculo de población beneficiaria. (Verificación heredada de la ficha de resumen V6.)</t>
        </is>
      </c>
    </row>
    <row r="26">
      <c r="A26" s="56" t="inlineStr">
        <is>
          <t>H-06</t>
        </is>
      </c>
      <c r="B26" s="56" t="inlineStr">
        <is>
          <t>Ficha DT</t>
        </is>
      </c>
      <c r="C26" s="56" t="inlineStr">
        <is>
          <t>La ficha consigna microcuenca C1076-Q9584; el catálogo maestro asigna a M12B1 la microcuenca C1076-Q9588</t>
        </is>
      </c>
      <c r="D26" s="56" t="inlineStr">
        <is>
          <t>SUSTANTIVA</t>
        </is>
      </c>
      <c r="E26" s="56" t="inlineStr">
        <is>
          <t>Valor por defecto de la plantilla; se conserva el del catálogo (Verificación heredada de la ficha de resumen V6.)</t>
        </is>
      </c>
    </row>
    <row r="27">
      <c r="A27" s="55" t="inlineStr">
        <is>
          <t>H-07</t>
        </is>
      </c>
      <c r="B27" s="55" t="inlineStr">
        <is>
          <t>F-DT-01</t>
        </is>
      </c>
      <c r="C27" s="55" t="inlineStr">
        <is>
          <t>D-04: la sección 3 responde «No» a afloramientos rocosos mientras la narrativa afirma que «presenta afloramiento rocoso»</t>
        </is>
      </c>
      <c r="D27" s="55" t="inlineStr">
        <is>
          <t>SUSTANTIVA</t>
        </is>
      </c>
      <c r="E27" s="55" t="inlineStr">
        <is>
          <t>Inconsistencia interna a corregir (Verificación heredada de la ficha de resumen V6.)</t>
        </is>
      </c>
    </row>
    <row r="28">
      <c r="A28" s="56" t="inlineStr">
        <is>
          <t>H-08</t>
        </is>
      </c>
      <c r="B28" s="56" t="inlineStr">
        <is>
          <t>F-DT-02</t>
        </is>
      </c>
      <c r="C28" s="56" t="inlineStr">
        <is>
          <t>Sin ficha F-DT-02 firmada en el ANEXO 01; inventario de cárcavas pendiente</t>
        </is>
      </c>
      <c r="D28" s="56" t="inlineStr">
        <is>
          <t>SUSTANTIVA</t>
        </is>
      </c>
      <c r="E28" s="56" t="inlineStr">
        <is>
          <t>Levantamiento pendiente (Verificación heredada de la ficha de resumen V6.)</t>
        </is>
      </c>
    </row>
    <row r="29">
      <c r="A29" s="55" t="inlineStr">
        <is>
          <t>H-09</t>
        </is>
      </c>
      <c r="B29" s="55" t="inlineStr">
        <is>
          <t>F-DT-03</t>
        </is>
      </c>
      <c r="C29" s="55" t="inlineStr">
        <is>
          <t>D-05: altura del estrato dominante (9 m) y DAP (30 cm) de la sección 3 no coinciden con las observaciones (&lt;8 m y &lt;20 cm)</t>
        </is>
      </c>
      <c r="D29" s="55" t="inlineStr">
        <is>
          <t>SUSTANTIVA</t>
        </is>
      </c>
      <c r="E29" s="55" t="inlineStr">
        <is>
          <t>Inconsistencia interna a resolver (Verificación heredada de la ficha de resumen V6.)</t>
        </is>
      </c>
    </row>
    <row r="30">
      <c r="A30" s="56" t="inlineStr">
        <is>
          <t>H-10</t>
        </is>
      </c>
      <c r="B30" s="56" t="inlineStr">
        <is>
          <t>F-DT-04</t>
        </is>
      </c>
      <c r="C30" s="56" t="inlineStr">
        <is>
          <t>Densidad de cárcavas 1 N.°/ha frente a inventario de 0 cárcavas; % pendiente &gt;50% = 35% calificado «Bajo»</t>
        </is>
      </c>
      <c r="D30" s="56" t="inlineStr">
        <is>
          <t>SUSTANTIVA</t>
        </is>
      </c>
      <c r="E30" s="56" t="inlineStr">
        <is>
          <t>Inconsistencias internas a resolver (Verificación heredada de la ficha de resumen V6.)</t>
        </is>
      </c>
    </row>
    <row r="31">
      <c r="A31" s="55" t="inlineStr">
        <is>
          <t>H-11</t>
        </is>
      </c>
      <c r="B31" s="55" t="inlineStr">
        <is>
          <t>F-DT-05</t>
        </is>
      </c>
      <c r="C31" s="55" t="inlineStr">
        <is>
          <t>Sin ficha F-DT-05 en el ANEXO 01</t>
        </is>
      </c>
      <c r="D31" s="55" t="inlineStr">
        <is>
          <t>SUSTANTIVA</t>
        </is>
      </c>
      <c r="E31" s="55" t="inlineStr">
        <is>
          <t>Inventario hídrico y accesibilidad por completar (Verificación heredada de la ficha de resumen V6.)</t>
        </is>
      </c>
    </row>
    <row r="33">
      <c r="A33" s="57" t="inlineStr">
        <is>
          <t>RESUMEN</t>
        </is>
      </c>
      <c r="B33" s="58" t="inlineStr">
        <is>
          <t>23 verificaciones</t>
        </is>
      </c>
      <c r="C33" s="58" t="inlineStr">
        <is>
          <t>SUSTANTIVA: 9 · NO SUSTANTIVA: 2 · CONFORME: 12</t>
        </is>
      </c>
    </row>
    <row r="35">
      <c r="A35" s="59" t="inlineStr">
        <is>
          <t>NOTA METODOLÓGICA. Este control se genera del cruce automático entre la plantilla DT de campo vigente (fichas F-DT-01 a F-DT-05) y la ficha de resumen de gabinete. Cada hecho territorial se declara una sola vez, con la fuente que manda sobre el: campo para lo observado en terreno, gabinete para lo derivado del MDE y de los compuestos Sentinel-2, y fuente oficial para el catálogo maestro de bloques, la división política INEI y la codificación de microcuencas de la ANA. Ningún valor ausente se estima: lo que ninguna fuente declara se consigna como pendiente. Sistema de referencia UTM WGS 84 Zona 17S (EPSG:32717).</t>
        </is>
      </c>
    </row>
  </sheetData>
  <mergeCells count="7">
    <mergeCell ref="A35:E35"/>
    <mergeCell ref="A4:E4"/>
    <mergeCell ref="A2:E2"/>
    <mergeCell ref="A1:E1"/>
    <mergeCell ref="A5:E5"/>
    <mergeCell ref="A6:E6"/>
    <mergeCell ref="A3:E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53"/>
  <sheetViews>
    <sheetView workbookViewId="0">
      <selection activeCell="A1" sqref="A1"/>
    </sheetView>
  </sheetViews>
  <sheetFormatPr baseColWidth="8" defaultRowHeight="15"/>
  <cols>
    <col width="34" customWidth="1" min="1" max="1"/>
    <col width="38" customWidth="1" min="2" max="2"/>
    <col width="44" customWidth="1" min="3" max="3"/>
    <col width="44" customWidth="1" min="4" max="4"/>
    <col width="24" customWidth="1" min="5" max="5"/>
    <col width="18" customWidth="1" min="6" max="6"/>
  </cols>
  <sheetData>
    <row r="1">
      <c r="A1" s="50" t="inlineStr">
        <is>
          <t>AUTORIDAD NACIONAL DE INFRAESTRUCTURA - ANIN</t>
        </is>
      </c>
    </row>
    <row r="2">
      <c r="A2" s="50" t="inlineStr">
        <is>
          <t>DIRECCION DE INTERVENCIONES MULTISECTORIALES Y DE EMERGENCIA - DIME</t>
        </is>
      </c>
    </row>
    <row r="3">
      <c r="A3" s="50" t="inlineStr">
        <is>
          <t>SUBDIRECCION DE ESTUDIOS DE INVERSION - SESDI</t>
        </is>
      </c>
    </row>
    <row r="4">
      <c r="A4" s="51" t="inlineStr">
        <is>
          <t>PROYECTO IN PIURA | CUI 2669244 | Recuperacion del servicio de regulacion de riesgos naturales y de ecosistemas degradados - Cuenca Alta del Rio Piura</t>
        </is>
      </c>
    </row>
    <row r="5" ht="22" customHeight="1">
      <c r="A5" s="52" t="inlineStr">
        <is>
          <t>INTEGRACIÓN DE LA FICHA DE CAMPO — BLOQUE M12B1</t>
        </is>
      </c>
    </row>
    <row r="7">
      <c r="A7" s="53" t="inlineStr">
        <is>
          <t>A. HECHOS ACTUALIZADOS POR LA VERIFICACIÓN DE CAMPO</t>
        </is>
      </c>
    </row>
    <row r="8">
      <c r="A8" s="54" t="inlineStr">
        <is>
          <t>Sección</t>
        </is>
      </c>
      <c r="B8" s="54" t="inlineStr">
        <is>
          <t>Hecho</t>
        </is>
      </c>
      <c r="C8" s="54" t="inlineStr">
        <is>
          <t>Valor en la ficha V6</t>
        </is>
      </c>
      <c r="D8" s="54" t="inlineStr">
        <is>
          <t>Valor de campo vigente</t>
        </is>
      </c>
      <c r="E8" s="54" t="inlineStr">
        <is>
          <t>Fuente que manda</t>
        </is>
      </c>
    </row>
    <row r="9">
      <c r="A9" s="55" t="inlineStr">
        <is>
          <t>—</t>
        </is>
      </c>
      <c r="B9" s="55" t="inlineStr">
        <is>
          <t>Sin cambios: la ficha de campo confirma el libro V6</t>
        </is>
      </c>
      <c r="C9" s="55" t="inlineStr"/>
      <c r="D9" s="55" t="inlineStr"/>
      <c r="E9" s="55" t="inlineStr"/>
    </row>
    <row r="11">
      <c r="A11" s="53" t="inlineStr">
        <is>
          <t>B. HECHOS APORTADOS ÚNICAMENTE POR LA FICHA DE CAMPO</t>
        </is>
      </c>
    </row>
    <row r="12">
      <c r="A12" s="54" t="inlineStr">
        <is>
          <t>Sección</t>
        </is>
      </c>
      <c r="B12" s="54" t="inlineStr">
        <is>
          <t>Hecho</t>
        </is>
      </c>
      <c r="C12" s="54" t="inlineStr">
        <is>
          <t>Valor</t>
        </is>
      </c>
      <c r="D12" s="54" t="inlineStr">
        <is>
          <t>Unidad</t>
        </is>
      </c>
    </row>
    <row r="13">
      <c r="A13" s="55" t="inlineStr">
        <is>
          <t>1. Identificación y localización</t>
        </is>
      </c>
      <c r="B13" s="55" t="inlineStr">
        <is>
          <t>UTM ESTE del punto de muestreo (m)</t>
        </is>
      </c>
      <c r="C13" s="55" t="inlineStr">
        <is>
          <t>643508</t>
        </is>
      </c>
      <c r="D13" s="55" t="inlineStr">
        <is>
          <t>m</t>
        </is>
      </c>
    </row>
    <row r="14">
      <c r="A14" s="56" t="inlineStr">
        <is>
          <t>1. Identificación y localización</t>
        </is>
      </c>
      <c r="B14" s="56" t="inlineStr">
        <is>
          <t>UTM NORTE del punto de muestreo (m)</t>
        </is>
      </c>
      <c r="C14" s="56" t="inlineStr">
        <is>
          <t>9389713</t>
        </is>
      </c>
      <c r="D14" s="56" t="inlineStr">
        <is>
          <t>m</t>
        </is>
      </c>
    </row>
    <row r="15">
      <c r="A15" s="55" t="inlineStr">
        <is>
          <t>2. Parámetros físicos del terreno</t>
        </is>
      </c>
      <c r="B15" s="55" t="inlineStr">
        <is>
          <t>Altitud GPS del punto de muestreo (msnm)</t>
        </is>
      </c>
      <c r="C15" s="55" t="inlineStr">
        <is>
          <t>340</t>
        </is>
      </c>
      <c r="D15" s="55" t="inlineStr">
        <is>
          <t>msnm</t>
        </is>
      </c>
    </row>
    <row r="16">
      <c r="A16" s="56" t="inlineStr">
        <is>
          <t>2. Parámetros físicos del terreno</t>
        </is>
      </c>
      <c r="B16" s="56" t="inlineStr">
        <is>
          <t>Piso altitudinal del punto de muestreo</t>
        </is>
      </c>
      <c r="C16" s="56" t="inlineStr">
        <is>
          <t>&lt;1000 m (Yunga)</t>
        </is>
      </c>
      <c r="D16" s="56" t="inlineStr"/>
    </row>
    <row r="17">
      <c r="A17" s="55" t="inlineStr">
        <is>
          <t>2. Parámetros físicos del terreno</t>
        </is>
      </c>
      <c r="B17" s="55" t="inlineStr">
        <is>
          <t>Paisaje dominante descrito en campo</t>
        </is>
      </c>
      <c r="C17" s="55" t="inlineStr">
        <is>
          <t>Sistema de laderas convexo-cóncavas tributarias de la quebrada Q9588 (microcuenca C1076), con altitudes de 320 a 700 msnm y desniveles internos. Paisaje de colina media, dominado por bosque estacionalmente seco de colina y montaña y zona agrícola.</t>
        </is>
      </c>
      <c r="D17" s="55" t="inlineStr"/>
    </row>
    <row r="18">
      <c r="A18" s="56" t="inlineStr">
        <is>
          <t>2. Parámetros físicos del terreno</t>
        </is>
      </c>
      <c r="B18" s="56" t="inlineStr">
        <is>
          <t>Reptación de suelo</t>
        </is>
      </c>
      <c r="C18" s="56" t="inlineStr">
        <is>
          <t>No</t>
        </is>
      </c>
      <c r="D18" s="56" t="inlineStr"/>
    </row>
    <row r="19">
      <c r="A19" s="55" t="inlineStr">
        <is>
          <t>2. Parámetros físicos del terreno</t>
        </is>
      </c>
      <c r="B19" s="55" t="inlineStr">
        <is>
          <t>Deslizamientos antiguos</t>
        </is>
      </c>
      <c r="C19" s="55" t="inlineStr">
        <is>
          <t>No</t>
        </is>
      </c>
      <c r="D19" s="55" t="inlineStr"/>
    </row>
    <row r="20">
      <c r="A20" s="56" t="inlineStr">
        <is>
          <t>4. Suelos y erosión (F-DT-02)</t>
        </is>
      </c>
      <c r="B20" s="56" t="inlineStr">
        <is>
          <t>Nivel de erosión - síntesis de campo</t>
        </is>
      </c>
      <c r="C20" s="56" t="inlineStr">
        <is>
          <t>Moderada (surcos)</t>
        </is>
      </c>
      <c r="D20" s="56" t="inlineStr"/>
    </row>
    <row r="21">
      <c r="A21" s="55" t="inlineStr">
        <is>
          <t>4. Suelos y erosión (F-DT-02)</t>
        </is>
      </c>
      <c r="B21" s="55" t="inlineStr">
        <is>
          <t>Compactación por pisoteo</t>
        </is>
      </c>
      <c r="C21" s="55" t="inlineStr">
        <is>
          <t>Sí</t>
        </is>
      </c>
      <c r="D21" s="55" t="inlineStr"/>
    </row>
    <row r="22">
      <c r="A22" s="56" t="inlineStr">
        <is>
          <t>4. Suelos y erosión (F-DT-02)</t>
        </is>
      </c>
      <c r="B22" s="56" t="inlineStr">
        <is>
          <t>Longitud total de cárcavas (m)</t>
        </is>
      </c>
      <c r="C22" s="56" t="inlineStr">
        <is>
          <t>0</t>
        </is>
      </c>
      <c r="D22" s="56" t="inlineStr">
        <is>
          <t>m</t>
        </is>
      </c>
    </row>
    <row r="23">
      <c r="A23" s="55" t="inlineStr">
        <is>
          <t>4. Suelos y erosión (F-DT-02)</t>
        </is>
      </c>
      <c r="B23" s="55" t="inlineStr">
        <is>
          <t>% del bloque afectado por cárcavas</t>
        </is>
      </c>
      <c r="C23" s="55" t="inlineStr">
        <is>
          <t>0</t>
        </is>
      </c>
      <c r="D23" s="55" t="inlineStr">
        <is>
          <t>%</t>
        </is>
      </c>
    </row>
    <row r="24">
      <c r="A24" s="56" t="inlineStr">
        <is>
          <t>4. Suelos y erosión (F-DT-02)</t>
        </is>
      </c>
      <c r="B24" s="56" t="inlineStr">
        <is>
          <t>Socavamiento de cauce</t>
        </is>
      </c>
      <c r="C24" s="56" t="inlineStr">
        <is>
          <t>No</t>
        </is>
      </c>
      <c r="D24" s="56" t="inlineStr"/>
    </row>
    <row r="25">
      <c r="A25" s="55" t="inlineStr">
        <is>
          <t>5. Ecosistema, cobertura y flora (F-DT-03)</t>
        </is>
      </c>
      <c r="B25" s="55" t="inlineStr">
        <is>
          <t>Cobertura del dosel (%)</t>
        </is>
      </c>
      <c r="C25" s="55" t="inlineStr">
        <is>
          <t>70</t>
        </is>
      </c>
      <c r="D25" s="55" t="inlineStr">
        <is>
          <t>%</t>
        </is>
      </c>
    </row>
    <row r="26">
      <c r="A26" s="56" t="inlineStr">
        <is>
          <t>5. Ecosistema, cobertura y flora (F-DT-03)</t>
        </is>
      </c>
      <c r="B26" s="56" t="inlineStr">
        <is>
          <t>Cobertura arbustiva (%)</t>
        </is>
      </c>
      <c r="C26" s="56" t="inlineStr">
        <is>
          <t>15</t>
        </is>
      </c>
      <c r="D26" s="56" t="inlineStr">
        <is>
          <t>%</t>
        </is>
      </c>
    </row>
    <row r="27">
      <c r="A27" s="55" t="inlineStr">
        <is>
          <t>5. Ecosistema, cobertura y flora (F-DT-03)</t>
        </is>
      </c>
      <c r="B27" s="55" t="inlineStr">
        <is>
          <t>Cobertura herbácea (%)</t>
        </is>
      </c>
      <c r="C27" s="55" t="inlineStr">
        <is>
          <t>10</t>
        </is>
      </c>
      <c r="D27" s="55" t="inlineStr">
        <is>
          <t>%</t>
        </is>
      </c>
    </row>
    <row r="28">
      <c r="A28" s="56" t="inlineStr">
        <is>
          <t>5. Ecosistema, cobertura y flora (F-DT-03)</t>
        </is>
      </c>
      <c r="B28" s="56" t="inlineStr">
        <is>
          <t>Cobertura de hojarasca (%)</t>
        </is>
      </c>
      <c r="C28" s="56" t="inlineStr">
        <is>
          <t>5</t>
        </is>
      </c>
      <c r="D28" s="56" t="inlineStr">
        <is>
          <t>%</t>
        </is>
      </c>
    </row>
    <row r="29">
      <c r="A29" s="55" t="inlineStr">
        <is>
          <t>5. Ecosistema, cobertura y flora (F-DT-03)</t>
        </is>
      </c>
      <c r="B29" s="55" t="inlineStr">
        <is>
          <t>Altura del estrato dominante (m)</t>
        </is>
      </c>
      <c r="C29" s="55" t="inlineStr">
        <is>
          <t>9</t>
        </is>
      </c>
      <c r="D29" s="55" t="inlineStr">
        <is>
          <t>m</t>
        </is>
      </c>
    </row>
    <row r="30">
      <c r="A30" s="56" t="inlineStr">
        <is>
          <t>5. Ecosistema, cobertura y flora (F-DT-03)</t>
        </is>
      </c>
      <c r="B30" s="56" t="inlineStr">
        <is>
          <t>Altura máxima registrada (m)</t>
        </is>
      </c>
      <c r="C30" s="56" t="inlineStr">
        <is>
          <t>12</t>
        </is>
      </c>
      <c r="D30" s="56" t="inlineStr">
        <is>
          <t>m</t>
        </is>
      </c>
    </row>
    <row r="31">
      <c r="A31" s="55" t="inlineStr">
        <is>
          <t>5. Ecosistema, cobertura y flora (F-DT-03)</t>
        </is>
      </c>
      <c r="B31" s="55" t="inlineStr">
        <is>
          <t>DAP promedio (cm)</t>
        </is>
      </c>
      <c r="C31" s="55" t="inlineStr">
        <is>
          <t>30</t>
        </is>
      </c>
      <c r="D31" s="55" t="inlineStr">
        <is>
          <t>cm</t>
        </is>
      </c>
    </row>
    <row r="32">
      <c r="A32" s="56" t="inlineStr">
        <is>
          <t>5. Ecosistema, cobertura y flora (F-DT-03)</t>
        </is>
      </c>
      <c r="B32" s="56" t="inlineStr">
        <is>
          <t>Presencia de epífitas</t>
        </is>
      </c>
      <c r="C32" s="56" t="inlineStr">
        <is>
          <t>No</t>
        </is>
      </c>
      <c r="D32" s="56" t="inlineStr"/>
    </row>
    <row r="33">
      <c r="A33" s="55" t="inlineStr">
        <is>
          <t>5. Ecosistema, cobertura y flora (F-DT-03)</t>
        </is>
      </c>
      <c r="B33" s="55" t="inlineStr">
        <is>
          <t>Fenología dominante</t>
        </is>
      </c>
      <c r="C33" s="55" t="inlineStr">
        <is>
          <t>Vegetativo</t>
        </is>
      </c>
      <c r="D33" s="55" t="inlineStr"/>
    </row>
    <row r="34">
      <c r="A34" s="56" t="inlineStr">
        <is>
          <t>5. Ecosistema, cobertura y flora (F-DT-03)</t>
        </is>
      </c>
      <c r="B34" s="56" t="inlineStr">
        <is>
          <t>Especies clave georreferenciadas</t>
        </is>
      </c>
      <c r="C34" s="56" t="inlineStr">
        <is>
          <t>3</t>
        </is>
      </c>
      <c r="D34" s="56" t="inlineStr"/>
    </row>
    <row r="35">
      <c r="A35" s="55" t="inlineStr">
        <is>
          <t>6. Degradación, causas y urgencia (F-DT-04)</t>
        </is>
      </c>
      <c r="B35" s="55" t="inlineStr">
        <is>
          <t>Causas directas de la degradación</t>
        </is>
      </c>
      <c r="C35" s="55" t="inlineStr">
        <is>
          <t>La degradación leve del ecosistema se debe principalmente a las actividades de pastoreo de ganado caprino y a la extracción de leña para uso doméstico.</t>
        </is>
      </c>
      <c r="D35" s="55" t="inlineStr"/>
    </row>
    <row r="36">
      <c r="A36" s="56" t="inlineStr">
        <is>
          <t>6. Degradación, causas y urgencia (F-DT-04)</t>
        </is>
      </c>
      <c r="B36" s="56" t="inlineStr">
        <is>
          <t>N.° de causas activas en la matriz F-DT-04</t>
        </is>
      </c>
      <c r="C36" s="56" t="inlineStr">
        <is>
          <t>3</t>
        </is>
      </c>
      <c r="D36" s="56" t="inlineStr"/>
    </row>
    <row r="37">
      <c r="A37" s="55" t="inlineStr">
        <is>
          <t>7. Hidrología, acceso y logística (F-DT-05)</t>
        </is>
      </c>
      <c r="B37" s="55" t="inlineStr">
        <is>
          <t>Escorrentía concentrada</t>
        </is>
      </c>
      <c r="C37" s="55" t="inlineStr">
        <is>
          <t>Sí</t>
        </is>
      </c>
      <c r="D37" s="55" t="inlineStr"/>
    </row>
    <row r="38">
      <c r="A38" s="56" t="inlineStr">
        <is>
          <t>7. Hidrología, acceso y logística (F-DT-05)</t>
        </is>
      </c>
      <c r="B38" s="56" t="inlineStr">
        <is>
          <t>Vía principal de acceso</t>
        </is>
      </c>
      <c r="C38" s="56" t="inlineStr">
        <is>
          <t>Vía afirmada de acceso a Nueva Esperanza de Los Molinos, margen derecha del río Huarmaca</t>
        </is>
      </c>
      <c r="D38" s="56" t="inlineStr"/>
    </row>
    <row r="39">
      <c r="A39" s="55" t="inlineStr">
        <is>
          <t>7. Hidrología, acceso y logística (F-DT-05)</t>
        </is>
      </c>
      <c r="B39" s="55" t="inlineStr">
        <is>
          <t>Tipo de vía del tramo final</t>
        </is>
      </c>
      <c r="C39" s="55" t="inlineStr">
        <is>
          <t>Camino de herradura</t>
        </is>
      </c>
      <c r="D39" s="55" t="inlineStr"/>
    </row>
    <row r="41">
      <c r="A41" s="53" t="inlineStr">
        <is>
          <t>C. PROCEDENCIA DE LOS HECHOS DECLARADOS</t>
        </is>
      </c>
    </row>
    <row r="42">
      <c r="A42" s="54" t="inlineStr">
        <is>
          <t>Fuente</t>
        </is>
      </c>
      <c r="B42" s="54" t="inlineStr">
        <is>
          <t>Hechos</t>
        </is>
      </c>
      <c r="C42" s="54" t="inlineStr">
        <is>
          <t>Alcance de la fuente</t>
        </is>
      </c>
    </row>
    <row r="43">
      <c r="A43" s="55" t="inlineStr">
        <is>
          <t>Dato de campo</t>
        </is>
      </c>
      <c r="B43" s="55" t="n">
        <v>55</v>
      </c>
      <c r="C43" s="55" t="inlineStr">
        <is>
          <t>Verificación en campo. Fichas F-DT-01 a F-DT-05 de la Plantilla DT Campo Check Validada V5, suscritas por el evaluador.</t>
        </is>
      </c>
    </row>
    <row r="44">
      <c r="A44" s="56" t="inlineStr">
        <is>
          <t>Gabinete (GIS / teledetección)</t>
        </is>
      </c>
      <c r="B44" s="56" t="n">
        <v>25</v>
      </c>
      <c r="C44" s="56" t="inlineStr">
        <is>
          <t>Gabinete. Estadística zonal sobre el MDE y compuestos Sentinel-2 (NDVI mediana 2025, MSAVI 2024 por clase DN).</t>
        </is>
      </c>
    </row>
    <row r="45">
      <c r="A45" s="55" t="inlineStr">
        <is>
          <t>Fuente oficial</t>
        </is>
      </c>
      <c r="B45" s="55" t="n">
        <v>14</v>
      </c>
      <c r="C45" s="55" t="inlineStr">
        <is>
          <t>Fuente oficial. Catálogo maestro Bloques V5/V6, división política INEI y codificación de microcuencas de la ANA.</t>
        </is>
      </c>
    </row>
    <row r="47">
      <c r="A47" s="53" t="inlineStr">
        <is>
          <t>D. ESTADO DEL CRUCE ENTRE FUENTES</t>
        </is>
      </c>
    </row>
    <row r="48">
      <c r="A48" s="54" t="inlineStr">
        <is>
          <t>Estado</t>
        </is>
      </c>
      <c r="B48" s="54" t="inlineStr">
        <is>
          <t>Hechos</t>
        </is>
      </c>
      <c r="C48" s="54" t="inlineStr">
        <is>
          <t>Significado</t>
        </is>
      </c>
    </row>
    <row r="49">
      <c r="A49" s="55" t="inlineStr">
        <is>
          <t>CONFORME</t>
        </is>
      </c>
      <c r="B49" s="55" t="n">
        <v>91</v>
      </c>
      <c r="C49" s="55" t="inlineStr">
        <is>
          <t>Las dos fuentes declaran lo mismo, o solo la fuente que manda sobre el hecho lo declara.</t>
        </is>
      </c>
    </row>
    <row r="50">
      <c r="A50" s="56" t="inlineStr">
        <is>
          <t>COMPLEMENTADO</t>
        </is>
      </c>
      <c r="B50" s="56" t="n">
        <v>3</v>
      </c>
      <c r="C50" s="56" t="inlineStr">
        <is>
          <t>Solo una de las fuentes lo declara y se adopta ese valor.</t>
        </is>
      </c>
    </row>
    <row r="51">
      <c r="A51" s="55" t="inlineStr">
        <is>
          <t>ACTUALIZADO</t>
        </is>
      </c>
      <c r="B51" s="55" t="n">
        <v>0</v>
      </c>
      <c r="C51" s="55" t="inlineStr">
        <is>
          <t>La verificación de campo vigente corrige lo que traía el libro de resumen.</t>
        </is>
      </c>
    </row>
    <row r="52">
      <c r="A52" s="56" t="inlineStr">
        <is>
          <t>DISCREPANTE</t>
        </is>
      </c>
      <c r="B52" s="56" t="n">
        <v>0</v>
      </c>
      <c r="C52" s="56" t="inlineStr">
        <is>
          <t>Las fuentes se contradicen; prevalece la que manda sobre el hecho y la otra queda declarada.</t>
        </is>
      </c>
    </row>
    <row r="53">
      <c r="A53" s="55" t="inlineStr">
        <is>
          <t>PENDIENTE</t>
        </is>
      </c>
      <c r="B53" s="55" t="n">
        <v>20</v>
      </c>
      <c r="C53" s="55" t="inlineStr">
        <is>
          <t>Ninguna fuente lo declara; no se estima valor alguno.</t>
        </is>
      </c>
    </row>
  </sheetData>
  <mergeCells count="5">
    <mergeCell ref="A2:F2"/>
    <mergeCell ref="A1:F1"/>
    <mergeCell ref="A5:F5"/>
    <mergeCell ref="A4:F4"/>
    <mergeCell ref="A3:F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67"/>
  <sheetViews>
    <sheetView workbookViewId="0">
      <selection activeCell="A1" sqref="A1"/>
    </sheetView>
  </sheetViews>
  <sheetFormatPr baseColWidth="8" defaultRowHeight="15"/>
  <cols>
    <col width="8" customWidth="1" min="1" max="1"/>
    <col width="30" customWidth="1" min="2" max="2"/>
    <col width="30" customWidth="1" min="3" max="3"/>
    <col width="22" customWidth="1" min="4" max="4"/>
    <col width="20" customWidth="1" min="5" max="5"/>
    <col width="16" customWidth="1" min="6" max="6"/>
    <col width="16" customWidth="1" min="7" max="7"/>
    <col width="20" customWidth="1" min="8" max="8"/>
    <col width="34" customWidth="1" min="9" max="9"/>
  </cols>
  <sheetData>
    <row r="1">
      <c r="A1" s="50" t="inlineStr">
        <is>
          <t>AUTORIDAD NACIONAL DE INFRAESTRUCTURA - ANIN</t>
        </is>
      </c>
    </row>
    <row r="2">
      <c r="A2" s="50" t="inlineStr">
        <is>
          <t>DIRECCION DE INTERVENCIONES MULTISECTORIALES Y DE EMERGENCIA - DIME</t>
        </is>
      </c>
    </row>
    <row r="3">
      <c r="A3" s="50" t="inlineStr">
        <is>
          <t>SUBDIRECCION DE ESTUDIOS DE INVERSION - SESDI</t>
        </is>
      </c>
    </row>
    <row r="4">
      <c r="A4" s="51" t="inlineStr">
        <is>
          <t>PROYECTO IN PIURA | CUI 2669244 | Recuperacion del servicio de regulacion de riesgos naturales y de ecosistemas degradados - Cuenca Alta del Rio Piura</t>
        </is>
      </c>
    </row>
    <row r="5" ht="22" customHeight="1">
      <c r="A5" s="52" t="inlineStr">
        <is>
          <t>REGISTRO DE CAMPO F-DT-01 A F-DT-05 — BLOQUE M12B1</t>
        </is>
      </c>
    </row>
    <row r="7">
      <c r="A7" s="53" t="inlineStr">
        <is>
          <t>F-DT-02 · INVENTARIO DE CÁRCAVAS</t>
        </is>
      </c>
    </row>
    <row r="8">
      <c r="A8" s="54" t="inlineStr">
        <is>
          <t>Código</t>
        </is>
      </c>
      <c r="B8" s="54" t="inlineStr">
        <is>
          <t>Tipo</t>
        </is>
      </c>
      <c r="C8" s="54" t="inlineStr">
        <is>
          <t>UTM E ini.</t>
        </is>
      </c>
      <c r="D8" s="54" t="inlineStr">
        <is>
          <t>UTM N ini.</t>
        </is>
      </c>
      <c r="E8" s="54" t="inlineStr">
        <is>
          <t>Longitud (m)</t>
        </is>
      </c>
      <c r="F8" s="54" t="inlineStr">
        <is>
          <t>Prof. (m)</t>
        </is>
      </c>
      <c r="G8" s="54" t="inlineStr">
        <is>
          <t>Ancho (m)</t>
        </is>
      </c>
      <c r="H8" s="54" t="inlineStr">
        <is>
          <t>Estado</t>
        </is>
      </c>
      <c r="I8" s="54" t="inlineStr">
        <is>
          <t>Causa</t>
        </is>
      </c>
    </row>
    <row r="9">
      <c r="A9" s="55" t="inlineStr">
        <is>
          <t>Sin cárcavas inventariadas en el tramo verificado</t>
        </is>
      </c>
      <c r="B9" s="55" t="inlineStr"/>
      <c r="C9" s="55" t="inlineStr"/>
      <c r="D9" s="55" t="inlineStr"/>
      <c r="E9" s="55" t="inlineStr"/>
      <c r="F9" s="55" t="inlineStr"/>
      <c r="G9" s="55" t="inlineStr"/>
      <c r="H9" s="55" t="inlineStr"/>
      <c r="I9" s="55" t="inlineStr"/>
    </row>
    <row r="11">
      <c r="A11" s="53" t="inlineStr">
        <is>
          <t>F-DT-03 · ELENCO FLORÍSTICO</t>
        </is>
      </c>
    </row>
    <row r="12">
      <c r="A12" s="54" t="inlineStr">
        <is>
          <t>N.o</t>
        </is>
      </c>
      <c r="B12" s="54" t="inlineStr">
        <is>
          <t>Nombre común</t>
        </is>
      </c>
      <c r="C12" s="54" t="inlineStr">
        <is>
          <t>Nombre científico</t>
        </is>
      </c>
      <c r="D12" s="54" t="inlineStr">
        <is>
          <t>Familia</t>
        </is>
      </c>
      <c r="E12" s="54" t="inlineStr">
        <is>
          <t>Estrato</t>
        </is>
      </c>
      <c r="F12" s="54" t="inlineStr">
        <is>
          <t>Origen</t>
        </is>
      </c>
      <c r="G12" s="54" t="inlineStr">
        <is>
          <t>Abundancia</t>
        </is>
      </c>
      <c r="H12" s="54" t="inlineStr">
        <is>
          <t>DAP (cm)</t>
        </is>
      </c>
      <c r="I12" s="54" t="inlineStr">
        <is>
          <t>Altura (m)</t>
        </is>
      </c>
    </row>
    <row r="13">
      <c r="A13" s="55" t="inlineStr">
        <is>
          <t>1</t>
        </is>
      </c>
      <c r="B13" s="55" t="inlineStr">
        <is>
          <t>Faique</t>
        </is>
      </c>
      <c r="C13" s="55" t="inlineStr">
        <is>
          <t>Vachellia macracantha</t>
        </is>
      </c>
      <c r="D13" s="55" t="inlineStr">
        <is>
          <t>Fabaceae</t>
        </is>
      </c>
      <c r="E13" s="55" t="inlineStr">
        <is>
          <t>Arbóreo bajo (4-8 m)</t>
        </is>
      </c>
      <c r="F13" s="55" t="inlineStr">
        <is>
          <t>Nativa</t>
        </is>
      </c>
      <c r="G13" s="55" t="inlineStr">
        <is>
          <t>Ocasional (1-5%)</t>
        </is>
      </c>
      <c r="H13" s="60" t="n">
        <v>20</v>
      </c>
      <c r="I13" s="61" t="n">
        <v>5</v>
      </c>
    </row>
    <row r="14">
      <c r="A14" s="56" t="inlineStr">
        <is>
          <t>2</t>
        </is>
      </c>
      <c r="B14" s="56" t="inlineStr">
        <is>
          <t>Palo santo</t>
        </is>
      </c>
      <c r="C14" s="56" t="inlineStr">
        <is>
          <t>Bursera graveolens</t>
        </is>
      </c>
      <c r="D14" s="56" t="inlineStr">
        <is>
          <t>Burseraceae</t>
        </is>
      </c>
      <c r="E14" s="56" t="inlineStr">
        <is>
          <t>Arbóreo bajo (4-8 m)</t>
        </is>
      </c>
      <c r="F14" s="56" t="inlineStr">
        <is>
          <t>Nativa</t>
        </is>
      </c>
      <c r="G14" s="56" t="inlineStr">
        <is>
          <t>Ocasional (1-5%)</t>
        </is>
      </c>
      <c r="H14" s="62" t="n">
        <v>25</v>
      </c>
      <c r="I14" s="63" t="n">
        <v>7</v>
      </c>
    </row>
    <row r="15">
      <c r="A15" s="55" t="inlineStr">
        <is>
          <t>3</t>
        </is>
      </c>
      <c r="B15" s="55" t="inlineStr">
        <is>
          <t>Pasallo</t>
        </is>
      </c>
      <c r="C15" s="55" t="inlineStr">
        <is>
          <t>Eriotheca ruizii</t>
        </is>
      </c>
      <c r="D15" s="55" t="inlineStr">
        <is>
          <t>Malvaceae</t>
        </is>
      </c>
      <c r="E15" s="55" t="inlineStr">
        <is>
          <t>Arbóreo bajo (4-8 m)</t>
        </is>
      </c>
      <c r="F15" s="55" t="inlineStr">
        <is>
          <t>Nativa</t>
        </is>
      </c>
      <c r="G15" s="55" t="inlineStr">
        <is>
          <t>Ocasional (1-5%)</t>
        </is>
      </c>
      <c r="H15" s="60" t="n">
        <v>30</v>
      </c>
      <c r="I15" s="61" t="n">
        <v>6</v>
      </c>
    </row>
    <row r="16">
      <c r="A16" s="56" t="inlineStr">
        <is>
          <t>4</t>
        </is>
      </c>
      <c r="B16" s="56" t="inlineStr">
        <is>
          <t>Hualtaco</t>
        </is>
      </c>
      <c r="C16" s="56" t="inlineStr">
        <is>
          <t>Loxopterygium huasango</t>
        </is>
      </c>
      <c r="D16" s="56" t="inlineStr">
        <is>
          <t>Anacardiaceae</t>
        </is>
      </c>
      <c r="E16" s="56" t="inlineStr">
        <is>
          <t>Arbóreo bajo (4-8 m)</t>
        </is>
      </c>
      <c r="F16" s="56" t="inlineStr">
        <is>
          <t>Nativa</t>
        </is>
      </c>
      <c r="G16" s="56" t="inlineStr">
        <is>
          <t>Ocasional (1-5%)</t>
        </is>
      </c>
      <c r="H16" s="62" t="n">
        <v>30</v>
      </c>
      <c r="I16" s="63" t="n">
        <v>8</v>
      </c>
    </row>
    <row r="17">
      <c r="A17" s="55" t="inlineStr">
        <is>
          <t>5</t>
        </is>
      </c>
      <c r="B17" s="55" t="inlineStr">
        <is>
          <t>Charán</t>
        </is>
      </c>
      <c r="C17" s="55" t="inlineStr">
        <is>
          <t>Caesalpinia paipai</t>
        </is>
      </c>
      <c r="D17" s="55" t="inlineStr">
        <is>
          <t>Fabaceae</t>
        </is>
      </c>
      <c r="E17" s="55" t="inlineStr">
        <is>
          <t>Arbóreo bajo (4-8 m)</t>
        </is>
      </c>
      <c r="F17" s="55" t="inlineStr">
        <is>
          <t>Nativa</t>
        </is>
      </c>
      <c r="G17" s="55" t="inlineStr">
        <is>
          <t>Ocasional (1-5%)</t>
        </is>
      </c>
      <c r="H17" s="60" t="n">
        <v>20</v>
      </c>
      <c r="I17" s="61" t="n">
        <v>5</v>
      </c>
    </row>
    <row r="18">
      <c r="A18" s="56" t="inlineStr">
        <is>
          <t>6</t>
        </is>
      </c>
      <c r="B18" s="56" t="inlineStr">
        <is>
          <t>Overo</t>
        </is>
      </c>
      <c r="C18" s="56" t="inlineStr">
        <is>
          <t>Cordia lutea</t>
        </is>
      </c>
      <c r="D18" s="56" t="inlineStr">
        <is>
          <t>Boraginaceae</t>
        </is>
      </c>
      <c r="E18" s="56" t="inlineStr">
        <is>
          <t>Arbustivo alto (1.5-4 m)</t>
        </is>
      </c>
      <c r="F18" s="56" t="inlineStr">
        <is>
          <t>Nativa</t>
        </is>
      </c>
      <c r="G18" s="56" t="inlineStr">
        <is>
          <t>Frecuente (5-20%)</t>
        </is>
      </c>
      <c r="H18" s="62" t="n">
        <v>15</v>
      </c>
      <c r="I18" s="63" t="n">
        <v>4</v>
      </c>
    </row>
    <row r="19">
      <c r="A19" s="55" t="inlineStr">
        <is>
          <t>7</t>
        </is>
      </c>
      <c r="B19" s="55" t="inlineStr">
        <is>
          <t>Ceibo</t>
        </is>
      </c>
      <c r="C19" s="55" t="inlineStr">
        <is>
          <t>Ceiba trichistandra</t>
        </is>
      </c>
      <c r="D19" s="55" t="inlineStr">
        <is>
          <t>Malvaceae</t>
        </is>
      </c>
      <c r="E19" s="55" t="inlineStr">
        <is>
          <t>Arbóreo medio (8-15 m)</t>
        </is>
      </c>
      <c r="F19" s="55" t="inlineStr">
        <is>
          <t>Nativa</t>
        </is>
      </c>
      <c r="G19" s="55" t="inlineStr">
        <is>
          <t>Dominante (&gt;40%)</t>
        </is>
      </c>
      <c r="H19" s="60" t="n">
        <v>40</v>
      </c>
      <c r="I19" s="60" t="n">
        <v>10</v>
      </c>
    </row>
    <row r="21">
      <c r="A21" s="53" t="inlineStr">
        <is>
          <t>F-DT-03 · ESPECIES CLAVE GEORREFERENCIADAS</t>
        </is>
      </c>
    </row>
    <row r="22">
      <c r="A22" s="54" t="inlineStr">
        <is>
          <t>N.o</t>
        </is>
      </c>
      <c r="B22" s="54" t="inlineStr">
        <is>
          <t>Especie</t>
        </is>
      </c>
      <c r="C22" s="54" t="inlineStr">
        <is>
          <t>Categoría</t>
        </is>
      </c>
      <c r="D22" s="54" t="inlineStr">
        <is>
          <t>Estado UICN</t>
        </is>
      </c>
      <c r="E22" s="54" t="inlineStr">
        <is>
          <t>UTM ESTE</t>
        </is>
      </c>
      <c r="F22" s="54" t="inlineStr">
        <is>
          <t>UTM NORTE</t>
        </is>
      </c>
      <c r="G22" s="54" t="inlineStr">
        <is>
          <t>N.° individuos</t>
        </is>
      </c>
      <c r="H22" s="54" t="inlineStr">
        <is>
          <t>Observación</t>
        </is>
      </c>
    </row>
    <row r="23">
      <c r="A23" s="55" t="inlineStr">
        <is>
          <t>1</t>
        </is>
      </c>
      <c r="B23" s="55" t="inlineStr">
        <is>
          <t>Hualtaco (Loxopterygium huasango)</t>
        </is>
      </c>
      <c r="C23" s="55" t="inlineStr">
        <is>
          <t>Amenazada (D.S. 043-2006-AG)</t>
        </is>
      </c>
      <c r="D23" s="55" t="inlineStr">
        <is>
          <t>CR — En Peligro Crítico</t>
        </is>
      </c>
      <c r="E23" s="55" t="n"/>
      <c r="F23" s="55" t="n"/>
      <c r="G23" s="55" t="n"/>
      <c r="H23" s="55" t="inlineStr">
        <is>
          <t>Registrada en la ficha F-DT-03 como estrato arbóreo. Sin conteo ni georreferenciación individual: POR VERIFICAR.</t>
        </is>
      </c>
    </row>
    <row r="24">
      <c r="A24" s="56" t="inlineStr">
        <is>
          <t>2</t>
        </is>
      </c>
      <c r="B24" s="56" t="inlineStr">
        <is>
          <t>Palo santo (Bursera graveolens)</t>
        </is>
      </c>
      <c r="C24" s="56" t="inlineStr">
        <is>
          <t>Amenazada (D.S. 043-2006-AG)</t>
        </is>
      </c>
      <c r="D24" s="56" t="inlineStr">
        <is>
          <t>No aplica</t>
        </is>
      </c>
      <c r="E24" s="56" t="n"/>
      <c r="F24" s="56" t="n"/>
      <c r="G24" s="56" t="n"/>
      <c r="H24" s="56" t="inlineStr">
        <is>
          <t>Registrada en la ficha F-DT-03. Categoría nacional por confirmar con el estudio de ecosistema.</t>
        </is>
      </c>
    </row>
    <row r="25">
      <c r="A25" s="55" t="inlineStr">
        <is>
          <t>3</t>
        </is>
      </c>
      <c r="B25" s="55" t="inlineStr">
        <is>
          <t>Sapote (Colicodendron scabridum)</t>
        </is>
      </c>
      <c r="C25" s="55" t="inlineStr">
        <is>
          <t>Indicadora de buen estado</t>
        </is>
      </c>
      <c r="D25" s="55" t="inlineStr">
        <is>
          <t>No aplica</t>
        </is>
      </c>
      <c r="E25" s="55" t="n"/>
      <c r="F25" s="55" t="n"/>
      <c r="G25" s="55" t="n"/>
      <c r="H25" s="55" t="inlineStr">
        <is>
          <t>Citada en las observaciones de la ficha y en el 2do Entregable; no incluida en la tabla florística.</t>
        </is>
      </c>
    </row>
    <row r="27">
      <c r="A27" s="53" t="inlineStr">
        <is>
          <t>F-DT-04 · MATRIZ DE CAUSAS DE DEGRADACIÓN</t>
        </is>
      </c>
    </row>
    <row r="28">
      <c r="A28" s="54" t="inlineStr">
        <is>
          <t>N.o</t>
        </is>
      </c>
      <c r="B28" s="54" t="inlineStr">
        <is>
          <t>Causa</t>
        </is>
      </c>
      <c r="C28" s="54" t="inlineStr">
        <is>
          <t>Presencia</t>
        </is>
      </c>
      <c r="D28" s="54" t="inlineStr">
        <is>
          <t>Intensidad</t>
        </is>
      </c>
      <c r="E28" s="54" t="inlineStr">
        <is>
          <t>Extensión</t>
        </is>
      </c>
      <c r="F28" s="54" t="inlineStr">
        <is>
          <t>Antigüedad</t>
        </is>
      </c>
      <c r="G28" s="54" t="inlineStr">
        <is>
          <t>Evidencia</t>
        </is>
      </c>
    </row>
    <row r="29">
      <c r="A29" s="55" t="inlineStr">
        <is>
          <t>1</t>
        </is>
      </c>
      <c r="B29" s="55" t="inlineStr">
        <is>
          <t>Sobrepastoreo (caprino/vacuno)</t>
        </is>
      </c>
      <c r="C29" s="55" t="inlineStr">
        <is>
          <t>Sí</t>
        </is>
      </c>
      <c r="D29" s="55" t="inlineStr">
        <is>
          <t>Moderada</t>
        </is>
      </c>
      <c r="E29" s="55" t="inlineStr">
        <is>
          <t>70</t>
        </is>
      </c>
      <c r="F29" s="55" t="inlineStr">
        <is>
          <t>30</t>
        </is>
      </c>
      <c r="G29" s="55" t="inlineStr">
        <is>
          <t>Se observó presencia de ganado caprino.</t>
        </is>
      </c>
    </row>
    <row r="30">
      <c r="A30" s="56" t="inlineStr">
        <is>
          <t>2</t>
        </is>
      </c>
      <c r="B30" s="56" t="inlineStr">
        <is>
          <t>Tala para leña</t>
        </is>
      </c>
      <c r="C30" s="56" t="inlineStr">
        <is>
          <t>Sí</t>
        </is>
      </c>
      <c r="D30" s="56" t="inlineStr">
        <is>
          <t>Moderada</t>
        </is>
      </c>
      <c r="E30" s="56" t="inlineStr">
        <is>
          <t>30</t>
        </is>
      </c>
      <c r="F30" s="56" t="inlineStr">
        <is>
          <t>30</t>
        </is>
      </c>
      <c r="G30" s="56" t="inlineStr">
        <is>
          <t>Se observó leña apilada en los patios de las viviendas.</t>
        </is>
      </c>
    </row>
    <row r="31">
      <c r="A31" s="55" t="inlineStr">
        <is>
          <t>3</t>
        </is>
      </c>
      <c r="B31" s="55" t="inlineStr">
        <is>
          <t>Tala para carbón</t>
        </is>
      </c>
      <c r="C31" s="55" t="inlineStr"/>
      <c r="D31" s="55" t="inlineStr"/>
      <c r="E31" s="55" t="inlineStr"/>
      <c r="F31" s="55" t="inlineStr"/>
      <c r="G31" s="55" t="inlineStr"/>
    </row>
    <row r="32">
      <c r="A32" s="56" t="inlineStr">
        <is>
          <t>4</t>
        </is>
      </c>
      <c r="B32" s="56" t="inlineStr">
        <is>
          <t>Tala para madera</t>
        </is>
      </c>
      <c r="C32" s="56" t="inlineStr"/>
      <c r="D32" s="56" t="inlineStr"/>
      <c r="E32" s="56" t="inlineStr"/>
      <c r="F32" s="56" t="inlineStr"/>
      <c r="G32" s="56" t="inlineStr"/>
    </row>
    <row r="33">
      <c r="A33" s="55" t="inlineStr">
        <is>
          <t>5</t>
        </is>
      </c>
      <c r="B33" s="55" t="inlineStr">
        <is>
          <t>Quema (renovación de pastos)</t>
        </is>
      </c>
      <c r="C33" s="55" t="inlineStr"/>
      <c r="D33" s="55" t="inlineStr"/>
      <c r="E33" s="55" t="inlineStr"/>
      <c r="F33" s="55" t="inlineStr"/>
      <c r="G33" s="55" t="inlineStr"/>
    </row>
    <row r="34">
      <c r="A34" s="56" t="inlineStr">
        <is>
          <t>6</t>
        </is>
      </c>
      <c r="B34" s="56" t="inlineStr">
        <is>
          <t>Quema accidental / Incendio</t>
        </is>
      </c>
      <c r="C34" s="56" t="inlineStr"/>
      <c r="D34" s="56" t="inlineStr"/>
      <c r="E34" s="56" t="inlineStr"/>
      <c r="F34" s="56" t="inlineStr"/>
      <c r="G34" s="56" t="inlineStr"/>
    </row>
    <row r="35">
      <c r="A35" s="55" t="inlineStr">
        <is>
          <t>7</t>
        </is>
      </c>
      <c r="B35" s="55" t="inlineStr">
        <is>
          <t>Cambio de uso a agricultura</t>
        </is>
      </c>
      <c r="C35" s="55" t="inlineStr"/>
      <c r="D35" s="55" t="inlineStr"/>
      <c r="E35" s="55" t="inlineStr"/>
      <c r="F35" s="55" t="inlineStr"/>
      <c r="G35" s="55" t="inlineStr"/>
    </row>
    <row r="36">
      <c r="A36" s="56" t="inlineStr">
        <is>
          <t>8</t>
        </is>
      </c>
      <c r="B36" s="56" t="inlineStr">
        <is>
          <t>Cambio de uso a pastoreo</t>
        </is>
      </c>
      <c r="C36" s="56" t="inlineStr">
        <is>
          <t>Sí</t>
        </is>
      </c>
      <c r="D36" s="56" t="inlineStr">
        <is>
          <t>Moderada</t>
        </is>
      </c>
      <c r="E36" s="56" t="inlineStr">
        <is>
          <t>70</t>
        </is>
      </c>
      <c r="F36" s="56" t="inlineStr">
        <is>
          <t>30</t>
        </is>
      </c>
      <c r="G36" s="56" t="inlineStr">
        <is>
          <t>Se observó presencia de ganado caprino.</t>
        </is>
      </c>
    </row>
    <row r="37">
      <c r="A37" s="55" t="inlineStr">
        <is>
          <t>9</t>
        </is>
      </c>
      <c r="B37" s="55" t="inlineStr">
        <is>
          <t>Expansión urbana / vial</t>
        </is>
      </c>
      <c r="C37" s="55" t="inlineStr"/>
      <c r="D37" s="55" t="inlineStr"/>
      <c r="E37" s="55" t="inlineStr"/>
      <c r="F37" s="55" t="inlineStr"/>
      <c r="G37" s="55" t="inlineStr"/>
    </row>
    <row r="38">
      <c r="A38" s="56" t="inlineStr">
        <is>
          <t>10</t>
        </is>
      </c>
      <c r="B38" s="56" t="inlineStr">
        <is>
          <t>Minería informal</t>
        </is>
      </c>
      <c r="C38" s="56" t="inlineStr"/>
      <c r="D38" s="56" t="inlineStr"/>
      <c r="E38" s="56" t="inlineStr"/>
      <c r="F38" s="56" t="inlineStr"/>
      <c r="G38" s="56" t="inlineStr"/>
    </row>
    <row r="39">
      <c r="A39" s="55" t="inlineStr">
        <is>
          <t>11</t>
        </is>
      </c>
      <c r="B39" s="55" t="inlineStr">
        <is>
          <t>Extracción de áridos (cauces)</t>
        </is>
      </c>
      <c r="C39" s="55" t="inlineStr"/>
      <c r="D39" s="55" t="inlineStr"/>
      <c r="E39" s="55" t="inlineStr"/>
      <c r="F39" s="55" t="inlineStr"/>
      <c r="G39" s="55" t="inlineStr"/>
    </row>
    <row r="40">
      <c r="A40" s="56" t="inlineStr">
        <is>
          <t>12</t>
        </is>
      </c>
      <c r="B40" s="56" t="inlineStr">
        <is>
          <t>Especies invasoras</t>
        </is>
      </c>
      <c r="C40" s="56" t="inlineStr"/>
      <c r="D40" s="56" t="inlineStr"/>
      <c r="E40" s="56" t="inlineStr"/>
      <c r="F40" s="56" t="inlineStr"/>
      <c r="G40" s="56" t="inlineStr"/>
    </row>
    <row r="41">
      <c r="A41" s="55" t="inlineStr">
        <is>
          <t>13</t>
        </is>
      </c>
      <c r="B41" s="55" t="inlineStr">
        <is>
          <t>Erosión natural severa</t>
        </is>
      </c>
      <c r="C41" s="55" t="inlineStr"/>
      <c r="D41" s="55" t="inlineStr"/>
      <c r="E41" s="55" t="inlineStr"/>
      <c r="F41" s="55" t="inlineStr"/>
      <c r="G41" s="55" t="inlineStr"/>
    </row>
    <row r="42">
      <c r="A42" s="56" t="inlineStr">
        <is>
          <t>14</t>
        </is>
      </c>
      <c r="B42" s="56" t="inlineStr">
        <is>
          <t>Sequía prolongada / CC</t>
        </is>
      </c>
      <c r="C42" s="56" t="inlineStr"/>
      <c r="D42" s="56" t="inlineStr"/>
      <c r="E42" s="56" t="inlineStr"/>
      <c r="F42" s="56" t="inlineStr"/>
      <c r="G42" s="56" t="inlineStr"/>
    </row>
    <row r="43">
      <c r="A43" s="55" t="inlineStr">
        <is>
          <t>15</t>
        </is>
      </c>
      <c r="B43" s="55" t="inlineStr">
        <is>
          <t>Plagas o enfermedades forestales</t>
        </is>
      </c>
      <c r="C43" s="55" t="inlineStr"/>
      <c r="D43" s="55" t="inlineStr"/>
      <c r="E43" s="55" t="inlineStr"/>
      <c r="F43" s="55" t="inlineStr"/>
      <c r="G43" s="55" t="inlineStr"/>
    </row>
    <row r="44">
      <c r="A44" s="56" t="inlineStr">
        <is>
          <t>16</t>
        </is>
      </c>
      <c r="B44" s="56" t="inlineStr">
        <is>
          <t>Otro</t>
        </is>
      </c>
      <c r="C44" s="56" t="inlineStr"/>
      <c r="D44" s="56" t="inlineStr"/>
      <c r="E44" s="56" t="inlineStr"/>
      <c r="F44" s="56" t="inlineStr"/>
      <c r="G44" s="56" t="inlineStr"/>
    </row>
    <row r="46">
      <c r="A46" s="53" t="inlineStr">
        <is>
          <t>F-DT-04 · INDICADORES CUANTITATIVOS</t>
        </is>
      </c>
    </row>
    <row r="47">
      <c r="A47" s="54" t="inlineStr">
        <is>
          <t>N.o</t>
        </is>
      </c>
      <c r="B47" s="54" t="inlineStr">
        <is>
          <t>Indicador</t>
        </is>
      </c>
      <c r="C47" s="54" t="inlineStr">
        <is>
          <t>Unidad</t>
        </is>
      </c>
      <c r="D47" s="54" t="inlineStr">
        <is>
          <t>Valor</t>
        </is>
      </c>
      <c r="E47" s="54" t="inlineStr">
        <is>
          <t>Fuente</t>
        </is>
      </c>
      <c r="F47" s="54" t="inlineStr">
        <is>
          <t>Umbral</t>
        </is>
      </c>
      <c r="G47" s="54" t="inlineStr">
        <is>
          <t>Nivel</t>
        </is>
      </c>
    </row>
    <row r="48">
      <c r="A48" s="55" t="inlineStr">
        <is>
          <t>1</t>
        </is>
      </c>
      <c r="B48" s="55" t="inlineStr">
        <is>
          <t>Cobertura vegetal total</t>
        </is>
      </c>
      <c r="C48" s="55" t="inlineStr">
        <is>
          <t>%</t>
        </is>
      </c>
      <c r="D48" s="55" t="inlineStr">
        <is>
          <t>70</t>
        </is>
      </c>
      <c r="E48" s="55" t="inlineStr">
        <is>
          <t>Estimación visual de campo</t>
        </is>
      </c>
      <c r="F48" s="55" t="inlineStr">
        <is>
          <t>&gt;60% bueno; 30-60% medio; &lt;30% malo</t>
        </is>
      </c>
      <c r="G48" s="55" t="inlineStr">
        <is>
          <t>Alto</t>
        </is>
      </c>
    </row>
    <row r="49">
      <c r="A49" s="56" t="inlineStr">
        <is>
          <t>2</t>
        </is>
      </c>
      <c r="B49" s="56" t="inlineStr">
        <is>
          <t>Porcentaje de suelo desnudo</t>
        </is>
      </c>
      <c r="C49" s="56" t="inlineStr">
        <is>
          <t>%</t>
        </is>
      </c>
      <c r="D49" s="56" t="inlineStr">
        <is>
          <t>5</t>
        </is>
      </c>
      <c r="E49" s="56" t="inlineStr">
        <is>
          <t>Estimación visual de campo</t>
        </is>
      </c>
      <c r="F49" s="56" t="inlineStr">
        <is>
          <t>&lt;10% bueno; 10-30% medio; &gt;30% malo</t>
        </is>
      </c>
      <c r="G49" s="56" t="inlineStr">
        <is>
          <t>Bajo</t>
        </is>
      </c>
    </row>
    <row r="50">
      <c r="A50" s="55" t="inlineStr">
        <is>
          <t>3</t>
        </is>
      </c>
      <c r="B50" s="55" t="inlineStr">
        <is>
          <t>Densidad de cárcavas</t>
        </is>
      </c>
      <c r="C50" s="55" t="inlineStr">
        <is>
          <t>N°/ha</t>
        </is>
      </c>
      <c r="D50" s="55" t="inlineStr">
        <is>
          <t>1</t>
        </is>
      </c>
      <c r="E50" s="55" t="inlineStr">
        <is>
          <t>Estimación visual de campo</t>
        </is>
      </c>
      <c r="F50" s="55" t="inlineStr">
        <is>
          <t>0 nulo; 1-3 medio; &gt;3 alto</t>
        </is>
      </c>
      <c r="G50" s="55" t="inlineStr">
        <is>
          <t>Bajo</t>
        </is>
      </c>
    </row>
    <row r="51">
      <c r="A51" s="56" t="inlineStr">
        <is>
          <t>4</t>
        </is>
      </c>
      <c r="B51" s="56" t="inlineStr">
        <is>
          <t>Presencia de especies invasoras</t>
        </is>
      </c>
      <c r="C51" s="56" t="inlineStr">
        <is>
          <t>% área</t>
        </is>
      </c>
      <c r="D51" s="56" t="inlineStr">
        <is>
          <t>0</t>
        </is>
      </c>
      <c r="E51" s="56" t="inlineStr">
        <is>
          <t>Estimación visual de campo</t>
        </is>
      </c>
      <c r="F51" s="56" t="inlineStr">
        <is>
          <t>&lt;5% bueno; 5-20% medio; &gt;20% alto</t>
        </is>
      </c>
      <c r="G51" s="56" t="inlineStr">
        <is>
          <t>Bajo</t>
        </is>
      </c>
    </row>
    <row r="52">
      <c r="A52" s="55" t="inlineStr">
        <is>
          <t>5</t>
        </is>
      </c>
      <c r="B52" s="55" t="inlineStr">
        <is>
          <t>Carga ganadera estimada</t>
        </is>
      </c>
      <c r="C52" s="55" t="inlineStr">
        <is>
          <t>UA/ha</t>
        </is>
      </c>
      <c r="D52" s="55" t="inlineStr">
        <is>
          <t>3</t>
        </is>
      </c>
      <c r="E52" s="55" t="inlineStr">
        <is>
          <t>Estimación visual de campo</t>
        </is>
      </c>
      <c r="F52" s="55" t="inlineStr">
        <is>
          <t>Según tipo de ecosistema</t>
        </is>
      </c>
      <c r="G52" s="55" t="inlineStr">
        <is>
          <t>Medio</t>
        </is>
      </c>
    </row>
    <row r="53">
      <c r="A53" s="56" t="inlineStr">
        <is>
          <t>6</t>
        </is>
      </c>
      <c r="B53" s="56" t="inlineStr">
        <is>
          <t>Frecuencia de quemas últimos 5 años</t>
        </is>
      </c>
      <c r="C53" s="56" t="inlineStr">
        <is>
          <t>N°</t>
        </is>
      </c>
      <c r="D53" s="56" t="inlineStr">
        <is>
          <t>1</t>
        </is>
      </c>
      <c r="E53" s="56" t="inlineStr">
        <is>
          <t>Estimación visual de campo</t>
        </is>
      </c>
      <c r="F53" s="56" t="inlineStr">
        <is>
          <t>0 nulo; 1-2 medio; &gt;2 alto</t>
        </is>
      </c>
      <c r="G53" s="56" t="inlineStr">
        <is>
          <t>Medio</t>
        </is>
      </c>
    </row>
    <row r="54">
      <c r="A54" s="55" t="inlineStr">
        <is>
          <t>7</t>
        </is>
      </c>
      <c r="B54" s="55" t="inlineStr">
        <is>
          <t>% área con pendiente &gt;50%</t>
        </is>
      </c>
      <c r="C54" s="55" t="inlineStr">
        <is>
          <t>%</t>
        </is>
      </c>
      <c r="D54" s="55" t="inlineStr">
        <is>
          <t>35</t>
        </is>
      </c>
      <c r="E54" s="55" t="inlineStr">
        <is>
          <t>Estimación visual de campo</t>
        </is>
      </c>
      <c r="F54" s="55" t="inlineStr">
        <is>
          <t>Factor de susceptibilidad</t>
        </is>
      </c>
      <c r="G54" s="55" t="inlineStr">
        <is>
          <t>Bajo</t>
        </is>
      </c>
    </row>
    <row r="55">
      <c r="A55" s="56" t="inlineStr">
        <is>
          <t>8</t>
        </is>
      </c>
      <c r="B55" s="56" t="inlineStr">
        <is>
          <t>Distancia a vía vecinal más cercana</t>
        </is>
      </c>
      <c r="C55" s="56" t="inlineStr">
        <is>
          <t>m</t>
        </is>
      </c>
      <c r="D55" s="56" t="inlineStr">
        <is>
          <t>100</t>
        </is>
      </c>
      <c r="E55" s="56" t="inlineStr">
        <is>
          <t>Estimación visual de campo</t>
        </is>
      </c>
      <c r="F55" s="56" t="inlineStr">
        <is>
          <t>A menor distancia → mayor presión</t>
        </is>
      </c>
      <c r="G55" s="56" t="inlineStr">
        <is>
          <t>Alto</t>
        </is>
      </c>
    </row>
    <row r="57">
      <c r="A57" s="53" t="inlineStr">
        <is>
          <t>F-DT-05 · FUENTES DE AGUA INVENTARIADAS</t>
        </is>
      </c>
    </row>
    <row r="58">
      <c r="A58" s="54" t="inlineStr">
        <is>
          <t>N.o</t>
        </is>
      </c>
      <c r="B58" s="54" t="inlineStr">
        <is>
          <t>Tipo de fuente</t>
        </is>
      </c>
      <c r="C58" s="54" t="inlineStr">
        <is>
          <t>UTM ESTE</t>
        </is>
      </c>
      <c r="D58" s="54" t="inlineStr">
        <is>
          <t>UTM NORTE</t>
        </is>
      </c>
      <c r="E58" s="54" t="inlineStr">
        <is>
          <t>Régimen</t>
        </is>
      </c>
      <c r="F58" s="54" t="inlineStr">
        <is>
          <t>Calidad</t>
        </is>
      </c>
      <c r="G58" s="54" t="inlineStr">
        <is>
          <t>Distancia (m)</t>
        </is>
      </c>
      <c r="H58" s="54" t="inlineStr">
        <is>
          <t>Uso / observación</t>
        </is>
      </c>
    </row>
    <row r="61">
      <c r="A61" s="53" t="inlineStr">
        <is>
          <t>OBSERVACIONES DEL EVALUADOR POR FICHA</t>
        </is>
      </c>
    </row>
    <row r="62">
      <c r="A62" s="54" t="inlineStr">
        <is>
          <t>Ficha</t>
        </is>
      </c>
      <c r="B62" s="54" t="inlineStr">
        <is>
          <t>Observación registrada en campo</t>
        </is>
      </c>
    </row>
    <row r="63">
      <c r="A63" s="55" t="inlineStr">
        <is>
          <t>F-DT-01</t>
        </is>
      </c>
      <c r="B63" s="55" t="inlineStr">
        <is>
          <t>El bloque se ubica en una ladera de colina alta. Presenta una pendiente menor a 60 %. El terreno se inclina más conforme se asciende. Se encuentra a una altitud de 380 msnm aprox. Presenta afloramiento rocoso, rocas semienterradas y piedras medianas a grandes dispersas en el área. Se tienen zonas con cobertura vegetal remanente. Esta ladera es empleada para el pastoreo extensivo de ganado caprino que pertenece al centro poblado próximo al bloque. También se ha evidenciado leña apilada en viviendas próximas al bloque. El suelo del bloque presenta erosión eólica. En la ladera se observan estrías y surcos dejados por el tránsito habitual del ganado. Existen caminos de herradura dentro del bloque y áreas de suelo desprovistas de vegetación y expuestas a lluvia. El bloque se encuentra próximo a una vía afirmada y medios de vida. INCONSISTENCIA INTERNA: la sección 3 de la ficha responde «No» a la presencia de afloramientos rocosos, mientras que estas mismas observaciones afirman que «presenta afloramiento rocoso». Ver discrepancia D-04.</t>
        </is>
      </c>
    </row>
    <row r="64">
      <c r="A64" s="56" t="inlineStr">
        <is>
          <t>F-DT-02</t>
        </is>
      </c>
      <c r="B64" s="56" t="inlineStr">
        <is>
          <t>Nivel general de erosión moderado, dominado por erosión eólica. Estrías y surcos en la ladera por tránsito habitual del ganado y áreas de suelo desprovistas de vegetación expuestas a la lluvia. No se identifican cárcavas desarrolladas dentro del bloque. Compactación por pisoteo y piedras dispersas; rocas semienterradas y piedras medianas a grandes. Sin ficha F-DT-02 firmada en el ANEXO 01; el inventario georreferenciado de cárcavas queda pendiente.</t>
        </is>
      </c>
    </row>
    <row r="65">
      <c r="A65" s="55" t="inlineStr">
        <is>
          <t>F-DT-03</t>
        </is>
      </c>
      <c r="B65" s="55" t="inlineStr">
        <is>
          <t>Al momento de la evaluación, la cobertura vegetal del área corresponde a un bosque seco con zonas empobrecidas y con claros próximos a la vía afirmada. La altura promedio de los individuos arbóreos es menor a los 8 m y los diámetros a la altura del pecho, menores a 20 cm. La parte alta del bloque conserva la vegetación. La eliminación de la vegetación provoca la formación de claros en el bosque, lo que conlleva un empobrecimiento de la cobertura vegetal. Se ha observado presencia de arbustos dispersos, principalmente overo. La vegetación es nativa y la mayoría de los individuos se encuentran en época de defoliación. Entre las especies arbóreas nativas: ceibo, pasallo, charán, faique, palo santo, hualtaco y sapote. También hay presencia de cardos. El 2do Entregable precisa la determinación de hualtaco (Loxopterygium huasango), sapote (Capparis scabrida) y cardos (Armatocereus cartwrightianus). INCONSISTENCIA: la altura promedio del estrato dominante de la sección 3 (9 m) y el DAP (30 cm) no coinciden con estas observaciones (&lt;8 m y &lt;20 cm). Ver discrepancia D-05.</t>
        </is>
      </c>
    </row>
    <row r="66">
      <c r="A66" s="56" t="inlineStr">
        <is>
          <t>F-DT-04</t>
        </is>
      </c>
      <c r="B66" s="56" t="inlineStr">
        <is>
          <t>Redelimitar el bloque priorizando las áreas próximas a los centros poblados y desestimando las áreas donde el ecosistema se encuentra conservado. Hay presencia de casas muy próximas al bloque.</t>
        </is>
      </c>
    </row>
    <row r="67">
      <c r="A67" s="55" t="inlineStr">
        <is>
          <t>F-DT-05</t>
        </is>
      </c>
      <c r="B67" s="55" t="inlineStr">
        <is>
          <t>El bloque se encuentra próximo a una vía afirmada y a medios de vida de la población; el desplazamiento interior se realiza a pie por caminos de herradura. Se sitúa en la zona de origen de los peligros de la microcuenca C1076-Q9588, cuyo colector es el río Huarmaca. POR COMPLETAR: inventario de fuentes de agua, JASS y captación poblacional, tiempos de viaje, señal celular y autorización de Ronda Campesina — sin ficha F-DT-05 en el ANEXO 01.</t>
        </is>
      </c>
    </row>
  </sheetData>
  <mergeCells count="5">
    <mergeCell ref="A2:I2"/>
    <mergeCell ref="A5:I5"/>
    <mergeCell ref="A1:I1"/>
    <mergeCell ref="A3:I3"/>
    <mergeCell ref="A4:I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00"/>
  <sheetViews>
    <sheetView workbookViewId="0">
      <selection activeCell="A1" sqref="A1"/>
    </sheetView>
  </sheetViews>
  <sheetFormatPr baseColWidth="8" defaultRowHeight="15"/>
  <cols>
    <col width="44" customWidth="1" min="1" max="1"/>
    <col width="18" customWidth="1" min="2" max="2"/>
  </cols>
  <sheetData>
    <row r="1">
      <c r="A1" s="50" t="inlineStr">
        <is>
          <t>AUTORIDAD NACIONAL DE INFRAESTRUCTURA - ANIN</t>
        </is>
      </c>
    </row>
    <row r="2">
      <c r="A2" s="50" t="inlineStr">
        <is>
          <t>DIRECCION DE INTERVENCIONES MULTISECTORIALES Y DE EMERGENCIA - DIME</t>
        </is>
      </c>
    </row>
    <row r="3">
      <c r="A3" s="50" t="inlineStr">
        <is>
          <t>SUBDIRECCION DE ESTUDIOS DE INVERSION - SESDI</t>
        </is>
      </c>
    </row>
    <row r="4">
      <c r="A4" s="51" t="inlineStr">
        <is>
          <t>PROYECTO IN PIURA | CUI 2669244 | Recuperacion del servicio de regulacion de riesgos naturales y de ecosistemas degradados - Cuenca Alta del Rio Piura</t>
        </is>
      </c>
    </row>
    <row r="5" ht="22" customHeight="1">
      <c r="A5" s="52" t="inlineStr">
        <is>
          <t>GRÁFICOS DE LA INTEGRACIÓN — BLOQUE M12B1</t>
        </is>
      </c>
    </row>
    <row r="7">
      <c r="A7" s="53" t="inlineStr">
        <is>
          <t>Hechos declarados por fuente</t>
        </is>
      </c>
    </row>
    <row r="8">
      <c r="A8" s="54" t="inlineStr">
        <is>
          <t>Fuente</t>
        </is>
      </c>
      <c r="B8" s="54" t="inlineStr">
        <is>
          <t>Hechos</t>
        </is>
      </c>
    </row>
    <row r="9">
      <c r="A9" s="55" t="inlineStr">
        <is>
          <t>Dato de campo</t>
        </is>
      </c>
      <c r="B9" s="55" t="n">
        <v>55</v>
      </c>
    </row>
    <row r="10">
      <c r="A10" s="56" t="inlineStr">
        <is>
          <t>Gabinete (GIS / teledetección)</t>
        </is>
      </c>
      <c r="B10" s="56" t="n">
        <v>25</v>
      </c>
    </row>
    <row r="11">
      <c r="A11" s="55" t="inlineStr">
        <is>
          <t>Fuente oficial</t>
        </is>
      </c>
      <c r="B11" s="55" t="n">
        <v>14</v>
      </c>
    </row>
    <row r="28">
      <c r="A28" s="53" t="inlineStr">
        <is>
          <t>Estado del cruce entre fuentes</t>
        </is>
      </c>
    </row>
    <row r="29">
      <c r="A29" s="54" t="inlineStr">
        <is>
          <t>Estado</t>
        </is>
      </c>
      <c r="B29" s="54" t="inlineStr">
        <is>
          <t>Hechos</t>
        </is>
      </c>
    </row>
    <row r="30">
      <c r="A30" s="55" t="inlineStr">
        <is>
          <t>CONFORME</t>
        </is>
      </c>
      <c r="B30" s="55" t="n">
        <v>91</v>
      </c>
    </row>
    <row r="31">
      <c r="A31" s="56" t="inlineStr">
        <is>
          <t>COMPLEMENTADO</t>
        </is>
      </c>
      <c r="B31" s="56" t="n">
        <v>3</v>
      </c>
    </row>
    <row r="32">
      <c r="A32" s="55" t="inlineStr">
        <is>
          <t>ACTUALIZADO</t>
        </is>
      </c>
      <c r="B32" s="55" t="n">
        <v>0</v>
      </c>
    </row>
    <row r="33">
      <c r="A33" s="56" t="inlineStr">
        <is>
          <t>DISCREPANTE</t>
        </is>
      </c>
      <c r="B33" s="56" t="n">
        <v>0</v>
      </c>
    </row>
    <row r="34">
      <c r="A34" s="55" t="inlineStr">
        <is>
          <t>PENDIENTE</t>
        </is>
      </c>
      <c r="B34" s="55" t="n">
        <v>20</v>
      </c>
    </row>
    <row r="51">
      <c r="A51" s="53" t="inlineStr">
        <is>
          <t>Cobertura por estrato — campo (%)</t>
        </is>
      </c>
    </row>
    <row r="52">
      <c r="A52" s="54" t="inlineStr">
        <is>
          <t>Estrato</t>
        </is>
      </c>
      <c r="B52" s="54" t="inlineStr">
        <is>
          <t>% del área</t>
        </is>
      </c>
    </row>
    <row r="53">
      <c r="A53" s="55" t="inlineStr">
        <is>
          <t>Dosel</t>
        </is>
      </c>
      <c r="B53" s="60" t="n">
        <v>70</v>
      </c>
    </row>
    <row r="54">
      <c r="A54" s="56" t="inlineStr">
        <is>
          <t>Arbustiva</t>
        </is>
      </c>
      <c r="B54" s="62" t="n">
        <v>15</v>
      </c>
    </row>
    <row r="55">
      <c r="A55" s="55" t="inlineStr">
        <is>
          <t>Herbácea</t>
        </is>
      </c>
      <c r="B55" s="60" t="n">
        <v>10</v>
      </c>
    </row>
    <row r="56">
      <c r="A56" s="56" t="inlineStr">
        <is>
          <t>Hojarasca</t>
        </is>
      </c>
      <c r="B56" s="63" t="n">
        <v>5</v>
      </c>
    </row>
    <row r="57">
      <c r="A57" s="55" t="inlineStr">
        <is>
          <t>Suelo desnudo</t>
        </is>
      </c>
      <c r="B57" s="60" t="n">
        <v>10</v>
      </c>
    </row>
    <row r="74">
      <c r="A74" s="53" t="inlineStr">
        <is>
          <t>Causas activas de degradación (F-DT-04)</t>
        </is>
      </c>
    </row>
    <row r="75">
      <c r="A75" s="54" t="inlineStr">
        <is>
          <t>Causa</t>
        </is>
      </c>
      <c r="B75" s="54" t="inlineStr">
        <is>
          <t>Intensidad (1 ligera - 4 muy fuerte)</t>
        </is>
      </c>
    </row>
    <row r="76">
      <c r="A76" s="55" t="inlineStr">
        <is>
          <t>Cambio de uso a pastoreo</t>
        </is>
      </c>
      <c r="B76" s="55" t="n">
        <v>2</v>
      </c>
    </row>
    <row r="77">
      <c r="A77" s="56" t="inlineStr">
        <is>
          <t>Sobrepastoreo (caprino/vacuno)</t>
        </is>
      </c>
      <c r="B77" s="56" t="n">
        <v>2</v>
      </c>
    </row>
    <row r="78">
      <c r="A78" s="55" t="inlineStr">
        <is>
          <t>Tala para leña</t>
        </is>
      </c>
      <c r="B78" s="55" t="n">
        <v>2</v>
      </c>
    </row>
    <row r="95">
      <c r="A95" s="53" t="inlineStr">
        <is>
          <t>Control de consistencia por calificación</t>
        </is>
      </c>
    </row>
    <row r="96">
      <c r="A96" s="54" t="inlineStr">
        <is>
          <t>Calificación</t>
        </is>
      </c>
      <c r="B96" s="54" t="inlineStr">
        <is>
          <t>Verificaciones</t>
        </is>
      </c>
    </row>
    <row r="97">
      <c r="A97" s="55" t="inlineStr">
        <is>
          <t>SUSTANTIVA</t>
        </is>
      </c>
      <c r="B97" s="55" t="n">
        <v>9</v>
      </c>
    </row>
    <row r="98">
      <c r="A98" s="56" t="inlineStr">
        <is>
          <t>NO SUSTANTIVA</t>
        </is>
      </c>
      <c r="B98" s="56" t="n">
        <v>2</v>
      </c>
    </row>
    <row r="99">
      <c r="A99" s="55" t="inlineStr">
        <is>
          <t>CORREGIDO</t>
        </is>
      </c>
      <c r="B99" s="55" t="n">
        <v>0</v>
      </c>
    </row>
    <row r="100">
      <c r="A100" s="56" t="inlineStr">
        <is>
          <t>CONFORME</t>
        </is>
      </c>
      <c r="B100" s="56" t="n">
        <v>12</v>
      </c>
    </row>
  </sheetData>
  <mergeCells count="5">
    <mergeCell ref="A1:H1"/>
    <mergeCell ref="A4:H4"/>
    <mergeCell ref="A3:H3"/>
    <mergeCell ref="A2:H2"/>
    <mergeCell ref="A5:H5"/>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M12B1 — IN Piura</dc:title>
  <dc:subject>Diagnóstico Territorial por bloque de intervención</dc:subject>
  <dcterms:created xsi:type="dcterms:W3CDTF">2026-09-08T03:39:57Z</dcterms:created>
  <dcterms:modified xsi:type="dcterms:W3CDTF">2026-09-11T20:22:35Z</dcterms:modified>
</cp:coreProperties>
</file>