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xf numFmtId="166" fontId="6" fillId="5" borderId="7" pivotButton="0" quotePrefix="0" xfId="0"/>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integración'!$A$76:$A$79</f>
            </numRef>
          </cat>
          <val>
            <numRef>
              <f>'Gráficos de integración'!$B$76:$B$79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integración'!B97</f>
            </strRef>
          </tx>
          <spPr>
            <a:ln>
              <a:prstDash val="solid"/>
            </a:ln>
          </spPr>
          <cat>
            <numRef>
              <f>'Gráficos de integración'!$A$98:$A$101</f>
            </numRef>
          </cat>
          <val>
            <numRef>
              <f>'Gráficos de integración'!$B$98:$B$101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96</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15</t>
        </is>
      </c>
    </row>
    <row r="6" ht="24" customHeight="1">
      <c r="A6" s="4" t="inlineStr">
        <is>
          <t>Diagnóstico Territorial — Plantilla DT Campo Check Validada V5 | Sistema de referencia: UTM WGS 84 Zona 17S (EPSG:32717) · Integrado con la ficha de campo F-DT vigente (FDT_B15_Diagnostico_Territorial.xlsx) — V7 - resumen V6 + campo F-DT integrado</t>
        </is>
      </c>
    </row>
    <row r="7"/>
    <row r="8" ht="18" customHeight="1">
      <c r="A8" s="5" t="inlineStr">
        <is>
          <t>1. IDENTIFICACIÓN Y LOCALIZACIÓN</t>
        </is>
      </c>
    </row>
    <row r="9">
      <c r="A9" s="6" t="inlineStr">
        <is>
          <t>Código del bloque</t>
        </is>
      </c>
      <c r="B9" s="7" t="inlineStr">
        <is>
          <t>15</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Jacanacas</t>
        </is>
      </c>
      <c r="C13" s="6" t="inlineStr">
        <is>
          <t>Comunidad campesina</t>
        </is>
      </c>
      <c r="D13" s="7" t="inlineStr">
        <is>
          <t>Por verificar</t>
        </is>
      </c>
      <c r="E13" s="8" t="n"/>
      <c r="F13" s="8" t="n"/>
    </row>
    <row r="14">
      <c r="A14" s="6" t="inlineStr">
        <is>
          <t>Superficie de catálogo (V5/V6), ha</t>
        </is>
      </c>
      <c r="B14" s="7" t="n">
        <v>86.15000000000001</v>
      </c>
      <c r="C14" s="6" t="inlineStr">
        <is>
          <t>Fuente de superficie</t>
        </is>
      </c>
      <c r="D14" s="7" t="inlineStr">
        <is>
          <t>Catálogo maestro Bloques V5/V6</t>
        </is>
      </c>
      <c r="E14" s="8" t="n"/>
      <c r="F14" s="8" t="n"/>
    </row>
    <row r="15">
      <c r="A15" s="6" t="inlineStr">
        <is>
          <t>Centroide UTM ESTE (m)</t>
        </is>
      </c>
      <c r="B15" s="7" t="n">
        <v>620200</v>
      </c>
      <c r="C15" s="6" t="inlineStr">
        <is>
          <t>Centroide UTM NORTE (m)</t>
        </is>
      </c>
      <c r="D15" s="7" t="n">
        <v>9437862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1199</v>
      </c>
      <c r="C19" s="6" t="inlineStr">
        <is>
          <t>Altitud máxima (msnm)</t>
        </is>
      </c>
      <c r="D19" s="7" t="n">
        <v>1655</v>
      </c>
      <c r="E19" s="8" t="n"/>
      <c r="F19" s="8" t="n"/>
    </row>
    <row r="20">
      <c r="A20" s="6" t="inlineStr">
        <is>
          <t>Amplitud altitudinal (m)</t>
        </is>
      </c>
      <c r="B20" s="7" t="n">
        <v>456</v>
      </c>
      <c r="C20" s="6" t="inlineStr">
        <is>
          <t>Piso altitudinal dominante</t>
        </is>
      </c>
      <c r="D20" s="7" t="inlineStr">
        <is>
          <t>1000-1500 m (Quechua baja)</t>
        </is>
      </c>
      <c r="E20" s="8" t="n"/>
      <c r="F20" s="8" t="n"/>
    </row>
    <row r="21">
      <c r="A21" s="6" t="inlineStr">
        <is>
          <t>Pendiente promedio (%)</t>
        </is>
      </c>
      <c r="B21" s="7" t="n">
        <v>26.19</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0.5605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(56.47 %)</t>
        </is>
      </c>
      <c r="E29" s="8" t="n"/>
      <c r="F29" s="8" t="n"/>
    </row>
    <row r="30">
      <c r="A30" s="6" t="inlineStr">
        <is>
          <t>Superficie clasificada NDVI 2025 (ha)</t>
        </is>
      </c>
      <c r="B30" s="7" t="n">
        <v>86.185</v>
      </c>
      <c r="C30" s="6" t="inlineStr">
        <is>
          <t>Desviación frente al catálogo (%)</t>
        </is>
      </c>
      <c r="D30" s="7" t="n">
        <v>0.04</v>
      </c>
      <c r="E30" s="8" t="n"/>
      <c r="F30" s="8" t="n"/>
    </row>
    <row r="31">
      <c r="A31" s="6" t="inlineStr">
        <is>
          <t>Superficie clasificada MSAVI 2024 (ha)</t>
        </is>
      </c>
      <c r="B31" s="38" t="n">
        <v>86.14700000000001</v>
      </c>
      <c r="C31" s="6" t="inlineStr">
        <is>
          <t>Desviación MSAVI frente al catálogo (%)</t>
        </is>
      </c>
      <c r="D31" s="39" t="n">
        <v>0</v>
      </c>
      <c r="E31" s="8" t="n"/>
      <c r="F31" s="8" t="n"/>
    </row>
    <row r="32">
      <c r="A32" s="6" t="inlineStr">
        <is>
          <t>Superficie bajo umbral MSAVI 0.4976 (ha)</t>
        </is>
      </c>
      <c r="B32" s="38" t="n">
        <v>19.367</v>
      </c>
      <c r="C32" s="6" t="inlineStr">
        <is>
          <t>% del bloque bajo umbral (brecha espectral)</t>
        </is>
      </c>
      <c r="D32" s="39" t="n">
        <v>22.48</v>
      </c>
      <c r="E32" s="8" t="n"/>
      <c r="F32" s="8" t="n"/>
    </row>
    <row r="33">
      <c r="A33" s="6" t="inlineStr">
        <is>
          <t>Clase DN dominante (MSAVI 2024)</t>
        </is>
      </c>
      <c r="B33" s="7" t="inlineStr">
        <is>
          <t>DN 4 · 0.4976 - 0.6139 (Vigor moderado)</t>
        </is>
      </c>
      <c r="C33" s="6" t="inlineStr">
        <is>
          <t>N.° de polígonos MSAVI del bloque</t>
        </is>
      </c>
      <c r="D33" s="40" t="n">
        <v>259</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82.46 ha Zona agrícola + 3.68 ha Matorral andino (total 86.15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 Cahuas Miller · Ing. Pedro Talledo Hernández · Ing. Juan Carlos Domínguez Varas</t>
        </is>
      </c>
      <c r="C44" s="6" t="inlineStr">
        <is>
          <t>Fecha de evaluación</t>
        </is>
      </c>
      <c r="D44" s="7" t="inlineStr">
        <is>
          <t>2026-06-11</t>
        </is>
      </c>
      <c r="E44" s="8" t="n"/>
      <c r="F44" s="8" t="n"/>
    </row>
    <row r="45">
      <c r="A45" s="6" t="inlineStr">
        <is>
          <t>Hora de registro</t>
        </is>
      </c>
      <c r="B45" s="7" t="inlineStr">
        <is>
          <t>13:12-13:29 h</t>
        </is>
      </c>
      <c r="C45" s="6" t="inlineStr">
        <is>
          <t>Correlativo de ficha</t>
        </is>
      </c>
      <c r="D45" s="7" t="inlineStr">
        <is>
          <t>F-DT-01-B15</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 observación cualitativa (sin parcela cuantitativa)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Expansión de la frontera agropecuaria de subsistencia familiar</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22.6542</v>
      </c>
      <c r="C10" s="19">
        <f>ROUND(B10/$B$15*100,2)</f>
        <v/>
      </c>
      <c r="D10" s="11" t="inlineStr">
        <is>
          <t>Vigor alto</t>
        </is>
      </c>
      <c r="E10" s="11" t="inlineStr">
        <is>
          <t>Sobre umbral</t>
        </is>
      </c>
    </row>
    <row r="11">
      <c r="A11" s="12" t="inlineStr">
        <is>
          <t>0.4976 - 0.6139 · DN 4</t>
        </is>
      </c>
      <c r="B11" s="32" t="n">
        <v>44.1256</v>
      </c>
      <c r="C11" s="31">
        <f>ROUND(B11/$B$15*100,2)</f>
        <v/>
      </c>
      <c r="D11" s="13" t="inlineStr">
        <is>
          <t>Vigor moderado</t>
        </is>
      </c>
      <c r="E11" s="13" t="inlineStr">
        <is>
          <t>Sobre umbral</t>
        </is>
      </c>
    </row>
    <row r="12">
      <c r="A12" s="7" t="inlineStr">
        <is>
          <t>0.3813 - 0.4976 · DN 3</t>
        </is>
      </c>
      <c r="B12" s="18" t="n">
        <v>18.9986</v>
      </c>
      <c r="C12" s="19">
        <f>ROUND(B12/$B$15*100,2)</f>
        <v/>
      </c>
      <c r="D12" s="11" t="inlineStr">
        <is>
          <t>Vigor bajo</t>
        </is>
      </c>
      <c r="E12" s="11" t="inlineStr">
        <is>
          <t>BAJO umbral 0.4976</t>
        </is>
      </c>
    </row>
    <row r="13">
      <c r="A13" s="14" t="inlineStr">
        <is>
          <t>0.2650 - 0.3813 · DN 2</t>
        </is>
      </c>
      <c r="B13" s="20" t="n">
        <v>0.3688</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259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86.15000000000001</v>
      </c>
      <c r="C18" s="49" t="inlineStr">
        <is>
          <t>—</t>
        </is>
      </c>
      <c r="D18" s="46" t="inlineStr">
        <is>
          <t>Desviación planimétrica frente al catálogo</t>
        </is>
      </c>
      <c r="E18" s="46" t="inlineStr">
        <is>
          <t>+0.00 %</t>
        </is>
      </c>
    </row>
    <row r="19">
      <c r="A19" s="16" t="inlineStr">
        <is>
          <t>MSAVI 2024 — MEDIA DEL BLOQUE</t>
        </is>
      </c>
      <c r="B19" s="17" t="n">
        <v>0.560518</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259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(0.5605)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48.6666</v>
      </c>
      <c r="C25" s="19" t="n">
        <v>56.47</v>
      </c>
      <c r="D25" s="11" t="inlineStr">
        <is>
          <t>Dosel continuo, matorral denso o mosaico agroforestal</t>
        </is>
      </c>
      <c r="E25" s="11" t="inlineStr"/>
    </row>
    <row r="26">
      <c r="A26" s="14" t="inlineStr">
        <is>
          <t>Vegetación mediana</t>
        </is>
      </c>
      <c r="B26" s="20" t="n">
        <v>35.4756</v>
      </c>
      <c r="C26" s="21" t="n">
        <v>41.16</v>
      </c>
      <c r="D26" s="15" t="inlineStr">
        <is>
          <t>Pastizal cultivado, matorral ralo, parcelas agrícolas</t>
        </is>
      </c>
      <c r="E26" s="15" t="inlineStr"/>
    </row>
    <row r="27">
      <c r="A27" s="7" t="inlineStr">
        <is>
          <t>Vegetación ligera</t>
        </is>
      </c>
      <c r="B27" s="18" t="n">
        <v>2.0432</v>
      </c>
      <c r="C27" s="19" t="n">
        <v>2.37</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86.15000000000001</v>
      </c>
      <c r="C29" s="25" t="inlineStr">
        <is>
          <t>—</t>
        </is>
      </c>
      <c r="D29" s="25" t="inlineStr">
        <is>
          <t>Desviación planimétrica frente al catálogo</t>
        </is>
      </c>
      <c r="E29" s="25" t="inlineStr">
        <is>
          <t>+0.04 %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56.47 % del polígono clasificado como «Vegetación alta» por el NDVI 2025; la observación de campo corresponde a una parcela o recorrido puntual y no es estadísticamente representativa de las 86.150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15</t>
        </is>
      </c>
    </row>
    <row r="6" ht="24" customHeight="1">
      <c r="A6" s="4" t="inlineStr">
        <is>
          <t>Levantamiento del 2026-06-11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620566</v>
      </c>
      <c r="D10" s="26" t="n">
        <v>9438155</v>
      </c>
      <c r="E10" s="11" t="n">
        <v>468.8</v>
      </c>
      <c r="F10" s="11" t="inlineStr"/>
      <c r="G10" s="11" t="inlineStr">
        <is>
          <t>Coordenada consignada en F-DT-01</t>
        </is>
      </c>
    </row>
    <row r="11">
      <c r="A11" s="14" t="inlineStr">
        <is>
          <t>H-01</t>
        </is>
      </c>
      <c r="B11" s="15" t="inlineStr">
        <is>
          <t>Fuente de agua — Reservorio / Represa</t>
        </is>
      </c>
      <c r="C11" s="27" t="n">
        <v>620607</v>
      </c>
      <c r="D11" s="27" t="n">
        <v>9438226</v>
      </c>
      <c r="E11" s="15" t="n">
        <v>546</v>
      </c>
      <c r="F11" s="15" t="inlineStr">
        <is>
          <t>Permanente</t>
        </is>
      </c>
      <c r="G11" s="15" t="inlineStr">
        <is>
          <t>Tanque de almacenamiento</t>
        </is>
      </c>
    </row>
    <row r="12">
      <c r="A12" s="7" t="inlineStr">
        <is>
          <t>B-01</t>
        </is>
      </c>
      <c r="B12" s="11" t="inlineStr">
        <is>
          <t>Especie clave — Tara (Caesalpinia spinosa)</t>
        </is>
      </c>
      <c r="C12" s="26" t="n">
        <v>620606</v>
      </c>
      <c r="D12" s="26" t="n">
        <v>9438216</v>
      </c>
      <c r="E12" s="11" t="n">
        <v>538.7</v>
      </c>
      <c r="F12" s="11" t="inlineStr">
        <is>
          <t>Amenazada D.S. 043</t>
        </is>
      </c>
      <c r="G12" s="11" t="inlineStr">
        <is>
          <t>VU — Vulnerable</t>
        </is>
      </c>
    </row>
    <row r="13">
      <c r="A13" s="14" t="inlineStr">
        <is>
          <t>B-02</t>
        </is>
      </c>
      <c r="B13" s="15" t="inlineStr">
        <is>
          <t>Especie clave — Faique (Vachellia macracantha)</t>
        </is>
      </c>
      <c r="C13" s="27" t="n">
        <v>620573</v>
      </c>
      <c r="D13" s="27" t="n">
        <v>9438163</v>
      </c>
      <c r="E13" s="15" t="n">
        <v>479.3</v>
      </c>
      <c r="F13" s="15" t="inlineStr">
        <is>
          <t>Amenazada D.S. 043</t>
        </is>
      </c>
      <c r="G13" s="15" t="inlineStr">
        <is>
          <t>NT — Casi Amenazado</t>
        </is>
      </c>
    </row>
    <row r="14">
      <c r="A14" s="7" t="inlineStr">
        <is>
          <t>B-03</t>
        </is>
      </c>
      <c r="B14" s="11" t="inlineStr">
        <is>
          <t>Especie clave — Guayacán (Handroanthus/Tabebuia sp.)</t>
        </is>
      </c>
      <c r="C14" s="26" t="n">
        <v>620606</v>
      </c>
      <c r="D14" s="26" t="n">
        <v>9438217</v>
      </c>
      <c r="E14" s="11" t="n">
        <v>539.3</v>
      </c>
      <c r="F14" s="11" t="inlineStr">
        <is>
          <t>Clave cultural</t>
        </is>
      </c>
      <c r="G14" s="11" t="inlineStr">
        <is>
          <t>NE</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620200</v>
      </c>
      <c r="C17" s="6" t="inlineStr">
        <is>
          <t>Centroide del bloque — UTM NORTE (m)</t>
        </is>
      </c>
      <c r="D17" s="7" t="n">
        <v>9437862</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20" ht="120"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concentrada en el sector norte de acceso (entorno C.P. Jacanacas / paraje Chachacomo) y vista panorámica del sector oeste el 17/06/2026. La altitud consignada (1230 msnm) es valor promedio referencial; el perfil de elevación registra un ascenso de ~1194 a 1621 msnm (media ~1386, pendiente media 37.1%, máx 67.4%). Susceptibilidad latente por pendientes fuertes y suelos de ladera bajo pastoreo. El polígono aparece rotulado «B4_2» en la capa MSAVI.</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15</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29" t="n">
        <v>92.90000000000001</v>
      </c>
      <c r="C13" s="21" t="n">
        <v>10.88</v>
      </c>
      <c r="D13" s="15" t="inlineStr">
        <is>
          <t>87 – 1355</t>
        </is>
      </c>
      <c r="E13" s="15" t="n">
        <v>1268</v>
      </c>
      <c r="F13" s="15" t="n">
        <v>23.75</v>
      </c>
      <c r="G13" s="20" t="n">
        <v>0.5197000000000001</v>
      </c>
      <c r="H13" s="21" t="n">
        <v>58.89</v>
      </c>
      <c r="I13" s="21" t="n">
        <v>39.02</v>
      </c>
    </row>
    <row r="14">
      <c r="A14" s="12" t="inlineStr">
        <is>
          <t>► 15</t>
        </is>
      </c>
      <c r="B14" s="30" t="n">
        <v>86.15000000000001</v>
      </c>
      <c r="C14" s="31" t="n">
        <v>10.09</v>
      </c>
      <c r="D14" s="13" t="inlineStr">
        <is>
          <t>1199 – 1655</t>
        </is>
      </c>
      <c r="E14" s="13" t="n">
        <v>456</v>
      </c>
      <c r="F14" s="13" t="n">
        <v>26.19</v>
      </c>
      <c r="G14" s="32" t="n">
        <v>0.5605</v>
      </c>
      <c r="H14" s="31" t="n">
        <v>56.47</v>
      </c>
      <c r="I14" s="31" t="n">
        <v>22.48</v>
      </c>
    </row>
    <row r="15">
      <c r="A15" s="14" t="inlineStr">
        <is>
          <t>23</t>
        </is>
      </c>
      <c r="B15" s="29"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15 ocupa el puesto 5 de 12 por superficie dentro de la microcuenca C1086-Q9570 (10.09 % de las 853.87 ha preliminares de la microcuenca). Su pendiente promedio (26.19 %, clase «25-50% (Mod. escarpado)») es la 4.ª más baja de 12 y se sitúa por debajo del promedio de la microcuenca (28.51 %). Su MSAVI 2024 (0.5605) es el 10.º de 12 y queda por debajo del promedio local (0.5993). Amplitud altitudinal del bloque: 456 m (1199–1655 msnm). El cuadro conserva todos los bloques catalogados en la microcuenca, incluidos los descartados en el tamizaje, para referencia del conjunto. Los bloques sin ficha DT figuran con sus parámetros de gabinete. BRECHA ESPECTRAL. El 22.48 % de la superficie del bloque (19.367 ha de 86.147 ha) se sitúa bajo el umbral MSAVI 0.4976, por encima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15</t>
        </is>
      </c>
    </row>
    <row r="6">
      <c r="A6" s="52" t="inlineStr">
        <is>
          <t>Cruce de la ficha de campo F-DT vigente con la ficha de resumen de gabinete y el catálogo maestro. Integración 2026-09-11 20:22:24.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El punto de muestreo declarado dista 468.8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(1230 msnm) cae dentro del rango altitudinal del bloque (1199 - 1655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(86.185 ha) se desvía 0.04 % de la superficie de catálogo (86.15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(86.147 ha) se desvía -0.00 % de la superficie de catálogo (86.15 ha).</t>
        </is>
      </c>
      <c r="D14" s="57" t="inlineStr">
        <is>
          <t>CONFORME</t>
        </is>
      </c>
      <c r="E14" s="57" t="inlineStr">
        <is>
          <t>Sin acción: la segmentación valida la geometría del bloque.</t>
        </is>
      </c>
    </row>
    <row r="15">
      <c r="A15" s="56" t="inlineStr">
        <is>
          <t>G-07</t>
        </is>
      </c>
      <c r="B15" s="56" t="inlineStr">
        <is>
          <t>Brecha espectral MSAVI</t>
        </is>
      </c>
      <c r="C15" s="56" t="inlineStr">
        <is>
          <t>El 22.48 % del bloque queda bajo el umbral 0.4976; superficie de brecha 19.37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86.15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(0.5605)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«Ing. Héctor S. Cahuas Miller (ANIN-DIME-SESDI)»; la ficha de campo vigente declara «Ing. Héctor S. Cahuas Miller · Ing. Pedro Talledo Hernández · Ing. Juan Carlos Domínguez Varas».</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96.4 % de los campos esperados).</t>
        </is>
      </c>
      <c r="D20" s="57" t="inlineStr">
        <is>
          <t>CONFORME</t>
        </is>
      </c>
      <c r="E20" s="57" t="inlineStr">
        <is>
          <t>Sin acción.</t>
        </is>
      </c>
    </row>
    <row r="21">
      <c r="A21" s="56" t="inlineStr">
        <is>
          <t>F-02</t>
        </is>
      </c>
      <c r="B21" s="56" t="inlineStr">
        <is>
          <t>Cobertura de la integración</t>
        </is>
      </c>
      <c r="C21" s="56" t="inlineStr">
        <is>
          <t>Se declararon 99 de 114 hechos integrados (86.8 %); 15 quedan sin dato en ninguna fuente.</t>
        </is>
      </c>
      <c r="D21" s="56" t="inlineStr">
        <is>
          <t>CONFORME</t>
        </is>
      </c>
      <c r="E21" s="56" t="inlineStr">
        <is>
          <t>Sin acción.</t>
        </is>
      </c>
    </row>
    <row r="22">
      <c r="A22" s="57" t="inlineStr">
        <is>
          <t>H-01</t>
        </is>
      </c>
      <c r="B22" s="57" t="inlineStr">
        <is>
          <t>Cobertura vegetal total</t>
        </is>
      </c>
      <c r="C22" s="57" t="inlineStr">
        <is>
          <t>La ficha DT estima 80 % de cobertura vegetal en campo; el NDVI mediana 2025 clasifica 100.00 % del polígono en clases de vegetación</t>
        </is>
      </c>
      <c r="D22" s="57" t="inlineStr">
        <is>
          <t>NO SUSTANTIVA</t>
        </is>
      </c>
      <c r="E22"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6" t="inlineStr">
        <is>
          <t>H-02</t>
        </is>
      </c>
      <c r="B23" s="56" t="inlineStr">
        <is>
          <t>Centro poblado asociado</t>
        </is>
      </c>
      <c r="C23" s="56" t="inlineStr">
        <is>
          <t>La ficha DT declara «Jacanacas»; el cruce INEI-Bloques V5 identifica 1 centro(s) poblado(s) en el bloque: JACANACAS</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5">
      <c r="A25" s="58" t="inlineStr">
        <is>
          <t>RESUMEN</t>
        </is>
      </c>
      <c r="B25" s="59" t="inlineStr">
        <is>
          <t>15 verificaciones</t>
        </is>
      </c>
      <c r="C25" s="59" t="inlineStr">
        <is>
          <t>SUSTANTIVA: 1 · NO SUSTANTIVA: 1 · CORREGIDO: 1 · CONFORME: 12</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15</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Ing. Héctor S. Cahuas Miller (ANIN-DIME-SESDI)</t>
        </is>
      </c>
      <c r="D9" s="56" t="inlineStr">
        <is>
          <t>Ing. Héctor S. Cahuas Miller · Ing. Pedro Talledo Hernández · Ing. Juan Carlos Domínguez Varas</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620566</t>
        </is>
      </c>
      <c r="D13" s="56" t="inlineStr">
        <is>
          <t>m</t>
        </is>
      </c>
    </row>
    <row r="14">
      <c r="A14" s="57" t="inlineStr">
        <is>
          <t>1. Identificación y localización</t>
        </is>
      </c>
      <c r="B14" s="57" t="inlineStr">
        <is>
          <t>UTM NORTE del punto de muestreo (m)</t>
        </is>
      </c>
      <c r="C14" s="57" t="inlineStr">
        <is>
          <t>9438155</t>
        </is>
      </c>
      <c r="D14" s="57" t="inlineStr">
        <is>
          <t>m</t>
        </is>
      </c>
    </row>
    <row r="15">
      <c r="A15" s="56" t="inlineStr">
        <is>
          <t>2. Parámetros físicos del terreno</t>
        </is>
      </c>
      <c r="B15" s="56" t="inlineStr">
        <is>
          <t>Altitud GPS del punto de muestreo (msnm)</t>
        </is>
      </c>
      <c r="C15" s="56" t="inlineStr">
        <is>
          <t>1230 (referencial)</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Laderas de montaña con mosaico agropecuario (pastizales cultivados, maíz, trigo, arveja) y árboles dispersos; manchas de matorral andino y rodales boscosos en el cuerpo alto del cerro; neblina persistente (captación de humedad).</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Ligera (laminar)</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No</t>
        </is>
      </c>
      <c r="D23" s="56" t="inlineStr"/>
    </row>
    <row r="24">
      <c r="A24" s="57" t="inlineStr">
        <is>
          <t>4. Suelos y erosión (F-DT-02)</t>
        </is>
      </c>
      <c r="B24" s="57" t="inlineStr">
        <is>
          <t>Longitud total de cárcavas (m)</t>
        </is>
      </c>
      <c r="C24" s="57" t="inlineStr">
        <is>
          <t>0</t>
        </is>
      </c>
      <c r="D24" s="57" t="inlineStr">
        <is>
          <t>m</t>
        </is>
      </c>
    </row>
    <row r="25">
      <c r="A25" s="56" t="inlineStr">
        <is>
          <t>4. Suelos y erosión (F-DT-02)</t>
        </is>
      </c>
      <c r="B25" s="56" t="inlineStr">
        <is>
          <t>% del bloque afectado por cárcavas</t>
        </is>
      </c>
      <c r="C25" s="56" t="inlineStr">
        <is>
          <t>0</t>
        </is>
      </c>
      <c r="D25" s="56" t="inlineStr">
        <is>
          <t>%</t>
        </is>
      </c>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Cobertura del dosel (%)</t>
        </is>
      </c>
      <c r="C27" s="56" t="inlineStr">
        <is>
          <t>10</t>
        </is>
      </c>
      <c r="D27" s="56" t="inlineStr">
        <is>
          <t>%</t>
        </is>
      </c>
    </row>
    <row r="28">
      <c r="A28" s="57" t="inlineStr">
        <is>
          <t>5. Ecosistema, cobertura y flora (F-DT-03)</t>
        </is>
      </c>
      <c r="B28" s="57" t="inlineStr">
        <is>
          <t>Cobertura arbustiva (%)</t>
        </is>
      </c>
      <c r="C28" s="57" t="inlineStr">
        <is>
          <t>15</t>
        </is>
      </c>
      <c r="D28" s="57" t="inlineStr">
        <is>
          <t>%</t>
        </is>
      </c>
    </row>
    <row r="29">
      <c r="A29" s="56" t="inlineStr">
        <is>
          <t>5. Ecosistema, cobertura y flora (F-DT-03)</t>
        </is>
      </c>
      <c r="B29" s="56" t="inlineStr">
        <is>
          <t>Cobertura herbácea (%)</t>
        </is>
      </c>
      <c r="C29" s="56" t="inlineStr">
        <is>
          <t>60</t>
        </is>
      </c>
      <c r="D29" s="56" t="inlineStr">
        <is>
          <t>%</t>
        </is>
      </c>
    </row>
    <row r="30">
      <c r="A30" s="57" t="inlineStr">
        <is>
          <t>5. Ecosistema, cobertura y flora (F-DT-03)</t>
        </is>
      </c>
      <c r="B30" s="57" t="inlineStr">
        <is>
          <t>Cobertura de hojarasca (%)</t>
        </is>
      </c>
      <c r="C30" s="57" t="inlineStr">
        <is>
          <t>5</t>
        </is>
      </c>
      <c r="D30" s="57" t="inlineStr">
        <is>
          <t>%</t>
        </is>
      </c>
    </row>
    <row r="31">
      <c r="A31" s="56" t="inlineStr">
        <is>
          <t>5. Ecosistema, cobertura y flora (F-DT-03)</t>
        </is>
      </c>
      <c r="B31" s="56" t="inlineStr">
        <is>
          <t>Altura del estrato dominante (m)</t>
        </is>
      </c>
      <c r="C31" s="56" t="inlineStr">
        <is>
          <t>0.8</t>
        </is>
      </c>
      <c r="D31" s="56" t="inlineStr">
        <is>
          <t>m</t>
        </is>
      </c>
    </row>
    <row r="32">
      <c r="A32" s="57" t="inlineStr">
        <is>
          <t>5. Ecosistema, cobertura y flora (F-DT-03)</t>
        </is>
      </c>
      <c r="B32" s="57" t="inlineStr">
        <is>
          <t>Altura máxima registrada (m)</t>
        </is>
      </c>
      <c r="C32" s="57" t="inlineStr">
        <is>
          <t>12</t>
        </is>
      </c>
      <c r="D32" s="57" t="inlineStr">
        <is>
          <t>m</t>
        </is>
      </c>
    </row>
    <row r="33">
      <c r="A33" s="56" t="inlineStr">
        <is>
          <t>5. Ecosistema, cobertura y flora (F-DT-03)</t>
        </is>
      </c>
      <c r="B33" s="56" t="inlineStr">
        <is>
          <t>Presencia de epífitas</t>
        </is>
      </c>
      <c r="C33" s="56" t="inlineStr">
        <is>
          <t>Sí</t>
        </is>
      </c>
      <c r="D33" s="56" t="inlineStr"/>
    </row>
    <row r="34">
      <c r="A34" s="57" t="inlineStr">
        <is>
          <t>5. Ecosistema, cobertura y flora (F-DT-03)</t>
        </is>
      </c>
      <c r="B34" s="57" t="inlineStr">
        <is>
          <t>Fenología dominante</t>
        </is>
      </c>
      <c r="C34" s="57" t="inlineStr">
        <is>
          <t>Vegetativo</t>
        </is>
      </c>
      <c r="D34" s="57" t="inlineStr"/>
    </row>
    <row r="35">
      <c r="A35" s="56" t="inlineStr">
        <is>
          <t>5. Ecosistema, cobertura y flora (F-DT-03)</t>
        </is>
      </c>
      <c r="B35" s="56" t="inlineStr">
        <is>
          <t>Pendiente de la parcela (%)</t>
        </is>
      </c>
      <c r="C35" s="56" t="inlineStr">
        <is>
          <t>37 (transecto)</t>
        </is>
      </c>
      <c r="D35" s="56" t="inlineStr">
        <is>
          <t>%</t>
        </is>
      </c>
    </row>
    <row r="36">
      <c r="A36" s="57" t="inlineStr">
        <is>
          <t>5. Ecosistema, cobertura y flora (F-DT-03)</t>
        </is>
      </c>
      <c r="B36" s="57" t="inlineStr">
        <is>
          <t>Especies clave georreferenciadas</t>
        </is>
      </c>
      <c r="C36" s="57" t="inlineStr">
        <is>
          <t>3</t>
        </is>
      </c>
      <c r="D36" s="57" t="inlineStr"/>
    </row>
    <row r="37">
      <c r="A37" s="56" t="inlineStr">
        <is>
          <t>6. Degradación, causas y urgencia (F-DT-04)</t>
        </is>
      </c>
      <c r="B37" s="56" t="inlineStr">
        <is>
          <t>Causas directas de la degradación</t>
        </is>
      </c>
      <c r="C37" s="56" t="inlineStr">
        <is>
          <t>Cambio de uso del suelo a agricultura y pastoreo sobre laderas; sobrepastoreo y tala selectiva menor para leña/cercos.</t>
        </is>
      </c>
      <c r="D37" s="56" t="inlineStr"/>
    </row>
    <row r="38">
      <c r="A38" s="57" t="inlineStr">
        <is>
          <t>6. Degradación, causas y urgencia (F-DT-04)</t>
        </is>
      </c>
      <c r="B38" s="57" t="inlineStr">
        <is>
          <t>N.° de causas activas en la matriz F-DT-04</t>
        </is>
      </c>
      <c r="C38" s="57" t="inlineStr">
        <is>
          <t>4</t>
        </is>
      </c>
      <c r="D38" s="57" t="inlineStr"/>
    </row>
    <row r="39">
      <c r="A39" s="56" t="inlineStr">
        <is>
          <t>7. Hidrología, acceso y logística (F-DT-05)</t>
        </is>
      </c>
      <c r="B39" s="56" t="inlineStr">
        <is>
          <t>Escorrentía concentrada</t>
        </is>
      </c>
      <c r="C39" s="56" t="inlineStr">
        <is>
          <t>Sí</t>
        </is>
      </c>
      <c r="D39" s="56" t="inlineStr"/>
    </row>
    <row r="40">
      <c r="A40" s="57" t="inlineStr">
        <is>
          <t>7. Hidrología, acceso y logística (F-DT-05)</t>
        </is>
      </c>
      <c r="B40" s="57" t="inlineStr">
        <is>
          <t>Fuentes de agua inventariadas</t>
        </is>
      </c>
      <c r="C40" s="57" t="inlineStr">
        <is>
          <t>1</t>
        </is>
      </c>
      <c r="D40" s="57" t="inlineStr"/>
    </row>
    <row r="41">
      <c r="A41" s="56" t="inlineStr">
        <is>
          <t>7. Hidrología, acceso y logística (F-DT-05)</t>
        </is>
      </c>
      <c r="B41" s="56" t="inlineStr">
        <is>
          <t>Interferencia con riego</t>
        </is>
      </c>
      <c r="C41" s="56" t="inlineStr">
        <is>
          <t>No</t>
        </is>
      </c>
      <c r="D41" s="56" t="inlineStr"/>
    </row>
    <row r="42">
      <c r="A42" s="57" t="inlineStr">
        <is>
          <t>7. Hidrología, acceso y logística (F-DT-05)</t>
        </is>
      </c>
      <c r="B42" s="57" t="inlineStr">
        <is>
          <t>Vía principal de acceso</t>
        </is>
      </c>
      <c r="C42" s="57" t="inlineStr">
        <is>
          <t>Vía vecinal PI-799</t>
        </is>
      </c>
      <c r="D42" s="57" t="inlineStr"/>
    </row>
    <row r="43">
      <c r="A43" s="56" t="inlineStr">
        <is>
          <t>7. Hidrología, acceso y logística (F-DT-05)</t>
        </is>
      </c>
      <c r="B43" s="56" t="inlineStr">
        <is>
          <t>Tipo de vía del tramo final</t>
        </is>
      </c>
      <c r="C43" s="56" t="inlineStr">
        <is>
          <t>Vecinal afirmada</t>
        </is>
      </c>
      <c r="D43" s="56" t="inlineStr"/>
    </row>
    <row r="44">
      <c r="A44" s="57" t="inlineStr">
        <is>
          <t>7. Hidrología, acceso y logística (F-DT-05)</t>
        </is>
      </c>
      <c r="B44" s="57" t="inlineStr">
        <is>
          <t>Transitabilidad en época seca</t>
        </is>
      </c>
      <c r="C44" s="57" t="inlineStr">
        <is>
          <t>Medio</t>
        </is>
      </c>
      <c r="D44" s="57" t="inlineStr"/>
    </row>
    <row r="45">
      <c r="A45" s="56" t="inlineStr">
        <is>
          <t>7. Hidrología, acceso y logística (F-DT-05)</t>
        </is>
      </c>
      <c r="B45" s="56" t="inlineStr">
        <is>
          <t>Transitabilidad en época lluviosa</t>
        </is>
      </c>
      <c r="C45" s="56" t="inlineStr">
        <is>
          <t>Bajo</t>
        </is>
      </c>
      <c r="D45" s="56" t="inlineStr"/>
    </row>
    <row r="47">
      <c r="A47" s="54" t="inlineStr">
        <is>
          <t>C. PROCEDENCIA DE LOS HECHOS DECLARADOS</t>
        </is>
      </c>
    </row>
    <row r="48">
      <c r="A48" s="55" t="inlineStr">
        <is>
          <t>Fuente</t>
        </is>
      </c>
      <c r="B48" s="55" t="inlineStr">
        <is>
          <t>Hechos</t>
        </is>
      </c>
      <c r="C48" s="55" t="inlineStr">
        <is>
          <t>Alcance de la fuente</t>
        </is>
      </c>
    </row>
    <row r="49">
      <c r="A49" s="56" t="inlineStr">
        <is>
          <t>Dato de campo</t>
        </is>
      </c>
      <c r="B49" s="56" t="n">
        <v>65</v>
      </c>
      <c r="C49" s="56" t="inlineStr">
        <is>
          <t>Verificación en campo. Fichas F-DT-01 a F-DT-05 de la Plantilla DT Campo Check Validada V5, suscritas por el evaluador.</t>
        </is>
      </c>
    </row>
    <row r="50">
      <c r="A50" s="57" t="inlineStr">
        <is>
          <t>Gabinete (GIS / teledetección)</t>
        </is>
      </c>
      <c r="B50" s="57" t="n">
        <v>20</v>
      </c>
      <c r="C50" s="57" t="inlineStr">
        <is>
          <t>Gabinete. Estadística zonal sobre el MDE y compuestos Sentinel-2 (NDVI mediana 2025, MSAVI 2024 por clase DN).</t>
        </is>
      </c>
    </row>
    <row r="51">
      <c r="A51" s="56" t="inlineStr">
        <is>
          <t>Fuente oficial</t>
        </is>
      </c>
      <c r="B51" s="56" t="n">
        <v>14</v>
      </c>
      <c r="C51" s="56" t="inlineStr">
        <is>
          <t>Fuente oficial. Catálogo maestro Bloques V5/V6, división política INEI y codificación de microcuencas de la ANA.</t>
        </is>
      </c>
    </row>
    <row r="53">
      <c r="A53" s="54" t="inlineStr">
        <is>
          <t>D. ESTADO DEL CRUCE ENTRE FUENTES</t>
        </is>
      </c>
    </row>
    <row r="54">
      <c r="A54" s="55" t="inlineStr">
        <is>
          <t>Estado</t>
        </is>
      </c>
      <c r="B54" s="55" t="inlineStr">
        <is>
          <t>Hechos</t>
        </is>
      </c>
      <c r="C54" s="55" t="inlineStr">
        <is>
          <t>Significado</t>
        </is>
      </c>
    </row>
    <row r="55">
      <c r="A55" s="56" t="inlineStr">
        <is>
          <t>CONFORME</t>
        </is>
      </c>
      <c r="B55" s="56" t="n">
        <v>98</v>
      </c>
      <c r="C55" s="56" t="inlineStr">
        <is>
          <t>Las dos fuentes declaran lo mismo, o solo la fuente que manda sobre el hecho lo declara.</t>
        </is>
      </c>
    </row>
    <row r="56">
      <c r="A56" s="57" t="inlineStr">
        <is>
          <t>COMPLEMENTADO</t>
        </is>
      </c>
      <c r="B56" s="57" t="n">
        <v>0</v>
      </c>
      <c r="C56" s="57" t="inlineStr">
        <is>
          <t>Solo una de las fuentes lo declara y se adopta ese valor.</t>
        </is>
      </c>
    </row>
    <row r="57">
      <c r="A57" s="56" t="inlineStr">
        <is>
          <t>ACTUALIZADO</t>
        </is>
      </c>
      <c r="B57" s="56" t="n">
        <v>1</v>
      </c>
      <c r="C57" s="56" t="inlineStr">
        <is>
          <t>La verificación de campo vigente corrige lo que traía el libro de resumen.</t>
        </is>
      </c>
    </row>
    <row r="58">
      <c r="A58" s="57" t="inlineStr">
        <is>
          <t>DISCREPANTE</t>
        </is>
      </c>
      <c r="B58" s="57" t="n">
        <v>0</v>
      </c>
      <c r="C58" s="57" t="inlineStr">
        <is>
          <t>Las fuentes se contradicen; prevalece la que manda sobre el hecho y la otra queda declarada.</t>
        </is>
      </c>
    </row>
    <row r="59">
      <c r="A59" s="56" t="inlineStr">
        <is>
          <t>PENDIENTE</t>
        </is>
      </c>
      <c r="B59" s="56" t="n">
        <v>15</v>
      </c>
      <c r="C5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15</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macracantha (Acacia macracantha)</t>
        </is>
      </c>
      <c r="D13" s="56" t="inlineStr">
        <is>
          <t>Fabaceae</t>
        </is>
      </c>
      <c r="E13" s="56" t="inlineStr">
        <is>
          <t>Arbóreo bajo (4-8 m)</t>
        </is>
      </c>
      <c r="F13" s="56" t="inlineStr">
        <is>
          <t>Nativa</t>
        </is>
      </c>
      <c r="G13" s="56" t="inlineStr">
        <is>
          <t>Frecuente (5-20%)</t>
        </is>
      </c>
      <c r="H13" s="56" t="n"/>
      <c r="I13" s="61" t="n">
        <v>6</v>
      </c>
    </row>
    <row r="14">
      <c r="A14" s="57" t="inlineStr">
        <is>
          <t>2</t>
        </is>
      </c>
      <c r="B14" s="57" t="inlineStr">
        <is>
          <t>Tara</t>
        </is>
      </c>
      <c r="C14" s="57" t="inlineStr">
        <is>
          <t>Caesalpinia spinosa</t>
        </is>
      </c>
      <c r="D14" s="57" t="inlineStr">
        <is>
          <t>Fabaceae</t>
        </is>
      </c>
      <c r="E14" s="57" t="inlineStr">
        <is>
          <t>Arbóreo bajo (4-8 m)</t>
        </is>
      </c>
      <c r="F14" s="57" t="inlineStr">
        <is>
          <t>Nativa</t>
        </is>
      </c>
      <c r="G14" s="57" t="inlineStr">
        <is>
          <t>Ocasional (1-5%)</t>
        </is>
      </c>
      <c r="H14" s="57" t="n"/>
      <c r="I14" s="62" t="n">
        <v>5</v>
      </c>
    </row>
    <row r="15">
      <c r="A15" s="56" t="inlineStr">
        <is>
          <t>3</t>
        </is>
      </c>
      <c r="B15" s="56" t="inlineStr">
        <is>
          <t>Chachacomo</t>
        </is>
      </c>
      <c r="C15" s="56" t="inlineStr">
        <is>
          <t>Escallonia sp. (prelim.)</t>
        </is>
      </c>
      <c r="D15" s="56" t="inlineStr">
        <is>
          <t>Escalloniaceae</t>
        </is>
      </c>
      <c r="E15" s="56" t="inlineStr">
        <is>
          <t>Arbóreo bajo (4-8 m)</t>
        </is>
      </c>
      <c r="F15" s="56" t="inlineStr">
        <is>
          <t>Nativa</t>
        </is>
      </c>
      <c r="G15" s="56" t="inlineStr">
        <is>
          <t>Ocasional (1-5%)</t>
        </is>
      </c>
      <c r="H15" s="56" t="n"/>
      <c r="I15" s="61" t="n">
        <v>6</v>
      </c>
    </row>
    <row r="16">
      <c r="A16" s="57" t="inlineStr">
        <is>
          <t>4</t>
        </is>
      </c>
      <c r="B16" s="57" t="inlineStr">
        <is>
          <t>Guayacán</t>
        </is>
      </c>
      <c r="C16" s="57" t="inlineStr">
        <is>
          <t>Handroanthus / Tabebuia sp. (prelim.)</t>
        </is>
      </c>
      <c r="D16" s="57" t="inlineStr">
        <is>
          <t>Bignoniaceae</t>
        </is>
      </c>
      <c r="E16" s="57" t="inlineStr">
        <is>
          <t>Arbóreo medio (8-15 m)</t>
        </is>
      </c>
      <c r="F16" s="57" t="inlineStr">
        <is>
          <t>Nativa</t>
        </is>
      </c>
      <c r="G16" s="57" t="inlineStr">
        <is>
          <t>Rara (&lt;1%)</t>
        </is>
      </c>
      <c r="H16" s="57" t="n"/>
      <c r="I16" s="62" t="n">
        <v>9</v>
      </c>
    </row>
    <row r="17">
      <c r="A17" s="56" t="inlineStr">
        <is>
          <t>5</t>
        </is>
      </c>
      <c r="B17" s="56" t="inlineStr">
        <is>
          <t>Chirimoyo silvestre</t>
        </is>
      </c>
      <c r="C17" s="56" t="inlineStr">
        <is>
          <t>Annona sp. (prelim.)</t>
        </is>
      </c>
      <c r="D17" s="56" t="inlineStr">
        <is>
          <t>Annonaceae</t>
        </is>
      </c>
      <c r="E17" s="56" t="inlineStr">
        <is>
          <t>Arbóreo bajo (4-8 m)</t>
        </is>
      </c>
      <c r="F17" s="56" t="inlineStr">
        <is>
          <t>Nativa</t>
        </is>
      </c>
      <c r="G17" s="56" t="inlineStr">
        <is>
          <t>Ocasional (1-5%)</t>
        </is>
      </c>
      <c r="H17" s="56" t="n"/>
      <c r="I17" s="61" t="n">
        <v>5</v>
      </c>
    </row>
    <row r="18">
      <c r="A18" s="57" t="inlineStr">
        <is>
          <t>6</t>
        </is>
      </c>
      <c r="B18" s="57" t="inlineStr">
        <is>
          <t>Pacae</t>
        </is>
      </c>
      <c r="C18" s="57" t="inlineStr">
        <is>
          <t>Inga sp. (prelim.)</t>
        </is>
      </c>
      <c r="D18" s="57" t="inlineStr">
        <is>
          <t>Fabaceae</t>
        </is>
      </c>
      <c r="E18" s="57" t="inlineStr">
        <is>
          <t>Arbóreo medio (8-15 m)</t>
        </is>
      </c>
      <c r="F18" s="57" t="inlineStr">
        <is>
          <t>Nativa</t>
        </is>
      </c>
      <c r="G18" s="57" t="inlineStr">
        <is>
          <t>Ocasional (1-5%)</t>
        </is>
      </c>
      <c r="H18" s="57" t="n"/>
      <c r="I18" s="62" t="n">
        <v>8</v>
      </c>
    </row>
    <row r="19">
      <c r="A19" s="56" t="inlineStr">
        <is>
          <t>7</t>
        </is>
      </c>
      <c r="B19" s="56" t="inlineStr">
        <is>
          <t>Cabuya / Penca (agave)</t>
        </is>
      </c>
      <c r="C19" s="56" t="inlineStr">
        <is>
          <t>Agave americana (prelim.)</t>
        </is>
      </c>
      <c r="D19" s="56" t="inlineStr">
        <is>
          <t>Asparagaceae</t>
        </is>
      </c>
      <c r="E19" s="56" t="inlineStr">
        <is>
          <t>Arbustivo alto (1.5-4 m)</t>
        </is>
      </c>
      <c r="F19" s="56" t="inlineStr">
        <is>
          <t>Introducida</t>
        </is>
      </c>
      <c r="G19" s="56" t="inlineStr">
        <is>
          <t>Frecuente (5-20%)</t>
        </is>
      </c>
      <c r="H19" s="56" t="n"/>
      <c r="I19" s="56" t="n"/>
    </row>
    <row r="20">
      <c r="A20" s="57" t="inlineStr">
        <is>
          <t>8</t>
        </is>
      </c>
      <c r="B20" s="57" t="inlineStr">
        <is>
          <t>Yuca de monte</t>
        </is>
      </c>
      <c r="C20" s="57" t="inlineStr">
        <is>
          <t>Apodanthera biflora (prelim.)</t>
        </is>
      </c>
      <c r="D20" s="57" t="inlineStr">
        <is>
          <t>Cucurbitaceae</t>
        </is>
      </c>
      <c r="E20" s="57" t="inlineStr">
        <is>
          <t>Trepador</t>
        </is>
      </c>
      <c r="F20" s="57" t="inlineStr">
        <is>
          <t>Nativa</t>
        </is>
      </c>
      <c r="G20" s="57" t="inlineStr">
        <is>
          <t>Rara (&lt;1%)</t>
        </is>
      </c>
      <c r="H20" s="57" t="n"/>
      <c r="I20" s="57" t="n"/>
    </row>
    <row r="21">
      <c r="A21" s="56" t="inlineStr">
        <is>
          <t>9</t>
        </is>
      </c>
      <c r="B21" s="56" t="inlineStr">
        <is>
          <t>Helechos</t>
        </is>
      </c>
      <c r="C21" s="56" t="inlineStr">
        <is>
          <t>Pteridophyta (varias)</t>
        </is>
      </c>
      <c r="D21" s="56" t="inlineStr">
        <is>
          <t>—</t>
        </is>
      </c>
      <c r="E21" s="56" t="inlineStr">
        <is>
          <t>Herbáceo (&lt;0.5 m)</t>
        </is>
      </c>
      <c r="F21" s="56" t="inlineStr">
        <is>
          <t>Nativa</t>
        </is>
      </c>
      <c r="G21" s="56" t="inlineStr">
        <is>
          <t>Ocasional (1-5%)</t>
        </is>
      </c>
      <c r="H21" s="56" t="n"/>
      <c r="I21" s="56" t="n"/>
    </row>
    <row r="22">
      <c r="A22" s="57" t="inlineStr">
        <is>
          <t>10</t>
        </is>
      </c>
      <c r="B22" s="57" t="inlineStr">
        <is>
          <t>Bromelias (epífitas)</t>
        </is>
      </c>
      <c r="C22" s="57" t="inlineStr">
        <is>
          <t>Bromeliaceae</t>
        </is>
      </c>
      <c r="D22" s="57" t="inlineStr">
        <is>
          <t>Bromeliaceae</t>
        </is>
      </c>
      <c r="E22" s="57" t="inlineStr">
        <is>
          <t>Epífito</t>
        </is>
      </c>
      <c r="F22" s="57" t="inlineStr">
        <is>
          <t>Nativa</t>
        </is>
      </c>
      <c r="G22" s="57" t="inlineStr">
        <is>
          <t>Ocasional (1-5%)</t>
        </is>
      </c>
      <c r="H22" s="57" t="n"/>
      <c r="I22" s="57" t="n"/>
    </row>
    <row r="23">
      <c r="A23" s="56" t="inlineStr">
        <is>
          <t>11</t>
        </is>
      </c>
      <c r="B23" s="56" t="inlineStr">
        <is>
          <t>Caña de Guayaquil</t>
        </is>
      </c>
      <c r="C23" s="56" t="inlineStr">
        <is>
          <t>Guadua angustifolia (prelim.)</t>
        </is>
      </c>
      <c r="D23" s="56" t="inlineStr">
        <is>
          <t>Poaceae</t>
        </is>
      </c>
      <c r="E23" s="56" t="inlineStr">
        <is>
          <t>Arbustivo alto (1.5-4 m)</t>
        </is>
      </c>
      <c r="F23" s="56" t="inlineStr">
        <is>
          <t>Nativa</t>
        </is>
      </c>
      <c r="G23" s="56" t="inlineStr">
        <is>
          <t>Rara (&lt;1%)</t>
        </is>
      </c>
      <c r="H23" s="56" t="n"/>
      <c r="I23" s="56" t="n"/>
    </row>
    <row r="24">
      <c r="A24" s="57" t="inlineStr">
        <is>
          <t>12</t>
        </is>
      </c>
      <c r="B24" s="57" t="inlineStr">
        <is>
          <t>Pasto cultivado (gramíneas)</t>
        </is>
      </c>
      <c r="C24" s="57" t="inlineStr">
        <is>
          <t>Poaceae (Pennisetum sp., prelim.)</t>
        </is>
      </c>
      <c r="D24" s="57" t="inlineStr">
        <is>
          <t>Poaceae</t>
        </is>
      </c>
      <c r="E24" s="57" t="inlineStr">
        <is>
          <t>Herbáceo (&lt;0.5 m)</t>
        </is>
      </c>
      <c r="F24" s="57" t="inlineStr">
        <is>
          <t>Introducida</t>
        </is>
      </c>
      <c r="G24" s="57" t="inlineStr">
        <is>
          <t>Dominante (&gt;40%)</t>
        </is>
      </c>
      <c r="H24" s="57" t="n"/>
      <c r="I24" s="57" t="n"/>
    </row>
    <row r="25">
      <c r="A25" s="56" t="inlineStr">
        <is>
          <t>13</t>
        </is>
      </c>
      <c r="B25" s="56" t="inlineStr">
        <is>
          <t>Pino</t>
        </is>
      </c>
      <c r="C25" s="56" t="inlineStr">
        <is>
          <t>Pinus sp.</t>
        </is>
      </c>
      <c r="D25" s="56" t="inlineStr">
        <is>
          <t>Pinaceae</t>
        </is>
      </c>
      <c r="E25" s="56" t="inlineStr">
        <is>
          <t>Arbóreo medio (8-15 m)</t>
        </is>
      </c>
      <c r="F25" s="56" t="inlineStr">
        <is>
          <t>Introducida</t>
        </is>
      </c>
      <c r="G25" s="56" t="inlineStr">
        <is>
          <t>Rara (&lt;1%)</t>
        </is>
      </c>
      <c r="H25" s="56" t="n"/>
      <c r="I25" s="56" t="n"/>
    </row>
    <row r="26">
      <c r="A26" s="57" t="inlineStr">
        <is>
          <t>14</t>
        </is>
      </c>
      <c r="B26" s="57" t="inlineStr">
        <is>
          <t>Eucalipto</t>
        </is>
      </c>
      <c r="C26" s="57" t="inlineStr">
        <is>
          <t>Eucalyptus sp.</t>
        </is>
      </c>
      <c r="D26" s="57" t="inlineStr">
        <is>
          <t>Myrtaceae</t>
        </is>
      </c>
      <c r="E26" s="57" t="inlineStr">
        <is>
          <t>Arbóreo medio (8-15 m)</t>
        </is>
      </c>
      <c r="F26" s="57" t="inlineStr">
        <is>
          <t>Introducida</t>
        </is>
      </c>
      <c r="G26" s="57" t="inlineStr">
        <is>
          <t>Rara (&lt;1%)</t>
        </is>
      </c>
      <c r="H26" s="57" t="n"/>
      <c r="I26" s="57" t="n"/>
    </row>
    <row r="27">
      <c r="A27" s="56" t="inlineStr">
        <is>
          <t>15</t>
        </is>
      </c>
      <c r="B27" s="56" t="inlineStr">
        <is>
          <t>Maíz</t>
        </is>
      </c>
      <c r="C27" s="56" t="inlineStr">
        <is>
          <t>Zea mays</t>
        </is>
      </c>
      <c r="D27" s="56" t="inlineStr">
        <is>
          <t>Poaceae</t>
        </is>
      </c>
      <c r="E27" s="56" t="inlineStr">
        <is>
          <t>Herbáceo (&lt;0.5 m)</t>
        </is>
      </c>
      <c r="F27" s="56" t="inlineStr">
        <is>
          <t>Introducida</t>
        </is>
      </c>
      <c r="G27" s="56" t="inlineStr">
        <is>
          <t>Frecuente (5-20%)</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Tara (Caesalpinia spinosa)</t>
        </is>
      </c>
      <c r="C31" s="56" t="inlineStr">
        <is>
          <t>Amenazada (D.S. 043-2006-AG)</t>
        </is>
      </c>
      <c r="D31" s="56" t="inlineStr">
        <is>
          <t>VU — Vulnerable</t>
        </is>
      </c>
      <c r="E31" s="63" t="n">
        <v>620606</v>
      </c>
      <c r="F31" s="63" t="n">
        <v>9438216</v>
      </c>
      <c r="G31" s="56" t="n"/>
      <c r="H31" s="56" t="inlineStr">
        <is>
          <t>Vulnerable (VU) s/ D.S. 043-2006-AG (cf. flora bosque seco Piura, SIAR).</t>
        </is>
      </c>
    </row>
    <row r="32">
      <c r="A32" s="57" t="inlineStr">
        <is>
          <t>2</t>
        </is>
      </c>
      <c r="B32" s="57" t="inlineStr">
        <is>
          <t>Faique (Vachellia macracantha)</t>
        </is>
      </c>
      <c r="C32" s="57" t="inlineStr">
        <is>
          <t>Amenazada (D.S. 043-2006-AG)</t>
        </is>
      </c>
      <c r="D32" s="57" t="inlineStr">
        <is>
          <t>NT — Casi Amenazado</t>
        </is>
      </c>
      <c r="E32" s="64" t="n">
        <v>620573</v>
      </c>
      <c r="F32" s="64" t="n">
        <v>9438163</v>
      </c>
      <c r="G32" s="57" t="n"/>
      <c r="H32" s="57" t="inlineStr">
        <is>
          <t>Casi amenazada (NT) s/ D.S. 043-2006-AG; LC en UICN.</t>
        </is>
      </c>
    </row>
    <row r="33">
      <c r="A33" s="56" t="inlineStr">
        <is>
          <t>3</t>
        </is>
      </c>
      <c r="B33" s="56" t="inlineStr">
        <is>
          <t>Guayacán (Handroanthus/Tabebuia sp.)</t>
        </is>
      </c>
      <c r="C33" s="56" t="inlineStr">
        <is>
          <t>Clave cultural</t>
        </is>
      </c>
      <c r="D33" s="56" t="inlineStr">
        <is>
          <t>NE — No Evaluado</t>
        </is>
      </c>
      <c r="E33" s="63" t="n">
        <v>620606</v>
      </c>
      <c r="F33" s="63" t="n">
        <v>9438217</v>
      </c>
      <c r="G33" s="56" t="n"/>
      <c r="H33" s="56" t="inlineStr">
        <is>
          <t>Madera dura de alto valor; género en CITES Apéndice II; categoría nacional por verificar (determinación preliminar).</t>
        </is>
      </c>
    </row>
    <row r="35">
      <c r="A35" s="54" t="inlineStr">
        <is>
          <t>F-DT-04 · MATRIZ DE CAUSAS DE DEGRADACIÓN</t>
        </is>
      </c>
    </row>
    <row r="36">
      <c r="A36" s="55" t="inlineStr">
        <is>
          <t>N.o</t>
        </is>
      </c>
      <c r="B36" s="55" t="inlineStr">
        <is>
          <t>Causa</t>
        </is>
      </c>
      <c r="C36" s="55" t="inlineStr">
        <is>
          <t>Presencia</t>
        </is>
      </c>
      <c r="D36" s="55" t="inlineStr">
        <is>
          <t>Intensidad</t>
        </is>
      </c>
      <c r="E36" s="55" t="inlineStr">
        <is>
          <t>Extensión</t>
        </is>
      </c>
      <c r="F36" s="55" t="inlineStr">
        <is>
          <t>Antigüedad</t>
        </is>
      </c>
      <c r="G36" s="55" t="inlineStr">
        <is>
          <t>Evidencia</t>
        </is>
      </c>
    </row>
    <row r="37">
      <c r="A37" s="56" t="inlineStr">
        <is>
          <t>1</t>
        </is>
      </c>
      <c r="B37" s="56" t="inlineStr">
        <is>
          <t>Sobrepastoreo (caprino/vacuno)</t>
        </is>
      </c>
      <c r="C37" s="56" t="inlineStr">
        <is>
          <t>Sí</t>
        </is>
      </c>
      <c r="D37" s="56" t="inlineStr">
        <is>
          <t>Moderada</t>
        </is>
      </c>
      <c r="E37" s="56" t="inlineStr">
        <is>
          <t>~50</t>
        </is>
      </c>
      <c r="F37" s="56" t="inlineStr"/>
      <c r="G37" s="56" t="inlineStr">
        <is>
          <t>Pastoreo extensivo vacuno/caprino; compactación y senderos de ganado.</t>
        </is>
      </c>
    </row>
    <row r="38">
      <c r="A38" s="57" t="inlineStr">
        <is>
          <t>2</t>
        </is>
      </c>
      <c r="B38" s="57" t="inlineStr">
        <is>
          <t>Tala para leña</t>
        </is>
      </c>
      <c r="C38" s="57" t="inlineStr">
        <is>
          <t>Sí</t>
        </is>
      </c>
      <c r="D38" s="57" t="inlineStr">
        <is>
          <t>Ligera</t>
        </is>
      </c>
      <c r="E38" s="57" t="inlineStr">
        <is>
          <t>—</t>
        </is>
      </c>
      <c r="F38" s="57" t="inlineStr"/>
      <c r="G38" s="57" t="inlineStr">
        <is>
          <t>Postes y cercos de madera local; tala selectiva menor para leña.</t>
        </is>
      </c>
    </row>
    <row r="39">
      <c r="A39" s="56" t="inlineStr">
        <is>
          <t>3</t>
        </is>
      </c>
      <c r="B39" s="56" t="inlineStr">
        <is>
          <t>Tala para carbón</t>
        </is>
      </c>
      <c r="C39" s="56" t="inlineStr"/>
      <c r="D39" s="56" t="inlineStr"/>
      <c r="E39" s="56" t="inlineStr"/>
      <c r="F39" s="56" t="inlineStr"/>
      <c r="G39" s="56" t="inlineStr"/>
    </row>
    <row r="40">
      <c r="A40" s="57" t="inlineStr">
        <is>
          <t>4</t>
        </is>
      </c>
      <c r="B40" s="57" t="inlineStr">
        <is>
          <t>Tala para madera</t>
        </is>
      </c>
      <c r="C40" s="57" t="inlineStr"/>
      <c r="D40" s="57" t="inlineStr"/>
      <c r="E40" s="57" t="inlineStr"/>
      <c r="F40" s="57" t="inlineStr"/>
      <c r="G40" s="57" t="inlineStr"/>
    </row>
    <row r="41">
      <c r="A41" s="56" t="inlineStr">
        <is>
          <t>5</t>
        </is>
      </c>
      <c r="B41" s="56" t="inlineStr">
        <is>
          <t>Quema (renovación de pastos)</t>
        </is>
      </c>
      <c r="C41" s="56" t="inlineStr"/>
      <c r="D41" s="56" t="inlineStr"/>
      <c r="E41" s="56" t="inlineStr"/>
      <c r="F41" s="56" t="inlineStr"/>
      <c r="G41" s="56" t="inlineStr"/>
    </row>
    <row r="42">
      <c r="A42" s="57" t="inlineStr">
        <is>
          <t>6</t>
        </is>
      </c>
      <c r="B42" s="57" t="inlineStr">
        <is>
          <t>Quema accidental / Incendio</t>
        </is>
      </c>
      <c r="C42" s="57" t="inlineStr"/>
      <c r="D42" s="57" t="inlineStr"/>
      <c r="E42" s="57" t="inlineStr"/>
      <c r="F42" s="57" t="inlineStr"/>
      <c r="G42" s="57" t="inlineStr"/>
    </row>
    <row r="43">
      <c r="A43" s="56" t="inlineStr">
        <is>
          <t>7</t>
        </is>
      </c>
      <c r="B43" s="56" t="inlineStr">
        <is>
          <t>Cambio de uso a agricultura</t>
        </is>
      </c>
      <c r="C43" s="56" t="inlineStr">
        <is>
          <t>Sí</t>
        </is>
      </c>
      <c r="D43" s="56" t="inlineStr">
        <is>
          <t>Fuerte</t>
        </is>
      </c>
      <c r="E43" s="56" t="inlineStr">
        <is>
          <t>~80</t>
        </is>
      </c>
      <c r="F43" s="56" t="inlineStr"/>
      <c r="G43" s="56" t="inlineStr">
        <is>
          <t>Matriz agrícola dominante (95.7 % del bloque); cultivos de maíz, trigo y arveja.</t>
        </is>
      </c>
    </row>
    <row r="44">
      <c r="A44" s="57" t="inlineStr">
        <is>
          <t>8</t>
        </is>
      </c>
      <c r="B44" s="57" t="inlineStr">
        <is>
          <t>Cambio de uso a pastoreo</t>
        </is>
      </c>
      <c r="C44" s="57" t="inlineStr">
        <is>
          <t>Sí</t>
        </is>
      </c>
      <c r="D44" s="57" t="inlineStr">
        <is>
          <t>Moderada</t>
        </is>
      </c>
      <c r="E44" s="57" t="inlineStr">
        <is>
          <t>—</t>
        </is>
      </c>
      <c r="F44" s="57" t="inlineStr"/>
      <c r="G44" s="57" t="inlineStr">
        <is>
          <t>Pastizales cultivados en ladera (frontera pecuaria).</t>
        </is>
      </c>
    </row>
    <row r="45">
      <c r="A45" s="56" t="inlineStr">
        <is>
          <t>9</t>
        </is>
      </c>
      <c r="B45" s="56" t="inlineStr">
        <is>
          <t>Expansión urbana / vial</t>
        </is>
      </c>
      <c r="C45" s="56" t="inlineStr"/>
      <c r="D45" s="56" t="inlineStr"/>
      <c r="E45" s="56" t="inlineStr"/>
      <c r="F45" s="56" t="inlineStr"/>
      <c r="G45" s="56" t="inlineStr"/>
    </row>
    <row r="46">
      <c r="A46" s="57" t="inlineStr">
        <is>
          <t>10</t>
        </is>
      </c>
      <c r="B46" s="57" t="inlineStr">
        <is>
          <t>Minería informal</t>
        </is>
      </c>
      <c r="C46" s="57" t="inlineStr"/>
      <c r="D46" s="57" t="inlineStr"/>
      <c r="E46" s="57" t="inlineStr"/>
      <c r="F46" s="57" t="inlineStr"/>
      <c r="G46" s="57" t="inlineStr"/>
    </row>
    <row r="47">
      <c r="A47" s="56" t="inlineStr">
        <is>
          <t>11</t>
        </is>
      </c>
      <c r="B47" s="56" t="inlineStr">
        <is>
          <t>Extracción de áridos (cauces)</t>
        </is>
      </c>
      <c r="C47" s="56" t="inlineStr"/>
      <c r="D47" s="56" t="inlineStr"/>
      <c r="E47" s="56" t="inlineStr"/>
      <c r="F47" s="56" t="inlineStr"/>
      <c r="G47" s="56" t="inlineStr"/>
    </row>
    <row r="48">
      <c r="A48" s="57" t="inlineStr">
        <is>
          <t>12</t>
        </is>
      </c>
      <c r="B48" s="57" t="inlineStr">
        <is>
          <t>Especies invasoras</t>
        </is>
      </c>
      <c r="C48" s="57" t="inlineStr"/>
      <c r="D48" s="57" t="inlineStr"/>
      <c r="E48" s="57" t="inlineStr"/>
      <c r="F48" s="57" t="inlineStr"/>
      <c r="G48" s="57" t="inlineStr"/>
    </row>
    <row r="49">
      <c r="A49" s="56" t="inlineStr">
        <is>
          <t>13</t>
        </is>
      </c>
      <c r="B49" s="56" t="inlineStr">
        <is>
          <t>Erosión natural severa</t>
        </is>
      </c>
      <c r="C49" s="56" t="inlineStr"/>
      <c r="D49" s="56" t="inlineStr"/>
      <c r="E49" s="56" t="inlineStr"/>
      <c r="F49" s="56" t="inlineStr"/>
      <c r="G49" s="56" t="inlineStr"/>
    </row>
    <row r="50">
      <c r="A50" s="57" t="inlineStr">
        <is>
          <t>14</t>
        </is>
      </c>
      <c r="B50" s="57" t="inlineStr">
        <is>
          <t>Sequía prolongada / CC</t>
        </is>
      </c>
      <c r="C50" s="57" t="inlineStr"/>
      <c r="D50" s="57" t="inlineStr"/>
      <c r="E50" s="57" t="inlineStr"/>
      <c r="F50" s="57" t="inlineStr"/>
      <c r="G50" s="57" t="inlineStr"/>
    </row>
    <row r="51">
      <c r="A51" s="56" t="inlineStr">
        <is>
          <t>15</t>
        </is>
      </c>
      <c r="B51" s="56" t="inlineStr">
        <is>
          <t>Plagas o enfermedades forestales</t>
        </is>
      </c>
      <c r="C51" s="56" t="inlineStr"/>
      <c r="D51" s="56" t="inlineStr"/>
      <c r="E51" s="56" t="inlineStr"/>
      <c r="F51" s="56" t="inlineStr"/>
      <c r="G51" s="56" t="inlineStr"/>
    </row>
    <row r="52">
      <c r="A52" s="57" t="inlineStr">
        <is>
          <t>16</t>
        </is>
      </c>
      <c r="B52" s="57" t="inlineStr">
        <is>
          <t>Otro</t>
        </is>
      </c>
      <c r="C52" s="57" t="inlineStr"/>
      <c r="D52" s="57" t="inlineStr"/>
      <c r="E52" s="57" t="inlineStr"/>
      <c r="F52" s="57" t="inlineStr"/>
      <c r="G52" s="57" t="inlineStr"/>
    </row>
    <row r="54">
      <c r="A54" s="54" t="inlineStr">
        <is>
          <t>F-DT-04 · INDICADORES CUANTITATIVOS</t>
        </is>
      </c>
    </row>
    <row r="55">
      <c r="A55" s="55" t="inlineStr">
        <is>
          <t>N.o</t>
        </is>
      </c>
      <c r="B55" s="55" t="inlineStr">
        <is>
          <t>Indicador</t>
        </is>
      </c>
      <c r="C55" s="55" t="inlineStr">
        <is>
          <t>Unidad</t>
        </is>
      </c>
      <c r="D55" s="55" t="inlineStr">
        <is>
          <t>Valor</t>
        </is>
      </c>
      <c r="E55" s="55" t="inlineStr">
        <is>
          <t>Fuente</t>
        </is>
      </c>
      <c r="F55" s="55" t="inlineStr">
        <is>
          <t>Umbral</t>
        </is>
      </c>
      <c r="G55" s="55" t="inlineStr">
        <is>
          <t>Nivel</t>
        </is>
      </c>
    </row>
    <row r="56">
      <c r="A56" s="56" t="inlineStr">
        <is>
          <t>1</t>
        </is>
      </c>
      <c r="B56" s="56" t="inlineStr">
        <is>
          <t>Cobertura vegetal total</t>
        </is>
      </c>
      <c r="C56" s="56" t="inlineStr">
        <is>
          <t>%</t>
        </is>
      </c>
      <c r="D56" s="56" t="inlineStr">
        <is>
          <t>≈80 (estim.)</t>
        </is>
      </c>
      <c r="E56" s="56" t="inlineStr">
        <is>
          <t>Campo + MSAVI 2024</t>
        </is>
      </c>
      <c r="F56" s="56" t="inlineStr">
        <is>
          <t>&gt;60% bueno; 30-60% medio; &lt;30% malo</t>
        </is>
      </c>
      <c r="G56" s="56" t="inlineStr">
        <is>
          <t>Bajo</t>
        </is>
      </c>
    </row>
    <row r="57">
      <c r="A57" s="57" t="inlineStr">
        <is>
          <t>2</t>
        </is>
      </c>
      <c r="B57" s="57" t="inlineStr">
        <is>
          <t>Porcentaje de suelo desnudo</t>
        </is>
      </c>
      <c r="C57" s="57" t="inlineStr">
        <is>
          <t>%</t>
        </is>
      </c>
      <c r="D57" s="57" t="inlineStr">
        <is>
          <t>≈10 (estim.)</t>
        </is>
      </c>
      <c r="E57" s="57" t="inlineStr">
        <is>
          <t>Campo</t>
        </is>
      </c>
      <c r="F57" s="57" t="inlineStr">
        <is>
          <t>&lt;10% bueno; 10-30% medio; &gt;30% malo</t>
        </is>
      </c>
      <c r="G57" s="57" t="inlineStr">
        <is>
          <t>Medio</t>
        </is>
      </c>
    </row>
    <row r="58">
      <c r="A58" s="56" t="inlineStr">
        <is>
          <t>3</t>
        </is>
      </c>
      <c r="B58" s="56" t="inlineStr">
        <is>
          <t>Densidad de cárcavas</t>
        </is>
      </c>
      <c r="C58" s="56" t="inlineStr">
        <is>
          <t>N°/ha</t>
        </is>
      </c>
      <c r="D58" s="56" t="inlineStr">
        <is>
          <t>0</t>
        </is>
      </c>
      <c r="E58" s="56" t="inlineStr">
        <is>
          <t>Campo (sector accesible)</t>
        </is>
      </c>
      <c r="F58" s="56" t="inlineStr">
        <is>
          <t>0 nulo; 1-3 medio; &gt;3 alto</t>
        </is>
      </c>
      <c r="G58" s="56" t="inlineStr">
        <is>
          <t>Bajo</t>
        </is>
      </c>
    </row>
    <row r="59">
      <c r="A59" s="57" t="inlineStr">
        <is>
          <t>4</t>
        </is>
      </c>
      <c r="B59" s="57" t="inlineStr">
        <is>
          <t>Presencia de especies invasoras</t>
        </is>
      </c>
      <c r="C59" s="57" t="inlineStr">
        <is>
          <t>% área</t>
        </is>
      </c>
      <c r="D59" s="57" t="inlineStr"/>
      <c r="E59" s="57" t="inlineStr"/>
      <c r="F59" s="57" t="inlineStr">
        <is>
          <t>&lt;5% bueno; 5-20% medio; &gt;20% alto</t>
        </is>
      </c>
      <c r="G59" s="57" t="inlineStr"/>
    </row>
    <row r="60">
      <c r="A60" s="56" t="inlineStr">
        <is>
          <t>5</t>
        </is>
      </c>
      <c r="B60" s="56" t="inlineStr">
        <is>
          <t>Carga ganadera estimada</t>
        </is>
      </c>
      <c r="C60" s="56" t="inlineStr">
        <is>
          <t>UA/ha</t>
        </is>
      </c>
      <c r="D60" s="56" t="inlineStr"/>
      <c r="E60" s="56" t="inlineStr"/>
      <c r="F60" s="56" t="inlineStr">
        <is>
          <t>Según tipo de ecosistema</t>
        </is>
      </c>
      <c r="G60" s="56" t="inlineStr"/>
    </row>
    <row r="61">
      <c r="A61" s="57" t="inlineStr">
        <is>
          <t>6</t>
        </is>
      </c>
      <c r="B61" s="57" t="inlineStr">
        <is>
          <t>Frecuencia de quemas últimos 5 años</t>
        </is>
      </c>
      <c r="C61" s="57" t="inlineStr">
        <is>
          <t>N°</t>
        </is>
      </c>
      <c r="D61" s="57" t="inlineStr"/>
      <c r="E61" s="57" t="inlineStr"/>
      <c r="F61" s="57" t="inlineStr">
        <is>
          <t>0 nulo; 1-2 medio; &gt;2 alto</t>
        </is>
      </c>
      <c r="G61" s="57" t="inlineStr"/>
    </row>
    <row r="62">
      <c r="A62" s="56" t="inlineStr">
        <is>
          <t>7</t>
        </is>
      </c>
      <c r="B62" s="56" t="inlineStr">
        <is>
          <t>% área con pendiente &gt;50%</t>
        </is>
      </c>
      <c r="C62" s="56" t="inlineStr">
        <is>
          <t>%</t>
        </is>
      </c>
      <c r="D62" s="56" t="inlineStr">
        <is>
          <t>≈30 (estim.)</t>
        </is>
      </c>
      <c r="E62" s="56" t="inlineStr">
        <is>
          <t>Perfil GE / DEM</t>
        </is>
      </c>
      <c r="F62" s="56" t="inlineStr">
        <is>
          <t>Factor de susceptibilidad</t>
        </is>
      </c>
      <c r="G62" s="56" t="inlineStr">
        <is>
          <t>Alto</t>
        </is>
      </c>
    </row>
    <row r="63">
      <c r="A63" s="57" t="inlineStr">
        <is>
          <t>8</t>
        </is>
      </c>
      <c r="B63" s="57" t="inlineStr">
        <is>
          <t>Distancia a vía vecinal más cercana</t>
        </is>
      </c>
      <c r="C63" s="57" t="inlineStr">
        <is>
          <t>m</t>
        </is>
      </c>
      <c r="D63" s="57" t="inlineStr">
        <is>
          <t>≈0–200</t>
        </is>
      </c>
      <c r="E63" s="57" t="inlineStr">
        <is>
          <t>Campo (PI-799 colindante)</t>
        </is>
      </c>
      <c r="F63" s="57" t="inlineStr">
        <is>
          <t>A menor distancia → mayor presión</t>
        </is>
      </c>
      <c r="G63" s="57" t="inlineStr">
        <is>
          <t>Alto</t>
        </is>
      </c>
    </row>
    <row r="65">
      <c r="A65" s="54" t="inlineStr">
        <is>
          <t>F-DT-05 · FUENTES DE AGUA INVENTARIADAS</t>
        </is>
      </c>
    </row>
    <row r="66">
      <c r="A66" s="55" t="inlineStr">
        <is>
          <t>N.o</t>
        </is>
      </c>
      <c r="B66" s="55" t="inlineStr">
        <is>
          <t>Tipo de fuente</t>
        </is>
      </c>
      <c r="C66" s="55" t="inlineStr">
        <is>
          <t>UTM ESTE</t>
        </is>
      </c>
      <c r="D66" s="55" t="inlineStr">
        <is>
          <t>UTM NORTE</t>
        </is>
      </c>
      <c r="E66" s="55" t="inlineStr">
        <is>
          <t>Régimen</t>
        </is>
      </c>
      <c r="F66" s="55" t="inlineStr">
        <is>
          <t>Calidad</t>
        </is>
      </c>
      <c r="G66" s="55" t="inlineStr">
        <is>
          <t>Distancia (m)</t>
        </is>
      </c>
      <c r="H66" s="55" t="inlineStr">
        <is>
          <t>Uso / observación</t>
        </is>
      </c>
    </row>
    <row r="67">
      <c r="A67" s="56" t="inlineStr">
        <is>
          <t>1</t>
        </is>
      </c>
      <c r="B67" s="56" t="inlineStr">
        <is>
          <t>Reservorio / Represa</t>
        </is>
      </c>
      <c r="C67" s="63" t="n">
        <v>620607</v>
      </c>
      <c r="D67" s="63" t="n">
        <v>9438226</v>
      </c>
      <c r="E67" s="56" t="inlineStr">
        <is>
          <t>Permanente</t>
        </is>
      </c>
      <c r="F67" s="56" t="inlineStr">
        <is>
          <t>No evaluable</t>
        </is>
      </c>
      <c r="G67" s="61" t="n">
        <v>0</v>
      </c>
      <c r="H67" s="56" t="inlineStr">
        <is>
          <t>Tanque de almacenamiento de agua (uso doméstico/pecuario) dentro del bloque; posible captación asociada por verificar.</t>
        </is>
      </c>
    </row>
    <row r="70">
      <c r="A70" s="54" t="inlineStr">
        <is>
          <t>OBSERVACIONES DEL EVALUADOR POR FICHA</t>
        </is>
      </c>
    </row>
    <row r="71">
      <c r="A71" s="55" t="inlineStr">
        <is>
          <t>Ficha</t>
        </is>
      </c>
      <c r="B71" s="55" t="inlineStr">
        <is>
          <t>Observación registrada en campo</t>
        </is>
      </c>
    </row>
    <row r="72">
      <c r="A72" s="56" t="inlineStr">
        <is>
          <t>F-DT-01</t>
        </is>
      </c>
      <c r="B72" s="56" t="inlineStr">
        <is>
          <t>Verificación de campo del 11/06/2026 concentrada en el sector norte de acceso (entorno del C.P. Jacanacas / paraje Chachacomo, ~620560–620610 E / 9438078–9438269 N) y vista panorámica del sector oeste el 17/06/2026 (619819 E / 9437653 N). Altitud consignada (1230 msnm) es el valor promedio referencial del bloque; el perfil de elevación (Google Earth) del transecto registra un ascenso de ~1194 a 1621 msnm (media ~1386 msnm, pendiente media 37.1 %, máxima 67.4 %). En el sector accesible NO se observaron remociones en masa activas, pero la combinación de pendientes fuertes, afloramientos rocosos en el cuerpo del cerro y suelos de ladera bajo pastoreo configura una susceptibilidad latente. Exposición dominante (Suroeste) derivada de curvas de nivel/DEM, por confirmar con análisis de aspecto. Nota de identidad: el polígono aparece rotulado como "B4_2" (capa MSAVI) e índice "15" en la cartografía; corresponde al código de bloque 15 del maestro Bloques V4.</t>
        </is>
      </c>
    </row>
    <row r="73">
      <c r="A73" s="57" t="inlineStr">
        <is>
          <t>F-DT-02</t>
        </is>
      </c>
      <c r="B73" s="57" t="inlineStr">
        <is>
          <t>Erosión general LIGERA por la densa cobertura herbácea (pastizales). Erosión localizada MODERADA en senderos y calvas de pisoteo del ganado (ver Foto de suelo desnudo, 620606 E / 9438222 N). No se inventariaron cárcavas en el sector accesible (valor 0 = dato verificado, no equivale a ausencia en todo el bloque). Susceptibilidad a remoción en masa latente por pendientes &gt;50 % en el cuerpo del cerro. Verificación de cárcavas del sector alto/oeste pendiente (recomendable dron / GPS submétrico).</t>
        </is>
      </c>
    </row>
    <row r="74">
      <c r="A74" s="56" t="inlineStr">
        <is>
          <t>F-DT-04</t>
        </is>
      </c>
      <c r="B74" s="56" t="inlineStr">
        <is>
          <t>Proceso de degradación lento y localizado en la matriz agropecuaria; no catastrófico. La alta cobertura herbácea (MSAVI moderado-vigoroso) indica que la estrategia óptima privilegia la conservación de los rodales/matorral, el control de erosión en laderas y la mejora del manejo agro-silvo-pastoril antes que la revegetación masiva. Valores marcados como estimación están pendientes de verificación con parcela/gabinete.</t>
        </is>
      </c>
    </row>
    <row r="75">
      <c r="A75" s="57" t="inlineStr">
        <is>
          <t>F-DT-05</t>
        </is>
      </c>
      <c r="B75" s="57" t="inlineStr">
        <is>
          <t>Dentro del sector accesible se verificó un tanque azul de almacenamiento de agua (620607 E / 9438226 N), que confirma la función de provisión/regulación hídrica del ecosistema. La neblina persistente y la humedad edáfica evidencian aporte por captación de humedad y recarga en cabecera de microcuenca (Q9570). Acceso por vía vecinal PI-799 con tranquera/portón de ingreso (620599 E / 9438269 N). Señal celular, operador, alojamiento, tiempos de viaje y autorización de Ronda Campesina quedan por verificar (no consignados por falta de dato medido).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15</t>
        </is>
      </c>
    </row>
    <row r="7">
      <c r="A7" s="54" t="inlineStr">
        <is>
          <t>Hechos declarados por fuente</t>
        </is>
      </c>
    </row>
    <row r="8">
      <c r="A8" s="55" t="inlineStr">
        <is>
          <t>Fuente</t>
        </is>
      </c>
      <c r="B8" s="55" t="inlineStr">
        <is>
          <t>Hechos</t>
        </is>
      </c>
    </row>
    <row r="9">
      <c r="A9" s="56" t="inlineStr">
        <is>
          <t>Dato de campo</t>
        </is>
      </c>
      <c r="B9" s="56" t="n">
        <v>65</v>
      </c>
    </row>
    <row r="10">
      <c r="A10" s="57" t="inlineStr">
        <is>
          <t>Gabinete (GIS / teledetección)</t>
        </is>
      </c>
      <c r="B10" s="57" t="n">
        <v>20</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98</v>
      </c>
    </row>
    <row r="31">
      <c r="A31" s="57" t="inlineStr">
        <is>
          <t>COMPLEMENTADO</t>
        </is>
      </c>
      <c r="B31" s="57" t="n">
        <v>0</v>
      </c>
    </row>
    <row r="32">
      <c r="A32" s="56" t="inlineStr">
        <is>
          <t>ACTUALIZADO</t>
        </is>
      </c>
      <c r="B32" s="56" t="n">
        <v>1</v>
      </c>
    </row>
    <row r="33">
      <c r="A33" s="57" t="inlineStr">
        <is>
          <t>DISCREPANTE</t>
        </is>
      </c>
      <c r="B33" s="57" t="n">
        <v>0</v>
      </c>
    </row>
    <row r="34">
      <c r="A34" s="56" t="inlineStr">
        <is>
          <t>PENDIENTE</t>
        </is>
      </c>
      <c r="B34" s="56" t="n">
        <v>15</v>
      </c>
    </row>
    <row r="51">
      <c r="A51" s="54" t="inlineStr">
        <is>
          <t>Cobertura por estrato — campo (%)</t>
        </is>
      </c>
    </row>
    <row r="52">
      <c r="A52" s="55" t="inlineStr">
        <is>
          <t>Estrato</t>
        </is>
      </c>
      <c r="B52" s="55" t="inlineStr">
        <is>
          <t>% del área</t>
        </is>
      </c>
    </row>
    <row r="53">
      <c r="A53" s="56" t="inlineStr">
        <is>
          <t>Dosel</t>
        </is>
      </c>
      <c r="B53" s="63" t="n">
        <v>10</v>
      </c>
    </row>
    <row r="54">
      <c r="A54" s="57" t="inlineStr">
        <is>
          <t>Arbustiva</t>
        </is>
      </c>
      <c r="B54" s="64" t="n">
        <v>15</v>
      </c>
    </row>
    <row r="55">
      <c r="A55" s="56" t="inlineStr">
        <is>
          <t>Herbácea</t>
        </is>
      </c>
      <c r="B55" s="63" t="n">
        <v>60</v>
      </c>
    </row>
    <row r="56">
      <c r="A56" s="57" t="inlineStr">
        <is>
          <t>Hojarasca</t>
        </is>
      </c>
      <c r="B56" s="62" t="n">
        <v>5</v>
      </c>
    </row>
    <row r="57">
      <c r="A57" s="56" t="inlineStr">
        <is>
          <t>Suelo desnudo</t>
        </is>
      </c>
      <c r="B57" s="63" t="n">
        <v>10</v>
      </c>
    </row>
    <row r="74">
      <c r="A74" s="54" t="inlineStr">
        <is>
          <t>Causas activas de degradación (F-DT-04)</t>
        </is>
      </c>
    </row>
    <row r="75">
      <c r="A75" s="55" t="inlineStr">
        <is>
          <t>Causa</t>
        </is>
      </c>
      <c r="B75" s="55" t="inlineStr">
        <is>
          <t>Intensidad (1 ligera - 4 muy fuerte)</t>
        </is>
      </c>
    </row>
    <row r="76">
      <c r="A76" s="56" t="inlineStr">
        <is>
          <t>Cambio de uso a agricultura</t>
        </is>
      </c>
      <c r="B76" s="56" t="n">
        <v>3</v>
      </c>
    </row>
    <row r="77">
      <c r="A77" s="57" t="inlineStr">
        <is>
          <t>Cambio de uso a pastoreo</t>
        </is>
      </c>
      <c r="B77" s="57" t="n">
        <v>2</v>
      </c>
    </row>
    <row r="78">
      <c r="A78" s="56" t="inlineStr">
        <is>
          <t>Sobrepastoreo (caprino/vacuno)</t>
        </is>
      </c>
      <c r="B78" s="56" t="n">
        <v>2</v>
      </c>
    </row>
    <row r="79">
      <c r="A79" s="57" t="inlineStr">
        <is>
          <t>Tala para leña</t>
        </is>
      </c>
      <c r="B79" s="57" t="n">
        <v>1</v>
      </c>
    </row>
    <row r="96">
      <c r="A96" s="54" t="inlineStr">
        <is>
          <t>Control de consistencia por calificación</t>
        </is>
      </c>
    </row>
    <row r="97">
      <c r="A97" s="55" t="inlineStr">
        <is>
          <t>Calificación</t>
        </is>
      </c>
      <c r="B97" s="55" t="inlineStr">
        <is>
          <t>Verificaciones</t>
        </is>
      </c>
    </row>
    <row r="98">
      <c r="A98" s="56" t="inlineStr">
        <is>
          <t>SUSTANTIVA</t>
        </is>
      </c>
      <c r="B98" s="56" t="n">
        <v>1</v>
      </c>
    </row>
    <row r="99">
      <c r="A99" s="57" t="inlineStr">
        <is>
          <t>NO SUSTANTIVA</t>
        </is>
      </c>
      <c r="B99" s="57" t="n">
        <v>1</v>
      </c>
    </row>
    <row r="100">
      <c r="A100" s="56" t="inlineStr">
        <is>
          <t>CORREGIDO</t>
        </is>
      </c>
      <c r="B100" s="56" t="n">
        <v>1</v>
      </c>
    </row>
    <row r="101">
      <c r="A101" s="57" t="inlineStr">
        <is>
          <t>CONFORME</t>
        </is>
      </c>
      <c r="B101"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15 — IN Piura</dc:title>
  <dc:subject>Diagnóstico Territorial por bloque de intervención</dc:subject>
  <dcterms:created xsi:type="dcterms:W3CDTF">2026-09-08T03:39:55Z</dcterms:created>
  <dcterms:modified xsi:type="dcterms:W3CDTF">2026-09-11T20:22:24Z</dcterms:modified>
</cp:coreProperties>
</file>