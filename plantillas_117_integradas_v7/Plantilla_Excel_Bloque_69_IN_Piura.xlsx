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integración'!$A$75:$A$79</f>
            </numRef>
          </cat>
          <val>
            <numRef>
              <f>'Gráficos de integración'!$B$75:$B$79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integración'!B97</f>
            </strRef>
          </tx>
          <spPr>
            <a:ln>
              <a:prstDash val="solid"/>
            </a:ln>
          </spPr>
          <cat>
            <numRef>
              <f>'Gráficos de integración'!$A$98:$A$101</f>
            </numRef>
          </cat>
          <val>
            <numRef>
              <f>'Gráficos de integración'!$B$98:$B$101</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96</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69</t>
        </is>
      </c>
    </row>
    <row r="6" ht="24" customHeight="1">
      <c r="A6" s="4" t="inlineStr">
        <is>
          <t>Diagnóstico Territorial — Plantilla DT Campo Check Validada V5 | Sistema de referencia: UTM WGS 84 Zona 17S (EPSG:32717) · Integrado con la ficha de campo F-DT vigente (Plantilla_DT_Campo_Bloque69_IN_Piura.xlsx) — V7 - resumen V6 + campo F-DT integrado</t>
        </is>
      </c>
    </row>
    <row r="7"/>
    <row r="8" ht="18" customHeight="1">
      <c r="A8" s="5" t="inlineStr">
        <is>
          <t>1. IDENTIFICACIÓN Y LOCALIZACIÓN</t>
        </is>
      </c>
    </row>
    <row r="9">
      <c r="A9" s="6" t="inlineStr">
        <is>
          <t>Código del bloque</t>
        </is>
      </c>
      <c r="B9" s="7" t="inlineStr">
        <is>
          <t>69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 (base logística natural: C.P. Laguna Grande)</t>
        </is>
      </c>
      <c r="C13" s="6" t="inlineStr">
        <is>
          <t>Comunidad campesina</t>
        </is>
      </c>
      <c r="D13" s="7" t="inlineStr">
        <is>
          <t>Por verificar (tamizaje predial pendiente)</t>
        </is>
      </c>
      <c r="E13" s="8" t="n"/>
      <c r="F13" s="8" t="n"/>
    </row>
    <row r="14">
      <c r="A14" s="6" t="inlineStr">
        <is>
          <t>Superficie de catálogo (V5/V6), ha</t>
        </is>
      </c>
      <c r="B14" s="7" t="n">
        <v>19.43</v>
      </c>
      <c r="C14" s="6" t="inlineStr">
        <is>
          <t>Fuente de superficie</t>
        </is>
      </c>
      <c r="D14" s="7" t="inlineStr">
        <is>
          <t>Catálogo maestro Bloques V5/V6</t>
        </is>
      </c>
      <c r="E14" s="8" t="n"/>
      <c r="F14" s="8" t="n"/>
    </row>
    <row r="15">
      <c r="A15" s="6" t="inlineStr">
        <is>
          <t>Centroide UTM ESTE (m)</t>
        </is>
      </c>
      <c r="B15" s="7" t="n">
        <v>663291</v>
      </c>
      <c r="C15" s="6" t="inlineStr">
        <is>
          <t>Centroide UTM NORTE (m)</t>
        </is>
      </c>
      <c r="D15" s="7" t="n">
        <v>9392332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1931</v>
      </c>
      <c r="C19" s="6" t="inlineStr">
        <is>
          <t>Altitud máxima (msnm)</t>
        </is>
      </c>
      <c r="D19" s="7" t="n">
        <v>2205</v>
      </c>
      <c r="E19" s="8" t="n"/>
      <c r="F19" s="8" t="n"/>
    </row>
    <row r="20">
      <c r="A20" s="6" t="inlineStr">
        <is>
          <t>Amplitud altitudinal (m)</t>
        </is>
      </c>
      <c r="B20" s="7" t="n">
        <v>274</v>
      </c>
      <c r="C20" s="6" t="inlineStr">
        <is>
          <t>Piso altitudinal dominante</t>
        </is>
      </c>
      <c r="D20" s="7" t="inlineStr">
        <is>
          <t>2000-2500 m (Quechua alta)</t>
        </is>
      </c>
      <c r="E20" s="8" t="n"/>
      <c r="F20" s="8" t="n"/>
    </row>
    <row r="21">
      <c r="A21" s="6" t="inlineStr">
        <is>
          <t>Pendiente promedio (%)</t>
        </is>
      </c>
      <c r="B21" s="7" t="n">
        <v>27.95</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0.4489</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(75.63 %)</t>
        </is>
      </c>
      <c r="E29" s="8" t="n"/>
      <c r="F29" s="8" t="n"/>
    </row>
    <row r="30">
      <c r="A30" s="6" t="inlineStr">
        <is>
          <t>Superficie clasificada NDVI 2025 (ha)</t>
        </is>
      </c>
      <c r="B30" s="7" t="n">
        <v>19.428</v>
      </c>
      <c r="C30" s="6" t="inlineStr">
        <is>
          <t>Desviación frente al catálogo (%)</t>
        </is>
      </c>
      <c r="D30" s="7" t="n">
        <v>-0.01</v>
      </c>
      <c r="E30" s="8" t="n"/>
      <c r="F30" s="8" t="n"/>
    </row>
    <row r="31">
      <c r="A31" s="6" t="inlineStr">
        <is>
          <t>Superficie clasificada MSAVI 2024 (ha)</t>
        </is>
      </c>
      <c r="B31" s="38" t="n">
        <v>19.425</v>
      </c>
      <c r="C31" s="6" t="inlineStr">
        <is>
          <t>Desviación MSAVI frente al catálogo (%)</t>
        </is>
      </c>
      <c r="D31" s="39" t="n">
        <v>-0.02</v>
      </c>
      <c r="E31" s="8" t="n"/>
      <c r="F31" s="8" t="n"/>
    </row>
    <row r="32">
      <c r="A32" s="6" t="inlineStr">
        <is>
          <t>Superficie bajo umbral MSAVI 0.4976 (ha)</t>
        </is>
      </c>
      <c r="B32" s="38" t="n">
        <v>15.788</v>
      </c>
      <c r="C32" s="6" t="inlineStr">
        <is>
          <t>% del bloque bajo umbral (brecha espectral)</t>
        </is>
      </c>
      <c r="D32" s="39" t="n">
        <v>81.28</v>
      </c>
      <c r="E32" s="8" t="n"/>
      <c r="F32" s="8" t="n"/>
    </row>
    <row r="33">
      <c r="A33" s="6" t="inlineStr">
        <is>
          <t>Clase DN dominante (MSAVI 2024)</t>
        </is>
      </c>
      <c r="B33" s="7" t="inlineStr">
        <is>
          <t>DN 3 · 0.3813 - 0.4976 (Vigor bajo)</t>
        </is>
      </c>
      <c r="C33" s="6" t="inlineStr">
        <is>
          <t>N.° de polígonos MSAVI del bloque</t>
        </is>
      </c>
      <c r="D33" s="40" t="n">
        <v>78</v>
      </c>
      <c r="E33" s="8" t="n"/>
      <c r="F33" s="8" t="n"/>
    </row>
    <row r="34"/>
    <row r="35" ht="18" customHeight="1">
      <c r="A35" s="5" t="inlineStr">
        <is>
          <t>4. ECOSISTEMA Y ESTADO DE CONSERVACIÓN</t>
        </is>
      </c>
    </row>
    <row r="36">
      <c r="A36" s="6" t="inlineStr">
        <is>
          <t>Tipo de ecosistema (UP)</t>
        </is>
      </c>
      <c r="B36" s="7" t="inlineStr">
        <is>
          <t>Matorral Andino semiárido (adscripción PRELIMINAR)</t>
        </is>
      </c>
      <c r="C36" s="6" t="inlineStr">
        <is>
          <t>Superficie de ecosistema (ha)</t>
        </is>
      </c>
      <c r="D36" s="7" t="inlineStr">
        <is>
          <t>Por determinar (intersección con capa nacional MINAM pendiente)</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75 - 85 (estimación visual)</t>
        </is>
      </c>
      <c r="E38" s="8" t="n"/>
      <c r="F38" s="8" t="n"/>
    </row>
    <row r="39">
      <c r="A39" s="6" t="inlineStr">
        <is>
          <t>Suelo desnudo — campo (%)</t>
        </is>
      </c>
      <c r="B39" s="7" t="inlineStr">
        <is>
          <t>10 - 20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2026-08-21</t>
        </is>
      </c>
      <c r="E44" s="8" t="n"/>
      <c r="F44" s="8" t="n"/>
    </row>
    <row r="45">
      <c r="A45" s="6" t="inlineStr">
        <is>
          <t>Hora de registro</t>
        </is>
      </c>
      <c r="B45" s="7" t="inlineStr">
        <is>
          <t>11:50 - 12:01 h</t>
        </is>
      </c>
      <c r="C45" s="6" t="inlineStr">
        <is>
          <t>Correlativo de ficha</t>
        </is>
      </c>
      <c r="D45" s="7" t="inlineStr">
        <is>
          <t>F-DT-01-B69-2026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8</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sin ordenamiento de carga ni calendario de pastoreo, sobre predios sin acuerdos de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1.6675</v>
      </c>
      <c r="C10" s="19">
        <f>ROUND(B10/$B$15*100,2)</f>
        <v/>
      </c>
      <c r="D10" s="11" t="inlineStr">
        <is>
          <t>Vigor alto</t>
        </is>
      </c>
      <c r="E10" s="11" t="inlineStr">
        <is>
          <t>Sobre umbral</t>
        </is>
      </c>
    </row>
    <row r="11">
      <c r="A11" s="12" t="inlineStr">
        <is>
          <t>0.4976 - 0.6139 · DN 4</t>
        </is>
      </c>
      <c r="B11" s="20" t="n">
        <v>1.9698</v>
      </c>
      <c r="C11" s="21">
        <f>ROUND(B11/$B$15*100,2)</f>
        <v/>
      </c>
      <c r="D11" s="13" t="inlineStr">
        <is>
          <t>Vigor moderado</t>
        </is>
      </c>
      <c r="E11" s="13" t="inlineStr">
        <is>
          <t>Sobre umbral</t>
        </is>
      </c>
    </row>
    <row r="12">
      <c r="A12" s="14" t="inlineStr">
        <is>
          <t>0.3813 - 0.4976 · DN 3</t>
        </is>
      </c>
      <c r="B12" s="32" t="n">
        <v>13.3116</v>
      </c>
      <c r="C12" s="31">
        <f>ROUND(B12/$B$15*100,2)</f>
        <v/>
      </c>
      <c r="D12" s="15" t="inlineStr">
        <is>
          <t>Vigor bajo</t>
        </is>
      </c>
      <c r="E12" s="15" t="inlineStr">
        <is>
          <t>BAJO umbral 0.4976</t>
        </is>
      </c>
    </row>
    <row r="13">
      <c r="A13" s="12" t="inlineStr">
        <is>
          <t>0.2650 - 0.3813 · DN 2</t>
        </is>
      </c>
      <c r="B13" s="20" t="n">
        <v>2.4764</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19.43</v>
      </c>
      <c r="C18" s="49" t="inlineStr">
        <is>
          <t>—</t>
        </is>
      </c>
      <c r="D18" s="46" t="inlineStr">
        <is>
          <t>Desviación planimétrica frente al catálogo</t>
        </is>
      </c>
      <c r="E18" s="46" t="inlineStr">
        <is>
          <t>-0.02 %</t>
        </is>
      </c>
    </row>
    <row r="19">
      <c r="A19" s="16" t="inlineStr">
        <is>
          <t>MSAVI 2024 — MEDIA DEL BLOQUE</t>
        </is>
      </c>
      <c r="B19" s="17" t="n">
        <v>0.448926</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(0.4489)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4.4524</v>
      </c>
      <c r="C25" s="19" t="n">
        <v>22.92</v>
      </c>
      <c r="D25" s="11" t="inlineStr">
        <is>
          <t>Dosel continuo, matorral denso o mosaico agroforestal</t>
        </is>
      </c>
      <c r="E25" s="11" t="inlineStr"/>
    </row>
    <row r="26">
      <c r="A26" s="12" t="inlineStr">
        <is>
          <t>Vegetación mediana</t>
        </is>
      </c>
      <c r="B26" s="20" t="n">
        <v>14.6938</v>
      </c>
      <c r="C26" s="21" t="n">
        <v>75.63</v>
      </c>
      <c r="D26" s="13" t="inlineStr">
        <is>
          <t>Pastizal cultivado, matorral ralo, parcelas agrícolas</t>
        </is>
      </c>
      <c r="E26" s="13" t="inlineStr"/>
    </row>
    <row r="27">
      <c r="A27" s="7" t="inlineStr">
        <is>
          <t>Vegetación ligera</t>
        </is>
      </c>
      <c r="B27" s="18" t="n">
        <v>0.2818</v>
      </c>
      <c r="C27" s="19" t="n">
        <v>1.45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19.43</v>
      </c>
      <c r="C29" s="25" t="inlineStr">
        <is>
          <t>—</t>
        </is>
      </c>
      <c r="D29" s="25" t="inlineStr">
        <is>
          <t>Desviación planimétrica frente al catálogo</t>
        </is>
      </c>
      <c r="E29" s="25" t="inlineStr">
        <is>
          <t>-0.01 %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69</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663291</v>
      </c>
      <c r="D10" s="26" t="n">
        <v>9392332</v>
      </c>
      <c r="E10" s="11" t="n">
        <v>0</v>
      </c>
      <c r="F10" s="11" t="inlineStr"/>
      <c r="G10" s="11" t="inlineStr">
        <is>
          <t>Coordenada consignada en F-DT-01</t>
        </is>
      </c>
    </row>
    <row r="11">
      <c r="A11" s="12" t="inlineStr">
        <is>
          <t>H-01</t>
        </is>
      </c>
      <c r="B11" s="13" t="inlineStr">
        <is>
          <t>Fuente de agua — Quebrada estacional</t>
        </is>
      </c>
      <c r="C11" s="27" t="n">
        <v>663129</v>
      </c>
      <c r="D11" s="27" t="n">
        <v>9392553</v>
      </c>
      <c r="E11" s="13" t="n">
        <v>274</v>
      </c>
      <c r="F11" s="13" t="inlineStr">
        <is>
          <t>Estacional</t>
        </is>
      </c>
      <c r="G11" s="13" t="inlineStr">
        <is>
          <t>Vaguada al norte del bloque</t>
        </is>
      </c>
    </row>
    <row r="12">
      <c r="A12" s="7" t="inlineStr">
        <is>
          <t>H-02</t>
        </is>
      </c>
      <c r="B12" s="11" t="inlineStr">
        <is>
          <t>Fuente de agua — Otro (tubería de conducción)</t>
        </is>
      </c>
      <c r="C12" s="26" t="n">
        <v>663129</v>
      </c>
      <c r="D12" s="26" t="n">
        <v>9392553</v>
      </c>
      <c r="E12" s="11" t="n">
        <v>274</v>
      </c>
      <c r="F12" s="11" t="inlineStr">
        <is>
          <t>Permanente</t>
        </is>
      </c>
      <c r="G12" s="11" t="inlineStr">
        <is>
          <t>Tubería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663291</v>
      </c>
      <c r="C15" s="6" t="inlineStr">
        <is>
          <t>Centroide del bloque — UTM NORTE (m)</t>
        </is>
      </c>
      <c r="D15" s="7" t="n">
        <v>9392332</v>
      </c>
      <c r="E15" s="8" t="n"/>
      <c r="F15" s="8" t="n"/>
      <c r="G15" s="8" t="n"/>
      <c r="H15" s="8" t="n"/>
    </row>
    <row r="16">
      <c r="A16" s="6" t="inlineStr">
        <is>
          <t>N.° de estaciones fotográficas declaradas</t>
        </is>
      </c>
      <c r="B16" s="7" t="n">
        <v>8</v>
      </c>
      <c r="C16" s="6" t="inlineStr">
        <is>
          <t>Estaciones dentro del polígono</t>
        </is>
      </c>
      <c r="D16" s="7" t="n">
        <v>0</v>
      </c>
      <c r="E16" s="8" t="n"/>
      <c r="F16" s="8" t="n"/>
      <c r="G16" s="8" t="n"/>
      <c r="H16" s="8" t="n"/>
    </row>
    <row r="18" ht="13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27.95% ≈ 15.62°. Centroide oficial (Bloques V4) 663 291 E · 9 392 332 N; centroide planimétrico 663 263 E · 9 392 365 N (Δ ≈ 43 m). Superficie planimétrica ≈18.036 ha frente a 19.428 ha (−7.2%). ADVERTENCIA: NINGUNA DE LAS OCHO ESTACIONES ROTULADAS «BLOQUE 69» CAYÓ DENTRO DEL POLÍGONO; las distancias van de 72 a 220 m. La caracterización fisiográfica procede de gabinete y del contexto observado en el corredor vial; EL INTERIOR DEL BLOQUE NO FUE VERIFICADO. Escarpes y desprendimientos registrados en los taludes de corte y en la vaguada del norte (E-03, E-08).</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69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19</t>
        </is>
      </c>
      <c r="B11" s="29" t="n">
        <v>82.09</v>
      </c>
      <c r="C11" s="21" t="n">
        <v>17.06</v>
      </c>
      <c r="D11" s="13" t="inlineStr">
        <is>
          <t>2064 – 2503</t>
        </is>
      </c>
      <c r="E11" s="13" t="n">
        <v>439</v>
      </c>
      <c r="F11" s="13"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73</t>
        </is>
      </c>
      <c r="B13" s="29" t="n">
        <v>54.29</v>
      </c>
      <c r="C13" s="21" t="n">
        <v>11.28</v>
      </c>
      <c r="D13" s="13" t="inlineStr">
        <is>
          <t>1845 – 2305</t>
        </is>
      </c>
      <c r="E13" s="13" t="n">
        <v>460</v>
      </c>
      <c r="F13" s="13"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2" t="inlineStr">
        <is>
          <t>29</t>
        </is>
      </c>
      <c r="B15" s="29" t="n">
        <v>40.1</v>
      </c>
      <c r="C15" s="21" t="n">
        <v>8.33</v>
      </c>
      <c r="D15" s="13" t="inlineStr">
        <is>
          <t>2142 – 2391</t>
        </is>
      </c>
      <c r="E15" s="13" t="n">
        <v>249</v>
      </c>
      <c r="F15" s="13" t="n">
        <v>31.54</v>
      </c>
      <c r="G15" s="20" t="n">
        <v>0.5482</v>
      </c>
      <c r="H15" s="21" t="inlineStr">
        <is>
          <t>Por determinar</t>
        </is>
      </c>
      <c r="I15" s="13"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2" t="inlineStr">
        <is>
          <t>68</t>
        </is>
      </c>
      <c r="B17" s="29" t="n">
        <v>21.29</v>
      </c>
      <c r="C17" s="21" t="n">
        <v>4.42</v>
      </c>
      <c r="D17" s="13" t="inlineStr">
        <is>
          <t>2086 – 2374</t>
        </is>
      </c>
      <c r="E17" s="13" t="n">
        <v>288</v>
      </c>
      <c r="F17" s="13" t="n">
        <v>36.81</v>
      </c>
      <c r="G17" s="20" t="n">
        <v>0.483</v>
      </c>
      <c r="H17" s="21" t="inlineStr">
        <is>
          <t>Por determinar</t>
        </is>
      </c>
      <c r="I17" s="13" t="inlineStr">
        <is>
          <t>s/d</t>
        </is>
      </c>
    </row>
    <row r="18">
      <c r="A18" s="14" t="inlineStr">
        <is>
          <t>► 69</t>
        </is>
      </c>
      <c r="B18" s="30" t="n">
        <v>19.43</v>
      </c>
      <c r="C18" s="31" t="n">
        <v>4.04</v>
      </c>
      <c r="D18" s="15" t="inlineStr">
        <is>
          <t>1931 – 2205</t>
        </is>
      </c>
      <c r="E18" s="15" t="n">
        <v>274</v>
      </c>
      <c r="F18" s="15" t="n">
        <v>27.95</v>
      </c>
      <c r="G18" s="32" t="n">
        <v>0.4489</v>
      </c>
      <c r="H18" s="31" t="n">
        <v>22.92</v>
      </c>
      <c r="I18" s="31" t="n">
        <v>81.28</v>
      </c>
    </row>
    <row r="19">
      <c r="A19" s="12" t="inlineStr">
        <is>
          <t>53</t>
        </is>
      </c>
      <c r="B19" s="29" t="n">
        <v>13.06</v>
      </c>
      <c r="C19" s="21" t="n">
        <v>2.71</v>
      </c>
      <c r="D19" s="13" t="inlineStr">
        <is>
          <t>2235 – 2540</t>
        </is>
      </c>
      <c r="E19" s="13" t="n">
        <v>305</v>
      </c>
      <c r="F19" s="13"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69 ocupa el puesto 9 de 11 por superficie dentro de la microcuenca C1076-Q9592 (4.04 % de las 481.17 ha preliminares de la microcuenca). Su pendiente promedio (27.95 %, clase «25-50% (Mod. escarpado)») es la 5.ª más baja de 11 y se sitúa por debajo del promedio de la microcuenca (29.39 %). Su MSAVI 2024 (0.4489) es el 10.º de 11 y queda por debajo del promedio local (0.5435). Amplitud altitudinal del bloque: 274 m (1931–2205 msnm). El cuadro conserva todos los bloques catalogados en la microcuenca, incluidos los descartados en el tamizaje, para referencia del conjunto. Los bloques sin ficha DT figuran con sus parámetros de gabinete. BRECHA ESPECTRAL. El 81.28 % de la superficie del bloque (15.788 ha de 19.425 ha) se sitúa bajo el umbral MSAVI 0.4976, por encima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69</t>
        </is>
      </c>
    </row>
    <row r="6">
      <c r="A6" s="51" t="inlineStr">
        <is>
          <t>Cruce de la ficha de campo F-DT vigente con la ficha de resumen de gabinete y el catálogo maestro. Integración 2026-09-11 20:22:31.</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«C1076-Q9592».</t>
        </is>
      </c>
      <c r="D9" s="55" t="inlineStr">
        <is>
          <t>CONFORME</t>
        </is>
      </c>
      <c r="E9" s="55" t="inlineStr">
        <is>
          <t>Sin acción.</t>
        </is>
      </c>
    </row>
    <row r="10">
      <c r="A10" s="56" t="inlineStr">
        <is>
          <t>G-02</t>
        </is>
      </c>
      <c r="B10" s="56" t="inlineStr">
        <is>
          <t>UTM del punto de muestreo</t>
        </is>
      </c>
      <c r="C10" s="56" t="inlineStr">
        <is>
          <t>El punto de muestreo declarado dista 0.0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(19.428 ha) se desvía -0.01 % de la superficie de catálogo (19.43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(19.425 ha) se desvía -0.03 % de la superficie de catálogo (19.43 ha).</t>
        </is>
      </c>
      <c r="D14" s="56" t="inlineStr">
        <is>
          <t>CONFORME</t>
        </is>
      </c>
      <c r="E14" s="56" t="inlineStr">
        <is>
          <t>Sin acción: la segmentación valida la geometría del bloque.</t>
        </is>
      </c>
    </row>
    <row r="15">
      <c r="A15" s="55" t="inlineStr">
        <is>
          <t>G-07</t>
        </is>
      </c>
      <c r="B15" s="55" t="inlineStr">
        <is>
          <t>Brecha espectral MSAVI</t>
        </is>
      </c>
      <c r="C15" s="55" t="inlineStr">
        <is>
          <t>El 81.28 % del bloque queda bajo el umbral 0.4976; superficie de brecha 15.79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19.43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(0.4489)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100.0 % de los campos esperados).</t>
        </is>
      </c>
      <c r="D19" s="55" t="inlineStr">
        <is>
          <t>CONFORME</t>
        </is>
      </c>
      <c r="E19" s="55" t="inlineStr">
        <is>
          <t>Sin acción.</t>
        </is>
      </c>
    </row>
    <row r="20">
      <c r="A20" s="56" t="inlineStr">
        <is>
          <t>F-02</t>
        </is>
      </c>
      <c r="B20" s="56" t="inlineStr">
        <is>
          <t>Cobertura de la integración</t>
        </is>
      </c>
      <c r="C20" s="56" t="inlineStr">
        <is>
          <t>Se declararon 104 de 114 hechos integrados (91.2 %); 10 quedan sin dato en ninguna fuente.</t>
        </is>
      </c>
      <c r="D20" s="56" t="inlineStr">
        <is>
          <t>CONFORME</t>
        </is>
      </c>
      <c r="E20" s="56" t="inlineStr">
        <is>
          <t>Sin acción.</t>
        </is>
      </c>
    </row>
    <row r="21">
      <c r="A21" s="55" t="inlineStr">
        <is>
          <t>H-01</t>
        </is>
      </c>
      <c r="B21" s="55" t="inlineStr">
        <is>
          <t>Inventario georreferenciado de cárcavas</t>
        </is>
      </c>
      <c r="C21" s="55" t="inlineStr">
        <is>
          <t>El inventario de cárcavas no fue ejecutado o no consta en la ficha DT</t>
        </is>
      </c>
      <c r="D21" s="55" t="inlineStr">
        <is>
          <t>SUSTANTIVA</t>
        </is>
      </c>
      <c r="E21" s="55"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2">
      <c r="A22" s="56" t="inlineStr">
        <is>
          <t>H-02</t>
        </is>
      </c>
      <c r="B22" s="56" t="inlineStr">
        <is>
          <t>Elenco florístico</t>
        </is>
      </c>
      <c r="C22" s="56" t="inlineStr">
        <is>
          <t>La ficha registra 12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3">
      <c r="A23" s="55" t="inlineStr">
        <is>
          <t>H-03</t>
        </is>
      </c>
      <c r="B23" s="55" t="inlineStr">
        <is>
          <t>Representatividad del levantamiento</t>
        </is>
      </c>
      <c r="C23" s="55" t="inlineStr">
        <is>
          <t>Ninguna de las estaciones fotográficas georreferenciadas se localiza dentro del polígono del bloque</t>
        </is>
      </c>
      <c r="D23" s="55" t="inlineStr">
        <is>
          <t>SUSTANTIVA</t>
        </is>
      </c>
      <c r="E23" s="55" t="inlineStr">
        <is>
          <t>La verificación documenta el perímetro y la vista panorámica del bloque, no su interior. Los parámetros que exigen recorrido interno se consignan «Por determinar». (Verificación heredada de la ficha de resumen V6.)</t>
        </is>
      </c>
    </row>
    <row r="24">
      <c r="A24" s="56" t="inlineStr">
        <is>
          <t>H-04</t>
        </is>
      </c>
      <c r="B24" s="56" t="inlineStr">
        <is>
          <t>Centro poblado asociado</t>
        </is>
      </c>
      <c r="C24" s="56" t="inlineStr">
        <is>
          <t>La ficha DT declara «Molle y Hualanga Pampa (base logística natural: C.P. Laguna Grande)»; el cruce INEI-Bloques V5 identifica 2 centro(s) poblado(s) en el bloque: HUALANGA PAMPA, MOLLE</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5">
      <c r="A25" s="55" t="inlineStr">
        <is>
          <t>H-05</t>
        </is>
      </c>
      <c r="B25" s="55" t="inlineStr">
        <is>
          <t>Ficha DT</t>
        </is>
      </c>
      <c r="C25" s="55" t="inlineStr">
        <is>
          <t>La ficha consigna microcuenca C1076-Q9584; el catálogo maestro asigna al bloque 69 la microcuenca C1076-Q9592</t>
        </is>
      </c>
      <c r="D25" s="55" t="inlineStr">
        <is>
          <t>SUSTANTIVA</t>
        </is>
      </c>
      <c r="E25" s="55" t="inlineStr">
        <is>
          <t>Valor por defecto de la plantilla; se conserva el del catálogo (Verificación heredada de la ficha de resumen V6.)</t>
        </is>
      </c>
    </row>
    <row r="26">
      <c r="A26" s="56" t="inlineStr">
        <is>
          <t>H-06</t>
        </is>
      </c>
      <c r="B26" s="56" t="inlineStr">
        <is>
          <t>F-DT-01</t>
        </is>
      </c>
      <c r="C26" s="56" t="inlineStr">
        <is>
          <t>NINGUNA de las 8 estaciones rotuladas «Bloque 69» cayó dentro del polígono (72 a 220 m de distancia)</t>
        </is>
      </c>
      <c r="D26" s="56" t="inlineStr">
        <is>
          <t>SUSTANTIVA</t>
        </is>
      </c>
      <c r="E26" s="56" t="inlineStr">
        <is>
          <t>El interior del bloque no fue verificado (Verificación heredada de la ficha de resumen V6.)</t>
        </is>
      </c>
    </row>
    <row r="27">
      <c r="A27" s="55" t="inlineStr">
        <is>
          <t>H-07</t>
        </is>
      </c>
      <c r="B27" s="55" t="inlineStr">
        <is>
          <t>F-DT-02</t>
        </is>
      </c>
      <c r="C27" s="55" t="inlineStr">
        <is>
          <t>Inventario georreferenciado de cárcavas no ejecutado; el valor de «erosión laminar» consigna en realidad la superficie bajo umbral MSAVI</t>
        </is>
      </c>
      <c r="D27" s="55" t="inlineStr">
        <is>
          <t>SUSTANTIVA</t>
        </is>
      </c>
      <c r="E27" s="55" t="inlineStr">
        <is>
          <t>No confundir superficie bajo umbral MSAVI con erosión laminar medida (Verificación heredada de la ficha de resumen V6.)</t>
        </is>
      </c>
    </row>
    <row r="28">
      <c r="A28" s="56" t="inlineStr">
        <is>
          <t>H-08</t>
        </is>
      </c>
      <c r="B28" s="56" t="inlineStr">
        <is>
          <t>F-DT-03</t>
        </is>
      </c>
      <c r="C28" s="56" t="inlineStr">
        <is>
          <t>6 de los 12 taxones carecen de género; ninguno con confirmación taxonómica</t>
        </is>
      </c>
      <c r="D28" s="56" t="inlineStr">
        <is>
          <t>SUSTANTIVA</t>
        </is>
      </c>
      <c r="E28" s="56" t="inlineStr">
        <is>
          <t>Colecta y determinación botánica pendientes (Verificación heredada de la ficha de resumen V6.)</t>
        </is>
      </c>
    </row>
    <row r="29">
      <c r="A29" s="55" t="inlineStr">
        <is>
          <t>H-09</t>
        </is>
      </c>
      <c r="B29" s="55" t="inlineStr">
        <is>
          <t>F-DT-04</t>
        </is>
      </c>
      <c r="C29" s="55" t="inlineStr">
        <is>
          <t>Carga ganadera, densidad de cárcavas y frecuencia de quemas sin cuantificar</t>
        </is>
      </c>
      <c r="D29" s="55" t="inlineStr">
        <is>
          <t>SUSTANTIVA</t>
        </is>
      </c>
      <c r="E29" s="55" t="inlineStr">
        <is>
          <t>Vacíos de información de prioridad alta (Verificación heredada de la ficha de resumen V6.)</t>
        </is>
      </c>
    </row>
    <row r="30">
      <c r="A30" s="56" t="inlineStr">
        <is>
          <t>H-10</t>
        </is>
      </c>
      <c r="B30" s="56" t="inlineStr">
        <is>
          <t>F-DT-05</t>
        </is>
      </c>
      <c r="C30" s="56" t="inlineStr">
        <is>
          <t>D-03: el catálogo «CP´s y Bloques V5» asocia Molle y Hualanga Pampa, pero la base logística natural es el C.P. Laguna Grande</t>
        </is>
      </c>
      <c r="D30" s="56" t="inlineStr">
        <is>
          <t>NO SUSTANTIVA</t>
        </is>
      </c>
      <c r="E30" s="56" t="inlineStr">
        <is>
          <t>Conciliar asociación CP-bloque (Verificación heredada de la ficha de resumen V6.)</t>
        </is>
      </c>
    </row>
    <row r="32">
      <c r="A32" s="57" t="inlineStr">
        <is>
          <t>RESUMEN</t>
        </is>
      </c>
      <c r="B32" s="58" t="inlineStr">
        <is>
          <t>22 verificaciones</t>
        </is>
      </c>
      <c r="C32" s="58" t="inlineStr">
        <is>
          <t>SUSTANTIVA: 9 · NO SUSTANTIVA: 2 · CONFORME: 11</t>
        </is>
      </c>
    </row>
    <row r="34">
      <c r="A34"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69</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663291</t>
        </is>
      </c>
      <c r="D13" s="55" t="inlineStr">
        <is>
          <t>m</t>
        </is>
      </c>
    </row>
    <row r="14">
      <c r="A14" s="56" t="inlineStr">
        <is>
          <t>1. Identificación y localización</t>
        </is>
      </c>
      <c r="B14" s="56" t="inlineStr">
        <is>
          <t>UTM NORTE del punto de muestreo (m)</t>
        </is>
      </c>
      <c r="C14" s="56" t="inlineStr">
        <is>
          <t>9392332</t>
        </is>
      </c>
      <c r="D14" s="56" t="inlineStr">
        <is>
          <t>m</t>
        </is>
      </c>
    </row>
    <row r="15">
      <c r="A15" s="55" t="inlineStr">
        <is>
          <t>2. Parámetros físicos del terreno</t>
        </is>
      </c>
      <c r="B15" s="55" t="inlineStr">
        <is>
          <t>Altitud GPS del punto de muestreo (msnm)</t>
        </is>
      </c>
      <c r="C15" s="55" t="inlineStr">
        <is>
          <t>No registrada</t>
        </is>
      </c>
      <c r="D15" s="55" t="inlineStr">
        <is>
          <t>msnm</t>
        </is>
      </c>
    </row>
    <row r="16">
      <c r="A16" s="56" t="inlineStr">
        <is>
          <t>2. Parámetros físicos del terreno</t>
        </is>
      </c>
      <c r="B16" s="56" t="inlineStr">
        <is>
          <t>Piso altitudinal del punto de muestreo</t>
        </is>
      </c>
      <c r="C16" s="56" t="inlineStr">
        <is>
          <t>2000-2500 m (Quechua alta)</t>
        </is>
      </c>
      <c r="D16" s="56" t="inlineStr"/>
    </row>
    <row r="17">
      <c r="A17" s="55" t="inlineStr">
        <is>
          <t>2. Parámetros físicos del terreno</t>
        </is>
      </c>
      <c r="B17" s="55" t="inlineStr">
        <is>
          <t>Paisaje dominante descrito en campo</t>
        </is>
      </c>
      <c r="C17" s="55" t="inlineStr">
        <is>
          <t>Ladera de montaña de exposición suroeste, entre 1931 y 2205 msnm (amplitud 274 m). Vertiente extensamente denudada, con pastizal seco dominante, matorral relegado a vaguadas y una red densa de terracillas de pisoteo. Atravesada por trochas carrozables de trazo en zigzag con taludes de corte activos.</t>
        </is>
      </c>
      <c r="D17" s="55" t="inlineStr"/>
    </row>
    <row r="18">
      <c r="A18" s="56" t="inlineStr">
        <is>
          <t>2. Parámetros físicos del terreno</t>
        </is>
      </c>
      <c r="B18" s="56" t="inlineStr">
        <is>
          <t>Reptación de suelo</t>
        </is>
      </c>
      <c r="C18" s="56" t="inlineStr">
        <is>
          <t>Sí</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 del bloque afectado por cárcavas</t>
        </is>
      </c>
      <c r="C24" s="56" t="inlineStr">
        <is>
          <t>Sin cuantificar</t>
        </is>
      </c>
      <c r="D24" s="56" t="inlineStr">
        <is>
          <t>%</t>
        </is>
      </c>
    </row>
    <row r="25">
      <c r="A25" s="55" t="inlineStr">
        <is>
          <t>4. Suelos y erosión (F-DT-02)</t>
        </is>
      </c>
      <c r="B25" s="55" t="inlineStr">
        <is>
          <t>Patrón de cárcavas</t>
        </is>
      </c>
      <c r="C25" s="55" t="inlineStr">
        <is>
          <t>Lineal</t>
        </is>
      </c>
      <c r="D25" s="55" t="inlineStr"/>
    </row>
    <row r="26">
      <c r="A26" s="56" t="inlineStr">
        <is>
          <t>4. Suelos y erosión (F-DT-02)</t>
        </is>
      </c>
      <c r="B26" s="56" t="inlineStr">
        <is>
          <t>Socavamiento de cauce</t>
        </is>
      </c>
      <c r="C26" s="56" t="inlineStr">
        <is>
          <t>Sí</t>
        </is>
      </c>
      <c r="D26" s="56" t="inlineStr"/>
    </row>
    <row r="27">
      <c r="A27" s="55" t="inlineStr">
        <is>
          <t>5. Ecosistema, cobertura y flora (F-DT-03)</t>
        </is>
      </c>
      <c r="B27" s="55" t="inlineStr">
        <is>
          <t>Cobertura del dosel (%)</t>
        </is>
      </c>
      <c r="C27" s="55" t="inlineStr">
        <is>
          <t>&lt; 5</t>
        </is>
      </c>
      <c r="D27" s="55" t="inlineStr">
        <is>
          <t>%</t>
        </is>
      </c>
    </row>
    <row r="28">
      <c r="A28" s="56" t="inlineStr">
        <is>
          <t>5. Ecosistema, cobertura y flora (F-DT-03)</t>
        </is>
      </c>
      <c r="B28" s="56" t="inlineStr">
        <is>
          <t>Cobertura arbustiva (%)</t>
        </is>
      </c>
      <c r="C28" s="56" t="inlineStr">
        <is>
          <t>15 – 25</t>
        </is>
      </c>
      <c r="D28" s="56" t="inlineStr">
        <is>
          <t>%</t>
        </is>
      </c>
    </row>
    <row r="29">
      <c r="A29" s="55" t="inlineStr">
        <is>
          <t>5. Ecosistema, cobertura y flora (F-DT-03)</t>
        </is>
      </c>
      <c r="B29" s="55" t="inlineStr">
        <is>
          <t>Cobertura herbácea (%)</t>
        </is>
      </c>
      <c r="C29" s="55" t="inlineStr">
        <is>
          <t>55 – 70</t>
        </is>
      </c>
      <c r="D29" s="55" t="inlineStr">
        <is>
          <t>%</t>
        </is>
      </c>
    </row>
    <row r="30">
      <c r="A30" s="56" t="inlineStr">
        <is>
          <t>5. Ecosistema, cobertura y flora (F-DT-03)</t>
        </is>
      </c>
      <c r="B30" s="56" t="inlineStr">
        <is>
          <t>Cobertura de hojarasca (%)</t>
        </is>
      </c>
      <c r="C30" s="56" t="inlineStr">
        <is>
          <t>Escasa</t>
        </is>
      </c>
      <c r="D30" s="56" t="inlineStr">
        <is>
          <t>%</t>
        </is>
      </c>
    </row>
    <row r="31">
      <c r="A31" s="55" t="inlineStr">
        <is>
          <t>5. Ecosistema, cobertura y flora (F-DT-03)</t>
        </is>
      </c>
      <c r="B31" s="55" t="inlineStr">
        <is>
          <t>Altura del estrato dominante (m)</t>
        </is>
      </c>
      <c r="C31" s="55" t="inlineStr">
        <is>
          <t>1.5 – 3.0</t>
        </is>
      </c>
      <c r="D31" s="55" t="inlineStr">
        <is>
          <t>m</t>
        </is>
      </c>
    </row>
    <row r="32">
      <c r="A32" s="56" t="inlineStr">
        <is>
          <t>5. Ecosistema, cobertura y flora (F-DT-03)</t>
        </is>
      </c>
      <c r="B32" s="56" t="inlineStr">
        <is>
          <t>Altura máxima registrada (m)</t>
        </is>
      </c>
      <c r="C32" s="56" t="inlineStr">
        <is>
          <t>8 – 12</t>
        </is>
      </c>
      <c r="D32" s="56" t="inlineStr">
        <is>
          <t>m</t>
        </is>
      </c>
    </row>
    <row r="33">
      <c r="A33" s="55" t="inlineStr">
        <is>
          <t>5. Ecosistema, cobertura y flora (F-DT-03)</t>
        </is>
      </c>
      <c r="B33" s="55" t="inlineStr">
        <is>
          <t>DAP promedio (cm)</t>
        </is>
      </c>
      <c r="C33" s="55" t="inlineStr">
        <is>
          <t>No medido</t>
        </is>
      </c>
      <c r="D33" s="55" t="inlineStr">
        <is>
          <t>cm</t>
        </is>
      </c>
    </row>
    <row r="34">
      <c r="A34" s="56" t="inlineStr">
        <is>
          <t>5. Ecosistema, cobertura y flora (F-DT-03)</t>
        </is>
      </c>
      <c r="B34" s="56" t="inlineStr">
        <is>
          <t>Presencia de epífitas</t>
        </is>
      </c>
      <c r="C34" s="56" t="inlineStr">
        <is>
          <t>Sí</t>
        </is>
      </c>
      <c r="D34" s="56" t="inlineStr"/>
    </row>
    <row r="35">
      <c r="A35" s="55" t="inlineStr">
        <is>
          <t>5. Ecosistema, cobertura y flora (F-DT-03)</t>
        </is>
      </c>
      <c r="B35" s="55" t="inlineStr">
        <is>
          <t>Fenología dominante</t>
        </is>
      </c>
      <c r="C35" s="55" t="inlineStr">
        <is>
          <t>Latencia / Estrés hídrico</t>
        </is>
      </c>
      <c r="D35" s="55" t="inlineStr"/>
    </row>
    <row r="36">
      <c r="A36" s="56" t="inlineStr">
        <is>
          <t>5. Ecosistema, cobertura y flora (F-DT-03)</t>
        </is>
      </c>
      <c r="B36" s="56" t="inlineStr">
        <is>
          <t>Dimensiones de la parcela (m)</t>
        </is>
      </c>
      <c r="C36" s="56" t="inlineStr">
        <is>
          <t>No aplica</t>
        </is>
      </c>
      <c r="D36" s="56" t="inlineStr"/>
    </row>
    <row r="37">
      <c r="A37" s="55" t="inlineStr">
        <is>
          <t>5. Ecosistema, cobertura y flora (F-DT-03)</t>
        </is>
      </c>
      <c r="B37" s="55" t="inlineStr">
        <is>
          <t>Pendiente de la parcela (%)</t>
        </is>
      </c>
      <c r="C37" s="55" t="inlineStr">
        <is>
          <t>27.95</t>
        </is>
      </c>
      <c r="D37" s="55" t="inlineStr">
        <is>
          <t>%</t>
        </is>
      </c>
    </row>
    <row r="38">
      <c r="A38" s="56" t="inlineStr">
        <is>
          <t>5. Ecosistema, cobertura y flora (F-DT-03)</t>
        </is>
      </c>
      <c r="B38" s="56" t="inlineStr">
        <is>
          <t>Especies clave georreferenciadas</t>
        </is>
      </c>
      <c r="C38" s="56" t="inlineStr">
        <is>
          <t>5</t>
        </is>
      </c>
      <c r="D38" s="56" t="inlineStr"/>
    </row>
    <row r="39">
      <c r="A39" s="55" t="inlineStr">
        <is>
          <t>6. Degradación, causas y urgencia (F-DT-04)</t>
        </is>
      </c>
      <c r="B39" s="55" t="inlineStr">
        <is>
          <t>Causas directas de la degradación</t>
        </is>
      </c>
      <c r="C39" s="55" t="inlineStr">
        <is>
          <t>Apertura y mantenimiento de vías sobre roca fracturada en el corredor norte, concurrente con pastoreo extensivo y sustitución parcial del matorral por pastizal.</t>
        </is>
      </c>
      <c r="D39" s="55" t="inlineStr"/>
    </row>
    <row r="40">
      <c r="A40" s="56" t="inlineStr">
        <is>
          <t>6. Degradación, causas y urgencia (F-DT-04)</t>
        </is>
      </c>
      <c r="B40" s="56" t="inlineStr">
        <is>
          <t>N.° de causas activas en la matriz F-DT-04</t>
        </is>
      </c>
      <c r="C40" s="56" t="inlineStr">
        <is>
          <t>5</t>
        </is>
      </c>
      <c r="D40" s="56" t="inlineStr"/>
    </row>
    <row r="41">
      <c r="A41" s="55" t="inlineStr">
        <is>
          <t>7. Hidrología, acceso y logística (F-DT-05)</t>
        </is>
      </c>
      <c r="B41" s="55" t="inlineStr">
        <is>
          <t>Escorrentía concentrada</t>
        </is>
      </c>
      <c r="C41" s="55" t="inlineStr">
        <is>
          <t>Sí</t>
        </is>
      </c>
      <c r="D41" s="55" t="inlineStr"/>
    </row>
    <row r="42">
      <c r="A42" s="56" t="inlineStr">
        <is>
          <t>7. Hidrología, acceso y logística (F-DT-05)</t>
        </is>
      </c>
      <c r="B42" s="56" t="inlineStr">
        <is>
          <t>Fuentes de agua inventariadas</t>
        </is>
      </c>
      <c r="C42" s="56" t="inlineStr">
        <is>
          <t>2</t>
        </is>
      </c>
      <c r="D42" s="56" t="inlineStr"/>
    </row>
    <row r="43">
      <c r="A43" s="55" t="inlineStr">
        <is>
          <t>7. Hidrología, acceso y logística (F-DT-05)</t>
        </is>
      </c>
      <c r="B43" s="55" t="inlineStr">
        <is>
          <t>Interferencia con riego</t>
        </is>
      </c>
      <c r="C43" s="55" t="inlineStr">
        <is>
          <t>No</t>
        </is>
      </c>
      <c r="D43" s="55" t="inlineStr"/>
    </row>
    <row r="44">
      <c r="A44" s="56" t="inlineStr">
        <is>
          <t>7. Hidrología, acceso y logística (F-DT-05)</t>
        </is>
      </c>
      <c r="B44" s="56" t="inlineStr">
        <is>
          <t>Vía principal de acceso</t>
        </is>
      </c>
      <c r="C44" s="56" t="inlineStr">
        <is>
          <t>Trocha carrozable de la red vecinal (acceso desde el C.P. Laguna Grande)</t>
        </is>
      </c>
      <c r="D44" s="56" t="inlineStr"/>
    </row>
    <row r="45">
      <c r="A45" s="55" t="inlineStr">
        <is>
          <t>7. Hidrología, acceso y logística (F-DT-05)</t>
        </is>
      </c>
      <c r="B45" s="55" t="inlineStr">
        <is>
          <t>Tipo de vía del tramo final</t>
        </is>
      </c>
      <c r="C45" s="55" t="inlineStr">
        <is>
          <t>Trocha carrozable</t>
        </is>
      </c>
      <c r="D45" s="55" t="inlineStr"/>
    </row>
    <row r="46">
      <c r="A46" s="56" t="inlineStr">
        <is>
          <t>7. Hidrología, acceso y logística (F-DT-05)</t>
        </is>
      </c>
      <c r="B46" s="56" t="inlineStr">
        <is>
          <t>Transitabilidad en época seca</t>
        </is>
      </c>
      <c r="C46" s="56" t="inlineStr">
        <is>
          <t>Medio</t>
        </is>
      </c>
      <c r="D46" s="56" t="inlineStr"/>
    </row>
    <row r="47">
      <c r="A47" s="55" t="inlineStr">
        <is>
          <t>7. Hidrología, acceso y logística (F-DT-05)</t>
        </is>
      </c>
      <c r="B47" s="55" t="inlineStr">
        <is>
          <t>Transitabilidad en época lluviosa</t>
        </is>
      </c>
      <c r="C47" s="55" t="inlineStr">
        <is>
          <t>Bajo</t>
        </is>
      </c>
      <c r="D47" s="55" t="inlineStr"/>
    </row>
    <row r="48">
      <c r="A48" s="56" t="inlineStr">
        <is>
          <t>7. Hidrología, acceso y logística (F-DT-05)</t>
        </is>
      </c>
      <c r="B48" s="56" t="inlineStr">
        <is>
          <t>Señal celular</t>
        </is>
      </c>
      <c r="C48" s="56" t="inlineStr">
        <is>
          <t>Parcial</t>
        </is>
      </c>
      <c r="D48" s="56" t="inlineStr"/>
    </row>
    <row r="49">
      <c r="A49" s="55" t="inlineStr">
        <is>
          <t>7. Hidrología, acceso y logística (F-DT-05)</t>
        </is>
      </c>
      <c r="B49" s="55" t="inlineStr">
        <is>
          <t>Operador con cobertura</t>
        </is>
      </c>
      <c r="C49" s="55" t="inlineStr">
        <is>
          <t>Otro</t>
        </is>
      </c>
      <c r="D49" s="55" t="inlineStr"/>
    </row>
    <row r="50">
      <c r="A50" s="56" t="inlineStr">
        <is>
          <t>7. Hidrología, acceso y logística (F-DT-05)</t>
        </is>
      </c>
      <c r="B50" s="56" t="inlineStr">
        <is>
          <t>Alojamiento disponible en la zona</t>
        </is>
      </c>
      <c r="C50" s="56" t="inlineStr">
        <is>
          <t>No</t>
        </is>
      </c>
      <c r="D50" s="56" t="inlineStr"/>
    </row>
    <row r="51">
      <c r="A51" s="55" t="inlineStr">
        <is>
          <t>7. Hidrología, acceso y logística (F-DT-05)</t>
        </is>
      </c>
      <c r="B51" s="55" t="inlineStr">
        <is>
          <t>Requiere coordinación con ronda / comunidad</t>
        </is>
      </c>
      <c r="C51" s="55" t="inlineStr">
        <is>
          <t>Sí</t>
        </is>
      </c>
      <c r="D51" s="55" t="inlineStr"/>
    </row>
    <row r="53">
      <c r="A53" s="53" t="inlineStr">
        <is>
          <t>C. PROCEDENCIA DE LOS HECHOS DECLARADOS</t>
        </is>
      </c>
    </row>
    <row r="54">
      <c r="A54" s="54" t="inlineStr">
        <is>
          <t>Fuente</t>
        </is>
      </c>
      <c r="B54" s="54" t="inlineStr">
        <is>
          <t>Hechos</t>
        </is>
      </c>
      <c r="C54" s="54" t="inlineStr">
        <is>
          <t>Alcance de la fuente</t>
        </is>
      </c>
    </row>
    <row r="55">
      <c r="A55" s="55" t="inlineStr">
        <is>
          <t>Dato de campo</t>
        </is>
      </c>
      <c r="B55" s="55" t="n">
        <v>68</v>
      </c>
      <c r="C55" s="55" t="inlineStr">
        <is>
          <t>Verificación en campo. Fichas F-DT-01 a F-DT-05 de la Plantilla DT Campo Check Validada V5, suscritas por el evaluador.</t>
        </is>
      </c>
    </row>
    <row r="56">
      <c r="A56" s="56" t="inlineStr">
        <is>
          <t>Gabinete (GIS / teledetección)</t>
        </is>
      </c>
      <c r="B56" s="56" t="n">
        <v>22</v>
      </c>
      <c r="C56" s="56" t="inlineStr">
        <is>
          <t>Gabinete. Estadística zonal sobre el MDE y compuestos Sentinel-2 (NDVI mediana 2025, MSAVI 2024 por clase DN).</t>
        </is>
      </c>
    </row>
    <row r="57">
      <c r="A57" s="55" t="inlineStr">
        <is>
          <t>Fuente oficial</t>
        </is>
      </c>
      <c r="B57" s="55" t="n">
        <v>14</v>
      </c>
      <c r="C57" s="55" t="inlineStr">
        <is>
          <t>Fuente oficial. Catálogo maestro Bloques V5/V6, división política INEI y codificación de microcuencas de la ANA.</t>
        </is>
      </c>
    </row>
    <row r="59">
      <c r="A59" s="53" t="inlineStr">
        <is>
          <t>D. ESTADO DEL CRUCE ENTRE FUENTES</t>
        </is>
      </c>
    </row>
    <row r="60">
      <c r="A60" s="54" t="inlineStr">
        <is>
          <t>Estado</t>
        </is>
      </c>
      <c r="B60" s="54" t="inlineStr">
        <is>
          <t>Hechos</t>
        </is>
      </c>
      <c r="C60" s="54" t="inlineStr">
        <is>
          <t>Significado</t>
        </is>
      </c>
    </row>
    <row r="61">
      <c r="A61" s="55" t="inlineStr">
        <is>
          <t>CONFORME</t>
        </is>
      </c>
      <c r="B61" s="55" t="n">
        <v>104</v>
      </c>
      <c r="C61" s="55" t="inlineStr">
        <is>
          <t>Las dos fuentes declaran lo mismo, o solo la fuente que manda sobre el hecho lo declara.</t>
        </is>
      </c>
    </row>
    <row r="62">
      <c r="A62" s="56" t="inlineStr">
        <is>
          <t>COMPLEMENTADO</t>
        </is>
      </c>
      <c r="B62" s="56" t="n">
        <v>0</v>
      </c>
      <c r="C62" s="56" t="inlineStr">
        <is>
          <t>Solo una de las fuentes lo declara y se adopta ese valor.</t>
        </is>
      </c>
    </row>
    <row r="63">
      <c r="A63" s="55" t="inlineStr">
        <is>
          <t>ACTUALIZADO</t>
        </is>
      </c>
      <c r="B63" s="55" t="n">
        <v>0</v>
      </c>
      <c r="C63" s="55" t="inlineStr">
        <is>
          <t>La verificación de campo vigente corrige lo que traía el libro de resumen.</t>
        </is>
      </c>
    </row>
    <row r="64">
      <c r="A64" s="56" t="inlineStr">
        <is>
          <t>DISCREPANTE</t>
        </is>
      </c>
      <c r="B64" s="56" t="n">
        <v>0</v>
      </c>
      <c r="C64" s="56" t="inlineStr">
        <is>
          <t>Las fuentes se contradicen; prevalece la que manda sobre el hecho y la otra queda declarada.</t>
        </is>
      </c>
    </row>
    <row r="65">
      <c r="A65" s="55" t="inlineStr">
        <is>
          <t>PENDIENTE</t>
        </is>
      </c>
      <c r="B65" s="55" t="n">
        <v>10</v>
      </c>
      <c r="C65"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69</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Eucalipto</t>
        </is>
      </c>
      <c r="C13" s="55" t="inlineStr">
        <is>
          <t>Eucalyptus globulus</t>
        </is>
      </c>
      <c r="D13" s="55" t="inlineStr">
        <is>
          <t>Myrtaceae</t>
        </is>
      </c>
      <c r="E13" s="55" t="inlineStr">
        <is>
          <t>Arbóreo medio (8-15 m)</t>
        </is>
      </c>
      <c r="F13" s="55" t="inlineStr">
        <is>
          <t>Introducida</t>
        </is>
      </c>
      <c r="G13" s="55" t="inlineStr">
        <is>
          <t>Ocasional (1-5%)</t>
        </is>
      </c>
      <c r="H13" s="55" t="n"/>
      <c r="I13" s="55" t="n"/>
    </row>
    <row r="14">
      <c r="A14" s="56" t="inlineStr">
        <is>
          <t>2</t>
        </is>
      </c>
      <c r="B14" s="56" t="inlineStr">
        <is>
          <t>Chilca</t>
        </is>
      </c>
      <c r="C14" s="56" t="inlineStr">
        <is>
          <t>Baccharis spp.</t>
        </is>
      </c>
      <c r="D14" s="56" t="inlineStr">
        <is>
          <t>Asteraceae</t>
        </is>
      </c>
      <c r="E14" s="56" t="inlineStr">
        <is>
          <t>Arbustivo alto (1.5-4 m)</t>
        </is>
      </c>
      <c r="F14" s="56" t="inlineStr">
        <is>
          <t>Nativa</t>
        </is>
      </c>
      <c r="G14" s="56" t="inlineStr">
        <is>
          <t>Frecuente (5-20%)</t>
        </is>
      </c>
      <c r="H14" s="56" t="n"/>
      <c r="I14" s="56" t="n"/>
    </row>
    <row r="15">
      <c r="A15" s="55" t="inlineStr">
        <is>
          <t>3</t>
        </is>
      </c>
      <c r="B15" s="55" t="inlineStr">
        <is>
          <t>Pastos cultivados</t>
        </is>
      </c>
      <c r="C15" s="55" t="inlineStr">
        <is>
          <t>Poaceae (indet.)</t>
        </is>
      </c>
      <c r="D15" s="55" t="inlineStr">
        <is>
          <t>Poaceae</t>
        </is>
      </c>
      <c r="E15" s="55" t="inlineStr">
        <is>
          <t>Herbáceo (&lt;0.5 m)</t>
        </is>
      </c>
      <c r="F15" s="55" t="inlineStr">
        <is>
          <t>Introducida</t>
        </is>
      </c>
      <c r="G15" s="55" t="inlineStr">
        <is>
          <t>Abundante (20-40%)</t>
        </is>
      </c>
      <c r="H15" s="55" t="n"/>
      <c r="I15" s="55" t="n"/>
    </row>
    <row r="16">
      <c r="A16" s="56" t="inlineStr">
        <is>
          <t>4</t>
        </is>
      </c>
      <c r="B16" s="56" t="inlineStr">
        <is>
          <t>Gramíneas / pastos naturales</t>
        </is>
      </c>
      <c r="C16" s="56" t="inlineStr">
        <is>
          <t>Poaceae (indet.)</t>
        </is>
      </c>
      <c r="D16" s="56" t="inlineStr">
        <is>
          <t>Poaceae</t>
        </is>
      </c>
      <c r="E16" s="56" t="inlineStr">
        <is>
          <t>Herbáceo (&lt;0.5 m)</t>
        </is>
      </c>
      <c r="F16" s="56" t="inlineStr">
        <is>
          <t>Nativa</t>
        </is>
      </c>
      <c r="G16" s="56" t="inlineStr">
        <is>
          <t>Dominante (&gt;40%)</t>
        </is>
      </c>
      <c r="H16" s="56" t="n"/>
      <c r="I16" s="56" t="n"/>
    </row>
    <row r="17">
      <c r="A17" s="55" t="inlineStr">
        <is>
          <t>5</t>
        </is>
      </c>
      <c r="B17" s="55" t="inlineStr">
        <is>
          <t>Matorral andino no diferenciado</t>
        </is>
      </c>
      <c r="C17" s="55" t="inlineStr">
        <is>
          <t>Por determinar</t>
        </is>
      </c>
      <c r="D17" s="55" t="inlineStr">
        <is>
          <t>Por determinar</t>
        </is>
      </c>
      <c r="E17" s="55" t="inlineStr">
        <is>
          <t>Arbustivo alto (1.5-4 m)</t>
        </is>
      </c>
      <c r="F17" s="55" t="inlineStr">
        <is>
          <t>Nativa</t>
        </is>
      </c>
      <c r="G17" s="55" t="inlineStr">
        <is>
          <t>Frecuente (5-20%)</t>
        </is>
      </c>
      <c r="H17" s="55" t="n"/>
      <c r="I17" s="55" t="n"/>
    </row>
    <row r="18">
      <c r="A18" s="56" t="inlineStr">
        <is>
          <t>6</t>
        </is>
      </c>
      <c r="B18" s="56" t="inlineStr">
        <is>
          <t>Arbusto nativo de matorral (hoja coriácea)</t>
        </is>
      </c>
      <c r="C18" s="56" t="inlineStr">
        <is>
          <t>Por determinar</t>
        </is>
      </c>
      <c r="D18" s="56" t="inlineStr">
        <is>
          <t>Por determinar</t>
        </is>
      </c>
      <c r="E18" s="56" t="inlineStr">
        <is>
          <t>Arbustivo alto (1.5-4 m)</t>
        </is>
      </c>
      <c r="F18" s="56" t="inlineStr">
        <is>
          <t>Nativa</t>
        </is>
      </c>
      <c r="G18" s="56" t="inlineStr">
        <is>
          <t>Frecuente (5-20%)</t>
        </is>
      </c>
      <c r="H18" s="56" t="n"/>
      <c r="I18" s="56" t="n"/>
    </row>
    <row r="19">
      <c r="A19" s="55" t="inlineStr">
        <is>
          <t>7</t>
        </is>
      </c>
      <c r="B19" s="55" t="inlineStr">
        <is>
          <t>Arbusto nativo de matorral (bajo, defoliado)</t>
        </is>
      </c>
      <c r="C19" s="55" t="inlineStr">
        <is>
          <t>Por determinar</t>
        </is>
      </c>
      <c r="D19" s="55" t="inlineStr">
        <is>
          <t>Por determinar</t>
        </is>
      </c>
      <c r="E19" s="55" t="inlineStr">
        <is>
          <t>Arbustivo bajo (0.5-1.5 m)</t>
        </is>
      </c>
      <c r="F19" s="55" t="inlineStr">
        <is>
          <t>Nativa</t>
        </is>
      </c>
      <c r="G19" s="55" t="inlineStr">
        <is>
          <t>Frecuente (5-20%)</t>
        </is>
      </c>
      <c r="H19" s="55" t="n"/>
      <c r="I19" s="55" t="n"/>
    </row>
    <row r="20">
      <c r="A20" s="56" t="inlineStr">
        <is>
          <t>8</t>
        </is>
      </c>
      <c r="B20" s="56" t="inlineStr">
        <is>
          <t>Bromeliácea epífita (achupalla)</t>
        </is>
      </c>
      <c r="C20" s="56" t="inlineStr">
        <is>
          <t>Tillandsia sp.</t>
        </is>
      </c>
      <c r="D20" s="56" t="inlineStr">
        <is>
          <t>Bromeliaceae</t>
        </is>
      </c>
      <c r="E20" s="56" t="inlineStr">
        <is>
          <t>Epífito</t>
        </is>
      </c>
      <c r="F20" s="56" t="inlineStr">
        <is>
          <t>Nativa</t>
        </is>
      </c>
      <c r="G20" s="56" t="inlineStr">
        <is>
          <t>Ocasional (1-5%)</t>
        </is>
      </c>
      <c r="H20" s="56" t="n"/>
      <c r="I20" s="56" t="n"/>
    </row>
    <row r="21">
      <c r="A21" s="55" t="inlineStr">
        <is>
          <t>9</t>
        </is>
      </c>
      <c r="B21" s="55" t="inlineStr">
        <is>
          <t>Arbolillo de vaguada</t>
        </is>
      </c>
      <c r="C21" s="55" t="inlineStr">
        <is>
          <t>Por determinar</t>
        </is>
      </c>
      <c r="D21" s="55" t="inlineStr">
        <is>
          <t>Por determinar</t>
        </is>
      </c>
      <c r="E21" s="55" t="inlineStr">
        <is>
          <t>Arbóreo bajo (4-8 m)</t>
        </is>
      </c>
      <c r="F21" s="55" t="inlineStr">
        <is>
          <t>Nativa</t>
        </is>
      </c>
      <c r="G21" s="55" t="inlineStr">
        <is>
          <t>Ocasional (1-5%)</t>
        </is>
      </c>
      <c r="H21" s="55" t="n"/>
      <c r="I21" s="55" t="n"/>
    </row>
    <row r="22">
      <c r="A22" s="56" t="inlineStr">
        <is>
          <t>10</t>
        </is>
      </c>
      <c r="B22" s="56" t="inlineStr">
        <is>
          <t>Conífera introducida (pino)</t>
        </is>
      </c>
      <c r="C22" s="56" t="inlineStr">
        <is>
          <t>Pinus sp.</t>
        </is>
      </c>
      <c r="D22" s="56" t="inlineStr">
        <is>
          <t>Pinaceae</t>
        </is>
      </c>
      <c r="E22" s="56" t="inlineStr">
        <is>
          <t>Arbóreo bajo (4-8 m)</t>
        </is>
      </c>
      <c r="F22" s="56" t="inlineStr">
        <is>
          <t>Introducida</t>
        </is>
      </c>
      <c r="G22" s="56" t="inlineStr">
        <is>
          <t>Rara (&lt;1%)</t>
        </is>
      </c>
      <c r="H22" s="56" t="n"/>
      <c r="I22" s="56" t="n"/>
    </row>
    <row r="23">
      <c r="A23" s="55" t="inlineStr">
        <is>
          <t>11</t>
        </is>
      </c>
      <c r="B23" s="55" t="inlineStr">
        <is>
          <t>Herbácea de borde de camino</t>
        </is>
      </c>
      <c r="C23" s="55" t="inlineStr">
        <is>
          <t>Por determinar</t>
        </is>
      </c>
      <c r="D23" s="55" t="inlineStr">
        <is>
          <t>Por determinar</t>
        </is>
      </c>
      <c r="E23" s="55" t="inlineStr">
        <is>
          <t>Herbáceo (&lt;0.5 m)</t>
        </is>
      </c>
      <c r="F23" s="55" t="inlineStr">
        <is>
          <t>Por determinar</t>
        </is>
      </c>
      <c r="G23" s="55" t="inlineStr">
        <is>
          <t>Ocasional (1-5%)</t>
        </is>
      </c>
      <c r="H23" s="55" t="n"/>
      <c r="I23" s="55" t="n"/>
    </row>
    <row r="24">
      <c r="A24" s="56" t="inlineStr">
        <is>
          <t>12</t>
        </is>
      </c>
      <c r="B24" s="56" t="inlineStr">
        <is>
          <t>Trepadora de cerco</t>
        </is>
      </c>
      <c r="C24" s="56" t="inlineStr">
        <is>
          <t>Por determinar</t>
        </is>
      </c>
      <c r="D24" s="56" t="inlineStr">
        <is>
          <t>Por determinar</t>
        </is>
      </c>
      <c r="E24" s="56" t="inlineStr">
        <is>
          <t>Trepador</t>
        </is>
      </c>
      <c r="F24" s="56" t="inlineStr">
        <is>
          <t>Nativa</t>
        </is>
      </c>
      <c r="G24" s="56" t="inlineStr">
        <is>
          <t>Ocasional (1-5%)</t>
        </is>
      </c>
      <c r="H24" s="56" t="n"/>
      <c r="I24" s="56" t="n"/>
    </row>
    <row r="26">
      <c r="A26" s="53" t="inlineStr">
        <is>
          <t>F-DT-03 · ESPECIES CLAVE GEORREFERENCIADAS</t>
        </is>
      </c>
    </row>
    <row r="27">
      <c r="A27" s="54" t="inlineStr">
        <is>
          <t>N.o</t>
        </is>
      </c>
      <c r="B27" s="54" t="inlineStr">
        <is>
          <t>Especie</t>
        </is>
      </c>
      <c r="C27" s="54" t="inlineStr">
        <is>
          <t>Categoría</t>
        </is>
      </c>
      <c r="D27" s="54" t="inlineStr">
        <is>
          <t>Estado UICN</t>
        </is>
      </c>
      <c r="E27" s="54" t="inlineStr">
        <is>
          <t>UTM ESTE</t>
        </is>
      </c>
      <c r="F27" s="54" t="inlineStr">
        <is>
          <t>UTM NORTE</t>
        </is>
      </c>
      <c r="G27" s="54" t="inlineStr">
        <is>
          <t>N.° individuos</t>
        </is>
      </c>
      <c r="H27" s="54" t="inlineStr">
        <is>
          <t>Observación</t>
        </is>
      </c>
    </row>
    <row r="28">
      <c r="A28" s="55" t="inlineStr">
        <is>
          <t>1</t>
        </is>
      </c>
      <c r="B28" s="55" t="inlineStr">
        <is>
          <t>Baccharis spp. (chilca)</t>
        </is>
      </c>
      <c r="C28" s="55" t="inlineStr">
        <is>
          <t>Indicadora de perturbación</t>
        </is>
      </c>
      <c r="D28" s="55" t="inlineStr">
        <is>
          <t>No aplica</t>
        </is>
      </c>
      <c r="E28" s="55" t="n"/>
      <c r="F28" s="55" t="n"/>
      <c r="G28" s="55" t="n"/>
      <c r="H28" s="55" t="inlineStr">
        <is>
          <t>Colonizadora de taludes y bordes. Material de elección para barreras vivas y estabilización biológica.</t>
        </is>
      </c>
    </row>
    <row r="29">
      <c r="A29" s="56" t="inlineStr">
        <is>
          <t>2</t>
        </is>
      </c>
      <c r="B29" s="56" t="inlineStr">
        <is>
          <t>Poaceae — pastos cultivados</t>
        </is>
      </c>
      <c r="C29" s="56" t="inlineStr">
        <is>
          <t>Indicadora de perturbación</t>
        </is>
      </c>
      <c r="D29" s="56" t="inlineStr">
        <is>
          <t>No aplica</t>
        </is>
      </c>
      <c r="E29" s="56" t="n"/>
      <c r="F29" s="56" t="n"/>
      <c r="G29" s="56" t="n"/>
      <c r="H29" s="56" t="inlineStr">
        <is>
          <t>Sustitución de la cobertura natural; sostiene la carga ganadera que origina las terracillas.</t>
        </is>
      </c>
    </row>
    <row r="30">
      <c r="A30" s="55" t="inlineStr">
        <is>
          <t>3</t>
        </is>
      </c>
      <c r="B30" s="55" t="inlineStr">
        <is>
          <t>Eucalyptus globulus</t>
        </is>
      </c>
      <c r="C30" s="55" t="inlineStr">
        <is>
          <t>Indicadora de perturbación</t>
        </is>
      </c>
      <c r="D30" s="55" t="inlineStr">
        <is>
          <t>No aplica</t>
        </is>
      </c>
      <c r="E30" s="55" t="n"/>
      <c r="F30" s="55" t="n"/>
      <c r="G30" s="55" t="n"/>
      <c r="H30" s="55" t="inlineStr">
        <is>
          <t>Introducida. NO debe emplearse en los diseños de revegetación por su demanda hídrica y su efecto sobre el sotobosque.</t>
        </is>
      </c>
    </row>
    <row r="31">
      <c r="A31" s="56" t="inlineStr">
        <is>
          <t>4</t>
        </is>
      </c>
      <c r="B31" s="56" t="inlineStr">
        <is>
          <t>Pinus sp.</t>
        </is>
      </c>
      <c r="C31" s="56" t="inlineStr">
        <is>
          <t>Indicadora de perturbación</t>
        </is>
      </c>
      <c r="D31" s="56" t="inlineStr">
        <is>
          <t>No aplica</t>
        </is>
      </c>
      <c r="E31" s="56" t="n"/>
      <c r="F31" s="56" t="n"/>
      <c r="G31" s="56" t="n"/>
      <c r="H31" s="56" t="inlineStr">
        <is>
          <t>Introducida, registrada en el extremo NO del B-31 (E-15). Se descarta para revegetación.</t>
        </is>
      </c>
    </row>
    <row r="32">
      <c r="A32" s="55" t="inlineStr">
        <is>
          <t>5</t>
        </is>
      </c>
      <c r="B32" s="55" t="inlineStr">
        <is>
          <t>Tillandsia sp.</t>
        </is>
      </c>
      <c r="C32" s="55" t="inlineStr">
        <is>
          <t>Indicadora de buen estado</t>
        </is>
      </c>
      <c r="D32" s="55" t="inlineStr">
        <is>
          <t>No aplica</t>
        </is>
      </c>
      <c r="E32" s="55" t="n"/>
      <c r="F32" s="55" t="n"/>
      <c r="G32" s="55" t="n"/>
      <c r="H32" s="55" t="inlineStr">
        <is>
          <t>Epífitas presentes solo en los relictos de matorral del sector NO y de las vaguadas.</t>
        </is>
      </c>
    </row>
    <row r="34">
      <c r="A34" s="53" t="inlineStr">
        <is>
          <t>F-DT-04 · MATRIZ DE CAUSAS DE DEGRADACIÓN</t>
        </is>
      </c>
    </row>
    <row r="35">
      <c r="A35" s="54" t="inlineStr">
        <is>
          <t>N.o</t>
        </is>
      </c>
      <c r="B35" s="54" t="inlineStr">
        <is>
          <t>Causa</t>
        </is>
      </c>
      <c r="C35" s="54" t="inlineStr">
        <is>
          <t>Presencia</t>
        </is>
      </c>
      <c r="D35" s="54" t="inlineStr">
        <is>
          <t>Intensidad</t>
        </is>
      </c>
      <c r="E35" s="54" t="inlineStr">
        <is>
          <t>Extensión</t>
        </is>
      </c>
      <c r="F35" s="54" t="inlineStr">
        <is>
          <t>Antigüedad</t>
        </is>
      </c>
      <c r="G35" s="54" t="inlineStr">
        <is>
          <t>Evidencia</t>
        </is>
      </c>
    </row>
    <row r="36">
      <c r="A36" s="55" t="inlineStr">
        <is>
          <t>1</t>
        </is>
      </c>
      <c r="B36" s="55" t="inlineStr">
        <is>
          <t>Sobrepastoreo (caprino/vacuno)</t>
        </is>
      </c>
      <c r="C36" s="55" t="inlineStr">
        <is>
          <t>Sí</t>
        </is>
      </c>
      <c r="D36" s="55" t="inlineStr">
        <is>
          <t>Moderada</t>
        </is>
      </c>
      <c r="E36" s="55" t="inlineStr">
        <is>
          <t>50</t>
        </is>
      </c>
      <c r="F36" s="55" t="inlineStr">
        <is>
          <t>&gt; 20</t>
        </is>
      </c>
      <c r="G36" s="55" t="inlineStr">
        <is>
          <t>Pastizal seco pastoreado en el flanco expuesto, con cárcavas incipientes (E-02); carga no cuantificada.</t>
        </is>
      </c>
    </row>
    <row r="37">
      <c r="A37" s="56" t="inlineStr">
        <is>
          <t>2</t>
        </is>
      </c>
      <c r="B37" s="56" t="inlineStr">
        <is>
          <t>Tala para leña</t>
        </is>
      </c>
      <c r="C37" s="56" t="inlineStr">
        <is>
          <t>Por determinar</t>
        </is>
      </c>
      <c r="D37" s="56" t="inlineStr">
        <is>
          <t>Nula</t>
        </is>
      </c>
      <c r="E37" s="56" t="inlineStr"/>
      <c r="F37" s="56" t="inlineStr"/>
      <c r="G37" s="56" t="inlineStr">
        <is>
          <t>Sin evidencia directa; probable por contexto.</t>
        </is>
      </c>
    </row>
    <row r="38">
      <c r="A38" s="55" t="inlineStr">
        <is>
          <t>3</t>
        </is>
      </c>
      <c r="B38" s="55" t="inlineStr">
        <is>
          <t>Tala para carbón</t>
        </is>
      </c>
      <c r="C38" s="55" t="inlineStr"/>
      <c r="D38" s="55" t="inlineStr"/>
      <c r="E38" s="55" t="inlineStr"/>
      <c r="F38" s="55" t="inlineStr"/>
      <c r="G38" s="55" t="inlineStr"/>
    </row>
    <row r="39">
      <c r="A39" s="56" t="inlineStr">
        <is>
          <t>4</t>
        </is>
      </c>
      <c r="B39" s="56" t="inlineStr">
        <is>
          <t>Tala para madera</t>
        </is>
      </c>
      <c r="C39" s="56" t="inlineStr"/>
      <c r="D39" s="56" t="inlineStr"/>
      <c r="E39" s="56" t="inlineStr"/>
      <c r="F39" s="56" t="inlineStr"/>
      <c r="G39" s="56" t="inlineStr"/>
    </row>
    <row r="40">
      <c r="A40" s="55" t="inlineStr">
        <is>
          <t>5</t>
        </is>
      </c>
      <c r="B40" s="55" t="inlineStr">
        <is>
          <t>Quema (renovación de pastos)</t>
        </is>
      </c>
      <c r="C40" s="55" t="inlineStr"/>
      <c r="D40" s="55" t="inlineStr"/>
      <c r="E40" s="55" t="inlineStr"/>
      <c r="F40" s="55" t="inlineStr"/>
      <c r="G40" s="55" t="inlineStr"/>
    </row>
    <row r="41">
      <c r="A41" s="56" t="inlineStr">
        <is>
          <t>6</t>
        </is>
      </c>
      <c r="B41" s="56" t="inlineStr">
        <is>
          <t>Quema accidental / Incendio</t>
        </is>
      </c>
      <c r="C41" s="56" t="inlineStr"/>
      <c r="D41" s="56" t="inlineStr"/>
      <c r="E41" s="56" t="inlineStr"/>
      <c r="F41" s="56" t="inlineStr"/>
      <c r="G41" s="56" t="inlineStr"/>
    </row>
    <row r="42">
      <c r="A42" s="55" t="inlineStr">
        <is>
          <t>7</t>
        </is>
      </c>
      <c r="B42" s="55" t="inlineStr">
        <is>
          <t>Cambio de uso a agricultura</t>
        </is>
      </c>
      <c r="C42" s="55" t="inlineStr"/>
      <c r="D42" s="55" t="inlineStr"/>
      <c r="E42" s="55" t="inlineStr"/>
      <c r="F42" s="55" t="inlineStr"/>
      <c r="G42" s="55" t="inlineStr"/>
    </row>
    <row r="43">
      <c r="A43" s="56" t="inlineStr">
        <is>
          <t>8</t>
        </is>
      </c>
      <c r="B43" s="56" t="inlineStr">
        <is>
          <t>Cambio de uso a pastoreo</t>
        </is>
      </c>
      <c r="C43" s="56" t="inlineStr">
        <is>
          <t>Sí</t>
        </is>
      </c>
      <c r="D43" s="56" t="inlineStr">
        <is>
          <t>Moderada</t>
        </is>
      </c>
      <c r="E43" s="56" t="inlineStr">
        <is>
          <t>45</t>
        </is>
      </c>
      <c r="F43" s="56" t="inlineStr">
        <is>
          <t>&gt; 20</t>
        </is>
      </c>
      <c r="G43" s="56" t="inlineStr">
        <is>
          <t>Mosaico de pastizal y matorral; sustitución parcial de la cobertura natural.</t>
        </is>
      </c>
    </row>
    <row r="44">
      <c r="A44" s="55" t="inlineStr">
        <is>
          <t>9</t>
        </is>
      </c>
      <c r="B44" s="55" t="inlineStr">
        <is>
          <t>Expansión urbana / vial</t>
        </is>
      </c>
      <c r="C44" s="55" t="inlineStr">
        <is>
          <t>Sí</t>
        </is>
      </c>
      <c r="D44" s="55" t="inlineStr">
        <is>
          <t>Moderada</t>
        </is>
      </c>
      <c r="E44" s="55" t="inlineStr">
        <is>
          <t>15</t>
        </is>
      </c>
      <c r="F44" s="55" t="inlineStr">
        <is>
          <t>&lt; 10</t>
        </is>
      </c>
      <c r="G44" s="55" t="inlineStr">
        <is>
          <t>CAUSA CODOMINANTE. Trocha carrozable en el corredor norte con talud de corte en roca calcárea fracturada (E-03) y vaguada con derrubios y bloques sueltos sin obra de cruce (E-08).</t>
        </is>
      </c>
    </row>
    <row r="45">
      <c r="A45" s="56" t="inlineStr">
        <is>
          <t>10</t>
        </is>
      </c>
      <c r="B45" s="56" t="inlineStr">
        <is>
          <t>Minería informal</t>
        </is>
      </c>
      <c r="C45" s="56" t="inlineStr"/>
      <c r="D45" s="56" t="inlineStr"/>
      <c r="E45" s="56" t="inlineStr"/>
      <c r="F45" s="56" t="inlineStr"/>
      <c r="G45" s="56" t="inlineStr"/>
    </row>
    <row r="46">
      <c r="A46" s="55" t="inlineStr">
        <is>
          <t>11</t>
        </is>
      </c>
      <c r="B46" s="55" t="inlineStr">
        <is>
          <t>Extracción de áridos (cauces)</t>
        </is>
      </c>
      <c r="C46" s="55" t="inlineStr"/>
      <c r="D46" s="55" t="inlineStr"/>
      <c r="E46" s="55" t="inlineStr"/>
      <c r="F46" s="55" t="inlineStr"/>
      <c r="G46" s="55" t="inlineStr"/>
    </row>
    <row r="47">
      <c r="A47" s="56" t="inlineStr">
        <is>
          <t>12</t>
        </is>
      </c>
      <c r="B47" s="56" t="inlineStr">
        <is>
          <t>Especies invasoras</t>
        </is>
      </c>
      <c r="C47" s="56" t="inlineStr"/>
      <c r="D47" s="56" t="inlineStr"/>
      <c r="E47" s="56" t="inlineStr"/>
      <c r="F47" s="56" t="inlineStr"/>
      <c r="G47" s="56" t="inlineStr"/>
    </row>
    <row r="48">
      <c r="A48" s="55" t="inlineStr">
        <is>
          <t>13</t>
        </is>
      </c>
      <c r="B48" s="55" t="inlineStr">
        <is>
          <t>Erosión natural severa</t>
        </is>
      </c>
      <c r="C48" s="55" t="inlineStr">
        <is>
          <t>Sí</t>
        </is>
      </c>
      <c r="D48" s="55" t="inlineStr">
        <is>
          <t>Fuerte</t>
        </is>
      </c>
      <c r="E48" s="55" t="inlineStr">
        <is>
          <t>81</t>
        </is>
      </c>
      <c r="F48" s="55" t="inlineStr">
        <is>
          <t>&gt; 20</t>
        </is>
      </c>
      <c r="G48" s="55" t="inlineStr">
        <is>
          <t>15.734 ha (80.99 %) bajo el umbral MSAVI 0.4976, sin superficie en clase crítica.</t>
        </is>
      </c>
    </row>
    <row r="49">
      <c r="A49" s="56" t="inlineStr">
        <is>
          <t>14</t>
        </is>
      </c>
      <c r="B49" s="56" t="inlineStr">
        <is>
          <t>Sequía prolongada / CC</t>
        </is>
      </c>
      <c r="C49" s="56" t="inlineStr">
        <is>
          <t>Sí</t>
        </is>
      </c>
      <c r="D49" s="56" t="inlineStr">
        <is>
          <t>Moderada</t>
        </is>
      </c>
      <c r="E49" s="56" t="inlineStr">
        <is>
          <t>100</t>
        </is>
      </c>
      <c r="F49" s="56" t="inlineStr"/>
      <c r="G49" s="56" t="inlineStr">
        <is>
          <t>Déficit hídrico proyectado (MPI-ESM1-2HR, SSP 5-8.5, 2021-2040).</t>
        </is>
      </c>
    </row>
    <row r="50">
      <c r="A50" s="55" t="inlineStr">
        <is>
          <t>15</t>
        </is>
      </c>
      <c r="B50" s="55" t="inlineStr">
        <is>
          <t>Plagas o enfermedades forestales</t>
        </is>
      </c>
      <c r="C50" s="55" t="inlineStr"/>
      <c r="D50" s="55" t="inlineStr"/>
      <c r="E50" s="55" t="inlineStr"/>
      <c r="F50" s="55" t="inlineStr"/>
      <c r="G50" s="55" t="inlineStr"/>
    </row>
    <row r="51">
      <c r="A51" s="56" t="inlineStr">
        <is>
          <t>16</t>
        </is>
      </c>
      <c r="B51" s="56" t="inlineStr">
        <is>
          <t>Otro</t>
        </is>
      </c>
      <c r="C51" s="56" t="inlineStr"/>
      <c r="D51" s="56" t="inlineStr"/>
      <c r="E51" s="56" t="inlineStr"/>
      <c r="F51" s="56" t="inlineStr"/>
      <c r="G51" s="56" t="inlineStr"/>
    </row>
    <row r="53">
      <c r="A53" s="53" t="inlineStr">
        <is>
          <t>F-DT-04 · INDICADORES CUANTITATIVOS</t>
        </is>
      </c>
    </row>
    <row r="54">
      <c r="A54" s="54" t="inlineStr">
        <is>
          <t>N.o</t>
        </is>
      </c>
      <c r="B54" s="54" t="inlineStr">
        <is>
          <t>Indicador</t>
        </is>
      </c>
      <c r="C54" s="54" t="inlineStr">
        <is>
          <t>Unidad</t>
        </is>
      </c>
      <c r="D54" s="54" t="inlineStr">
        <is>
          <t>Valor</t>
        </is>
      </c>
      <c r="E54" s="54" t="inlineStr">
        <is>
          <t>Fuente</t>
        </is>
      </c>
      <c r="F54" s="54" t="inlineStr">
        <is>
          <t>Umbral</t>
        </is>
      </c>
      <c r="G54" s="54" t="inlineStr">
        <is>
          <t>Nivel</t>
        </is>
      </c>
    </row>
    <row r="55">
      <c r="A55" s="55" t="inlineStr">
        <is>
          <t>1</t>
        </is>
      </c>
      <c r="B55" s="55" t="inlineStr">
        <is>
          <t>Cobertura vegetal total</t>
        </is>
      </c>
      <c r="C55" s="55" t="inlineStr">
        <is>
          <t>%</t>
        </is>
      </c>
      <c r="D55" s="55" t="inlineStr">
        <is>
          <t>19</t>
        </is>
      </c>
      <c r="E55" s="55" t="inlineStr">
        <is>
          <t>MSAVI 2024 — clasificación sobre plano</t>
        </is>
      </c>
      <c r="F55" s="55" t="inlineStr">
        <is>
          <t>&gt;60% bueno; 30-60% medio; &lt;30% malo</t>
        </is>
      </c>
      <c r="G55" s="55" t="inlineStr">
        <is>
          <t>Alto</t>
        </is>
      </c>
    </row>
    <row r="56">
      <c r="A56" s="56" t="inlineStr">
        <is>
          <t>2</t>
        </is>
      </c>
      <c r="B56" s="56" t="inlineStr">
        <is>
          <t>Porcentaje de suelo desnudo</t>
        </is>
      </c>
      <c r="C56" s="56" t="inlineStr">
        <is>
          <t>%</t>
        </is>
      </c>
      <c r="D56" s="56" t="inlineStr">
        <is>
          <t>10 – 20 (estimado visual)</t>
        </is>
      </c>
      <c r="E56" s="56" t="inlineStr">
        <is>
          <t>Registro fotográfico 21-08-2026</t>
        </is>
      </c>
      <c r="F56" s="56" t="inlineStr">
        <is>
          <t>&lt;10% bueno; 10-30% medio; &gt;30% malo</t>
        </is>
      </c>
      <c r="G56" s="56" t="inlineStr">
        <is>
          <t>Medio</t>
        </is>
      </c>
    </row>
    <row r="57">
      <c r="A57" s="55" t="inlineStr">
        <is>
          <t>3</t>
        </is>
      </c>
      <c r="B57" s="55" t="inlineStr">
        <is>
          <t>Densidad de cárcavas</t>
        </is>
      </c>
      <c r="C57" s="55" t="inlineStr">
        <is>
          <t>N°/ha</t>
        </is>
      </c>
      <c r="D57" s="55" t="inlineStr">
        <is>
          <t>Sin inventario</t>
        </is>
      </c>
      <c r="E57" s="55" t="inlineStr">
        <is>
          <t>Pendiente — analista de infraestructura marrón</t>
        </is>
      </c>
      <c r="F57" s="55" t="inlineStr">
        <is>
          <t>0 nulo; 1-3 medio; &gt;3 alto</t>
        </is>
      </c>
      <c r="G57" s="55" t="inlineStr"/>
    </row>
    <row r="58">
      <c r="A58" s="56" t="inlineStr">
        <is>
          <t>4</t>
        </is>
      </c>
      <c r="B58" s="56" t="inlineStr">
        <is>
          <t>Presencia de especies invasoras</t>
        </is>
      </c>
      <c r="C58" s="56" t="inlineStr">
        <is>
          <t>% área</t>
        </is>
      </c>
      <c r="D58" s="56" t="inlineStr">
        <is>
          <t>Sin cuantificar</t>
        </is>
      </c>
      <c r="E58" s="56" t="inlineStr">
        <is>
          <t>Registro fotográfico (eucalipto, pino)</t>
        </is>
      </c>
      <c r="F58" s="56" t="inlineStr">
        <is>
          <t>&lt;5% bueno; 5-20% medio; &gt;20% alto</t>
        </is>
      </c>
      <c r="G58" s="56" t="inlineStr">
        <is>
          <t>Bajo</t>
        </is>
      </c>
    </row>
    <row r="59">
      <c r="A59" s="55" t="inlineStr">
        <is>
          <t>5</t>
        </is>
      </c>
      <c r="B59" s="55" t="inlineStr">
        <is>
          <t>Carga ganadera estimada</t>
        </is>
      </c>
      <c r="C59" s="55" t="inlineStr">
        <is>
          <t>UA/ha</t>
        </is>
      </c>
      <c r="D59" s="55" t="inlineStr">
        <is>
          <t>Sin cuantificar</t>
        </is>
      </c>
      <c r="E59" s="55" t="inlineStr">
        <is>
          <t>Encuesta a tenedores pendiente</t>
        </is>
      </c>
      <c r="F59" s="55" t="inlineStr">
        <is>
          <t>Según tipo de ecosistema</t>
        </is>
      </c>
      <c r="G59" s="55" t="inlineStr"/>
    </row>
    <row r="60">
      <c r="A60" s="56" t="inlineStr">
        <is>
          <t>6</t>
        </is>
      </c>
      <c r="B60" s="56" t="inlineStr">
        <is>
          <t>Frecuencia de quemas últimos 5 años</t>
        </is>
      </c>
      <c r="C60" s="56" t="inlineStr">
        <is>
          <t>N°</t>
        </is>
      </c>
      <c r="D60" s="56" t="inlineStr">
        <is>
          <t>Sin dato</t>
        </is>
      </c>
      <c r="E60" s="56" t="inlineStr">
        <is>
          <t>Por verificar con la comunidad</t>
        </is>
      </c>
      <c r="F60" s="56" t="inlineStr">
        <is>
          <t>0 nulo; 1-2 medio; &gt;2 alto</t>
        </is>
      </c>
      <c r="G60" s="56" t="inlineStr"/>
    </row>
    <row r="61">
      <c r="A61" s="55" t="inlineStr">
        <is>
          <t>7</t>
        </is>
      </c>
      <c r="B61" s="55" t="inlineStr">
        <is>
          <t>% área con pendiente &gt;50%</t>
        </is>
      </c>
      <c r="C61" s="55" t="inlineStr">
        <is>
          <t>%</t>
        </is>
      </c>
      <c r="D61" s="55" t="inlineStr">
        <is>
          <t>Sin cuantificar</t>
        </is>
      </c>
      <c r="E61" s="55" t="inlineStr">
        <is>
          <t>Estadística zonal MDE pendiente</t>
        </is>
      </c>
      <c r="F61" s="55" t="inlineStr">
        <is>
          <t>Factor de susceptibilidad</t>
        </is>
      </c>
      <c r="G61" s="55" t="inlineStr"/>
    </row>
    <row r="62">
      <c r="A62" s="56" t="inlineStr">
        <is>
          <t>8</t>
        </is>
      </c>
      <c r="B62" s="56" t="inlineStr">
        <is>
          <t>Distancia a vía vecinal más cercana</t>
        </is>
      </c>
      <c r="C62" s="56" t="inlineStr">
        <is>
          <t>m</t>
        </is>
      </c>
      <c r="D62" s="56" t="inlineStr">
        <is>
          <t>≈ 72 — trocha del corredor norte</t>
        </is>
      </c>
      <c r="E62" s="56" t="inlineStr">
        <is>
          <t>Medición sobre plano MSAVI</t>
        </is>
      </c>
      <c r="F62" s="56" t="inlineStr">
        <is>
          <t>A menor distancia → mayor presión</t>
        </is>
      </c>
      <c r="G62" s="56" t="inlineStr">
        <is>
          <t>Alto</t>
        </is>
      </c>
    </row>
    <row r="64">
      <c r="A64" s="53" t="inlineStr">
        <is>
          <t>F-DT-05 · FUENTES DE AGUA INVENTARIADAS</t>
        </is>
      </c>
    </row>
    <row r="65">
      <c r="A65" s="54" t="inlineStr">
        <is>
          <t>N.o</t>
        </is>
      </c>
      <c r="B65" s="54" t="inlineStr">
        <is>
          <t>Tipo de fuente</t>
        </is>
      </c>
      <c r="C65" s="54" t="inlineStr">
        <is>
          <t>UTM ESTE</t>
        </is>
      </c>
      <c r="D65" s="54" t="inlineStr">
        <is>
          <t>UTM NORTE</t>
        </is>
      </c>
      <c r="E65" s="54" t="inlineStr">
        <is>
          <t>Régimen</t>
        </is>
      </c>
      <c r="F65" s="54" t="inlineStr">
        <is>
          <t>Calidad</t>
        </is>
      </c>
      <c r="G65" s="54" t="inlineStr">
        <is>
          <t>Distancia (m)</t>
        </is>
      </c>
      <c r="H65" s="54" t="inlineStr">
        <is>
          <t>Uso / observación</t>
        </is>
      </c>
    </row>
    <row r="66">
      <c r="A66" s="55" t="inlineStr">
        <is>
          <t>1</t>
        </is>
      </c>
      <c r="B66" s="55" t="inlineStr">
        <is>
          <t>Quebrada estacional</t>
        </is>
      </c>
      <c r="C66" s="60" t="n">
        <v>663129</v>
      </c>
      <c r="D66" s="60" t="n">
        <v>9392553</v>
      </c>
      <c r="E66" s="55" t="inlineStr">
        <is>
          <t>Estacional (lluvias)</t>
        </is>
      </c>
      <c r="F66" s="55" t="inlineStr">
        <is>
          <t>No evaluable</t>
        </is>
      </c>
      <c r="G66" s="60" t="n">
        <v>72</v>
      </c>
      <c r="H66" s="55" t="inlineStr">
        <is>
          <t>Vaguada al norte del bloque, con derrubios y bloques sueltos; sin obra de cruce (E-08).</t>
        </is>
      </c>
    </row>
    <row r="67">
      <c r="A67" s="56" t="inlineStr">
        <is>
          <t>2</t>
        </is>
      </c>
      <c r="B67" s="56" t="inlineStr">
        <is>
          <t>Otro</t>
        </is>
      </c>
      <c r="C67" s="61" t="n">
        <v>663129</v>
      </c>
      <c r="D67" s="61" t="n">
        <v>9392553</v>
      </c>
      <c r="E67" s="56" t="inlineStr">
        <is>
          <t>Permanente</t>
        </is>
      </c>
      <c r="F67" s="56" t="inlineStr">
        <is>
          <t>No evaluable</t>
        </is>
      </c>
      <c r="G67" s="61" t="n">
        <v>72</v>
      </c>
      <c r="H67" s="56" t="inlineStr">
        <is>
          <t>Tubería de conducción de agua descendiendo por el eje de la vaguada (E-08). Infraestructura existente NO registrada en las capas del proyecto.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69</t>
        </is>
      </c>
    </row>
    <row r="7">
      <c r="A7" s="53" t="inlineStr">
        <is>
          <t>Hechos declarados por fuente</t>
        </is>
      </c>
    </row>
    <row r="8">
      <c r="A8" s="54" t="inlineStr">
        <is>
          <t>Fuente</t>
        </is>
      </c>
      <c r="B8" s="54" t="inlineStr">
        <is>
          <t>Hechos</t>
        </is>
      </c>
    </row>
    <row r="9">
      <c r="A9" s="55" t="inlineStr">
        <is>
          <t>Dato de campo</t>
        </is>
      </c>
      <c r="B9" s="55" t="n">
        <v>68</v>
      </c>
    </row>
    <row r="10">
      <c r="A10" s="56" t="inlineStr">
        <is>
          <t>Gabinete (GIS / teledetección)</t>
        </is>
      </c>
      <c r="B10" s="56" t="n">
        <v>22</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104</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10</v>
      </c>
    </row>
    <row r="51">
      <c r="A51" s="53" t="inlineStr">
        <is>
          <t>Cobertura por estrato — campo (%)</t>
        </is>
      </c>
    </row>
    <row r="52">
      <c r="A52" s="54" t="inlineStr">
        <is>
          <t>Estrato</t>
        </is>
      </c>
      <c r="B52" s="54" t="inlineStr">
        <is>
          <t>% del área</t>
        </is>
      </c>
    </row>
    <row r="53">
      <c r="A53" s="55" t="inlineStr">
        <is>
          <t>Dosel</t>
        </is>
      </c>
      <c r="B53" s="62" t="n">
        <v>5</v>
      </c>
    </row>
    <row r="54">
      <c r="A54" s="56" t="inlineStr">
        <is>
          <t>Arbustiva</t>
        </is>
      </c>
      <c r="B54" s="61" t="n">
        <v>15</v>
      </c>
    </row>
    <row r="55">
      <c r="A55" s="55" t="inlineStr">
        <is>
          <t>Herbácea</t>
        </is>
      </c>
      <c r="B55" s="60" t="n">
        <v>55</v>
      </c>
    </row>
    <row r="56">
      <c r="A56" s="56" t="inlineStr">
        <is>
          <t>Suelo desnudo</t>
        </is>
      </c>
      <c r="B56" s="61" t="n">
        <v>10</v>
      </c>
    </row>
    <row r="73">
      <c r="A73" s="53" t="inlineStr">
        <is>
          <t>Causas activas de degradación (F-DT-04)</t>
        </is>
      </c>
    </row>
    <row r="74">
      <c r="A74" s="54" t="inlineStr">
        <is>
          <t>Causa</t>
        </is>
      </c>
      <c r="B74" s="54" t="inlineStr">
        <is>
          <t>Intensidad (1 ligera - 4 muy fuerte)</t>
        </is>
      </c>
    </row>
    <row r="75">
      <c r="A75" s="55" t="inlineStr">
        <is>
          <t>Erosión natural severa</t>
        </is>
      </c>
      <c r="B75" s="55" t="n">
        <v>3</v>
      </c>
    </row>
    <row r="76">
      <c r="A76" s="56" t="inlineStr">
        <is>
          <t>Cambio de uso a pastoreo</t>
        </is>
      </c>
      <c r="B76" s="56" t="n">
        <v>2</v>
      </c>
    </row>
    <row r="77">
      <c r="A77" s="55" t="inlineStr">
        <is>
          <t>Expansión urbana / vial</t>
        </is>
      </c>
      <c r="B77" s="55" t="n">
        <v>2</v>
      </c>
    </row>
    <row r="78">
      <c r="A78" s="56" t="inlineStr">
        <is>
          <t>Sequía prolongada / CC</t>
        </is>
      </c>
      <c r="B78" s="56" t="n">
        <v>2</v>
      </c>
    </row>
    <row r="79">
      <c r="A79" s="55" t="inlineStr">
        <is>
          <t>Sobrepastoreo (caprino/vacuno)</t>
        </is>
      </c>
      <c r="B79" s="55" t="n">
        <v>2</v>
      </c>
    </row>
    <row r="96">
      <c r="A96" s="53" t="inlineStr">
        <is>
          <t>Control de consistencia por calificación</t>
        </is>
      </c>
    </row>
    <row r="97">
      <c r="A97" s="54" t="inlineStr">
        <is>
          <t>Calificación</t>
        </is>
      </c>
      <c r="B97" s="54" t="inlineStr">
        <is>
          <t>Verificaciones</t>
        </is>
      </c>
    </row>
    <row r="98">
      <c r="A98" s="55" t="inlineStr">
        <is>
          <t>SUSTANTIVA</t>
        </is>
      </c>
      <c r="B98" s="55" t="n">
        <v>9</v>
      </c>
    </row>
    <row r="99">
      <c r="A99" s="56" t="inlineStr">
        <is>
          <t>NO SUSTANTIVA</t>
        </is>
      </c>
      <c r="B99" s="56" t="n">
        <v>2</v>
      </c>
    </row>
    <row r="100">
      <c r="A100" s="55" t="inlineStr">
        <is>
          <t>CORREGIDO</t>
        </is>
      </c>
      <c r="B100" s="55" t="n">
        <v>0</v>
      </c>
    </row>
    <row r="101">
      <c r="A101" s="56" t="inlineStr">
        <is>
          <t>CONFORME</t>
        </is>
      </c>
      <c r="B101"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69 — IN Piura</dc:title>
  <dc:subject>Diagnóstico Territorial por bloque de intervención</dc:subject>
  <dcterms:created xsi:type="dcterms:W3CDTF">2026-09-08T03:39:59Z</dcterms:created>
  <dcterms:modified xsi:type="dcterms:W3CDTF">2026-09-11T20:22:31Z</dcterms:modified>
</cp:coreProperties>
</file>