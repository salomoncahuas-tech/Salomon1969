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xf numFmtId="166" fontId="6" fillId="0"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integración'!B46</f>
            </strRef>
          </tx>
          <spPr>
            <a:ln>
              <a:prstDash val="solid"/>
            </a:ln>
          </spPr>
          <cat>
            <numRef>
              <f>'Gráficos de integración'!$A$47:$A$50</f>
            </numRef>
          </cat>
          <val>
            <numRef>
              <f>'Gráficos de integración'!$B$47:$B$50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integración'!B65</f>
            </strRef>
          </tx>
          <spPr>
            <a:ln>
              <a:prstDash val="solid"/>
            </a:ln>
          </spPr>
          <cat>
            <numRef>
              <f>'Gráficos de integración'!$A$66:$A$70</f>
            </numRef>
          </cat>
          <val>
            <numRef>
              <f>'Gráficos de integración'!$B$66:$B$70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integración'!B84</f>
            </strRef>
          </tx>
          <spPr>
            <a:ln>
              <a:prstDash val="solid"/>
            </a:ln>
          </spPr>
          <cat>
            <numRef>
              <f>'Gráficos de integración'!$A$85:$A$88</f>
            </numRef>
          </cat>
          <val>
            <numRef>
              <f>'Gráficos de integración'!$B$85:$B$88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83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69</t>
        </is>
      </c>
    </row>
    <row r="6" ht="24" customHeight="1">
      <c r="A6" s="4" t="inlineStr">
        <is>
          <t>Diagnóstico Territorial — Plantilla DT Campo Check Validada V5 | Sistema de referencia: UTM WGS 84 Zona 17S (EPSG:32717) · Integrado con la ficha de campo F-DT vigente (Plantilla_DT_Campo_Bloque69_IN_Piura.xlsx) — V7 - resumen V6 + campo F-DT integrado</t>
        </is>
      </c>
    </row>
    <row r="7"/>
    <row r="8" ht="18" customHeight="1">
      <c r="A8" s="5" t="inlineStr">
        <is>
          <t>1. IDENTIFICACIÓN Y LOCALIZACIÓN</t>
        </is>
      </c>
    </row>
    <row r="9">
      <c r="A9" s="6" t="inlineStr">
        <is>
          <t>Código del bloque</t>
        </is>
      </c>
      <c r="B9" s="7" t="inlineStr">
        <is>
          <t>69</t>
        </is>
      </c>
      <c r="C9" s="6" t="inlineStr">
        <is>
          <t>Microcuenca (catálogo)</t>
        </is>
      </c>
      <c r="D9" s="7" t="inlineStr">
        <is>
          <t>C1076-Q9592</t>
        </is>
      </c>
      <c r="E9" s="8" t="n"/>
      <c r="F9" s="8" t="n"/>
    </row>
    <row r="10">
      <c r="A10" s="6" t="inlineStr">
        <is>
          <t>Zona de planificación</t>
        </is>
      </c>
      <c r="B10" s="7" t="inlineStr">
        <is>
          <t>Z13</t>
        </is>
      </c>
      <c r="C10" s="6" t="inlineStr">
        <is>
          <t>Microcuenca declarada en ficha DT</t>
        </is>
      </c>
      <c r="D10" s="7" t="inlineStr">
        <is>
          <t>C1076-Q9584 (según ficha — valor por defecto de plantilla; catálogo: C1076-Q9592)</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Molle y Hualanga Pampa (base logística natural: C.P. Laguna Grande)</t>
        </is>
      </c>
      <c r="C13" s="6" t="inlineStr">
        <is>
          <t>Comunidad campesina</t>
        </is>
      </c>
      <c r="D13" s="7" t="inlineStr">
        <is>
          <t>Por verificar (tamizaje predial pendiente)</t>
        </is>
      </c>
      <c r="E13" s="8" t="n"/>
      <c r="F13" s="8" t="n"/>
    </row>
    <row r="14">
      <c r="A14" s="6" t="inlineStr">
        <is>
          <t>Superficie de catálogo (V5/V6), ha</t>
        </is>
      </c>
      <c r="B14" s="7" t="n">
        <v>19.43</v>
      </c>
      <c r="C14" s="6" t="inlineStr">
        <is>
          <t>Fuente de superficie</t>
        </is>
      </c>
      <c r="D14" s="7" t="inlineStr">
        <is>
          <t>Catálogo maestro Bloques V5/V6</t>
        </is>
      </c>
      <c r="E14" s="8" t="n"/>
      <c r="F14" s="8" t="n"/>
    </row>
    <row r="15">
      <c r="A15" s="6" t="inlineStr">
        <is>
          <t>Centroide UTM ESTE (m)</t>
        </is>
      </c>
      <c r="B15" s="7" t="n">
        <v>663291</v>
      </c>
      <c r="C15" s="6" t="inlineStr">
        <is>
          <t>Centroide UTM NORTE (m)</t>
        </is>
      </c>
      <c r="D15" s="7" t="n">
        <v>9392332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1931</v>
      </c>
      <c r="C19" s="6" t="inlineStr">
        <is>
          <t>Altitud máxima (msnm)</t>
        </is>
      </c>
      <c r="D19" s="7" t="n">
        <v>2205</v>
      </c>
      <c r="E19" s="8" t="n"/>
      <c r="F19" s="8" t="n"/>
    </row>
    <row r="20">
      <c r="A20" s="6" t="inlineStr">
        <is>
          <t>Amplitud altitudinal (m)</t>
        </is>
      </c>
      <c r="B20" s="7" t="n">
        <v>274</v>
      </c>
      <c r="C20" s="6" t="inlineStr">
        <is>
          <t>Piso altitudinal dominante</t>
        </is>
      </c>
      <c r="D20" s="7" t="inlineStr">
        <is>
          <t>2000-2500 m (Quechua alta)</t>
        </is>
      </c>
      <c r="E20" s="8" t="n"/>
      <c r="F20" s="8" t="n"/>
    </row>
    <row r="21">
      <c r="A21" s="6" t="inlineStr">
        <is>
          <t>Pendiente promedio (%)</t>
        </is>
      </c>
      <c r="B21" s="7" t="n">
        <v>27.95</v>
      </c>
      <c r="C21" s="6" t="inlineStr">
        <is>
          <t>Pendiente promedio (grados)</t>
        </is>
      </c>
      <c r="D21" s="7" t="n">
        <v>15.6</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0.4489</v>
      </c>
      <c r="C28" s="6" t="inlineStr">
        <is>
          <t>MSAVI 2024 — clase de la media</t>
        </is>
      </c>
      <c r="D28" s="7" t="inlineStr">
        <is>
          <t>0.3813 - 0.4976 (Vigor bajo)</t>
        </is>
      </c>
      <c r="E28" s="8" t="n"/>
      <c r="F28" s="8" t="n"/>
    </row>
    <row r="29">
      <c r="A29" s="6" t="inlineStr">
        <is>
          <t>Condición frente al umbral 0.4976</t>
        </is>
      </c>
      <c r="B29" s="7" t="inlineStr">
        <is>
          <t>BAJO umbral 0.4976</t>
        </is>
      </c>
      <c r="C29" s="6" t="inlineStr">
        <is>
          <t>NDVI mediana 2025 — clase modal</t>
        </is>
      </c>
      <c r="D29" s="7" t="inlineStr">
        <is>
          <t>Vegetación mediana (75.63 %)</t>
        </is>
      </c>
      <c r="E29" s="8" t="n"/>
      <c r="F29" s="8" t="n"/>
    </row>
    <row r="30">
      <c r="A30" s="6" t="inlineStr">
        <is>
          <t>Superficie clasificada NDVI 2025 (ha)</t>
        </is>
      </c>
      <c r="B30" s="7" t="n">
        <v>19.428</v>
      </c>
      <c r="C30" s="6" t="inlineStr">
        <is>
          <t>Desviación frente al catálogo (%)</t>
        </is>
      </c>
      <c r="D30" s="7" t="n">
        <v>-0.01</v>
      </c>
      <c r="E30" s="8" t="n"/>
      <c r="F30" s="8" t="n"/>
    </row>
    <row r="31">
      <c r="A31" s="6" t="inlineStr">
        <is>
          <t>Superficie clasificada MSAVI 2024 (ha)</t>
        </is>
      </c>
      <c r="B31" s="38" t="n">
        <v>19.425</v>
      </c>
      <c r="C31" s="6" t="inlineStr">
        <is>
          <t>Desviación MSAVI frente al catálogo (%)</t>
        </is>
      </c>
      <c r="D31" s="39" t="n">
        <v>-0.02</v>
      </c>
      <c r="E31" s="8" t="n"/>
      <c r="F31" s="8" t="n"/>
    </row>
    <row r="32">
      <c r="A32" s="6" t="inlineStr">
        <is>
          <t>Superficie bajo umbral MSAVI 0.4976 (ha)</t>
        </is>
      </c>
      <c r="B32" s="38" t="n">
        <v>15.788</v>
      </c>
      <c r="C32" s="6" t="inlineStr">
        <is>
          <t>% del bloque bajo umbral (brecha espectral)</t>
        </is>
      </c>
      <c r="D32" s="39" t="n">
        <v>81.28</v>
      </c>
      <c r="E32" s="8" t="n"/>
      <c r="F32" s="8" t="n"/>
    </row>
    <row r="33">
      <c r="A33" s="6" t="inlineStr">
        <is>
          <t>Clase DN dominante (MSAVI 2024)</t>
        </is>
      </c>
      <c r="B33" s="7" t="inlineStr">
        <is>
          <t>DN 3 · 0.3813 - 0.4976 (Vigor bajo)</t>
        </is>
      </c>
      <c r="C33" s="6" t="inlineStr">
        <is>
          <t>N.° de polígonos MSAVI del bloque</t>
        </is>
      </c>
      <c r="D33" s="40" t="n">
        <v>78</v>
      </c>
      <c r="E33" s="8" t="n"/>
      <c r="F33" s="8" t="n"/>
    </row>
    <row r="34"/>
    <row r="35" ht="18" customHeight="1">
      <c r="A35" s="5" t="inlineStr">
        <is>
          <t>4. ECOSISTEMA Y ESTADO DE CONSERVACIÓN</t>
        </is>
      </c>
    </row>
    <row r="36">
      <c r="A36" s="6" t="inlineStr">
        <is>
          <t>Tipo de ecosistema (UP)</t>
        </is>
      </c>
      <c r="B36" s="7" t="inlineStr">
        <is>
          <t>Matorral Andino semiárido (adscripción PRELIMINAR)</t>
        </is>
      </c>
      <c r="C36" s="6" t="inlineStr">
        <is>
          <t>Superficie de ecosistema (ha)</t>
        </is>
      </c>
      <c r="D36" s="7" t="inlineStr">
        <is>
          <t>Por determinar (intersección con capa nacional MINAM pendiente)</t>
        </is>
      </c>
      <c r="E36" s="8" t="n"/>
      <c r="F36" s="8" t="n"/>
    </row>
    <row r="37">
      <c r="A37" s="6" t="inlineStr">
        <is>
          <t>Estado de conservación</t>
        </is>
      </c>
      <c r="B37" s="7" t="inlineStr">
        <is>
          <t>Alterado (intervención marcada)</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inlineStr">
        <is>
          <t>75 - 85 (estimación visual)</t>
        </is>
      </c>
      <c r="E38" s="8" t="n"/>
      <c r="F38" s="8" t="n"/>
    </row>
    <row r="39">
      <c r="A39" s="6" t="inlineStr">
        <is>
          <t>Suelo desnudo — campo (%)</t>
        </is>
      </c>
      <c r="B39" s="7" t="inlineStr">
        <is>
          <t>10 - 20</t>
        </is>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inlineStr">
        <is>
          <t>Sin inventario</t>
        </is>
      </c>
      <c r="E40" s="8" t="n"/>
      <c r="F40" s="8" t="n"/>
    </row>
    <row r="41">
      <c r="A41" s="6" t="inlineStr">
        <is>
          <t>Elenco florístico (n.° de taxones)</t>
        </is>
      </c>
      <c r="B41" s="7" t="n">
        <v>12</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Pedro Talledo Hernández</t>
        </is>
      </c>
      <c r="C44" s="6" t="inlineStr">
        <is>
          <t>Fecha de evaluación</t>
        </is>
      </c>
      <c r="D44" s="7" t="inlineStr">
        <is>
          <t>2026-08-21</t>
        </is>
      </c>
      <c r="E44" s="8" t="n"/>
      <c r="F44" s="8" t="n"/>
    </row>
    <row r="45">
      <c r="A45" s="6" t="inlineStr">
        <is>
          <t>Hora de registro</t>
        </is>
      </c>
      <c r="B45" s="7" t="inlineStr">
        <is>
          <t>11:50 - 12:01 h</t>
        </is>
      </c>
      <c r="C45" s="6" t="inlineStr">
        <is>
          <t>Correlativo de ficha</t>
        </is>
      </c>
      <c r="D45" s="7" t="inlineStr">
        <is>
          <t>F-DT-01-B69-2026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instalada</t>
        </is>
      </c>
      <c r="E47" s="8" t="n"/>
      <c r="F47" s="8" t="n"/>
    </row>
    <row r="48">
      <c r="A48" s="6" t="inlineStr">
        <is>
          <t>Estaciones fotográficas georreferenciadas</t>
        </is>
      </c>
      <c r="B48" s="7" t="n">
        <v>8</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Ganadería extensiva sin ordenamiento de carga ni calendario de pastoreo, sobre predios sin acuerdos de conservación</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69</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1.6675</v>
      </c>
      <c r="C10" s="19">
        <f>ROUND(B10/$B$15*100,2)</f>
        <v/>
      </c>
      <c r="D10" s="11" t="inlineStr">
        <is>
          <t>Vigor alto</t>
        </is>
      </c>
      <c r="E10" s="11" t="inlineStr">
        <is>
          <t>Sobre umbral</t>
        </is>
      </c>
    </row>
    <row r="11">
      <c r="A11" s="12" t="inlineStr">
        <is>
          <t>0.4976 - 0.6139 · DN 4</t>
        </is>
      </c>
      <c r="B11" s="20" t="n">
        <v>1.9698</v>
      </c>
      <c r="C11" s="21">
        <f>ROUND(B11/$B$15*100,2)</f>
        <v/>
      </c>
      <c r="D11" s="13" t="inlineStr">
        <is>
          <t>Vigor moderado</t>
        </is>
      </c>
      <c r="E11" s="13" t="inlineStr">
        <is>
          <t>Sobre umbral</t>
        </is>
      </c>
    </row>
    <row r="12">
      <c r="A12" s="14" t="inlineStr">
        <is>
          <t>0.3813 - 0.4976 · DN 3</t>
        </is>
      </c>
      <c r="B12" s="32" t="n">
        <v>13.3116</v>
      </c>
      <c r="C12" s="31">
        <f>ROUND(B12/$B$15*100,2)</f>
        <v/>
      </c>
      <c r="D12" s="15" t="inlineStr">
        <is>
          <t>Vigor bajo</t>
        </is>
      </c>
      <c r="E12" s="15" t="inlineStr">
        <is>
          <t>BAJO umbral 0.4976</t>
        </is>
      </c>
    </row>
    <row r="13">
      <c r="A13" s="12" t="inlineStr">
        <is>
          <t>0.2650 - 0.3813 · DN 2</t>
        </is>
      </c>
      <c r="B13" s="20" t="n">
        <v>2.4764</v>
      </c>
      <c r="C13" s="21">
        <f>ROUND(B13/$B$15*100,2)</f>
        <v/>
      </c>
      <c r="D13" s="13" t="inlineStr">
        <is>
          <t>Vigor muy bajo</t>
        </is>
      </c>
      <c r="E13" s="13"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78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19.43</v>
      </c>
      <c r="C18" s="49" t="inlineStr">
        <is>
          <t>—</t>
        </is>
      </c>
      <c r="D18" s="46" t="inlineStr">
        <is>
          <t>Desviación planimétrica frente al catálogo</t>
        </is>
      </c>
      <c r="E18" s="46" t="inlineStr">
        <is>
          <t>-0.02 %</t>
        </is>
      </c>
    </row>
    <row r="19">
      <c r="A19" s="16" t="inlineStr">
        <is>
          <t>MSAVI 2024 — MEDIA DEL BLOQUE</t>
        </is>
      </c>
      <c r="B19" s="17" t="n">
        <v>0.448926</v>
      </c>
      <c r="C19" s="17" t="inlineStr">
        <is>
          <t>—</t>
        </is>
      </c>
      <c r="D19" s="17" t="inlineStr">
        <is>
          <t>Vigor bajo · clase 0.3813 - 0.4976</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78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(0.4489)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4.4524</v>
      </c>
      <c r="C25" s="19" t="n">
        <v>22.92</v>
      </c>
      <c r="D25" s="11" t="inlineStr">
        <is>
          <t>Dosel continuo, matorral denso o mosaico agroforestal</t>
        </is>
      </c>
      <c r="E25" s="11" t="inlineStr"/>
    </row>
    <row r="26">
      <c r="A26" s="12" t="inlineStr">
        <is>
          <t>Vegetación mediana</t>
        </is>
      </c>
      <c r="B26" s="20" t="n">
        <v>14.6938</v>
      </c>
      <c r="C26" s="21" t="n">
        <v>75.63</v>
      </c>
      <c r="D26" s="13" t="inlineStr">
        <is>
          <t>Pastizal cultivado, matorral ralo, parcelas agrícolas</t>
        </is>
      </c>
      <c r="E26" s="13" t="inlineStr"/>
    </row>
    <row r="27">
      <c r="A27" s="7" t="inlineStr">
        <is>
          <t>Vegetación ligera</t>
        </is>
      </c>
      <c r="B27" s="18" t="n">
        <v>0.2818</v>
      </c>
      <c r="C27" s="19" t="n">
        <v>1.45</v>
      </c>
      <c r="D27" s="11" t="inlineStr">
        <is>
          <t>Cobertura discontinua, suelo parcialmente expuesto</t>
        </is>
      </c>
      <c r="E27" s="11" t="inlineStr"/>
    </row>
    <row r="28">
      <c r="A28" s="16" t="inlineStr">
        <is>
          <t>TOTAL CLASIFICADO</t>
        </is>
      </c>
      <c r="B28" s="22">
        <f>SUM(B25:B27)</f>
        <v/>
      </c>
      <c r="C28" s="23">
        <f>SUM(C25:C27)</f>
        <v/>
      </c>
      <c r="D28" s="17" t="inlineStr"/>
      <c r="E28" s="17" t="inlineStr"/>
    </row>
    <row r="29">
      <c r="A29" s="24" t="inlineStr">
        <is>
          <t>Superficie de catálogo (V5/V6)</t>
        </is>
      </c>
      <c r="B29" s="25" t="n">
        <v>19.43</v>
      </c>
      <c r="C29" s="25" t="inlineStr">
        <is>
          <t>—</t>
        </is>
      </c>
      <c r="D29" s="25" t="inlineStr">
        <is>
          <t>Desviación planimétrica frente al catálogo</t>
        </is>
      </c>
      <c r="E29" s="25" t="inlineStr">
        <is>
          <t>-0.01 %</t>
        </is>
      </c>
    </row>
    <row r="31" ht="72"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1" s="41" t="n"/>
      <c r="C31" s="41" t="n"/>
      <c r="D31" s="41" t="n"/>
      <c r="E31" s="42" t="n"/>
    </row>
  </sheetData>
  <mergeCells count="10">
    <mergeCell ref="A21:E21"/>
    <mergeCell ref="A4:E4"/>
    <mergeCell ref="A2:E2"/>
    <mergeCell ref="A5:E5"/>
    <mergeCell ref="A1:E1"/>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69</t>
        </is>
      </c>
    </row>
    <row r="6" ht="24" customHeight="1">
      <c r="A6" s="4" t="inlineStr">
        <is>
          <t>Levantamiento del 2026-08-21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663291</v>
      </c>
      <c r="D10" s="26" t="n">
        <v>9392332</v>
      </c>
      <c r="E10" s="11" t="n">
        <v>0</v>
      </c>
      <c r="F10" s="11" t="inlineStr"/>
      <c r="G10" s="11" t="inlineStr">
        <is>
          <t>Coordenada consignada en F-DT-01</t>
        </is>
      </c>
    </row>
    <row r="11">
      <c r="A11" s="12" t="inlineStr">
        <is>
          <t>H-01</t>
        </is>
      </c>
      <c r="B11" s="13" t="inlineStr">
        <is>
          <t>Fuente de agua — Quebrada estacional</t>
        </is>
      </c>
      <c r="C11" s="27" t="n">
        <v>663129</v>
      </c>
      <c r="D11" s="27" t="n">
        <v>9392553</v>
      </c>
      <c r="E11" s="13" t="n">
        <v>274</v>
      </c>
      <c r="F11" s="13" t="inlineStr">
        <is>
          <t>Estacional</t>
        </is>
      </c>
      <c r="G11" s="13" t="inlineStr">
        <is>
          <t>Vaguada al norte del bloque</t>
        </is>
      </c>
    </row>
    <row r="12">
      <c r="A12" s="7" t="inlineStr">
        <is>
          <t>H-02</t>
        </is>
      </c>
      <c r="B12" s="11" t="inlineStr">
        <is>
          <t>Fuente de agua — Otro (tubería de conducción)</t>
        </is>
      </c>
      <c r="C12" s="26" t="n">
        <v>663129</v>
      </c>
      <c r="D12" s="26" t="n">
        <v>9392553</v>
      </c>
      <c r="E12" s="11" t="n">
        <v>274</v>
      </c>
      <c r="F12" s="11" t="inlineStr">
        <is>
          <t>Permanente</t>
        </is>
      </c>
      <c r="G12" s="11" t="inlineStr">
        <is>
          <t>Tubería de conducción</t>
        </is>
      </c>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663291</v>
      </c>
      <c r="C15" s="6" t="inlineStr">
        <is>
          <t>Centroide del bloque — UTM NORTE (m)</t>
        </is>
      </c>
      <c r="D15" s="7" t="n">
        <v>9392332</v>
      </c>
      <c r="E15" s="8" t="n"/>
      <c r="F15" s="8" t="n"/>
      <c r="G15" s="8" t="n"/>
      <c r="H15" s="8" t="n"/>
    </row>
    <row r="16">
      <c r="A16" s="6" t="inlineStr">
        <is>
          <t>N.° de estaciones fotográficas declaradas</t>
        </is>
      </c>
      <c r="B16" s="7" t="n">
        <v>8</v>
      </c>
      <c r="C16" s="6" t="inlineStr">
        <is>
          <t>Estaciones dentro del polígono</t>
        </is>
      </c>
      <c r="D16" s="7" t="n">
        <v>0</v>
      </c>
      <c r="E16" s="8" t="n"/>
      <c r="F16" s="8" t="n"/>
      <c r="G16" s="8" t="n"/>
      <c r="H16" s="8" t="n"/>
    </row>
    <row r="18" ht="132"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Pendiente promedio zonal 27.95% ≈ 15.62°. Centroide oficial (Bloques V4) 663 291 E · 9 392 332 N; centroide planimétrico 663 263 E · 9 392 365 N (Δ ≈ 43 m). Superficie planimétrica ≈18.036 ha frente a 19.428 ha (−7.2%). ADVERTENCIA: NINGUNA DE LAS OCHO ESTACIONES ROTULADAS «BLOQUE 69» CAYÓ DENTRO DEL POLÍGONO; las distancias van de 72 a 220 m. La caracterización fisiográfica procede de gabinete y del contexto observado en el corredor vial; EL INTERIOR DEL BLOQUE NO FUE VERIFICADO. Escarpes y desprendimientos registrados en los taludes de corte y en la vaguada del norte (E-03, E-08).</t>
        </is>
      </c>
      <c r="B18" s="41" t="n"/>
      <c r="C18" s="41" t="n"/>
      <c r="D18" s="41" t="n"/>
      <c r="E18" s="41" t="n"/>
      <c r="F18" s="41" t="n"/>
      <c r="G18" s="42" t="n"/>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C1076-Q9592 — BLOQUE 69</t>
        </is>
      </c>
    </row>
    <row r="6" ht="24" customHeight="1">
      <c r="A6" s="4" t="inlineStr">
        <is>
          <t>Distrito de Huarmaca · Provincia de Huancabamba · Comparación de los bloques preliminares de intervención de la misma microcuenca</t>
        </is>
      </c>
    </row>
    <row r="8" ht="18" customHeight="1">
      <c r="A8" s="5" t="inlineStr">
        <is>
          <t>BLOQUES DE LA MICROCUENCA C1076-Q9592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18</t>
        </is>
      </c>
      <c r="B10" s="28" t="n">
        <v>103.62</v>
      </c>
      <c r="C10" s="19" t="n">
        <v>21.54</v>
      </c>
      <c r="D10" s="11" t="inlineStr">
        <is>
          <t>1218 – 1904</t>
        </is>
      </c>
      <c r="E10" s="11" t="n">
        <v>686</v>
      </c>
      <c r="F10" s="11" t="n">
        <v>28.7</v>
      </c>
      <c r="G10" s="18" t="n">
        <v>0.6402</v>
      </c>
      <c r="H10" s="19" t="n">
        <v>96.64</v>
      </c>
      <c r="I10" s="19" t="n">
        <v>3</v>
      </c>
    </row>
    <row r="11">
      <c r="A11" s="12" t="inlineStr">
        <is>
          <t>19</t>
        </is>
      </c>
      <c r="B11" s="29" t="n">
        <v>82.09</v>
      </c>
      <c r="C11" s="21" t="n">
        <v>17.06</v>
      </c>
      <c r="D11" s="13" t="inlineStr">
        <is>
          <t>2064 – 2503</t>
        </is>
      </c>
      <c r="E11" s="13" t="n">
        <v>439</v>
      </c>
      <c r="F11" s="13" t="n">
        <v>31.01</v>
      </c>
      <c r="G11" s="20" t="n">
        <v>0.5372</v>
      </c>
      <c r="H11" s="21" t="n">
        <v>60.33</v>
      </c>
      <c r="I11" s="21" t="n">
        <v>42.63</v>
      </c>
    </row>
    <row r="12">
      <c r="A12" s="7" t="inlineStr">
        <is>
          <t>41</t>
        </is>
      </c>
      <c r="B12" s="28" t="n">
        <v>64.92</v>
      </c>
      <c r="C12" s="19" t="n">
        <v>13.49</v>
      </c>
      <c r="D12" s="11" t="inlineStr">
        <is>
          <t>1536 – 1818</t>
        </is>
      </c>
      <c r="E12" s="11" t="n">
        <v>282</v>
      </c>
      <c r="F12" s="11" t="n">
        <v>25.53</v>
      </c>
      <c r="G12" s="18" t="n">
        <v>0.5927</v>
      </c>
      <c r="H12" s="19" t="n">
        <v>98.02</v>
      </c>
      <c r="I12" s="19" t="n">
        <v>12.26</v>
      </c>
    </row>
    <row r="13">
      <c r="A13" s="12" t="inlineStr">
        <is>
          <t>73</t>
        </is>
      </c>
      <c r="B13" s="29" t="n">
        <v>54.29</v>
      </c>
      <c r="C13" s="21" t="n">
        <v>11.28</v>
      </c>
      <c r="D13" s="13" t="inlineStr">
        <is>
          <t>1845 – 2305</t>
        </is>
      </c>
      <c r="E13" s="13" t="n">
        <v>460</v>
      </c>
      <c r="F13" s="13" t="n">
        <v>36.34</v>
      </c>
      <c r="G13" s="20" t="n">
        <v>0.555</v>
      </c>
      <c r="H13" s="21" t="n">
        <v>88.8</v>
      </c>
      <c r="I13" s="21" t="n">
        <v>18.94</v>
      </c>
    </row>
    <row r="14">
      <c r="A14" s="7" t="inlineStr">
        <is>
          <t>31</t>
        </is>
      </c>
      <c r="B14" s="28" t="n">
        <v>47.58</v>
      </c>
      <c r="C14" s="19" t="n">
        <v>9.890000000000001</v>
      </c>
      <c r="D14" s="11" t="inlineStr">
        <is>
          <t>1741 – 2234</t>
        </is>
      </c>
      <c r="E14" s="11" t="n">
        <v>493</v>
      </c>
      <c r="F14" s="11" t="n">
        <v>27.08</v>
      </c>
      <c r="G14" s="18" t="n">
        <v>0.4358</v>
      </c>
      <c r="H14" s="19" t="n">
        <v>18.56</v>
      </c>
      <c r="I14" s="19" t="n">
        <v>78.42</v>
      </c>
    </row>
    <row r="15">
      <c r="A15" s="12" t="inlineStr">
        <is>
          <t>29</t>
        </is>
      </c>
      <c r="B15" s="29" t="n">
        <v>40.1</v>
      </c>
      <c r="C15" s="21" t="n">
        <v>8.33</v>
      </c>
      <c r="D15" s="13" t="inlineStr">
        <is>
          <t>2142 – 2391</t>
        </is>
      </c>
      <c r="E15" s="13" t="n">
        <v>249</v>
      </c>
      <c r="F15" s="13" t="n">
        <v>31.54</v>
      </c>
      <c r="G15" s="20" t="n">
        <v>0.5482</v>
      </c>
      <c r="H15" s="21" t="inlineStr">
        <is>
          <t>Por determinar</t>
        </is>
      </c>
      <c r="I15" s="13" t="inlineStr">
        <is>
          <t>s/d</t>
        </is>
      </c>
    </row>
    <row r="16">
      <c r="A16" s="7" t="inlineStr">
        <is>
          <t>70</t>
        </is>
      </c>
      <c r="B16" s="28" t="n">
        <v>22.39</v>
      </c>
      <c r="C16" s="19" t="n">
        <v>4.65</v>
      </c>
      <c r="D16" s="11" t="inlineStr">
        <is>
          <t>2326 – 2536</t>
        </is>
      </c>
      <c r="E16" s="11" t="n">
        <v>210</v>
      </c>
      <c r="F16" s="11" t="n">
        <v>23.2</v>
      </c>
      <c r="G16" s="18" t="n">
        <v>0.6223</v>
      </c>
      <c r="H16" s="19" t="n">
        <v>98.39</v>
      </c>
      <c r="I16" s="19" t="n">
        <v>4.87</v>
      </c>
    </row>
    <row r="17">
      <c r="A17" s="12" t="inlineStr">
        <is>
          <t>68</t>
        </is>
      </c>
      <c r="B17" s="29" t="n">
        <v>21.29</v>
      </c>
      <c r="C17" s="21" t="n">
        <v>4.42</v>
      </c>
      <c r="D17" s="13" t="inlineStr">
        <is>
          <t>2086 – 2374</t>
        </is>
      </c>
      <c r="E17" s="13" t="n">
        <v>288</v>
      </c>
      <c r="F17" s="13" t="n">
        <v>36.81</v>
      </c>
      <c r="G17" s="20" t="n">
        <v>0.483</v>
      </c>
      <c r="H17" s="21" t="inlineStr">
        <is>
          <t>Por determinar</t>
        </is>
      </c>
      <c r="I17" s="13" t="inlineStr">
        <is>
          <t>s/d</t>
        </is>
      </c>
    </row>
    <row r="18">
      <c r="A18" s="14" t="inlineStr">
        <is>
          <t>► 69</t>
        </is>
      </c>
      <c r="B18" s="30" t="n">
        <v>19.43</v>
      </c>
      <c r="C18" s="31" t="n">
        <v>4.04</v>
      </c>
      <c r="D18" s="15" t="inlineStr">
        <is>
          <t>1931 – 2205</t>
        </is>
      </c>
      <c r="E18" s="15" t="n">
        <v>274</v>
      </c>
      <c r="F18" s="15" t="n">
        <v>27.95</v>
      </c>
      <c r="G18" s="32" t="n">
        <v>0.4489</v>
      </c>
      <c r="H18" s="31" t="n">
        <v>22.92</v>
      </c>
      <c r="I18" s="31" t="n">
        <v>81.28</v>
      </c>
    </row>
    <row r="19">
      <c r="A19" s="12" t="inlineStr">
        <is>
          <t>53</t>
        </is>
      </c>
      <c r="B19" s="29" t="n">
        <v>13.06</v>
      </c>
      <c r="C19" s="21" t="n">
        <v>2.71</v>
      </c>
      <c r="D19" s="13" t="inlineStr">
        <is>
          <t>2235 – 2540</t>
        </is>
      </c>
      <c r="E19" s="13" t="n">
        <v>305</v>
      </c>
      <c r="F19" s="13" t="n">
        <v>26.89</v>
      </c>
      <c r="G19" s="20" t="n">
        <v>0.5963000000000001</v>
      </c>
      <c r="H19" s="21" t="n">
        <v>86.15000000000001</v>
      </c>
      <c r="I19" s="21" t="n">
        <v>12.45</v>
      </c>
    </row>
    <row r="20">
      <c r="A20" s="7" t="inlineStr">
        <is>
          <t>72</t>
        </is>
      </c>
      <c r="B20" s="28" t="n">
        <v>12.4</v>
      </c>
      <c r="C20" s="19" t="n">
        <v>2.58</v>
      </c>
      <c r="D20" s="11" t="inlineStr">
        <is>
          <t>1538 – 1742</t>
        </is>
      </c>
      <c r="E20" s="11" t="n">
        <v>204</v>
      </c>
      <c r="F20" s="11" t="n">
        <v>28.25</v>
      </c>
      <c r="G20" s="18" t="n">
        <v>0.5185</v>
      </c>
      <c r="H20" s="19" t="n">
        <v>92.44</v>
      </c>
      <c r="I20" s="19" t="n">
        <v>41.35</v>
      </c>
    </row>
    <row r="21">
      <c r="A21" s="16" t="inlineStr">
        <is>
          <t>TOTAL / PROMEDIO</t>
        </is>
      </c>
      <c r="B21" s="33">
        <f>SUM(B10:B20)</f>
        <v/>
      </c>
      <c r="C21" s="23">
        <f>SUM(C10:C20)</f>
        <v/>
      </c>
      <c r="D21" s="17" t="inlineStr">
        <is>
          <t>1218 – 2540</t>
        </is>
      </c>
      <c r="E21" s="17" t="inlineStr"/>
      <c r="F21" s="17">
        <f>ROUND(AVERAGE(F10:F20),2)</f>
        <v/>
      </c>
      <c r="G21" s="22">
        <f>ROUND(AVERAGE(G10:G20),4)</f>
        <v/>
      </c>
      <c r="H21" s="23">
        <f>ROUND(AVERAGE(H10:H20),2)</f>
        <v/>
      </c>
      <c r="I21" s="23">
        <f>ROUND(AVERAGE(I10:I20),2)</f>
        <v/>
      </c>
    </row>
    <row r="22" ht="48" customHeight="1">
      <c r="A22" s="9" t="inlineStr">
        <is>
          <t>ALCANCE DE LOS PROMEDIOS. La fila TOTAL / PROMEDIO omite las celdas «Por determinar»: el promedio de VEGETACIÓN ALTA (NDVI 2025) se calcula sobre 9 de los 11 bloques; los 2 bloques restantes carecen de estadística zonal de NDVI. Los totales de ÁREA y % de microcuenca sí comprenden la totalidad de los 11 bloques. No se estima ningún valor ausente.</t>
        </is>
      </c>
      <c r="B22" s="41" t="n"/>
      <c r="C22" s="41" t="n"/>
      <c r="D22" s="41" t="n"/>
      <c r="E22" s="41" t="n"/>
      <c r="F22" s="41" t="n"/>
      <c r="G22" s="41" t="n"/>
      <c r="H22" s="41" t="n"/>
      <c r="I22" s="42" t="n"/>
    </row>
    <row r="24" ht="84" customHeight="1">
      <c r="A24" s="9" t="inlineStr">
        <is>
          <t>LECTURA INTRAMICROCUENCA. El bloque 69 ocupa el puesto 9 de 11 por superficie dentro de la microcuenca C1076-Q9592 (4.04 % de las 481.17 ha preliminares de la microcuenca). Su pendiente promedio (27.95 %, clase «25-50% (Mod. escarpado)») es la 5.ª más baja de 11 y se sitúa por debajo del promedio de la microcuenca (29.39 %). Su MSAVI 2024 (0.4489) es el 10.º de 11 y queda por debajo del promedio local (0.5435). Amplitud altitudinal del bloque: 274 m (1931–2205 msnm). El cuadro conserva todos los bloques catalogados en la microcuenca, incluidos los descartados en el tamizaje, para referencia del conjunto. Los bloques sin ficha DT figuran con sus parámetros de gabinete. BRECHA ESPECTRAL. El 81.28 % de la superficie del bloque (15.788 ha de 19.425 ha) se sitúa bajo el umbral MSAVI 0.4976, por encima del promedio local de la microcuenca (32.80 %) calculado sobre los bloques con dato MSAVI disponible.</t>
        </is>
      </c>
      <c r="B24" s="41" t="n"/>
      <c r="C24" s="41" t="n"/>
      <c r="D24" s="41" t="n"/>
      <c r="E24" s="41" t="n"/>
      <c r="F24" s="41" t="n"/>
      <c r="G24" s="41" t="n"/>
      <c r="H24" s="41" t="n"/>
      <c r="I24" s="42" t="n"/>
    </row>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6" s="41" t="n"/>
      <c r="C26" s="41" t="n"/>
      <c r="D26" s="41" t="n"/>
      <c r="E26" s="41" t="n"/>
      <c r="F26" s="41" t="n"/>
      <c r="G26" s="41" t="n"/>
      <c r="H26" s="41" t="n"/>
      <c r="I26" s="42" t="n"/>
    </row>
  </sheetData>
  <mergeCells count="10">
    <mergeCell ref="A2:I2"/>
    <mergeCell ref="A5:I5"/>
    <mergeCell ref="A1:I1"/>
    <mergeCell ref="A8:I8"/>
    <mergeCell ref="A3:I3"/>
    <mergeCell ref="A6:I6"/>
    <mergeCell ref="A22:I22"/>
    <mergeCell ref="A4:I4"/>
    <mergeCell ref="A26:I26"/>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4"/>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CONTROL DE CONSISTENCIA — BLOQUE 69</t>
        </is>
      </c>
    </row>
    <row r="6">
      <c r="A6" s="51" t="inlineStr">
        <is>
          <t>Cruce de la ficha de campo F-DT vigente con la ficha de resumen de gabinete y el catálogo maestro. Integración 2026-09-11 21:26:29.</t>
        </is>
      </c>
    </row>
    <row r="7">
      <c r="A7" s="53" t="inlineStr">
        <is>
          <t>DISCREPANCIAS Y VERIFICACIONES</t>
        </is>
      </c>
    </row>
    <row r="8">
      <c r="A8" s="54" t="inlineStr">
        <is>
          <t>Cod.</t>
        </is>
      </c>
      <c r="B8" s="54" t="inlineStr">
        <is>
          <t>Campo afectado</t>
        </is>
      </c>
      <c r="C8" s="54" t="inlineStr">
        <is>
          <t>Discrepancia observada</t>
        </is>
      </c>
      <c r="D8" s="54" t="inlineStr">
        <is>
          <t>Calificación</t>
        </is>
      </c>
      <c r="E8" s="54" t="inlineStr">
        <is>
          <t>Tratamiento adoptado</t>
        </is>
      </c>
    </row>
    <row r="9">
      <c r="A9" s="55" t="inlineStr">
        <is>
          <t>G-01</t>
        </is>
      </c>
      <c r="B9" s="55" t="inlineStr">
        <is>
          <t>Código de microcuenca</t>
        </is>
      </c>
      <c r="C9" s="55" t="inlineStr">
        <is>
          <t>Ficha DT y catálogo maestro coinciden en «C1076-Q9592».</t>
        </is>
      </c>
      <c r="D9" s="55" t="inlineStr">
        <is>
          <t>CONFORME</t>
        </is>
      </c>
      <c r="E9" s="55" t="inlineStr">
        <is>
          <t>Sin acción.</t>
        </is>
      </c>
    </row>
    <row r="10">
      <c r="A10" s="56" t="inlineStr">
        <is>
          <t>G-02</t>
        </is>
      </c>
      <c r="B10" s="56" t="inlineStr">
        <is>
          <t>UTM del punto de muestreo</t>
        </is>
      </c>
      <c r="C10" s="56" t="inlineStr">
        <is>
          <t>El punto de muestreo declarado dista 0.0 m del centroide, dentro del radio de control.</t>
        </is>
      </c>
      <c r="D10" s="56" t="inlineStr">
        <is>
          <t>CONFORME</t>
        </is>
      </c>
      <c r="E10" s="56" t="inlineStr">
        <is>
          <t>Sin acción.</t>
        </is>
      </c>
    </row>
    <row r="11">
      <c r="A11" s="55" t="inlineStr">
        <is>
          <t>G-03</t>
        </is>
      </c>
      <c r="B11" s="55" t="inlineStr">
        <is>
          <t>Sistema de referencia UTM 17S</t>
        </is>
      </c>
      <c r="C11" s="55" t="inlineStr">
        <is>
          <t>Verificación de rango para EPSG:32717: Conforme.</t>
        </is>
      </c>
      <c r="D11" s="55" t="inlineStr">
        <is>
          <t>CONFORME</t>
        </is>
      </c>
      <c r="E11" s="55" t="inlineStr">
        <is>
          <t>Sin acción.</t>
        </is>
      </c>
    </row>
    <row r="12">
      <c r="A12" s="56" t="inlineStr">
        <is>
          <t>G-04</t>
        </is>
      </c>
      <c r="B12" s="56" t="inlineStr">
        <is>
          <t>Altitud del punto de muestreo</t>
        </is>
      </c>
      <c r="C12" s="56" t="inlineStr">
        <is>
          <t>No es posible contrastar la altitud GPS con el rango altitudinal del bloque: falta uno de los dos datos.</t>
        </is>
      </c>
      <c r="D12" s="56" t="inlineStr">
        <is>
          <t>NO SUSTANTIVA</t>
        </is>
      </c>
      <c r="E12" s="56" t="inlineStr">
        <is>
          <t>Se completa con la lectura GPS de F-DT-01 o con la estadística zonal del MDE.</t>
        </is>
      </c>
    </row>
    <row r="13">
      <c r="A13" s="55" t="inlineStr">
        <is>
          <t>G-05</t>
        </is>
      </c>
      <c r="B13" s="55" t="inlineStr">
        <is>
          <t>Superficie NDVI vs. catálogo</t>
        </is>
      </c>
      <c r="C13" s="55" t="inlineStr">
        <is>
          <t>La superficie clasificada por el NDVI mediana 2025 (19.428 ha) se desvía -0.01 % de la superficie de catálogo (19.43 ha).</t>
        </is>
      </c>
      <c r="D13" s="55" t="inlineStr">
        <is>
          <t>CONFORME</t>
        </is>
      </c>
      <c r="E13" s="55" t="inlineStr">
        <is>
          <t>Sin acción: la segmentación valida la geometría del bloque.</t>
        </is>
      </c>
    </row>
    <row r="14">
      <c r="A14" s="56" t="inlineStr">
        <is>
          <t>G-06</t>
        </is>
      </c>
      <c r="B14" s="56" t="inlineStr">
        <is>
          <t>Superficie MSAVI vs. catálogo</t>
        </is>
      </c>
      <c r="C14" s="56" t="inlineStr">
        <is>
          <t>La superficie clasificada por el MSAVI 2024 (19.425 ha) se desvía -0.03 % de la superficie de catálogo (19.43 ha).</t>
        </is>
      </c>
      <c r="D14" s="56" t="inlineStr">
        <is>
          <t>CONFORME</t>
        </is>
      </c>
      <c r="E14" s="56" t="inlineStr">
        <is>
          <t>Sin acción: la segmentación valida la geometría del bloque.</t>
        </is>
      </c>
    </row>
    <row r="15">
      <c r="A15" s="55" t="inlineStr">
        <is>
          <t>G-07</t>
        </is>
      </c>
      <c r="B15" s="55" t="inlineStr">
        <is>
          <t>Brecha espectral MSAVI</t>
        </is>
      </c>
      <c r="C15" s="55" t="inlineStr">
        <is>
          <t>El 81.28 % del bloque queda bajo el umbral 0.4976; superficie de brecha 15.79 ha.</t>
        </is>
      </c>
      <c r="D15" s="55" t="inlineStr">
        <is>
          <t>CONFORME</t>
        </is>
      </c>
      <c r="E15" s="55" t="inlineStr">
        <is>
          <t>Sin acción: alimenta el indicador de brecha del proyecto.</t>
        </is>
      </c>
    </row>
    <row r="16">
      <c r="A16" s="56" t="inlineStr">
        <is>
          <t>G-08</t>
        </is>
      </c>
      <c r="B16" s="56" t="inlineStr">
        <is>
          <t>Distribución areal MSAVI 2024</t>
        </is>
      </c>
      <c r="C16" s="56" t="inlineStr">
        <is>
          <t>La hoja de cobertura declara 5 clases DN con superficie, 19.43 ha clasificadas en total.</t>
        </is>
      </c>
      <c r="D16" s="56" t="inlineStr">
        <is>
          <t>CONFORME</t>
        </is>
      </c>
      <c r="E16" s="56" t="inlineStr">
        <is>
          <t>Sin acción: procede de la estadística zonal del raster MSAVI 2024 clasificado.</t>
        </is>
      </c>
    </row>
    <row r="17">
      <c r="A17" s="55" t="inlineStr">
        <is>
          <t>G-09</t>
        </is>
      </c>
      <c r="B17" s="55" t="inlineStr">
        <is>
          <t>Media MSAVI vs. clase DN dominante</t>
        </is>
      </c>
      <c r="C17" s="55" t="inlineStr">
        <is>
          <t>La media del bloque (0.4489) cae en la clase «0.3813 - 0.4976 (Vigor bajo)» y la clase DN dominante por superficie es «DN 3 · 0.3813 - 0.4976 (Vigor bajo)».</t>
        </is>
      </c>
      <c r="D17" s="55" t="inlineStr">
        <is>
          <t>CONFORME</t>
        </is>
      </c>
      <c r="E17" s="55" t="inlineStr">
        <is>
          <t>Sin acción: media y clase dominante son coherentes.</t>
        </is>
      </c>
    </row>
    <row r="18">
      <c r="A18" s="56" t="inlineStr">
        <is>
          <t>G-10</t>
        </is>
      </c>
      <c r="B18" s="56" t="inlineStr">
        <is>
          <t>Peligro integrado (MCA-AHP)</t>
        </is>
      </c>
      <c r="C18" s="56" t="inlineStr">
        <is>
          <t>El nivel de peligro integrado no está disponible en los insumos de este entregable.</t>
        </is>
      </c>
      <c r="D18" s="56" t="inlineStr">
        <is>
          <t>SUSTANTIVA</t>
        </is>
      </c>
      <c r="E18" s="56" t="inlineStr">
        <is>
          <t>Debe tomarse del modelamiento de mesolocalización (MCA-AHP de PMM, EPH y PGI) antes de cerrar el perfil.</t>
        </is>
      </c>
    </row>
    <row r="19">
      <c r="A19" s="55" t="inlineStr">
        <is>
          <t>F-01</t>
        </is>
      </c>
      <c r="B19" s="55" t="inlineStr">
        <is>
          <t>Fichas F-DT levantadas</t>
        </is>
      </c>
      <c r="C19" s="55" t="inlineStr">
        <is>
          <t>La plantilla de campo trae las cinco fichas F-DT-01 a F-DT-05 (completitud 100.0 % de los campos esperados).</t>
        </is>
      </c>
      <c r="D19" s="55" t="inlineStr">
        <is>
          <t>CONFORME</t>
        </is>
      </c>
      <c r="E19" s="55" t="inlineStr">
        <is>
          <t>Sin acción.</t>
        </is>
      </c>
    </row>
    <row r="20">
      <c r="A20" s="56" t="inlineStr">
        <is>
          <t>F-02</t>
        </is>
      </c>
      <c r="B20" s="56" t="inlineStr">
        <is>
          <t>Cobertura de la integración</t>
        </is>
      </c>
      <c r="C20" s="56" t="inlineStr">
        <is>
          <t>Se declararon 104 de 114 hechos integrados (91.2 %); 10 quedan sin dato en ninguna fuente.</t>
        </is>
      </c>
      <c r="D20" s="56" t="inlineStr">
        <is>
          <t>CONFORME</t>
        </is>
      </c>
      <c r="E20" s="56" t="inlineStr">
        <is>
          <t>Sin acción.</t>
        </is>
      </c>
    </row>
    <row r="21">
      <c r="A21" s="55" t="inlineStr">
        <is>
          <t>H-01</t>
        </is>
      </c>
      <c r="B21" s="55" t="inlineStr">
        <is>
          <t>Inventario georreferenciado de cárcavas</t>
        </is>
      </c>
      <c r="C21" s="55" t="inlineStr">
        <is>
          <t>El inventario de cárcavas no fue ejecutado o no consta en la ficha DT</t>
        </is>
      </c>
      <c r="D21" s="55" t="inlineStr">
        <is>
          <t>SUSTANTIVA</t>
        </is>
      </c>
      <c r="E21" s="55" t="inlineStr">
        <is>
          <t>La ausencia de registros NO equivale a ausencia verificada de cárcavas. Queda pendiente el levantamiento instrumental a cargo del especialista de Infraestructura Marrón antes de fijar metas físicas de infraestructura gris. (Verificación heredada de la ficha de resumen V6.)</t>
        </is>
      </c>
    </row>
    <row r="22">
      <c r="A22" s="56" t="inlineStr">
        <is>
          <t>H-02</t>
        </is>
      </c>
      <c r="B22" s="56" t="inlineStr">
        <is>
          <t>Elenco florístico</t>
        </is>
      </c>
      <c r="C22" s="56" t="inlineStr">
        <is>
          <t>La ficha registra 12 taxones, por debajo del mínimo de 15 que exige el formato V5</t>
        </is>
      </c>
      <c r="D22" s="56" t="inlineStr">
        <is>
          <t>SUSTANTIVA</t>
        </is>
      </c>
      <c r="E22" s="56" t="inlineStr">
        <is>
          <t>Registro florístico preliminar, sin colecta ni determinación botánica formal. Debe cerrarse con colecta botánica en la siguiente campaña. (Verificación heredada de la ficha de resumen V6.)</t>
        </is>
      </c>
    </row>
    <row r="23">
      <c r="A23" s="55" t="inlineStr">
        <is>
          <t>H-03</t>
        </is>
      </c>
      <c r="B23" s="55" t="inlineStr">
        <is>
          <t>Representatividad del levantamiento</t>
        </is>
      </c>
      <c r="C23" s="55" t="inlineStr">
        <is>
          <t>Ninguna de las estaciones fotográficas georreferenciadas se localiza dentro del polígono del bloque</t>
        </is>
      </c>
      <c r="D23" s="55" t="inlineStr">
        <is>
          <t>SUSTANTIVA</t>
        </is>
      </c>
      <c r="E23" s="55" t="inlineStr">
        <is>
          <t>La verificación documenta el perímetro y la vista panorámica del bloque, no su interior. Los parámetros que exigen recorrido interno se consignan «Por determinar». (Verificación heredada de la ficha de resumen V6.)</t>
        </is>
      </c>
    </row>
    <row r="24">
      <c r="A24" s="56" t="inlineStr">
        <is>
          <t>H-04</t>
        </is>
      </c>
      <c r="B24" s="56" t="inlineStr">
        <is>
          <t>Centro poblado asociado</t>
        </is>
      </c>
      <c r="C24" s="56" t="inlineStr">
        <is>
          <t>La ficha DT declara «Molle y Hualanga Pampa (base logística natural: C.P. Laguna Grande)»; el cruce INEI-Bloques V5 identifica 2 centro(s) poblado(s) en el bloque: HUALANGA PAMPA, MOLLE</t>
        </is>
      </c>
      <c r="D24" s="56" t="inlineStr">
        <is>
          <t>CONFORME</t>
        </is>
      </c>
      <c r="E24" s="56" t="inlineStr">
        <is>
          <t>Se conserva el registro de campo como referencia y se adopta el listado INEI para el diagnóstico social y el cálculo de población beneficiaria. (Verificación heredada de la ficha de resumen V6.)</t>
        </is>
      </c>
    </row>
    <row r="25">
      <c r="A25" s="55" t="inlineStr">
        <is>
          <t>H-05</t>
        </is>
      </c>
      <c r="B25" s="55" t="inlineStr">
        <is>
          <t>Ficha DT</t>
        </is>
      </c>
      <c r="C25" s="55" t="inlineStr">
        <is>
          <t>La ficha consigna microcuenca C1076-Q9584; el catálogo maestro asigna al bloque 69 la microcuenca C1076-Q9592</t>
        </is>
      </c>
      <c r="D25" s="55" t="inlineStr">
        <is>
          <t>SUSTANTIVA</t>
        </is>
      </c>
      <c r="E25" s="55" t="inlineStr">
        <is>
          <t>Valor por defecto de la plantilla; se conserva el del catálogo (Verificación heredada de la ficha de resumen V6.)</t>
        </is>
      </c>
    </row>
    <row r="26">
      <c r="A26" s="56" t="inlineStr">
        <is>
          <t>H-06</t>
        </is>
      </c>
      <c r="B26" s="56" t="inlineStr">
        <is>
          <t>F-DT-01</t>
        </is>
      </c>
      <c r="C26" s="56" t="inlineStr">
        <is>
          <t>NINGUNA de las 8 estaciones rotuladas «Bloque 69» cayó dentro del polígono (72 a 220 m de distancia)</t>
        </is>
      </c>
      <c r="D26" s="56" t="inlineStr">
        <is>
          <t>SUSTANTIVA</t>
        </is>
      </c>
      <c r="E26" s="56" t="inlineStr">
        <is>
          <t>El interior del bloque no fue verificado (Verificación heredada de la ficha de resumen V6.)</t>
        </is>
      </c>
    </row>
    <row r="27">
      <c r="A27" s="55" t="inlineStr">
        <is>
          <t>H-07</t>
        </is>
      </c>
      <c r="B27" s="55" t="inlineStr">
        <is>
          <t>F-DT-02</t>
        </is>
      </c>
      <c r="C27" s="55" t="inlineStr">
        <is>
          <t>Inventario georreferenciado de cárcavas no ejecutado; el valor de «erosión laminar» consigna en realidad la superficie bajo umbral MSAVI</t>
        </is>
      </c>
      <c r="D27" s="55" t="inlineStr">
        <is>
          <t>SUSTANTIVA</t>
        </is>
      </c>
      <c r="E27" s="55" t="inlineStr">
        <is>
          <t>No confundir superficie bajo umbral MSAVI con erosión laminar medida (Verificación heredada de la ficha de resumen V6.)</t>
        </is>
      </c>
    </row>
    <row r="28">
      <c r="A28" s="56" t="inlineStr">
        <is>
          <t>H-08</t>
        </is>
      </c>
      <c r="B28" s="56" t="inlineStr">
        <is>
          <t>F-DT-03</t>
        </is>
      </c>
      <c r="C28" s="56" t="inlineStr">
        <is>
          <t>6 de los 12 taxones carecen de género; ninguno con confirmación taxonómica</t>
        </is>
      </c>
      <c r="D28" s="56" t="inlineStr">
        <is>
          <t>SUSTANTIVA</t>
        </is>
      </c>
      <c r="E28" s="56" t="inlineStr">
        <is>
          <t>Colecta y determinación botánica pendientes (Verificación heredada de la ficha de resumen V6.)</t>
        </is>
      </c>
    </row>
    <row r="29">
      <c r="A29" s="55" t="inlineStr">
        <is>
          <t>H-09</t>
        </is>
      </c>
      <c r="B29" s="55" t="inlineStr">
        <is>
          <t>F-DT-04</t>
        </is>
      </c>
      <c r="C29" s="55" t="inlineStr">
        <is>
          <t>Carga ganadera, densidad de cárcavas y frecuencia de quemas sin cuantificar</t>
        </is>
      </c>
      <c r="D29" s="55" t="inlineStr">
        <is>
          <t>SUSTANTIVA</t>
        </is>
      </c>
      <c r="E29" s="55" t="inlineStr">
        <is>
          <t>Vacíos de información de prioridad alta (Verificación heredada de la ficha de resumen V6.)</t>
        </is>
      </c>
    </row>
    <row r="30">
      <c r="A30" s="56" t="inlineStr">
        <is>
          <t>H-10</t>
        </is>
      </c>
      <c r="B30" s="56" t="inlineStr">
        <is>
          <t>F-DT-05</t>
        </is>
      </c>
      <c r="C30" s="56" t="inlineStr">
        <is>
          <t>D-03: el catálogo «CP´s y Bloques V5» asocia Molle y Hualanga Pampa, pero la base logística natural es el C.P. Laguna Grande</t>
        </is>
      </c>
      <c r="D30" s="56" t="inlineStr">
        <is>
          <t>NO SUSTANTIVA</t>
        </is>
      </c>
      <c r="E30" s="56" t="inlineStr">
        <is>
          <t>Conciliar asociación CP-bloque (Verificación heredada de la ficha de resumen V6.)</t>
        </is>
      </c>
    </row>
    <row r="32">
      <c r="A32" s="57" t="inlineStr">
        <is>
          <t>RESUMEN</t>
        </is>
      </c>
      <c r="B32" s="58" t="inlineStr">
        <is>
          <t>22 verificaciones</t>
        </is>
      </c>
      <c r="C32" s="58" t="inlineStr">
        <is>
          <t>SUSTANTIVA: 9 · NO SUSTANTIVA: 2 · CONFORME: 11</t>
        </is>
      </c>
    </row>
    <row r="34">
      <c r="A34" s="59"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34:E34"/>
    <mergeCell ref="A4:E4"/>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INTEGRACIÓN DE LA FICHA DE CAMPO — BLOQUE 69</t>
        </is>
      </c>
    </row>
    <row r="7">
      <c r="A7" s="53" t="inlineStr">
        <is>
          <t>A. HECHOS ACTUALIZADOS POR LA VERIFICACIÓN DE CAMPO</t>
        </is>
      </c>
    </row>
    <row r="8">
      <c r="A8" s="54" t="inlineStr">
        <is>
          <t>Sección</t>
        </is>
      </c>
      <c r="B8" s="54" t="inlineStr">
        <is>
          <t>Hecho</t>
        </is>
      </c>
      <c r="C8" s="54" t="inlineStr">
        <is>
          <t>Valor en la ficha V6</t>
        </is>
      </c>
      <c r="D8" s="54" t="inlineStr">
        <is>
          <t>Valor de campo vigente</t>
        </is>
      </c>
      <c r="E8" s="54" t="inlineStr">
        <is>
          <t>Fuente que manda</t>
        </is>
      </c>
    </row>
    <row r="9">
      <c r="A9" s="55" t="inlineStr">
        <is>
          <t>—</t>
        </is>
      </c>
      <c r="B9" s="55" t="inlineStr">
        <is>
          <t>Sin cambios: la ficha de campo confirma el libro V6</t>
        </is>
      </c>
      <c r="C9" s="55" t="inlineStr"/>
      <c r="D9" s="55" t="inlineStr"/>
      <c r="E9" s="55" t="inlineStr"/>
    </row>
    <row r="11">
      <c r="A11" s="53" t="inlineStr">
        <is>
          <t>B. HECHOS APORTADOS ÚNICAMENTE POR LA FICHA DE CAMPO</t>
        </is>
      </c>
    </row>
    <row r="12">
      <c r="A12" s="54" t="inlineStr">
        <is>
          <t>Sección</t>
        </is>
      </c>
      <c r="B12" s="54" t="inlineStr">
        <is>
          <t>Hecho</t>
        </is>
      </c>
      <c r="C12" s="54" t="inlineStr">
        <is>
          <t>Valor</t>
        </is>
      </c>
      <c r="D12" s="54" t="inlineStr">
        <is>
          <t>Unidad</t>
        </is>
      </c>
    </row>
    <row r="13">
      <c r="A13" s="55" t="inlineStr">
        <is>
          <t>1. Identificación y localización</t>
        </is>
      </c>
      <c r="B13" s="55" t="inlineStr">
        <is>
          <t>UTM ESTE del punto de muestreo (m)</t>
        </is>
      </c>
      <c r="C13" s="55" t="inlineStr">
        <is>
          <t>663291</t>
        </is>
      </c>
      <c r="D13" s="55" t="inlineStr">
        <is>
          <t>m</t>
        </is>
      </c>
    </row>
    <row r="14">
      <c r="A14" s="56" t="inlineStr">
        <is>
          <t>1. Identificación y localización</t>
        </is>
      </c>
      <c r="B14" s="56" t="inlineStr">
        <is>
          <t>UTM NORTE del punto de muestreo (m)</t>
        </is>
      </c>
      <c r="C14" s="56" t="inlineStr">
        <is>
          <t>9392332</t>
        </is>
      </c>
      <c r="D14" s="56" t="inlineStr">
        <is>
          <t>m</t>
        </is>
      </c>
    </row>
    <row r="15">
      <c r="A15" s="55" t="inlineStr">
        <is>
          <t>2. Parámetros físicos del terreno</t>
        </is>
      </c>
      <c r="B15" s="55" t="inlineStr">
        <is>
          <t>Altitud GPS del punto de muestreo (msnm)</t>
        </is>
      </c>
      <c r="C15" s="55" t="inlineStr">
        <is>
          <t>No registrada</t>
        </is>
      </c>
      <c r="D15" s="55" t="inlineStr">
        <is>
          <t>msnm</t>
        </is>
      </c>
    </row>
    <row r="16">
      <c r="A16" s="56" t="inlineStr">
        <is>
          <t>2. Parámetros físicos del terreno</t>
        </is>
      </c>
      <c r="B16" s="56" t="inlineStr">
        <is>
          <t>Piso altitudinal del punto de muestreo</t>
        </is>
      </c>
      <c r="C16" s="56" t="inlineStr">
        <is>
          <t>2000-2500 m (Quechua alta)</t>
        </is>
      </c>
      <c r="D16" s="56" t="inlineStr"/>
    </row>
    <row r="17">
      <c r="A17" s="55" t="inlineStr">
        <is>
          <t>2. Parámetros físicos del terreno</t>
        </is>
      </c>
      <c r="B17" s="55" t="inlineStr">
        <is>
          <t>Paisaje dominante descrito en campo</t>
        </is>
      </c>
      <c r="C17" s="55" t="inlineStr">
        <is>
          <t>Ladera de montaña de exposición suroeste, entre 1931 y 2205 msnm (amplitud 274 m). Vertiente extensamente denudada, con pastizal seco dominante, matorral relegado a vaguadas y una red densa de terracillas de pisoteo. Atravesada por trochas carrozables de trazo en zigzag con taludes de corte activos.</t>
        </is>
      </c>
      <c r="D17" s="55" t="inlineStr"/>
    </row>
    <row r="18">
      <c r="A18" s="56" t="inlineStr">
        <is>
          <t>2. Parámetros físicos del terreno</t>
        </is>
      </c>
      <c r="B18" s="56" t="inlineStr">
        <is>
          <t>Reptación de suelo</t>
        </is>
      </c>
      <c r="C18" s="56" t="inlineStr">
        <is>
          <t>Sí</t>
        </is>
      </c>
      <c r="D18" s="56" t="inlineStr"/>
    </row>
    <row r="19">
      <c r="A19" s="55" t="inlineStr">
        <is>
          <t>2. Parámetros físicos del terreno</t>
        </is>
      </c>
      <c r="B19" s="55" t="inlineStr">
        <is>
          <t>Deslizamientos antiguos</t>
        </is>
      </c>
      <c r="C19" s="55" t="inlineStr">
        <is>
          <t>No</t>
        </is>
      </c>
      <c r="D19" s="55" t="inlineStr"/>
    </row>
    <row r="20">
      <c r="A20" s="56" t="inlineStr">
        <is>
          <t>4. Suelos y erosión (F-DT-02)</t>
        </is>
      </c>
      <c r="B20" s="56" t="inlineStr">
        <is>
          <t>Nivel de erosión - síntesis de campo</t>
        </is>
      </c>
      <c r="C20" s="56" t="inlineStr">
        <is>
          <t>Moderada (surcos)</t>
        </is>
      </c>
      <c r="D20" s="56" t="inlineStr"/>
    </row>
    <row r="21">
      <c r="A21" s="55" t="inlineStr">
        <is>
          <t>4. Suelos y erosión (F-DT-02)</t>
        </is>
      </c>
      <c r="B21" s="55" t="inlineStr">
        <is>
          <t>Sellamiento / costra superficial</t>
        </is>
      </c>
      <c r="C21" s="55" t="inlineStr">
        <is>
          <t>Sí</t>
        </is>
      </c>
      <c r="D21" s="55" t="inlineStr"/>
    </row>
    <row r="22">
      <c r="A22" s="56" t="inlineStr">
        <is>
          <t>4. Suelos y erosión (F-DT-02)</t>
        </is>
      </c>
      <c r="B22" s="56" t="inlineStr">
        <is>
          <t>Compactación por pisoteo</t>
        </is>
      </c>
      <c r="C22" s="56" t="inlineStr">
        <is>
          <t>Sí</t>
        </is>
      </c>
      <c r="D22" s="56" t="inlineStr"/>
    </row>
    <row r="23">
      <c r="A23" s="55" t="inlineStr">
        <is>
          <t>4. Suelos y erosión (F-DT-02)</t>
        </is>
      </c>
      <c r="B23" s="55" t="inlineStr">
        <is>
          <t>Raíces expuestas</t>
        </is>
      </c>
      <c r="C23" s="55" t="inlineStr">
        <is>
          <t>Sí</t>
        </is>
      </c>
      <c r="D23" s="55" t="inlineStr"/>
    </row>
    <row r="24">
      <c r="A24" s="56" t="inlineStr">
        <is>
          <t>4. Suelos y erosión (F-DT-02)</t>
        </is>
      </c>
      <c r="B24" s="56" t="inlineStr">
        <is>
          <t>% del bloque afectado por cárcavas</t>
        </is>
      </c>
      <c r="C24" s="56" t="inlineStr">
        <is>
          <t>Sin cuantificar</t>
        </is>
      </c>
      <c r="D24" s="56" t="inlineStr">
        <is>
          <t>%</t>
        </is>
      </c>
    </row>
    <row r="25">
      <c r="A25" s="55" t="inlineStr">
        <is>
          <t>4. Suelos y erosión (F-DT-02)</t>
        </is>
      </c>
      <c r="B25" s="55" t="inlineStr">
        <is>
          <t>Patrón de cárcavas</t>
        </is>
      </c>
      <c r="C25" s="55" t="inlineStr">
        <is>
          <t>Lineal</t>
        </is>
      </c>
      <c r="D25" s="55" t="inlineStr"/>
    </row>
    <row r="26">
      <c r="A26" s="56" t="inlineStr">
        <is>
          <t>4. Suelos y erosión (F-DT-02)</t>
        </is>
      </c>
      <c r="B26" s="56" t="inlineStr">
        <is>
          <t>Socavamiento de cauce</t>
        </is>
      </c>
      <c r="C26" s="56" t="inlineStr">
        <is>
          <t>Sí</t>
        </is>
      </c>
      <c r="D26" s="56" t="inlineStr"/>
    </row>
    <row r="27">
      <c r="A27" s="55" t="inlineStr">
        <is>
          <t>5. Ecosistema, cobertura y flora (F-DT-03)</t>
        </is>
      </c>
      <c r="B27" s="55" t="inlineStr">
        <is>
          <t>Cobertura del dosel (%)</t>
        </is>
      </c>
      <c r="C27" s="55" t="inlineStr">
        <is>
          <t>&lt; 5</t>
        </is>
      </c>
      <c r="D27" s="55" t="inlineStr">
        <is>
          <t>%</t>
        </is>
      </c>
    </row>
    <row r="28">
      <c r="A28" s="56" t="inlineStr">
        <is>
          <t>5. Ecosistema, cobertura y flora (F-DT-03)</t>
        </is>
      </c>
      <c r="B28" s="56" t="inlineStr">
        <is>
          <t>Cobertura arbustiva (%)</t>
        </is>
      </c>
      <c r="C28" s="56" t="inlineStr">
        <is>
          <t>15 – 25</t>
        </is>
      </c>
      <c r="D28" s="56" t="inlineStr">
        <is>
          <t>%</t>
        </is>
      </c>
    </row>
    <row r="29">
      <c r="A29" s="55" t="inlineStr">
        <is>
          <t>5. Ecosistema, cobertura y flora (F-DT-03)</t>
        </is>
      </c>
      <c r="B29" s="55" t="inlineStr">
        <is>
          <t>Cobertura herbácea (%)</t>
        </is>
      </c>
      <c r="C29" s="55" t="inlineStr">
        <is>
          <t>55 – 70</t>
        </is>
      </c>
      <c r="D29" s="55" t="inlineStr">
        <is>
          <t>%</t>
        </is>
      </c>
    </row>
    <row r="30">
      <c r="A30" s="56" t="inlineStr">
        <is>
          <t>5. Ecosistema, cobertura y flora (F-DT-03)</t>
        </is>
      </c>
      <c r="B30" s="56" t="inlineStr">
        <is>
          <t>Cobertura de hojarasca (%)</t>
        </is>
      </c>
      <c r="C30" s="56" t="inlineStr">
        <is>
          <t>Escasa</t>
        </is>
      </c>
      <c r="D30" s="56" t="inlineStr">
        <is>
          <t>%</t>
        </is>
      </c>
    </row>
    <row r="31">
      <c r="A31" s="55" t="inlineStr">
        <is>
          <t>5. Ecosistema, cobertura y flora (F-DT-03)</t>
        </is>
      </c>
      <c r="B31" s="55" t="inlineStr">
        <is>
          <t>Altura del estrato dominante (m)</t>
        </is>
      </c>
      <c r="C31" s="55" t="inlineStr">
        <is>
          <t>1.5 – 3.0</t>
        </is>
      </c>
      <c r="D31" s="55" t="inlineStr">
        <is>
          <t>m</t>
        </is>
      </c>
    </row>
    <row r="32">
      <c r="A32" s="56" t="inlineStr">
        <is>
          <t>5. Ecosistema, cobertura y flora (F-DT-03)</t>
        </is>
      </c>
      <c r="B32" s="56" t="inlineStr">
        <is>
          <t>Altura máxima registrada (m)</t>
        </is>
      </c>
      <c r="C32" s="56" t="inlineStr">
        <is>
          <t>8 – 12</t>
        </is>
      </c>
      <c r="D32" s="56" t="inlineStr">
        <is>
          <t>m</t>
        </is>
      </c>
    </row>
    <row r="33">
      <c r="A33" s="55" t="inlineStr">
        <is>
          <t>5. Ecosistema, cobertura y flora (F-DT-03)</t>
        </is>
      </c>
      <c r="B33" s="55" t="inlineStr">
        <is>
          <t>DAP promedio (cm)</t>
        </is>
      </c>
      <c r="C33" s="55" t="inlineStr">
        <is>
          <t>No medido</t>
        </is>
      </c>
      <c r="D33" s="55" t="inlineStr">
        <is>
          <t>cm</t>
        </is>
      </c>
    </row>
    <row r="34">
      <c r="A34" s="56" t="inlineStr">
        <is>
          <t>5. Ecosistema, cobertura y flora (F-DT-03)</t>
        </is>
      </c>
      <c r="B34" s="56" t="inlineStr">
        <is>
          <t>Presencia de epífitas</t>
        </is>
      </c>
      <c r="C34" s="56" t="inlineStr">
        <is>
          <t>Sí</t>
        </is>
      </c>
      <c r="D34" s="56" t="inlineStr"/>
    </row>
    <row r="35">
      <c r="A35" s="55" t="inlineStr">
        <is>
          <t>5. Ecosistema, cobertura y flora (F-DT-03)</t>
        </is>
      </c>
      <c r="B35" s="55" t="inlineStr">
        <is>
          <t>Fenología dominante</t>
        </is>
      </c>
      <c r="C35" s="55" t="inlineStr">
        <is>
          <t>Latencia / Estrés hídrico</t>
        </is>
      </c>
      <c r="D35" s="55" t="inlineStr"/>
    </row>
    <row r="36">
      <c r="A36" s="56" t="inlineStr">
        <is>
          <t>5. Ecosistema, cobertura y flora (F-DT-03)</t>
        </is>
      </c>
      <c r="B36" s="56" t="inlineStr">
        <is>
          <t>Dimensiones de la parcela (m)</t>
        </is>
      </c>
      <c r="C36" s="56" t="inlineStr">
        <is>
          <t>No aplica</t>
        </is>
      </c>
      <c r="D36" s="56" t="inlineStr"/>
    </row>
    <row r="37">
      <c r="A37" s="55" t="inlineStr">
        <is>
          <t>5. Ecosistema, cobertura y flora (F-DT-03)</t>
        </is>
      </c>
      <c r="B37" s="55" t="inlineStr">
        <is>
          <t>Pendiente de la parcela (%)</t>
        </is>
      </c>
      <c r="C37" s="55" t="inlineStr">
        <is>
          <t>27.95</t>
        </is>
      </c>
      <c r="D37" s="55" t="inlineStr">
        <is>
          <t>%</t>
        </is>
      </c>
    </row>
    <row r="38">
      <c r="A38" s="56" t="inlineStr">
        <is>
          <t>5. Ecosistema, cobertura y flora (F-DT-03)</t>
        </is>
      </c>
      <c r="B38" s="56" t="inlineStr">
        <is>
          <t>Especies clave georreferenciadas</t>
        </is>
      </c>
      <c r="C38" s="56" t="inlineStr">
        <is>
          <t>5</t>
        </is>
      </c>
      <c r="D38" s="56" t="inlineStr"/>
    </row>
    <row r="39">
      <c r="A39" s="55" t="inlineStr">
        <is>
          <t>6. Degradación, causas y urgencia (F-DT-04)</t>
        </is>
      </c>
      <c r="B39" s="55" t="inlineStr">
        <is>
          <t>Causas directas de la degradación</t>
        </is>
      </c>
      <c r="C39" s="55" t="inlineStr">
        <is>
          <t>Apertura y mantenimiento de vías sobre roca fracturada en el corredor norte, concurrente con pastoreo extensivo y sustitución parcial del matorral por pastizal.</t>
        </is>
      </c>
      <c r="D39" s="55" t="inlineStr"/>
    </row>
    <row r="40">
      <c r="A40" s="56" t="inlineStr">
        <is>
          <t>6. Degradación, causas y urgencia (F-DT-04)</t>
        </is>
      </c>
      <c r="B40" s="56" t="inlineStr">
        <is>
          <t>N.° de causas activas en la matriz F-DT-04</t>
        </is>
      </c>
      <c r="C40" s="56" t="inlineStr">
        <is>
          <t>5</t>
        </is>
      </c>
      <c r="D40" s="56" t="inlineStr"/>
    </row>
    <row r="41">
      <c r="A41" s="55" t="inlineStr">
        <is>
          <t>7. Hidrología, acceso y logística (F-DT-05)</t>
        </is>
      </c>
      <c r="B41" s="55" t="inlineStr">
        <is>
          <t>Escorrentía concentrada</t>
        </is>
      </c>
      <c r="C41" s="55" t="inlineStr">
        <is>
          <t>Sí</t>
        </is>
      </c>
      <c r="D41" s="55" t="inlineStr"/>
    </row>
    <row r="42">
      <c r="A42" s="56" t="inlineStr">
        <is>
          <t>7. Hidrología, acceso y logística (F-DT-05)</t>
        </is>
      </c>
      <c r="B42" s="56" t="inlineStr">
        <is>
          <t>Fuentes de agua inventariadas</t>
        </is>
      </c>
      <c r="C42" s="56" t="inlineStr">
        <is>
          <t>2</t>
        </is>
      </c>
      <c r="D42" s="56" t="inlineStr"/>
    </row>
    <row r="43">
      <c r="A43" s="55" t="inlineStr">
        <is>
          <t>7. Hidrología, acceso y logística (F-DT-05)</t>
        </is>
      </c>
      <c r="B43" s="55" t="inlineStr">
        <is>
          <t>Interferencia con riego</t>
        </is>
      </c>
      <c r="C43" s="55" t="inlineStr">
        <is>
          <t>No</t>
        </is>
      </c>
      <c r="D43" s="55" t="inlineStr"/>
    </row>
    <row r="44">
      <c r="A44" s="56" t="inlineStr">
        <is>
          <t>7. Hidrología, acceso y logística (F-DT-05)</t>
        </is>
      </c>
      <c r="B44" s="56" t="inlineStr">
        <is>
          <t>Vía principal de acceso</t>
        </is>
      </c>
      <c r="C44" s="56" t="inlineStr">
        <is>
          <t>Trocha carrozable de la red vecinal (acceso desde el C.P. Laguna Grande)</t>
        </is>
      </c>
      <c r="D44" s="56" t="inlineStr"/>
    </row>
    <row r="45">
      <c r="A45" s="55" t="inlineStr">
        <is>
          <t>7. Hidrología, acceso y logística (F-DT-05)</t>
        </is>
      </c>
      <c r="B45" s="55" t="inlineStr">
        <is>
          <t>Tipo de vía del tramo final</t>
        </is>
      </c>
      <c r="C45" s="55" t="inlineStr">
        <is>
          <t>Trocha carrozable</t>
        </is>
      </c>
      <c r="D45" s="55" t="inlineStr"/>
    </row>
    <row r="46">
      <c r="A46" s="56" t="inlineStr">
        <is>
          <t>7. Hidrología, acceso y logística (F-DT-05)</t>
        </is>
      </c>
      <c r="B46" s="56" t="inlineStr">
        <is>
          <t>Transitabilidad en época seca</t>
        </is>
      </c>
      <c r="C46" s="56" t="inlineStr">
        <is>
          <t>Medio</t>
        </is>
      </c>
      <c r="D46" s="56" t="inlineStr"/>
    </row>
    <row r="47">
      <c r="A47" s="55" t="inlineStr">
        <is>
          <t>7. Hidrología, acceso y logística (F-DT-05)</t>
        </is>
      </c>
      <c r="B47" s="55" t="inlineStr">
        <is>
          <t>Transitabilidad en época lluviosa</t>
        </is>
      </c>
      <c r="C47" s="55" t="inlineStr">
        <is>
          <t>Bajo</t>
        </is>
      </c>
      <c r="D47" s="55" t="inlineStr"/>
    </row>
    <row r="48">
      <c r="A48" s="56" t="inlineStr">
        <is>
          <t>7. Hidrología, acceso y logística (F-DT-05)</t>
        </is>
      </c>
      <c r="B48" s="56" t="inlineStr">
        <is>
          <t>Señal celular</t>
        </is>
      </c>
      <c r="C48" s="56" t="inlineStr">
        <is>
          <t>Parcial</t>
        </is>
      </c>
      <c r="D48" s="56" t="inlineStr"/>
    </row>
    <row r="49">
      <c r="A49" s="55" t="inlineStr">
        <is>
          <t>7. Hidrología, acceso y logística (F-DT-05)</t>
        </is>
      </c>
      <c r="B49" s="55" t="inlineStr">
        <is>
          <t>Operador con cobertura</t>
        </is>
      </c>
      <c r="C49" s="55" t="inlineStr">
        <is>
          <t>Otro</t>
        </is>
      </c>
      <c r="D49" s="55" t="inlineStr"/>
    </row>
    <row r="50">
      <c r="A50" s="56" t="inlineStr">
        <is>
          <t>7. Hidrología, acceso y logística (F-DT-05)</t>
        </is>
      </c>
      <c r="B50" s="56" t="inlineStr">
        <is>
          <t>Alojamiento disponible en la zona</t>
        </is>
      </c>
      <c r="C50" s="56" t="inlineStr">
        <is>
          <t>No</t>
        </is>
      </c>
      <c r="D50" s="56" t="inlineStr"/>
    </row>
    <row r="51">
      <c r="A51" s="55" t="inlineStr">
        <is>
          <t>7. Hidrología, acceso y logística (F-DT-05)</t>
        </is>
      </c>
      <c r="B51" s="55" t="inlineStr">
        <is>
          <t>Requiere coordinación con ronda / comunidad</t>
        </is>
      </c>
      <c r="C51" s="55" t="inlineStr">
        <is>
          <t>Sí</t>
        </is>
      </c>
      <c r="D51" s="55" t="inlineStr"/>
    </row>
    <row r="53">
      <c r="A53" s="53" t="inlineStr">
        <is>
          <t>C. PROCEDENCIA DE LOS HECHOS DECLARADOS</t>
        </is>
      </c>
    </row>
    <row r="54">
      <c r="A54" s="54" t="inlineStr">
        <is>
          <t>Fuente</t>
        </is>
      </c>
      <c r="B54" s="54" t="inlineStr">
        <is>
          <t>Hechos</t>
        </is>
      </c>
      <c r="C54" s="54" t="inlineStr">
        <is>
          <t>Alcance de la fuente</t>
        </is>
      </c>
    </row>
    <row r="55">
      <c r="A55" s="55" t="inlineStr">
        <is>
          <t>Dato de campo</t>
        </is>
      </c>
      <c r="B55" s="55" t="n">
        <v>68</v>
      </c>
      <c r="C55" s="55" t="inlineStr">
        <is>
          <t>Verificación en campo. Fichas F-DT-01 a F-DT-05 de la Plantilla DT Campo Check Validada V5, suscritas por el evaluador.</t>
        </is>
      </c>
    </row>
    <row r="56">
      <c r="A56" s="56" t="inlineStr">
        <is>
          <t>Gabinete (GIS / teledetección)</t>
        </is>
      </c>
      <c r="B56" s="56" t="n">
        <v>22</v>
      </c>
      <c r="C56" s="56" t="inlineStr">
        <is>
          <t>Gabinete. Estadística zonal sobre el MDE y compuestos Sentinel-2 (NDVI mediana 2025, MSAVI 2024 por clase DN).</t>
        </is>
      </c>
    </row>
    <row r="57">
      <c r="A57" s="55" t="inlineStr">
        <is>
          <t>Fuente oficial</t>
        </is>
      </c>
      <c r="B57" s="55" t="n">
        <v>14</v>
      </c>
      <c r="C57" s="55" t="inlineStr">
        <is>
          <t>Fuente oficial. Catálogo maestro Bloques V5/V6, división política INEI y codificación de microcuencas de la ANA.</t>
        </is>
      </c>
    </row>
    <row r="59">
      <c r="A59" s="53" t="inlineStr">
        <is>
          <t>D. ESTADO DEL CRUCE ENTRE FUENTES</t>
        </is>
      </c>
    </row>
    <row r="60">
      <c r="A60" s="54" t="inlineStr">
        <is>
          <t>Estado</t>
        </is>
      </c>
      <c r="B60" s="54" t="inlineStr">
        <is>
          <t>Hechos</t>
        </is>
      </c>
      <c r="C60" s="54" t="inlineStr">
        <is>
          <t>Significado</t>
        </is>
      </c>
    </row>
    <row r="61">
      <c r="A61" s="55" t="inlineStr">
        <is>
          <t>CONFORME</t>
        </is>
      </c>
      <c r="B61" s="55" t="n">
        <v>104</v>
      </c>
      <c r="C61" s="55" t="inlineStr">
        <is>
          <t>Las dos fuentes declaran lo mismo, o solo la fuente que manda sobre el hecho lo declara.</t>
        </is>
      </c>
    </row>
    <row r="62">
      <c r="A62" s="56" t="inlineStr">
        <is>
          <t>COMPLEMENTADO</t>
        </is>
      </c>
      <c r="B62" s="56" t="n">
        <v>0</v>
      </c>
      <c r="C62" s="56" t="inlineStr">
        <is>
          <t>Solo una de las fuentes lo declara y se adopta ese valor.</t>
        </is>
      </c>
    </row>
    <row r="63">
      <c r="A63" s="55" t="inlineStr">
        <is>
          <t>ACTUALIZADO</t>
        </is>
      </c>
      <c r="B63" s="55" t="n">
        <v>0</v>
      </c>
      <c r="C63" s="55" t="inlineStr">
        <is>
          <t>La verificación de campo vigente corrige lo que traía el libro de resumen.</t>
        </is>
      </c>
    </row>
    <row r="64">
      <c r="A64" s="56" t="inlineStr">
        <is>
          <t>DISCREPANTE</t>
        </is>
      </c>
      <c r="B64" s="56" t="n">
        <v>0</v>
      </c>
      <c r="C64" s="56" t="inlineStr">
        <is>
          <t>Las fuentes se contradicen; prevalece la que manda sobre el hecho y la otra queda declarada.</t>
        </is>
      </c>
    </row>
    <row r="65">
      <c r="A65" s="55" t="inlineStr">
        <is>
          <t>PENDIENTE</t>
        </is>
      </c>
      <c r="B65" s="55" t="n">
        <v>10</v>
      </c>
      <c r="C65" s="55"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7"/>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REGISTRO DE CAMPO F-DT-01 A F-DT-05 — BLOQUE 69</t>
        </is>
      </c>
    </row>
    <row r="7">
      <c r="A7" s="53" t="inlineStr">
        <is>
          <t>F-DT-02 · INVENTARIO DE CÁRCAVAS</t>
        </is>
      </c>
    </row>
    <row r="8">
      <c r="A8" s="54" t="inlineStr">
        <is>
          <t>Código</t>
        </is>
      </c>
      <c r="B8" s="54" t="inlineStr">
        <is>
          <t>Tipo</t>
        </is>
      </c>
      <c r="C8" s="54" t="inlineStr">
        <is>
          <t>UTM E ini.</t>
        </is>
      </c>
      <c r="D8" s="54" t="inlineStr">
        <is>
          <t>UTM N ini.</t>
        </is>
      </c>
      <c r="E8" s="54" t="inlineStr">
        <is>
          <t>Longitud (m)</t>
        </is>
      </c>
      <c r="F8" s="54" t="inlineStr">
        <is>
          <t>Prof. (m)</t>
        </is>
      </c>
      <c r="G8" s="54" t="inlineStr">
        <is>
          <t>Ancho (m)</t>
        </is>
      </c>
      <c r="H8" s="54" t="inlineStr">
        <is>
          <t>Estado</t>
        </is>
      </c>
      <c r="I8" s="54" t="inlineStr">
        <is>
          <t>Causa</t>
        </is>
      </c>
    </row>
    <row r="9">
      <c r="A9" s="55" t="inlineStr">
        <is>
          <t>Sin cárcavas inventariadas en el tramo verificado</t>
        </is>
      </c>
      <c r="B9" s="55" t="inlineStr"/>
      <c r="C9" s="55" t="inlineStr"/>
      <c r="D9" s="55" t="inlineStr"/>
      <c r="E9" s="55" t="inlineStr"/>
      <c r="F9" s="55" t="inlineStr"/>
      <c r="G9" s="55" t="inlineStr"/>
      <c r="H9" s="55" t="inlineStr"/>
      <c r="I9" s="55" t="inlineStr"/>
    </row>
    <row r="11">
      <c r="A11" s="53" t="inlineStr">
        <is>
          <t>F-DT-03 · ELENCO FLORÍSTICO</t>
        </is>
      </c>
    </row>
    <row r="12">
      <c r="A12" s="54" t="inlineStr">
        <is>
          <t>N.o</t>
        </is>
      </c>
      <c r="B12" s="54" t="inlineStr">
        <is>
          <t>Nombre común</t>
        </is>
      </c>
      <c r="C12" s="54" t="inlineStr">
        <is>
          <t>Nombre científico</t>
        </is>
      </c>
      <c r="D12" s="54" t="inlineStr">
        <is>
          <t>Familia</t>
        </is>
      </c>
      <c r="E12" s="54" t="inlineStr">
        <is>
          <t>Estrato</t>
        </is>
      </c>
      <c r="F12" s="54" t="inlineStr">
        <is>
          <t>Origen</t>
        </is>
      </c>
      <c r="G12" s="54" t="inlineStr">
        <is>
          <t>Abundancia</t>
        </is>
      </c>
      <c r="H12" s="54" t="inlineStr">
        <is>
          <t>DAP (cm)</t>
        </is>
      </c>
      <c r="I12" s="54" t="inlineStr">
        <is>
          <t>Altura (m)</t>
        </is>
      </c>
    </row>
    <row r="13">
      <c r="A13" s="55" t="inlineStr">
        <is>
          <t>1</t>
        </is>
      </c>
      <c r="B13" s="55" t="inlineStr">
        <is>
          <t>Eucalipto</t>
        </is>
      </c>
      <c r="C13" s="55" t="inlineStr">
        <is>
          <t>Eucalyptus globulus</t>
        </is>
      </c>
      <c r="D13" s="55" t="inlineStr">
        <is>
          <t>Myrtaceae</t>
        </is>
      </c>
      <c r="E13" s="55" t="inlineStr">
        <is>
          <t>Arbóreo medio (8-15 m)</t>
        </is>
      </c>
      <c r="F13" s="55" t="inlineStr">
        <is>
          <t>Introducida</t>
        </is>
      </c>
      <c r="G13" s="55" t="inlineStr">
        <is>
          <t>Ocasional (1-5%)</t>
        </is>
      </c>
      <c r="H13" s="55" t="n"/>
      <c r="I13" s="55" t="n"/>
    </row>
    <row r="14">
      <c r="A14" s="56" t="inlineStr">
        <is>
          <t>2</t>
        </is>
      </c>
      <c r="B14" s="56" t="inlineStr">
        <is>
          <t>Chilca</t>
        </is>
      </c>
      <c r="C14" s="56" t="inlineStr">
        <is>
          <t>Baccharis spp.</t>
        </is>
      </c>
      <c r="D14" s="56" t="inlineStr">
        <is>
          <t>Asteraceae</t>
        </is>
      </c>
      <c r="E14" s="56" t="inlineStr">
        <is>
          <t>Arbustivo alto (1.5-4 m)</t>
        </is>
      </c>
      <c r="F14" s="56" t="inlineStr">
        <is>
          <t>Nativa</t>
        </is>
      </c>
      <c r="G14" s="56" t="inlineStr">
        <is>
          <t>Frecuente (5-20%)</t>
        </is>
      </c>
      <c r="H14" s="56" t="n"/>
      <c r="I14" s="56" t="n"/>
    </row>
    <row r="15">
      <c r="A15" s="55" t="inlineStr">
        <is>
          <t>3</t>
        </is>
      </c>
      <c r="B15" s="55" t="inlineStr">
        <is>
          <t>Pastos cultivados</t>
        </is>
      </c>
      <c r="C15" s="55" t="inlineStr">
        <is>
          <t>Poaceae (indet.)</t>
        </is>
      </c>
      <c r="D15" s="55" t="inlineStr">
        <is>
          <t>Poaceae</t>
        </is>
      </c>
      <c r="E15" s="55" t="inlineStr">
        <is>
          <t>Herbáceo (&lt;0.5 m)</t>
        </is>
      </c>
      <c r="F15" s="55" t="inlineStr">
        <is>
          <t>Introducida</t>
        </is>
      </c>
      <c r="G15" s="55" t="inlineStr">
        <is>
          <t>Abundante (20-40%)</t>
        </is>
      </c>
      <c r="H15" s="55" t="n"/>
      <c r="I15" s="55" t="n"/>
    </row>
    <row r="16">
      <c r="A16" s="56" t="inlineStr">
        <is>
          <t>4</t>
        </is>
      </c>
      <c r="B16" s="56" t="inlineStr">
        <is>
          <t>Gramíneas / pastos naturales</t>
        </is>
      </c>
      <c r="C16" s="56" t="inlineStr">
        <is>
          <t>Poaceae (indet.)</t>
        </is>
      </c>
      <c r="D16" s="56" t="inlineStr">
        <is>
          <t>Poaceae</t>
        </is>
      </c>
      <c r="E16" s="56" t="inlineStr">
        <is>
          <t>Herbáceo (&lt;0.5 m)</t>
        </is>
      </c>
      <c r="F16" s="56" t="inlineStr">
        <is>
          <t>Nativa</t>
        </is>
      </c>
      <c r="G16" s="56" t="inlineStr">
        <is>
          <t>Dominante (&gt;40%)</t>
        </is>
      </c>
      <c r="H16" s="56" t="n"/>
      <c r="I16" s="56" t="n"/>
    </row>
    <row r="17">
      <c r="A17" s="55" t="inlineStr">
        <is>
          <t>5</t>
        </is>
      </c>
      <c r="B17" s="55" t="inlineStr">
        <is>
          <t>Matorral andino no diferenciado</t>
        </is>
      </c>
      <c r="C17" s="55" t="inlineStr">
        <is>
          <t>Por determinar</t>
        </is>
      </c>
      <c r="D17" s="55" t="inlineStr">
        <is>
          <t>Por determinar</t>
        </is>
      </c>
      <c r="E17" s="55" t="inlineStr">
        <is>
          <t>Arbustivo alto (1.5-4 m)</t>
        </is>
      </c>
      <c r="F17" s="55" t="inlineStr">
        <is>
          <t>Nativa</t>
        </is>
      </c>
      <c r="G17" s="55" t="inlineStr">
        <is>
          <t>Frecuente (5-20%)</t>
        </is>
      </c>
      <c r="H17" s="55" t="n"/>
      <c r="I17" s="55" t="n"/>
    </row>
    <row r="18">
      <c r="A18" s="56" t="inlineStr">
        <is>
          <t>6</t>
        </is>
      </c>
      <c r="B18" s="56" t="inlineStr">
        <is>
          <t>Arbusto nativo de matorral (hoja coriácea)</t>
        </is>
      </c>
      <c r="C18" s="56" t="inlineStr">
        <is>
          <t>Por determinar</t>
        </is>
      </c>
      <c r="D18" s="56" t="inlineStr">
        <is>
          <t>Por determinar</t>
        </is>
      </c>
      <c r="E18" s="56" t="inlineStr">
        <is>
          <t>Arbustivo alto (1.5-4 m)</t>
        </is>
      </c>
      <c r="F18" s="56" t="inlineStr">
        <is>
          <t>Nativa</t>
        </is>
      </c>
      <c r="G18" s="56" t="inlineStr">
        <is>
          <t>Frecuente (5-20%)</t>
        </is>
      </c>
      <c r="H18" s="56" t="n"/>
      <c r="I18" s="56" t="n"/>
    </row>
    <row r="19">
      <c r="A19" s="55" t="inlineStr">
        <is>
          <t>7</t>
        </is>
      </c>
      <c r="B19" s="55" t="inlineStr">
        <is>
          <t>Arbusto nativo de matorral (bajo, defoliado)</t>
        </is>
      </c>
      <c r="C19" s="55" t="inlineStr">
        <is>
          <t>Por determinar</t>
        </is>
      </c>
      <c r="D19" s="55" t="inlineStr">
        <is>
          <t>Por determinar</t>
        </is>
      </c>
      <c r="E19" s="55" t="inlineStr">
        <is>
          <t>Arbustivo bajo (0.5-1.5 m)</t>
        </is>
      </c>
      <c r="F19" s="55" t="inlineStr">
        <is>
          <t>Nativa</t>
        </is>
      </c>
      <c r="G19" s="55" t="inlineStr">
        <is>
          <t>Frecuente (5-20%)</t>
        </is>
      </c>
      <c r="H19" s="55" t="n"/>
      <c r="I19" s="55" t="n"/>
    </row>
    <row r="20">
      <c r="A20" s="56" t="inlineStr">
        <is>
          <t>8</t>
        </is>
      </c>
      <c r="B20" s="56" t="inlineStr">
        <is>
          <t>Bromeliácea epífita (achupalla)</t>
        </is>
      </c>
      <c r="C20" s="56" t="inlineStr">
        <is>
          <t>Tillandsia sp.</t>
        </is>
      </c>
      <c r="D20" s="56" t="inlineStr">
        <is>
          <t>Bromeliaceae</t>
        </is>
      </c>
      <c r="E20" s="56" t="inlineStr">
        <is>
          <t>Epífito</t>
        </is>
      </c>
      <c r="F20" s="56" t="inlineStr">
        <is>
          <t>Nativa</t>
        </is>
      </c>
      <c r="G20" s="56" t="inlineStr">
        <is>
          <t>Ocasional (1-5%)</t>
        </is>
      </c>
      <c r="H20" s="56" t="n"/>
      <c r="I20" s="56" t="n"/>
    </row>
    <row r="21">
      <c r="A21" s="55" t="inlineStr">
        <is>
          <t>9</t>
        </is>
      </c>
      <c r="B21" s="55" t="inlineStr">
        <is>
          <t>Arbolillo de vaguada</t>
        </is>
      </c>
      <c r="C21" s="55" t="inlineStr">
        <is>
          <t>Por determinar</t>
        </is>
      </c>
      <c r="D21" s="55" t="inlineStr">
        <is>
          <t>Por determinar</t>
        </is>
      </c>
      <c r="E21" s="55" t="inlineStr">
        <is>
          <t>Arbóreo bajo (4-8 m)</t>
        </is>
      </c>
      <c r="F21" s="55" t="inlineStr">
        <is>
          <t>Nativa</t>
        </is>
      </c>
      <c r="G21" s="55" t="inlineStr">
        <is>
          <t>Ocasional (1-5%)</t>
        </is>
      </c>
      <c r="H21" s="55" t="n"/>
      <c r="I21" s="55" t="n"/>
    </row>
    <row r="22">
      <c r="A22" s="56" t="inlineStr">
        <is>
          <t>10</t>
        </is>
      </c>
      <c r="B22" s="56" t="inlineStr">
        <is>
          <t>Conífera introducida (pino)</t>
        </is>
      </c>
      <c r="C22" s="56" t="inlineStr">
        <is>
          <t>Pinus sp.</t>
        </is>
      </c>
      <c r="D22" s="56" t="inlineStr">
        <is>
          <t>Pinaceae</t>
        </is>
      </c>
      <c r="E22" s="56" t="inlineStr">
        <is>
          <t>Arbóreo bajo (4-8 m)</t>
        </is>
      </c>
      <c r="F22" s="56" t="inlineStr">
        <is>
          <t>Introducida</t>
        </is>
      </c>
      <c r="G22" s="56" t="inlineStr">
        <is>
          <t>Rara (&lt;1%)</t>
        </is>
      </c>
      <c r="H22" s="56" t="n"/>
      <c r="I22" s="56" t="n"/>
    </row>
    <row r="23">
      <c r="A23" s="55" t="inlineStr">
        <is>
          <t>11</t>
        </is>
      </c>
      <c r="B23" s="55" t="inlineStr">
        <is>
          <t>Herbácea de borde de camino</t>
        </is>
      </c>
      <c r="C23" s="55" t="inlineStr">
        <is>
          <t>Por determinar</t>
        </is>
      </c>
      <c r="D23" s="55" t="inlineStr">
        <is>
          <t>Por determinar</t>
        </is>
      </c>
      <c r="E23" s="55" t="inlineStr">
        <is>
          <t>Herbáceo (&lt;0.5 m)</t>
        </is>
      </c>
      <c r="F23" s="55" t="inlineStr">
        <is>
          <t>Por determinar</t>
        </is>
      </c>
      <c r="G23" s="55" t="inlineStr">
        <is>
          <t>Ocasional (1-5%)</t>
        </is>
      </c>
      <c r="H23" s="55" t="n"/>
      <c r="I23" s="55" t="n"/>
    </row>
    <row r="24">
      <c r="A24" s="56" t="inlineStr">
        <is>
          <t>12</t>
        </is>
      </c>
      <c r="B24" s="56" t="inlineStr">
        <is>
          <t>Trepadora de cerco</t>
        </is>
      </c>
      <c r="C24" s="56" t="inlineStr">
        <is>
          <t>Por determinar</t>
        </is>
      </c>
      <c r="D24" s="56" t="inlineStr">
        <is>
          <t>Por determinar</t>
        </is>
      </c>
      <c r="E24" s="56" t="inlineStr">
        <is>
          <t>Trepador</t>
        </is>
      </c>
      <c r="F24" s="56" t="inlineStr">
        <is>
          <t>Nativa</t>
        </is>
      </c>
      <c r="G24" s="56" t="inlineStr">
        <is>
          <t>Ocasional (1-5%)</t>
        </is>
      </c>
      <c r="H24" s="56" t="n"/>
      <c r="I24" s="56" t="n"/>
    </row>
    <row r="26">
      <c r="A26" s="53" t="inlineStr">
        <is>
          <t>F-DT-03 · ESPECIES CLAVE GEORREFERENCIADAS</t>
        </is>
      </c>
    </row>
    <row r="27">
      <c r="A27" s="54" t="inlineStr">
        <is>
          <t>N.o</t>
        </is>
      </c>
      <c r="B27" s="54" t="inlineStr">
        <is>
          <t>Especie</t>
        </is>
      </c>
      <c r="C27" s="54" t="inlineStr">
        <is>
          <t>Categoría</t>
        </is>
      </c>
      <c r="D27" s="54" t="inlineStr">
        <is>
          <t>Estado UICN</t>
        </is>
      </c>
      <c r="E27" s="54" t="inlineStr">
        <is>
          <t>UTM ESTE</t>
        </is>
      </c>
      <c r="F27" s="54" t="inlineStr">
        <is>
          <t>UTM NORTE</t>
        </is>
      </c>
      <c r="G27" s="54" t="inlineStr">
        <is>
          <t>N.° individuos</t>
        </is>
      </c>
      <c r="H27" s="54" t="inlineStr">
        <is>
          <t>Observación</t>
        </is>
      </c>
    </row>
    <row r="28">
      <c r="A28" s="55" t="inlineStr">
        <is>
          <t>1</t>
        </is>
      </c>
      <c r="B28" s="55" t="inlineStr">
        <is>
          <t>Baccharis spp. (chilca)</t>
        </is>
      </c>
      <c r="C28" s="55" t="inlineStr">
        <is>
          <t>Indicadora de perturbación</t>
        </is>
      </c>
      <c r="D28" s="55" t="inlineStr">
        <is>
          <t>No aplica</t>
        </is>
      </c>
      <c r="E28" s="55" t="n"/>
      <c r="F28" s="55" t="n"/>
      <c r="G28" s="55" t="n"/>
      <c r="H28" s="55" t="inlineStr">
        <is>
          <t>Colonizadora de taludes y bordes. Material de elección para barreras vivas y estabilización biológica.</t>
        </is>
      </c>
    </row>
    <row r="29">
      <c r="A29" s="56" t="inlineStr">
        <is>
          <t>2</t>
        </is>
      </c>
      <c r="B29" s="56" t="inlineStr">
        <is>
          <t>Poaceae — pastos cultivados</t>
        </is>
      </c>
      <c r="C29" s="56" t="inlineStr">
        <is>
          <t>Indicadora de perturbación</t>
        </is>
      </c>
      <c r="D29" s="56" t="inlineStr">
        <is>
          <t>No aplica</t>
        </is>
      </c>
      <c r="E29" s="56" t="n"/>
      <c r="F29" s="56" t="n"/>
      <c r="G29" s="56" t="n"/>
      <c r="H29" s="56" t="inlineStr">
        <is>
          <t>Sustitución de la cobertura natural; sostiene la carga ganadera que origina las terracillas.</t>
        </is>
      </c>
    </row>
    <row r="30">
      <c r="A30" s="55" t="inlineStr">
        <is>
          <t>3</t>
        </is>
      </c>
      <c r="B30" s="55" t="inlineStr">
        <is>
          <t>Eucalyptus globulus</t>
        </is>
      </c>
      <c r="C30" s="55" t="inlineStr">
        <is>
          <t>Indicadora de perturbación</t>
        </is>
      </c>
      <c r="D30" s="55" t="inlineStr">
        <is>
          <t>No aplica</t>
        </is>
      </c>
      <c r="E30" s="55" t="n"/>
      <c r="F30" s="55" t="n"/>
      <c r="G30" s="55" t="n"/>
      <c r="H30" s="55" t="inlineStr">
        <is>
          <t>Introducida. NO debe emplearse en los diseños de revegetación por su demanda hídrica y su efecto sobre el sotobosque.</t>
        </is>
      </c>
    </row>
    <row r="31">
      <c r="A31" s="56" t="inlineStr">
        <is>
          <t>4</t>
        </is>
      </c>
      <c r="B31" s="56" t="inlineStr">
        <is>
          <t>Pinus sp.</t>
        </is>
      </c>
      <c r="C31" s="56" t="inlineStr">
        <is>
          <t>Indicadora de perturbación</t>
        </is>
      </c>
      <c r="D31" s="56" t="inlineStr">
        <is>
          <t>No aplica</t>
        </is>
      </c>
      <c r="E31" s="56" t="n"/>
      <c r="F31" s="56" t="n"/>
      <c r="G31" s="56" t="n"/>
      <c r="H31" s="56" t="inlineStr">
        <is>
          <t>Introducida, registrada en el extremo NO del B-31 (E-15). Se descarta para revegetación.</t>
        </is>
      </c>
    </row>
    <row r="32">
      <c r="A32" s="55" t="inlineStr">
        <is>
          <t>5</t>
        </is>
      </c>
      <c r="B32" s="55" t="inlineStr">
        <is>
          <t>Tillandsia sp.</t>
        </is>
      </c>
      <c r="C32" s="55" t="inlineStr">
        <is>
          <t>Indicadora de buen estado</t>
        </is>
      </c>
      <c r="D32" s="55" t="inlineStr">
        <is>
          <t>No aplica</t>
        </is>
      </c>
      <c r="E32" s="55" t="n"/>
      <c r="F32" s="55" t="n"/>
      <c r="G32" s="55" t="n"/>
      <c r="H32" s="55" t="inlineStr">
        <is>
          <t>Epífitas presentes solo en los relictos de matorral del sector NO y de las vaguadas.</t>
        </is>
      </c>
    </row>
    <row r="34">
      <c r="A34" s="53" t="inlineStr">
        <is>
          <t>F-DT-04 · MATRIZ DE CAUSAS DE DEGRADACIÓN</t>
        </is>
      </c>
    </row>
    <row r="35">
      <c r="A35" s="54" t="inlineStr">
        <is>
          <t>N.o</t>
        </is>
      </c>
      <c r="B35" s="54" t="inlineStr">
        <is>
          <t>Causa</t>
        </is>
      </c>
      <c r="C35" s="54" t="inlineStr">
        <is>
          <t>Presencia</t>
        </is>
      </c>
      <c r="D35" s="54" t="inlineStr">
        <is>
          <t>Intensidad</t>
        </is>
      </c>
      <c r="E35" s="54" t="inlineStr">
        <is>
          <t>Extensión</t>
        </is>
      </c>
      <c r="F35" s="54" t="inlineStr">
        <is>
          <t>Antigüedad</t>
        </is>
      </c>
      <c r="G35" s="54" t="inlineStr">
        <is>
          <t>Evidencia</t>
        </is>
      </c>
    </row>
    <row r="36">
      <c r="A36" s="55" t="inlineStr">
        <is>
          <t>1</t>
        </is>
      </c>
      <c r="B36" s="55" t="inlineStr">
        <is>
          <t>Sobrepastoreo (caprino/vacuno)</t>
        </is>
      </c>
      <c r="C36" s="55" t="inlineStr">
        <is>
          <t>Sí</t>
        </is>
      </c>
      <c r="D36" s="55" t="inlineStr">
        <is>
          <t>Moderada</t>
        </is>
      </c>
      <c r="E36" s="55" t="inlineStr">
        <is>
          <t>50</t>
        </is>
      </c>
      <c r="F36" s="55" t="inlineStr">
        <is>
          <t>&gt; 20</t>
        </is>
      </c>
      <c r="G36" s="55" t="inlineStr">
        <is>
          <t>Pastizal seco pastoreado en el flanco expuesto, con cárcavas incipientes (E-02); carga no cuantificada.</t>
        </is>
      </c>
    </row>
    <row r="37">
      <c r="A37" s="56" t="inlineStr">
        <is>
          <t>2</t>
        </is>
      </c>
      <c r="B37" s="56" t="inlineStr">
        <is>
          <t>Tala para leña</t>
        </is>
      </c>
      <c r="C37" s="56" t="inlineStr">
        <is>
          <t>Por determinar</t>
        </is>
      </c>
      <c r="D37" s="56" t="inlineStr">
        <is>
          <t>Nula</t>
        </is>
      </c>
      <c r="E37" s="56" t="inlineStr"/>
      <c r="F37" s="56" t="inlineStr"/>
      <c r="G37" s="56" t="inlineStr">
        <is>
          <t>Sin evidencia directa; probable por contexto.</t>
        </is>
      </c>
    </row>
    <row r="38">
      <c r="A38" s="55" t="inlineStr">
        <is>
          <t>3</t>
        </is>
      </c>
      <c r="B38" s="55" t="inlineStr">
        <is>
          <t>Tala para carbón</t>
        </is>
      </c>
      <c r="C38" s="55" t="inlineStr"/>
      <c r="D38" s="55" t="inlineStr"/>
      <c r="E38" s="55" t="inlineStr"/>
      <c r="F38" s="55" t="inlineStr"/>
      <c r="G38" s="55" t="inlineStr"/>
    </row>
    <row r="39">
      <c r="A39" s="56" t="inlineStr">
        <is>
          <t>4</t>
        </is>
      </c>
      <c r="B39" s="56" t="inlineStr">
        <is>
          <t>Tala para madera</t>
        </is>
      </c>
      <c r="C39" s="56" t="inlineStr"/>
      <c r="D39" s="56" t="inlineStr"/>
      <c r="E39" s="56" t="inlineStr"/>
      <c r="F39" s="56" t="inlineStr"/>
      <c r="G39" s="56" t="inlineStr"/>
    </row>
    <row r="40">
      <c r="A40" s="55" t="inlineStr">
        <is>
          <t>5</t>
        </is>
      </c>
      <c r="B40" s="55" t="inlineStr">
        <is>
          <t>Quema (renovación de pastos)</t>
        </is>
      </c>
      <c r="C40" s="55" t="inlineStr"/>
      <c r="D40" s="55" t="inlineStr"/>
      <c r="E40" s="55" t="inlineStr"/>
      <c r="F40" s="55" t="inlineStr"/>
      <c r="G40" s="55" t="inlineStr"/>
    </row>
    <row r="41">
      <c r="A41" s="56" t="inlineStr">
        <is>
          <t>6</t>
        </is>
      </c>
      <c r="B41" s="56" t="inlineStr">
        <is>
          <t>Quema accidental / Incendio</t>
        </is>
      </c>
      <c r="C41" s="56" t="inlineStr"/>
      <c r="D41" s="56" t="inlineStr"/>
      <c r="E41" s="56" t="inlineStr"/>
      <c r="F41" s="56" t="inlineStr"/>
      <c r="G41" s="56" t="inlineStr"/>
    </row>
    <row r="42">
      <c r="A42" s="55" t="inlineStr">
        <is>
          <t>7</t>
        </is>
      </c>
      <c r="B42" s="55" t="inlineStr">
        <is>
          <t>Cambio de uso a agricultura</t>
        </is>
      </c>
      <c r="C42" s="55" t="inlineStr"/>
      <c r="D42" s="55" t="inlineStr"/>
      <c r="E42" s="55" t="inlineStr"/>
      <c r="F42" s="55" t="inlineStr"/>
      <c r="G42" s="55" t="inlineStr"/>
    </row>
    <row r="43">
      <c r="A43" s="56" t="inlineStr">
        <is>
          <t>8</t>
        </is>
      </c>
      <c r="B43" s="56" t="inlineStr">
        <is>
          <t>Cambio de uso a pastoreo</t>
        </is>
      </c>
      <c r="C43" s="56" t="inlineStr">
        <is>
          <t>Sí</t>
        </is>
      </c>
      <c r="D43" s="56" t="inlineStr">
        <is>
          <t>Moderada</t>
        </is>
      </c>
      <c r="E43" s="56" t="inlineStr">
        <is>
          <t>45</t>
        </is>
      </c>
      <c r="F43" s="56" t="inlineStr">
        <is>
          <t>&gt; 20</t>
        </is>
      </c>
      <c r="G43" s="56" t="inlineStr">
        <is>
          <t>Mosaico de pastizal y matorral; sustitución parcial de la cobertura natural.</t>
        </is>
      </c>
    </row>
    <row r="44">
      <c r="A44" s="55" t="inlineStr">
        <is>
          <t>9</t>
        </is>
      </c>
      <c r="B44" s="55" t="inlineStr">
        <is>
          <t>Expansión urbana / vial</t>
        </is>
      </c>
      <c r="C44" s="55" t="inlineStr">
        <is>
          <t>Sí</t>
        </is>
      </c>
      <c r="D44" s="55" t="inlineStr">
        <is>
          <t>Moderada</t>
        </is>
      </c>
      <c r="E44" s="55" t="inlineStr">
        <is>
          <t>15</t>
        </is>
      </c>
      <c r="F44" s="55" t="inlineStr">
        <is>
          <t>&lt; 10</t>
        </is>
      </c>
      <c r="G44" s="55" t="inlineStr">
        <is>
          <t>CAUSA CODOMINANTE. Trocha carrozable en el corredor norte con talud de corte en roca calcárea fracturada (E-03) y vaguada con derrubios y bloques sueltos sin obra de cruce (E-08).</t>
        </is>
      </c>
    </row>
    <row r="45">
      <c r="A45" s="56" t="inlineStr">
        <is>
          <t>10</t>
        </is>
      </c>
      <c r="B45" s="56" t="inlineStr">
        <is>
          <t>Minería informal</t>
        </is>
      </c>
      <c r="C45" s="56" t="inlineStr"/>
      <c r="D45" s="56" t="inlineStr"/>
      <c r="E45" s="56" t="inlineStr"/>
      <c r="F45" s="56" t="inlineStr"/>
      <c r="G45" s="56" t="inlineStr"/>
    </row>
    <row r="46">
      <c r="A46" s="55" t="inlineStr">
        <is>
          <t>11</t>
        </is>
      </c>
      <c r="B46" s="55" t="inlineStr">
        <is>
          <t>Extracción de áridos (cauces)</t>
        </is>
      </c>
      <c r="C46" s="55" t="inlineStr"/>
      <c r="D46" s="55" t="inlineStr"/>
      <c r="E46" s="55" t="inlineStr"/>
      <c r="F46" s="55" t="inlineStr"/>
      <c r="G46" s="55" t="inlineStr"/>
    </row>
    <row r="47">
      <c r="A47" s="56" t="inlineStr">
        <is>
          <t>12</t>
        </is>
      </c>
      <c r="B47" s="56" t="inlineStr">
        <is>
          <t>Especies invasoras</t>
        </is>
      </c>
      <c r="C47" s="56" t="inlineStr"/>
      <c r="D47" s="56" t="inlineStr"/>
      <c r="E47" s="56" t="inlineStr"/>
      <c r="F47" s="56" t="inlineStr"/>
      <c r="G47" s="56" t="inlineStr"/>
    </row>
    <row r="48">
      <c r="A48" s="55" t="inlineStr">
        <is>
          <t>13</t>
        </is>
      </c>
      <c r="B48" s="55" t="inlineStr">
        <is>
          <t>Erosión natural severa</t>
        </is>
      </c>
      <c r="C48" s="55" t="inlineStr">
        <is>
          <t>Sí</t>
        </is>
      </c>
      <c r="D48" s="55" t="inlineStr">
        <is>
          <t>Fuerte</t>
        </is>
      </c>
      <c r="E48" s="55" t="inlineStr">
        <is>
          <t>81</t>
        </is>
      </c>
      <c r="F48" s="55" t="inlineStr">
        <is>
          <t>&gt; 20</t>
        </is>
      </c>
      <c r="G48" s="55" t="inlineStr">
        <is>
          <t>15.734 ha (80.99 %) bajo el umbral MSAVI 0.4976, sin superficie en clase crítica.</t>
        </is>
      </c>
    </row>
    <row r="49">
      <c r="A49" s="56" t="inlineStr">
        <is>
          <t>14</t>
        </is>
      </c>
      <c r="B49" s="56" t="inlineStr">
        <is>
          <t>Sequía prolongada / CC</t>
        </is>
      </c>
      <c r="C49" s="56" t="inlineStr">
        <is>
          <t>Sí</t>
        </is>
      </c>
      <c r="D49" s="56" t="inlineStr">
        <is>
          <t>Moderada</t>
        </is>
      </c>
      <c r="E49" s="56" t="inlineStr">
        <is>
          <t>100</t>
        </is>
      </c>
      <c r="F49" s="56" t="inlineStr"/>
      <c r="G49" s="56" t="inlineStr">
        <is>
          <t>Déficit hídrico proyectado (MPI-ESM1-2HR, SSP 5-8.5, 2021-2040).</t>
        </is>
      </c>
    </row>
    <row r="50">
      <c r="A50" s="55" t="inlineStr">
        <is>
          <t>15</t>
        </is>
      </c>
      <c r="B50" s="55" t="inlineStr">
        <is>
          <t>Plagas o enfermedades forestales</t>
        </is>
      </c>
      <c r="C50" s="55" t="inlineStr"/>
      <c r="D50" s="55" t="inlineStr"/>
      <c r="E50" s="55" t="inlineStr"/>
      <c r="F50" s="55" t="inlineStr"/>
      <c r="G50" s="55" t="inlineStr"/>
    </row>
    <row r="51">
      <c r="A51" s="56" t="inlineStr">
        <is>
          <t>16</t>
        </is>
      </c>
      <c r="B51" s="56" t="inlineStr">
        <is>
          <t>Otro</t>
        </is>
      </c>
      <c r="C51" s="56" t="inlineStr"/>
      <c r="D51" s="56" t="inlineStr"/>
      <c r="E51" s="56" t="inlineStr"/>
      <c r="F51" s="56" t="inlineStr"/>
      <c r="G51" s="56" t="inlineStr"/>
    </row>
    <row r="53">
      <c r="A53" s="53" t="inlineStr">
        <is>
          <t>F-DT-04 · INDICADORES CUANTITATIVOS</t>
        </is>
      </c>
    </row>
    <row r="54">
      <c r="A54" s="54" t="inlineStr">
        <is>
          <t>N.o</t>
        </is>
      </c>
      <c r="B54" s="54" t="inlineStr">
        <is>
          <t>Indicador</t>
        </is>
      </c>
      <c r="C54" s="54" t="inlineStr">
        <is>
          <t>Unidad</t>
        </is>
      </c>
      <c r="D54" s="54" t="inlineStr">
        <is>
          <t>Valor</t>
        </is>
      </c>
      <c r="E54" s="54" t="inlineStr">
        <is>
          <t>Fuente</t>
        </is>
      </c>
      <c r="F54" s="54" t="inlineStr">
        <is>
          <t>Umbral</t>
        </is>
      </c>
      <c r="G54" s="54" t="inlineStr">
        <is>
          <t>Nivel</t>
        </is>
      </c>
    </row>
    <row r="55">
      <c r="A55" s="55" t="inlineStr">
        <is>
          <t>1</t>
        </is>
      </c>
      <c r="B55" s="55" t="inlineStr">
        <is>
          <t>Cobertura vegetal total</t>
        </is>
      </c>
      <c r="C55" s="55" t="inlineStr">
        <is>
          <t>%</t>
        </is>
      </c>
      <c r="D55" s="55" t="inlineStr">
        <is>
          <t>19</t>
        </is>
      </c>
      <c r="E55" s="55" t="inlineStr">
        <is>
          <t>MSAVI 2024 — clasificación sobre plano</t>
        </is>
      </c>
      <c r="F55" s="55" t="inlineStr">
        <is>
          <t>&gt;60% bueno; 30-60% medio; &lt;30% malo</t>
        </is>
      </c>
      <c r="G55" s="55" t="inlineStr">
        <is>
          <t>Alto</t>
        </is>
      </c>
    </row>
    <row r="56">
      <c r="A56" s="56" t="inlineStr">
        <is>
          <t>2</t>
        </is>
      </c>
      <c r="B56" s="56" t="inlineStr">
        <is>
          <t>Porcentaje de suelo desnudo</t>
        </is>
      </c>
      <c r="C56" s="56" t="inlineStr">
        <is>
          <t>%</t>
        </is>
      </c>
      <c r="D56" s="56" t="inlineStr">
        <is>
          <t>10 – 20 (estimado visual)</t>
        </is>
      </c>
      <c r="E56" s="56" t="inlineStr">
        <is>
          <t>Registro fotográfico 21-08-2026</t>
        </is>
      </c>
      <c r="F56" s="56" t="inlineStr">
        <is>
          <t>&lt;10% bueno; 10-30% medio; &gt;30% malo</t>
        </is>
      </c>
      <c r="G56" s="56" t="inlineStr">
        <is>
          <t>Medio</t>
        </is>
      </c>
    </row>
    <row r="57">
      <c r="A57" s="55" t="inlineStr">
        <is>
          <t>3</t>
        </is>
      </c>
      <c r="B57" s="55" t="inlineStr">
        <is>
          <t>Densidad de cárcavas</t>
        </is>
      </c>
      <c r="C57" s="55" t="inlineStr">
        <is>
          <t>N°/ha</t>
        </is>
      </c>
      <c r="D57" s="55" t="inlineStr">
        <is>
          <t>Sin inventario</t>
        </is>
      </c>
      <c r="E57" s="55" t="inlineStr">
        <is>
          <t>Pendiente — analista de infraestructura marrón</t>
        </is>
      </c>
      <c r="F57" s="55" t="inlineStr">
        <is>
          <t>0 nulo; 1-3 medio; &gt;3 alto</t>
        </is>
      </c>
      <c r="G57" s="55" t="inlineStr"/>
    </row>
    <row r="58">
      <c r="A58" s="56" t="inlineStr">
        <is>
          <t>4</t>
        </is>
      </c>
      <c r="B58" s="56" t="inlineStr">
        <is>
          <t>Presencia de especies invasoras</t>
        </is>
      </c>
      <c r="C58" s="56" t="inlineStr">
        <is>
          <t>% área</t>
        </is>
      </c>
      <c r="D58" s="56" t="inlineStr">
        <is>
          <t>Sin cuantificar</t>
        </is>
      </c>
      <c r="E58" s="56" t="inlineStr">
        <is>
          <t>Registro fotográfico (eucalipto, pino)</t>
        </is>
      </c>
      <c r="F58" s="56" t="inlineStr">
        <is>
          <t>&lt;5% bueno; 5-20% medio; &gt;20% alto</t>
        </is>
      </c>
      <c r="G58" s="56" t="inlineStr">
        <is>
          <t>Bajo</t>
        </is>
      </c>
    </row>
    <row r="59">
      <c r="A59" s="55" t="inlineStr">
        <is>
          <t>5</t>
        </is>
      </c>
      <c r="B59" s="55" t="inlineStr">
        <is>
          <t>Carga ganadera estimada</t>
        </is>
      </c>
      <c r="C59" s="55" t="inlineStr">
        <is>
          <t>UA/ha</t>
        </is>
      </c>
      <c r="D59" s="55" t="inlineStr">
        <is>
          <t>Sin cuantificar</t>
        </is>
      </c>
      <c r="E59" s="55" t="inlineStr">
        <is>
          <t>Encuesta a tenedores pendiente</t>
        </is>
      </c>
      <c r="F59" s="55" t="inlineStr">
        <is>
          <t>Según tipo de ecosistema</t>
        </is>
      </c>
      <c r="G59" s="55" t="inlineStr"/>
    </row>
    <row r="60">
      <c r="A60" s="56" t="inlineStr">
        <is>
          <t>6</t>
        </is>
      </c>
      <c r="B60" s="56" t="inlineStr">
        <is>
          <t>Frecuencia de quemas últimos 5 años</t>
        </is>
      </c>
      <c r="C60" s="56" t="inlineStr">
        <is>
          <t>N°</t>
        </is>
      </c>
      <c r="D60" s="56" t="inlineStr">
        <is>
          <t>Sin dato</t>
        </is>
      </c>
      <c r="E60" s="56" t="inlineStr">
        <is>
          <t>Por verificar con la comunidad</t>
        </is>
      </c>
      <c r="F60" s="56" t="inlineStr">
        <is>
          <t>0 nulo; 1-2 medio; &gt;2 alto</t>
        </is>
      </c>
      <c r="G60" s="56" t="inlineStr"/>
    </row>
    <row r="61">
      <c r="A61" s="55" t="inlineStr">
        <is>
          <t>7</t>
        </is>
      </c>
      <c r="B61" s="55" t="inlineStr">
        <is>
          <t>% área con pendiente &gt;50%</t>
        </is>
      </c>
      <c r="C61" s="55" t="inlineStr">
        <is>
          <t>%</t>
        </is>
      </c>
      <c r="D61" s="55" t="inlineStr">
        <is>
          <t>Sin cuantificar</t>
        </is>
      </c>
      <c r="E61" s="55" t="inlineStr">
        <is>
          <t>Estadística zonal MDE pendiente</t>
        </is>
      </c>
      <c r="F61" s="55" t="inlineStr">
        <is>
          <t>Factor de susceptibilidad</t>
        </is>
      </c>
      <c r="G61" s="55" t="inlineStr"/>
    </row>
    <row r="62">
      <c r="A62" s="56" t="inlineStr">
        <is>
          <t>8</t>
        </is>
      </c>
      <c r="B62" s="56" t="inlineStr">
        <is>
          <t>Distancia a vía vecinal más cercana</t>
        </is>
      </c>
      <c r="C62" s="56" t="inlineStr">
        <is>
          <t>m</t>
        </is>
      </c>
      <c r="D62" s="56" t="inlineStr">
        <is>
          <t>≈ 72 — trocha del corredor norte</t>
        </is>
      </c>
      <c r="E62" s="56" t="inlineStr">
        <is>
          <t>Medición sobre plano MSAVI</t>
        </is>
      </c>
      <c r="F62" s="56" t="inlineStr">
        <is>
          <t>A menor distancia → mayor presión</t>
        </is>
      </c>
      <c r="G62" s="56" t="inlineStr">
        <is>
          <t>Alto</t>
        </is>
      </c>
    </row>
    <row r="64">
      <c r="A64" s="53" t="inlineStr">
        <is>
          <t>F-DT-05 · FUENTES DE AGUA INVENTARIADAS</t>
        </is>
      </c>
    </row>
    <row r="65">
      <c r="A65" s="54" t="inlineStr">
        <is>
          <t>N.o</t>
        </is>
      </c>
      <c r="B65" s="54" t="inlineStr">
        <is>
          <t>Tipo de fuente</t>
        </is>
      </c>
      <c r="C65" s="54" t="inlineStr">
        <is>
          <t>UTM ESTE</t>
        </is>
      </c>
      <c r="D65" s="54" t="inlineStr">
        <is>
          <t>UTM NORTE</t>
        </is>
      </c>
      <c r="E65" s="54" t="inlineStr">
        <is>
          <t>Régimen</t>
        </is>
      </c>
      <c r="F65" s="54" t="inlineStr">
        <is>
          <t>Calidad</t>
        </is>
      </c>
      <c r="G65" s="54" t="inlineStr">
        <is>
          <t>Distancia (m)</t>
        </is>
      </c>
      <c r="H65" s="54" t="inlineStr">
        <is>
          <t>Uso / observación</t>
        </is>
      </c>
    </row>
    <row r="66">
      <c r="A66" s="55" t="inlineStr">
        <is>
          <t>1</t>
        </is>
      </c>
      <c r="B66" s="55" t="inlineStr">
        <is>
          <t>Quebrada estacional</t>
        </is>
      </c>
      <c r="C66" s="60" t="n">
        <v>663129</v>
      </c>
      <c r="D66" s="60" t="n">
        <v>9392553</v>
      </c>
      <c r="E66" s="55" t="inlineStr">
        <is>
          <t>Estacional (lluvias)</t>
        </is>
      </c>
      <c r="F66" s="55" t="inlineStr">
        <is>
          <t>No evaluable</t>
        </is>
      </c>
      <c r="G66" s="60" t="n">
        <v>72</v>
      </c>
      <c r="H66" s="55" t="inlineStr">
        <is>
          <t>Vaguada al norte del bloque, con derrubios y bloques sueltos; sin obra de cruce (E-08).</t>
        </is>
      </c>
    </row>
    <row r="67">
      <c r="A67" s="56" t="inlineStr">
        <is>
          <t>2</t>
        </is>
      </c>
      <c r="B67" s="56" t="inlineStr">
        <is>
          <t>Otro</t>
        </is>
      </c>
      <c r="C67" s="61" t="n">
        <v>663129</v>
      </c>
      <c r="D67" s="61" t="n">
        <v>9392553</v>
      </c>
      <c r="E67" s="56" t="inlineStr">
        <is>
          <t>Permanente</t>
        </is>
      </c>
      <c r="F67" s="56" t="inlineStr">
        <is>
          <t>No evaluable</t>
        </is>
      </c>
      <c r="G67" s="61" t="n">
        <v>72</v>
      </c>
      <c r="H67" s="56" t="inlineStr">
        <is>
          <t>Tubería de conducción de agua descendiendo por el eje de la vaguada (E-08). Infraestructura existente NO registrada en las capas del proyecto.</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44" customWidth="1" min="1" max="1"/>
    <col width="18" customWidth="1" min="2" max="2"/>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GRÁFICOS DE LA INTEGRACIÓN — BLOQUE 69</t>
        </is>
      </c>
    </row>
    <row r="7">
      <c r="A7" s="53" t="inlineStr">
        <is>
          <t>Hechos declarados por fuente</t>
        </is>
      </c>
    </row>
    <row r="8">
      <c r="A8" s="54" t="inlineStr">
        <is>
          <t>Fuente</t>
        </is>
      </c>
      <c r="B8" s="54" t="inlineStr">
        <is>
          <t>Hechos</t>
        </is>
      </c>
    </row>
    <row r="9">
      <c r="A9" s="55" t="inlineStr">
        <is>
          <t>Dato de campo</t>
        </is>
      </c>
      <c r="B9" s="55" t="n">
        <v>68</v>
      </c>
    </row>
    <row r="10">
      <c r="A10" s="56" t="inlineStr">
        <is>
          <t>Gabinete (GIS / teledetección)</t>
        </is>
      </c>
      <c r="B10" s="56" t="n">
        <v>22</v>
      </c>
    </row>
    <row r="11">
      <c r="A11" s="55" t="inlineStr">
        <is>
          <t>Fuente oficial</t>
        </is>
      </c>
      <c r="B11" s="55" t="n">
        <v>14</v>
      </c>
    </row>
    <row r="26">
      <c r="A26" s="53" t="inlineStr">
        <is>
          <t>Estado del cruce entre fuentes</t>
        </is>
      </c>
    </row>
    <row r="27">
      <c r="A27" s="54" t="inlineStr">
        <is>
          <t>Estado</t>
        </is>
      </c>
      <c r="B27" s="54" t="inlineStr">
        <is>
          <t>Hechos</t>
        </is>
      </c>
    </row>
    <row r="28">
      <c r="A28" s="55" t="inlineStr">
        <is>
          <t>CONFORME</t>
        </is>
      </c>
      <c r="B28" s="55" t="n">
        <v>104</v>
      </c>
    </row>
    <row r="29">
      <c r="A29" s="56" t="inlineStr">
        <is>
          <t>COMPLEMENTADO</t>
        </is>
      </c>
      <c r="B29" s="56" t="n">
        <v>0</v>
      </c>
    </row>
    <row r="30">
      <c r="A30" s="55" t="inlineStr">
        <is>
          <t>ACTUALIZADO</t>
        </is>
      </c>
      <c r="B30" s="55" t="n">
        <v>0</v>
      </c>
    </row>
    <row r="31">
      <c r="A31" s="56" t="inlineStr">
        <is>
          <t>DISCREPANTE</t>
        </is>
      </c>
      <c r="B31" s="56" t="n">
        <v>0</v>
      </c>
    </row>
    <row r="32">
      <c r="A32" s="55" t="inlineStr">
        <is>
          <t>PENDIENTE</t>
        </is>
      </c>
      <c r="B32" s="55" t="n">
        <v>10</v>
      </c>
    </row>
    <row r="45">
      <c r="A45" s="53" t="inlineStr">
        <is>
          <t>Cobertura por estrato — campo (%)</t>
        </is>
      </c>
    </row>
    <row r="46">
      <c r="A46" s="54" t="inlineStr">
        <is>
          <t>Estrato</t>
        </is>
      </c>
      <c r="B46" s="54" t="inlineStr">
        <is>
          <t>% del área</t>
        </is>
      </c>
    </row>
    <row r="47">
      <c r="A47" s="55" t="inlineStr">
        <is>
          <t>Dosel</t>
        </is>
      </c>
      <c r="B47" s="62" t="n">
        <v>5</v>
      </c>
    </row>
    <row r="48">
      <c r="A48" s="56" t="inlineStr">
        <is>
          <t>Arbustiva</t>
        </is>
      </c>
      <c r="B48" s="61" t="n">
        <v>15</v>
      </c>
    </row>
    <row r="49">
      <c r="A49" s="55" t="inlineStr">
        <is>
          <t>Herbácea</t>
        </is>
      </c>
      <c r="B49" s="60" t="n">
        <v>55</v>
      </c>
    </row>
    <row r="50">
      <c r="A50" s="56" t="inlineStr">
        <is>
          <t>Suelo desnudo</t>
        </is>
      </c>
      <c r="B50" s="61" t="n">
        <v>10</v>
      </c>
    </row>
    <row r="64">
      <c r="A64" s="53" t="inlineStr">
        <is>
          <t>Causas activas de degradación (F-DT-04)</t>
        </is>
      </c>
    </row>
    <row r="65">
      <c r="A65" s="54" t="inlineStr">
        <is>
          <t>Causa</t>
        </is>
      </c>
      <c r="B65" s="54" t="inlineStr">
        <is>
          <t>Intensidad (1 ligera - 4 muy fuerte)</t>
        </is>
      </c>
    </row>
    <row r="66">
      <c r="A66" s="55" t="inlineStr">
        <is>
          <t>Erosión natural severa</t>
        </is>
      </c>
      <c r="B66" s="55" t="n">
        <v>3</v>
      </c>
    </row>
    <row r="67">
      <c r="A67" s="56" t="inlineStr">
        <is>
          <t>Cambio de uso a pastoreo</t>
        </is>
      </c>
      <c r="B67" s="56" t="n">
        <v>2</v>
      </c>
    </row>
    <row r="68">
      <c r="A68" s="55" t="inlineStr">
        <is>
          <t>Expansión urbana / vial</t>
        </is>
      </c>
      <c r="B68" s="55" t="n">
        <v>2</v>
      </c>
    </row>
    <row r="69">
      <c r="A69" s="56" t="inlineStr">
        <is>
          <t>Sequía prolongada / CC</t>
        </is>
      </c>
      <c r="B69" s="56" t="n">
        <v>2</v>
      </c>
    </row>
    <row r="70">
      <c r="A70" s="55" t="inlineStr">
        <is>
          <t>Sobrepastoreo (caprino/vacuno)</t>
        </is>
      </c>
      <c r="B70" s="55" t="n">
        <v>2</v>
      </c>
    </row>
    <row r="83">
      <c r="A83" s="53" t="inlineStr">
        <is>
          <t>Control de consistencia por calificación</t>
        </is>
      </c>
    </row>
    <row r="84">
      <c r="A84" s="54" t="inlineStr">
        <is>
          <t>Calificación</t>
        </is>
      </c>
      <c r="B84" s="54" t="inlineStr">
        <is>
          <t>Verificaciones</t>
        </is>
      </c>
    </row>
    <row r="85">
      <c r="A85" s="55" t="inlineStr">
        <is>
          <t>SUSTANTIVA</t>
        </is>
      </c>
      <c r="B85" s="55" t="n">
        <v>9</v>
      </c>
    </row>
    <row r="86">
      <c r="A86" s="56" t="inlineStr">
        <is>
          <t>NO SUSTANTIVA</t>
        </is>
      </c>
      <c r="B86" s="56" t="n">
        <v>2</v>
      </c>
    </row>
    <row r="87">
      <c r="A87" s="55" t="inlineStr">
        <is>
          <t>CORREGIDO</t>
        </is>
      </c>
      <c r="B87" s="55" t="n">
        <v>0</v>
      </c>
    </row>
    <row r="88">
      <c r="A88" s="56" t="inlineStr">
        <is>
          <t>CONFORME</t>
        </is>
      </c>
      <c r="B88" s="56"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69 — IN Piura</dc:title>
  <dc:subject>Diagnóstico Territorial por bloque de intervención</dc:subject>
  <dcterms:created xsi:type="dcterms:W3CDTF">2026-09-08T03:39:59Z</dcterms:created>
  <dcterms:modified xsi:type="dcterms:W3CDTF">2026-09-11T21:26:29Z</dcterms:modified>
</cp:coreProperties>
</file>