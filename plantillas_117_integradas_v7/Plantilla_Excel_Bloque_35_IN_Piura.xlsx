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35</t>
        </is>
      </c>
    </row>
    <row r="6" ht="24" customHeight="1">
      <c r="A6" s="4" t="inlineStr">
        <is>
          <t>Diagnóstico Territorial — Plantilla DT Campo Check Validada V5 | Sistema de referencia: UTM WGS 84 Zona 17S (EPSG:32717) · Integrado con la ficha de campo F-DT vigente (Plantilla_DT_Campo_V5_Bloque35_IN_Piura.xlsx) — V7 - resumen V6 + campo F-DT integrado</t>
        </is>
      </c>
    </row>
    <row r="7"/>
    <row r="8" ht="18" customHeight="1">
      <c r="A8" s="5" t="inlineStr">
        <is>
          <t>1. IDENTIFICACIÓN Y LOCALIZACIÓN</t>
        </is>
      </c>
    </row>
    <row r="9">
      <c r="A9" s="6" t="inlineStr">
        <is>
          <t>Código del bloque</t>
        </is>
      </c>
      <c r="B9" s="7" t="inlineStr">
        <is>
          <t>35</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50" t="inlineStr">
        <is>
          <t>Chamelico (a ≈ 546 m del centroide) · Quitahuajara (a ≈ 954 m)</t>
        </is>
      </c>
      <c r="C13" s="6" t="inlineStr">
        <is>
          <t>Comunidad campesina</t>
        </is>
      </c>
      <c r="D13" s="7" t="inlineStr">
        <is>
          <t>Por determinar</t>
        </is>
      </c>
      <c r="E13" s="8" t="n"/>
      <c r="F13" s="8" t="n"/>
    </row>
    <row r="14">
      <c r="A14" s="6" t="inlineStr">
        <is>
          <t>Superficie de catálogo (V5/V6), ha</t>
        </is>
      </c>
      <c r="B14" s="7" t="n">
        <v>30.8</v>
      </c>
      <c r="C14" s="6" t="inlineStr">
        <is>
          <t>Fuente de superficie</t>
        </is>
      </c>
      <c r="D14" s="7" t="inlineStr">
        <is>
          <t>Catálogo maestro Bloques V5/V6</t>
        </is>
      </c>
      <c r="E14" s="8" t="n"/>
      <c r="F14" s="8" t="n"/>
    </row>
    <row r="15">
      <c r="A15" s="6" t="inlineStr">
        <is>
          <t>Centroide UTM ESTE (m)</t>
        </is>
      </c>
      <c r="B15" s="7" t="n">
        <v>654607</v>
      </c>
      <c r="C15" s="6" t="inlineStr">
        <is>
          <t>Centroide UTM NORTE (m)</t>
        </is>
      </c>
      <c r="D15" s="7" t="n">
        <v>9395038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1376</v>
      </c>
      <c r="C19" s="6" t="inlineStr">
        <is>
          <t>Altitud máxima (msnm)</t>
        </is>
      </c>
      <c r="D19" s="7" t="n">
        <v>1621</v>
      </c>
      <c r="E19" s="8" t="n"/>
      <c r="F19" s="8" t="n"/>
    </row>
    <row r="20">
      <c r="A20" s="6" t="inlineStr">
        <is>
          <t>Amplitud altitudinal (m)</t>
        </is>
      </c>
      <c r="B20" s="7" t="n">
        <v>245</v>
      </c>
      <c r="C20" s="6" t="inlineStr">
        <is>
          <t>Piso altitudinal dominante</t>
        </is>
      </c>
      <c r="D20" s="7" t="inlineStr">
        <is>
          <t>1000-1500 m (Quechua baja)</t>
        </is>
      </c>
      <c r="E20" s="8" t="n"/>
      <c r="F20" s="8" t="n"/>
    </row>
    <row r="21">
      <c r="A21" s="6" t="inlineStr">
        <is>
          <t>Pendiente promedio (%)</t>
        </is>
      </c>
      <c r="B21" s="7" t="n">
        <v>33.66</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0.6245000000000001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(98.17 %)</t>
        </is>
      </c>
      <c r="E29" s="8" t="n"/>
      <c r="F29" s="8" t="n"/>
    </row>
    <row r="30">
      <c r="A30" s="6" t="inlineStr">
        <is>
          <t>Superficie clasificada NDVI 2025 (ha)</t>
        </is>
      </c>
      <c r="B30" s="7" t="n">
        <v>30.811</v>
      </c>
      <c r="C30" s="6" t="inlineStr">
        <is>
          <t>Desviación frente al catálogo (%)</t>
        </is>
      </c>
      <c r="D30" s="7" t="n">
        <v>0.03</v>
      </c>
      <c r="E30" s="8" t="n"/>
      <c r="F30" s="8" t="n"/>
    </row>
    <row r="31">
      <c r="A31" s="6" t="inlineStr">
        <is>
          <t>Superficie clasificada MSAVI 2024 (ha)</t>
        </is>
      </c>
      <c r="B31" s="38" t="n">
        <v>30.804</v>
      </c>
      <c r="C31" s="6" t="inlineStr">
        <is>
          <t>Desviación MSAVI frente al catálogo (%)</t>
        </is>
      </c>
      <c r="D31" s="39" t="n">
        <v>0.01</v>
      </c>
      <c r="E31" s="8" t="n"/>
      <c r="F31" s="8" t="n"/>
    </row>
    <row r="32">
      <c r="A32" s="6" t="inlineStr">
        <is>
          <t>Superficie bajo umbral MSAVI 0.4976 (ha)</t>
        </is>
      </c>
      <c r="B32" s="38" t="n">
        <v>0.366</v>
      </c>
      <c r="C32" s="6" t="inlineStr">
        <is>
          <t>% del bloque bajo umbral (brecha espectral)</t>
        </is>
      </c>
      <c r="D32" s="39" t="n">
        <v>1.19</v>
      </c>
      <c r="E32" s="8" t="n"/>
      <c r="F32" s="8" t="n"/>
    </row>
    <row r="33">
      <c r="A33" s="6" t="inlineStr">
        <is>
          <t>Clase DN dominante (MSAVI 2024)</t>
        </is>
      </c>
      <c r="B33" s="7" t="inlineStr">
        <is>
          <t>DN 5 · &gt; 0.6139 (Vigor alto)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11:02 - 11:43 h</t>
        </is>
      </c>
      <c r="C45" s="6" t="inlineStr">
        <is>
          <t>Correlativo de ficha</t>
        </is>
      </c>
      <c r="D45" s="7" t="inlineStr">
        <is>
          <t>F-DT-B35-01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16</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ordenamiento del uso del suelo y de alternativas productivas sostenibles en laderas de aptitud forestal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17.8544</v>
      </c>
      <c r="C10" s="31">
        <f>ROUND(B10/$B$15*100,2)</f>
        <v/>
      </c>
      <c r="D10" s="12" t="inlineStr">
        <is>
          <t>Vigor alto</t>
        </is>
      </c>
      <c r="E10" s="12" t="inlineStr">
        <is>
          <t>Sobre umbral</t>
        </is>
      </c>
    </row>
    <row r="11">
      <c r="A11" s="13" t="inlineStr">
        <is>
          <t>0.4976 - 0.6139 · DN 4</t>
        </is>
      </c>
      <c r="B11" s="20" t="n">
        <v>12.5836</v>
      </c>
      <c r="C11" s="21">
        <f>ROUND(B11/$B$15*100,2)</f>
        <v/>
      </c>
      <c r="D11" s="14" t="inlineStr">
        <is>
          <t>Vigor moderado</t>
        </is>
      </c>
      <c r="E11" s="14" t="inlineStr">
        <is>
          <t>Sobre umbral</t>
        </is>
      </c>
    </row>
    <row r="12">
      <c r="A12" s="7" t="inlineStr">
        <is>
          <t>0.3813 - 0.4976 · DN 3</t>
        </is>
      </c>
      <c r="B12" s="18" t="n">
        <v>0.3589</v>
      </c>
      <c r="C12" s="19">
        <f>ROUND(B12/$B$15*100,2)</f>
        <v/>
      </c>
      <c r="D12" s="15" t="inlineStr">
        <is>
          <t>Vigor bajo</t>
        </is>
      </c>
      <c r="E12" s="15" t="inlineStr">
        <is>
          <t>BAJO umbral 0.4976</t>
        </is>
      </c>
    </row>
    <row r="13">
      <c r="A13" s="13" t="inlineStr">
        <is>
          <t>0.2650 - 0.3813 · DN 2</t>
        </is>
      </c>
      <c r="B13" s="20" t="n">
        <v>0.0072</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113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30.8</v>
      </c>
      <c r="C18" s="49" t="inlineStr">
        <is>
          <t>—</t>
        </is>
      </c>
      <c r="D18" s="46" t="inlineStr">
        <is>
          <t>Desviación planimétrica frente al catálogo</t>
        </is>
      </c>
      <c r="E18" s="46" t="inlineStr">
        <is>
          <t>+0.01 %</t>
        </is>
      </c>
    </row>
    <row r="19">
      <c r="A19" s="16" t="inlineStr">
        <is>
          <t>MSAVI 2024 — MEDIA DEL BLOQUE</t>
        </is>
      </c>
      <c r="B19" s="17" t="n">
        <v>0.6244769999999999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(0.6245)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30.2454</v>
      </c>
      <c r="C25" s="19" t="n">
        <v>98.17</v>
      </c>
      <c r="D25" s="15" t="inlineStr">
        <is>
          <t>Dosel continuo, matorral denso o mosaico agroforestal</t>
        </is>
      </c>
      <c r="E25" s="15" t="inlineStr"/>
    </row>
    <row r="26">
      <c r="A26" s="13" t="inlineStr">
        <is>
          <t>Vegetación mediana</t>
        </is>
      </c>
      <c r="B26" s="20" t="n">
        <v>0.5651</v>
      </c>
      <c r="C26" s="21" t="n">
        <v>1.83</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30.8</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98.17 % del polígono clasificado como «Vegetación alta» por el NDVI 2025; la observación de campo corresponde a una parcela o recorrido puntual y no es estadísticamente representativa de las 30.800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35</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654607</v>
      </c>
      <c r="D10" s="26" t="n">
        <v>9395038</v>
      </c>
      <c r="E10" s="15" t="n">
        <v>0</v>
      </c>
      <c r="F10" s="15" t="inlineStr"/>
      <c r="G10" s="15" t="inlineStr">
        <is>
          <t>Coordenada consignada en F-DT-01</t>
        </is>
      </c>
    </row>
    <row r="11">
      <c r="A11" s="13" t="inlineStr">
        <is>
          <t>E-01</t>
        </is>
      </c>
      <c r="B11" s="14" t="inlineStr">
        <is>
          <t>Rasgo erosivo — Surco (&lt;30 cm)</t>
        </is>
      </c>
      <c r="C11" s="27" t="n">
        <v>654549</v>
      </c>
      <c r="D11" s="27" t="n">
        <v>9395200</v>
      </c>
      <c r="E11" s="14" t="n">
        <v>172.1</v>
      </c>
      <c r="F11" s="14" t="inlineStr">
        <is>
          <t>Activa</t>
        </is>
      </c>
      <c r="G11" s="14" t="inlineStr">
        <is>
          <t>Caminos / huellas de ganado</t>
        </is>
      </c>
    </row>
    <row r="12">
      <c r="A12" s="7" t="inlineStr">
        <is>
          <t>E-02</t>
        </is>
      </c>
      <c r="B12" s="15" t="inlineStr">
        <is>
          <t>Rasgo erosivo — Surco (&lt;30 cm)</t>
        </is>
      </c>
      <c r="C12" s="26" t="n">
        <v>654687</v>
      </c>
      <c r="D12" s="26" t="n">
        <v>9395072</v>
      </c>
      <c r="E12" s="15" t="n">
        <v>86.90000000000001</v>
      </c>
      <c r="F12" s="15" t="inlineStr">
        <is>
          <t>Activa</t>
        </is>
      </c>
      <c r="G12" s="15" t="inlineStr">
        <is>
          <t>Caminos / huellas de ganado</t>
        </is>
      </c>
    </row>
    <row r="13">
      <c r="A13" s="13" t="inlineStr">
        <is>
          <t>E-03</t>
        </is>
      </c>
      <c r="B13" s="14" t="inlineStr">
        <is>
          <t>Rasgo erosivo — Surco (&lt;30 cm)</t>
        </is>
      </c>
      <c r="C13" s="27" t="n">
        <v>654665</v>
      </c>
      <c r="D13" s="27" t="n">
        <v>9395169</v>
      </c>
      <c r="E13" s="14" t="n">
        <v>143.3</v>
      </c>
      <c r="F13" s="14" t="inlineStr">
        <is>
          <t>Activa</t>
        </is>
      </c>
      <c r="G13" s="14" t="inlineStr">
        <is>
          <t>Concentración natural de escorrentía</t>
        </is>
      </c>
    </row>
    <row r="14">
      <c r="A14" s="7" t="inlineStr">
        <is>
          <t>H-01</t>
        </is>
      </c>
      <c r="B14" s="15" t="inlineStr">
        <is>
          <t>Fuente de agua — Manantial / Puquio</t>
        </is>
      </c>
      <c r="C14" s="26" t="n">
        <v>654746</v>
      </c>
      <c r="D14" s="26" t="n">
        <v>9395088</v>
      </c>
      <c r="E14" s="15" t="n">
        <v>147.7</v>
      </c>
      <c r="F14" s="15" t="inlineStr">
        <is>
          <t>Permanente</t>
        </is>
      </c>
      <c r="G14" s="15" t="inlineStr">
        <is>
          <t>Afloramiento en roca — captación poblacional</t>
        </is>
      </c>
    </row>
    <row r="15">
      <c r="A15" s="13" t="inlineStr">
        <is>
          <t>H-02</t>
        </is>
      </c>
      <c r="B15" s="14" t="inlineStr">
        <is>
          <t>Fuente de agua — Quebrada permanente</t>
        </is>
      </c>
      <c r="C15" s="27" t="n">
        <v>654758</v>
      </c>
      <c r="D15" s="27" t="n">
        <v>9395031</v>
      </c>
      <c r="E15" s="14" t="n">
        <v>151.2</v>
      </c>
      <c r="F15" s="14" t="inlineStr">
        <is>
          <t>Permanente</t>
        </is>
      </c>
      <c r="G15" s="14" t="inlineStr">
        <is>
          <t>Quebrada con salto de agua — captación poblacional</t>
        </is>
      </c>
    </row>
    <row r="16">
      <c r="A16" s="7" t="inlineStr">
        <is>
          <t>B-04</t>
        </is>
      </c>
      <c r="B16" s="15" t="inlineStr">
        <is>
          <t>Especie clave — Caña de Guayaquil (Guadua angustifolia)</t>
        </is>
      </c>
      <c r="C16" s="26" t="n">
        <v>654758</v>
      </c>
      <c r="D16" s="26" t="n">
        <v>9395031</v>
      </c>
      <c r="E16" s="15" t="n">
        <v>151.2</v>
      </c>
      <c r="F16" s="15" t="inlineStr">
        <is>
          <t>Indicadora de buen estado</t>
        </is>
      </c>
      <c r="G16" s="15" t="inlineStr">
        <is>
          <t>NE</t>
        </is>
      </c>
    </row>
    <row r="17">
      <c r="A17" s="13" t="inlineStr">
        <is>
          <t>B-05</t>
        </is>
      </c>
      <c r="B17" s="14" t="inlineStr">
        <is>
          <t>Especie clave — Helechos arborescentes</t>
        </is>
      </c>
      <c r="C17" s="27" t="n">
        <v>654758</v>
      </c>
      <c r="D17" s="27" t="n">
        <v>9395031</v>
      </c>
      <c r="E17" s="14" t="n">
        <v>151.2</v>
      </c>
      <c r="F17" s="14" t="inlineStr">
        <is>
          <t>Indicadora de buen estado</t>
        </is>
      </c>
      <c r="G17" s="14" t="inlineStr">
        <is>
          <t>NE</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654607</v>
      </c>
      <c r="C20" s="6" t="inlineStr">
        <is>
          <t>Centroide del bloque — UTM NORTE (m)</t>
        </is>
      </c>
      <c r="D20" s="7" t="n">
        <v>9395038</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CENTROIDE OFICIAL del bloque. PENDIENTE: el perfil Google Earth (transecto de 544 m) arroja media 41.6% y máxima 59.0%; las anotaciones de campo registran 80% y 90% en las laderas medias. Se adopta 50-75% como rango dominante por tratarse de un transecto oblicuo que subestima la pendiente real; verificación instrumental PENDIENTE. ALTITUD: el bloque es transicional (1373-1605 msnm medidos; polígono entre las curvas de 1400 y 1700 msnm).</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35</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5" t="inlineStr">
        <is>
          <t>1529 – 2264</t>
        </is>
      </c>
      <c r="E10" s="15" t="n">
        <v>735</v>
      </c>
      <c r="F10" s="15" t="n">
        <v>34.82</v>
      </c>
      <c r="G10" s="18" t="n">
        <v>0.5745</v>
      </c>
      <c r="H10" s="19" t="n">
        <v>90.23999999999999</v>
      </c>
      <c r="I10" s="19" t="n">
        <v>11.68</v>
      </c>
    </row>
    <row r="11">
      <c r="A11" s="13" t="inlineStr">
        <is>
          <t>M22B1</t>
        </is>
      </c>
      <c r="B11" s="29" t="n">
        <v>55.17</v>
      </c>
      <c r="C11" s="21" t="n">
        <v>20.14</v>
      </c>
      <c r="D11" s="14" t="inlineStr">
        <is>
          <t>3216 – 3436</t>
        </is>
      </c>
      <c r="E11" s="14" t="n">
        <v>220</v>
      </c>
      <c r="F11" s="14" t="n">
        <v>19.98</v>
      </c>
      <c r="G11" s="20" t="n">
        <v>0.594</v>
      </c>
      <c r="H11" s="21" t="n">
        <v>91.05</v>
      </c>
      <c r="I11" s="21" t="n">
        <v>4.1</v>
      </c>
    </row>
    <row r="12">
      <c r="A12" s="11" t="inlineStr">
        <is>
          <t>► 35</t>
        </is>
      </c>
      <c r="B12" s="30" t="n">
        <v>30.8</v>
      </c>
      <c r="C12" s="31" t="n">
        <v>11.24</v>
      </c>
      <c r="D12" s="12" t="inlineStr">
        <is>
          <t>1376 – 1621</t>
        </is>
      </c>
      <c r="E12" s="12" t="n">
        <v>245</v>
      </c>
      <c r="F12" s="12" t="n">
        <v>33.66</v>
      </c>
      <c r="G12" s="32" t="n">
        <v>0.6245000000000001</v>
      </c>
      <c r="H12" s="31" t="n">
        <v>98.17</v>
      </c>
      <c r="I12" s="31" t="n">
        <v>1.19</v>
      </c>
    </row>
    <row r="13">
      <c r="A13" s="13" t="inlineStr">
        <is>
          <t>44</t>
        </is>
      </c>
      <c r="B13" s="29" t="n">
        <v>28.23</v>
      </c>
      <c r="C13" s="21" t="n">
        <v>10.3</v>
      </c>
      <c r="D13" s="14" t="inlineStr">
        <is>
          <t>3091 – 3277</t>
        </is>
      </c>
      <c r="E13" s="14" t="n">
        <v>186</v>
      </c>
      <c r="F13" s="14" t="n">
        <v>22.21</v>
      </c>
      <c r="G13" s="20" t="n">
        <v>0.5113</v>
      </c>
      <c r="H13" s="21" t="n">
        <v>83.84999999999999</v>
      </c>
      <c r="I13" s="21" t="n">
        <v>52.06</v>
      </c>
    </row>
    <row r="14">
      <c r="A14" s="7" t="inlineStr">
        <is>
          <t>43</t>
        </is>
      </c>
      <c r="B14" s="28" t="n">
        <v>23.17</v>
      </c>
      <c r="C14" s="19" t="n">
        <v>8.460000000000001</v>
      </c>
      <c r="D14" s="15" t="inlineStr">
        <is>
          <t>251 – 811</t>
        </is>
      </c>
      <c r="E14" s="15" t="n">
        <v>560</v>
      </c>
      <c r="F14" s="15" t="n">
        <v>31.39</v>
      </c>
      <c r="G14" s="18" t="n">
        <v>0.5515</v>
      </c>
      <c r="H14" s="19" t="n">
        <v>78.91</v>
      </c>
      <c r="I14" s="19" t="n">
        <v>21.28</v>
      </c>
    </row>
    <row r="15">
      <c r="A15" s="13" t="inlineStr">
        <is>
          <t>47</t>
        </is>
      </c>
      <c r="B15" s="29" t="n">
        <v>13.55</v>
      </c>
      <c r="C15" s="21" t="n">
        <v>4.95</v>
      </c>
      <c r="D15" s="14" t="inlineStr">
        <is>
          <t>2105 – 2333</t>
        </is>
      </c>
      <c r="E15" s="14" t="n">
        <v>228</v>
      </c>
      <c r="F15" s="14" t="n">
        <v>32.43</v>
      </c>
      <c r="G15" s="20" t="n">
        <v>0.5936</v>
      </c>
      <c r="H15" s="21" t="n">
        <v>91.26000000000001</v>
      </c>
      <c r="I15" s="21" t="n">
        <v>9.84</v>
      </c>
    </row>
    <row r="16">
      <c r="A16" s="7" t="inlineStr">
        <is>
          <t>67</t>
        </is>
      </c>
      <c r="B16" s="28" t="n">
        <v>13.18</v>
      </c>
      <c r="C16" s="19" t="n">
        <v>4.81</v>
      </c>
      <c r="D16" s="15" t="inlineStr">
        <is>
          <t>1575 – 1770</t>
        </is>
      </c>
      <c r="E16" s="15" t="n">
        <v>195</v>
      </c>
      <c r="F16" s="15" t="n">
        <v>30.33</v>
      </c>
      <c r="G16" s="18" t="n">
        <v>0.6052999999999999</v>
      </c>
      <c r="H16" s="19" t="n">
        <v>97.5</v>
      </c>
      <c r="I16" s="19" t="n">
        <v>2.12</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35 ocupa el puesto 3 de 7 por superficie dentro de la microcuenca C1076-Q9586 (11.24 % de las 273.96 ha preliminares de la microcuenca). Su pendiente promedio (33.66 %, clase «25-50% (Mod. escarpado)») es la 6.ª más baja de 7 y se sitúa por encima del promedio de la microcuenca (29.26 %). Su MSAVI 2024 (0.6245) es el 1.º de 7 y queda por encima del promedio local (0.5793). Amplitud altitudinal del bloque: 245 m (1376–1621 msnm). El cuadro conserva todos los bloques catalogados en la microcuenca, incluidos los descartados en el tamizaje, para referencia del conjunto. Los bloques sin ficha DT figuran con sus parámetros de gabinete. BRECHA ESPECTRAL. El 1.19 % de la superficie del bloque (0.366 ha de 30.804 ha) se sitúa bajo el umbral MSAVI 0.4976, por debajo del promedio local de la microcuenca (14.61 %) calculado sobre los bloques con dato MSAVI disponible.</t>
        </is>
      </c>
      <c r="B19" s="41" t="n"/>
      <c r="C19" s="41" t="n"/>
      <c r="D19" s="41" t="n"/>
      <c r="E19" s="41" t="n"/>
      <c r="F19" s="41" t="n"/>
      <c r="G19" s="41" t="n"/>
      <c r="H19" s="41" t="n"/>
      <c r="I19" s="42"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1" t="n"/>
      <c r="I21" s="42"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35</t>
        </is>
      </c>
    </row>
    <row r="6">
      <c r="A6" s="52" t="inlineStr">
        <is>
          <t>Cruce de la ficha de campo F-DT vigente con la ficha de resumen de gabinete y el catálogo maestro. Integración 2026-09-11 21:26:25.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«C1076-Q9586».</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(1373 msnm) cae dentro del rango altitudinal del bloque (1376 - 1621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(30.811 ha) se desvía 0.04 % de la superficie de catálogo (30.80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(30.804 ha) se desvía 0.01 % de la superficie de catálogo (30.80 ha).</t>
        </is>
      </c>
      <c r="D14" s="57" t="inlineStr">
        <is>
          <t>CONFORME</t>
        </is>
      </c>
      <c r="E14" s="57" t="inlineStr">
        <is>
          <t>Sin acción: la segmentación valida la geometría del bloque.</t>
        </is>
      </c>
    </row>
    <row r="15">
      <c r="A15" s="56" t="inlineStr">
        <is>
          <t>G-07</t>
        </is>
      </c>
      <c r="B15" s="56" t="inlineStr">
        <is>
          <t>Brecha espectral MSAVI</t>
        </is>
      </c>
      <c r="C15" s="56" t="inlineStr">
        <is>
          <t>El 1.19 % del bloque queda bajo el umbral 0.4976; superficie de brecha 0.3661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30.80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(0.6245)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«Chamelico (≈546 m del centroide) · Quitahuajara (≈954 m)»; la ficha de campo vigente declara «Chamelico (a ≈ 546 m del centroide) · Quitahuajara (a ≈ 954 m)».</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96.4 % de los campos esperados).</t>
        </is>
      </c>
      <c r="D20" s="57" t="inlineStr">
        <is>
          <t>CONFORME</t>
        </is>
      </c>
      <c r="E20" s="57" t="inlineStr">
        <is>
          <t>Sin acción.</t>
        </is>
      </c>
    </row>
    <row r="21">
      <c r="A21" s="56" t="inlineStr">
        <is>
          <t>F-02</t>
        </is>
      </c>
      <c r="B21" s="56" t="inlineStr">
        <is>
          <t>Cobertura de la integración</t>
        </is>
      </c>
      <c r="C21" s="56" t="inlineStr">
        <is>
          <t>Se declararon 97 de 114 hechos integrados (85.1 %); 17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«50-75% (Escarpado)»; la estadística zonal sobre el MDE arroja una pendiente promedio de 33.66 %, que corresponde a la clase «25-50% (Mod. escarpado)»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Cobertura vegetal total</t>
        </is>
      </c>
      <c r="C23" s="56" t="inlineStr">
        <is>
          <t>La ficha DT estima 75 % de cobertura vegetal en campo; el NDVI mediana 2025 clasifica 100.00 %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H-03</t>
        </is>
      </c>
      <c r="B24" s="57" t="inlineStr">
        <is>
          <t>Dimensiones del inventario de cárcavas</t>
        </is>
      </c>
      <c r="C24" s="57" t="inlineStr">
        <is>
          <t>Se registran 3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6">
      <c r="A26" s="58" t="inlineStr">
        <is>
          <t>RESUMEN</t>
        </is>
      </c>
      <c r="B26" s="59" t="inlineStr">
        <is>
          <t>16 verificaciones</t>
        </is>
      </c>
      <c r="C26" s="59" t="inlineStr">
        <is>
          <t>SUSTANTIVA: 1 · NO SUSTANTIVA: 3 · CORREGIDO: 1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35</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Chamelico (≈546 m del centroide) · Quitahuajara (≈954 m)</t>
        </is>
      </c>
      <c r="D9" s="56" t="inlineStr">
        <is>
          <t>Chamelico (a ≈ 546 m del centroide) · Quitahuajara (a ≈ 954 m)</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654607</t>
        </is>
      </c>
      <c r="D13" s="56" t="inlineStr">
        <is>
          <t>m</t>
        </is>
      </c>
    </row>
    <row r="14">
      <c r="A14" s="57" t="inlineStr">
        <is>
          <t>1. Identificación y localización</t>
        </is>
      </c>
      <c r="B14" s="57" t="inlineStr">
        <is>
          <t>UTM NORTE del punto de muestreo (m)</t>
        </is>
      </c>
      <c r="C14" s="57" t="inlineStr">
        <is>
          <t>9395038</t>
        </is>
      </c>
      <c r="D14" s="57" t="inlineStr">
        <is>
          <t>m</t>
        </is>
      </c>
    </row>
    <row r="15">
      <c r="A15" s="56" t="inlineStr">
        <is>
          <t>2. Parámetros físicos del terreno</t>
        </is>
      </c>
      <c r="B15" s="56" t="inlineStr">
        <is>
          <t>Altitud GPS del punto de muestreo (msnm)</t>
        </is>
      </c>
      <c r="C15" s="56" t="inlineStr">
        <is>
          <t>1373 – 1605 (perfil Google Earth; sin registro altimétrico GPS de campo)</t>
        </is>
      </c>
      <c r="D15" s="56" t="inlineStr">
        <is>
          <t>msnm</t>
        </is>
      </c>
    </row>
    <row r="16">
      <c r="A16" s="57" t="inlineStr">
        <is>
          <t>2. Parámetros físicos del terreno</t>
        </is>
      </c>
      <c r="B16" s="57" t="inlineStr">
        <is>
          <t>Piso altitudinal del punto de muestreo</t>
        </is>
      </c>
      <c r="C16" s="57" t="inlineStr">
        <is>
          <t>1000-1500 m (Quechua baja)</t>
        </is>
      </c>
      <c r="D16" s="57" t="inlineStr"/>
    </row>
    <row r="17">
      <c r="A17" s="56" t="inlineStr">
        <is>
          <t>2. Parámetros físicos del terreno</t>
        </is>
      </c>
      <c r="B17" s="56" t="inlineStr">
        <is>
          <t>Paisaje dominante descrito en campo</t>
        </is>
      </c>
      <c r="C17" s="56" t="inlineStr">
        <is>
          <t>Ladera de montaña de fuerte pendiente que desciende de S a N hacia el cauce y la vía afirmada Ruta 108. Mosaico de matorral y bosque montano en quebradas encajonadas, pastizal con cercos en las laderas medias y altas, y relictos de bosque de galería (Guadua, helechos) en el fondo de quebrada. Cumbres con neblina persistente y plantaciones dispersas de eucalipto/pino en la divisoria.</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Patrón de cárcavas</t>
        </is>
      </c>
      <c r="C23" s="56" t="inlineStr">
        <is>
          <t>Lineal</t>
        </is>
      </c>
      <c r="D23" s="56" t="inlineStr"/>
    </row>
    <row r="24">
      <c r="A24" s="57" t="inlineStr">
        <is>
          <t>4. Suelos y erosión (F-DT-02)</t>
        </is>
      </c>
      <c r="B24" s="57" t="inlineStr">
        <is>
          <t>Socavamiento de cauce</t>
        </is>
      </c>
      <c r="C24" s="57" t="inlineStr">
        <is>
          <t>Sí</t>
        </is>
      </c>
      <c r="D24" s="57" t="inlineStr"/>
    </row>
    <row r="25">
      <c r="A25" s="56" t="inlineStr">
        <is>
          <t>5. Ecosistema, cobertura y flora (F-DT-03)</t>
        </is>
      </c>
      <c r="B25" s="56" t="inlineStr">
        <is>
          <t>Cobertura del dosel (%)</t>
        </is>
      </c>
      <c r="C25" s="56" t="inlineStr">
        <is>
          <t>20</t>
        </is>
      </c>
      <c r="D25" s="56" t="inlineStr">
        <is>
          <t>%</t>
        </is>
      </c>
    </row>
    <row r="26">
      <c r="A26" s="57" t="inlineStr">
        <is>
          <t>5. Ecosistema, cobertura y flora (F-DT-03)</t>
        </is>
      </c>
      <c r="B26" s="57" t="inlineStr">
        <is>
          <t>Cobertura arbustiva (%)</t>
        </is>
      </c>
      <c r="C26" s="57" t="inlineStr">
        <is>
          <t>45</t>
        </is>
      </c>
      <c r="D26" s="57" t="inlineStr">
        <is>
          <t>%</t>
        </is>
      </c>
    </row>
    <row r="27">
      <c r="A27" s="56" t="inlineStr">
        <is>
          <t>5. Ecosistema, cobertura y flora (F-DT-03)</t>
        </is>
      </c>
      <c r="B27" s="56" t="inlineStr">
        <is>
          <t>Cobertura herbácea (%)</t>
        </is>
      </c>
      <c r="C27" s="56" t="inlineStr">
        <is>
          <t>30</t>
        </is>
      </c>
      <c r="D27" s="56" t="inlineStr">
        <is>
          <t>%</t>
        </is>
      </c>
    </row>
    <row r="28">
      <c r="A28" s="57" t="inlineStr">
        <is>
          <t>5. Ecosistema, cobertura y flora (F-DT-03)</t>
        </is>
      </c>
      <c r="B28" s="57" t="inlineStr">
        <is>
          <t>Altura del estrato dominante (m)</t>
        </is>
      </c>
      <c r="C28" s="57" t="inlineStr">
        <is>
          <t>2 - 4 (estrato arbustivo alto; estimación ocular)</t>
        </is>
      </c>
      <c r="D28" s="57" t="inlineStr">
        <is>
          <t>m</t>
        </is>
      </c>
    </row>
    <row r="29">
      <c r="A29" s="56" t="inlineStr">
        <is>
          <t>5. Ecosistema, cobertura y flora (F-DT-03)</t>
        </is>
      </c>
      <c r="B29" s="56" t="inlineStr">
        <is>
          <t>Altura máxima registrada (m)</t>
        </is>
      </c>
      <c r="C29" s="56" t="inlineStr">
        <is>
          <t>≈ 15 (eucalipto/pino en divisoria; estimación ocular)</t>
        </is>
      </c>
      <c r="D29" s="56" t="inlineStr">
        <is>
          <t>m</t>
        </is>
      </c>
    </row>
    <row r="30">
      <c r="A30" s="57" t="inlineStr">
        <is>
          <t>5. Ecosistema, cobertura y flora (F-DT-03)</t>
        </is>
      </c>
      <c r="B30" s="57" t="inlineStr">
        <is>
          <t>Presencia de epífitas</t>
        </is>
      </c>
      <c r="C30" s="57" t="inlineStr">
        <is>
          <t>Sí</t>
        </is>
      </c>
      <c r="D30" s="57" t="inlineStr"/>
    </row>
    <row r="31">
      <c r="A31" s="56" t="inlineStr">
        <is>
          <t>5. Ecosistema, cobertura y flora (F-DT-03)</t>
        </is>
      </c>
      <c r="B31" s="56" t="inlineStr">
        <is>
          <t>Fenología dominante</t>
        </is>
      </c>
      <c r="C31" s="56" t="inlineStr">
        <is>
          <t>Vegetativo</t>
        </is>
      </c>
      <c r="D31" s="56" t="inlineStr"/>
    </row>
    <row r="32">
      <c r="A32" s="57" t="inlineStr">
        <is>
          <t>5. Ecosistema, cobertura y flora (F-DT-03)</t>
        </is>
      </c>
      <c r="B32" s="57" t="inlineStr">
        <is>
          <t>Dimensiones de la parcela (m)</t>
        </is>
      </c>
      <c r="C32" s="57" t="inlineStr">
        <is>
          <t>No aplica</t>
        </is>
      </c>
      <c r="D32" s="57" t="inlineStr"/>
    </row>
    <row r="33">
      <c r="A33" s="56" t="inlineStr">
        <is>
          <t>5. Ecosistema, cobertura y flora (F-DT-03)</t>
        </is>
      </c>
      <c r="B33" s="56" t="inlineStr">
        <is>
          <t>Pendiente de la parcela (%)</t>
        </is>
      </c>
      <c r="C33" s="56" t="inlineStr">
        <is>
          <t>41,6 (media perfil GE) · 80-90 en laderas medias (campo)</t>
        </is>
      </c>
      <c r="D33" s="56" t="inlineStr">
        <is>
          <t>%</t>
        </is>
      </c>
    </row>
    <row r="34">
      <c r="A34" s="57" t="inlineStr">
        <is>
          <t>5. Ecosistema, cobertura y flora (F-DT-03)</t>
        </is>
      </c>
      <c r="B34" s="57" t="inlineStr">
        <is>
          <t>Especies clave georreferenciadas</t>
        </is>
      </c>
      <c r="C34" s="57" t="inlineStr">
        <is>
          <t>8</t>
        </is>
      </c>
      <c r="D34" s="57" t="inlineStr"/>
    </row>
    <row r="35">
      <c r="A35" s="56" t="inlineStr">
        <is>
          <t>6. Degradación, causas y urgencia (F-DT-04)</t>
        </is>
      </c>
      <c r="B35" s="56" t="inlineStr">
        <is>
          <t>Causas directas de la degradación</t>
        </is>
      </c>
      <c r="C35" s="56" t="inlineStr">
        <is>
          <t>Presión agropecuaria sostenida sobre laderas de muy fuerte pendiente (80-90 %) sin prácticas de conservación de suelos: conversión de la cobertura natural a pastizal con cercos, pastoreo extensivo y agricultura de ladera en el entorno de las viviendas. Se suma la desestabilización de taludes por la vía afirmada en el límite norte y la presencia de plantaciones exóticas (eucalipto, pino) en la divisoria.</t>
        </is>
      </c>
      <c r="D35" s="56" t="inlineStr"/>
    </row>
    <row r="36">
      <c r="A36" s="57" t="inlineStr">
        <is>
          <t>6. Degradación, causas y urgencia (F-DT-04)</t>
        </is>
      </c>
      <c r="B36" s="57" t="inlineStr">
        <is>
          <t>N.° de causas activas en la matriz F-DT-04</t>
        </is>
      </c>
      <c r="C36" s="57" t="inlineStr">
        <is>
          <t>7</t>
        </is>
      </c>
      <c r="D36" s="57" t="inlineStr"/>
    </row>
    <row r="37">
      <c r="A37" s="56" t="inlineStr">
        <is>
          <t>7. Hidrología, acceso y logística (F-DT-05)</t>
        </is>
      </c>
      <c r="B37" s="56" t="inlineStr">
        <is>
          <t>Escorrentía concentrada</t>
        </is>
      </c>
      <c r="C37" s="56" t="inlineStr">
        <is>
          <t>Sí</t>
        </is>
      </c>
      <c r="D37" s="56" t="inlineStr"/>
    </row>
    <row r="38">
      <c r="A38" s="57" t="inlineStr">
        <is>
          <t>7. Hidrología, acceso y logística (F-DT-05)</t>
        </is>
      </c>
      <c r="B38" s="57" t="inlineStr">
        <is>
          <t>Fuentes de agua inventariadas</t>
        </is>
      </c>
      <c r="C38" s="57" t="inlineStr">
        <is>
          <t>2</t>
        </is>
      </c>
      <c r="D38" s="57" t="inlineStr"/>
    </row>
    <row r="39">
      <c r="A39" s="56" t="inlineStr">
        <is>
          <t>7. Hidrología, acceso y logística (F-DT-05)</t>
        </is>
      </c>
      <c r="B39" s="56" t="inlineStr">
        <is>
          <t>Distancia a captación (m)</t>
        </is>
      </c>
      <c r="C39" s="56" t="inlineStr">
        <is>
          <t>0</t>
        </is>
      </c>
      <c r="D39" s="56" t="inlineStr">
        <is>
          <t>m</t>
        </is>
      </c>
    </row>
    <row r="40">
      <c r="A40" s="57" t="inlineStr">
        <is>
          <t>7. Hidrología, acceso y logística (F-DT-05)</t>
        </is>
      </c>
      <c r="B40" s="57" t="inlineStr">
        <is>
          <t>Interferencia con riego</t>
        </is>
      </c>
      <c r="C40" s="57" t="inlineStr">
        <is>
          <t>No</t>
        </is>
      </c>
      <c r="D40" s="57" t="inlineStr"/>
    </row>
    <row r="41">
      <c r="A41" s="56" t="inlineStr">
        <is>
          <t>7. Hidrología, acceso y logística (F-DT-05)</t>
        </is>
      </c>
      <c r="B41" s="56" t="inlineStr">
        <is>
          <t>Vía principal de acceso</t>
        </is>
      </c>
      <c r="C41" s="56" t="inlineStr">
        <is>
          <t>Vía afirmada Ruta 108 — ramal Chamelico / Quitahuajara</t>
        </is>
      </c>
      <c r="D41" s="56" t="inlineStr"/>
    </row>
    <row r="42">
      <c r="A42" s="57" t="inlineStr">
        <is>
          <t>7. Hidrología, acceso y logística (F-DT-05)</t>
        </is>
      </c>
      <c r="B42" s="57" t="inlineStr">
        <is>
          <t>Tipo de vía del tramo final</t>
        </is>
      </c>
      <c r="C42" s="57" t="inlineStr">
        <is>
          <t>Camino de herradura</t>
        </is>
      </c>
      <c r="D42" s="57" t="inlineStr"/>
    </row>
    <row r="43">
      <c r="A43" s="56" t="inlineStr">
        <is>
          <t>7. Hidrología, acceso y logística (F-DT-05)</t>
        </is>
      </c>
      <c r="B43" s="56" t="inlineStr">
        <is>
          <t>Transitabilidad en época seca</t>
        </is>
      </c>
      <c r="C43" s="56" t="inlineStr">
        <is>
          <t>Medio</t>
        </is>
      </c>
      <c r="D43" s="56" t="inlineStr"/>
    </row>
    <row r="44">
      <c r="A44" s="57" t="inlineStr">
        <is>
          <t>7. Hidrología, acceso y logística (F-DT-05)</t>
        </is>
      </c>
      <c r="B44" s="57" t="inlineStr">
        <is>
          <t>Transitabilidad en época lluviosa</t>
        </is>
      </c>
      <c r="C44" s="57" t="inlineStr">
        <is>
          <t>Bajo</t>
        </is>
      </c>
      <c r="D44" s="57" t="inlineStr"/>
    </row>
    <row r="46">
      <c r="A46" s="54" t="inlineStr">
        <is>
          <t>C. PROCEDENCIA DE LOS HECHOS DECLARADOS</t>
        </is>
      </c>
    </row>
    <row r="47">
      <c r="A47" s="55" t="inlineStr">
        <is>
          <t>Fuente</t>
        </is>
      </c>
      <c r="B47" s="55" t="inlineStr">
        <is>
          <t>Hechos</t>
        </is>
      </c>
      <c r="C47" s="55" t="inlineStr">
        <is>
          <t>Alcance de la fuente</t>
        </is>
      </c>
    </row>
    <row r="48">
      <c r="A48" s="56" t="inlineStr">
        <is>
          <t>Dato de campo</t>
        </is>
      </c>
      <c r="B48" s="56" t="n">
        <v>63</v>
      </c>
      <c r="C48" s="56" t="inlineStr">
        <is>
          <t>Verificación en campo. Fichas F-DT-01 a F-DT-05 de la Plantilla DT Campo Check Validada V5, suscritas por el evaluador.</t>
        </is>
      </c>
    </row>
    <row r="49">
      <c r="A49" s="57" t="inlineStr">
        <is>
          <t>Gabinete (GIS / teledetección)</t>
        </is>
      </c>
      <c r="B49" s="57" t="n">
        <v>20</v>
      </c>
      <c r="C49" s="57" t="inlineStr">
        <is>
          <t>Gabinete. Estadística zonal sobre el MDE y compuestos Sentinel-2 (NDVI mediana 2025, MSAVI 2024 por clase DN).</t>
        </is>
      </c>
    </row>
    <row r="50">
      <c r="A50" s="56" t="inlineStr">
        <is>
          <t>Fuente oficial</t>
        </is>
      </c>
      <c r="B50" s="56" t="n">
        <v>14</v>
      </c>
      <c r="C50" s="56" t="inlineStr">
        <is>
          <t>Fuente oficial. Catálogo maestro Bloques V5/V6, división política INEI y codificación de microcuencas de la ANA.</t>
        </is>
      </c>
    </row>
    <row r="52">
      <c r="A52" s="54" t="inlineStr">
        <is>
          <t>D. ESTADO DEL CRUCE ENTRE FUENTES</t>
        </is>
      </c>
    </row>
    <row r="53">
      <c r="A53" s="55" t="inlineStr">
        <is>
          <t>Estado</t>
        </is>
      </c>
      <c r="B53" s="55" t="inlineStr">
        <is>
          <t>Hechos</t>
        </is>
      </c>
      <c r="C53" s="55" t="inlineStr">
        <is>
          <t>Significado</t>
        </is>
      </c>
    </row>
    <row r="54">
      <c r="A54" s="56" t="inlineStr">
        <is>
          <t>CONFORME</t>
        </is>
      </c>
      <c r="B54" s="56" t="n">
        <v>96</v>
      </c>
      <c r="C54" s="56" t="inlineStr">
        <is>
          <t>Las dos fuentes declaran lo mismo, o solo la fuente que manda sobre el hecho lo declara.</t>
        </is>
      </c>
    </row>
    <row r="55">
      <c r="A55" s="57" t="inlineStr">
        <is>
          <t>COMPLEMENTADO</t>
        </is>
      </c>
      <c r="B55" s="57" t="n">
        <v>0</v>
      </c>
      <c r="C55" s="57" t="inlineStr">
        <is>
          <t>Solo una de las fuentes lo declara y se adopta ese valor.</t>
        </is>
      </c>
    </row>
    <row r="56">
      <c r="A56" s="56" t="inlineStr">
        <is>
          <t>ACTUALIZADO</t>
        </is>
      </c>
      <c r="B56" s="56" t="n">
        <v>1</v>
      </c>
      <c r="C56" s="56" t="inlineStr">
        <is>
          <t>La verificación de campo vigente corrige lo que traía el libro de resumen.</t>
        </is>
      </c>
    </row>
    <row r="57">
      <c r="A57" s="57" t="inlineStr">
        <is>
          <t>DISCREPANTE</t>
        </is>
      </c>
      <c r="B57" s="57" t="n">
        <v>0</v>
      </c>
      <c r="C57" s="57" t="inlineStr">
        <is>
          <t>Las fuentes se contradicen; prevalece la que manda sobre el hecho y la otra queda declarada.</t>
        </is>
      </c>
    </row>
    <row r="58">
      <c r="A58" s="56" t="inlineStr">
        <is>
          <t>PENDIENTE</t>
        </is>
      </c>
      <c r="B58" s="56" t="n">
        <v>17</v>
      </c>
      <c r="C58"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35</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E-01</t>
        </is>
      </c>
      <c r="B9" s="56" t="inlineStr">
        <is>
          <t>Surco (&lt;30 cm)</t>
        </is>
      </c>
      <c r="C9" s="61" t="n">
        <v>654549</v>
      </c>
      <c r="D9" s="61" t="n">
        <v>9395200</v>
      </c>
      <c r="E9" s="56" t="n"/>
      <c r="F9" s="56" t="n"/>
      <c r="G9" s="56" t="n"/>
      <c r="H9" s="56" t="inlineStr">
        <is>
          <t>Activa</t>
        </is>
      </c>
      <c r="I9" s="56" t="inlineStr">
        <is>
          <t>Caminos / huellas de ganado</t>
        </is>
      </c>
    </row>
    <row r="10">
      <c r="A10" s="57" t="inlineStr">
        <is>
          <t>E-02</t>
        </is>
      </c>
      <c r="B10" s="57" t="inlineStr">
        <is>
          <t>Surco (&lt;30 cm)</t>
        </is>
      </c>
      <c r="C10" s="62" t="n">
        <v>654687</v>
      </c>
      <c r="D10" s="62" t="n">
        <v>9395072</v>
      </c>
      <c r="E10" s="57" t="n"/>
      <c r="F10" s="57" t="n"/>
      <c r="G10" s="57" t="n"/>
      <c r="H10" s="57" t="inlineStr">
        <is>
          <t>Activa</t>
        </is>
      </c>
      <c r="I10" s="57" t="inlineStr">
        <is>
          <t>Caminos / huellas de ganado</t>
        </is>
      </c>
    </row>
    <row r="11">
      <c r="A11" s="56" t="inlineStr">
        <is>
          <t>E-03</t>
        </is>
      </c>
      <c r="B11" s="56" t="inlineStr">
        <is>
          <t>Surco (&lt;30 cm)</t>
        </is>
      </c>
      <c r="C11" s="61" t="n">
        <v>654665</v>
      </c>
      <c r="D11" s="61" t="n">
        <v>9395169</v>
      </c>
      <c r="E11" s="56" t="n"/>
      <c r="F11" s="56" t="n"/>
      <c r="G11" s="56" t="n"/>
      <c r="H11" s="56" t="inlineStr">
        <is>
          <t>Activa</t>
        </is>
      </c>
      <c r="I11" s="56" t="inlineStr">
        <is>
          <t>Concentración natural de escorrentía</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Roble</t>
        </is>
      </c>
      <c r="C15" s="56" t="inlineStr">
        <is>
          <t>Por determinar</t>
        </is>
      </c>
      <c r="D15" s="56" t="inlineStr">
        <is>
          <t>Por determinar</t>
        </is>
      </c>
      <c r="E15" s="56" t="inlineStr">
        <is>
          <t>Arbóreo superior (&gt;15 m)</t>
        </is>
      </c>
      <c r="F15" s="56" t="inlineStr">
        <is>
          <t>Nativa</t>
        </is>
      </c>
      <c r="G15" s="56" t="inlineStr">
        <is>
          <t>Frecuente (5-20%)</t>
        </is>
      </c>
      <c r="H15" s="56" t="n"/>
      <c r="I15" s="56" t="n"/>
    </row>
    <row r="16">
      <c r="A16" s="57" t="inlineStr">
        <is>
          <t>2</t>
        </is>
      </c>
      <c r="B16" s="57" t="inlineStr">
        <is>
          <t>Higuerón</t>
        </is>
      </c>
      <c r="C16" s="57" t="inlineStr">
        <is>
          <t>Ficus sp.</t>
        </is>
      </c>
      <c r="D16" s="57" t="inlineStr">
        <is>
          <t>Moraceae</t>
        </is>
      </c>
      <c r="E16" s="57" t="inlineStr">
        <is>
          <t>Arbóreo medio (8-15 m)</t>
        </is>
      </c>
      <c r="F16" s="57" t="inlineStr">
        <is>
          <t>Nativa</t>
        </is>
      </c>
      <c r="G16" s="57" t="inlineStr">
        <is>
          <t>Ocasional (1-5%)</t>
        </is>
      </c>
      <c r="H16" s="57" t="n"/>
      <c r="I16" s="57" t="n"/>
    </row>
    <row r="17">
      <c r="A17" s="56" t="inlineStr">
        <is>
          <t>3</t>
        </is>
      </c>
      <c r="B17" s="56" t="inlineStr">
        <is>
          <t>Chirimoyo silvestre</t>
        </is>
      </c>
      <c r="C17" s="56" t="inlineStr">
        <is>
          <t>Annona cherimola</t>
        </is>
      </c>
      <c r="D17" s="56" t="inlineStr">
        <is>
          <t>Annonaceae</t>
        </is>
      </c>
      <c r="E17" s="56" t="inlineStr">
        <is>
          <t>Arbóreo bajo (4-8 m)</t>
        </is>
      </c>
      <c r="F17" s="56" t="inlineStr">
        <is>
          <t>Nativa</t>
        </is>
      </c>
      <c r="G17" s="56" t="inlineStr">
        <is>
          <t>Ocasional (1-5%)</t>
        </is>
      </c>
      <c r="H17" s="56" t="n"/>
      <c r="I17" s="56" t="n"/>
    </row>
    <row r="18">
      <c r="A18" s="57" t="inlineStr">
        <is>
          <t>4</t>
        </is>
      </c>
      <c r="B18" s="57" t="inlineStr">
        <is>
          <t>Pacae</t>
        </is>
      </c>
      <c r="C18" s="57" t="inlineStr">
        <is>
          <t>Inga sp.</t>
        </is>
      </c>
      <c r="D18" s="57" t="inlineStr">
        <is>
          <t>Fabaceae</t>
        </is>
      </c>
      <c r="E18" s="57" t="inlineStr">
        <is>
          <t>Arbóreo medio (8-15 m)</t>
        </is>
      </c>
      <c r="F18" s="57" t="inlineStr">
        <is>
          <t>Nativa</t>
        </is>
      </c>
      <c r="G18" s="57" t="inlineStr">
        <is>
          <t>Frecuente (5-20%)</t>
        </is>
      </c>
      <c r="H18" s="57" t="n"/>
      <c r="I18" s="57" t="n"/>
    </row>
    <row r="19">
      <c r="A19" s="56" t="inlineStr">
        <is>
          <t>5</t>
        </is>
      </c>
      <c r="B19" s="56" t="inlineStr">
        <is>
          <t>Faique</t>
        </is>
      </c>
      <c r="C19" s="56" t="inlineStr">
        <is>
          <t>Vachellia macracantha</t>
        </is>
      </c>
      <c r="D19" s="56" t="inlineStr">
        <is>
          <t>Fabaceae</t>
        </is>
      </c>
      <c r="E19" s="56" t="inlineStr">
        <is>
          <t>Arbóreo bajo (4-8 m)</t>
        </is>
      </c>
      <c r="F19" s="56" t="inlineStr">
        <is>
          <t>Nativa</t>
        </is>
      </c>
      <c r="G19" s="56" t="inlineStr">
        <is>
          <t>Ocasional (1-5%)</t>
        </is>
      </c>
      <c r="H19" s="56" t="n"/>
      <c r="I19" s="56" t="n"/>
    </row>
    <row r="20">
      <c r="A20" s="57" t="inlineStr">
        <is>
          <t>6</t>
        </is>
      </c>
      <c r="B20" s="57" t="inlineStr">
        <is>
          <t>Caña de Guayaquil / Bambú</t>
        </is>
      </c>
      <c r="C20" s="57" t="inlineStr">
        <is>
          <t>Guadua angustifolia</t>
        </is>
      </c>
      <c r="D20" s="57" t="inlineStr">
        <is>
          <t>Poaceae</t>
        </is>
      </c>
      <c r="E20" s="57" t="inlineStr">
        <is>
          <t>Arbóreo bajo (4-8 m)</t>
        </is>
      </c>
      <c r="F20" s="57" t="inlineStr">
        <is>
          <t>Nativa</t>
        </is>
      </c>
      <c r="G20" s="57" t="inlineStr">
        <is>
          <t>Ocasional (1-5%)</t>
        </is>
      </c>
      <c r="H20" s="57" t="n"/>
      <c r="I20" s="57" t="n"/>
    </row>
    <row r="21">
      <c r="A21" s="56" t="inlineStr">
        <is>
          <t>7</t>
        </is>
      </c>
      <c r="B21" s="56" t="inlineStr">
        <is>
          <t>Helechos (terrestres y arborescentes)</t>
        </is>
      </c>
      <c r="C21" s="56" t="inlineStr">
        <is>
          <t>Pteridophyta (indet.)</t>
        </is>
      </c>
      <c r="D21" s="56" t="inlineStr">
        <is>
          <t>Pteridophyta</t>
        </is>
      </c>
      <c r="E21" s="56" t="inlineStr">
        <is>
          <t>Arbustivo bajo (0.5-1.5 m)</t>
        </is>
      </c>
      <c r="F21" s="56" t="inlineStr">
        <is>
          <t>Nativa</t>
        </is>
      </c>
      <c r="G21" s="56" t="inlineStr">
        <is>
          <t>Frecuente (5-20%)</t>
        </is>
      </c>
      <c r="H21" s="56" t="n"/>
      <c r="I21" s="56" t="n"/>
    </row>
    <row r="22">
      <c r="A22" s="57" t="inlineStr">
        <is>
          <t>8</t>
        </is>
      </c>
      <c r="B22" s="57" t="inlineStr">
        <is>
          <t>Melastomatáceas</t>
        </is>
      </c>
      <c r="C22" s="57" t="inlineStr">
        <is>
          <t>Miconia / Tibouchina spp.</t>
        </is>
      </c>
      <c r="D22" s="57" t="inlineStr">
        <is>
          <t>Melastomataceae</t>
        </is>
      </c>
      <c r="E22" s="57" t="inlineStr">
        <is>
          <t>Arbustivo alto (1.5-4 m)</t>
        </is>
      </c>
      <c r="F22" s="57" t="inlineStr">
        <is>
          <t>Nativa</t>
        </is>
      </c>
      <c r="G22" s="57" t="inlineStr">
        <is>
          <t>Frecuente (5-20%)</t>
        </is>
      </c>
      <c r="H22" s="57" t="n"/>
      <c r="I22" s="57" t="n"/>
    </row>
    <row r="23">
      <c r="A23" s="56" t="inlineStr">
        <is>
          <t>9</t>
        </is>
      </c>
      <c r="B23" s="56" t="inlineStr">
        <is>
          <t>Urticáceas / Cetico</t>
        </is>
      </c>
      <c r="C23" s="56" t="inlineStr">
        <is>
          <t>Urera / Cecropia spp.</t>
        </is>
      </c>
      <c r="D23" s="56" t="inlineStr">
        <is>
          <t>Urticaceae</t>
        </is>
      </c>
      <c r="E23" s="56" t="inlineStr">
        <is>
          <t>Arbustivo alto (1.5-4 m)</t>
        </is>
      </c>
      <c r="F23" s="56" t="inlineStr">
        <is>
          <t>Nativa</t>
        </is>
      </c>
      <c r="G23" s="56" t="inlineStr">
        <is>
          <t>Frecuente (5-20%)</t>
        </is>
      </c>
      <c r="H23" s="56" t="n"/>
      <c r="I23" s="56" t="n"/>
    </row>
    <row r="24">
      <c r="A24" s="57" t="inlineStr">
        <is>
          <t>10</t>
        </is>
      </c>
      <c r="B24" s="57" t="inlineStr">
        <is>
          <t>Mostaza silvestre</t>
        </is>
      </c>
      <c r="C24" s="57" t="inlineStr">
        <is>
          <t>Brassica sp.</t>
        </is>
      </c>
      <c r="D24" s="57" t="inlineStr">
        <is>
          <t>Brassicaceae</t>
        </is>
      </c>
      <c r="E24" s="57" t="inlineStr">
        <is>
          <t>Herbáceo (&lt;0.5 m)</t>
        </is>
      </c>
      <c r="F24" s="57" t="inlineStr">
        <is>
          <t>Invasora</t>
        </is>
      </c>
      <c r="G24" s="57" t="inlineStr">
        <is>
          <t>Ocasional (1-5%)</t>
        </is>
      </c>
      <c r="H24" s="57" t="n"/>
      <c r="I24" s="57" t="n"/>
    </row>
    <row r="25">
      <c r="A25" s="56" t="inlineStr">
        <is>
          <t>11</t>
        </is>
      </c>
      <c r="B25" s="56" t="inlineStr">
        <is>
          <t>Agave / Penca</t>
        </is>
      </c>
      <c r="C25" s="56" t="inlineStr">
        <is>
          <t>Agave americana</t>
        </is>
      </c>
      <c r="D25" s="56" t="inlineStr">
        <is>
          <t>Asparagaceae</t>
        </is>
      </c>
      <c r="E25" s="56" t="inlineStr">
        <is>
          <t>Arbustivo alto (1.5-4 m)</t>
        </is>
      </c>
      <c r="F25" s="56" t="inlineStr">
        <is>
          <t>Introducida</t>
        </is>
      </c>
      <c r="G25" s="56" t="inlineStr">
        <is>
          <t>Rara (&lt;1%)</t>
        </is>
      </c>
      <c r="H25" s="56" t="n"/>
      <c r="I25" s="56" t="n"/>
    </row>
    <row r="26">
      <c r="A26" s="57" t="inlineStr">
        <is>
          <t>12</t>
        </is>
      </c>
      <c r="B26" s="57" t="inlineStr">
        <is>
          <t>Eucalipto</t>
        </is>
      </c>
      <c r="C26" s="57" t="inlineStr">
        <is>
          <t>Eucalyptus sp.</t>
        </is>
      </c>
      <c r="D26" s="57" t="inlineStr">
        <is>
          <t>Myrtaceae</t>
        </is>
      </c>
      <c r="E26" s="57" t="inlineStr">
        <is>
          <t>Arbóreo superior (&gt;15 m)</t>
        </is>
      </c>
      <c r="F26" s="57" t="inlineStr">
        <is>
          <t>Introducida</t>
        </is>
      </c>
      <c r="G26" s="57" t="inlineStr">
        <is>
          <t>Ocasional (1-5%)</t>
        </is>
      </c>
      <c r="H26" s="57" t="n"/>
      <c r="I26" s="57" t="n"/>
    </row>
    <row r="27">
      <c r="A27" s="56" t="inlineStr">
        <is>
          <t>13</t>
        </is>
      </c>
      <c r="B27" s="56" t="inlineStr">
        <is>
          <t>Pino</t>
        </is>
      </c>
      <c r="C27" s="56" t="inlineStr">
        <is>
          <t>Pinus sp.</t>
        </is>
      </c>
      <c r="D27" s="56" t="inlineStr">
        <is>
          <t>Pinaceae</t>
        </is>
      </c>
      <c r="E27" s="56" t="inlineStr">
        <is>
          <t>Arbóreo superior (&gt;15 m)</t>
        </is>
      </c>
      <c r="F27" s="56" t="inlineStr">
        <is>
          <t>Introducida</t>
        </is>
      </c>
      <c r="G27" s="56" t="inlineStr">
        <is>
          <t>Ocasional (1-5%)</t>
        </is>
      </c>
      <c r="H27" s="56" t="n"/>
      <c r="I27" s="56" t="n"/>
    </row>
    <row r="28">
      <c r="A28" s="57" t="inlineStr">
        <is>
          <t>14</t>
        </is>
      </c>
      <c r="B28" s="57" t="inlineStr">
        <is>
          <t>Café</t>
        </is>
      </c>
      <c r="C28" s="57" t="inlineStr">
        <is>
          <t>Coffea arabica</t>
        </is>
      </c>
      <c r="D28" s="57" t="inlineStr">
        <is>
          <t>Rubiaceae</t>
        </is>
      </c>
      <c r="E28" s="57" t="inlineStr">
        <is>
          <t>Arbustivo alto (1.5-4 m)</t>
        </is>
      </c>
      <c r="F28" s="57" t="inlineStr">
        <is>
          <t>Introducida</t>
        </is>
      </c>
      <c r="G28" s="57" t="inlineStr">
        <is>
          <t>Ocasional (1-5%)</t>
        </is>
      </c>
      <c r="H28" s="57" t="n"/>
      <c r="I28" s="57" t="n"/>
    </row>
    <row r="29">
      <c r="A29" s="56" t="inlineStr">
        <is>
          <t>15</t>
        </is>
      </c>
      <c r="B29" s="56" t="inlineStr">
        <is>
          <t>Pastos cultivados / naturalizados</t>
        </is>
      </c>
      <c r="C29" s="56" t="inlineStr">
        <is>
          <t>Brachiaria / Pennisetum spp.</t>
        </is>
      </c>
      <c r="D29" s="56" t="inlineStr">
        <is>
          <t>Poaceae</t>
        </is>
      </c>
      <c r="E29" s="56" t="inlineStr">
        <is>
          <t>Herbáceo (&lt;0.5 m)</t>
        </is>
      </c>
      <c r="F29" s="56" t="inlineStr">
        <is>
          <t>Introducida</t>
        </is>
      </c>
      <c r="G29" s="56" t="inlineStr">
        <is>
          <t>Dominante (&gt;40%)</t>
        </is>
      </c>
      <c r="H29" s="56" t="n"/>
      <c r="I29" s="56" t="n"/>
    </row>
    <row r="31">
      <c r="A31" s="54" t="inlineStr">
        <is>
          <t>F-DT-03 · ESPECIES CLAVE GEORREFERENCIADAS</t>
        </is>
      </c>
    </row>
    <row r="32">
      <c r="A32" s="55" t="inlineStr">
        <is>
          <t>N.o</t>
        </is>
      </c>
      <c r="B32" s="55" t="inlineStr">
        <is>
          <t>Especie</t>
        </is>
      </c>
      <c r="C32" s="55" t="inlineStr">
        <is>
          <t>Categoría</t>
        </is>
      </c>
      <c r="D32" s="55" t="inlineStr">
        <is>
          <t>Estado UICN</t>
        </is>
      </c>
      <c r="E32" s="55" t="inlineStr">
        <is>
          <t>UTM ESTE</t>
        </is>
      </c>
      <c r="F32" s="55" t="inlineStr">
        <is>
          <t>UTM NORTE</t>
        </is>
      </c>
      <c r="G32" s="55" t="inlineStr">
        <is>
          <t>N.° individuos</t>
        </is>
      </c>
      <c r="H32" s="55" t="inlineStr">
        <is>
          <t>Observación</t>
        </is>
      </c>
    </row>
    <row r="33">
      <c r="A33" s="56" t="inlineStr">
        <is>
          <t>1</t>
        </is>
      </c>
      <c r="B33" s="56" t="inlineStr">
        <is>
          <t>Roble (por determinar)</t>
        </is>
      </c>
      <c r="C33" s="56" t="inlineStr">
        <is>
          <t>Indicadora de buen estado</t>
        </is>
      </c>
      <c r="D33" s="56" t="inlineStr">
        <is>
          <t>NE — No Evaluado</t>
        </is>
      </c>
      <c r="E33" s="56" t="n"/>
      <c r="F33" s="56" t="n"/>
      <c r="G33" s="56" t="n"/>
      <c r="H33" s="56" t="inlineStr">
        <is>
          <t>Citado para la microcuenca C1076-Q9586; determinación taxonómica PENDIENTE</t>
        </is>
      </c>
    </row>
    <row r="34">
      <c r="A34" s="57" t="inlineStr">
        <is>
          <t>2</t>
        </is>
      </c>
      <c r="B34" s="57" t="inlineStr">
        <is>
          <t>Higuerón (Ficus sp.)</t>
        </is>
      </c>
      <c r="C34" s="57" t="inlineStr">
        <is>
          <t>Indicadora de buen estado</t>
        </is>
      </c>
      <c r="D34" s="57" t="inlineStr">
        <is>
          <t>No aplica</t>
        </is>
      </c>
      <c r="E34" s="57" t="n"/>
      <c r="F34" s="57" t="n"/>
      <c r="G34" s="57" t="n"/>
      <c r="H34" s="57" t="inlineStr">
        <is>
          <t>Emergente de relictos montanos</t>
        </is>
      </c>
    </row>
    <row r="35">
      <c r="A35" s="56" t="inlineStr">
        <is>
          <t>3</t>
        </is>
      </c>
      <c r="B35" s="56" t="inlineStr">
        <is>
          <t>Pacae (Inga sp.)</t>
        </is>
      </c>
      <c r="C35" s="56" t="inlineStr">
        <is>
          <t>Indicadora de buen estado</t>
        </is>
      </c>
      <c r="D35" s="56" t="inlineStr">
        <is>
          <t>NE — No Evaluado</t>
        </is>
      </c>
      <c r="E35" s="56" t="n"/>
      <c r="F35" s="56" t="n"/>
      <c r="G35" s="56" t="n"/>
      <c r="H35" s="56" t="inlineStr">
        <is>
          <t>Fijador de nitrógeno; indicador de humedad</t>
        </is>
      </c>
    </row>
    <row r="36">
      <c r="A36" s="57" t="inlineStr">
        <is>
          <t>4</t>
        </is>
      </c>
      <c r="B36" s="57" t="inlineStr">
        <is>
          <t>Caña de Guayaquil (Guadua angustifolia)</t>
        </is>
      </c>
      <c r="C36" s="57" t="inlineStr">
        <is>
          <t>Indicadora de buen estado</t>
        </is>
      </c>
      <c r="D36" s="57" t="inlineStr">
        <is>
          <t>NE — No Evaluado</t>
        </is>
      </c>
      <c r="E36" s="62" t="n">
        <v>654758</v>
      </c>
      <c r="F36" s="62" t="n">
        <v>9395031</v>
      </c>
      <c r="G36" s="57" t="n"/>
      <c r="H36" s="57" t="inlineStr">
        <is>
          <t>Bosque de galería en la quebrada de captación; estabiliza ribera</t>
        </is>
      </c>
    </row>
    <row r="37">
      <c r="A37" s="56" t="inlineStr">
        <is>
          <t>5</t>
        </is>
      </c>
      <c r="B37" s="56" t="inlineStr">
        <is>
          <t>Helechos arborescentes (Cyatheaceae, por confirmar)</t>
        </is>
      </c>
      <c r="C37" s="56" t="inlineStr">
        <is>
          <t>Indicadora de buen estado</t>
        </is>
      </c>
      <c r="D37" s="56" t="inlineStr">
        <is>
          <t>NE — No Evaluado</t>
        </is>
      </c>
      <c r="E37" s="61" t="n">
        <v>654758</v>
      </c>
      <c r="F37" s="61" t="n">
        <v>9395031</v>
      </c>
      <c r="G37" s="56" t="n"/>
      <c r="H37" s="56" t="inlineStr">
        <is>
          <t>Indicador de humedad permanente; determinación PENDIENTE</t>
        </is>
      </c>
    </row>
    <row r="38">
      <c r="A38" s="57" t="inlineStr">
        <is>
          <t>6</t>
        </is>
      </c>
      <c r="B38" s="57" t="inlineStr">
        <is>
          <t>Melastomatáceas (Miconia spp.)</t>
        </is>
      </c>
      <c r="C38" s="57" t="inlineStr">
        <is>
          <t>Indicadora de perturbación</t>
        </is>
      </c>
      <c r="D38" s="57" t="inlineStr">
        <is>
          <t>NE — No Evaluado</t>
        </is>
      </c>
      <c r="E38" s="57" t="n"/>
      <c r="F38" s="57" t="n"/>
      <c r="G38" s="57" t="n"/>
      <c r="H38" s="57" t="inlineStr">
        <is>
          <t>Pioneras de bosque secundario en recuperación</t>
        </is>
      </c>
    </row>
    <row r="39">
      <c r="A39" s="56" t="inlineStr">
        <is>
          <t>7</t>
        </is>
      </c>
      <c r="B39" s="56" t="inlineStr">
        <is>
          <t>Agave americana</t>
        </is>
      </c>
      <c r="C39" s="56" t="inlineStr">
        <is>
          <t>Indicadora de perturbación</t>
        </is>
      </c>
      <c r="D39" s="56" t="inlineStr">
        <is>
          <t>No aplica</t>
        </is>
      </c>
      <c r="E39" s="56" t="n"/>
      <c r="F39" s="56" t="n"/>
      <c r="G39" s="56" t="n"/>
      <c r="H39" s="56" t="inlineStr">
        <is>
          <t>Asociada a cercos y bordes intervenidos</t>
        </is>
      </c>
    </row>
    <row r="40">
      <c r="A40" s="57" t="inlineStr">
        <is>
          <t>8</t>
        </is>
      </c>
      <c r="B40" s="57" t="inlineStr">
        <is>
          <t>Eucalyptus sp. / Pinus sp.</t>
        </is>
      </c>
      <c r="C40" s="57" t="inlineStr">
        <is>
          <t>Indicadora de perturbación</t>
        </is>
      </c>
      <c r="D40" s="57" t="inlineStr">
        <is>
          <t>No aplica</t>
        </is>
      </c>
      <c r="E40" s="57" t="n"/>
      <c r="F40" s="57" t="n"/>
      <c r="G40" s="57" t="n"/>
      <c r="H40" s="57" t="inlineStr">
        <is>
          <t>Plantaciones exóticas en la divisoria; presión sobre vegetación nativa</t>
        </is>
      </c>
    </row>
    <row r="42">
      <c r="A42" s="54" t="inlineStr">
        <is>
          <t>F-DT-04 · MATRIZ DE CAUSAS DE DEGRADACIÓN</t>
        </is>
      </c>
    </row>
    <row r="43">
      <c r="A43" s="55" t="inlineStr">
        <is>
          <t>N.o</t>
        </is>
      </c>
      <c r="B43" s="55" t="inlineStr">
        <is>
          <t>Causa</t>
        </is>
      </c>
      <c r="C43" s="55" t="inlineStr">
        <is>
          <t>Presencia</t>
        </is>
      </c>
      <c r="D43" s="55" t="inlineStr">
        <is>
          <t>Intensidad</t>
        </is>
      </c>
      <c r="E43" s="55" t="inlineStr">
        <is>
          <t>Extensión</t>
        </is>
      </c>
      <c r="F43" s="55" t="inlineStr">
        <is>
          <t>Antigüedad</t>
        </is>
      </c>
      <c r="G43" s="55" t="inlineStr">
        <is>
          <t>Evidencia</t>
        </is>
      </c>
    </row>
    <row r="44">
      <c r="A44" s="56" t="inlineStr">
        <is>
          <t>1</t>
        </is>
      </c>
      <c r="B44" s="56" t="inlineStr">
        <is>
          <t>Sobrepastoreo (caprino/vacuno)</t>
        </is>
      </c>
      <c r="C44" s="56" t="inlineStr">
        <is>
          <t>Sí</t>
        </is>
      </c>
      <c r="D44" s="56" t="inlineStr">
        <is>
          <t>Moderada</t>
        </is>
      </c>
      <c r="E44" s="56" t="inlineStr">
        <is>
          <t>≈ 40 %</t>
        </is>
      </c>
      <c r="F44" s="56" t="inlineStr">
        <is>
          <t>Por determinar</t>
        </is>
      </c>
      <c r="G44" s="56" t="inlineStr">
        <is>
          <t>Cercos de rollizos y alambre de púas delimitando potreros; pastizal ralo con pisoteo y suelo descubierto en laderas de 80-90 % (P-06, P-07, P-08, P-11, P-15)</t>
        </is>
      </c>
    </row>
    <row r="45">
      <c r="A45" s="57" t="inlineStr">
        <is>
          <t>2</t>
        </is>
      </c>
      <c r="B45" s="57" t="inlineStr">
        <is>
          <t>Tala para leña</t>
        </is>
      </c>
      <c r="C45" s="57" t="inlineStr"/>
      <c r="D45" s="57" t="inlineStr"/>
      <c r="E45" s="57" t="inlineStr"/>
      <c r="F45" s="57" t="inlineStr"/>
      <c r="G45" s="57" t="inlineStr">
        <is>
          <t>Sin evidencia directa registrada; POR VERIFICAR</t>
        </is>
      </c>
    </row>
    <row r="46">
      <c r="A46" s="56" t="inlineStr">
        <is>
          <t>3</t>
        </is>
      </c>
      <c r="B46" s="56" t="inlineStr">
        <is>
          <t>Tala para carbón</t>
        </is>
      </c>
      <c r="C46" s="56" t="inlineStr"/>
      <c r="D46" s="56" t="inlineStr"/>
      <c r="E46" s="56" t="inlineStr"/>
      <c r="F46" s="56" t="inlineStr"/>
      <c r="G46" s="56" t="inlineStr">
        <is>
          <t>Sin evidencia registrada</t>
        </is>
      </c>
    </row>
    <row r="47">
      <c r="A47" s="57" t="inlineStr">
        <is>
          <t>4</t>
        </is>
      </c>
      <c r="B47" s="57" t="inlineStr">
        <is>
          <t>Tala para madera</t>
        </is>
      </c>
      <c r="C47" s="57" t="inlineStr"/>
      <c r="D47" s="57" t="inlineStr"/>
      <c r="E47" s="57" t="inlineStr"/>
      <c r="F47" s="57" t="inlineStr"/>
      <c r="G47" s="57" t="inlineStr">
        <is>
          <t>Sin evidencia registrada</t>
        </is>
      </c>
    </row>
    <row r="48">
      <c r="A48" s="56" t="inlineStr">
        <is>
          <t>5</t>
        </is>
      </c>
      <c r="B48" s="56" t="inlineStr">
        <is>
          <t>Quema (renovación de pastos)</t>
        </is>
      </c>
      <c r="C48" s="56" t="inlineStr"/>
      <c r="D48" s="56" t="inlineStr"/>
      <c r="E48" s="56" t="inlineStr"/>
      <c r="F48" s="56" t="inlineStr"/>
      <c r="G48" s="56" t="inlineStr">
        <is>
          <t>Sin evidencia directa registrada; POR VERIFICAR</t>
        </is>
      </c>
    </row>
    <row r="49">
      <c r="A49" s="57" t="inlineStr">
        <is>
          <t>6</t>
        </is>
      </c>
      <c r="B49" s="57" t="inlineStr">
        <is>
          <t>Quema accidental / Incendio</t>
        </is>
      </c>
      <c r="C49" s="57" t="inlineStr"/>
      <c r="D49" s="57" t="inlineStr"/>
      <c r="E49" s="57" t="inlineStr"/>
      <c r="F49" s="57" t="inlineStr"/>
      <c r="G49" s="57" t="inlineStr">
        <is>
          <t>Sin evidencia registrada</t>
        </is>
      </c>
    </row>
    <row r="50">
      <c r="A50" s="56" t="inlineStr">
        <is>
          <t>7</t>
        </is>
      </c>
      <c r="B50" s="56" t="inlineStr">
        <is>
          <t>Cambio de uso a agricultura</t>
        </is>
      </c>
      <c r="C50" s="56" t="inlineStr">
        <is>
          <t>Sí</t>
        </is>
      </c>
      <c r="D50" s="56" t="inlineStr">
        <is>
          <t>Ligera</t>
        </is>
      </c>
      <c r="E50" s="56" t="inlineStr">
        <is>
          <t>≈ 10 %</t>
        </is>
      </c>
      <c r="F50" s="56" t="inlineStr">
        <is>
          <t>Por determinar</t>
        </is>
      </c>
      <c r="G50" s="56" t="inlineStr">
        <is>
          <t>Parcelas de cultivo y huertos asociados a las viviendas del entorno (P-01, P-02)</t>
        </is>
      </c>
    </row>
    <row r="51">
      <c r="A51" s="57" t="inlineStr">
        <is>
          <t>8</t>
        </is>
      </c>
      <c r="B51" s="57" t="inlineStr">
        <is>
          <t>Cambio de uso a pastoreo</t>
        </is>
      </c>
      <c r="C51" s="57" t="inlineStr">
        <is>
          <t>Sí</t>
        </is>
      </c>
      <c r="D51" s="57" t="inlineStr">
        <is>
          <t>Moderada</t>
        </is>
      </c>
      <c r="E51" s="57" t="inlineStr">
        <is>
          <t>≈ 45 %</t>
        </is>
      </c>
      <c r="F51" s="57" t="inlineStr">
        <is>
          <t>Por determinar</t>
        </is>
      </c>
      <c r="G51" s="57" t="inlineStr">
        <is>
          <t>Pastizal cultivado/naturalizado dominante en laderas medias y altas, con cercos (P-06 a P-08, P-11, P-15, P-17)</t>
        </is>
      </c>
    </row>
    <row r="52">
      <c r="A52" s="56" t="inlineStr">
        <is>
          <t>9</t>
        </is>
      </c>
      <c r="B52" s="56" t="inlineStr">
        <is>
          <t>Expansión urbana / vial</t>
        </is>
      </c>
      <c r="C52" s="56" t="inlineStr">
        <is>
          <t>Sí</t>
        </is>
      </c>
      <c r="D52" s="56" t="inlineStr">
        <is>
          <t>Moderada</t>
        </is>
      </c>
      <c r="E52" s="56" t="inlineStr">
        <is>
          <t>≈ 10 %</t>
        </is>
      </c>
      <c r="F52" s="56" t="inlineStr">
        <is>
          <t>Por determinar</t>
        </is>
      </c>
      <c r="G52" s="56" t="inlineStr">
        <is>
          <t>Vía afirmada Ruta 108 y ramal que bordea el límite norte, con taludes de corte desprovistos de cobertura; viviendas del caserío inmediatas al bloque (P-01, P-02, P-14)</t>
        </is>
      </c>
    </row>
    <row r="53">
      <c r="A53" s="57" t="inlineStr">
        <is>
          <t>10</t>
        </is>
      </c>
      <c r="B53" s="57" t="inlineStr">
        <is>
          <t>Minería informal</t>
        </is>
      </c>
      <c r="C53" s="57" t="inlineStr">
        <is>
          <t>No</t>
        </is>
      </c>
      <c r="D53" s="57" t="inlineStr">
        <is>
          <t>Nula</t>
        </is>
      </c>
      <c r="E53" s="57" t="inlineStr"/>
      <c r="F53" s="57" t="inlineStr"/>
      <c r="G53" s="57" t="inlineStr">
        <is>
          <t>No observada</t>
        </is>
      </c>
    </row>
    <row r="54">
      <c r="A54" s="56" t="inlineStr">
        <is>
          <t>11</t>
        </is>
      </c>
      <c r="B54" s="56" t="inlineStr">
        <is>
          <t>Extracción de áridos (cauces)</t>
        </is>
      </c>
      <c r="C54" s="56" t="inlineStr">
        <is>
          <t>No</t>
        </is>
      </c>
      <c r="D54" s="56" t="inlineStr">
        <is>
          <t>Nula</t>
        </is>
      </c>
      <c r="E54" s="56" t="inlineStr"/>
      <c r="F54" s="56" t="inlineStr"/>
      <c r="G54" s="56" t="inlineStr">
        <is>
          <t>No observada</t>
        </is>
      </c>
    </row>
    <row r="55">
      <c r="A55" s="57" t="inlineStr">
        <is>
          <t>12</t>
        </is>
      </c>
      <c r="B55" s="57" t="inlineStr">
        <is>
          <t>Especies invasoras</t>
        </is>
      </c>
      <c r="C55" s="57" t="inlineStr">
        <is>
          <t>Sí</t>
        </is>
      </c>
      <c r="D55" s="57" t="inlineStr">
        <is>
          <t>Ligera</t>
        </is>
      </c>
      <c r="E55" s="57" t="inlineStr">
        <is>
          <t>≈ 5 %</t>
        </is>
      </c>
      <c r="F55" s="57" t="inlineStr">
        <is>
          <t>Por determinar</t>
        </is>
      </c>
      <c r="G55" s="57" t="inlineStr">
        <is>
          <t>Plantaciones de eucalipto y pino en la divisoria (P-03, P-04, P-13); Agave en cercos (P-06); mostaza silvestre en bordes</t>
        </is>
      </c>
    </row>
    <row r="56">
      <c r="A56" s="56" t="inlineStr">
        <is>
          <t>13</t>
        </is>
      </c>
      <c r="B56" s="56" t="inlineStr">
        <is>
          <t>Erosión natural severa</t>
        </is>
      </c>
      <c r="C56" s="56" t="inlineStr">
        <is>
          <t>Sí</t>
        </is>
      </c>
      <c r="D56" s="56" t="inlineStr">
        <is>
          <t>Moderada</t>
        </is>
      </c>
      <c r="E56" s="56" t="inlineStr">
        <is>
          <t>≈ 15 %</t>
        </is>
      </c>
      <c r="F56" s="56" t="inlineStr">
        <is>
          <t>Por determinar</t>
        </is>
      </c>
      <c r="G56" s="56" t="inlineStr">
        <is>
          <t>Laderas de 80-90 % con suelo descubierto en sendas y taludes; surcos activos (P-03, P-11, P-13, P-14)</t>
        </is>
      </c>
    </row>
    <row r="57">
      <c r="A57" s="57" t="inlineStr">
        <is>
          <t>14</t>
        </is>
      </c>
      <c r="B57" s="57" t="inlineStr">
        <is>
          <t>Sequía prolongada / CC</t>
        </is>
      </c>
      <c r="C57" s="57" t="inlineStr"/>
      <c r="D57" s="57" t="inlineStr"/>
      <c r="E57" s="57" t="inlineStr"/>
      <c r="F57" s="57" t="inlineStr"/>
      <c r="G57" s="57" t="inlineStr">
        <is>
          <t>No evaluable en una visita puntual; POR VERIFICAR con serie climática</t>
        </is>
      </c>
    </row>
    <row r="58">
      <c r="A58" s="56" t="inlineStr">
        <is>
          <t>15</t>
        </is>
      </c>
      <c r="B58" s="56" t="inlineStr">
        <is>
          <t>Plagas o enfermedades forestales</t>
        </is>
      </c>
      <c r="C58" s="56" t="inlineStr"/>
      <c r="D58" s="56" t="inlineStr"/>
      <c r="E58" s="56" t="inlineStr"/>
      <c r="F58" s="56" t="inlineStr"/>
      <c r="G58" s="56" t="inlineStr">
        <is>
          <t>No observadas; dosel de aspecto sano</t>
        </is>
      </c>
    </row>
    <row r="59">
      <c r="A59" s="57" t="inlineStr">
        <is>
          <t>16</t>
        </is>
      </c>
      <c r="B59" s="57" t="inlineStr">
        <is>
          <t>Otro</t>
        </is>
      </c>
      <c r="C59" s="57" t="inlineStr">
        <is>
          <t>Sí</t>
        </is>
      </c>
      <c r="D59" s="57" t="inlineStr">
        <is>
          <t>Ligera</t>
        </is>
      </c>
      <c r="E59" s="57" t="inlineStr"/>
      <c r="F59" s="57" t="inlineStr"/>
      <c r="G59" s="57" t="inlineStr">
        <is>
          <t>OTRO — Alteración del cauce y sedimentación en la quebrada de captación de agua poblacional (P-09, P-16)</t>
        </is>
      </c>
    </row>
    <row r="61">
      <c r="A61" s="54" t="inlineStr">
        <is>
          <t>F-DT-04 · INDICADORES CUANTITATIVOS</t>
        </is>
      </c>
    </row>
    <row r="62">
      <c r="A62" s="55" t="inlineStr">
        <is>
          <t>N.o</t>
        </is>
      </c>
      <c r="B62" s="55" t="inlineStr">
        <is>
          <t>Indicador</t>
        </is>
      </c>
      <c r="C62" s="55" t="inlineStr">
        <is>
          <t>Unidad</t>
        </is>
      </c>
      <c r="D62" s="55" t="inlineStr">
        <is>
          <t>Valor</t>
        </is>
      </c>
      <c r="E62" s="55" t="inlineStr">
        <is>
          <t>Fuente</t>
        </is>
      </c>
      <c r="F62" s="55" t="inlineStr">
        <is>
          <t>Umbral</t>
        </is>
      </c>
      <c r="G62" s="55" t="inlineStr">
        <is>
          <t>Nivel</t>
        </is>
      </c>
    </row>
    <row r="63">
      <c r="A63" s="56" t="inlineStr">
        <is>
          <t>1</t>
        </is>
      </c>
      <c r="B63" s="56" t="inlineStr">
        <is>
          <t>Cobertura vegetal total</t>
        </is>
      </c>
      <c r="C63" s="56" t="inlineStr">
        <is>
          <t>%</t>
        </is>
      </c>
      <c r="D63" s="56" t="inlineStr">
        <is>
          <t>75</t>
        </is>
      </c>
      <c r="E63" s="56" t="inlineStr">
        <is>
          <t>MSAVI 2024 (0,6245) + estimación ocular</t>
        </is>
      </c>
      <c r="F63" s="56" t="inlineStr">
        <is>
          <t>&gt;60% bueno; 30-60% medio; &lt;30% malo</t>
        </is>
      </c>
      <c r="G63" s="56" t="inlineStr">
        <is>
          <t>Alto</t>
        </is>
      </c>
    </row>
    <row r="64">
      <c r="A64" s="57" t="inlineStr">
        <is>
          <t>2</t>
        </is>
      </c>
      <c r="B64" s="57" t="inlineStr">
        <is>
          <t>Porcentaje de suelo desnudo</t>
        </is>
      </c>
      <c r="C64" s="57" t="inlineStr">
        <is>
          <t>%</t>
        </is>
      </c>
      <c r="D64" s="57" t="inlineStr">
        <is>
          <t>5</t>
        </is>
      </c>
      <c r="E64" s="57" t="inlineStr">
        <is>
          <t>Estimación ocular de campo</t>
        </is>
      </c>
      <c r="F64" s="57" t="inlineStr">
        <is>
          <t>&lt;10% bueno; 10-30% medio; &gt;30% malo</t>
        </is>
      </c>
      <c r="G64" s="57" t="inlineStr">
        <is>
          <t>Bajo</t>
        </is>
      </c>
    </row>
    <row r="65">
      <c r="A65" s="56" t="inlineStr">
        <is>
          <t>3</t>
        </is>
      </c>
      <c r="B65" s="56" t="inlineStr">
        <is>
          <t>Densidad de cárcavas</t>
        </is>
      </c>
      <c r="C65" s="56" t="inlineStr">
        <is>
          <t>N°/ha</t>
        </is>
      </c>
      <c r="D65" s="56" t="inlineStr">
        <is>
          <t>Por determinar</t>
        </is>
      </c>
      <c r="E65" s="56" t="inlineStr">
        <is>
          <t>No medido en campo</t>
        </is>
      </c>
      <c r="F65" s="56" t="inlineStr">
        <is>
          <t>0 nulo; 1-3 medio; &gt;3 alto</t>
        </is>
      </c>
      <c r="G65" s="56" t="inlineStr"/>
    </row>
    <row r="66">
      <c r="A66" s="57" t="inlineStr">
        <is>
          <t>4</t>
        </is>
      </c>
      <c r="B66" s="57" t="inlineStr">
        <is>
          <t>Presencia de especies invasoras</t>
        </is>
      </c>
      <c r="C66" s="57" t="inlineStr">
        <is>
          <t>% área</t>
        </is>
      </c>
      <c r="D66" s="57" t="inlineStr">
        <is>
          <t>5</t>
        </is>
      </c>
      <c r="E66" s="57" t="inlineStr">
        <is>
          <t>Estimación ocular</t>
        </is>
      </c>
      <c r="F66" s="57" t="inlineStr">
        <is>
          <t>&lt;5% bueno; 5-20% medio; &gt;20% alto</t>
        </is>
      </c>
      <c r="G66" s="57" t="inlineStr">
        <is>
          <t>Bajo</t>
        </is>
      </c>
    </row>
    <row r="67">
      <c r="A67" s="56" t="inlineStr">
        <is>
          <t>5</t>
        </is>
      </c>
      <c r="B67" s="56" t="inlineStr">
        <is>
          <t>Carga ganadera estimada</t>
        </is>
      </c>
      <c r="C67" s="56" t="inlineStr">
        <is>
          <t>UA/ha</t>
        </is>
      </c>
      <c r="D67" s="56" t="inlineStr">
        <is>
          <t>Por determinar</t>
        </is>
      </c>
      <c r="E67" s="56" t="inlineStr">
        <is>
          <t>No cuantificada</t>
        </is>
      </c>
      <c r="F67" s="56" t="inlineStr">
        <is>
          <t>Según tipo de ecosistema</t>
        </is>
      </c>
      <c r="G67" s="56" t="inlineStr"/>
    </row>
    <row r="68">
      <c r="A68" s="57" t="inlineStr">
        <is>
          <t>6</t>
        </is>
      </c>
      <c r="B68" s="57" t="inlineStr">
        <is>
          <t>Frecuencia de quemas últimos 5 años</t>
        </is>
      </c>
      <c r="C68" s="57" t="inlineStr">
        <is>
          <t>N°</t>
        </is>
      </c>
      <c r="D68" s="57" t="inlineStr">
        <is>
          <t>Por determinar</t>
        </is>
      </c>
      <c r="E68" s="57" t="inlineStr">
        <is>
          <t>No verificada</t>
        </is>
      </c>
      <c r="F68" s="57" t="inlineStr">
        <is>
          <t>0 nulo; 1-2 medio; &gt;2 alto</t>
        </is>
      </c>
      <c r="G68" s="57" t="inlineStr"/>
    </row>
    <row r="69">
      <c r="A69" s="56" t="inlineStr">
        <is>
          <t>7</t>
        </is>
      </c>
      <c r="B69" s="56" t="inlineStr">
        <is>
          <t>% área con pendiente &gt;50%</t>
        </is>
      </c>
      <c r="C69" s="56" t="inlineStr">
        <is>
          <t>%</t>
        </is>
      </c>
      <c r="D69" s="56" t="inlineStr">
        <is>
          <t>≈ 60</t>
        </is>
      </c>
      <c r="E69" s="56" t="inlineStr">
        <is>
          <t>Perfil GE + anotaciones de campo (80-90 %)</t>
        </is>
      </c>
      <c r="F69" s="56" t="inlineStr">
        <is>
          <t>Factor de susceptibilidad</t>
        </is>
      </c>
      <c r="G69" s="56" t="inlineStr">
        <is>
          <t>Alto</t>
        </is>
      </c>
    </row>
    <row r="70">
      <c r="A70" s="57" t="inlineStr">
        <is>
          <t>8</t>
        </is>
      </c>
      <c r="B70" s="57" t="inlineStr">
        <is>
          <t>Distancia a vía vecinal más cercana</t>
        </is>
      </c>
      <c r="C70" s="57" t="inlineStr">
        <is>
          <t>m</t>
        </is>
      </c>
      <c r="D70" s="57" t="inlineStr">
        <is>
          <t>0</t>
        </is>
      </c>
      <c r="E70" s="57" t="inlineStr">
        <is>
          <t>La vía afirmada bordea el límite norte del bloque</t>
        </is>
      </c>
      <c r="F70" s="57" t="inlineStr">
        <is>
          <t>A menor distancia → mayor presión</t>
        </is>
      </c>
      <c r="G70" s="57" t="inlineStr">
        <is>
          <t>Alto</t>
        </is>
      </c>
    </row>
    <row r="72">
      <c r="A72" s="54" t="inlineStr">
        <is>
          <t>F-DT-05 · FUENTES DE AGUA INVENTARIADAS</t>
        </is>
      </c>
    </row>
    <row r="73">
      <c r="A73" s="55" t="inlineStr">
        <is>
          <t>N.o</t>
        </is>
      </c>
      <c r="B73" s="55" t="inlineStr">
        <is>
          <t>Tipo de fuente</t>
        </is>
      </c>
      <c r="C73" s="55" t="inlineStr">
        <is>
          <t>UTM ESTE</t>
        </is>
      </c>
      <c r="D73" s="55" t="inlineStr">
        <is>
          <t>UTM NORTE</t>
        </is>
      </c>
      <c r="E73" s="55" t="inlineStr">
        <is>
          <t>Régimen</t>
        </is>
      </c>
      <c r="F73" s="55" t="inlineStr">
        <is>
          <t>Calidad</t>
        </is>
      </c>
      <c r="G73" s="55" t="inlineStr">
        <is>
          <t>Distancia (m)</t>
        </is>
      </c>
      <c r="H73" s="55" t="inlineStr">
        <is>
          <t>Uso / observación</t>
        </is>
      </c>
    </row>
    <row r="74">
      <c r="A74" s="56" t="inlineStr">
        <is>
          <t>1</t>
        </is>
      </c>
      <c r="B74" s="56" t="inlineStr">
        <is>
          <t>Manantial / Puquio</t>
        </is>
      </c>
      <c r="C74" s="61" t="n">
        <v>654746</v>
      </c>
      <c r="D74" s="61" t="n">
        <v>9395088</v>
      </c>
      <c r="E74" s="56" t="inlineStr">
        <is>
          <t>Permanente</t>
        </is>
      </c>
      <c r="F74" s="56" t="inlineStr">
        <is>
          <t>Buena (clara, sin olor, sin sedimentos)</t>
        </is>
      </c>
      <c r="G74" s="63" t="n">
        <v>0</v>
      </c>
      <c r="H74" s="56" t="inlineStr">
        <is>
          <t>Afloramiento en roca con DOS cajas de captación de concreto y tubería de salida; en servicio al 21/07/2026 (foto P-16). Sistema y JASS asociada POR DETERMINAR.</t>
        </is>
      </c>
    </row>
    <row r="75">
      <c r="A75" s="57" t="inlineStr">
        <is>
          <t>2</t>
        </is>
      </c>
      <c r="B75" s="57" t="inlineStr">
        <is>
          <t>Quebrada permanente</t>
        </is>
      </c>
      <c r="C75" s="62" t="n">
        <v>654758</v>
      </c>
      <c r="D75" s="62" t="n">
        <v>9395031</v>
      </c>
      <c r="E75" s="57" t="inlineStr">
        <is>
          <t>Permanente</t>
        </is>
      </c>
      <c r="F75" s="57" t="inlineStr">
        <is>
          <t>Regular (ligeramente turbia o con sedimentos)</t>
        </is>
      </c>
      <c r="G75" s="64" t="n">
        <v>0</v>
      </c>
      <c r="H75" s="57" t="inlineStr">
        <is>
          <t>Quebrada con salto de agua y bosque de galería (Guadua, helechos); caja de captación revestida en azul (fotos P-09 y P-10). Cauce con arrastre de finos y hojarasca — socavamiento incipiente.</t>
        </is>
      </c>
    </row>
    <row r="78">
      <c r="A78" s="54" t="inlineStr">
        <is>
          <t>OBSERVACIONES DEL EVALUADOR POR FICHA</t>
        </is>
      </c>
    </row>
    <row r="79">
      <c r="A79" s="55" t="inlineStr">
        <is>
          <t>Ficha</t>
        </is>
      </c>
      <c r="B79" s="55" t="inlineStr">
        <is>
          <t>Observación registrada en campo</t>
        </is>
      </c>
    </row>
    <row r="80">
      <c r="A80" s="56" t="inlineStr">
        <is>
          <t>F-DT-01</t>
        </is>
      </c>
      <c r="B80" s="56" t="inlineStr">
        <is>
          <t>Punto de muestreo consignado = CENTROIDE OFICIAL del bloque (654 607 E · 9 395 038 N, UTM WGS84 17S, fuente Centroides_Bloques_V5). El recorrido de verificación se desarrolló entre 654 428 – 654 758 E y 9 395 031 – 9 395 236 N. || PENDIENTE: el perfil Google Earth (transecto de 544 m) arroja media 41,6 % y máxima 59,0 %; las anotaciones de campo registran 80 % y 90 % en las laderas medias (fotos P-03, P-07, P-11). Se adopta 50-75 % como rango dominante por tratarse de un transecto oblicuo que subestima la pendiente real; verificación instrumental PENDIENTE. || ALTITUD: el bloque es transicional — el perfil medido va de 1 373 a 1 605 msnm (media 1 480) y el polígono cartográfico se extiende aproximadamente entre las curvas de 1 400 y 1 700 msnm; se consigna Quechua baja por ser el rango de la mayor parte del transecto, con sector superior en Quechua media. || Comunidad campesina y titularidad predial POR DETERMINAR.</t>
        </is>
      </c>
    </row>
    <row r="81">
      <c r="A81" s="57" t="inlineStr">
        <is>
          <t>F-DT-05</t>
        </is>
      </c>
      <c r="B81" s="57" t="inlineStr">
        <is>
          <t>DOS captaciones de agua para consumo poblacional se ubican DENTRO del ámbito del bloque (654 746 E · 9 395 088 N y 654 758 E · 9 395 031 N), a ≈ 145 m y ≈ 140 m del centroide respectivamente. Esto convierte al Bloque 35 en zona de origen y de protección de fuente, y eleva la criticidad de las medidas de infraestructura natural. || Nombre de la JASS, caudales, población servida y expedientes de licencia ANA: POR DETERMINAR. || Señal celular, operador, alojamiento rural y tiempos de viaje desde las capitales distrital y provincial NO fueron registrados en esta verificación. || Autorización de Ronda Campesina: POR VERIFICAR con las autoridades de Chamelico y Quitahuajara antes del levantamiento detallado.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35</t>
        </is>
      </c>
    </row>
    <row r="7">
      <c r="A7" s="54" t="inlineStr">
        <is>
          <t>Hechos declarados por fuente</t>
        </is>
      </c>
    </row>
    <row r="8">
      <c r="A8" s="55" t="inlineStr">
        <is>
          <t>Fuente</t>
        </is>
      </c>
      <c r="B8" s="55" t="inlineStr">
        <is>
          <t>Hechos</t>
        </is>
      </c>
    </row>
    <row r="9">
      <c r="A9" s="56" t="inlineStr">
        <is>
          <t>Dato de campo</t>
        </is>
      </c>
      <c r="B9" s="56" t="n">
        <v>63</v>
      </c>
    </row>
    <row r="10">
      <c r="A10" s="57" t="inlineStr">
        <is>
          <t>Gabinete (GIS / teledetección)</t>
        </is>
      </c>
      <c r="B10" s="57" t="n">
        <v>20</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96</v>
      </c>
    </row>
    <row r="29">
      <c r="A29" s="57" t="inlineStr">
        <is>
          <t>COMPLEMENTADO</t>
        </is>
      </c>
      <c r="B29" s="57" t="n">
        <v>0</v>
      </c>
    </row>
    <row r="30">
      <c r="A30" s="56" t="inlineStr">
        <is>
          <t>ACTUALIZADO</t>
        </is>
      </c>
      <c r="B30" s="56" t="n">
        <v>1</v>
      </c>
    </row>
    <row r="31">
      <c r="A31" s="57" t="inlineStr">
        <is>
          <t>DISCREPANTE</t>
        </is>
      </c>
      <c r="B31" s="57" t="n">
        <v>0</v>
      </c>
    </row>
    <row r="32">
      <c r="A32" s="56" t="inlineStr">
        <is>
          <t>PENDIENTE</t>
        </is>
      </c>
      <c r="B32" s="56" t="n">
        <v>17</v>
      </c>
    </row>
    <row r="45">
      <c r="A45" s="54" t="inlineStr">
        <is>
          <t>Cobertura por estrato — campo (%)</t>
        </is>
      </c>
    </row>
    <row r="46">
      <c r="A46" s="55" t="inlineStr">
        <is>
          <t>Estrato</t>
        </is>
      </c>
      <c r="B46" s="55" t="inlineStr">
        <is>
          <t>% del área</t>
        </is>
      </c>
    </row>
    <row r="47">
      <c r="A47" s="56" t="inlineStr">
        <is>
          <t>Dosel</t>
        </is>
      </c>
      <c r="B47" s="61" t="n">
        <v>20</v>
      </c>
    </row>
    <row r="48">
      <c r="A48" s="57" t="inlineStr">
        <is>
          <t>Arbustiva</t>
        </is>
      </c>
      <c r="B48" s="62" t="n">
        <v>45</v>
      </c>
    </row>
    <row r="49">
      <c r="A49" s="56" t="inlineStr">
        <is>
          <t>Herbácea</t>
        </is>
      </c>
      <c r="B49" s="61" t="n">
        <v>30</v>
      </c>
    </row>
    <row r="50">
      <c r="A50" s="57" t="inlineStr">
        <is>
          <t>Suelo desnudo</t>
        </is>
      </c>
      <c r="B50" s="64" t="n">
        <v>5</v>
      </c>
    </row>
    <row r="64">
      <c r="A64" s="54" t="inlineStr">
        <is>
          <t>Causas activas de degradación (F-DT-04)</t>
        </is>
      </c>
    </row>
    <row r="65">
      <c r="A65" s="55" t="inlineStr">
        <is>
          <t>Causa</t>
        </is>
      </c>
      <c r="B65" s="55" t="inlineStr">
        <is>
          <t>Intensidad (1 ligera - 4 muy fuerte)</t>
        </is>
      </c>
    </row>
    <row r="66">
      <c r="A66" s="56" t="inlineStr">
        <is>
          <t>Cambio de uso a pastoreo</t>
        </is>
      </c>
      <c r="B66" s="56" t="n">
        <v>2</v>
      </c>
    </row>
    <row r="67">
      <c r="A67" s="57" t="inlineStr">
        <is>
          <t>Erosión natural severa</t>
        </is>
      </c>
      <c r="B67" s="57" t="n">
        <v>2</v>
      </c>
    </row>
    <row r="68">
      <c r="A68" s="56" t="inlineStr">
        <is>
          <t>Expansión urbana / vial</t>
        </is>
      </c>
      <c r="B68" s="56" t="n">
        <v>2</v>
      </c>
    </row>
    <row r="69">
      <c r="A69" s="57" t="inlineStr">
        <is>
          <t>Sobrepastoreo (caprino/vacuno)</t>
        </is>
      </c>
      <c r="B69" s="57" t="n">
        <v>2</v>
      </c>
    </row>
    <row r="70">
      <c r="A70" s="56" t="inlineStr">
        <is>
          <t>Cambio de uso a agricultura</t>
        </is>
      </c>
      <c r="B70" s="56" t="n">
        <v>1</v>
      </c>
    </row>
    <row r="71">
      <c r="A71" s="57" t="inlineStr">
        <is>
          <t>Especies invasoras</t>
        </is>
      </c>
      <c r="B71" s="57" t="n">
        <v>1</v>
      </c>
    </row>
    <row r="72">
      <c r="A72" s="56" t="inlineStr">
        <is>
          <t>Otro</t>
        </is>
      </c>
      <c r="B72" s="56" t="n">
        <v>1</v>
      </c>
    </row>
    <row r="83">
      <c r="A83" s="54" t="inlineStr">
        <is>
          <t>Control de consistencia por calificación</t>
        </is>
      </c>
    </row>
    <row r="84">
      <c r="A84" s="55" t="inlineStr">
        <is>
          <t>Calificación</t>
        </is>
      </c>
      <c r="B84" s="55" t="inlineStr">
        <is>
          <t>Verificaciones</t>
        </is>
      </c>
    </row>
    <row r="85">
      <c r="A85" s="56" t="inlineStr">
        <is>
          <t>SUSTANTIVA</t>
        </is>
      </c>
      <c r="B85" s="56" t="n">
        <v>1</v>
      </c>
    </row>
    <row r="86">
      <c r="A86" s="57" t="inlineStr">
        <is>
          <t>NO SUSTANTIVA</t>
        </is>
      </c>
      <c r="B86" s="57" t="n">
        <v>3</v>
      </c>
    </row>
    <row r="87">
      <c r="A87" s="56" t="inlineStr">
        <is>
          <t>CORREGIDO</t>
        </is>
      </c>
      <c r="B87" s="56" t="n">
        <v>1</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35 — IN Piura</dc:title>
  <dc:subject>Diagnóstico Territorial por bloque de intervención</dc:subject>
  <dcterms:created xsi:type="dcterms:W3CDTF">2026-09-08T03:39:56Z</dcterms:created>
  <dcterms:modified xsi:type="dcterms:W3CDTF">2026-09-11T21:26:25Z</dcterms:modified>
</cp:coreProperties>
</file>