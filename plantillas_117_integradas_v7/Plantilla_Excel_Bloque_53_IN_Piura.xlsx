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f>
            </numRef>
          </cat>
          <val>
            <numRef>
              <f>'Gráficos de integración'!$B$47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integración'!$A$66:$A$70</f>
            </numRef>
          </cat>
          <val>
            <numRef>
              <f>'Gráficos de integración'!$B$66:$B$70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53</t>
        </is>
      </c>
    </row>
    <row r="6" ht="24" customHeight="1">
      <c r="A6" s="4" t="inlineStr">
        <is>
          <t>Diagnóstico Territorial — Plantilla DT Campo Check Validada V5 | Sistema de referencia: UTM WGS 84 Zona 17S (EPSG:32717) · Integrado con la ficha de campo F-DT vigente (Plantilla_DT_Campo_Bloque53_IN_Piura.xlsx) — V7 - resumen V6 + campo F-DT integrado</t>
        </is>
      </c>
    </row>
    <row r="7"/>
    <row r="8" ht="18" customHeight="1">
      <c r="A8" s="5" t="inlineStr">
        <is>
          <t>1. IDENTIFICACIÓN Y LOCALIZACIÓN</t>
        </is>
      </c>
    </row>
    <row r="9">
      <c r="A9" s="6" t="inlineStr">
        <is>
          <t>Código del bloque</t>
        </is>
      </c>
      <c r="B9" s="7" t="inlineStr">
        <is>
          <t>53</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Zururán</t>
        </is>
      </c>
      <c r="C13" s="6" t="inlineStr">
        <is>
          <t>Comunidad campesina</t>
        </is>
      </c>
      <c r="D13" s="7" t="inlineStr">
        <is>
          <t>Por verificar — no se consultó registro de comunidades campesinas en campo</t>
        </is>
      </c>
      <c r="E13" s="8" t="n"/>
      <c r="F13" s="8" t="n"/>
    </row>
    <row r="14">
      <c r="A14" s="6" t="inlineStr">
        <is>
          <t>Superficie de catálogo (V5/V6), ha</t>
        </is>
      </c>
      <c r="B14" s="7" t="n">
        <v>13.06</v>
      </c>
      <c r="C14" s="6" t="inlineStr">
        <is>
          <t>Fuente de superficie</t>
        </is>
      </c>
      <c r="D14" s="7" t="inlineStr">
        <is>
          <t>Catálogo maestro Bloques V5/V6</t>
        </is>
      </c>
      <c r="E14" s="8" t="n"/>
      <c r="F14" s="8" t="n"/>
    </row>
    <row r="15">
      <c r="A15" s="6" t="inlineStr">
        <is>
          <t>Centroide UTM ESTE (m)</t>
        </is>
      </c>
      <c r="B15" s="7" t="n">
        <v>666537</v>
      </c>
      <c r="C15" s="6" t="inlineStr">
        <is>
          <t>Centroide UTM NORTE (m)</t>
        </is>
      </c>
      <c r="D15" s="7" t="n">
        <v>9395918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2235</v>
      </c>
      <c r="C19" s="6" t="inlineStr">
        <is>
          <t>Altitud máxima (msnm)</t>
        </is>
      </c>
      <c r="D19" s="7" t="n">
        <v>2540</v>
      </c>
      <c r="E19" s="8" t="n"/>
      <c r="F19" s="8" t="n"/>
    </row>
    <row r="20">
      <c r="A20" s="6" t="inlineStr">
        <is>
          <t>Amplitud altitudinal (m)</t>
        </is>
      </c>
      <c r="B20" s="7" t="n">
        <v>305</v>
      </c>
      <c r="C20" s="6" t="inlineStr">
        <is>
          <t>Piso altitudinal dominante</t>
        </is>
      </c>
      <c r="D20" s="7" t="inlineStr">
        <is>
          <t>2000-2500 m (Quechua alta)</t>
        </is>
      </c>
      <c r="E20" s="8" t="n"/>
      <c r="F20" s="8" t="n"/>
    </row>
    <row r="21">
      <c r="A21" s="6" t="inlineStr">
        <is>
          <t>Pendiente promedio (%)</t>
        </is>
      </c>
      <c r="B21" s="7" t="n">
        <v>26.89</v>
      </c>
      <c r="C21" s="6" t="inlineStr">
        <is>
          <t>Pendiente promedio (grados)</t>
        </is>
      </c>
      <c r="D21" s="7" t="n">
        <v>15.1</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0.5963000000000001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(86.15 %)</t>
        </is>
      </c>
      <c r="E29" s="8" t="n"/>
      <c r="F29" s="8" t="n"/>
    </row>
    <row r="30">
      <c r="A30" s="6" t="inlineStr">
        <is>
          <t>Superficie clasificada NDVI 2025 (ha)</t>
        </is>
      </c>
      <c r="B30" s="7" t="n">
        <v>13.066</v>
      </c>
      <c r="C30" s="6" t="inlineStr">
        <is>
          <t>Desviación frente al catálogo (%)</t>
        </is>
      </c>
      <c r="D30" s="7" t="n">
        <v>0.05</v>
      </c>
      <c r="E30" s="8" t="n"/>
      <c r="F30" s="8" t="n"/>
    </row>
    <row r="31">
      <c r="A31" s="6" t="inlineStr">
        <is>
          <t>Superficie clasificada MSAVI 2024 (ha)</t>
        </is>
      </c>
      <c r="B31" s="36" t="n">
        <v>13.065</v>
      </c>
      <c r="C31" s="6" t="inlineStr">
        <is>
          <t>Desviación MSAVI frente al catálogo (%)</t>
        </is>
      </c>
      <c r="D31" s="37" t="n">
        <v>0.04</v>
      </c>
      <c r="E31" s="8" t="n"/>
      <c r="F31" s="8" t="n"/>
    </row>
    <row r="32">
      <c r="A32" s="6" t="inlineStr">
        <is>
          <t>Superficie bajo umbral MSAVI 0.4976 (ha)</t>
        </is>
      </c>
      <c r="B32" s="36" t="n">
        <v>1.626</v>
      </c>
      <c r="C32" s="6" t="inlineStr">
        <is>
          <t>% del bloque bajo umbral (brecha espectral)</t>
        </is>
      </c>
      <c r="D32" s="37" t="n">
        <v>12.45</v>
      </c>
      <c r="E32" s="8" t="n"/>
      <c r="F32" s="8" t="n"/>
    </row>
    <row r="33">
      <c r="A33" s="6" t="inlineStr">
        <is>
          <t>Clase DN dominante (MSAVI 2024)</t>
        </is>
      </c>
      <c r="B33" s="7" t="inlineStr">
        <is>
          <t>DN 4 · 0.4976 - 0.6139 (Vigor moderado)</t>
        </is>
      </c>
      <c r="C33" s="6" t="inlineStr">
        <is>
          <t>N.° de polígonos MSAVI del bloque</t>
        </is>
      </c>
      <c r="D33" s="38" t="n">
        <v>78</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13.066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Matorral ralo</t>
        </is>
      </c>
      <c r="C38" s="6" t="inlineStr">
        <is>
          <t>Cobertura vegetal total — campo (%)</t>
        </is>
      </c>
      <c r="D38" s="48" t="inlineStr">
        <is>
          <t>70</t>
        </is>
      </c>
      <c r="E38" s="8" t="n"/>
      <c r="F38" s="8" t="n"/>
    </row>
    <row r="39">
      <c r="A39" s="6" t="inlineStr">
        <is>
          <t>Suelo desnudo — campo (%)</t>
        </is>
      </c>
      <c r="B39" s="48" t="inlineStr">
        <is>
          <t>15</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Por determinar</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determinar</t>
        </is>
      </c>
      <c r="C44" s="6" t="inlineStr">
        <is>
          <t>Fecha de evaluación</t>
        </is>
      </c>
      <c r="D44" s="48" t="inlineStr">
        <is>
          <t>19-08-2026</t>
        </is>
      </c>
      <c r="E44" s="8" t="n"/>
      <c r="F44" s="8" t="n"/>
    </row>
    <row r="45">
      <c r="A45" s="6" t="inlineStr">
        <is>
          <t>Hora de registro</t>
        </is>
      </c>
      <c r="B45" s="7" t="inlineStr">
        <is>
          <t>10:35 - 11:10 h</t>
        </is>
      </c>
      <c r="C45" s="6" t="inlineStr">
        <is>
          <t>Correlativo de ficha</t>
        </is>
      </c>
      <c r="D45" s="7" t="inlineStr">
        <is>
          <t>F-DT-01/53/2026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8" t="inlineStr">
        <is>
          <t>No instalada</t>
        </is>
      </c>
      <c r="E47" s="8" t="n"/>
      <c r="F47" s="8" t="n"/>
    </row>
    <row r="48">
      <c r="A48" s="6" t="inlineStr">
        <is>
          <t>Estaciones fotográficas georreferenciadas</t>
        </is>
      </c>
      <c r="B48" s="7" t="n">
        <v>10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ganadera sin ordenamiento de carga ni clausura, sobre una unidad de cabecera de microcuenca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5.5755</v>
      </c>
      <c r="C10" s="19">
        <f>ROUND(B10/$B$15*100,2)</f>
        <v/>
      </c>
      <c r="D10" s="11" t="inlineStr">
        <is>
          <t>Vigor alto</t>
        </is>
      </c>
      <c r="E10" s="11" t="inlineStr">
        <is>
          <t>Sobre umbral</t>
        </is>
      </c>
    </row>
    <row r="11">
      <c r="A11" s="12" t="inlineStr">
        <is>
          <t>0.4976 - 0.6139 · DN 4</t>
        </is>
      </c>
      <c r="B11" s="30" t="n">
        <v>5.8631</v>
      </c>
      <c r="C11" s="29">
        <f>ROUND(B11/$B$15*100,2)</f>
        <v/>
      </c>
      <c r="D11" s="13" t="inlineStr">
        <is>
          <t>Vigor moderado</t>
        </is>
      </c>
      <c r="E11" s="13" t="inlineStr">
        <is>
          <t>Sobre umbral</t>
        </is>
      </c>
    </row>
    <row r="12">
      <c r="A12" s="7" t="inlineStr">
        <is>
          <t>0.3813 - 0.4976 · DN 3</t>
        </is>
      </c>
      <c r="B12" s="18" t="n">
        <v>1.5271</v>
      </c>
      <c r="C12" s="19">
        <f>ROUND(B12/$B$15*100,2)</f>
        <v/>
      </c>
      <c r="D12" s="11" t="inlineStr">
        <is>
          <t>Vigor bajo</t>
        </is>
      </c>
      <c r="E12" s="11" t="inlineStr">
        <is>
          <t>BAJO umbral 0.4976</t>
        </is>
      </c>
    </row>
    <row r="13">
      <c r="A13" s="14" t="inlineStr">
        <is>
          <t>0.2650 - 0.3813 · DN 2</t>
        </is>
      </c>
      <c r="B13" s="20" t="n">
        <v>0.099</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78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13.06</v>
      </c>
      <c r="C18" s="47" t="inlineStr">
        <is>
          <t>—</t>
        </is>
      </c>
      <c r="D18" s="44" t="inlineStr">
        <is>
          <t>Desviación planimétrica frente al catálogo</t>
        </is>
      </c>
      <c r="E18" s="44" t="inlineStr">
        <is>
          <t>+0.04 %</t>
        </is>
      </c>
    </row>
    <row r="19">
      <c r="A19" s="16" t="inlineStr">
        <is>
          <t>MSAVI 2024 — MEDIA DEL BLOQUE</t>
        </is>
      </c>
      <c r="B19" s="17" t="n">
        <v>0.5962769999999999</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(0.5963)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11.257</v>
      </c>
      <c r="C25" s="19" t="n">
        <v>86.15000000000001</v>
      </c>
      <c r="D25" s="11" t="inlineStr">
        <is>
          <t>Dosel continuo, matorral denso o mosaico agroforestal</t>
        </is>
      </c>
      <c r="E25" s="11" t="inlineStr"/>
    </row>
    <row r="26">
      <c r="A26" s="14" t="inlineStr">
        <is>
          <t>Vegetación mediana</t>
        </is>
      </c>
      <c r="B26" s="20" t="n">
        <v>1.7894</v>
      </c>
      <c r="C26" s="21" t="n">
        <v>13.7</v>
      </c>
      <c r="D26" s="15" t="inlineStr">
        <is>
          <t>Pastizal cultivado, matorral ralo, parcelas agrícolas</t>
        </is>
      </c>
      <c r="E26" s="15" t="inlineStr"/>
    </row>
    <row r="27">
      <c r="A27" s="7" t="inlineStr">
        <is>
          <t>Vegetación ligera</t>
        </is>
      </c>
      <c r="B27" s="18" t="n">
        <v>0.0198</v>
      </c>
      <c r="C27" s="19" t="n">
        <v>0.15</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13.06</v>
      </c>
      <c r="C29" s="25" t="inlineStr">
        <is>
          <t>—</t>
        </is>
      </c>
      <c r="D29" s="25" t="inlineStr">
        <is>
          <t>Desviación planimétrica frente al catálogo</t>
        </is>
      </c>
      <c r="E29" s="25" t="inlineStr">
        <is>
          <t>+0.05 %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86.15 % del polígono clasificado como «Vegetación alta» por el NDVI 2025; la observación de campo corresponde a una parcela o recorrido puntual y no es estadísticamente representativa de las 13.060 ha del bloque.</t>
        </is>
      </c>
      <c r="B31" s="39" t="n"/>
      <c r="C31" s="39" t="n"/>
      <c r="D31" s="39" t="n"/>
      <c r="E31" s="40"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53</t>
        </is>
      </c>
    </row>
    <row r="6" ht="24" customHeight="1">
      <c r="A6" s="4" t="inlineStr">
        <is>
          <t>Levantamiento del 2026-09-05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666537</v>
      </c>
      <c r="C12" s="6" t="inlineStr">
        <is>
          <t>Centroide del bloque — UTM NORTE (m)</t>
        </is>
      </c>
      <c r="D12" s="7" t="n">
        <v>9395918</v>
      </c>
      <c r="E12" s="8" t="n"/>
      <c r="F12" s="8" t="n"/>
      <c r="G12" s="8" t="n"/>
      <c r="H12" s="8" t="n"/>
    </row>
    <row r="13">
      <c r="A13" s="6" t="inlineStr">
        <is>
          <t>N.° de estaciones fotográficas declaradas</t>
        </is>
      </c>
      <c r="B13" s="7" t="n">
        <v>10</v>
      </c>
      <c r="C13" s="6" t="inlineStr">
        <is>
          <t>Estaciones dentro del polígono</t>
        </is>
      </c>
      <c r="D13" s="7" t="inlineStr">
        <is>
          <t>Por determinar</t>
        </is>
      </c>
      <c r="E13" s="8" t="n"/>
      <c r="F13" s="8" t="n"/>
      <c r="G13" s="8" t="n"/>
      <c r="H13" s="8" t="n"/>
    </row>
    <row r="15" ht="108"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Ninguna ficha F-DT fue diligenciada en campo el 19-08-2026; el reconocimiento consistió en recorrido con registro fotográfico georreferenciado. Pendiente promedio zonal (MDE) 26.89% ≈ 15.05°; rango altitudinal 2235-2540 msnm (amplitud 305 m). Escarpes activos en taludes de corte del camino de herradura y de la trocha en el borde noroccidental.</t>
        </is>
      </c>
      <c r="B15" s="39" t="n"/>
      <c r="C15" s="39" t="n"/>
      <c r="D15" s="39" t="n"/>
      <c r="E15" s="39" t="n"/>
      <c r="F15" s="39" t="n"/>
      <c r="G15" s="40"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53</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6" t="n">
        <v>103.62</v>
      </c>
      <c r="C10" s="19" t="n">
        <v>21.54</v>
      </c>
      <c r="D10" s="11" t="inlineStr">
        <is>
          <t>1218 – 1904</t>
        </is>
      </c>
      <c r="E10" s="11" t="n">
        <v>686</v>
      </c>
      <c r="F10" s="11" t="n">
        <v>28.7</v>
      </c>
      <c r="G10" s="18" t="n">
        <v>0.6402</v>
      </c>
      <c r="H10" s="19" t="n">
        <v>96.64</v>
      </c>
      <c r="I10" s="19" t="n">
        <v>3</v>
      </c>
    </row>
    <row r="11">
      <c r="A11" s="14" t="inlineStr">
        <is>
          <t>19</t>
        </is>
      </c>
      <c r="B11" s="27" t="n">
        <v>82.09</v>
      </c>
      <c r="C11" s="21" t="n">
        <v>17.06</v>
      </c>
      <c r="D11" s="15" t="inlineStr">
        <is>
          <t>2064 – 2503</t>
        </is>
      </c>
      <c r="E11" s="15" t="n">
        <v>439</v>
      </c>
      <c r="F11" s="15" t="n">
        <v>31.01</v>
      </c>
      <c r="G11" s="20" t="n">
        <v>0.5372</v>
      </c>
      <c r="H11" s="21" t="n">
        <v>60.33</v>
      </c>
      <c r="I11" s="21" t="n">
        <v>42.63</v>
      </c>
    </row>
    <row r="12">
      <c r="A12" s="7" t="inlineStr">
        <is>
          <t>41</t>
        </is>
      </c>
      <c r="B12" s="26" t="n">
        <v>64.92</v>
      </c>
      <c r="C12" s="19" t="n">
        <v>13.49</v>
      </c>
      <c r="D12" s="11" t="inlineStr">
        <is>
          <t>1536 – 1818</t>
        </is>
      </c>
      <c r="E12" s="11" t="n">
        <v>282</v>
      </c>
      <c r="F12" s="11" t="n">
        <v>25.53</v>
      </c>
      <c r="G12" s="18" t="n">
        <v>0.5927</v>
      </c>
      <c r="H12" s="19" t="n">
        <v>98.02</v>
      </c>
      <c r="I12" s="19" t="n">
        <v>12.26</v>
      </c>
    </row>
    <row r="13">
      <c r="A13" s="14" t="inlineStr">
        <is>
          <t>73</t>
        </is>
      </c>
      <c r="B13" s="27" t="n">
        <v>54.29</v>
      </c>
      <c r="C13" s="21" t="n">
        <v>11.28</v>
      </c>
      <c r="D13" s="15" t="inlineStr">
        <is>
          <t>1845 – 2305</t>
        </is>
      </c>
      <c r="E13" s="15" t="n">
        <v>460</v>
      </c>
      <c r="F13" s="15" t="n">
        <v>36.34</v>
      </c>
      <c r="G13" s="20" t="n">
        <v>0.555</v>
      </c>
      <c r="H13" s="21" t="n">
        <v>88.8</v>
      </c>
      <c r="I13" s="21" t="n">
        <v>18.94</v>
      </c>
    </row>
    <row r="14">
      <c r="A14" s="7" t="inlineStr">
        <is>
          <t>31</t>
        </is>
      </c>
      <c r="B14" s="26" t="n">
        <v>47.58</v>
      </c>
      <c r="C14" s="19" t="n">
        <v>9.890000000000001</v>
      </c>
      <c r="D14" s="11" t="inlineStr">
        <is>
          <t>1741 – 2234</t>
        </is>
      </c>
      <c r="E14" s="11" t="n">
        <v>493</v>
      </c>
      <c r="F14" s="11" t="n">
        <v>27.08</v>
      </c>
      <c r="G14" s="18" t="n">
        <v>0.4358</v>
      </c>
      <c r="H14" s="19" t="n">
        <v>18.56</v>
      </c>
      <c r="I14" s="19" t="n">
        <v>78.42</v>
      </c>
    </row>
    <row r="15">
      <c r="A15" s="14" t="inlineStr">
        <is>
          <t>29</t>
        </is>
      </c>
      <c r="B15" s="27"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6" t="n">
        <v>22.39</v>
      </c>
      <c r="C16" s="19" t="n">
        <v>4.65</v>
      </c>
      <c r="D16" s="11" t="inlineStr">
        <is>
          <t>2326 – 2536</t>
        </is>
      </c>
      <c r="E16" s="11" t="n">
        <v>210</v>
      </c>
      <c r="F16" s="11" t="n">
        <v>23.2</v>
      </c>
      <c r="G16" s="18" t="n">
        <v>0.6223</v>
      </c>
      <c r="H16" s="19" t="n">
        <v>98.39</v>
      </c>
      <c r="I16" s="19" t="n">
        <v>4.87</v>
      </c>
    </row>
    <row r="17">
      <c r="A17" s="14" t="inlineStr">
        <is>
          <t>68</t>
        </is>
      </c>
      <c r="B17" s="27"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6" t="n">
        <v>19.43</v>
      </c>
      <c r="C18" s="19" t="n">
        <v>4.04</v>
      </c>
      <c r="D18" s="11" t="inlineStr">
        <is>
          <t>1931 – 2205</t>
        </is>
      </c>
      <c r="E18" s="11" t="n">
        <v>274</v>
      </c>
      <c r="F18" s="11" t="n">
        <v>27.95</v>
      </c>
      <c r="G18" s="18" t="n">
        <v>0.4489</v>
      </c>
      <c r="H18" s="19" t="n">
        <v>22.92</v>
      </c>
      <c r="I18" s="19" t="n">
        <v>81.28</v>
      </c>
    </row>
    <row r="19">
      <c r="A19" s="12" t="inlineStr">
        <is>
          <t>► 53</t>
        </is>
      </c>
      <c r="B19" s="28" t="n">
        <v>13.06</v>
      </c>
      <c r="C19" s="29" t="n">
        <v>2.71</v>
      </c>
      <c r="D19" s="13" t="inlineStr">
        <is>
          <t>2235 – 2540</t>
        </is>
      </c>
      <c r="E19" s="13" t="n">
        <v>305</v>
      </c>
      <c r="F19" s="13" t="n">
        <v>26.89</v>
      </c>
      <c r="G19" s="30" t="n">
        <v>0.5963000000000001</v>
      </c>
      <c r="H19" s="29" t="n">
        <v>86.15000000000001</v>
      </c>
      <c r="I19" s="29" t="n">
        <v>12.45</v>
      </c>
    </row>
    <row r="20">
      <c r="A20" s="7" t="inlineStr">
        <is>
          <t>72</t>
        </is>
      </c>
      <c r="B20" s="26" t="n">
        <v>12.4</v>
      </c>
      <c r="C20" s="19" t="n">
        <v>2.58</v>
      </c>
      <c r="D20" s="11" t="inlineStr">
        <is>
          <t>1538 – 1742</t>
        </is>
      </c>
      <c r="E20" s="11" t="n">
        <v>204</v>
      </c>
      <c r="F20" s="11" t="n">
        <v>28.25</v>
      </c>
      <c r="G20" s="18" t="n">
        <v>0.5185</v>
      </c>
      <c r="H20" s="19" t="n">
        <v>92.44</v>
      </c>
      <c r="I20" s="19" t="n">
        <v>41.35</v>
      </c>
    </row>
    <row r="21">
      <c r="A21" s="16" t="inlineStr">
        <is>
          <t>TOTAL / PROMEDIO</t>
        </is>
      </c>
      <c r="B21" s="31">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39" t="n"/>
      <c r="C22" s="39" t="n"/>
      <c r="D22" s="39" t="n"/>
      <c r="E22" s="39" t="n"/>
      <c r="F22" s="39" t="n"/>
      <c r="G22" s="39" t="n"/>
      <c r="H22" s="39" t="n"/>
      <c r="I22" s="40" t="n"/>
    </row>
    <row r="24" ht="84" customHeight="1">
      <c r="A24" s="9" t="inlineStr">
        <is>
          <t>LECTURA INTRAMICROCUENCA. El bloque 53 ocupa el puesto 10 de 11 por superficie dentro de la microcuenca C1076-Q9592 (2.71 % de las 481.17 ha preliminares de la microcuenca). Su pendiente promedio (26.89 %, clase «25-50% (Mod. escarpado)») es la 3.ª más baja de 11 y se sitúa por debajo del promedio de la microcuenca (29.39 %). Su MSAVI 2024 (0.5963) es el 3.º de 11 y queda por encima del promedio local (0.5435). Amplitud altitudinal del bloque: 305 m (2235–2540 msnm). El cuadro conserva todos los bloques catalogados en la microcuenca, incluidos los descartados en el tamizaje, para referencia del conjunto. Los bloques sin ficha DT figuran con sus parámetros de gabinete. BRECHA ESPECTRAL. El 12.45 % de la superficie del bloque (1.626 ha de 13.065 ha) se sitúa bajo el umbral MSAVI 0.4976, por debajo del promedio local de la microcuenca (32.80 %) calculado sobre los bloques con dato MSAVI disponible.</t>
        </is>
      </c>
      <c r="B24" s="39" t="n"/>
      <c r="C24" s="39" t="n"/>
      <c r="D24" s="39" t="n"/>
      <c r="E24" s="39" t="n"/>
      <c r="F24" s="39" t="n"/>
      <c r="G24" s="39" t="n"/>
      <c r="H24" s="39" t="n"/>
      <c r="I24" s="40"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39" t="n"/>
      <c r="C26" s="39" t="n"/>
      <c r="D26" s="39" t="n"/>
      <c r="E26" s="39" t="n"/>
      <c r="F26" s="39" t="n"/>
      <c r="G26" s="39" t="n"/>
      <c r="H26" s="39" t="n"/>
      <c r="I26" s="40"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CONTROL DE CONSISTENCIA — BLOQUE 53</t>
        </is>
      </c>
    </row>
    <row r="6">
      <c r="A6" s="50" t="inlineStr">
        <is>
          <t>Cruce de la ficha de campo F-DT vigente con la ficha de resumen de gabinete y el catálogo maestro. Integración 2026-09-11 21:26:27.</t>
        </is>
      </c>
    </row>
    <row r="7">
      <c r="A7" s="52" t="inlineStr">
        <is>
          <t>DISCREPANCIAS Y VERIFICACIONES</t>
        </is>
      </c>
    </row>
    <row r="8">
      <c r="A8" s="53" t="inlineStr">
        <is>
          <t>Cod.</t>
        </is>
      </c>
      <c r="B8" s="53" t="inlineStr">
        <is>
          <t>Campo afectado</t>
        </is>
      </c>
      <c r="C8" s="53" t="inlineStr">
        <is>
          <t>Discrepancia observada</t>
        </is>
      </c>
      <c r="D8" s="53" t="inlineStr">
        <is>
          <t>Calificación</t>
        </is>
      </c>
      <c r="E8" s="53" t="inlineStr">
        <is>
          <t>Tratamiento adoptado</t>
        </is>
      </c>
    </row>
    <row r="9">
      <c r="A9" s="54" t="inlineStr">
        <is>
          <t>G-01</t>
        </is>
      </c>
      <c r="B9" s="54" t="inlineStr">
        <is>
          <t>Código de microcuenca</t>
        </is>
      </c>
      <c r="C9" s="54" t="inlineStr">
        <is>
          <t>Ficha DT y catálogo maestro coinciden en «C1076-Q9592».</t>
        </is>
      </c>
      <c r="D9" s="54" t="inlineStr">
        <is>
          <t>CONFORME</t>
        </is>
      </c>
      <c r="E9" s="54" t="inlineStr">
        <is>
          <t>Sin acción.</t>
        </is>
      </c>
    </row>
    <row r="10">
      <c r="A10" s="55" t="inlineStr">
        <is>
          <t>G-02</t>
        </is>
      </c>
      <c r="B10" s="55" t="inlineStr">
        <is>
          <t>UTM del punto de muestreo</t>
        </is>
      </c>
      <c r="C10" s="55" t="inlineStr">
        <is>
          <t>El punto de muestreo declarado dista 430.1 m del centroide, dentro del radio de control.</t>
        </is>
      </c>
      <c r="D10" s="55" t="inlineStr">
        <is>
          <t>CONFORME</t>
        </is>
      </c>
      <c r="E10" s="55" t="inlineStr">
        <is>
          <t>Sin acción.</t>
        </is>
      </c>
    </row>
    <row r="11">
      <c r="A11" s="54" t="inlineStr">
        <is>
          <t>G-03</t>
        </is>
      </c>
      <c r="B11" s="54" t="inlineStr">
        <is>
          <t>Sistema de referencia UTM 17S</t>
        </is>
      </c>
      <c r="C11" s="54" t="inlineStr">
        <is>
          <t>Verificación de rango para EPSG:32717: Conforme.</t>
        </is>
      </c>
      <c r="D11" s="54" t="inlineStr">
        <is>
          <t>CONFORME</t>
        </is>
      </c>
      <c r="E11" s="54" t="inlineStr">
        <is>
          <t>Sin acción.</t>
        </is>
      </c>
    </row>
    <row r="12">
      <c r="A12" s="55" t="inlineStr">
        <is>
          <t>G-04</t>
        </is>
      </c>
      <c r="B12" s="55" t="inlineStr">
        <is>
          <t>Altitud del punto de muestreo</t>
        </is>
      </c>
      <c r="C12" s="55" t="inlineStr">
        <is>
          <t>La altitud GPS (2218 msnm) cae dentro del rango altitudinal del bloque (2235 - 2540 msnm).</t>
        </is>
      </c>
      <c r="D12" s="55" t="inlineStr">
        <is>
          <t>CONFORME</t>
        </is>
      </c>
      <c r="E12" s="55" t="inlineStr">
        <is>
          <t>Sin acción.</t>
        </is>
      </c>
    </row>
    <row r="13">
      <c r="A13" s="54" t="inlineStr">
        <is>
          <t>G-05</t>
        </is>
      </c>
      <c r="B13" s="54" t="inlineStr">
        <is>
          <t>Superficie NDVI vs. catálogo</t>
        </is>
      </c>
      <c r="C13" s="54" t="inlineStr">
        <is>
          <t>La superficie clasificada por el NDVI mediana 2025 (13.066 ha) se desvía 0.05 % de la superficie de catálogo (13.06 ha).</t>
        </is>
      </c>
      <c r="D13" s="54" t="inlineStr">
        <is>
          <t>CONFORME</t>
        </is>
      </c>
      <c r="E13" s="54" t="inlineStr">
        <is>
          <t>Sin acción: la segmentación valida la geometría del bloque.</t>
        </is>
      </c>
    </row>
    <row r="14">
      <c r="A14" s="55" t="inlineStr">
        <is>
          <t>G-06</t>
        </is>
      </c>
      <c r="B14" s="55" t="inlineStr">
        <is>
          <t>Superficie MSAVI vs. catálogo</t>
        </is>
      </c>
      <c r="C14" s="55" t="inlineStr">
        <is>
          <t>La superficie clasificada por el MSAVI 2024 (13.065 ha) se desvía 0.04 % de la superficie de catálogo (13.06 ha).</t>
        </is>
      </c>
      <c r="D14" s="55" t="inlineStr">
        <is>
          <t>CONFORME</t>
        </is>
      </c>
      <c r="E14" s="55" t="inlineStr">
        <is>
          <t>Sin acción: la segmentación valida la geometría del bloque.</t>
        </is>
      </c>
    </row>
    <row r="15">
      <c r="A15" s="54" t="inlineStr">
        <is>
          <t>G-07</t>
        </is>
      </c>
      <c r="B15" s="54" t="inlineStr">
        <is>
          <t>Brecha espectral MSAVI</t>
        </is>
      </c>
      <c r="C15" s="54" t="inlineStr">
        <is>
          <t>El 12.45 % del bloque queda bajo el umbral 0.4976; superficie de brecha 1.6261 ha.</t>
        </is>
      </c>
      <c r="D15" s="54" t="inlineStr">
        <is>
          <t>CONFORME</t>
        </is>
      </c>
      <c r="E15" s="54" t="inlineStr">
        <is>
          <t>Sin acción: alimenta el indicador de brecha del proyecto.</t>
        </is>
      </c>
    </row>
    <row r="16">
      <c r="A16" s="55" t="inlineStr">
        <is>
          <t>G-08</t>
        </is>
      </c>
      <c r="B16" s="55" t="inlineStr">
        <is>
          <t>Distribución areal MSAVI 2024</t>
        </is>
      </c>
      <c r="C16" s="55" t="inlineStr">
        <is>
          <t>La hoja de cobertura declara 5 clases DN con superficie, 13.06 ha clasificadas en total.</t>
        </is>
      </c>
      <c r="D16" s="55" t="inlineStr">
        <is>
          <t>CONFORME</t>
        </is>
      </c>
      <c r="E16" s="55" t="inlineStr">
        <is>
          <t>Sin acción: procede de la estadística zonal del raster MSAVI 2024 clasificado.</t>
        </is>
      </c>
    </row>
    <row r="17">
      <c r="A17" s="54" t="inlineStr">
        <is>
          <t>G-09</t>
        </is>
      </c>
      <c r="B17" s="54" t="inlineStr">
        <is>
          <t>Media MSAVI vs. clase DN dominante</t>
        </is>
      </c>
      <c r="C17" s="54" t="inlineStr">
        <is>
          <t>La media del bloque (0.5963) cae en la clase «0.4976 - 0.6139 (Vigor moderado)» y la clase DN dominante por superficie es «DN 4 · 0.4976 - 0.6139 (Vigor moderado)».</t>
        </is>
      </c>
      <c r="D17" s="54" t="inlineStr">
        <is>
          <t>CONFORME</t>
        </is>
      </c>
      <c r="E17" s="54" t="inlineStr">
        <is>
          <t>Sin acción: media y clase dominante son coherentes.</t>
        </is>
      </c>
    </row>
    <row r="18">
      <c r="A18" s="55" t="inlineStr">
        <is>
          <t>G-10</t>
        </is>
      </c>
      <c r="B18" s="55" t="inlineStr">
        <is>
          <t>Peligro integrado (MCA-AHP)</t>
        </is>
      </c>
      <c r="C18" s="55" t="inlineStr">
        <is>
          <t>El nivel de peligro integrado no está disponible en los insumos de este entregable.</t>
        </is>
      </c>
      <c r="D18" s="55" t="inlineStr">
        <is>
          <t>SUSTANTIVA</t>
        </is>
      </c>
      <c r="E18" s="55" t="inlineStr">
        <is>
          <t>Debe tomarse del modelamiento de mesolocalización (MCA-AHP de PMM, EPH y PGI) antes de cerrar el perfil.</t>
        </is>
      </c>
    </row>
    <row r="19">
      <c r="A19" s="54" t="inlineStr">
        <is>
          <t>I-01</t>
        </is>
      </c>
      <c r="B19" s="54" t="inlineStr">
        <is>
          <t>Fecha de evaluación</t>
        </is>
      </c>
      <c r="C19" s="54" t="inlineStr">
        <is>
          <t>El libro de resumen V6 consignaba «2026-09-05»; la ficha de campo vigente declara «19-08-2026».</t>
        </is>
      </c>
      <c r="D19" s="54" t="inlineStr">
        <is>
          <t>CORREGIDO</t>
        </is>
      </c>
      <c r="E19" s="54" t="inlineStr">
        <is>
          <t>Se adopta el valor de campo por ser la fuente que manda sobre el dato y la más reciente. El valor anterior queda declarado para trazabilidad.</t>
        </is>
      </c>
    </row>
    <row r="20">
      <c r="A20" s="55" t="inlineStr">
        <is>
          <t>F-01</t>
        </is>
      </c>
      <c r="B20" s="55" t="inlineStr">
        <is>
          <t>Fichas F-DT levantadas</t>
        </is>
      </c>
      <c r="C20" s="55" t="inlineStr">
        <is>
          <t>La plantilla de campo trae las cinco fichas F-DT-01 a F-DT-05 (completitud 89.3 % de los campos esperados).</t>
        </is>
      </c>
      <c r="D20" s="55" t="inlineStr">
        <is>
          <t>CONFORME</t>
        </is>
      </c>
      <c r="E20" s="55" t="inlineStr">
        <is>
          <t>Sin acción.</t>
        </is>
      </c>
    </row>
    <row r="21">
      <c r="A21" s="54" t="inlineStr">
        <is>
          <t>F-02</t>
        </is>
      </c>
      <c r="B21" s="54" t="inlineStr">
        <is>
          <t>Cobertura de la integración</t>
        </is>
      </c>
      <c r="C21" s="54" t="inlineStr">
        <is>
          <t>Se declararon 89 de 114 hechos integrados (78.1 %); 25 quedan sin dato en ninguna fuente.</t>
        </is>
      </c>
      <c r="D21" s="54" t="inlineStr">
        <is>
          <t>CONFORME</t>
        </is>
      </c>
      <c r="E21" s="54" t="inlineStr">
        <is>
          <t>Sin acción.</t>
        </is>
      </c>
    </row>
    <row r="22">
      <c r="A22" s="55" t="inlineStr">
        <is>
          <t>H-01</t>
        </is>
      </c>
      <c r="B22" s="55" t="inlineStr">
        <is>
          <t>Cobertura vegetal total</t>
        </is>
      </c>
      <c r="C22" s="55" t="inlineStr">
        <is>
          <t>La ficha DT estima 70 % de cobertura vegetal en campo; el NDVI mediana 2025 clasifica 100.00 % del polígono en clases de vegetación</t>
        </is>
      </c>
      <c r="D22" s="55" t="inlineStr">
        <is>
          <t>NO SUSTANTIVA</t>
        </is>
      </c>
      <c r="E22"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4" t="inlineStr">
        <is>
          <t>H-02</t>
        </is>
      </c>
      <c r="B23" s="54" t="inlineStr">
        <is>
          <t>Inventario georreferenciado de cárcavas</t>
        </is>
      </c>
      <c r="C23" s="54" t="inlineStr">
        <is>
          <t>El inventario de cárcavas no fue ejecutado o no consta en la ficha DT</t>
        </is>
      </c>
      <c r="D23" s="54" t="inlineStr">
        <is>
          <t>SUSTANTIVA</t>
        </is>
      </c>
      <c r="E23" s="54"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4">
      <c r="A24" s="55" t="inlineStr">
        <is>
          <t>H-03</t>
        </is>
      </c>
      <c r="B24" s="55" t="inlineStr">
        <is>
          <t>Centro poblado asociado</t>
        </is>
      </c>
      <c r="C24" s="55" t="inlineStr">
        <is>
          <t>La ficha DT declara «Zururán»; el cruce INEI-Bloques V5 identifica 1 centro(s) poblado(s) en el bloque: ZURURAN</t>
        </is>
      </c>
      <c r="D24" s="55" t="inlineStr">
        <is>
          <t>NO SUSTANTIVA</t>
        </is>
      </c>
      <c r="E24" s="55" t="inlineStr">
        <is>
          <t>Se conserva el registro de campo como referencia y se adopta el listado INEI para el diagnóstico social y el cálculo de población beneficiaria. (Verificación heredada de la ficha de resumen V6.)</t>
        </is>
      </c>
    </row>
    <row r="26">
      <c r="A26" s="56" t="inlineStr">
        <is>
          <t>RESUMEN</t>
        </is>
      </c>
      <c r="B26" s="57" t="inlineStr">
        <is>
          <t>16 verificaciones</t>
        </is>
      </c>
      <c r="C26" s="57" t="inlineStr">
        <is>
          <t>SUSTANTIVA: 2 · NO SUSTANTIVA: 2 · CORREGIDO: 1 · CONFORME: 11</t>
        </is>
      </c>
    </row>
    <row r="28">
      <c r="A28" s="58"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INTEGRACIÓN DE LA FICHA DE CAMPO — BLOQUE 53</t>
        </is>
      </c>
    </row>
    <row r="7">
      <c r="A7" s="52" t="inlineStr">
        <is>
          <t>A. HECHOS ACTUALIZADOS POR LA VERIFICACIÓN DE CAMPO</t>
        </is>
      </c>
    </row>
    <row r="8">
      <c r="A8" s="53" t="inlineStr">
        <is>
          <t>Sección</t>
        </is>
      </c>
      <c r="B8" s="53" t="inlineStr">
        <is>
          <t>Hecho</t>
        </is>
      </c>
      <c r="C8" s="53" t="inlineStr">
        <is>
          <t>Valor en la ficha V6</t>
        </is>
      </c>
      <c r="D8" s="53" t="inlineStr">
        <is>
          <t>Valor de campo vigente</t>
        </is>
      </c>
      <c r="E8" s="53" t="inlineStr">
        <is>
          <t>Fuente que manda</t>
        </is>
      </c>
    </row>
    <row r="9">
      <c r="A9" s="54" t="inlineStr">
        <is>
          <t>8. Responsable y modalidad de la evaluación</t>
        </is>
      </c>
      <c r="B9" s="54" t="inlineStr">
        <is>
          <t>Fecha de evaluación</t>
        </is>
      </c>
      <c r="C9" s="54" t="inlineStr">
        <is>
          <t>2026-09-05</t>
        </is>
      </c>
      <c r="D9" s="54" t="inlineStr">
        <is>
          <t>19-08-2026</t>
        </is>
      </c>
      <c r="E9" s="54" t="inlineStr">
        <is>
          <t>Dato de campo</t>
        </is>
      </c>
    </row>
    <row r="11">
      <c r="A11" s="52" t="inlineStr">
        <is>
          <t>B. HECHOS APORTADOS ÚNICAMENTE POR LA FICHA DE CAMPO</t>
        </is>
      </c>
    </row>
    <row r="12">
      <c r="A12" s="53" t="inlineStr">
        <is>
          <t>Sección</t>
        </is>
      </c>
      <c r="B12" s="53" t="inlineStr">
        <is>
          <t>Hecho</t>
        </is>
      </c>
      <c r="C12" s="53" t="inlineStr">
        <is>
          <t>Valor</t>
        </is>
      </c>
      <c r="D12" s="53" t="inlineStr">
        <is>
          <t>Unidad</t>
        </is>
      </c>
    </row>
    <row r="13">
      <c r="A13" s="54" t="inlineStr">
        <is>
          <t>1. Identificación y localización</t>
        </is>
      </c>
      <c r="B13" s="54" t="inlineStr">
        <is>
          <t>UTM ESTE del punto de muestreo (m)</t>
        </is>
      </c>
      <c r="C13" s="54" t="inlineStr">
        <is>
          <t>666115</t>
        </is>
      </c>
      <c r="D13" s="54" t="inlineStr">
        <is>
          <t>m</t>
        </is>
      </c>
    </row>
    <row r="14">
      <c r="A14" s="55" t="inlineStr">
        <is>
          <t>1. Identificación y localización</t>
        </is>
      </c>
      <c r="B14" s="55" t="inlineStr">
        <is>
          <t>UTM NORTE del punto de muestreo (m)</t>
        </is>
      </c>
      <c r="C14" s="55" t="inlineStr">
        <is>
          <t>9396001</t>
        </is>
      </c>
      <c r="D14" s="55" t="inlineStr">
        <is>
          <t>m</t>
        </is>
      </c>
    </row>
    <row r="15">
      <c r="A15" s="54" t="inlineStr">
        <is>
          <t>2. Parámetros físicos del terreno</t>
        </is>
      </c>
      <c r="B15" s="54" t="inlineStr">
        <is>
          <t>Altitud GPS del punto de muestreo (msnm)</t>
        </is>
      </c>
      <c r="C15" s="54" t="inlineStr">
        <is>
          <t>2218.3</t>
        </is>
      </c>
      <c r="D15" s="54" t="inlineStr">
        <is>
          <t>msnm</t>
        </is>
      </c>
    </row>
    <row r="16">
      <c r="A16" s="55" t="inlineStr">
        <is>
          <t>2. Parámetros físicos del terreno</t>
        </is>
      </c>
      <c r="B16" s="55" t="inlineStr">
        <is>
          <t>Piso altitudinal del punto de muestreo</t>
        </is>
      </c>
      <c r="C16" s="55" t="inlineStr">
        <is>
          <t>2000-2500 m (Quechua alta)</t>
        </is>
      </c>
      <c r="D16" s="55" t="inlineStr"/>
    </row>
    <row r="17">
      <c r="A17" s="54" t="inlineStr">
        <is>
          <t>2. Parámetros físicos del terreno</t>
        </is>
      </c>
      <c r="B17" s="54" t="inlineStr">
        <is>
          <t>Paisaje dominante descrito en campo</t>
        </is>
      </c>
      <c r="C17" s="54" t="inlineStr">
        <is>
          <t>Franja alargada NO–SE sobre la vertiente suroccidental de un cerro, con afloramientos rocosos meteorizados en el extremo occidental y matorral más continuo hacia el sector oriental de mayor cota.</t>
        </is>
      </c>
      <c r="D17" s="54" t="inlineStr"/>
    </row>
    <row r="18">
      <c r="A18" s="55" t="inlineStr">
        <is>
          <t>2. Parámetros físicos del terreno</t>
        </is>
      </c>
      <c r="B18" s="55" t="inlineStr">
        <is>
          <t>Reptación de suelo</t>
        </is>
      </c>
      <c r="C18" s="55" t="inlineStr">
        <is>
          <t>No</t>
        </is>
      </c>
      <c r="D18" s="55" t="inlineStr"/>
    </row>
    <row r="19">
      <c r="A19" s="54" t="inlineStr">
        <is>
          <t>2. Parámetros físicos del terreno</t>
        </is>
      </c>
      <c r="B19" s="54" t="inlineStr">
        <is>
          <t>Deslizamientos antiguos</t>
        </is>
      </c>
      <c r="C19" s="54" t="inlineStr">
        <is>
          <t>No</t>
        </is>
      </c>
      <c r="D19" s="54" t="inlineStr"/>
    </row>
    <row r="20">
      <c r="A20" s="55" t="inlineStr">
        <is>
          <t>4. Suelos y erosión (F-DT-02)</t>
        </is>
      </c>
      <c r="B20" s="55" t="inlineStr">
        <is>
          <t>Nivel de erosión - síntesis de campo</t>
        </is>
      </c>
      <c r="C20" s="55" t="inlineStr">
        <is>
          <t>Moderada (surcos)</t>
        </is>
      </c>
      <c r="D20" s="55" t="inlineStr"/>
    </row>
    <row r="21">
      <c r="A21" s="54" t="inlineStr">
        <is>
          <t>4. Suelos y erosión (F-DT-02)</t>
        </is>
      </c>
      <c r="B21" s="54" t="inlineStr">
        <is>
          <t>Sellamiento / costra superficial</t>
        </is>
      </c>
      <c r="C21" s="54" t="inlineStr">
        <is>
          <t>Sí</t>
        </is>
      </c>
      <c r="D21" s="54" t="inlineStr"/>
    </row>
    <row r="22">
      <c r="A22" s="55" t="inlineStr">
        <is>
          <t>4. Suelos y erosión (F-DT-02)</t>
        </is>
      </c>
      <c r="B22" s="55" t="inlineStr">
        <is>
          <t>Compactación por pisoteo</t>
        </is>
      </c>
      <c r="C22" s="55" t="inlineStr">
        <is>
          <t>Sí</t>
        </is>
      </c>
      <c r="D22" s="55" t="inlineStr"/>
    </row>
    <row r="23">
      <c r="A23" s="54" t="inlineStr">
        <is>
          <t>4. Suelos y erosión (F-DT-02)</t>
        </is>
      </c>
      <c r="B23" s="54" t="inlineStr">
        <is>
          <t>Raíces expuestas</t>
        </is>
      </c>
      <c r="C23" s="54" t="inlineStr">
        <is>
          <t>Sí</t>
        </is>
      </c>
      <c r="D23" s="54" t="inlineStr"/>
    </row>
    <row r="24">
      <c r="A24" s="55" t="inlineStr">
        <is>
          <t>4. Suelos y erosión (F-DT-02)</t>
        </is>
      </c>
      <c r="B24" s="55" t="inlineStr">
        <is>
          <t>Patrón de cárcavas</t>
        </is>
      </c>
      <c r="C24" s="55" t="inlineStr">
        <is>
          <t>Lineal</t>
        </is>
      </c>
      <c r="D24" s="55" t="inlineStr"/>
    </row>
    <row r="25">
      <c r="A25" s="54" t="inlineStr">
        <is>
          <t>4. Suelos y erosión (F-DT-02)</t>
        </is>
      </c>
      <c r="B25" s="54" t="inlineStr">
        <is>
          <t>Socavamiento de cauce</t>
        </is>
      </c>
      <c r="C25" s="54" t="inlineStr">
        <is>
          <t>No</t>
        </is>
      </c>
      <c r="D25" s="54" t="inlineStr"/>
    </row>
    <row r="26">
      <c r="A26" s="55" t="inlineStr">
        <is>
          <t>5. Ecosistema, cobertura y flora (F-DT-03)</t>
        </is>
      </c>
      <c r="B26" s="55" t="inlineStr">
        <is>
          <t>Presencia de epífitas</t>
        </is>
      </c>
      <c r="C26" s="55" t="inlineStr">
        <is>
          <t>No</t>
        </is>
      </c>
      <c r="D26" s="55" t="inlineStr"/>
    </row>
    <row r="27">
      <c r="A27" s="54" t="inlineStr">
        <is>
          <t>5. Ecosistema, cobertura y flora (F-DT-03)</t>
        </is>
      </c>
      <c r="B27" s="54" t="inlineStr">
        <is>
          <t>Fenología dominante</t>
        </is>
      </c>
      <c r="C27" s="54" t="inlineStr">
        <is>
          <t>Latencia / Estrés hídrico</t>
        </is>
      </c>
      <c r="D27" s="54" t="inlineStr"/>
    </row>
    <row r="28">
      <c r="A28" s="55" t="inlineStr">
        <is>
          <t>5. Ecosistema, cobertura y flora (F-DT-03)</t>
        </is>
      </c>
      <c r="B28" s="55" t="inlineStr">
        <is>
          <t>Especies clave georreferenciadas</t>
        </is>
      </c>
      <c r="C28" s="55" t="inlineStr">
        <is>
          <t>6</t>
        </is>
      </c>
      <c r="D28" s="55" t="inlineStr"/>
    </row>
    <row r="29">
      <c r="A29" s="54" t="inlineStr">
        <is>
          <t>6. Degradación, causas y urgencia (F-DT-04)</t>
        </is>
      </c>
      <c r="B29" s="54" t="inlineStr">
        <is>
          <t>Causas directas de la degradación</t>
        </is>
      </c>
      <c r="C29" s="54" t="inlineStr">
        <is>
          <t>Apertura y mantenimiento de vías (camino de herradura y trocha carrozable) sobre taludes de roca meteorizada, concurrente con pastoreo y ramoneo en el extremo occidental del polígono.</t>
        </is>
      </c>
      <c r="D29" s="54" t="inlineStr"/>
    </row>
    <row r="30">
      <c r="A30" s="55" t="inlineStr">
        <is>
          <t>6. Degradación, causas y urgencia (F-DT-04)</t>
        </is>
      </c>
      <c r="B30" s="55" t="inlineStr">
        <is>
          <t>N.° de causas activas en la matriz F-DT-04</t>
        </is>
      </c>
      <c r="C30" s="55" t="inlineStr">
        <is>
          <t>5</t>
        </is>
      </c>
      <c r="D30" s="55" t="inlineStr"/>
    </row>
    <row r="31">
      <c r="A31" s="54" t="inlineStr">
        <is>
          <t>7. Hidrología, acceso y logística (F-DT-05)</t>
        </is>
      </c>
      <c r="B31" s="54" t="inlineStr">
        <is>
          <t>Escorrentía concentrada</t>
        </is>
      </c>
      <c r="C31" s="54" t="inlineStr">
        <is>
          <t>Sí</t>
        </is>
      </c>
      <c r="D31" s="54" t="inlineStr"/>
    </row>
    <row r="32">
      <c r="A32" s="55" t="inlineStr">
        <is>
          <t>7. Hidrología, acceso y logística (F-DT-05)</t>
        </is>
      </c>
      <c r="B32" s="55" t="inlineStr">
        <is>
          <t>Interferencia con riego</t>
        </is>
      </c>
      <c r="C32" s="55" t="inlineStr">
        <is>
          <t>No</t>
        </is>
      </c>
      <c r="D32" s="55" t="inlineStr"/>
    </row>
    <row r="33">
      <c r="A33" s="54" t="inlineStr">
        <is>
          <t>7. Hidrología, acceso y logística (F-DT-05)</t>
        </is>
      </c>
      <c r="B33" s="54" t="inlineStr">
        <is>
          <t>Vía principal de acceso</t>
        </is>
      </c>
      <c r="C33" s="54" t="inlineStr">
        <is>
          <t>Trocha carrozable Zururán – bloques 53/70 (red vial del plano temático)</t>
        </is>
      </c>
      <c r="D33" s="54" t="inlineStr"/>
    </row>
    <row r="34">
      <c r="A34" s="55" t="inlineStr">
        <is>
          <t>7. Hidrología, acceso y logística (F-DT-05)</t>
        </is>
      </c>
      <c r="B34" s="55" t="inlineStr">
        <is>
          <t>Tipo de vía del tramo final</t>
        </is>
      </c>
      <c r="C34" s="55" t="inlineStr">
        <is>
          <t>Camino de herradura</t>
        </is>
      </c>
      <c r="D34" s="55" t="inlineStr"/>
    </row>
    <row r="35">
      <c r="A35" s="54" t="inlineStr">
        <is>
          <t>7. Hidrología, acceso y logística (F-DT-05)</t>
        </is>
      </c>
      <c r="B35" s="54" t="inlineStr">
        <is>
          <t>Transitabilidad en época seca</t>
        </is>
      </c>
      <c r="C35" s="54" t="inlineStr">
        <is>
          <t>Medio</t>
        </is>
      </c>
      <c r="D35" s="54" t="inlineStr"/>
    </row>
    <row r="36">
      <c r="A36" s="55" t="inlineStr">
        <is>
          <t>7. Hidrología, acceso y logística (F-DT-05)</t>
        </is>
      </c>
      <c r="B36" s="55" t="inlineStr">
        <is>
          <t>Transitabilidad en época lluviosa</t>
        </is>
      </c>
      <c r="C36" s="55" t="inlineStr">
        <is>
          <t>Bajo</t>
        </is>
      </c>
      <c r="D36" s="55" t="inlineStr"/>
    </row>
    <row r="38">
      <c r="A38" s="52" t="inlineStr">
        <is>
          <t>C. PROCEDENCIA DE LOS HECHOS DECLARADOS</t>
        </is>
      </c>
    </row>
    <row r="39">
      <c r="A39" s="53" t="inlineStr">
        <is>
          <t>Fuente</t>
        </is>
      </c>
      <c r="B39" s="53" t="inlineStr">
        <is>
          <t>Hechos</t>
        </is>
      </c>
      <c r="C39" s="53" t="inlineStr">
        <is>
          <t>Alcance de la fuente</t>
        </is>
      </c>
    </row>
    <row r="40">
      <c r="A40" s="54" t="inlineStr">
        <is>
          <t>Dato de campo</t>
        </is>
      </c>
      <c r="B40" s="54" t="n">
        <v>51</v>
      </c>
      <c r="C40" s="54" t="inlineStr">
        <is>
          <t>Verificación en campo. Fichas F-DT-01 a F-DT-05 de la Plantilla DT Campo Check Validada V5, suscritas por el evaluador.</t>
        </is>
      </c>
    </row>
    <row r="41">
      <c r="A41" s="55" t="inlineStr">
        <is>
          <t>Gabinete (GIS / teledetección)</t>
        </is>
      </c>
      <c r="B41" s="55" t="n">
        <v>24</v>
      </c>
      <c r="C41" s="55" t="inlineStr">
        <is>
          <t>Gabinete. Estadística zonal sobre el MDE y compuestos Sentinel-2 (NDVI mediana 2025, MSAVI 2024 por clase DN).</t>
        </is>
      </c>
    </row>
    <row r="42">
      <c r="A42" s="54" t="inlineStr">
        <is>
          <t>Fuente oficial</t>
        </is>
      </c>
      <c r="B42" s="54" t="n">
        <v>14</v>
      </c>
      <c r="C42" s="54" t="inlineStr">
        <is>
          <t>Fuente oficial. Catálogo maestro Bloques V5/V6, división política INEI y codificación de microcuencas de la ANA.</t>
        </is>
      </c>
    </row>
    <row r="44">
      <c r="A44" s="52" t="inlineStr">
        <is>
          <t>D. ESTADO DEL CRUCE ENTRE FUENTES</t>
        </is>
      </c>
    </row>
    <row r="45">
      <c r="A45" s="53" t="inlineStr">
        <is>
          <t>Estado</t>
        </is>
      </c>
      <c r="B45" s="53" t="inlineStr">
        <is>
          <t>Hechos</t>
        </is>
      </c>
      <c r="C45" s="53" t="inlineStr">
        <is>
          <t>Significado</t>
        </is>
      </c>
    </row>
    <row r="46">
      <c r="A46" s="54" t="inlineStr">
        <is>
          <t>CONFORME</t>
        </is>
      </c>
      <c r="B46" s="54" t="n">
        <v>85</v>
      </c>
      <c r="C46" s="54" t="inlineStr">
        <is>
          <t>Las dos fuentes declaran lo mismo, o solo la fuente que manda sobre el hecho lo declara.</t>
        </is>
      </c>
    </row>
    <row r="47">
      <c r="A47" s="55" t="inlineStr">
        <is>
          <t>COMPLEMENTADO</t>
        </is>
      </c>
      <c r="B47" s="55" t="n">
        <v>3</v>
      </c>
      <c r="C47" s="55" t="inlineStr">
        <is>
          <t>Solo una de las fuentes lo declara y se adopta ese valor.</t>
        </is>
      </c>
    </row>
    <row r="48">
      <c r="A48" s="54" t="inlineStr">
        <is>
          <t>ACTUALIZADO</t>
        </is>
      </c>
      <c r="B48" s="54" t="n">
        <v>1</v>
      </c>
      <c r="C48" s="54" t="inlineStr">
        <is>
          <t>La verificación de campo vigente corrige lo que traía el libro de resumen.</t>
        </is>
      </c>
    </row>
    <row r="49">
      <c r="A49" s="55" t="inlineStr">
        <is>
          <t>DISCREPANTE</t>
        </is>
      </c>
      <c r="B49" s="55" t="n">
        <v>0</v>
      </c>
      <c r="C49" s="55" t="inlineStr">
        <is>
          <t>Las fuentes se contradicen; prevalece la que manda sobre el hecho y la otra queda declarada.</t>
        </is>
      </c>
    </row>
    <row r="50">
      <c r="A50" s="54" t="inlineStr">
        <is>
          <t>PENDIENTE</t>
        </is>
      </c>
      <c r="B50" s="54" t="n">
        <v>25</v>
      </c>
      <c r="C50" s="54"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REGISTRO DE CAMPO F-DT-01 A F-DT-05 — BLOQUE 53</t>
        </is>
      </c>
    </row>
    <row r="7">
      <c r="A7" s="52" t="inlineStr">
        <is>
          <t>F-DT-02 · INVENTARIO DE CÁRCAVAS</t>
        </is>
      </c>
    </row>
    <row r="8">
      <c r="A8" s="53" t="inlineStr">
        <is>
          <t>Código</t>
        </is>
      </c>
      <c r="B8" s="53" t="inlineStr">
        <is>
          <t>Tipo</t>
        </is>
      </c>
      <c r="C8" s="53" t="inlineStr">
        <is>
          <t>UTM E ini.</t>
        </is>
      </c>
      <c r="D8" s="53" t="inlineStr">
        <is>
          <t>UTM N ini.</t>
        </is>
      </c>
      <c r="E8" s="53" t="inlineStr">
        <is>
          <t>Longitud (m)</t>
        </is>
      </c>
      <c r="F8" s="53" t="inlineStr">
        <is>
          <t>Prof. (m)</t>
        </is>
      </c>
      <c r="G8" s="53" t="inlineStr">
        <is>
          <t>Ancho (m)</t>
        </is>
      </c>
      <c r="H8" s="53" t="inlineStr">
        <is>
          <t>Estado</t>
        </is>
      </c>
      <c r="I8" s="53" t="inlineStr">
        <is>
          <t>Causa</t>
        </is>
      </c>
    </row>
    <row r="9">
      <c r="A9" s="54" t="inlineStr">
        <is>
          <t>Sin cárcavas inventariadas en el tramo verificado</t>
        </is>
      </c>
      <c r="B9" s="54" t="inlineStr"/>
      <c r="C9" s="54" t="inlineStr"/>
      <c r="D9" s="54" t="inlineStr"/>
      <c r="E9" s="54" t="inlineStr"/>
      <c r="F9" s="54" t="inlineStr"/>
      <c r="G9" s="54" t="inlineStr"/>
      <c r="H9" s="54" t="inlineStr"/>
      <c r="I9" s="54" t="inlineStr"/>
    </row>
    <row r="11">
      <c r="A11" s="52" t="inlineStr">
        <is>
          <t>F-DT-03 · ELENCO FLORÍSTICO</t>
        </is>
      </c>
    </row>
    <row r="12">
      <c r="A12" s="53" t="inlineStr">
        <is>
          <t>N.o</t>
        </is>
      </c>
      <c r="B12" s="53" t="inlineStr">
        <is>
          <t>Nombre común</t>
        </is>
      </c>
      <c r="C12" s="53" t="inlineStr">
        <is>
          <t>Nombre científico</t>
        </is>
      </c>
      <c r="D12" s="53" t="inlineStr">
        <is>
          <t>Familia</t>
        </is>
      </c>
      <c r="E12" s="53" t="inlineStr">
        <is>
          <t>Estrato</t>
        </is>
      </c>
      <c r="F12" s="53" t="inlineStr">
        <is>
          <t>Origen</t>
        </is>
      </c>
      <c r="G12" s="53" t="inlineStr">
        <is>
          <t>Abundancia</t>
        </is>
      </c>
      <c r="H12" s="53" t="inlineStr">
        <is>
          <t>DAP (cm)</t>
        </is>
      </c>
      <c r="I12" s="53" t="inlineStr">
        <is>
          <t>Altura (m)</t>
        </is>
      </c>
    </row>
    <row r="13">
      <c r="A13" s="54" t="inlineStr">
        <is>
          <t>1</t>
        </is>
      </c>
      <c r="B13" s="54" t="inlineStr">
        <is>
          <t>Agave / penca</t>
        </is>
      </c>
      <c r="C13" s="54" t="inlineStr">
        <is>
          <t>Agave americana</t>
        </is>
      </c>
      <c r="D13" s="54" t="inlineStr">
        <is>
          <t>Asparagaceae</t>
        </is>
      </c>
      <c r="E13" s="54" t="inlineStr">
        <is>
          <t>Arbustivo alto (1.5-4 m)</t>
        </is>
      </c>
      <c r="F13" s="54" t="inlineStr">
        <is>
          <t>Introducida</t>
        </is>
      </c>
      <c r="G13" s="54" t="inlineStr">
        <is>
          <t>Ocasional (1-5%)</t>
        </is>
      </c>
      <c r="H13" s="54" t="n"/>
      <c r="I13" s="54" t="n"/>
    </row>
    <row r="14">
      <c r="A14" s="55" t="inlineStr">
        <is>
          <t>2</t>
        </is>
      </c>
      <c r="B14" s="55" t="inlineStr">
        <is>
          <t>Chilca</t>
        </is>
      </c>
      <c r="C14" s="55" t="inlineStr">
        <is>
          <t>Baccharis spp.</t>
        </is>
      </c>
      <c r="D14" s="55" t="inlineStr">
        <is>
          <t>Asteraceae</t>
        </is>
      </c>
      <c r="E14" s="55" t="inlineStr">
        <is>
          <t>Arbustivo alto (1.5-4 m)</t>
        </is>
      </c>
      <c r="F14" s="55" t="inlineStr">
        <is>
          <t>Nativa</t>
        </is>
      </c>
      <c r="G14" s="55" t="inlineStr">
        <is>
          <t>Frecuente (5-20%)</t>
        </is>
      </c>
      <c r="H14" s="55" t="n"/>
      <c r="I14" s="55" t="n"/>
    </row>
    <row r="15">
      <c r="A15" s="54" t="inlineStr">
        <is>
          <t>3</t>
        </is>
      </c>
      <c r="B15" s="54" t="inlineStr">
        <is>
          <t>Huaranhuay / cholán</t>
        </is>
      </c>
      <c r="C15" s="54" t="inlineStr">
        <is>
          <t>Tecoma stans</t>
        </is>
      </c>
      <c r="D15" s="54" t="inlineStr">
        <is>
          <t>Bignoniaceae</t>
        </is>
      </c>
      <c r="E15" s="54" t="inlineStr">
        <is>
          <t>Arbustivo alto (1.5-4 m)</t>
        </is>
      </c>
      <c r="F15" s="54" t="inlineStr">
        <is>
          <t>Nativa</t>
        </is>
      </c>
      <c r="G15" s="54" t="inlineStr">
        <is>
          <t>Frecuente (5-20%)</t>
        </is>
      </c>
      <c r="H15" s="54" t="n"/>
      <c r="I15" s="54" t="n"/>
    </row>
    <row r="16">
      <c r="A16" s="55" t="inlineStr">
        <is>
          <t>4</t>
        </is>
      </c>
      <c r="B16" s="55" t="inlineStr">
        <is>
          <t>Bignoniácea por determinar</t>
        </is>
      </c>
      <c r="C16" s="55" t="inlineStr">
        <is>
          <t>Bignoniaceae (indet.)</t>
        </is>
      </c>
      <c r="D16" s="55" t="inlineStr">
        <is>
          <t>Bignoniaceae</t>
        </is>
      </c>
      <c r="E16" s="55" t="inlineStr">
        <is>
          <t>Arbustivo alto (1.5-4 m)</t>
        </is>
      </c>
      <c r="F16" s="55" t="inlineStr">
        <is>
          <t>Nativa</t>
        </is>
      </c>
      <c r="G16" s="55" t="inlineStr">
        <is>
          <t>Ocasional (1-5%)</t>
        </is>
      </c>
      <c r="H16" s="55" t="n"/>
      <c r="I16" s="55" t="n"/>
    </row>
    <row r="17">
      <c r="A17" s="54" t="inlineStr">
        <is>
          <t>5</t>
        </is>
      </c>
      <c r="B17" s="54" t="inlineStr">
        <is>
          <t>Gramíneas / pastos naturales</t>
        </is>
      </c>
      <c r="C17" s="54" t="inlineStr">
        <is>
          <t>Poaceae (indet.)</t>
        </is>
      </c>
      <c r="D17" s="54" t="inlineStr">
        <is>
          <t>Poaceae</t>
        </is>
      </c>
      <c r="E17" s="54" t="inlineStr">
        <is>
          <t>Herbáceo (&lt;0.5 m)</t>
        </is>
      </c>
      <c r="F17" s="54" t="inlineStr">
        <is>
          <t>Nativa</t>
        </is>
      </c>
      <c r="G17" s="54" t="inlineStr">
        <is>
          <t>Abundante (20-40%)</t>
        </is>
      </c>
      <c r="H17" s="54" t="n"/>
      <c r="I17" s="54" t="n"/>
    </row>
    <row r="18">
      <c r="A18" s="55" t="inlineStr">
        <is>
          <t>6</t>
        </is>
      </c>
      <c r="B18" s="55" t="inlineStr">
        <is>
          <t>Pastos cultivados</t>
        </is>
      </c>
      <c r="C18" s="55" t="inlineStr">
        <is>
          <t>Poaceae (indet.)</t>
        </is>
      </c>
      <c r="D18" s="55" t="inlineStr">
        <is>
          <t>Poaceae</t>
        </is>
      </c>
      <c r="E18" s="55" t="inlineStr">
        <is>
          <t>Herbáceo (&lt;0.5 m)</t>
        </is>
      </c>
      <c r="F18" s="55" t="inlineStr">
        <is>
          <t>Introducida</t>
        </is>
      </c>
      <c r="G18" s="55" t="inlineStr">
        <is>
          <t>Abundante (20-40%)</t>
        </is>
      </c>
      <c r="H18" s="55" t="n"/>
      <c r="I18" s="55" t="n"/>
    </row>
    <row r="19">
      <c r="A19" s="54" t="inlineStr">
        <is>
          <t>7</t>
        </is>
      </c>
      <c r="B19" s="54" t="inlineStr">
        <is>
          <t>Eucalipto</t>
        </is>
      </c>
      <c r="C19" s="54" t="inlineStr">
        <is>
          <t>Eucalyptus globulus</t>
        </is>
      </c>
      <c r="D19" s="54" t="inlineStr">
        <is>
          <t>Myrtaceae</t>
        </is>
      </c>
      <c r="E19" s="54" t="inlineStr">
        <is>
          <t>Arbóreo superior (&gt;15 m)</t>
        </is>
      </c>
      <c r="F19" s="54" t="inlineStr">
        <is>
          <t>Introducida</t>
        </is>
      </c>
      <c r="G19" s="54" t="inlineStr">
        <is>
          <t>Ocasional (1-5%)</t>
        </is>
      </c>
      <c r="H19" s="54" t="n"/>
      <c r="I19" s="54" t="n"/>
    </row>
    <row r="20">
      <c r="A20" s="55" t="inlineStr">
        <is>
          <t>8</t>
        </is>
      </c>
      <c r="B20" s="55" t="inlineStr">
        <is>
          <t>Arbusto de flor amarilla</t>
        </is>
      </c>
      <c r="C20" s="55" t="inlineStr">
        <is>
          <t>Asteraceae (indet.)</t>
        </is>
      </c>
      <c r="D20" s="55" t="inlineStr">
        <is>
          <t>Asteraceae</t>
        </is>
      </c>
      <c r="E20" s="55" t="inlineStr">
        <is>
          <t>Arbustivo alto (1.5-4 m)</t>
        </is>
      </c>
      <c r="F20" s="55" t="inlineStr">
        <is>
          <t>Nativa</t>
        </is>
      </c>
      <c r="G20" s="55" t="inlineStr">
        <is>
          <t>Frecuente (5-20%)</t>
        </is>
      </c>
      <c r="H20" s="55" t="n"/>
      <c r="I20" s="55" t="n"/>
    </row>
    <row r="21">
      <c r="A21" s="54" t="inlineStr">
        <is>
          <t>9</t>
        </is>
      </c>
      <c r="B21" s="54" t="inlineStr">
        <is>
          <t>Arbusto de hoja coriácea</t>
        </is>
      </c>
      <c r="C21" s="54" t="inlineStr">
        <is>
          <t>Melastomataceae (indet.)</t>
        </is>
      </c>
      <c r="D21" s="54" t="inlineStr">
        <is>
          <t>Melastomataceae</t>
        </is>
      </c>
      <c r="E21" s="54" t="inlineStr">
        <is>
          <t>Arbustivo alto (1.5-4 m)</t>
        </is>
      </c>
      <c r="F21" s="54" t="inlineStr">
        <is>
          <t>Nativa</t>
        </is>
      </c>
      <c r="G21" s="54" t="inlineStr">
        <is>
          <t>Frecuente (5-20%)</t>
        </is>
      </c>
      <c r="H21" s="54" t="n"/>
      <c r="I21" s="54" t="n"/>
    </row>
    <row r="22">
      <c r="A22" s="55" t="inlineStr">
        <is>
          <t>10</t>
        </is>
      </c>
      <c r="B22" s="55" t="inlineStr">
        <is>
          <t>Crasa de roquedo</t>
        </is>
      </c>
      <c r="C22" s="55" t="inlineStr">
        <is>
          <t>Crassulaceae (indet.)</t>
        </is>
      </c>
      <c r="D22" s="55" t="inlineStr">
        <is>
          <t>Crassulaceae</t>
        </is>
      </c>
      <c r="E22" s="55" t="inlineStr">
        <is>
          <t>Herbáceo (&lt;0.5 m)</t>
        </is>
      </c>
      <c r="F22" s="55" t="inlineStr">
        <is>
          <t>Nativa</t>
        </is>
      </c>
      <c r="G22" s="55" t="inlineStr">
        <is>
          <t>Ocasional (1-5%)</t>
        </is>
      </c>
      <c r="H22" s="55" t="n"/>
      <c r="I22" s="55" t="n"/>
    </row>
    <row r="23">
      <c r="A23" s="54" t="inlineStr">
        <is>
          <t>11</t>
        </is>
      </c>
      <c r="B23" s="54" t="inlineStr">
        <is>
          <t>Helecho</t>
        </is>
      </c>
      <c r="C23" s="54" t="inlineStr">
        <is>
          <t>Pteridophyta (indet.)</t>
        </is>
      </c>
      <c r="D23" s="54" t="inlineStr">
        <is>
          <t>Por determinar</t>
        </is>
      </c>
      <c r="E23" s="54" t="inlineStr">
        <is>
          <t>Herbáceo (&lt;0.5 m)</t>
        </is>
      </c>
      <c r="F23" s="54" t="inlineStr">
        <is>
          <t>Nativa</t>
        </is>
      </c>
      <c r="G23" s="54" t="inlineStr">
        <is>
          <t>Ocasional (1-5%)</t>
        </is>
      </c>
      <c r="H23" s="54" t="n"/>
      <c r="I23" s="54" t="n"/>
    </row>
    <row r="24">
      <c r="A24" s="55" t="inlineStr">
        <is>
          <t>12</t>
        </is>
      </c>
      <c r="B24" s="55" t="inlineStr">
        <is>
          <t>Arbolillo de dosel emergente</t>
        </is>
      </c>
      <c r="C24" s="55" t="inlineStr">
        <is>
          <t>Por determinar</t>
        </is>
      </c>
      <c r="D24" s="55" t="inlineStr">
        <is>
          <t>Por determinar</t>
        </is>
      </c>
      <c r="E24" s="55" t="inlineStr">
        <is>
          <t>Arbóreo bajo (4-8 m)</t>
        </is>
      </c>
      <c r="F24" s="55" t="inlineStr">
        <is>
          <t>Nativa</t>
        </is>
      </c>
      <c r="G24" s="55" t="inlineStr">
        <is>
          <t>Rara (&lt;1%)</t>
        </is>
      </c>
      <c r="H24" s="55" t="n"/>
      <c r="I24" s="55" t="n"/>
    </row>
    <row r="25">
      <c r="A25" s="54" t="inlineStr">
        <is>
          <t>13</t>
        </is>
      </c>
      <c r="B25" s="54" t="inlineStr">
        <is>
          <t>Matorral andino no diferenciado</t>
        </is>
      </c>
      <c r="C25" s="54" t="inlineStr">
        <is>
          <t>Por determinar</t>
        </is>
      </c>
      <c r="D25" s="54" t="inlineStr">
        <is>
          <t>Por determinar</t>
        </is>
      </c>
      <c r="E25" s="54" t="inlineStr">
        <is>
          <t>Arbustivo alto (1.5-4 m)</t>
        </is>
      </c>
      <c r="F25" s="54" t="inlineStr">
        <is>
          <t>Nativa</t>
        </is>
      </c>
      <c r="G25" s="54" t="inlineStr">
        <is>
          <t>Dominante (&gt;40%)</t>
        </is>
      </c>
      <c r="H25" s="54" t="n"/>
      <c r="I25" s="54" t="n"/>
    </row>
    <row r="26">
      <c r="A26" s="55" t="inlineStr">
        <is>
          <t>14</t>
        </is>
      </c>
      <c r="B26" s="55" t="inlineStr">
        <is>
          <t>Arbusto defoliado (época seca)</t>
        </is>
      </c>
      <c r="C26" s="55" t="inlineStr">
        <is>
          <t>Por determinar</t>
        </is>
      </c>
      <c r="D26" s="55" t="inlineStr">
        <is>
          <t>Por determinar</t>
        </is>
      </c>
      <c r="E26" s="55" t="inlineStr">
        <is>
          <t>Arbustivo bajo (0.5-1.5 m)</t>
        </is>
      </c>
      <c r="F26" s="55" t="inlineStr">
        <is>
          <t>Nativa</t>
        </is>
      </c>
      <c r="G26" s="55" t="inlineStr">
        <is>
          <t>Frecuente (5-20%)</t>
        </is>
      </c>
      <c r="H26" s="55" t="n"/>
      <c r="I26" s="55" t="n"/>
    </row>
    <row r="27">
      <c r="A27" s="54" t="inlineStr">
        <is>
          <t>15</t>
        </is>
      </c>
      <c r="B27" s="54" t="inlineStr">
        <is>
          <t>Herbácea de borde de camino</t>
        </is>
      </c>
      <c r="C27" s="54" t="inlineStr">
        <is>
          <t>Por determinar</t>
        </is>
      </c>
      <c r="D27" s="54" t="inlineStr">
        <is>
          <t>Por determinar</t>
        </is>
      </c>
      <c r="E27" s="54" t="inlineStr">
        <is>
          <t>Herbáceo (&lt;0.5 m)</t>
        </is>
      </c>
      <c r="F27" s="54" t="inlineStr">
        <is>
          <t>Por determinar</t>
        </is>
      </c>
      <c r="G27" s="54" t="inlineStr">
        <is>
          <t>Ocasional (1-5%)</t>
        </is>
      </c>
      <c r="H27" s="54" t="n"/>
      <c r="I27" s="54" t="n"/>
    </row>
    <row r="29">
      <c r="A29" s="52" t="inlineStr">
        <is>
          <t>F-DT-03 · ESPECIES CLAVE GEORREFERENCIADAS</t>
        </is>
      </c>
    </row>
    <row r="30">
      <c r="A30" s="53" t="inlineStr">
        <is>
          <t>N.o</t>
        </is>
      </c>
      <c r="B30" s="53" t="inlineStr">
        <is>
          <t>Especie</t>
        </is>
      </c>
      <c r="C30" s="53" t="inlineStr">
        <is>
          <t>Categoría</t>
        </is>
      </c>
      <c r="D30" s="53" t="inlineStr">
        <is>
          <t>Estado UICN</t>
        </is>
      </c>
      <c r="E30" s="53" t="inlineStr">
        <is>
          <t>UTM ESTE</t>
        </is>
      </c>
      <c r="F30" s="53" t="inlineStr">
        <is>
          <t>UTM NORTE</t>
        </is>
      </c>
      <c r="G30" s="53" t="inlineStr">
        <is>
          <t>N.° individuos</t>
        </is>
      </c>
      <c r="H30" s="53" t="inlineStr">
        <is>
          <t>Observación</t>
        </is>
      </c>
    </row>
    <row r="31">
      <c r="A31" s="54" t="inlineStr">
        <is>
          <t>1</t>
        </is>
      </c>
      <c r="B31" s="54" t="inlineStr">
        <is>
          <t>Tecoma stans (huaranhuay)</t>
        </is>
      </c>
      <c r="C31" s="54" t="inlineStr">
        <is>
          <t>Indicadora de perturbación</t>
        </is>
      </c>
      <c r="D31" s="54" t="inlineStr">
        <is>
          <t>NE — No Evaluado</t>
        </is>
      </c>
      <c r="E31" s="54" t="n"/>
      <c r="F31" s="54" t="n"/>
      <c r="G31" s="54" t="n"/>
      <c r="H31" s="54" t="inlineStr">
        <is>
          <t>Pionera de laderas intervenidas; alto valor para revegetación</t>
        </is>
      </c>
    </row>
    <row r="32">
      <c r="A32" s="55" t="inlineStr">
        <is>
          <t>2</t>
        </is>
      </c>
      <c r="B32" s="55" t="inlineStr">
        <is>
          <t>Baccharis spp. (chilca)</t>
        </is>
      </c>
      <c r="C32" s="55" t="inlineStr">
        <is>
          <t>Indicadora de perturbación</t>
        </is>
      </c>
      <c r="D32" s="55" t="inlineStr">
        <is>
          <t>NE — No Evaluado</t>
        </is>
      </c>
      <c r="E32" s="55" t="n"/>
      <c r="F32" s="55" t="n"/>
      <c r="G32" s="55" t="n"/>
      <c r="H32" s="55" t="inlineStr">
        <is>
          <t>Coloniza bordes de camino y taludes de corte</t>
        </is>
      </c>
    </row>
    <row r="33">
      <c r="A33" s="54" t="inlineStr">
        <is>
          <t>3</t>
        </is>
      </c>
      <c r="B33" s="54" t="inlineStr">
        <is>
          <t>Agave americana</t>
        </is>
      </c>
      <c r="C33" s="54" t="inlineStr">
        <is>
          <t>Indicadora de perturbación</t>
        </is>
      </c>
      <c r="D33" s="54" t="inlineStr">
        <is>
          <t>No aplica</t>
        </is>
      </c>
      <c r="E33" s="54" t="n"/>
      <c r="F33" s="54" t="n"/>
      <c r="G33" s="54" t="n"/>
      <c r="H33" s="54" t="inlineStr">
        <is>
          <t>Introducida; asociada a cercos, taludes y bordes de camino</t>
        </is>
      </c>
    </row>
    <row r="34">
      <c r="A34" s="55" t="inlineStr">
        <is>
          <t>4</t>
        </is>
      </c>
      <c r="B34" s="55" t="inlineStr">
        <is>
          <t>Eucalyptus globulus</t>
        </is>
      </c>
      <c r="C34" s="55" t="inlineStr">
        <is>
          <t>Indicadora de perturbación</t>
        </is>
      </c>
      <c r="D34" s="55" t="inlineStr">
        <is>
          <t>No aplica</t>
        </is>
      </c>
      <c r="E34" s="55" t="n"/>
      <c r="F34" s="55" t="n"/>
      <c r="G34" s="55" t="n"/>
      <c r="H34" s="55" t="inlineStr">
        <is>
          <t>Introducida; plantaciones y linderos del entorno</t>
        </is>
      </c>
    </row>
    <row r="35">
      <c r="A35" s="54" t="inlineStr">
        <is>
          <t>5</t>
        </is>
      </c>
      <c r="B35" s="54" t="inlineStr">
        <is>
          <t>Poaceae (pastos cultivados)</t>
        </is>
      </c>
      <c r="C35" s="54" t="inlineStr">
        <is>
          <t>Indicadora de perturbación</t>
        </is>
      </c>
      <c r="D35" s="54" t="inlineStr">
        <is>
          <t>No aplica</t>
        </is>
      </c>
      <c r="E35" s="54" t="n"/>
      <c r="F35" s="54" t="n"/>
      <c r="G35" s="54" t="n"/>
      <c r="H35" s="54" t="inlineStr">
        <is>
          <t>Sustitución de cobertura natural por pastura</t>
        </is>
      </c>
    </row>
    <row r="36">
      <c r="A36" s="55" t="inlineStr">
        <is>
          <t>6</t>
        </is>
      </c>
      <c r="B36" s="55" t="inlineStr">
        <is>
          <t>Melastomataceae (indet.)</t>
        </is>
      </c>
      <c r="C36" s="55" t="inlineStr">
        <is>
          <t>Indicadora de buen estado</t>
        </is>
      </c>
      <c r="D36" s="55" t="inlineStr">
        <is>
          <t>NE — No Evaluado</t>
        </is>
      </c>
      <c r="E36" s="55" t="n"/>
      <c r="F36" s="55" t="n"/>
      <c r="G36" s="55" t="n"/>
      <c r="H36" s="55" t="inlineStr">
        <is>
          <t>Familia característica del matorral andino subhúmedo</t>
        </is>
      </c>
    </row>
    <row r="38">
      <c r="A38" s="52" t="inlineStr">
        <is>
          <t>F-DT-04 · MATRIZ DE CAUSAS DE DEGRADACIÓN</t>
        </is>
      </c>
    </row>
    <row r="39">
      <c r="A39" s="53" t="inlineStr">
        <is>
          <t>N.o</t>
        </is>
      </c>
      <c r="B39" s="53" t="inlineStr">
        <is>
          <t>Causa</t>
        </is>
      </c>
      <c r="C39" s="53" t="inlineStr">
        <is>
          <t>Presencia</t>
        </is>
      </c>
      <c r="D39" s="53" t="inlineStr">
        <is>
          <t>Intensidad</t>
        </is>
      </c>
      <c r="E39" s="53" t="inlineStr">
        <is>
          <t>Extensión</t>
        </is>
      </c>
      <c r="F39" s="53" t="inlineStr">
        <is>
          <t>Antigüedad</t>
        </is>
      </c>
      <c r="G39" s="53" t="inlineStr">
        <is>
          <t>Evidencia</t>
        </is>
      </c>
    </row>
    <row r="40">
      <c r="A40" s="54" t="inlineStr">
        <is>
          <t>1</t>
        </is>
      </c>
      <c r="B40" s="54" t="inlineStr">
        <is>
          <t>Sobrepastoreo (caprino/vacuno)</t>
        </is>
      </c>
      <c r="C40" s="54" t="inlineStr">
        <is>
          <t>Sí</t>
        </is>
      </c>
      <c r="D40" s="54" t="inlineStr">
        <is>
          <t>Moderada</t>
        </is>
      </c>
      <c r="E40" s="54" t="inlineStr">
        <is>
          <t>50</t>
        </is>
      </c>
      <c r="F40" s="54" t="inlineStr">
        <is>
          <t>20</t>
        </is>
      </c>
      <c r="G40" s="54" t="inlineStr">
        <is>
          <t>Pastizal seco pastoreado y arbustos defoliados con ramoneo aparente en el extremo occidental (E-07)</t>
        </is>
      </c>
    </row>
    <row r="41">
      <c r="A41" s="55" t="inlineStr">
        <is>
          <t>2</t>
        </is>
      </c>
      <c r="B41" s="55" t="inlineStr">
        <is>
          <t>Tala para leña</t>
        </is>
      </c>
      <c r="C41" s="55" t="inlineStr">
        <is>
          <t>Por determinar</t>
        </is>
      </c>
      <c r="D41" s="55" t="inlineStr">
        <is>
          <t>Nula</t>
        </is>
      </c>
      <c r="E41" s="55" t="inlineStr"/>
      <c r="F41" s="55" t="inlineStr"/>
      <c r="G41" s="55" t="inlineStr">
        <is>
          <t>Sin evidencia directa de tocones en las estaciones registradas</t>
        </is>
      </c>
    </row>
    <row r="42">
      <c r="A42" s="54" t="inlineStr">
        <is>
          <t>3</t>
        </is>
      </c>
      <c r="B42" s="54" t="inlineStr">
        <is>
          <t>Tala para carbón</t>
        </is>
      </c>
      <c r="C42" s="54" t="inlineStr"/>
      <c r="D42" s="54" t="inlineStr"/>
      <c r="E42" s="54" t="inlineStr"/>
      <c r="F42" s="54" t="inlineStr"/>
      <c r="G42" s="54" t="inlineStr"/>
    </row>
    <row r="43">
      <c r="A43" s="55" t="inlineStr">
        <is>
          <t>4</t>
        </is>
      </c>
      <c r="B43" s="55" t="inlineStr">
        <is>
          <t>Tala para madera</t>
        </is>
      </c>
      <c r="C43" s="55" t="inlineStr"/>
      <c r="D43" s="55" t="inlineStr"/>
      <c r="E43" s="55" t="inlineStr"/>
      <c r="F43" s="55" t="inlineStr"/>
      <c r="G43" s="55" t="inlineStr"/>
    </row>
    <row r="44">
      <c r="A44" s="54" t="inlineStr">
        <is>
          <t>5</t>
        </is>
      </c>
      <c r="B44" s="54" t="inlineStr">
        <is>
          <t>Quema (renovación de pastos)</t>
        </is>
      </c>
      <c r="C44" s="54" t="inlineStr"/>
      <c r="D44" s="54" t="inlineStr"/>
      <c r="E44" s="54" t="inlineStr"/>
      <c r="F44" s="54" t="inlineStr"/>
      <c r="G44" s="54" t="inlineStr"/>
    </row>
    <row r="45">
      <c r="A45" s="55" t="inlineStr">
        <is>
          <t>6</t>
        </is>
      </c>
      <c r="B45" s="55" t="inlineStr">
        <is>
          <t>Quema accidental / Incendio</t>
        </is>
      </c>
      <c r="C45" s="55" t="inlineStr"/>
      <c r="D45" s="55" t="inlineStr"/>
      <c r="E45" s="55" t="inlineStr"/>
      <c r="F45" s="55" t="inlineStr"/>
      <c r="G45" s="55" t="inlineStr"/>
    </row>
    <row r="46">
      <c r="A46" s="54" t="inlineStr">
        <is>
          <t>7</t>
        </is>
      </c>
      <c r="B46" s="54" t="inlineStr">
        <is>
          <t>Cambio de uso a agricultura</t>
        </is>
      </c>
      <c r="C46" s="54" t="inlineStr">
        <is>
          <t>Sí</t>
        </is>
      </c>
      <c r="D46" s="54" t="inlineStr">
        <is>
          <t>Ligera</t>
        </is>
      </c>
      <c r="E46" s="54" t="inlineStr">
        <is>
          <t>5</t>
        </is>
      </c>
      <c r="F46" s="54" t="inlineStr"/>
      <c r="G46" s="54" t="inlineStr">
        <is>
          <t>Parcelas de cultivo en el entorno inmediato, fuera del polígono</t>
        </is>
      </c>
    </row>
    <row r="47">
      <c r="A47" s="55" t="inlineStr">
        <is>
          <t>8</t>
        </is>
      </c>
      <c r="B47" s="55" t="inlineStr">
        <is>
          <t>Cambio de uso a pastoreo</t>
        </is>
      </c>
      <c r="C47" s="55" t="inlineStr">
        <is>
          <t>Sí</t>
        </is>
      </c>
      <c r="D47" s="55" t="inlineStr">
        <is>
          <t>Ligera</t>
        </is>
      </c>
      <c r="E47" s="55" t="inlineStr">
        <is>
          <t>30</t>
        </is>
      </c>
      <c r="F47" s="55" t="inlineStr"/>
      <c r="G47" s="55" t="inlineStr">
        <is>
          <t>Sustitución parcial del matorral por pastizal en el extremo occidental de menor cota</t>
        </is>
      </c>
    </row>
    <row r="48">
      <c r="A48" s="54" t="inlineStr">
        <is>
          <t>9</t>
        </is>
      </c>
      <c r="B48" s="54" t="inlineStr">
        <is>
          <t>Expansión urbana / vial</t>
        </is>
      </c>
      <c r="C48" s="54" t="inlineStr">
        <is>
          <t>Sí</t>
        </is>
      </c>
      <c r="D48" s="54" t="inlineStr">
        <is>
          <t>Moderada</t>
        </is>
      </c>
      <c r="E48" s="54" t="inlineStr">
        <is>
          <t>15</t>
        </is>
      </c>
      <c r="F48" s="54" t="inlineStr">
        <is>
          <t>5</t>
        </is>
      </c>
      <c r="G48" s="54" t="inlineStr">
        <is>
          <t>Camino de herradura y trocha carrozable en el borde noroccidental, con taludes de corte activos, gravas sueltas y sendero labrado sobre roca meteorizada (E-09, E-10, E-12)</t>
        </is>
      </c>
    </row>
    <row r="49">
      <c r="A49" s="55" t="inlineStr">
        <is>
          <t>10</t>
        </is>
      </c>
      <c r="B49" s="55" t="inlineStr">
        <is>
          <t>Minería informal</t>
        </is>
      </c>
      <c r="C49" s="55" t="inlineStr"/>
      <c r="D49" s="55" t="inlineStr"/>
      <c r="E49" s="55" t="inlineStr"/>
      <c r="F49" s="55" t="inlineStr"/>
      <c r="G49" s="55" t="inlineStr"/>
    </row>
    <row r="50">
      <c r="A50" s="54" t="inlineStr">
        <is>
          <t>11</t>
        </is>
      </c>
      <c r="B50" s="54" t="inlineStr">
        <is>
          <t>Extracción de áridos (cauces)</t>
        </is>
      </c>
      <c r="C50" s="54" t="inlineStr"/>
      <c r="D50" s="54" t="inlineStr"/>
      <c r="E50" s="54" t="inlineStr"/>
      <c r="F50" s="54" t="inlineStr"/>
      <c r="G50" s="54" t="inlineStr"/>
    </row>
    <row r="51">
      <c r="A51" s="55" t="inlineStr">
        <is>
          <t>12</t>
        </is>
      </c>
      <c r="B51" s="55" t="inlineStr">
        <is>
          <t>Especies invasoras</t>
        </is>
      </c>
      <c r="C51" s="55" t="inlineStr"/>
      <c r="D51" s="55" t="inlineStr"/>
      <c r="E51" s="55" t="inlineStr"/>
      <c r="F51" s="55" t="inlineStr"/>
      <c r="G51" s="55" t="inlineStr"/>
    </row>
    <row r="52">
      <c r="A52" s="54" t="inlineStr">
        <is>
          <t>13</t>
        </is>
      </c>
      <c r="B52" s="54" t="inlineStr">
        <is>
          <t>Erosión natural severa</t>
        </is>
      </c>
      <c r="C52" s="54" t="inlineStr">
        <is>
          <t>Sí</t>
        </is>
      </c>
      <c r="D52" s="54" t="inlineStr">
        <is>
          <t>Moderada</t>
        </is>
      </c>
      <c r="E52" s="54" t="inlineStr">
        <is>
          <t>13</t>
        </is>
      </c>
      <c r="F52" s="54" t="inlineStr"/>
      <c r="G52" s="54" t="inlineStr">
        <is>
          <t>12.65 % de la superficie bajo el umbral MSAVI (1.65 ha), de la cual 0.11 ha en cobertura muy escasa, concentradas en el sector centro-occidental</t>
        </is>
      </c>
    </row>
    <row r="53">
      <c r="A53" s="55" t="inlineStr">
        <is>
          <t>14</t>
        </is>
      </c>
      <c r="B53" s="55" t="inlineStr">
        <is>
          <t>Sequía prolongada / CC</t>
        </is>
      </c>
      <c r="C53" s="55" t="inlineStr"/>
      <c r="D53" s="55" t="inlineStr"/>
      <c r="E53" s="55" t="inlineStr"/>
      <c r="F53" s="55" t="inlineStr"/>
      <c r="G53" s="55" t="inlineStr"/>
    </row>
    <row r="54">
      <c r="A54" s="54" t="inlineStr">
        <is>
          <t>15</t>
        </is>
      </c>
      <c r="B54" s="54" t="inlineStr">
        <is>
          <t>Plagas o enfermedades forestales</t>
        </is>
      </c>
      <c r="C54" s="54" t="inlineStr"/>
      <c r="D54" s="54" t="inlineStr"/>
      <c r="E54" s="54" t="inlineStr"/>
      <c r="F54" s="54" t="inlineStr"/>
      <c r="G54" s="54" t="inlineStr"/>
    </row>
    <row r="55">
      <c r="A55" s="55" t="inlineStr">
        <is>
          <t>16</t>
        </is>
      </c>
      <c r="B55" s="55" t="inlineStr">
        <is>
          <t>Otro</t>
        </is>
      </c>
      <c r="C55" s="55" t="inlineStr"/>
      <c r="D55" s="55" t="inlineStr"/>
      <c r="E55" s="55" t="inlineStr"/>
      <c r="F55" s="55" t="inlineStr"/>
      <c r="G55" s="55" t="inlineStr"/>
    </row>
    <row r="57">
      <c r="A57" s="52" t="inlineStr">
        <is>
          <t>F-DT-04 · INDICADORES CUANTITATIVOS</t>
        </is>
      </c>
    </row>
    <row r="58">
      <c r="A58" s="53" t="inlineStr">
        <is>
          <t>N.o</t>
        </is>
      </c>
      <c r="B58" s="53" t="inlineStr">
        <is>
          <t>Indicador</t>
        </is>
      </c>
      <c r="C58" s="53" t="inlineStr">
        <is>
          <t>Unidad</t>
        </is>
      </c>
      <c r="D58" s="53" t="inlineStr">
        <is>
          <t>Valor</t>
        </is>
      </c>
      <c r="E58" s="53" t="inlineStr">
        <is>
          <t>Fuente</t>
        </is>
      </c>
      <c r="F58" s="53" t="inlineStr">
        <is>
          <t>Umbral</t>
        </is>
      </c>
      <c r="G58" s="53" t="inlineStr">
        <is>
          <t>Nivel</t>
        </is>
      </c>
    </row>
    <row r="59">
      <c r="A59" s="54" t="inlineStr">
        <is>
          <t>1</t>
        </is>
      </c>
      <c r="B59" s="54" t="inlineStr">
        <is>
          <t>Cobertura vegetal total</t>
        </is>
      </c>
      <c r="C59" s="54" t="inlineStr">
        <is>
          <t>%</t>
        </is>
      </c>
      <c r="D59" s="54" t="inlineStr">
        <is>
          <t>70</t>
        </is>
      </c>
      <c r="E59" s="54" t="inlineStr">
        <is>
          <t>Fotointerpretación de estaciones georreferenciadas</t>
        </is>
      </c>
      <c r="F59" s="54" t="inlineStr">
        <is>
          <t>&gt;60% bueno; 30-60% medio; &lt;30% malo</t>
        </is>
      </c>
      <c r="G59" s="54" t="inlineStr">
        <is>
          <t>Medio</t>
        </is>
      </c>
    </row>
    <row r="60">
      <c r="A60" s="55" t="inlineStr">
        <is>
          <t>2</t>
        </is>
      </c>
      <c r="B60" s="55" t="inlineStr">
        <is>
          <t>Porcentaje de suelo desnudo</t>
        </is>
      </c>
      <c r="C60" s="55" t="inlineStr">
        <is>
          <t>%</t>
        </is>
      </c>
      <c r="D60" s="55" t="inlineStr">
        <is>
          <t>15</t>
        </is>
      </c>
      <c r="E60" s="55" t="inlineStr">
        <is>
          <t>Fotointerpretación de estaciones georreferenciadas</t>
        </is>
      </c>
      <c r="F60" s="55" t="inlineStr">
        <is>
          <t>&lt;10% bueno; 10-30% medio; &gt;30% malo</t>
        </is>
      </c>
      <c r="G60" s="55" t="inlineStr">
        <is>
          <t>Medio</t>
        </is>
      </c>
    </row>
    <row r="61">
      <c r="A61" s="54" t="inlineStr">
        <is>
          <t>3</t>
        </is>
      </c>
      <c r="B61" s="54" t="inlineStr">
        <is>
          <t>Densidad de cárcavas</t>
        </is>
      </c>
      <c r="C61" s="54" t="inlineStr">
        <is>
          <t>N°/ha</t>
        </is>
      </c>
      <c r="D61" s="54" t="inlineStr">
        <is>
          <t>Por determinar</t>
        </is>
      </c>
      <c r="E61" s="54" t="inlineStr">
        <is>
          <t>Inventario de cárcavas no ejecutado</t>
        </is>
      </c>
      <c r="F61" s="54" t="inlineStr">
        <is>
          <t>0 nulo; 1-3 medio; &gt;3 alto</t>
        </is>
      </c>
      <c r="G61" s="54" t="inlineStr"/>
    </row>
    <row r="62">
      <c r="A62" s="55" t="inlineStr">
        <is>
          <t>4</t>
        </is>
      </c>
      <c r="B62" s="55" t="inlineStr">
        <is>
          <t>Presencia de especies invasoras</t>
        </is>
      </c>
      <c r="C62" s="55" t="inlineStr">
        <is>
          <t>% área</t>
        </is>
      </c>
      <c r="D62" s="55" t="inlineStr">
        <is>
          <t>Por determinar</t>
        </is>
      </c>
      <c r="E62" s="55" t="inlineStr">
        <is>
          <t>No evaluado</t>
        </is>
      </c>
      <c r="F62" s="55" t="inlineStr">
        <is>
          <t>&lt;5% bueno; 5-20% medio; &gt;20% alto</t>
        </is>
      </c>
      <c r="G62" s="55" t="inlineStr"/>
    </row>
    <row r="63">
      <c r="A63" s="54" t="inlineStr">
        <is>
          <t>5</t>
        </is>
      </c>
      <c r="B63" s="54" t="inlineStr">
        <is>
          <t>Carga ganadera estimada</t>
        </is>
      </c>
      <c r="C63" s="54" t="inlineStr">
        <is>
          <t>UA/ha</t>
        </is>
      </c>
      <c r="D63" s="54" t="inlineStr">
        <is>
          <t>Por determinar</t>
        </is>
      </c>
      <c r="E63" s="54" t="inlineStr">
        <is>
          <t>Requiere encuesta a tenedores</t>
        </is>
      </c>
      <c r="F63" s="54" t="inlineStr">
        <is>
          <t>Según tipo de ecosistema</t>
        </is>
      </c>
      <c r="G63" s="54" t="inlineStr"/>
    </row>
    <row r="64">
      <c r="A64" s="55" t="inlineStr">
        <is>
          <t>6</t>
        </is>
      </c>
      <c r="B64" s="55" t="inlineStr">
        <is>
          <t>Frecuencia de quemas últimos 5 años</t>
        </is>
      </c>
      <c r="C64" s="55" t="inlineStr">
        <is>
          <t>N°</t>
        </is>
      </c>
      <c r="D64" s="55" t="inlineStr">
        <is>
          <t>Por determinar</t>
        </is>
      </c>
      <c r="E64" s="55" t="inlineStr">
        <is>
          <t>Requiere serie de cicatrices de quema</t>
        </is>
      </c>
      <c r="F64" s="55" t="inlineStr">
        <is>
          <t>0 nulo; 1-2 medio; &gt;2 alto</t>
        </is>
      </c>
      <c r="G64" s="55" t="inlineStr"/>
    </row>
    <row r="65">
      <c r="A65" s="54" t="inlineStr">
        <is>
          <t>7</t>
        </is>
      </c>
      <c r="B65" s="54" t="inlineStr">
        <is>
          <t>% área con pendiente &gt;50%</t>
        </is>
      </c>
      <c r="C65" s="54" t="inlineStr">
        <is>
          <t>%</t>
        </is>
      </c>
      <c r="D65" s="54" t="inlineStr">
        <is>
          <t>Por determinar</t>
        </is>
      </c>
      <c r="E65" s="54" t="inlineStr">
        <is>
          <t>Estadística zonal DEM por clases no disponible</t>
        </is>
      </c>
      <c r="F65" s="54" t="inlineStr">
        <is>
          <t>Factor de susceptibilidad</t>
        </is>
      </c>
      <c r="G65" s="54" t="inlineStr"/>
    </row>
    <row r="66">
      <c r="A66" s="55" t="inlineStr">
        <is>
          <t>8</t>
        </is>
      </c>
      <c r="B66" s="55" t="inlineStr">
        <is>
          <t>Distancia a vía vecinal más cercana</t>
        </is>
      </c>
      <c r="C66" s="55" t="inlineStr">
        <is>
          <t>m</t>
        </is>
      </c>
      <c r="D66" s="55" t="inlineStr">
        <is>
          <t>0</t>
        </is>
      </c>
      <c r="E66" s="55" t="inlineStr">
        <is>
          <t>La vía discurre sobre el propio límite del bloque</t>
        </is>
      </c>
      <c r="F66" s="55" t="inlineStr">
        <is>
          <t>A menor distancia → mayor presión</t>
        </is>
      </c>
      <c r="G66" s="55" t="inlineStr">
        <is>
          <t>Alto</t>
        </is>
      </c>
    </row>
    <row r="68">
      <c r="A68" s="52" t="inlineStr">
        <is>
          <t>F-DT-05 · FUENTES DE AGUA INVENTARIADAS</t>
        </is>
      </c>
    </row>
    <row r="69">
      <c r="A69" s="53" t="inlineStr">
        <is>
          <t>N.o</t>
        </is>
      </c>
      <c r="B69" s="53" t="inlineStr">
        <is>
          <t>Tipo de fuente</t>
        </is>
      </c>
      <c r="C69" s="53" t="inlineStr">
        <is>
          <t>UTM ESTE</t>
        </is>
      </c>
      <c r="D69" s="53" t="inlineStr">
        <is>
          <t>UTM NORTE</t>
        </is>
      </c>
      <c r="E69" s="53" t="inlineStr">
        <is>
          <t>Régimen</t>
        </is>
      </c>
      <c r="F69" s="53" t="inlineStr">
        <is>
          <t>Calidad</t>
        </is>
      </c>
      <c r="G69" s="53" t="inlineStr">
        <is>
          <t>Distancia (m)</t>
        </is>
      </c>
      <c r="H69" s="53" t="inlineStr">
        <is>
          <t>Uso / observación</t>
        </is>
      </c>
    </row>
    <row r="72">
      <c r="A72" s="52" t="inlineStr">
        <is>
          <t>OBSERVACIONES DEL EVALUADOR POR FICHA</t>
        </is>
      </c>
    </row>
    <row r="73">
      <c r="A73" s="53" t="inlineStr">
        <is>
          <t>Ficha</t>
        </is>
      </c>
      <c r="B73" s="53" t="inlineStr">
        <is>
          <t>Observación registrada en campo</t>
        </is>
      </c>
    </row>
    <row r="74">
      <c r="A74" s="54" t="inlineStr">
        <is>
          <t>F-DT-01</t>
        </is>
      </c>
      <c r="B74" s="54" t="inlineStr">
        <is>
          <t>PRELLENADO DE GABINETE. Ninguna ficha F-DT fue diligenciada en campo el 19-08-2026; el reconocimiento consistió en recorrido con registro fotográfico georreferenciado. Pendiente promedio zonal (MDE) 26.89 % ≡ 15.05°; rango altitudinal 2235–2540 msnm (amplitud 305 m). Escarpes activos: SÍ — taludes de corte del camino de herradura y de la trocha carrozable en el borde noroccidental, con gravas sueltas y roca meteorizada expuesta (E-09, E-10). Afloramientos rocosos abundantes en el extremo occidental del polígono.</t>
        </is>
      </c>
    </row>
    <row r="75">
      <c r="A75" s="55" t="inlineStr">
        <is>
          <t>F-DT-02</t>
        </is>
      </c>
      <c r="B75" s="55" t="inlineStr">
        <is>
          <t>INVENTARIO DE CÁRCAVAS NO EJECUTADO. No se levantaron cárcavas georreferenciadas, longitudes ni densidades; los campos correspondientes quedan como «Por determinar» y son responsabilidad del analista de infraestructura marrón. La ausencia de registros no equivale a ausencia verificada. Se observa suelo pedregoso con gravas sueltas, raíces expuestas y escorrentía concentrada sobre el sendero labrado en roca meteorizada (E-09, E-10). El 12.65 % de superficie bajo umbral MSAVI y el 0.81 % en cobertura muy escasa respaldan la calificación de erosión moderada en el extremo occidental.</t>
        </is>
      </c>
    </row>
    <row r="76">
      <c r="A76" s="54" t="inlineStr">
        <is>
          <t>F-DT-03</t>
        </is>
      </c>
      <c r="B76" s="54" t="inlineStr">
        <is>
          <t>LISTA PRELIMINAR. Los binomios proceden de nombres comunes remitidos por la brigada y de fotointerpretación de las estaciones georreferenciadas; ninguno está confirmado taxonómicamente y no hubo colecta botánica ni medición dasométrica. Se completan los 15 registros exigidos, pero 5 entradas carecen de género. Ninguna especie con categoría de amenaza confirmada bajo el D.S. 043-2006-AG a la fecha. La adscripción al Matorral Andino es preliminar y debe verificarse por intersección con la capa nacional de ecosistemas del MINAM.</t>
        </is>
      </c>
    </row>
    <row r="77">
      <c r="A77" s="55" t="inlineStr">
        <is>
          <t>F-DT-04</t>
        </is>
      </c>
      <c r="B77" s="55" t="inlineStr">
        <is>
          <t>Matriz consignada por gabinete a partir del registro fotográfico georreferenciado del 19-08-2026 y de la cartografía temática. Las diez causas no consignadas quedan SIN VERIFICAR: la ausencia de marca no significa ausencia de la causa. Antigüedades y extensiones son estimaciones no instrumentales.</t>
        </is>
      </c>
    </row>
    <row r="78">
      <c r="A78" s="54" t="inlineStr">
        <is>
          <t>F-DT-05</t>
        </is>
      </c>
      <c r="B78" s="54" t="inlineStr">
        <is>
          <t>FICHA PARCIAL. No se ejecutó inventario de fuentes de agua con GPS, ni se levantaron datos de JASS, captación poblacional, señal celular, tiempos de viaje, alojamiento ni Ronda Campesina. El bloque 53 se declara en zona de recarga hídrica por su posición de cabecera (2 235–2 540 msnm) sobre el drenaje de la quebrada Q9592: se sitúa en la zona de ORIGEN del peligro generador de inundaciones. La escorrentía concentrada se verifica sobre el sendero y los taludes de corte del camino. Las condiciones de acceso son favorables: la vía discurre sobre el propio límite del bloque.</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GRÁFICOS DE LA INTEGRACIÓN — BLOQUE 53</t>
        </is>
      </c>
    </row>
    <row r="7">
      <c r="A7" s="52" t="inlineStr">
        <is>
          <t>Hechos declarados por fuente</t>
        </is>
      </c>
    </row>
    <row r="8">
      <c r="A8" s="53" t="inlineStr">
        <is>
          <t>Fuente</t>
        </is>
      </c>
      <c r="B8" s="53" t="inlineStr">
        <is>
          <t>Hechos</t>
        </is>
      </c>
    </row>
    <row r="9">
      <c r="A9" s="54" t="inlineStr">
        <is>
          <t>Dato de campo</t>
        </is>
      </c>
      <c r="B9" s="54" t="n">
        <v>51</v>
      </c>
    </row>
    <row r="10">
      <c r="A10" s="55" t="inlineStr">
        <is>
          <t>Gabinete (GIS / teledetección)</t>
        </is>
      </c>
      <c r="B10" s="55" t="n">
        <v>24</v>
      </c>
    </row>
    <row r="11">
      <c r="A11" s="54" t="inlineStr">
        <is>
          <t>Fuente oficial</t>
        </is>
      </c>
      <c r="B11" s="54" t="n">
        <v>14</v>
      </c>
    </row>
    <row r="26">
      <c r="A26" s="52" t="inlineStr">
        <is>
          <t>Estado del cruce entre fuentes</t>
        </is>
      </c>
    </row>
    <row r="27">
      <c r="A27" s="53" t="inlineStr">
        <is>
          <t>Estado</t>
        </is>
      </c>
      <c r="B27" s="53" t="inlineStr">
        <is>
          <t>Hechos</t>
        </is>
      </c>
    </row>
    <row r="28">
      <c r="A28" s="54" t="inlineStr">
        <is>
          <t>CONFORME</t>
        </is>
      </c>
      <c r="B28" s="54" t="n">
        <v>85</v>
      </c>
    </row>
    <row r="29">
      <c r="A29" s="55" t="inlineStr">
        <is>
          <t>COMPLEMENTADO</t>
        </is>
      </c>
      <c r="B29" s="55" t="n">
        <v>3</v>
      </c>
    </row>
    <row r="30">
      <c r="A30" s="54" t="inlineStr">
        <is>
          <t>ACTUALIZADO</t>
        </is>
      </c>
      <c r="B30" s="54" t="n">
        <v>1</v>
      </c>
    </row>
    <row r="31">
      <c r="A31" s="55" t="inlineStr">
        <is>
          <t>DISCREPANTE</t>
        </is>
      </c>
      <c r="B31" s="55" t="n">
        <v>0</v>
      </c>
    </row>
    <row r="32">
      <c r="A32" s="54" t="inlineStr">
        <is>
          <t>PENDIENTE</t>
        </is>
      </c>
      <c r="B32" s="54" t="n">
        <v>25</v>
      </c>
    </row>
    <row r="45">
      <c r="A45" s="52" t="inlineStr">
        <is>
          <t>Cobertura por estrato — campo (%)</t>
        </is>
      </c>
    </row>
    <row r="46">
      <c r="A46" s="53" t="inlineStr">
        <is>
          <t>Estrato</t>
        </is>
      </c>
      <c r="B46" s="53" t="inlineStr">
        <is>
          <t>% del área</t>
        </is>
      </c>
    </row>
    <row r="47">
      <c r="A47" s="54" t="inlineStr">
        <is>
          <t>Suelo desnudo</t>
        </is>
      </c>
      <c r="B47" s="59" t="n">
        <v>15</v>
      </c>
    </row>
    <row r="64">
      <c r="A64" s="52" t="inlineStr">
        <is>
          <t>Causas activas de degradación (F-DT-04)</t>
        </is>
      </c>
    </row>
    <row r="65">
      <c r="A65" s="53" t="inlineStr">
        <is>
          <t>Causa</t>
        </is>
      </c>
      <c r="B65" s="53" t="inlineStr">
        <is>
          <t>Intensidad (1 ligera - 4 muy fuerte)</t>
        </is>
      </c>
    </row>
    <row r="66">
      <c r="A66" s="54" t="inlineStr">
        <is>
          <t>Erosión natural severa</t>
        </is>
      </c>
      <c r="B66" s="54" t="n">
        <v>2</v>
      </c>
    </row>
    <row r="67">
      <c r="A67" s="55" t="inlineStr">
        <is>
          <t>Expansión urbana / vial</t>
        </is>
      </c>
      <c r="B67" s="55" t="n">
        <v>2</v>
      </c>
    </row>
    <row r="68">
      <c r="A68" s="54" t="inlineStr">
        <is>
          <t>Sobrepastoreo (caprino/vacuno)</t>
        </is>
      </c>
      <c r="B68" s="54" t="n">
        <v>2</v>
      </c>
    </row>
    <row r="69">
      <c r="A69" s="55" t="inlineStr">
        <is>
          <t>Cambio de uso a agricultura</t>
        </is>
      </c>
      <c r="B69" s="55" t="n">
        <v>1</v>
      </c>
    </row>
    <row r="70">
      <c r="A70" s="54" t="inlineStr">
        <is>
          <t>Cambio de uso a pastoreo</t>
        </is>
      </c>
      <c r="B70" s="54" t="n">
        <v>1</v>
      </c>
    </row>
    <row r="83">
      <c r="A83" s="52" t="inlineStr">
        <is>
          <t>Control de consistencia por calificación</t>
        </is>
      </c>
    </row>
    <row r="84">
      <c r="A84" s="53" t="inlineStr">
        <is>
          <t>Calificación</t>
        </is>
      </c>
      <c r="B84" s="53" t="inlineStr">
        <is>
          <t>Verificaciones</t>
        </is>
      </c>
    </row>
    <row r="85">
      <c r="A85" s="54" t="inlineStr">
        <is>
          <t>SUSTANTIVA</t>
        </is>
      </c>
      <c r="B85" s="54" t="n">
        <v>2</v>
      </c>
    </row>
    <row r="86">
      <c r="A86" s="55" t="inlineStr">
        <is>
          <t>NO SUSTANTIVA</t>
        </is>
      </c>
      <c r="B86" s="55" t="n">
        <v>2</v>
      </c>
    </row>
    <row r="87">
      <c r="A87" s="54" t="inlineStr">
        <is>
          <t>CORREGIDO</t>
        </is>
      </c>
      <c r="B87" s="54" t="n">
        <v>1</v>
      </c>
    </row>
    <row r="88">
      <c r="A88" s="55" t="inlineStr">
        <is>
          <t>CONFORME</t>
        </is>
      </c>
      <c r="B88" s="55"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53 — IN Piura</dc:title>
  <dc:subject>Diagnóstico Territorial por bloque de intervención</dc:subject>
  <dcterms:created xsi:type="dcterms:W3CDTF">2026-09-08T03:39:59Z</dcterms:created>
  <dcterms:modified xsi:type="dcterms:W3CDTF">2026-09-11T21:26:27Z</dcterms:modified>
</cp:coreProperties>
</file>