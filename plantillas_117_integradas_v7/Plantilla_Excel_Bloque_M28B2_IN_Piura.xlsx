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3">
    <numFmt numFmtId="164" formatCode="0.0000"/>
    <numFmt numFmtId="165" formatCode="0.000"/>
    <numFmt numFmtId="166" formatCode="#,##0.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4">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4" fontId="6" fillId="0" borderId="7" pivotButton="0" quotePrefix="0" xfId="0"/>
    <xf numFmtId="166" fontId="6" fillId="0" borderId="7" pivotButton="0" quotePrefix="0" xfId="0"/>
    <xf numFmtId="4" fontId="6" fillId="5" borderId="7" pivotButton="0" quotePrefix="0" xfId="0"/>
    <xf numFmtId="166" fontId="6" fillId="5"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integración'!B29</f>
            </strRef>
          </tx>
          <spPr>
            <a:ln>
              <a:prstDash val="solid"/>
            </a:ln>
          </spPr>
          <cat>
            <numRef>
              <f>'Gráficos de integración'!$A$30:$A$34</f>
            </numRef>
          </cat>
          <val>
            <numRef>
              <f>'Gráficos de integración'!$B$30:$B$34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Cobertura por estrato (%)</a:t>
            </a:r>
          </a:p>
        </rich>
      </tx>
    </title>
    <plotArea>
      <barChart>
        <barDir val="col"/>
        <grouping val="clustered"/>
        <ser>
          <idx val="0"/>
          <order val="0"/>
          <tx>
            <strRef>
              <f>'Gráficos de integración'!B52</f>
            </strRef>
          </tx>
          <spPr>
            <a:ln>
              <a:prstDash val="solid"/>
            </a:ln>
          </spPr>
          <cat>
            <numRef>
              <f>'Gráficos de integración'!$A$53:$A$55</f>
            </numRef>
          </cat>
          <val>
            <numRef>
              <f>'Gráficos de integración'!$B$53:$B$55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integración'!B73</f>
            </strRef>
          </tx>
          <spPr>
            <a:ln>
              <a:prstDash val="solid"/>
            </a:ln>
          </spPr>
          <cat>
            <numRef>
              <f>'Gráficos de integración'!$A$74:$A$77</f>
            </numRef>
          </cat>
          <val>
            <numRef>
              <f>'Gráficos de integración'!$B$74:$B$77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integración'!B95</f>
            </strRef>
          </tx>
          <spPr>
            <a:ln>
              <a:prstDash val="solid"/>
            </a:ln>
          </spPr>
          <cat>
            <numRef>
              <f>'Gráficos de integración'!$A$96:$A$99</f>
            </numRef>
          </cat>
          <val>
            <numRef>
              <f>'Gráficos de integración'!$B$96:$B$99</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28</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51</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72</row>
      <rowOff>0</rowOff>
    </from>
    <ext cx="5760000" cy="288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94</row>
      <rowOff>0</rowOff>
    </from>
    <ext cx="4320000" cy="288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M28B2</t>
        </is>
      </c>
    </row>
    <row r="6" ht="24" customHeight="1">
      <c r="A6" s="4" t="inlineStr">
        <is>
          <t>Diagnóstico Territorial — Plantilla DT Campo Check Validada V5 | Sistema de referencia: UTM WGS 84 Zona 17S (EPSG:32717) · Integrado con la ficha de campo F-DT vigente (FDT_M28B2_Diagnostico_Territorial.xlsx) — V7 - resumen V6 + campo F-DT integrado</t>
        </is>
      </c>
    </row>
    <row r="7"/>
    <row r="8" ht="18" customHeight="1">
      <c r="A8" s="5" t="inlineStr">
        <is>
          <t>1. IDENTIFICACIÓN Y LOCALIZACIÓN</t>
        </is>
      </c>
    </row>
    <row r="9">
      <c r="A9" s="6" t="inlineStr">
        <is>
          <t>Código del bloque</t>
        </is>
      </c>
      <c r="B9" s="7" t="inlineStr">
        <is>
          <t>M28B2</t>
        </is>
      </c>
      <c r="C9" s="6" t="inlineStr">
        <is>
          <t>Microcuenca (catálogo)</t>
        </is>
      </c>
      <c r="D9" s="7" t="inlineStr">
        <is>
          <t>C1086-Q9575</t>
        </is>
      </c>
      <c r="E9" s="8" t="n"/>
      <c r="F9" s="8" t="n"/>
    </row>
    <row r="10">
      <c r="A10" s="6" t="inlineStr">
        <is>
          <t>Zona de planificación</t>
        </is>
      </c>
      <c r="B10" s="7" t="inlineStr">
        <is>
          <t>Z09</t>
        </is>
      </c>
      <c r="C10" s="6" t="inlineStr">
        <is>
          <t>Microcuenca declarada en ficha DT</t>
        </is>
      </c>
      <c r="D10" s="7" t="inlineStr">
        <is>
          <t>C1086-Q9575</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Yamango</t>
        </is>
      </c>
      <c r="C12" s="6" t="inlineStr">
        <is>
          <t>Capital distrital</t>
        </is>
      </c>
      <c r="D12" s="7" t="inlineStr">
        <is>
          <t>Yamango</t>
        </is>
      </c>
      <c r="E12" s="8" t="n"/>
      <c r="F12" s="8" t="n"/>
    </row>
    <row r="13">
      <c r="A13" s="6" t="inlineStr">
        <is>
          <t>Centro poblado asociado</t>
        </is>
      </c>
      <c r="B13" s="7" t="inlineStr">
        <is>
          <t>Flor de Agua</t>
        </is>
      </c>
      <c r="C13" s="6" t="inlineStr">
        <is>
          <t>Comunidad campesina</t>
        </is>
      </c>
      <c r="D13" s="49" t="inlineStr">
        <is>
          <t>No consignada</t>
        </is>
      </c>
      <c r="E13" s="8" t="n"/>
      <c r="F13" s="8" t="n"/>
    </row>
    <row r="14">
      <c r="A14" s="6" t="inlineStr">
        <is>
          <t>Superficie de catálogo (V5/V6), ha</t>
        </is>
      </c>
      <c r="B14" s="7" t="n">
        <v>90.2</v>
      </c>
      <c r="C14" s="6" t="inlineStr">
        <is>
          <t>Fuente de superficie</t>
        </is>
      </c>
      <c r="D14" s="7" t="inlineStr">
        <is>
          <t>Catálogo maestro Bloques V5/V6</t>
        </is>
      </c>
      <c r="E14" s="8" t="n"/>
      <c r="F14" s="8" t="n"/>
    </row>
    <row r="15">
      <c r="A15" s="6" t="inlineStr">
        <is>
          <t>Centroide UTM ESTE (m)</t>
        </is>
      </c>
      <c r="B15" s="7" t="n">
        <v>636249</v>
      </c>
      <c r="C15" s="6" t="inlineStr">
        <is>
          <t>Centroide UTM NORTE (m)</t>
        </is>
      </c>
      <c r="D15" s="7" t="n">
        <v>9425665</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754</v>
      </c>
      <c r="C19" s="6" t="inlineStr">
        <is>
          <t>Altitud máxima (msnm)</t>
        </is>
      </c>
      <c r="D19" s="7" t="n">
        <v>1111</v>
      </c>
      <c r="E19" s="8" t="n"/>
      <c r="F19" s="8" t="n"/>
    </row>
    <row r="20">
      <c r="A20" s="6" t="inlineStr">
        <is>
          <t>Amplitud altitudinal (m)</t>
        </is>
      </c>
      <c r="B20" s="7" t="n">
        <v>357</v>
      </c>
      <c r="C20" s="6" t="inlineStr">
        <is>
          <t>Piso altitudinal dominante</t>
        </is>
      </c>
      <c r="D20" s="7" t="inlineStr">
        <is>
          <t>&lt;1000 m (Yunga)</t>
        </is>
      </c>
      <c r="E20" s="8" t="n"/>
      <c r="F20" s="8" t="n"/>
    </row>
    <row r="21">
      <c r="A21" s="6" t="inlineStr">
        <is>
          <t>Pendiente promedio (%)</t>
        </is>
      </c>
      <c r="B21" s="7" t="n">
        <v>20.65</v>
      </c>
      <c r="C21" s="6" t="inlineStr">
        <is>
          <t>Pendiente promedio (grados)</t>
        </is>
      </c>
      <c r="D21" s="7" t="n">
        <v>11.7</v>
      </c>
      <c r="E21" s="8" t="n"/>
      <c r="F21" s="8" t="n"/>
    </row>
    <row r="22">
      <c r="A22" s="6" t="inlineStr">
        <is>
          <t>Clase de pendiente equivalente</t>
        </is>
      </c>
      <c r="B22" s="7" t="inlineStr">
        <is>
          <t>15-25% (Fuert. inclinado)</t>
        </is>
      </c>
      <c r="C22" s="6" t="inlineStr">
        <is>
          <t>Rango de pendiente declarado en campo</t>
        </is>
      </c>
      <c r="D22" s="7" t="inlineStr">
        <is>
          <t>25-50% (Mod. escarpado)</t>
        </is>
      </c>
      <c r="E22" s="8" t="n"/>
      <c r="F22" s="8" t="n"/>
    </row>
    <row r="23">
      <c r="A23" s="6" t="inlineStr">
        <is>
          <t>Forma predominante del terreno</t>
        </is>
      </c>
      <c r="B23" s="7" t="inlineStr">
        <is>
          <t>Colinoso</t>
        </is>
      </c>
      <c r="C23" s="6" t="inlineStr">
        <is>
          <t>Posición fisiográfica</t>
        </is>
      </c>
      <c r="D23" s="7" t="inlineStr">
        <is>
          <t>Ladera baja</t>
        </is>
      </c>
      <c r="E23" s="8" t="n"/>
      <c r="F23" s="8" t="n"/>
    </row>
    <row r="24">
      <c r="A24" s="6" t="inlineStr">
        <is>
          <t>Exposición / orientación</t>
        </is>
      </c>
      <c r="B24" s="7" t="inlineStr">
        <is>
          <t>Sur</t>
        </is>
      </c>
      <c r="C24" s="6" t="inlineStr">
        <is>
          <t>Afloramientos rocosos</t>
        </is>
      </c>
      <c r="D24" s="7" t="inlineStr">
        <is>
          <t>No</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0.4753</v>
      </c>
      <c r="C28" s="6" t="inlineStr">
        <is>
          <t>MSAVI 2024 — clase de la media</t>
        </is>
      </c>
      <c r="D28" s="7" t="inlineStr">
        <is>
          <t>0.3813 - 0.4976 (Vigor bajo)</t>
        </is>
      </c>
      <c r="E28" s="8" t="n"/>
      <c r="F28" s="8" t="n"/>
    </row>
    <row r="29">
      <c r="A29" s="6" t="inlineStr">
        <is>
          <t>Condición frente al umbral 0.4976</t>
        </is>
      </c>
      <c r="B29" s="7" t="inlineStr">
        <is>
          <t>BAJO umbral 0.4976</t>
        </is>
      </c>
      <c r="C29" s="6" t="inlineStr">
        <is>
          <t>NDVI mediana 2025 — clase modal</t>
        </is>
      </c>
      <c r="D29" s="7" t="inlineStr">
        <is>
          <t>Vegetación mediana (51.72 %)</t>
        </is>
      </c>
      <c r="E29" s="8" t="n"/>
      <c r="F29" s="8" t="n"/>
    </row>
    <row r="30">
      <c r="A30" s="6" t="inlineStr">
        <is>
          <t>Superficie clasificada NDVI 2025 (ha)</t>
        </is>
      </c>
      <c r="B30" s="7" t="n">
        <v>90.22799999999999</v>
      </c>
      <c r="C30" s="6" t="inlineStr">
        <is>
          <t>Desviación frente al catálogo (%)</t>
        </is>
      </c>
      <c r="D30" s="7" t="n">
        <v>0.03</v>
      </c>
      <c r="E30" s="8" t="n"/>
      <c r="F30" s="8" t="n"/>
    </row>
    <row r="31">
      <c r="A31" s="6" t="inlineStr">
        <is>
          <t>Superficie clasificada MSAVI 2024 (ha)</t>
        </is>
      </c>
      <c r="B31" s="37" t="n">
        <v>90.197</v>
      </c>
      <c r="C31" s="6" t="inlineStr">
        <is>
          <t>Desviación MSAVI frente al catálogo (%)</t>
        </is>
      </c>
      <c r="D31" s="38" t="n">
        <v>0</v>
      </c>
      <c r="E31" s="8" t="n"/>
      <c r="F31" s="8" t="n"/>
    </row>
    <row r="32">
      <c r="A32" s="6" t="inlineStr">
        <is>
          <t>Superficie bajo umbral MSAVI 0.4976 (ha)</t>
        </is>
      </c>
      <c r="B32" s="37" t="n">
        <v>56.096</v>
      </c>
      <c r="C32" s="6" t="inlineStr">
        <is>
          <t>% del bloque bajo umbral (brecha espectral)</t>
        </is>
      </c>
      <c r="D32" s="38" t="n">
        <v>62.19</v>
      </c>
      <c r="E32" s="8" t="n"/>
      <c r="F32" s="8" t="n"/>
    </row>
    <row r="33">
      <c r="A33" s="6" t="inlineStr">
        <is>
          <t>Clase DN dominante (MSAVI 2024)</t>
        </is>
      </c>
      <c r="B33" s="7" t="inlineStr">
        <is>
          <t>DN 3 · 0.3813 - 0.4976 (Vigor bajo)</t>
        </is>
      </c>
      <c r="C33" s="6" t="inlineStr">
        <is>
          <t>N.° de polígonos MSAVI del bloque</t>
        </is>
      </c>
      <c r="D33" s="39" t="n">
        <v>486</v>
      </c>
      <c r="E33" s="8" t="n"/>
      <c r="F33" s="8" t="n"/>
    </row>
    <row r="34"/>
    <row r="35" ht="18" customHeight="1">
      <c r="A35" s="5" t="inlineStr">
        <is>
          <t>4. ECOSISTEMA Y ESTADO DE CONSERVACIÓN</t>
        </is>
      </c>
    </row>
    <row r="36">
      <c r="A36" s="6" t="inlineStr">
        <is>
          <t>Tipo de ecosistema (UP)</t>
        </is>
      </c>
      <c r="B36" s="7" t="inlineStr">
        <is>
          <t>Bosque Estacionalmente Seco de Colina y Montaña (Bes-cm)</t>
        </is>
      </c>
      <c r="C36" s="6" t="inlineStr">
        <is>
          <t>Superficie de ecosistema (ha)</t>
        </is>
      </c>
      <c r="D36" s="7" t="inlineStr">
        <is>
          <t>90.2 ha (100% del bloque)</t>
        </is>
      </c>
      <c r="E36" s="8" t="n"/>
      <c r="F36" s="8" t="n"/>
    </row>
    <row r="37">
      <c r="A37" s="6" t="inlineStr">
        <is>
          <t>Estado de conservación</t>
        </is>
      </c>
      <c r="B37" s="7" t="inlineStr">
        <is>
          <t>Medianamente alterado</t>
        </is>
      </c>
      <c r="C37" s="6" t="inlineStr">
        <is>
          <t>Uso actual dominante del suelo</t>
        </is>
      </c>
      <c r="D37" s="49" t="inlineStr">
        <is>
          <t>Agricultura secano</t>
        </is>
      </c>
      <c r="E37" s="8" t="n"/>
      <c r="F37" s="8" t="n"/>
    </row>
    <row r="38">
      <c r="A38" s="6" t="inlineStr">
        <is>
          <t>Tipo de cobertura dominante</t>
        </is>
      </c>
      <c r="B38" s="7" t="inlineStr">
        <is>
          <t>Bosque ralo (30-70%)</t>
        </is>
      </c>
      <c r="C38" s="6" t="inlineStr">
        <is>
          <t>Cobertura vegetal total — campo (%)</t>
        </is>
      </c>
      <c r="D38" s="49" t="inlineStr">
        <is>
          <t>Sin registro en ficha</t>
        </is>
      </c>
      <c r="E38" s="8" t="n"/>
      <c r="F38" s="8" t="n"/>
    </row>
    <row r="39">
      <c r="A39" s="6" t="inlineStr">
        <is>
          <t>Suelo desnudo — campo (%)</t>
        </is>
      </c>
      <c r="B39" s="7" t="n">
        <v>20</v>
      </c>
      <c r="C39" s="6" t="inlineStr">
        <is>
          <t>Regeneración natural</t>
        </is>
      </c>
      <c r="D39" s="7" t="inlineStr">
        <is>
          <t>Escasa (&lt;10 pl./100m²)</t>
        </is>
      </c>
      <c r="E39" s="8" t="n"/>
      <c r="F39" s="8" t="n"/>
    </row>
    <row r="40">
      <c r="A40" s="6" t="inlineStr">
        <is>
          <t>Nivel general de erosión</t>
        </is>
      </c>
      <c r="B40" s="7" t="inlineStr">
        <is>
          <t>Ligera (laminar)</t>
        </is>
      </c>
      <c r="C40" s="6" t="inlineStr">
        <is>
          <t>N.° de cárcavas registradas</t>
        </is>
      </c>
      <c r="D40" s="7" t="n">
        <v>0</v>
      </c>
      <c r="E40" s="8" t="n"/>
      <c r="F40" s="8" t="n"/>
    </row>
    <row r="41">
      <c r="A41" s="6" t="inlineStr">
        <is>
          <t>Elenco florístico (n.° de taxones)</t>
        </is>
      </c>
      <c r="B41" s="7" t="n">
        <v>4</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49" t="inlineStr">
        <is>
          <t>Ing. Juan Dominguez</t>
        </is>
      </c>
      <c r="C44" s="6" t="inlineStr">
        <is>
          <t>Fecha de evaluación</t>
        </is>
      </c>
      <c r="D44" s="7" t="inlineStr">
        <is>
          <t>2026-05-25</t>
        </is>
      </c>
      <c r="E44" s="8" t="n"/>
      <c r="F44" s="8" t="n"/>
    </row>
    <row r="45">
      <c r="A45" s="6" t="inlineStr">
        <is>
          <t>Hora de registro</t>
        </is>
      </c>
      <c r="B45" s="7" t="inlineStr">
        <is>
          <t>14:30 - 16:00 h</t>
        </is>
      </c>
      <c r="C45" s="6" t="inlineStr">
        <is>
          <t>Correlativo de ficha</t>
        </is>
      </c>
      <c r="D45" s="7" t="inlineStr">
        <is>
          <t>Por determinar</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49" t="inlineStr">
        <is>
          <t>Sin registro en ficha</t>
        </is>
      </c>
      <c r="E47" s="8" t="n"/>
      <c r="F47" s="8" t="n"/>
    </row>
    <row r="48">
      <c r="A48" s="6" t="inlineStr">
        <is>
          <t>Estaciones fotográficas georreferenciadas</t>
        </is>
      </c>
      <c r="B48" s="7" t="n">
        <v>0</v>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Pastoreo de ganado caprino</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Media</t>
        </is>
      </c>
      <c r="E52" s="8" t="n"/>
      <c r="F52" s="8" t="n"/>
    </row>
    <row r="53">
      <c r="A53" s="6" t="inlineStr">
        <is>
          <t>Urgencia de control de erosión</t>
        </is>
      </c>
      <c r="B53" s="7" t="inlineStr">
        <is>
          <t>Media</t>
        </is>
      </c>
      <c r="C53" s="6" t="inlineStr">
        <is>
          <t>Zona de recarga hídrica</t>
        </is>
      </c>
      <c r="D53" s="7" t="inlineStr">
        <is>
          <t>No</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0" t="n"/>
      <c r="C57" s="40" t="n"/>
      <c r="D57" s="40" t="n"/>
      <c r="E57" s="40" t="n"/>
      <c r="F57" s="41"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M28B2</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3.6833</v>
      </c>
      <c r="C10" s="19">
        <f>ROUND(B10/$B$15*100,2)</f>
        <v/>
      </c>
      <c r="D10" s="11" t="inlineStr">
        <is>
          <t>Vigor alto</t>
        </is>
      </c>
      <c r="E10" s="11" t="inlineStr">
        <is>
          <t>Sobre umbral</t>
        </is>
      </c>
    </row>
    <row r="11">
      <c r="A11" s="12" t="inlineStr">
        <is>
          <t>0.4976 - 0.6139 · DN 4</t>
        </is>
      </c>
      <c r="B11" s="20" t="n">
        <v>30.4185</v>
      </c>
      <c r="C11" s="21">
        <f>ROUND(B11/$B$15*100,2)</f>
        <v/>
      </c>
      <c r="D11" s="13" t="inlineStr">
        <is>
          <t>Vigor moderado</t>
        </is>
      </c>
      <c r="E11" s="13" t="inlineStr">
        <is>
          <t>Sobre umbral</t>
        </is>
      </c>
    </row>
    <row r="12">
      <c r="A12" s="14" t="inlineStr">
        <is>
          <t>0.3813 - 0.4976 · DN 3</t>
        </is>
      </c>
      <c r="B12" s="30" t="n">
        <v>46.878</v>
      </c>
      <c r="C12" s="29">
        <f>ROUND(B12/$B$15*100,2)</f>
        <v/>
      </c>
      <c r="D12" s="15" t="inlineStr">
        <is>
          <t>Vigor bajo</t>
        </is>
      </c>
      <c r="E12" s="15" t="inlineStr">
        <is>
          <t>BAJO umbral 0.4976</t>
        </is>
      </c>
    </row>
    <row r="13">
      <c r="A13" s="12" t="inlineStr">
        <is>
          <t>0.2650 - 0.3813 · DN 2</t>
        </is>
      </c>
      <c r="B13" s="20" t="n">
        <v>7.9309</v>
      </c>
      <c r="C13" s="21">
        <f>ROUND(B13/$B$15*100,2)</f>
        <v/>
      </c>
      <c r="D13" s="13" t="inlineStr">
        <is>
          <t>Vigor muy bajo</t>
        </is>
      </c>
      <c r="E13" s="13" t="inlineStr">
        <is>
          <t>BAJO umbral 0.4976</t>
        </is>
      </c>
    </row>
    <row r="14">
      <c r="A14" s="7" t="inlineStr">
        <is>
          <t>&lt;= 0.2650 · DN 1</t>
        </is>
      </c>
      <c r="B14" s="18" t="n">
        <v>1.2867</v>
      </c>
      <c r="C14" s="19">
        <f>ROUND(B14/$B$15*100,2)</f>
        <v/>
      </c>
      <c r="D14" s="11" t="inlineStr">
        <is>
          <t>Suelo desnudo / no vegetal</t>
        </is>
      </c>
      <c r="E14" s="11" t="inlineStr">
        <is>
          <t>BAJO umbral 0.4976</t>
        </is>
      </c>
    </row>
    <row r="15" ht="30" customHeight="1">
      <c r="A15" s="42" t="inlineStr">
        <is>
          <t>TOTAL CLASIFICADO MSAVI 2024</t>
        </is>
      </c>
      <c r="B15" s="43">
        <f>SUM(B10:B14)</f>
        <v/>
      </c>
      <c r="C15" s="44">
        <f>SUM(C10:C14)</f>
        <v/>
      </c>
      <c r="D15" s="42" t="inlineStr">
        <is>
          <t>Suma de la distribución areal · 486 polígonos</t>
        </is>
      </c>
      <c r="E15" s="42" t="inlineStr">
        <is>
          <t>—</t>
        </is>
      </c>
    </row>
    <row r="16" ht="30" customHeight="1">
      <c r="A16" s="45" t="inlineStr">
        <is>
          <t>Superficie SOBRE umbral 0.4976 (ha)</t>
        </is>
      </c>
      <c r="B16" s="46">
        <f>SUM(B10:B11)</f>
        <v/>
      </c>
      <c r="C16" s="47">
        <f>ROUND(B16/B15*100,2)</f>
        <v/>
      </c>
      <c r="D16" s="45" t="inlineStr">
        <is>
          <t>Vigor alto y moderado (DN 4 y DN 5)</t>
        </is>
      </c>
      <c r="E16" s="45" t="inlineStr">
        <is>
          <t>Sobre umbral 0.4976</t>
        </is>
      </c>
    </row>
    <row r="17" ht="30" customHeight="1">
      <c r="A17" s="45" t="inlineStr">
        <is>
          <t>Superficie BAJO umbral 0.4976 (ha) — brecha</t>
        </is>
      </c>
      <c r="B17" s="46">
        <f>SUM(B12:B14)</f>
        <v/>
      </c>
      <c r="C17" s="47">
        <f>ROUND(B17/B15*100,2)</f>
        <v/>
      </c>
      <c r="D17" s="45" t="inlineStr">
        <is>
          <t>Vigor bajo, muy bajo y suelo desnudo (DN 1 a DN 3)</t>
        </is>
      </c>
      <c r="E17" s="45" t="inlineStr">
        <is>
          <t>Base para el indicador de brecha (R.M. N.° 00213-2024-MINAM)</t>
        </is>
      </c>
    </row>
    <row r="18" ht="30" customHeight="1">
      <c r="A18" s="45" t="inlineStr">
        <is>
          <t>Superficie de catálogo (V5/V6) — contraste MSAVI</t>
        </is>
      </c>
      <c r="B18" s="46" t="n">
        <v>90.2</v>
      </c>
      <c r="C18" s="48" t="inlineStr">
        <is>
          <t>—</t>
        </is>
      </c>
      <c r="D18" s="45" t="inlineStr">
        <is>
          <t>Desviación planimétrica frente al catálogo</t>
        </is>
      </c>
      <c r="E18" s="45" t="inlineStr">
        <is>
          <t>+0.00 %</t>
        </is>
      </c>
    </row>
    <row r="19">
      <c r="A19" s="16" t="inlineStr">
        <is>
          <t>MSAVI 2024 — MEDIA DEL BLOQUE</t>
        </is>
      </c>
      <c r="B19" s="17" t="n">
        <v>0.475342</v>
      </c>
      <c r="C19" s="17" t="inlineStr">
        <is>
          <t>—</t>
        </is>
      </c>
      <c r="D19" s="17" t="inlineStr">
        <is>
          <t>Vigor bajo · clase 0.3813 - 0.4976</t>
        </is>
      </c>
      <c r="E19" s="17" t="inlineStr">
        <is>
          <t>BAJO umbral 0.4976</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486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(0.4753) se conserva del catálogo maestro y es dato oficial; la fila resaltada indica la clase en la que cae dicha media. Los totales y porcentajes se calculan con fórmulas sobre las filas del cuadro.</t>
        </is>
      </c>
      <c r="B21" s="40" t="n"/>
      <c r="C21" s="40" t="n"/>
      <c r="D21" s="40" t="n"/>
      <c r="E21" s="41"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33.4936</v>
      </c>
      <c r="C25" s="19" t="n">
        <v>37.12</v>
      </c>
      <c r="D25" s="11" t="inlineStr">
        <is>
          <t>Dosel continuo, matorral denso o mosaico agroforestal</t>
        </is>
      </c>
      <c r="E25" s="11" t="inlineStr"/>
    </row>
    <row r="26">
      <c r="A26" s="12" t="inlineStr">
        <is>
          <t>Vegetación mediana</t>
        </is>
      </c>
      <c r="B26" s="20" t="n">
        <v>46.6618</v>
      </c>
      <c r="C26" s="21" t="n">
        <v>51.72</v>
      </c>
      <c r="D26" s="13" t="inlineStr">
        <is>
          <t>Pastizal cultivado, matorral ralo, parcelas agrícolas</t>
        </is>
      </c>
      <c r="E26" s="13" t="inlineStr"/>
    </row>
    <row r="27">
      <c r="A27" s="7" t="inlineStr">
        <is>
          <t>Vegetación ligera</t>
        </is>
      </c>
      <c r="B27" s="18" t="n">
        <v>7.7934</v>
      </c>
      <c r="C27" s="19" t="n">
        <v>8.640000000000001</v>
      </c>
      <c r="D27" s="11" t="inlineStr">
        <is>
          <t>Cobertura discontinua, suelo parcialmente expuesto</t>
        </is>
      </c>
      <c r="E27" s="11" t="inlineStr"/>
    </row>
    <row r="28">
      <c r="A28" s="12" t="inlineStr">
        <is>
          <t>Tierra desnuda</t>
        </is>
      </c>
      <c r="B28" s="20" t="n">
        <v>2.2791</v>
      </c>
      <c r="C28" s="21" t="n">
        <v>2.53</v>
      </c>
      <c r="D28" s="13" t="inlineStr">
        <is>
          <t>Suelo desnudo, afloramientos, plataformas y taludes</t>
        </is>
      </c>
      <c r="E28" s="13" t="inlineStr"/>
    </row>
    <row r="29">
      <c r="A29" s="16" t="inlineStr">
        <is>
          <t>TOTAL CLASIFICADO</t>
        </is>
      </c>
      <c r="B29" s="22">
        <f>SUM(B25:B28)</f>
        <v/>
      </c>
      <c r="C29" s="23">
        <f>SUM(C25:C28)</f>
        <v/>
      </c>
      <c r="D29" s="17" t="inlineStr"/>
      <c r="E29" s="17" t="inlineStr"/>
    </row>
    <row r="30">
      <c r="A30" s="24" t="inlineStr">
        <is>
          <t>Superficie de catálogo (V5/V6)</t>
        </is>
      </c>
      <c r="B30" s="25" t="n">
        <v>90.2</v>
      </c>
      <c r="C30" s="25" t="inlineStr">
        <is>
          <t>—</t>
        </is>
      </c>
      <c r="D30" s="25" t="inlineStr">
        <is>
          <t>Desviación planimétrica frente al catálogo</t>
        </is>
      </c>
      <c r="E30" s="25" t="inlineStr">
        <is>
          <t>+0.03 %</t>
        </is>
      </c>
    </row>
    <row r="32" ht="72"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t>
        </is>
      </c>
      <c r="B32" s="40" t="n"/>
      <c r="C32" s="40" t="n"/>
      <c r="D32" s="40" t="n"/>
      <c r="E32" s="41"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M28B2</t>
        </is>
      </c>
    </row>
    <row r="6" ht="24" customHeight="1">
      <c r="A6" s="4" t="inlineStr">
        <is>
          <t>Levantamiento del 2026-05-25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645575</v>
      </c>
      <c r="D10" s="26" t="n">
        <v>9426131</v>
      </c>
      <c r="E10" s="11" t="n">
        <v>9337.6</v>
      </c>
      <c r="F10" s="11" t="inlineStr"/>
      <c r="G10" s="11" t="inlineStr">
        <is>
          <t>Coordenada consignada en F-DT-01</t>
        </is>
      </c>
    </row>
    <row r="11">
      <c r="A11" s="16" t="inlineStr">
        <is>
          <t>TOTAL: 1 puntos</t>
        </is>
      </c>
      <c r="B11" s="17" t="inlineStr"/>
      <c r="C11" s="17" t="inlineStr"/>
      <c r="D11" s="17" t="inlineStr"/>
      <c r="E11" s="17" t="inlineStr"/>
      <c r="F11" s="17" t="inlineStr"/>
      <c r="G11" s="17" t="inlineStr"/>
    </row>
    <row r="13">
      <c r="A13" s="6" t="inlineStr">
        <is>
          <t>Centroide del bloque — UTM ESTE (m)</t>
        </is>
      </c>
      <c r="B13" s="7" t="n">
        <v>636249</v>
      </c>
      <c r="C13" s="6" t="inlineStr">
        <is>
          <t>Centroide del bloque — UTM NORTE (m)</t>
        </is>
      </c>
      <c r="D13" s="7" t="n">
        <v>9425665</v>
      </c>
      <c r="E13" s="8" t="n"/>
      <c r="F13" s="8" t="n"/>
      <c r="G13" s="8" t="n"/>
      <c r="H13" s="8" t="n"/>
    </row>
    <row r="14">
      <c r="A14" s="6" t="inlineStr">
        <is>
          <t>N.° de estaciones fotográficas declaradas</t>
        </is>
      </c>
      <c r="B14" s="7" t="n">
        <v>0</v>
      </c>
      <c r="C14" s="6" t="inlineStr">
        <is>
          <t>Estaciones dentro del polígono</t>
        </is>
      </c>
      <c r="D14" s="7" t="n">
        <v>0</v>
      </c>
      <c r="E14" s="8" t="n"/>
      <c r="F14" s="8" t="n"/>
      <c r="G14" s="8" t="n"/>
      <c r="H14" s="8" t="n"/>
    </row>
    <row r="16" ht="132" customHeight="1">
      <c r="A16"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Acceso por vía vecinal, ruta desde el distrito de Yamango a los CC.PP. Víctor Raúl y Flor de Agua; la camioneta se detuvo en el centro poblado, al pie del bloque sobre la vía afirmada. Se ingresó al bloque por la zona sureste, colindante a la vía. La vía afirmada cruza el bloque e intersecta los CC.PP. En el interior del bloque se evidenciaron actividades agrícolas (siembra de maíz y plátano) y presencia de tocones por extracción de leña. La zona próxima a la vía y al CC.PP. es la parte más degradada del bloque. También se evidenció presencia de ganado caprino.</t>
        </is>
      </c>
      <c r="B16" s="40" t="n"/>
      <c r="C16" s="40" t="n"/>
      <c r="D16" s="40" t="n"/>
      <c r="E16" s="40" t="n"/>
      <c r="F16" s="40" t="n"/>
      <c r="G16" s="41" t="n"/>
    </row>
  </sheetData>
  <mergeCells count="8">
    <mergeCell ref="A1:G1"/>
    <mergeCell ref="A8:G8"/>
    <mergeCell ref="A3:G3"/>
    <mergeCell ref="A6:G6"/>
    <mergeCell ref="A4:G4"/>
    <mergeCell ref="A2:G2"/>
    <mergeCell ref="A16:G16"/>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3"/>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C1086-Q9575 — BLOQUE M28B2</t>
        </is>
      </c>
    </row>
    <row r="6" ht="24" customHeight="1">
      <c r="A6" s="4" t="inlineStr">
        <is>
          <t>Distrito de Yamango · Provincia de Morropon · Comparación de los bloques preliminares de intervención de la misma microcuenca</t>
        </is>
      </c>
    </row>
    <row r="8" ht="18" customHeight="1">
      <c r="A8" s="5" t="inlineStr">
        <is>
          <t>BLOQUES DE LA MICROCUENCA C1086-Q9575</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M28B4</t>
        </is>
      </c>
      <c r="B10" s="27" t="n">
        <v>283.43</v>
      </c>
      <c r="C10" s="19" t="n">
        <v>58.52</v>
      </c>
      <c r="D10" s="11" t="inlineStr">
        <is>
          <t>297 – 634</t>
        </is>
      </c>
      <c r="E10" s="11" t="n">
        <v>337</v>
      </c>
      <c r="F10" s="11" t="n">
        <v>13.75</v>
      </c>
      <c r="G10" s="18" t="n">
        <v>0.4275</v>
      </c>
      <c r="H10" s="19" t="n">
        <v>18.09</v>
      </c>
      <c r="I10" s="19" t="n">
        <v>74.81</v>
      </c>
    </row>
    <row r="11">
      <c r="A11" s="14" t="inlineStr">
        <is>
          <t>► M28B2</t>
        </is>
      </c>
      <c r="B11" s="28" t="n">
        <v>90.2</v>
      </c>
      <c r="C11" s="29" t="n">
        <v>18.62</v>
      </c>
      <c r="D11" s="15" t="inlineStr">
        <is>
          <t>754 – 1111</t>
        </is>
      </c>
      <c r="E11" s="15" t="n">
        <v>357</v>
      </c>
      <c r="F11" s="15" t="n">
        <v>20.65</v>
      </c>
      <c r="G11" s="30" t="n">
        <v>0.4753</v>
      </c>
      <c r="H11" s="29" t="n">
        <v>37.12</v>
      </c>
      <c r="I11" s="29" t="n">
        <v>62.19</v>
      </c>
    </row>
    <row r="12">
      <c r="A12" s="7" t="inlineStr">
        <is>
          <t>M28B3</t>
        </is>
      </c>
      <c r="B12" s="27" t="n">
        <v>58.29</v>
      </c>
      <c r="C12" s="19" t="n">
        <v>12.04</v>
      </c>
      <c r="D12" s="11" t="inlineStr">
        <is>
          <t>73 – 777</t>
        </is>
      </c>
      <c r="E12" s="11" t="n">
        <v>704</v>
      </c>
      <c r="F12" s="11" t="n">
        <v>22.13</v>
      </c>
      <c r="G12" s="18" t="n">
        <v>0.5075</v>
      </c>
      <c r="H12" s="19" t="n">
        <v>45.27</v>
      </c>
      <c r="I12" s="19" t="n">
        <v>49.67</v>
      </c>
    </row>
    <row r="13">
      <c r="A13" s="12" t="inlineStr">
        <is>
          <t>46</t>
        </is>
      </c>
      <c r="B13" s="31" t="n">
        <v>18.87</v>
      </c>
      <c r="C13" s="21" t="n">
        <v>3.9</v>
      </c>
      <c r="D13" s="13" t="inlineStr">
        <is>
          <t>1371 – 1655</t>
        </is>
      </c>
      <c r="E13" s="13" t="n">
        <v>284</v>
      </c>
      <c r="F13" s="13" t="n">
        <v>31.77</v>
      </c>
      <c r="G13" s="20" t="n">
        <v>0.7244</v>
      </c>
      <c r="H13" s="21" t="inlineStr">
        <is>
          <t>Por determinar</t>
        </is>
      </c>
      <c r="I13" s="13" t="inlineStr">
        <is>
          <t>s/d</t>
        </is>
      </c>
    </row>
    <row r="14">
      <c r="A14" s="7" t="inlineStr">
        <is>
          <t>49</t>
        </is>
      </c>
      <c r="B14" s="27" t="n">
        <v>15.84</v>
      </c>
      <c r="C14" s="19" t="n">
        <v>3.27</v>
      </c>
      <c r="D14" s="11" t="inlineStr">
        <is>
          <t>3065 – 3246</t>
        </is>
      </c>
      <c r="E14" s="11" t="n">
        <v>181</v>
      </c>
      <c r="F14" s="11" t="n">
        <v>25.96</v>
      </c>
      <c r="G14" s="18" t="n">
        <v>0.6860000000000001</v>
      </c>
      <c r="H14" s="19" t="n">
        <v>98.8</v>
      </c>
      <c r="I14" s="19" t="n">
        <v>3.64</v>
      </c>
    </row>
    <row r="15">
      <c r="A15" s="12" t="inlineStr">
        <is>
          <t>52</t>
        </is>
      </c>
      <c r="B15" s="31" t="n">
        <v>11.06</v>
      </c>
      <c r="C15" s="21" t="n">
        <v>2.28</v>
      </c>
      <c r="D15" s="13" t="inlineStr">
        <is>
          <t>3011 – 3164</t>
        </is>
      </c>
      <c r="E15" s="13" t="n">
        <v>153</v>
      </c>
      <c r="F15" s="13" t="n">
        <v>26.16</v>
      </c>
      <c r="G15" s="20" t="n">
        <v>0.6685</v>
      </c>
      <c r="H15" s="21" t="n">
        <v>97.31999999999999</v>
      </c>
      <c r="I15" s="21" t="n">
        <v>3.8</v>
      </c>
    </row>
    <row r="16">
      <c r="A16" s="7" t="inlineStr">
        <is>
          <t>48</t>
        </is>
      </c>
      <c r="B16" s="27" t="n">
        <v>5.75</v>
      </c>
      <c r="C16" s="19" t="n">
        <v>1.19</v>
      </c>
      <c r="D16" s="11" t="inlineStr">
        <is>
          <t>1458 – 1595</t>
        </is>
      </c>
      <c r="E16" s="11" t="n">
        <v>137</v>
      </c>
      <c r="F16" s="11" t="n">
        <v>33.6</v>
      </c>
      <c r="G16" s="18" t="n">
        <v>0.6978</v>
      </c>
      <c r="H16" s="19" t="inlineStr">
        <is>
          <t>Por determinar</t>
        </is>
      </c>
      <c r="I16" s="11" t="inlineStr">
        <is>
          <t>s/d</t>
        </is>
      </c>
    </row>
    <row r="17">
      <c r="A17" s="12" t="inlineStr">
        <is>
          <t>55</t>
        </is>
      </c>
      <c r="B17" s="31" t="n">
        <v>0.86</v>
      </c>
      <c r="C17" s="21" t="n">
        <v>0.18</v>
      </c>
      <c r="D17" s="13" t="inlineStr">
        <is>
          <t>3066 – 3131</t>
        </is>
      </c>
      <c r="E17" s="13" t="n">
        <v>65</v>
      </c>
      <c r="F17" s="13" t="n">
        <v>30.04</v>
      </c>
      <c r="G17" s="20" t="n">
        <v>0.63</v>
      </c>
      <c r="H17" s="21" t="n">
        <v>100</v>
      </c>
      <c r="I17" s="21" t="n">
        <v>1.76</v>
      </c>
    </row>
    <row r="18">
      <c r="A18" s="16" t="inlineStr">
        <is>
          <t>TOTAL / PROMEDIO</t>
        </is>
      </c>
      <c r="B18" s="32">
        <f>SUM(B10:B17)</f>
        <v/>
      </c>
      <c r="C18" s="23">
        <f>SUM(C10:C17)</f>
        <v/>
      </c>
      <c r="D18" s="17" t="inlineStr">
        <is>
          <t>73 – 3246</t>
        </is>
      </c>
      <c r="E18" s="17" t="inlineStr"/>
      <c r="F18" s="17">
        <f>ROUND(AVERAGE(F10:F17),2)</f>
        <v/>
      </c>
      <c r="G18" s="22">
        <f>ROUND(AVERAGE(G10:G17),4)</f>
        <v/>
      </c>
      <c r="H18" s="23">
        <f>ROUND(AVERAGE(H10:H17),2)</f>
        <v/>
      </c>
      <c r="I18" s="23">
        <f>ROUND(AVERAGE(I10:I17),2)</f>
        <v/>
      </c>
    </row>
    <row r="19" ht="48" customHeight="1">
      <c r="A19" s="9" t="inlineStr">
        <is>
          <t>ALCANCE DE LOS PROMEDIOS. La fila TOTAL / PROMEDIO omite las celdas «Por determinar»: el promedio de VEGETACIÓN ALTA (NDVI 2025) se calcula sobre 6 de los 8 bloques; los 2 bloques restantes carecen de estadística zonal de NDVI. Los totales de ÁREA y % de microcuenca sí comprenden la totalidad de los 8 bloques. No se estima ningún valor ausente.</t>
        </is>
      </c>
      <c r="B19" s="40" t="n"/>
      <c r="C19" s="40" t="n"/>
      <c r="D19" s="40" t="n"/>
      <c r="E19" s="40" t="n"/>
      <c r="F19" s="40" t="n"/>
      <c r="G19" s="40" t="n"/>
      <c r="H19" s="40" t="n"/>
      <c r="I19" s="41" t="n"/>
    </row>
    <row r="21" ht="84" customHeight="1">
      <c r="A21" s="9" t="inlineStr">
        <is>
          <t>LECTURA INTRAMICROCUENCA. El bloque M28B2 ocupa el puesto 2 de 8 por superficie dentro de la microcuenca C1086-Q9575 (18.62 % de las 484.30 ha preliminares de la microcuenca). Su pendiente promedio (20.65 %, clase «15-25% (Fuert. inclinado)») es la 2.ª más baja de 8 y se sitúa por debajo del promedio de la microcuenca (25.51 %). Su MSAVI 2024 (0.4753) es el 7.º de 8 y queda por debajo del promedio local (0.6021). Amplitud altitudinal del bloque: 357 m (754–1111 msnm). El cuadro conserva todos los bloques catalogados en la microcuenca, incluidos los descartados en el tamizaje, para referencia del conjunto. Los bloques sin ficha DT figuran con sus parámetros de gabinete. BRECHA ESPECTRAL. El 62.19 % de la superficie del bloque (56.096 ha de 90.197 ha) se sitúa bajo el umbral MSAVI 0.4976, por encima del promedio local de la microcuenca (32.64 %) calculado sobre los bloques con dato MSAVI disponible.</t>
        </is>
      </c>
      <c r="B21" s="40" t="n"/>
      <c r="C21" s="40" t="n"/>
      <c r="D21" s="40" t="n"/>
      <c r="E21" s="40" t="n"/>
      <c r="F21" s="40" t="n"/>
      <c r="G21" s="40" t="n"/>
      <c r="H21" s="40" t="n"/>
      <c r="I21" s="41" t="n"/>
    </row>
    <row r="23" ht="60" customHeight="1">
      <c r="A23"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3" s="40" t="n"/>
      <c r="C23" s="40" t="n"/>
      <c r="D23" s="40" t="n"/>
      <c r="E23" s="40" t="n"/>
      <c r="F23" s="40" t="n"/>
      <c r="G23" s="40" t="n"/>
      <c r="H23" s="40" t="n"/>
      <c r="I23" s="41" t="n"/>
    </row>
  </sheetData>
  <mergeCells count="10">
    <mergeCell ref="A19:I19"/>
    <mergeCell ref="A2:I2"/>
    <mergeCell ref="A5:I5"/>
    <mergeCell ref="A1:I1"/>
    <mergeCell ref="A23:I23"/>
    <mergeCell ref="A8:I8"/>
    <mergeCell ref="A3:I3"/>
    <mergeCell ref="A6:I6"/>
    <mergeCell ref="A4:I4"/>
    <mergeCell ref="A21:I2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5"/>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CONTROL DE CONSISTENCIA — BLOQUE M28B2</t>
        </is>
      </c>
    </row>
    <row r="6">
      <c r="A6" s="51" t="inlineStr">
        <is>
          <t>Cruce de la ficha de campo F-DT vigente con la ficha de resumen de gabinete y el catálogo maestro. Integración 2026-09-11 20:22:37.</t>
        </is>
      </c>
    </row>
    <row r="7">
      <c r="A7" s="53" t="inlineStr">
        <is>
          <t>DISCREPANCIAS Y VERIFICACIONES</t>
        </is>
      </c>
    </row>
    <row r="8">
      <c r="A8" s="54" t="inlineStr">
        <is>
          <t>Cod.</t>
        </is>
      </c>
      <c r="B8" s="54" t="inlineStr">
        <is>
          <t>Campo afectado</t>
        </is>
      </c>
      <c r="C8" s="54" t="inlineStr">
        <is>
          <t>Discrepancia observada</t>
        </is>
      </c>
      <c r="D8" s="54" t="inlineStr">
        <is>
          <t>Calificación</t>
        </is>
      </c>
      <c r="E8" s="54" t="inlineStr">
        <is>
          <t>Tratamiento adoptado</t>
        </is>
      </c>
    </row>
    <row r="9">
      <c r="A9" s="55" t="inlineStr">
        <is>
          <t>G-01</t>
        </is>
      </c>
      <c r="B9" s="55" t="inlineStr">
        <is>
          <t>Código de microcuenca</t>
        </is>
      </c>
      <c r="C9" s="55" t="inlineStr">
        <is>
          <t>Ficha DT y catálogo maestro coinciden en «C1086-Q9575».</t>
        </is>
      </c>
      <c r="D9" s="55" t="inlineStr">
        <is>
          <t>CONFORME</t>
        </is>
      </c>
      <c r="E9" s="55" t="inlineStr">
        <is>
          <t>Sin acción.</t>
        </is>
      </c>
    </row>
    <row r="10">
      <c r="A10" s="56" t="inlineStr">
        <is>
          <t>G-02</t>
        </is>
      </c>
      <c r="B10" s="56" t="inlineStr">
        <is>
          <t>UTM del punto de muestreo</t>
        </is>
      </c>
      <c r="C10" s="56" t="inlineStr">
        <is>
          <t>El punto de muestreo declarado dista 786.8 m del centroide, dentro del radio de control.</t>
        </is>
      </c>
      <c r="D10" s="56" t="inlineStr">
        <is>
          <t>CONFORME</t>
        </is>
      </c>
      <c r="E10" s="56" t="inlineStr">
        <is>
          <t>Sin acción.</t>
        </is>
      </c>
    </row>
    <row r="11">
      <c r="A11" s="55" t="inlineStr">
        <is>
          <t>G-03</t>
        </is>
      </c>
      <c r="B11" s="55" t="inlineStr">
        <is>
          <t>Sistema de referencia UTM 17S</t>
        </is>
      </c>
      <c r="C11" s="55" t="inlineStr">
        <is>
          <t>Verificación de rango para EPSG:32717: Conforme.</t>
        </is>
      </c>
      <c r="D11" s="55" t="inlineStr">
        <is>
          <t>CONFORME</t>
        </is>
      </c>
      <c r="E11" s="55" t="inlineStr">
        <is>
          <t>Sin acción.</t>
        </is>
      </c>
    </row>
    <row r="12">
      <c r="A12" s="56" t="inlineStr">
        <is>
          <t>G-04</t>
        </is>
      </c>
      <c r="B12" s="56" t="inlineStr">
        <is>
          <t>Altitud del punto de muestreo</t>
        </is>
      </c>
      <c r="C12" s="56" t="inlineStr">
        <is>
          <t>La altitud GPS (956 msnm) cae dentro del rango altitudinal del bloque (754 - 1111 msnm).</t>
        </is>
      </c>
      <c r="D12" s="56" t="inlineStr">
        <is>
          <t>CONFORME</t>
        </is>
      </c>
      <c r="E12" s="56" t="inlineStr">
        <is>
          <t>Sin acción.</t>
        </is>
      </c>
    </row>
    <row r="13">
      <c r="A13" s="55" t="inlineStr">
        <is>
          <t>G-05</t>
        </is>
      </c>
      <c r="B13" s="55" t="inlineStr">
        <is>
          <t>Superficie NDVI vs. catálogo</t>
        </is>
      </c>
      <c r="C13" s="55" t="inlineStr">
        <is>
          <t>La superficie clasificada por el NDVI mediana 2025 (90.228 ha) se desvía 0.03 % de la superficie de catálogo (90.20 ha).</t>
        </is>
      </c>
      <c r="D13" s="55" t="inlineStr">
        <is>
          <t>CONFORME</t>
        </is>
      </c>
      <c r="E13" s="55" t="inlineStr">
        <is>
          <t>Sin acción: la segmentación valida la geometría del bloque.</t>
        </is>
      </c>
    </row>
    <row r="14">
      <c r="A14" s="56" t="inlineStr">
        <is>
          <t>G-06</t>
        </is>
      </c>
      <c r="B14" s="56" t="inlineStr">
        <is>
          <t>Superficie MSAVI vs. catálogo</t>
        </is>
      </c>
      <c r="C14" s="56" t="inlineStr">
        <is>
          <t>La superficie clasificada por el MSAVI 2024 (90.197 ha) se desvía -0.00 % de la superficie de catálogo (90.20 ha).</t>
        </is>
      </c>
      <c r="D14" s="56" t="inlineStr">
        <is>
          <t>CONFORME</t>
        </is>
      </c>
      <c r="E14" s="56" t="inlineStr">
        <is>
          <t>Sin acción: la segmentación valida la geometría del bloque.</t>
        </is>
      </c>
    </row>
    <row r="15">
      <c r="A15" s="55" t="inlineStr">
        <is>
          <t>G-07</t>
        </is>
      </c>
      <c r="B15" s="55" t="inlineStr">
        <is>
          <t>Brecha espectral MSAVI</t>
        </is>
      </c>
      <c r="C15" s="55" t="inlineStr">
        <is>
          <t>El 62.19 % del bloque queda bajo el umbral 0.4976; superficie de brecha 56.10 ha.</t>
        </is>
      </c>
      <c r="D15" s="55" t="inlineStr">
        <is>
          <t>CONFORME</t>
        </is>
      </c>
      <c r="E15" s="55" t="inlineStr">
        <is>
          <t>Sin acción: alimenta el indicador de brecha del proyecto.</t>
        </is>
      </c>
    </row>
    <row r="16">
      <c r="A16" s="56" t="inlineStr">
        <is>
          <t>G-08</t>
        </is>
      </c>
      <c r="B16" s="56" t="inlineStr">
        <is>
          <t>Distribución areal MSAVI 2024</t>
        </is>
      </c>
      <c r="C16" s="56" t="inlineStr">
        <is>
          <t>La hoja de cobertura declara 5 clases DN con superficie, 90.20 ha clasificadas en total.</t>
        </is>
      </c>
      <c r="D16" s="56" t="inlineStr">
        <is>
          <t>CONFORME</t>
        </is>
      </c>
      <c r="E16" s="56" t="inlineStr">
        <is>
          <t>Sin acción: procede de la estadística zonal del raster MSAVI 2024 clasificado.</t>
        </is>
      </c>
    </row>
    <row r="17">
      <c r="A17" s="55" t="inlineStr">
        <is>
          <t>G-09</t>
        </is>
      </c>
      <c r="B17" s="55" t="inlineStr">
        <is>
          <t>Media MSAVI vs. clase DN dominante</t>
        </is>
      </c>
      <c r="C17" s="55" t="inlineStr">
        <is>
          <t>La media del bloque (0.4753) cae en la clase «0.3813 - 0.4976 (Vigor bajo)» y la clase DN dominante por superficie es «DN 3 · 0.3813 - 0.4976 (Vigor bajo)».</t>
        </is>
      </c>
      <c r="D17" s="55" t="inlineStr">
        <is>
          <t>CONFORME</t>
        </is>
      </c>
      <c r="E17" s="55" t="inlineStr">
        <is>
          <t>Sin acción: media y clase dominante son coherentes.</t>
        </is>
      </c>
    </row>
    <row r="18">
      <c r="A18" s="56" t="inlineStr">
        <is>
          <t>G-10</t>
        </is>
      </c>
      <c r="B18" s="56" t="inlineStr">
        <is>
          <t>Peligro integrado (MCA-AHP)</t>
        </is>
      </c>
      <c r="C18" s="56" t="inlineStr">
        <is>
          <t>El nivel de peligro integrado no está disponible en los insumos de este entregable.</t>
        </is>
      </c>
      <c r="D18" s="56" t="inlineStr">
        <is>
          <t>SUSTANTIVA</t>
        </is>
      </c>
      <c r="E18" s="56" t="inlineStr">
        <is>
          <t>Debe tomarse del modelamiento de mesolocalización (MCA-AHP de PMM, EPH y PGI) antes de cerrar el perfil.</t>
        </is>
      </c>
    </row>
    <row r="19">
      <c r="A19" s="55" t="inlineStr">
        <is>
          <t>I-01</t>
        </is>
      </c>
      <c r="B19" s="55" t="inlineStr">
        <is>
          <t>Uso actual dominante del suelo</t>
        </is>
      </c>
      <c r="C19" s="55" t="inlineStr">
        <is>
          <t>El libro de resumen V6 consignaba «Agricultura en secano»; la ficha de campo vigente declara «Agricultura secano».</t>
        </is>
      </c>
      <c r="D19" s="55" t="inlineStr">
        <is>
          <t>CORREGIDO</t>
        </is>
      </c>
      <c r="E19" s="55" t="inlineStr">
        <is>
          <t>Se adopta el valor de campo por ser la fuente que manda sobre el dato y la más reciente. El valor anterior queda declarado para trazabilidad.</t>
        </is>
      </c>
    </row>
    <row r="20">
      <c r="A20" s="56" t="inlineStr">
        <is>
          <t>I-02</t>
        </is>
      </c>
      <c r="B20" s="56" t="inlineStr">
        <is>
          <t>Responsable de la evaluación</t>
        </is>
      </c>
      <c r="C20" s="56" t="inlineStr">
        <is>
          <t>El libro de resumen V6 consignaba «Juan Carlos Domínguez Varas»; la ficha de campo vigente declara «Ing. Juan Dominguez».</t>
        </is>
      </c>
      <c r="D20" s="56" t="inlineStr">
        <is>
          <t>CORREGIDO</t>
        </is>
      </c>
      <c r="E20" s="56" t="inlineStr">
        <is>
          <t>Se adopta el valor de campo por ser la fuente que manda sobre el dato y la más reciente. El valor anterior queda declarado para trazabilidad.</t>
        </is>
      </c>
    </row>
    <row r="21">
      <c r="A21" s="55" t="inlineStr">
        <is>
          <t>F-01</t>
        </is>
      </c>
      <c r="B21" s="55" t="inlineStr">
        <is>
          <t>Fichas F-DT levantadas</t>
        </is>
      </c>
      <c r="C21" s="55" t="inlineStr">
        <is>
          <t>La plantilla de campo trae las cinco fichas F-DT-01 a F-DT-05 (completitud 96.4 % de los campos esperados).</t>
        </is>
      </c>
      <c r="D21" s="55" t="inlineStr">
        <is>
          <t>CONFORME</t>
        </is>
      </c>
      <c r="E21" s="55" t="inlineStr">
        <is>
          <t>Sin acción.</t>
        </is>
      </c>
    </row>
    <row r="22">
      <c r="A22" s="56" t="inlineStr">
        <is>
          <t>F-02</t>
        </is>
      </c>
      <c r="B22" s="56" t="inlineStr">
        <is>
          <t>Cobertura de la integración</t>
        </is>
      </c>
      <c r="C22" s="56" t="inlineStr">
        <is>
          <t>Se declararon 96 de 114 hechos integrados (84.2 %); 18 quedan sin dato en ninguna fuente.</t>
        </is>
      </c>
      <c r="D22" s="56" t="inlineStr">
        <is>
          <t>CONFORME</t>
        </is>
      </c>
      <c r="E22" s="56" t="inlineStr">
        <is>
          <t>Sin acción.</t>
        </is>
      </c>
    </row>
    <row r="23">
      <c r="A23" s="55" t="inlineStr">
        <is>
          <t>H-01</t>
        </is>
      </c>
      <c r="B23" s="55" t="inlineStr">
        <is>
          <t>Rango de pendiente dominante</t>
        </is>
      </c>
      <c r="C23" s="55" t="inlineStr">
        <is>
          <t>La ficha DT declara «25-50% (Mod. escarpado)»; la estadística zonal sobre el MDE arroja una pendiente promedio de 20.65 %, que corresponde a la clase «15-25% (Fuert. inclinado)»</t>
        </is>
      </c>
      <c r="D23" s="55" t="inlineStr">
        <is>
          <t>NO SUSTANTIVA</t>
        </is>
      </c>
      <c r="E23" s="55"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24">
      <c r="A24" s="56" t="inlineStr">
        <is>
          <t>H-02</t>
        </is>
      </c>
      <c r="B24" s="56" t="inlineStr">
        <is>
          <t>Rango altitudinal / piso ecológico</t>
        </is>
      </c>
      <c r="C24" s="56" t="inlineStr">
        <is>
          <t>La ficha DT declara «1000-1500 m (Quechua baja)»; el MDE sitúa el bloque entre 754 y 1111 msnm, cuyo punto medio corresponde a «&lt;1000 m (Yunga)»</t>
        </is>
      </c>
      <c r="D24" s="56" t="inlineStr">
        <is>
          <t>NO SUSTANTIVA</t>
        </is>
      </c>
      <c r="E24" s="56" t="inlineStr">
        <is>
          <t>Se declara la divergencia. El bloque abarca más de un piso altitudinal cuando la amplitud supera el ancho de la clase; el registro de campo corresponde al sector recorrido. (Verificación heredada de la ficha de resumen V6.)</t>
        </is>
      </c>
    </row>
    <row r="25">
      <c r="A25" s="55" t="inlineStr">
        <is>
          <t>H-03</t>
        </is>
      </c>
      <c r="B25" s="55" t="inlineStr">
        <is>
          <t>Elenco florístico</t>
        </is>
      </c>
      <c r="C25" s="55" t="inlineStr">
        <is>
          <t>La ficha registra 4 taxones, por debajo del mínimo de 15 que exige el formato V5</t>
        </is>
      </c>
      <c r="D25" s="55" t="inlineStr">
        <is>
          <t>SUSTANTIVA</t>
        </is>
      </c>
      <c r="E25" s="55" t="inlineStr">
        <is>
          <t>Registro florístico preliminar, sin colecta ni determinación botánica formal. Debe cerrarse con colecta botánica en la siguiente campaña. (Verificación heredada de la ficha de resumen V6.)</t>
        </is>
      </c>
    </row>
    <row r="26">
      <c r="A26" s="56" t="inlineStr">
        <is>
          <t>H-04</t>
        </is>
      </c>
      <c r="B26" s="56" t="inlineStr">
        <is>
          <t>Representatividad del levantamiento</t>
        </is>
      </c>
      <c r="C26" s="56" t="inlineStr">
        <is>
          <t>Ninguna de las estaciones fotográficas georreferenciadas se localiza dentro del polígono del bloque</t>
        </is>
      </c>
      <c r="D26" s="56" t="inlineStr">
        <is>
          <t>SUSTANTIVA</t>
        </is>
      </c>
      <c r="E26" s="56" t="inlineStr">
        <is>
          <t>La verificación documenta el perímetro y la vista panorámica del bloque, no su interior. Los parámetros que exigen recorrido interno se consignan «Por determinar». (Verificación heredada de la ficha de resumen V6.)</t>
        </is>
      </c>
    </row>
    <row r="27">
      <c r="A27" s="55" t="inlineStr">
        <is>
          <t>H-05</t>
        </is>
      </c>
      <c r="B27" s="55" t="inlineStr">
        <is>
          <t>Centro poblado asociado</t>
        </is>
      </c>
      <c r="C27" s="55" t="inlineStr">
        <is>
          <t>La ficha DT declara «Flor de Agua»; el cruce INEI-Bloques V5 identifica 2 centro(s) poblado(s) en el bloque: FLOR DE AGUA, VICTOR RAUL (EL CHECO)</t>
        </is>
      </c>
      <c r="D27" s="55" t="inlineStr">
        <is>
          <t>CONFORME</t>
        </is>
      </c>
      <c r="E27" s="55" t="inlineStr">
        <is>
          <t>Se conserva el registro de campo como referencia y se adopta el listado INEI para el diagnóstico social y el cálculo de población beneficiaria. (Verificación heredada de la ficha de resumen V6.)</t>
        </is>
      </c>
    </row>
    <row r="28">
      <c r="A28" s="56" t="inlineStr">
        <is>
          <t>H-06</t>
        </is>
      </c>
      <c r="B28" s="56" t="inlineStr">
        <is>
          <t>F-DT-01</t>
        </is>
      </c>
      <c r="C28" s="56" t="inlineStr">
        <is>
          <t>Las coordenadas declaradas (645 575 E / 9 426 131 N) corresponden al valor por defecto de ESTE de la plantilla y distan ~9.3 km del centroide del bloque en el catálogo (636 249 E / 9 425 660 N)</t>
        </is>
      </c>
      <c r="D28" s="56" t="inlineStr">
        <is>
          <t>SUSTANTIVA</t>
        </is>
      </c>
      <c r="E28" s="56" t="inlineStr">
        <is>
          <t>Se conserva la declaración de la ficha y se anota el centroide del catálogo; requiere ratificación del punto de muestreo (Verificación heredada de la ficha de resumen V6.)</t>
        </is>
      </c>
    </row>
    <row r="29">
      <c r="A29" s="55" t="inlineStr">
        <is>
          <t>H-07</t>
        </is>
      </c>
      <c r="B29" s="55" t="inlineStr">
        <is>
          <t>F-DT-03</t>
        </is>
      </c>
      <c r="C29" s="55" t="inlineStr">
        <is>
          <t>Altura máxima declarada 8 m frente a Ceiba pentandra registrada con 12 m en la tabla florística</t>
        </is>
      </c>
      <c r="D29" s="55" t="inlineStr">
        <is>
          <t>SUSTANTIVA</t>
        </is>
      </c>
      <c r="E29" s="55" t="inlineStr">
        <is>
          <t>Se conservan ambos registros sin promediar; corresponde re-medición (Verificación heredada de la ficha de resumen V6.)</t>
        </is>
      </c>
    </row>
    <row r="30">
      <c r="A30" s="56" t="inlineStr">
        <is>
          <t>H-08</t>
        </is>
      </c>
      <c r="B30" s="56" t="inlineStr">
        <is>
          <t>F-DT-04</t>
        </is>
      </c>
      <c r="C30" s="56" t="inlineStr">
        <is>
          <t>La causa 7 (cambio de uso a agricultura) tiene intensidad, extensión, antigüedad y evidencia consignadas pero la casilla de presencia quedó sin marcar</t>
        </is>
      </c>
      <c r="D30" s="56" t="inlineStr">
        <is>
          <t>NO SUSTANTIVA</t>
        </is>
      </c>
      <c r="E30" s="56" t="inlineStr">
        <is>
          <t>Se interpreta como presente por la evidencia consignada, declarando la omisión formal (Verificación heredada de la ficha de resumen V6.)</t>
        </is>
      </c>
    </row>
    <row r="31">
      <c r="A31" s="55" t="inlineStr">
        <is>
          <t>H-09</t>
        </is>
      </c>
      <c r="B31" s="55" t="inlineStr">
        <is>
          <t>F-DT-05</t>
        </is>
      </c>
      <c r="C31" s="55" t="inlineStr">
        <is>
          <t>Inventario de fuentes de agua vacío; no se consignó distancia a captación ni JASS</t>
        </is>
      </c>
      <c r="D31" s="55" t="inlineStr">
        <is>
          <t>NO SUSTANTIVA</t>
        </is>
      </c>
      <c r="E31" s="55" t="inlineStr">
        <is>
          <t>Evaluación en época seca; requiere verificación en época húmeda (Verificación heredada de la ficha de resumen V6.)</t>
        </is>
      </c>
    </row>
    <row r="33">
      <c r="A33" s="57" t="inlineStr">
        <is>
          <t>RESUMEN</t>
        </is>
      </c>
      <c r="B33" s="58" t="inlineStr">
        <is>
          <t>23 verificaciones</t>
        </is>
      </c>
      <c r="C33" s="58" t="inlineStr">
        <is>
          <t>SUSTANTIVA: 5 · NO SUSTANTIVA: 4 · CORREGIDO: 2 · CONFORME: 12</t>
        </is>
      </c>
    </row>
    <row r="35">
      <c r="A35" s="59"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35:E35"/>
    <mergeCell ref="A4:E4"/>
    <mergeCell ref="A2:E2"/>
    <mergeCell ref="A1:E1"/>
    <mergeCell ref="A5:E5"/>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7"/>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INTEGRACIÓN DE LA FICHA DE CAMPO — BLOQUE M28B2</t>
        </is>
      </c>
    </row>
    <row r="7">
      <c r="A7" s="53" t="inlineStr">
        <is>
          <t>A. HECHOS ACTUALIZADOS POR LA VERIFICACIÓN DE CAMPO</t>
        </is>
      </c>
    </row>
    <row r="8">
      <c r="A8" s="54" t="inlineStr">
        <is>
          <t>Sección</t>
        </is>
      </c>
      <c r="B8" s="54" t="inlineStr">
        <is>
          <t>Hecho</t>
        </is>
      </c>
      <c r="C8" s="54" t="inlineStr">
        <is>
          <t>Valor en la ficha V6</t>
        </is>
      </c>
      <c r="D8" s="54" t="inlineStr">
        <is>
          <t>Valor de campo vigente</t>
        </is>
      </c>
      <c r="E8" s="54" t="inlineStr">
        <is>
          <t>Fuente que manda</t>
        </is>
      </c>
    </row>
    <row r="9">
      <c r="A9" s="55" t="inlineStr">
        <is>
          <t>5. Ecosistema, cobertura y flora (F-DT-03)</t>
        </is>
      </c>
      <c r="B9" s="55" t="inlineStr">
        <is>
          <t>Uso actual dominante del suelo</t>
        </is>
      </c>
      <c r="C9" s="55" t="inlineStr">
        <is>
          <t>Agricultura en secano</t>
        </is>
      </c>
      <c r="D9" s="55" t="inlineStr">
        <is>
          <t>Agricultura secano</t>
        </is>
      </c>
      <c r="E9" s="55" t="inlineStr">
        <is>
          <t>Dato de campo</t>
        </is>
      </c>
    </row>
    <row r="10">
      <c r="A10" s="56" t="inlineStr">
        <is>
          <t>8. Responsable y modalidad de la evaluación</t>
        </is>
      </c>
      <c r="B10" s="56" t="inlineStr">
        <is>
          <t>Responsable de la evaluación</t>
        </is>
      </c>
      <c r="C10" s="56" t="inlineStr">
        <is>
          <t>Juan Carlos Domínguez Varas</t>
        </is>
      </c>
      <c r="D10" s="56" t="inlineStr">
        <is>
          <t>Ing. Juan Dominguez</t>
        </is>
      </c>
      <c r="E10" s="56" t="inlineStr">
        <is>
          <t>Dato de campo</t>
        </is>
      </c>
    </row>
    <row r="12">
      <c r="A12" s="53" t="inlineStr">
        <is>
          <t>B. HECHOS APORTADOS ÚNICAMENTE POR LA FICHA DE CAMPO</t>
        </is>
      </c>
    </row>
    <row r="13">
      <c r="A13" s="54" t="inlineStr">
        <is>
          <t>Sección</t>
        </is>
      </c>
      <c r="B13" s="54" t="inlineStr">
        <is>
          <t>Hecho</t>
        </is>
      </c>
      <c r="C13" s="54" t="inlineStr">
        <is>
          <t>Valor</t>
        </is>
      </c>
      <c r="D13" s="54" t="inlineStr">
        <is>
          <t>Unidad</t>
        </is>
      </c>
    </row>
    <row r="14">
      <c r="A14" s="55" t="inlineStr">
        <is>
          <t>1. Identificación y localización</t>
        </is>
      </c>
      <c r="B14" s="55" t="inlineStr">
        <is>
          <t>UTM ESTE del punto de muestreo (m)</t>
        </is>
      </c>
      <c r="C14" s="55" t="inlineStr">
        <is>
          <t>635615</t>
        </is>
      </c>
      <c r="D14" s="55" t="inlineStr">
        <is>
          <t>m</t>
        </is>
      </c>
    </row>
    <row r="15">
      <c r="A15" s="56" t="inlineStr">
        <is>
          <t>1. Identificación y localización</t>
        </is>
      </c>
      <c r="B15" s="56" t="inlineStr">
        <is>
          <t>UTM NORTE del punto de muestreo (m)</t>
        </is>
      </c>
      <c r="C15" s="56" t="inlineStr">
        <is>
          <t>9426131</t>
        </is>
      </c>
      <c r="D15" s="56" t="inlineStr">
        <is>
          <t>m</t>
        </is>
      </c>
    </row>
    <row r="16">
      <c r="A16" s="55" t="inlineStr">
        <is>
          <t>2. Parámetros físicos del terreno</t>
        </is>
      </c>
      <c r="B16" s="55" t="inlineStr">
        <is>
          <t>Altitud GPS del punto de muestreo (msnm)</t>
        </is>
      </c>
      <c r="C16" s="55" t="inlineStr">
        <is>
          <t>956</t>
        </is>
      </c>
      <c r="D16" s="55" t="inlineStr">
        <is>
          <t>msnm</t>
        </is>
      </c>
    </row>
    <row r="17">
      <c r="A17" s="56" t="inlineStr">
        <is>
          <t>2. Parámetros físicos del terreno</t>
        </is>
      </c>
      <c r="B17" s="56" t="inlineStr">
        <is>
          <t>Piso altitudinal del punto de muestreo</t>
        </is>
      </c>
      <c r="C17" s="56" t="inlineStr">
        <is>
          <t>750 - 1,050 msnm</t>
        </is>
      </c>
      <c r="D17" s="56" t="inlineStr"/>
    </row>
    <row r="18">
      <c r="A18" s="55" t="inlineStr">
        <is>
          <t>2. Parámetros físicos del terreno</t>
        </is>
      </c>
      <c r="B18" s="55" t="inlineStr">
        <is>
          <t>Paisaje dominante descrito en campo</t>
        </is>
      </c>
      <c r="C18" s="55" t="inlineStr">
        <is>
          <t>Sistema de laderas convexo-cóncavas tributarias de la quebrada Q9575 (microcuenca C1086), con altitudes de 750 a 1,050 msnm y desniveles internos. Paisaje de colina baja, dominado por bosque estacionalmente seco de colina.</t>
        </is>
      </c>
      <c r="D18" s="55" t="inlineStr"/>
    </row>
    <row r="19">
      <c r="A19" s="56" t="inlineStr">
        <is>
          <t>2. Parámetros físicos del terreno</t>
        </is>
      </c>
      <c r="B19" s="56" t="inlineStr">
        <is>
          <t>Reptación de suelo</t>
        </is>
      </c>
      <c r="C19" s="56" t="inlineStr">
        <is>
          <t>No</t>
        </is>
      </c>
      <c r="D19" s="56" t="inlineStr"/>
    </row>
    <row r="20">
      <c r="A20" s="55" t="inlineStr">
        <is>
          <t>2. Parámetros físicos del terreno</t>
        </is>
      </c>
      <c r="B20" s="55" t="inlineStr">
        <is>
          <t>Deslizamientos antiguos</t>
        </is>
      </c>
      <c r="C20" s="55" t="inlineStr">
        <is>
          <t>Sí</t>
        </is>
      </c>
      <c r="D20" s="55" t="inlineStr"/>
    </row>
    <row r="21">
      <c r="A21" s="56" t="inlineStr">
        <is>
          <t>4. Suelos y erosión (F-DT-02)</t>
        </is>
      </c>
      <c r="B21" s="56" t="inlineStr">
        <is>
          <t>Nivel de erosión - síntesis de campo</t>
        </is>
      </c>
      <c r="C21" s="56" t="inlineStr">
        <is>
          <t>Ligera (laminar)</t>
        </is>
      </c>
      <c r="D21" s="56" t="inlineStr"/>
    </row>
    <row r="22">
      <c r="A22" s="55" t="inlineStr">
        <is>
          <t>4. Suelos y erosión (F-DT-02)</t>
        </is>
      </c>
      <c r="B22" s="55" t="inlineStr">
        <is>
          <t>Sellamiento / costra superficial</t>
        </is>
      </c>
      <c r="C22" s="55" t="inlineStr">
        <is>
          <t>No</t>
        </is>
      </c>
      <c r="D22" s="55" t="inlineStr"/>
    </row>
    <row r="23">
      <c r="A23" s="56" t="inlineStr">
        <is>
          <t>4. Suelos y erosión (F-DT-02)</t>
        </is>
      </c>
      <c r="B23" s="56" t="inlineStr">
        <is>
          <t>Compactación por pisoteo</t>
        </is>
      </c>
      <c r="C23" s="56" t="inlineStr">
        <is>
          <t>Sí</t>
        </is>
      </c>
      <c r="D23" s="56" t="inlineStr"/>
    </row>
    <row r="24">
      <c r="A24" s="55" t="inlineStr">
        <is>
          <t>4. Suelos y erosión (F-DT-02)</t>
        </is>
      </c>
      <c r="B24" s="55" t="inlineStr">
        <is>
          <t>Raíces expuestas</t>
        </is>
      </c>
      <c r="C24" s="55" t="inlineStr">
        <is>
          <t>No</t>
        </is>
      </c>
      <c r="D24" s="55" t="inlineStr"/>
    </row>
    <row r="25">
      <c r="A25" s="56" t="inlineStr">
        <is>
          <t>4. Suelos y erosión (F-DT-02)</t>
        </is>
      </c>
      <c r="B25" s="56" t="inlineStr">
        <is>
          <t>% del bloque afectado por cárcavas</t>
        </is>
      </c>
      <c r="C25" s="56" t="inlineStr">
        <is>
          <t>0</t>
        </is>
      </c>
      <c r="D25" s="56" t="inlineStr">
        <is>
          <t>%</t>
        </is>
      </c>
    </row>
    <row r="26">
      <c r="A26" s="55" t="inlineStr">
        <is>
          <t>4. Suelos y erosión (F-DT-02)</t>
        </is>
      </c>
      <c r="B26" s="55" t="inlineStr">
        <is>
          <t>Socavamiento de cauce</t>
        </is>
      </c>
      <c r="C26" s="55" t="inlineStr">
        <is>
          <t>No</t>
        </is>
      </c>
      <c r="D26" s="55" t="inlineStr"/>
    </row>
    <row r="27">
      <c r="A27" s="56" t="inlineStr">
        <is>
          <t>5. Ecosistema, cobertura y flora (F-DT-03)</t>
        </is>
      </c>
      <c r="B27" s="56" t="inlineStr">
        <is>
          <t>Cobertura del dosel (%)</t>
        </is>
      </c>
      <c r="C27" s="56" t="inlineStr">
        <is>
          <t>60</t>
        </is>
      </c>
      <c r="D27" s="56" t="inlineStr">
        <is>
          <t>%</t>
        </is>
      </c>
    </row>
    <row r="28">
      <c r="A28" s="55" t="inlineStr">
        <is>
          <t>5. Ecosistema, cobertura y flora (F-DT-03)</t>
        </is>
      </c>
      <c r="B28" s="55" t="inlineStr">
        <is>
          <t>Cobertura herbácea (%)</t>
        </is>
      </c>
      <c r="C28" s="55" t="inlineStr">
        <is>
          <t>30</t>
        </is>
      </c>
      <c r="D28" s="55" t="inlineStr">
        <is>
          <t>%</t>
        </is>
      </c>
    </row>
    <row r="29">
      <c r="A29" s="56" t="inlineStr">
        <is>
          <t>5. Ecosistema, cobertura y flora (F-DT-03)</t>
        </is>
      </c>
      <c r="B29" s="56" t="inlineStr">
        <is>
          <t>Altura máxima registrada (m)</t>
        </is>
      </c>
      <c r="C29" s="56" t="inlineStr">
        <is>
          <t>8</t>
        </is>
      </c>
      <c r="D29" s="56" t="inlineStr">
        <is>
          <t>m</t>
        </is>
      </c>
    </row>
    <row r="30">
      <c r="A30" s="55" t="inlineStr">
        <is>
          <t>5. Ecosistema, cobertura y flora (F-DT-03)</t>
        </is>
      </c>
      <c r="B30" s="55" t="inlineStr">
        <is>
          <t>Presencia de epífitas</t>
        </is>
      </c>
      <c r="C30" s="55" t="inlineStr">
        <is>
          <t>Sí</t>
        </is>
      </c>
      <c r="D30" s="55" t="inlineStr"/>
    </row>
    <row r="31">
      <c r="A31" s="56" t="inlineStr">
        <is>
          <t>5. Ecosistema, cobertura y flora (F-DT-03)</t>
        </is>
      </c>
      <c r="B31" s="56" t="inlineStr">
        <is>
          <t>Fenología dominante</t>
        </is>
      </c>
      <c r="C31" s="56" t="inlineStr">
        <is>
          <t>Vegetativo</t>
        </is>
      </c>
      <c r="D31" s="56" t="inlineStr"/>
    </row>
    <row r="32">
      <c r="A32" s="55" t="inlineStr">
        <is>
          <t>6. Degradación, causas y urgencia (F-DT-04)</t>
        </is>
      </c>
      <c r="B32" s="55" t="inlineStr">
        <is>
          <t>Causas directas de la degradación</t>
        </is>
      </c>
      <c r="C32" s="55" t="inlineStr">
        <is>
          <t>Extraccion de individuos para leña y sobrepastoreo de ganado caprino.</t>
        </is>
      </c>
      <c r="D32" s="55" t="inlineStr"/>
    </row>
    <row r="33">
      <c r="A33" s="56" t="inlineStr">
        <is>
          <t>6. Degradación, causas y urgencia (F-DT-04)</t>
        </is>
      </c>
      <c r="B33" s="56" t="inlineStr">
        <is>
          <t>N.° de causas activas en la matriz F-DT-04</t>
        </is>
      </c>
      <c r="C33" s="56" t="inlineStr">
        <is>
          <t>4</t>
        </is>
      </c>
      <c r="D33" s="56" t="inlineStr"/>
    </row>
    <row r="34">
      <c r="A34" s="55" t="inlineStr">
        <is>
          <t>7. Hidrología, acceso y logística (F-DT-05)</t>
        </is>
      </c>
      <c r="B34" s="55" t="inlineStr">
        <is>
          <t>Escorrentía concentrada</t>
        </is>
      </c>
      <c r="C34" s="55" t="inlineStr">
        <is>
          <t>No</t>
        </is>
      </c>
      <c r="D34" s="55" t="inlineStr"/>
    </row>
    <row r="35">
      <c r="A35" s="56" t="inlineStr">
        <is>
          <t>7. Hidrología, acceso y logística (F-DT-05)</t>
        </is>
      </c>
      <c r="B35" s="56" t="inlineStr">
        <is>
          <t>Interferencia con riego</t>
        </is>
      </c>
      <c r="C35" s="56" t="inlineStr">
        <is>
          <t>No</t>
        </is>
      </c>
      <c r="D35" s="56" t="inlineStr"/>
    </row>
    <row r="36">
      <c r="A36" s="55" t="inlineStr">
        <is>
          <t>7. Hidrología, acceso y logística (F-DT-05)</t>
        </is>
      </c>
      <c r="B36" s="55" t="inlineStr">
        <is>
          <t>Tipo de vía del tramo final</t>
        </is>
      </c>
      <c r="C36" s="55" t="inlineStr">
        <is>
          <t>Vecinal afirmada</t>
        </is>
      </c>
      <c r="D36" s="55" t="inlineStr"/>
    </row>
    <row r="37">
      <c r="A37" s="56" t="inlineStr">
        <is>
          <t>7. Hidrología, acceso y logística (F-DT-05)</t>
        </is>
      </c>
      <c r="B37" s="56" t="inlineStr">
        <is>
          <t>Transitabilidad en época seca</t>
        </is>
      </c>
      <c r="C37" s="56" t="inlineStr">
        <is>
          <t>Bajo</t>
        </is>
      </c>
      <c r="D37" s="56" t="inlineStr"/>
    </row>
    <row r="38">
      <c r="A38" s="55" t="inlineStr">
        <is>
          <t>7. Hidrología, acceso y logística (F-DT-05)</t>
        </is>
      </c>
      <c r="B38" s="55" t="inlineStr">
        <is>
          <t>Transitabilidad en época lluviosa</t>
        </is>
      </c>
      <c r="C38" s="55" t="inlineStr">
        <is>
          <t>Bajo</t>
        </is>
      </c>
      <c r="D38" s="55" t="inlineStr"/>
    </row>
    <row r="39">
      <c r="A39" s="56" t="inlineStr">
        <is>
          <t>7. Hidrología, acceso y logística (F-DT-05)</t>
        </is>
      </c>
      <c r="B39" s="56" t="inlineStr">
        <is>
          <t>Tiempo a la capital distrital (min)</t>
        </is>
      </c>
      <c r="C39" s="56" t="inlineStr">
        <is>
          <t>10</t>
        </is>
      </c>
      <c r="D39" s="56" t="inlineStr">
        <is>
          <t>min</t>
        </is>
      </c>
    </row>
    <row r="40">
      <c r="A40" s="55" t="inlineStr">
        <is>
          <t>7. Hidrología, acceso y logística (F-DT-05)</t>
        </is>
      </c>
      <c r="B40" s="55" t="inlineStr">
        <is>
          <t>Señal celular</t>
        </is>
      </c>
      <c r="C40" s="55" t="inlineStr">
        <is>
          <t>Intermitente</t>
        </is>
      </c>
      <c r="D40" s="55" t="inlineStr"/>
    </row>
    <row r="41">
      <c r="A41" s="56" t="inlineStr">
        <is>
          <t>7. Hidrología, acceso y logística (F-DT-05)</t>
        </is>
      </c>
      <c r="B41" s="56" t="inlineStr">
        <is>
          <t>Operador con cobertura</t>
        </is>
      </c>
      <c r="C41" s="56" t="inlineStr">
        <is>
          <t>Entel</t>
        </is>
      </c>
      <c r="D41" s="56" t="inlineStr"/>
    </row>
    <row r="42">
      <c r="A42" s="55" t="inlineStr">
        <is>
          <t>7. Hidrología, acceso y logística (F-DT-05)</t>
        </is>
      </c>
      <c r="B42" s="55" t="inlineStr">
        <is>
          <t>Alojamiento disponible en la zona</t>
        </is>
      </c>
      <c r="C42" s="55" t="inlineStr">
        <is>
          <t>No</t>
        </is>
      </c>
      <c r="D42" s="55" t="inlineStr"/>
    </row>
    <row r="43">
      <c r="A43" s="56" t="inlineStr">
        <is>
          <t>7. Hidrología, acceso y logística (F-DT-05)</t>
        </is>
      </c>
      <c r="B43" s="56" t="inlineStr">
        <is>
          <t>Requiere coordinación con ronda / comunidad</t>
        </is>
      </c>
      <c r="C43" s="56" t="inlineStr">
        <is>
          <t>Sí</t>
        </is>
      </c>
      <c r="D43" s="56" t="inlineStr"/>
    </row>
    <row r="45">
      <c r="A45" s="53" t="inlineStr">
        <is>
          <t>C. PROCEDENCIA DE LOS HECHOS DECLARADOS</t>
        </is>
      </c>
    </row>
    <row r="46">
      <c r="A46" s="54" t="inlineStr">
        <is>
          <t>Fuente</t>
        </is>
      </c>
      <c r="B46" s="54" t="inlineStr">
        <is>
          <t>Hechos</t>
        </is>
      </c>
      <c r="C46" s="54" t="inlineStr">
        <is>
          <t>Alcance de la fuente</t>
        </is>
      </c>
    </row>
    <row r="47">
      <c r="A47" s="55" t="inlineStr">
        <is>
          <t>Dato de campo</t>
        </is>
      </c>
      <c r="B47" s="55" t="n">
        <v>57</v>
      </c>
      <c r="C47" s="55" t="inlineStr">
        <is>
          <t>Verificación en campo. Fichas F-DT-01 a F-DT-05 de la Plantilla DT Campo Check Validada V5, suscritas por el evaluador.</t>
        </is>
      </c>
    </row>
    <row r="48">
      <c r="A48" s="56" t="inlineStr">
        <is>
          <t>Gabinete (GIS / teledetección)</t>
        </is>
      </c>
      <c r="B48" s="56" t="n">
        <v>25</v>
      </c>
      <c r="C48" s="56" t="inlineStr">
        <is>
          <t>Gabinete. Estadística zonal sobre el MDE y compuestos Sentinel-2 (NDVI mediana 2025, MSAVI 2024 por clase DN).</t>
        </is>
      </c>
    </row>
    <row r="49">
      <c r="A49" s="55" t="inlineStr">
        <is>
          <t>Fuente oficial</t>
        </is>
      </c>
      <c r="B49" s="55" t="n">
        <v>14</v>
      </c>
      <c r="C49" s="55" t="inlineStr">
        <is>
          <t>Fuente oficial. Catálogo maestro Bloques V5/V6, división política INEI y codificación de microcuencas de la ANA.</t>
        </is>
      </c>
    </row>
    <row r="51">
      <c r="A51" s="53" t="inlineStr">
        <is>
          <t>D. ESTADO DEL CRUCE ENTRE FUENTES</t>
        </is>
      </c>
    </row>
    <row r="52">
      <c r="A52" s="54" t="inlineStr">
        <is>
          <t>Estado</t>
        </is>
      </c>
      <c r="B52" s="54" t="inlineStr">
        <is>
          <t>Hechos</t>
        </is>
      </c>
      <c r="C52" s="54" t="inlineStr">
        <is>
          <t>Significado</t>
        </is>
      </c>
    </row>
    <row r="53">
      <c r="A53" s="55" t="inlineStr">
        <is>
          <t>CONFORME</t>
        </is>
      </c>
      <c r="B53" s="55" t="n">
        <v>91</v>
      </c>
      <c r="C53" s="55" t="inlineStr">
        <is>
          <t>Las dos fuentes declaran lo mismo, o solo la fuente que manda sobre el hecho lo declara.</t>
        </is>
      </c>
    </row>
    <row r="54">
      <c r="A54" s="56" t="inlineStr">
        <is>
          <t>COMPLEMENTADO</t>
        </is>
      </c>
      <c r="B54" s="56" t="n">
        <v>3</v>
      </c>
      <c r="C54" s="56" t="inlineStr">
        <is>
          <t>Solo una de las fuentes lo declara y se adopta ese valor.</t>
        </is>
      </c>
    </row>
    <row r="55">
      <c r="A55" s="55" t="inlineStr">
        <is>
          <t>ACTUALIZADO</t>
        </is>
      </c>
      <c r="B55" s="55" t="n">
        <v>2</v>
      </c>
      <c r="C55" s="55" t="inlineStr">
        <is>
          <t>La verificación de campo vigente corrige lo que traía el libro de resumen.</t>
        </is>
      </c>
    </row>
    <row r="56">
      <c r="A56" s="56" t="inlineStr">
        <is>
          <t>DISCREPANTE</t>
        </is>
      </c>
      <c r="B56" s="56" t="n">
        <v>0</v>
      </c>
      <c r="C56" s="56" t="inlineStr">
        <is>
          <t>Las fuentes se contradicen; prevalece la que manda sobre el hecho y la otra queda declarada.</t>
        </is>
      </c>
    </row>
    <row r="57">
      <c r="A57" s="55" t="inlineStr">
        <is>
          <t>PENDIENTE</t>
        </is>
      </c>
      <c r="B57" s="55" t="n">
        <v>18</v>
      </c>
      <c r="C57" s="55"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61"/>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REGISTRO DE CAMPO F-DT-01 A F-DT-05 — BLOQUE M28B2</t>
        </is>
      </c>
    </row>
    <row r="7">
      <c r="A7" s="53" t="inlineStr">
        <is>
          <t>F-DT-02 · INVENTARIO DE CÁRCAVAS</t>
        </is>
      </c>
    </row>
    <row r="8">
      <c r="A8" s="54" t="inlineStr">
        <is>
          <t>Código</t>
        </is>
      </c>
      <c r="B8" s="54" t="inlineStr">
        <is>
          <t>Tipo</t>
        </is>
      </c>
      <c r="C8" s="54" t="inlineStr">
        <is>
          <t>UTM E ini.</t>
        </is>
      </c>
      <c r="D8" s="54" t="inlineStr">
        <is>
          <t>UTM N ini.</t>
        </is>
      </c>
      <c r="E8" s="54" t="inlineStr">
        <is>
          <t>Longitud (m)</t>
        </is>
      </c>
      <c r="F8" s="54" t="inlineStr">
        <is>
          <t>Prof. (m)</t>
        </is>
      </c>
      <c r="G8" s="54" t="inlineStr">
        <is>
          <t>Ancho (m)</t>
        </is>
      </c>
      <c r="H8" s="54" t="inlineStr">
        <is>
          <t>Estado</t>
        </is>
      </c>
      <c r="I8" s="54" t="inlineStr">
        <is>
          <t>Causa</t>
        </is>
      </c>
    </row>
    <row r="9">
      <c r="A9" s="55" t="inlineStr">
        <is>
          <t>Sin cárcavas inventariadas en el tramo verificado</t>
        </is>
      </c>
      <c r="B9" s="55" t="inlineStr"/>
      <c r="C9" s="55" t="inlineStr"/>
      <c r="D9" s="55" t="inlineStr"/>
      <c r="E9" s="55" t="inlineStr"/>
      <c r="F9" s="55" t="inlineStr"/>
      <c r="G9" s="55" t="inlineStr"/>
      <c r="H9" s="55" t="inlineStr"/>
      <c r="I9" s="55" t="inlineStr"/>
    </row>
    <row r="11">
      <c r="A11" s="53" t="inlineStr">
        <is>
          <t>F-DT-03 · ELENCO FLORÍSTICO</t>
        </is>
      </c>
    </row>
    <row r="12">
      <c r="A12" s="54" t="inlineStr">
        <is>
          <t>N.o</t>
        </is>
      </c>
      <c r="B12" s="54" t="inlineStr">
        <is>
          <t>Nombre común</t>
        </is>
      </c>
      <c r="C12" s="54" t="inlineStr">
        <is>
          <t>Nombre científico</t>
        </is>
      </c>
      <c r="D12" s="54" t="inlineStr">
        <is>
          <t>Familia</t>
        </is>
      </c>
      <c r="E12" s="54" t="inlineStr">
        <is>
          <t>Estrato</t>
        </is>
      </c>
      <c r="F12" s="54" t="inlineStr">
        <is>
          <t>Origen</t>
        </is>
      </c>
      <c r="G12" s="54" t="inlineStr">
        <is>
          <t>Abundancia</t>
        </is>
      </c>
      <c r="H12" s="54" t="inlineStr">
        <is>
          <t>DAP (cm)</t>
        </is>
      </c>
      <c r="I12" s="54" t="inlineStr">
        <is>
          <t>Altura (m)</t>
        </is>
      </c>
    </row>
    <row r="13">
      <c r="A13" s="55" t="inlineStr">
        <is>
          <t>1</t>
        </is>
      </c>
      <c r="B13" s="55" t="inlineStr">
        <is>
          <t>Pasallo</t>
        </is>
      </c>
      <c r="C13" s="55" t="inlineStr"/>
      <c r="D13" s="55" t="inlineStr"/>
      <c r="E13" s="55" t="inlineStr">
        <is>
          <t>Arbóreo medio (8-15 m)</t>
        </is>
      </c>
      <c r="F13" s="55" t="inlineStr">
        <is>
          <t>Nativa</t>
        </is>
      </c>
      <c r="G13" s="55" t="inlineStr">
        <is>
          <t>Abundante (20-40%)</t>
        </is>
      </c>
      <c r="H13" s="60" t="n">
        <v>30</v>
      </c>
      <c r="I13" s="61" t="n">
        <v>8</v>
      </c>
    </row>
    <row r="14">
      <c r="A14" s="56" t="inlineStr">
        <is>
          <t>2</t>
        </is>
      </c>
      <c r="B14" s="56" t="inlineStr">
        <is>
          <t>Charan</t>
        </is>
      </c>
      <c r="C14" s="56" t="inlineStr"/>
      <c r="D14" s="56" t="inlineStr"/>
      <c r="E14" s="56" t="inlineStr">
        <is>
          <t>Arbóreo bajo (4-8 m)</t>
        </is>
      </c>
      <c r="F14" s="56" t="inlineStr">
        <is>
          <t>Nativa</t>
        </is>
      </c>
      <c r="G14" s="56" t="inlineStr">
        <is>
          <t>Dominante (&gt;40%)</t>
        </is>
      </c>
      <c r="H14" s="62" t="n">
        <v>20</v>
      </c>
      <c r="I14" s="63" t="n">
        <v>5</v>
      </c>
    </row>
    <row r="15">
      <c r="A15" s="55" t="inlineStr">
        <is>
          <t>3</t>
        </is>
      </c>
      <c r="B15" s="55" t="inlineStr">
        <is>
          <t>Ceibo</t>
        </is>
      </c>
      <c r="C15" s="55" t="inlineStr"/>
      <c r="D15" s="55" t="inlineStr"/>
      <c r="E15" s="55" t="inlineStr">
        <is>
          <t>Arbóreo medio (8-15 m)</t>
        </is>
      </c>
      <c r="F15" s="55" t="inlineStr">
        <is>
          <t>Nativa</t>
        </is>
      </c>
      <c r="G15" s="55" t="inlineStr">
        <is>
          <t>Ocasional (1-5%)</t>
        </is>
      </c>
      <c r="H15" s="60" t="n">
        <v>40</v>
      </c>
      <c r="I15" s="60" t="n">
        <v>12</v>
      </c>
    </row>
    <row r="16">
      <c r="A16" s="56" t="inlineStr">
        <is>
          <t>4</t>
        </is>
      </c>
      <c r="B16" s="56" t="inlineStr">
        <is>
          <t>Palo Santo</t>
        </is>
      </c>
      <c r="C16" s="56" t="inlineStr"/>
      <c r="D16" s="56" t="inlineStr"/>
      <c r="E16" s="56" t="inlineStr">
        <is>
          <t>Arbóreo medio (8-15 m)</t>
        </is>
      </c>
      <c r="F16" s="56" t="inlineStr">
        <is>
          <t>Nativa</t>
        </is>
      </c>
      <c r="G16" s="56" t="inlineStr">
        <is>
          <t>Ocasional (1-5%)</t>
        </is>
      </c>
      <c r="H16" s="62" t="n">
        <v>30</v>
      </c>
      <c r="I16" s="63" t="n">
        <v>7</v>
      </c>
    </row>
    <row r="18">
      <c r="A18" s="53" t="inlineStr">
        <is>
          <t>F-DT-03 · ESPECIES CLAVE GEORREFERENCIADAS</t>
        </is>
      </c>
    </row>
    <row r="19">
      <c r="A19" s="54" t="inlineStr">
        <is>
          <t>N.o</t>
        </is>
      </c>
      <c r="B19" s="54" t="inlineStr">
        <is>
          <t>Especie</t>
        </is>
      </c>
      <c r="C19" s="54" t="inlineStr">
        <is>
          <t>Categoría</t>
        </is>
      </c>
      <c r="D19" s="54" t="inlineStr">
        <is>
          <t>Estado UICN</t>
        </is>
      </c>
      <c r="E19" s="54" t="inlineStr">
        <is>
          <t>UTM ESTE</t>
        </is>
      </c>
      <c r="F19" s="54" t="inlineStr">
        <is>
          <t>UTM NORTE</t>
        </is>
      </c>
      <c r="G19" s="54" t="inlineStr">
        <is>
          <t>N.° individuos</t>
        </is>
      </c>
      <c r="H19" s="54" t="inlineStr">
        <is>
          <t>Observación</t>
        </is>
      </c>
    </row>
    <row r="21">
      <c r="A21" s="53" t="inlineStr">
        <is>
          <t>F-DT-04 · MATRIZ DE CAUSAS DE DEGRADACIÓN</t>
        </is>
      </c>
    </row>
    <row r="22">
      <c r="A22" s="54" t="inlineStr">
        <is>
          <t>N.o</t>
        </is>
      </c>
      <c r="B22" s="54" t="inlineStr">
        <is>
          <t>Causa</t>
        </is>
      </c>
      <c r="C22" s="54" t="inlineStr">
        <is>
          <t>Presencia</t>
        </is>
      </c>
      <c r="D22" s="54" t="inlineStr">
        <is>
          <t>Intensidad</t>
        </is>
      </c>
      <c r="E22" s="54" t="inlineStr">
        <is>
          <t>Extensión</t>
        </is>
      </c>
      <c r="F22" s="54" t="inlineStr">
        <is>
          <t>Antigüedad</t>
        </is>
      </c>
      <c r="G22" s="54" t="inlineStr">
        <is>
          <t>Evidencia</t>
        </is>
      </c>
    </row>
    <row r="23">
      <c r="A23" s="55" t="inlineStr">
        <is>
          <t>1</t>
        </is>
      </c>
      <c r="B23" s="55" t="inlineStr">
        <is>
          <t>Sobrepastoreo (caprino/vacuno)</t>
        </is>
      </c>
      <c r="C23" s="55" t="inlineStr">
        <is>
          <t>Sí</t>
        </is>
      </c>
      <c r="D23" s="55" t="inlineStr">
        <is>
          <t>Moderada</t>
        </is>
      </c>
      <c r="E23" s="55" t="inlineStr">
        <is>
          <t>25</t>
        </is>
      </c>
      <c r="F23" s="55" t="inlineStr">
        <is>
          <t>20</t>
        </is>
      </c>
      <c r="G23" s="55" t="inlineStr">
        <is>
          <t>Se observo ganado caprino en areas cercanas al talud</t>
        </is>
      </c>
    </row>
    <row r="24">
      <c r="A24" s="56" t="inlineStr">
        <is>
          <t>2</t>
        </is>
      </c>
      <c r="B24" s="56" t="inlineStr">
        <is>
          <t>Tala para leña</t>
        </is>
      </c>
      <c r="C24" s="56" t="inlineStr">
        <is>
          <t>Sí</t>
        </is>
      </c>
      <c r="D24" s="56" t="inlineStr">
        <is>
          <t>Moderada</t>
        </is>
      </c>
      <c r="E24" s="56" t="inlineStr">
        <is>
          <t>10</t>
        </is>
      </c>
      <c r="F24" s="56" t="inlineStr">
        <is>
          <t>10</t>
        </is>
      </c>
      <c r="G24" s="56" t="inlineStr">
        <is>
          <t>Se observaron tocones en areas cercanas al talud</t>
        </is>
      </c>
    </row>
    <row r="25">
      <c r="A25" s="55" t="inlineStr">
        <is>
          <t>3</t>
        </is>
      </c>
      <c r="B25" s="55" t="inlineStr">
        <is>
          <t>Tala para carbón</t>
        </is>
      </c>
      <c r="C25" s="55" t="inlineStr"/>
      <c r="D25" s="55" t="inlineStr"/>
      <c r="E25" s="55" t="inlineStr"/>
      <c r="F25" s="55" t="inlineStr"/>
      <c r="G25" s="55" t="inlineStr"/>
    </row>
    <row r="26">
      <c r="A26" s="56" t="inlineStr">
        <is>
          <t>4</t>
        </is>
      </c>
      <c r="B26" s="56" t="inlineStr">
        <is>
          <t>Tala para madera</t>
        </is>
      </c>
      <c r="C26" s="56" t="inlineStr"/>
      <c r="D26" s="56" t="inlineStr"/>
      <c r="E26" s="56" t="inlineStr"/>
      <c r="F26" s="56" t="inlineStr"/>
      <c r="G26" s="56" t="inlineStr"/>
    </row>
    <row r="27">
      <c r="A27" s="55" t="inlineStr">
        <is>
          <t>5</t>
        </is>
      </c>
      <c r="B27" s="55" t="inlineStr">
        <is>
          <t>Quema (renovación de pastos)</t>
        </is>
      </c>
      <c r="C27" s="55" t="inlineStr"/>
      <c r="D27" s="55" t="inlineStr"/>
      <c r="E27" s="55" t="inlineStr"/>
      <c r="F27" s="55" t="inlineStr"/>
      <c r="G27" s="55" t="inlineStr"/>
    </row>
    <row r="28">
      <c r="A28" s="56" t="inlineStr">
        <is>
          <t>6</t>
        </is>
      </c>
      <c r="B28" s="56" t="inlineStr">
        <is>
          <t>Quema accidental / Incendio</t>
        </is>
      </c>
      <c r="C28" s="56" t="inlineStr"/>
      <c r="D28" s="56" t="inlineStr"/>
      <c r="E28" s="56" t="inlineStr"/>
      <c r="F28" s="56" t="inlineStr"/>
      <c r="G28" s="56" t="inlineStr"/>
    </row>
    <row r="29">
      <c r="A29" s="55" t="inlineStr">
        <is>
          <t>7</t>
        </is>
      </c>
      <c r="B29" s="55" t="inlineStr">
        <is>
          <t>Cambio de uso a agricultura</t>
        </is>
      </c>
      <c r="C29" s="55" t="inlineStr">
        <is>
          <t>Si</t>
        </is>
      </c>
      <c r="D29" s="55" t="inlineStr">
        <is>
          <t>Moderada</t>
        </is>
      </c>
      <c r="E29" s="55" t="inlineStr">
        <is>
          <t>30</t>
        </is>
      </c>
      <c r="F29" s="55" t="inlineStr">
        <is>
          <t>20</t>
        </is>
      </c>
      <c r="G29" s="55" t="inlineStr">
        <is>
          <t>Se observaron parcelas de maiz</t>
        </is>
      </c>
    </row>
    <row r="30">
      <c r="A30" s="56" t="inlineStr">
        <is>
          <t>8</t>
        </is>
      </c>
      <c r="B30" s="56" t="inlineStr">
        <is>
          <t>Cambio de uso a pastoreo</t>
        </is>
      </c>
      <c r="C30" s="56" t="inlineStr">
        <is>
          <t>Sí</t>
        </is>
      </c>
      <c r="D30" s="56" t="inlineStr">
        <is>
          <t>Ligera</t>
        </is>
      </c>
      <c r="E30" s="56" t="inlineStr">
        <is>
          <t>25</t>
        </is>
      </c>
      <c r="F30" s="56" t="inlineStr">
        <is>
          <t>10</t>
        </is>
      </c>
      <c r="G30" s="56" t="inlineStr">
        <is>
          <t>Se observo ganado caprino en areas cercanas al talud</t>
        </is>
      </c>
    </row>
    <row r="31">
      <c r="A31" s="55" t="inlineStr">
        <is>
          <t>9</t>
        </is>
      </c>
      <c r="B31" s="55" t="inlineStr">
        <is>
          <t>Expansión urbana / vial</t>
        </is>
      </c>
      <c r="C31" s="55" t="inlineStr"/>
      <c r="D31" s="55" t="inlineStr"/>
      <c r="E31" s="55" t="inlineStr"/>
      <c r="F31" s="55" t="inlineStr"/>
      <c r="G31" s="55" t="inlineStr"/>
    </row>
    <row r="32">
      <c r="A32" s="56" t="inlineStr">
        <is>
          <t>10</t>
        </is>
      </c>
      <c r="B32" s="56" t="inlineStr">
        <is>
          <t>Minería informal</t>
        </is>
      </c>
      <c r="C32" s="56" t="inlineStr"/>
      <c r="D32" s="56" t="inlineStr"/>
      <c r="E32" s="56" t="inlineStr"/>
      <c r="F32" s="56" t="inlineStr"/>
      <c r="G32" s="56" t="inlineStr"/>
    </row>
    <row r="33">
      <c r="A33" s="55" t="inlineStr">
        <is>
          <t>11</t>
        </is>
      </c>
      <c r="B33" s="55" t="inlineStr">
        <is>
          <t>Extracción de áridos (cauces)</t>
        </is>
      </c>
      <c r="C33" s="55" t="inlineStr"/>
      <c r="D33" s="55" t="inlineStr"/>
      <c r="E33" s="55" t="inlineStr"/>
      <c r="F33" s="55" t="inlineStr"/>
      <c r="G33" s="55" t="inlineStr"/>
    </row>
    <row r="34">
      <c r="A34" s="56" t="inlineStr">
        <is>
          <t>12</t>
        </is>
      </c>
      <c r="B34" s="56" t="inlineStr">
        <is>
          <t>Especies invasoras</t>
        </is>
      </c>
      <c r="C34" s="56" t="inlineStr"/>
      <c r="D34" s="56" t="inlineStr"/>
      <c r="E34" s="56" t="inlineStr"/>
      <c r="F34" s="56" t="inlineStr"/>
      <c r="G34" s="56" t="inlineStr"/>
    </row>
    <row r="35">
      <c r="A35" s="55" t="inlineStr">
        <is>
          <t>13</t>
        </is>
      </c>
      <c r="B35" s="55" t="inlineStr">
        <is>
          <t>Erosión natural severa</t>
        </is>
      </c>
      <c r="C35" s="55" t="inlineStr"/>
      <c r="D35" s="55" t="inlineStr"/>
      <c r="E35" s="55" t="inlineStr"/>
      <c r="F35" s="55" t="inlineStr"/>
      <c r="G35" s="55" t="inlineStr"/>
    </row>
    <row r="36">
      <c r="A36" s="56" t="inlineStr">
        <is>
          <t>14</t>
        </is>
      </c>
      <c r="B36" s="56" t="inlineStr">
        <is>
          <t>Sequía prolongada / CC</t>
        </is>
      </c>
      <c r="C36" s="56" t="inlineStr"/>
      <c r="D36" s="56" t="inlineStr"/>
      <c r="E36" s="56" t="inlineStr"/>
      <c r="F36" s="56" t="inlineStr"/>
      <c r="G36" s="56" t="inlineStr"/>
    </row>
    <row r="37">
      <c r="A37" s="55" t="inlineStr">
        <is>
          <t>15</t>
        </is>
      </c>
      <c r="B37" s="55" t="inlineStr">
        <is>
          <t>Plagas o enfermedades forestales</t>
        </is>
      </c>
      <c r="C37" s="55" t="inlineStr"/>
      <c r="D37" s="55" t="inlineStr"/>
      <c r="E37" s="55" t="inlineStr"/>
      <c r="F37" s="55" t="inlineStr"/>
      <c r="G37" s="55" t="inlineStr"/>
    </row>
    <row r="38">
      <c r="A38" s="56" t="inlineStr">
        <is>
          <t>16</t>
        </is>
      </c>
      <c r="B38" s="56" t="inlineStr">
        <is>
          <t>Otro</t>
        </is>
      </c>
      <c r="C38" s="56" t="inlineStr"/>
      <c r="D38" s="56" t="inlineStr"/>
      <c r="E38" s="56" t="inlineStr"/>
      <c r="F38" s="56" t="inlineStr"/>
      <c r="G38" s="56" t="inlineStr"/>
    </row>
    <row r="40">
      <c r="A40" s="53" t="inlineStr">
        <is>
          <t>F-DT-04 · INDICADORES CUANTITATIVOS</t>
        </is>
      </c>
    </row>
    <row r="41">
      <c r="A41" s="54" t="inlineStr">
        <is>
          <t>N.o</t>
        </is>
      </c>
      <c r="B41" s="54" t="inlineStr">
        <is>
          <t>Indicador</t>
        </is>
      </c>
      <c r="C41" s="54" t="inlineStr">
        <is>
          <t>Unidad</t>
        </is>
      </c>
      <c r="D41" s="54" t="inlineStr">
        <is>
          <t>Valor</t>
        </is>
      </c>
      <c r="E41" s="54" t="inlineStr">
        <is>
          <t>Fuente</t>
        </is>
      </c>
      <c r="F41" s="54" t="inlineStr">
        <is>
          <t>Umbral</t>
        </is>
      </c>
      <c r="G41" s="54" t="inlineStr">
        <is>
          <t>Nivel</t>
        </is>
      </c>
    </row>
    <row r="42">
      <c r="A42" s="55" t="inlineStr">
        <is>
          <t>1</t>
        </is>
      </c>
      <c r="B42" s="55" t="inlineStr">
        <is>
          <t>Cobertura vegetal total</t>
        </is>
      </c>
      <c r="C42" s="55" t="inlineStr">
        <is>
          <t>%</t>
        </is>
      </c>
      <c r="D42" s="55" t="inlineStr">
        <is>
          <t>60</t>
        </is>
      </c>
      <c r="E42" s="55" t="inlineStr">
        <is>
          <t>Estimación visual de campo</t>
        </is>
      </c>
      <c r="F42" s="55" t="inlineStr">
        <is>
          <t>&gt;60% bueno; 30-60% medio; &lt;30% malo</t>
        </is>
      </c>
      <c r="G42" s="55" t="inlineStr">
        <is>
          <t>Alto</t>
        </is>
      </c>
    </row>
    <row r="43">
      <c r="A43" s="56" t="inlineStr">
        <is>
          <t>2</t>
        </is>
      </c>
      <c r="B43" s="56" t="inlineStr">
        <is>
          <t>Porcentaje de suelo desnudo</t>
        </is>
      </c>
      <c r="C43" s="56" t="inlineStr">
        <is>
          <t>%</t>
        </is>
      </c>
      <c r="D43" s="56" t="inlineStr">
        <is>
          <t>15</t>
        </is>
      </c>
      <c r="E43" s="56" t="inlineStr">
        <is>
          <t>Estimación visual</t>
        </is>
      </c>
      <c r="F43" s="56" t="inlineStr">
        <is>
          <t>&lt;10% bueno; 10-30% medio; &gt;30% malo</t>
        </is>
      </c>
      <c r="G43" s="56" t="inlineStr">
        <is>
          <t>Bajo</t>
        </is>
      </c>
    </row>
    <row r="44">
      <c r="A44" s="55" t="inlineStr">
        <is>
          <t>3</t>
        </is>
      </c>
      <c r="B44" s="55" t="inlineStr">
        <is>
          <t>Densidad de cárcavas</t>
        </is>
      </c>
      <c r="C44" s="55" t="inlineStr">
        <is>
          <t>N°/ha</t>
        </is>
      </c>
      <c r="D44" s="55" t="inlineStr"/>
      <c r="E44" s="55" t="inlineStr"/>
      <c r="F44" s="55" t="inlineStr">
        <is>
          <t>0 nulo; 1-3 medio; &gt;3 alto</t>
        </is>
      </c>
      <c r="G44" s="55" t="inlineStr"/>
    </row>
    <row r="45">
      <c r="A45" s="56" t="inlineStr">
        <is>
          <t>4</t>
        </is>
      </c>
      <c r="B45" s="56" t="inlineStr">
        <is>
          <t>Presencia de especies invasoras</t>
        </is>
      </c>
      <c r="C45" s="56" t="inlineStr">
        <is>
          <t>% área</t>
        </is>
      </c>
      <c r="D45" s="56" t="inlineStr"/>
      <c r="E45" s="56" t="inlineStr"/>
      <c r="F45" s="56" t="inlineStr">
        <is>
          <t>&lt;5% bueno; 5-20% medio; &gt;20% alto</t>
        </is>
      </c>
      <c r="G45" s="56" t="inlineStr"/>
    </row>
    <row r="46">
      <c r="A46" s="55" t="inlineStr">
        <is>
          <t>5</t>
        </is>
      </c>
      <c r="B46" s="55" t="inlineStr">
        <is>
          <t>Carga ganadera estimada</t>
        </is>
      </c>
      <c r="C46" s="55" t="inlineStr">
        <is>
          <t>UA/ha</t>
        </is>
      </c>
      <c r="D46" s="55" t="inlineStr">
        <is>
          <t>2</t>
        </is>
      </c>
      <c r="E46" s="55" t="inlineStr">
        <is>
          <t>Estimación pastoreo extensivo (UA/ha)</t>
        </is>
      </c>
      <c r="F46" s="55" t="inlineStr">
        <is>
          <t>Según tipo de ecosistema</t>
        </is>
      </c>
      <c r="G46" s="55" t="inlineStr">
        <is>
          <t>Bajo</t>
        </is>
      </c>
    </row>
    <row r="47">
      <c r="A47" s="56" t="inlineStr">
        <is>
          <t>6</t>
        </is>
      </c>
      <c r="B47" s="56" t="inlineStr">
        <is>
          <t>Frecuencia de quemas últimos 5 años</t>
        </is>
      </c>
      <c r="C47" s="56" t="inlineStr">
        <is>
          <t>N°</t>
        </is>
      </c>
      <c r="D47" s="56" t="inlineStr"/>
      <c r="E47" s="56" t="inlineStr"/>
      <c r="F47" s="56" t="inlineStr">
        <is>
          <t>0 nulo; 1-2 medio; &gt;2 alto</t>
        </is>
      </c>
      <c r="G47" s="56" t="inlineStr"/>
    </row>
    <row r="48">
      <c r="A48" s="55" t="inlineStr">
        <is>
          <t>7</t>
        </is>
      </c>
      <c r="B48" s="55" t="inlineStr">
        <is>
          <t>% área con pendiente &gt;50%</t>
        </is>
      </c>
      <c r="C48" s="55" t="inlineStr">
        <is>
          <t>%</t>
        </is>
      </c>
      <c r="D48" s="55" t="inlineStr"/>
      <c r="E48" s="55" t="inlineStr"/>
      <c r="F48" s="55" t="inlineStr">
        <is>
          <t>Factor de susceptibilidad</t>
        </is>
      </c>
      <c r="G48" s="55" t="inlineStr"/>
    </row>
    <row r="49">
      <c r="A49" s="56" t="inlineStr">
        <is>
          <t>8</t>
        </is>
      </c>
      <c r="B49" s="56" t="inlineStr">
        <is>
          <t>Distancia a vía vecinal más cercana</t>
        </is>
      </c>
      <c r="C49" s="56" t="inlineStr">
        <is>
          <t>m</t>
        </is>
      </c>
      <c r="D49" s="56" t="inlineStr">
        <is>
          <t>0</t>
        </is>
      </c>
      <c r="E49" s="56" t="inlineStr">
        <is>
          <t>Via asfaltada contigua al bloque</t>
        </is>
      </c>
      <c r="F49" s="56" t="inlineStr">
        <is>
          <t>A menor distancia → mayor presión</t>
        </is>
      </c>
      <c r="G49" s="56" t="inlineStr">
        <is>
          <t>Alto</t>
        </is>
      </c>
    </row>
    <row r="51">
      <c r="A51" s="53" t="inlineStr">
        <is>
          <t>F-DT-05 · FUENTES DE AGUA INVENTARIADAS</t>
        </is>
      </c>
    </row>
    <row r="52">
      <c r="A52" s="54" t="inlineStr">
        <is>
          <t>N.o</t>
        </is>
      </c>
      <c r="B52" s="54" t="inlineStr">
        <is>
          <t>Tipo de fuente</t>
        </is>
      </c>
      <c r="C52" s="54" t="inlineStr">
        <is>
          <t>UTM ESTE</t>
        </is>
      </c>
      <c r="D52" s="54" t="inlineStr">
        <is>
          <t>UTM NORTE</t>
        </is>
      </c>
      <c r="E52" s="54" t="inlineStr">
        <is>
          <t>Régimen</t>
        </is>
      </c>
      <c r="F52" s="54" t="inlineStr">
        <is>
          <t>Calidad</t>
        </is>
      </c>
      <c r="G52" s="54" t="inlineStr">
        <is>
          <t>Distancia (m)</t>
        </is>
      </c>
      <c r="H52" s="54" t="inlineStr">
        <is>
          <t>Uso / observación</t>
        </is>
      </c>
    </row>
    <row r="55">
      <c r="A55" s="53" t="inlineStr">
        <is>
          <t>OBSERVACIONES DEL EVALUADOR POR FICHA</t>
        </is>
      </c>
    </row>
    <row r="56">
      <c r="A56" s="54" t="inlineStr">
        <is>
          <t>Ficha</t>
        </is>
      </c>
      <c r="B56" s="54" t="inlineStr">
        <is>
          <t>Observación registrada en campo</t>
        </is>
      </c>
    </row>
    <row r="57">
      <c r="A57" s="55" t="inlineStr">
        <is>
          <t>F-DT-01</t>
        </is>
      </c>
      <c r="B57" s="55" t="inlineStr">
        <is>
          <t>Acceso por via vecinal, ruta desde el distrito de Yamngo al CCPP de Victor Raul y Flor agua, punto en el que se detuvo la camioneta en el centro poblado y al pie del bloque en la via afirmada. Se ingreso al bloque por la zona sureste, colindante a la via. La via afirmada cruza el bloque e intersecta los CCPP. En el interior del bloque se evidenció actividades agricolas como siembra de maiz y platano. Asimismo, tambien se observo la presencia de tocones debido a la extraccion de leña. La zona proxima a la via y al CCPP es la parte del bloque que se encuentra mas degradada. Tambien se evidenció presencia de ganado caprino.</t>
        </is>
      </c>
    </row>
    <row r="58">
      <c r="A58" s="56" t="inlineStr">
        <is>
          <t>F-DT-02</t>
        </is>
      </c>
      <c r="B58" s="56" t="inlineStr">
        <is>
          <t>En el terrno no se evidenciaron carcavas desarrolladas, solo se observaron algunos surcos menores en formacion. La mayor afectacion a nivel de suelo se debe a erosion laminar, producido por la lluvia.</t>
        </is>
      </c>
    </row>
    <row r="59">
      <c r="A59" s="55" t="inlineStr">
        <is>
          <t>F-DT-03</t>
        </is>
      </c>
      <c r="B59" s="55" t="inlineStr">
        <is>
          <t>El bosque se encuentra degradado en zonas cercanas al centro poblado ya que la poblacion es menos densa y los arboles se encuentran dispersos con alturas menores a 10 m y clases diametricas menores a 40 cm. En zonas proximas a los CCPP se desarrolla actividades agricolas como la siembra de maiz, caña y platanos.</t>
        </is>
      </c>
    </row>
    <row r="60">
      <c r="A60" s="56" t="inlineStr">
        <is>
          <t>F-DT-04</t>
        </is>
      </c>
      <c r="B60" s="56" t="inlineStr">
        <is>
          <t>El bloque se encuentra degradado a nivel de cobertura vegetal y suelo en zonas proximas a la via y cercanas al CCPP. En el interior del bloque se puede evidenciar claros productos de la extraccion algunos individuos arboreos cercanos a la carretera. Hay cambio de uso del suelo por parcelas agricolas.</t>
        </is>
      </c>
    </row>
    <row r="61">
      <c r="A61" s="55" t="inlineStr">
        <is>
          <t>F-DT-05</t>
        </is>
      </c>
      <c r="B61" s="55" t="inlineStr">
        <is>
          <t>Las quebradas que discurren del bloque estaban secas debido a que se evaluo en epoca seca.</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99"/>
  <sheetViews>
    <sheetView workbookViewId="0">
      <selection activeCell="A1" sqref="A1"/>
    </sheetView>
  </sheetViews>
  <sheetFormatPr baseColWidth="8" defaultRowHeight="15"/>
  <cols>
    <col width="44" customWidth="1" min="1" max="1"/>
    <col width="18" customWidth="1" min="2" max="2"/>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GRÁFICOS DE LA INTEGRACIÓN — BLOQUE M28B2</t>
        </is>
      </c>
    </row>
    <row r="7">
      <c r="A7" s="53" t="inlineStr">
        <is>
          <t>Hechos declarados por fuente</t>
        </is>
      </c>
    </row>
    <row r="8">
      <c r="A8" s="54" t="inlineStr">
        <is>
          <t>Fuente</t>
        </is>
      </c>
      <c r="B8" s="54" t="inlineStr">
        <is>
          <t>Hechos</t>
        </is>
      </c>
    </row>
    <row r="9">
      <c r="A9" s="55" t="inlineStr">
        <is>
          <t>Dato de campo</t>
        </is>
      </c>
      <c r="B9" s="55" t="n">
        <v>57</v>
      </c>
    </row>
    <row r="10">
      <c r="A10" s="56" t="inlineStr">
        <is>
          <t>Gabinete (GIS / teledetección)</t>
        </is>
      </c>
      <c r="B10" s="56" t="n">
        <v>25</v>
      </c>
    </row>
    <row r="11">
      <c r="A11" s="55" t="inlineStr">
        <is>
          <t>Fuente oficial</t>
        </is>
      </c>
      <c r="B11" s="55" t="n">
        <v>14</v>
      </c>
    </row>
    <row r="28">
      <c r="A28" s="53" t="inlineStr">
        <is>
          <t>Estado del cruce entre fuentes</t>
        </is>
      </c>
    </row>
    <row r="29">
      <c r="A29" s="54" t="inlineStr">
        <is>
          <t>Estado</t>
        </is>
      </c>
      <c r="B29" s="54" t="inlineStr">
        <is>
          <t>Hechos</t>
        </is>
      </c>
    </row>
    <row r="30">
      <c r="A30" s="55" t="inlineStr">
        <is>
          <t>CONFORME</t>
        </is>
      </c>
      <c r="B30" s="55" t="n">
        <v>91</v>
      </c>
    </row>
    <row r="31">
      <c r="A31" s="56" t="inlineStr">
        <is>
          <t>COMPLEMENTADO</t>
        </is>
      </c>
      <c r="B31" s="56" t="n">
        <v>3</v>
      </c>
    </row>
    <row r="32">
      <c r="A32" s="55" t="inlineStr">
        <is>
          <t>ACTUALIZADO</t>
        </is>
      </c>
      <c r="B32" s="55" t="n">
        <v>2</v>
      </c>
    </row>
    <row r="33">
      <c r="A33" s="56" t="inlineStr">
        <is>
          <t>DISCREPANTE</t>
        </is>
      </c>
      <c r="B33" s="56" t="n">
        <v>0</v>
      </c>
    </row>
    <row r="34">
      <c r="A34" s="55" t="inlineStr">
        <is>
          <t>PENDIENTE</t>
        </is>
      </c>
      <c r="B34" s="55" t="n">
        <v>18</v>
      </c>
    </row>
    <row r="51">
      <c r="A51" s="53" t="inlineStr">
        <is>
          <t>Cobertura por estrato — campo (%)</t>
        </is>
      </c>
    </row>
    <row r="52">
      <c r="A52" s="54" t="inlineStr">
        <is>
          <t>Estrato</t>
        </is>
      </c>
      <c r="B52" s="54" t="inlineStr">
        <is>
          <t>% del área</t>
        </is>
      </c>
    </row>
    <row r="53">
      <c r="A53" s="55" t="inlineStr">
        <is>
          <t>Dosel</t>
        </is>
      </c>
      <c r="B53" s="60" t="n">
        <v>60</v>
      </c>
    </row>
    <row r="54">
      <c r="A54" s="56" t="inlineStr">
        <is>
          <t>Herbácea</t>
        </is>
      </c>
      <c r="B54" s="62" t="n">
        <v>30</v>
      </c>
    </row>
    <row r="55">
      <c r="A55" s="55" t="inlineStr">
        <is>
          <t>Suelo desnudo</t>
        </is>
      </c>
      <c r="B55" s="60" t="n">
        <v>20</v>
      </c>
    </row>
    <row r="72">
      <c r="A72" s="53" t="inlineStr">
        <is>
          <t>Causas activas de degradación (F-DT-04)</t>
        </is>
      </c>
    </row>
    <row r="73">
      <c r="A73" s="54" t="inlineStr">
        <is>
          <t>Causa</t>
        </is>
      </c>
      <c r="B73" s="54" t="inlineStr">
        <is>
          <t>Intensidad (1 ligera - 4 muy fuerte)</t>
        </is>
      </c>
    </row>
    <row r="74">
      <c r="A74" s="55" t="inlineStr">
        <is>
          <t>Cambio de uso a agricultura</t>
        </is>
      </c>
      <c r="B74" s="55" t="n">
        <v>2</v>
      </c>
    </row>
    <row r="75">
      <c r="A75" s="56" t="inlineStr">
        <is>
          <t>Sobrepastoreo (caprino/vacuno)</t>
        </is>
      </c>
      <c r="B75" s="56" t="n">
        <v>2</v>
      </c>
    </row>
    <row r="76">
      <c r="A76" s="55" t="inlineStr">
        <is>
          <t>Tala para leña</t>
        </is>
      </c>
      <c r="B76" s="55" t="n">
        <v>2</v>
      </c>
    </row>
    <row r="77">
      <c r="A77" s="56" t="inlineStr">
        <is>
          <t>Cambio de uso a pastoreo</t>
        </is>
      </c>
      <c r="B77" s="56" t="n">
        <v>1</v>
      </c>
    </row>
    <row r="94">
      <c r="A94" s="53" t="inlineStr">
        <is>
          <t>Control de consistencia por calificación</t>
        </is>
      </c>
    </row>
    <row r="95">
      <c r="A95" s="54" t="inlineStr">
        <is>
          <t>Calificación</t>
        </is>
      </c>
      <c r="B95" s="54" t="inlineStr">
        <is>
          <t>Verificaciones</t>
        </is>
      </c>
    </row>
    <row r="96">
      <c r="A96" s="55" t="inlineStr">
        <is>
          <t>SUSTANTIVA</t>
        </is>
      </c>
      <c r="B96" s="55" t="n">
        <v>5</v>
      </c>
    </row>
    <row r="97">
      <c r="A97" s="56" t="inlineStr">
        <is>
          <t>NO SUSTANTIVA</t>
        </is>
      </c>
      <c r="B97" s="56" t="n">
        <v>4</v>
      </c>
    </row>
    <row r="98">
      <c r="A98" s="55" t="inlineStr">
        <is>
          <t>CORREGIDO</t>
        </is>
      </c>
      <c r="B98" s="55" t="n">
        <v>2</v>
      </c>
    </row>
    <row r="99">
      <c r="A99" s="56" t="inlineStr">
        <is>
          <t>CONFORME</t>
        </is>
      </c>
      <c r="B99" s="56" t="n">
        <v>12</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M28B2 — IN Piura</dc:title>
  <dc:subject>Diagnóstico Territorial por bloque de intervención</dc:subject>
  <dcterms:created xsi:type="dcterms:W3CDTF">2026-09-08T03:39:58Z</dcterms:created>
  <dcterms:modified xsi:type="dcterms:W3CDTF">2026-09-11T20:22:37Z</dcterms:modified>
</cp:coreProperties>
</file>