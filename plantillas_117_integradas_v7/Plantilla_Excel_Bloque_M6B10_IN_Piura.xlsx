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integración'!$A$75:$A$84</f>
            </numRef>
          </cat>
          <val>
            <numRef>
              <f>'Gráficos de integración'!$B$75:$B$84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integración'!B102</f>
            </strRef>
          </tx>
          <spPr>
            <a:ln>
              <a:prstDash val="solid"/>
            </a:ln>
          </spPr>
          <cat>
            <numRef>
              <f>'Gráficos de integración'!$A$103:$A$106</f>
            </numRef>
          </cat>
          <val>
            <numRef>
              <f>'Gráficos de integración'!$B$103:$B$106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101</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M6B10</t>
        </is>
      </c>
    </row>
    <row r="6" ht="24" customHeight="1">
      <c r="A6" s="4" t="inlineStr">
        <is>
          <t>Diagnóstico Territorial — Plantilla DT Campo Check Validada V5 | Sistema de referencia: UTM WGS 84 Zona 17S (EPSG:32717) · Integrado con la ficha de campo F-DT vigente (F-DT_M6B10_Diagnostico_Territorial.xlsx) — V7 - resumen V6 + campo F-DT integrado</t>
        </is>
      </c>
    </row>
    <row r="7"/>
    <row r="8" ht="18" customHeight="1">
      <c r="A8" s="5" t="inlineStr">
        <is>
          <t>1. IDENTIFICACIÓN Y LOCALIZACIÓN</t>
        </is>
      </c>
    </row>
    <row r="9">
      <c r="A9" s="6" t="inlineStr">
        <is>
          <t>Código del bloque</t>
        </is>
      </c>
      <c r="B9" s="7" t="inlineStr">
        <is>
          <t>M6B10</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La Pilca</t>
        </is>
      </c>
      <c r="C13" s="6" t="inlineStr">
        <is>
          <t>Comunidad campesina</t>
        </is>
      </c>
      <c r="D13" s="7" t="inlineStr">
        <is>
          <t>No aplica / por confirmar con autoridades locales</t>
        </is>
      </c>
      <c r="E13" s="8" t="n"/>
      <c r="F13" s="8" t="n"/>
    </row>
    <row r="14">
      <c r="A14" s="6" t="inlineStr">
        <is>
          <t>Superficie de catálogo (V5/V6), ha</t>
        </is>
      </c>
      <c r="B14" s="7" t="n">
        <v>249.89</v>
      </c>
      <c r="C14" s="6" t="inlineStr">
        <is>
          <t>Fuente de superficie</t>
        </is>
      </c>
      <c r="D14" s="7" t="inlineStr">
        <is>
          <t>Catálogo maestro Bloques V5/V6</t>
        </is>
      </c>
      <c r="E14" s="8" t="n"/>
      <c r="F14" s="8" t="n"/>
    </row>
    <row r="15">
      <c r="A15" s="6" t="inlineStr">
        <is>
          <t>Centroide UTM ESTE (m)</t>
        </is>
      </c>
      <c r="B15" s="7" t="n">
        <v>618299</v>
      </c>
      <c r="C15" s="6" t="inlineStr">
        <is>
          <t>Centroide UTM NORTE (m)</t>
        </is>
      </c>
      <c r="D15" s="7" t="n">
        <v>9423119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158</v>
      </c>
      <c r="C19" s="6" t="inlineStr">
        <is>
          <t>Altitud máxima (msnm)</t>
        </is>
      </c>
      <c r="D19" s="7" t="n">
        <v>537</v>
      </c>
      <c r="E19" s="8" t="n"/>
      <c r="F19" s="8" t="n"/>
    </row>
    <row r="20">
      <c r="A20" s="6" t="inlineStr">
        <is>
          <t>Amplitud altitudinal (m)</t>
        </is>
      </c>
      <c r="B20" s="7" t="n">
        <v>379</v>
      </c>
      <c r="C20" s="6" t="inlineStr">
        <is>
          <t>Piso altitudinal dominante</t>
        </is>
      </c>
      <c r="D20" s="7" t="inlineStr">
        <is>
          <t>&lt;1000 m (Yunga)</t>
        </is>
      </c>
      <c r="E20" s="8" t="n"/>
      <c r="F20" s="8" t="n"/>
    </row>
    <row r="21">
      <c r="A21" s="6" t="inlineStr">
        <is>
          <t>Pendiente promedio (%)</t>
        </is>
      </c>
      <c r="B21" s="7" t="n">
        <v>20.6</v>
      </c>
      <c r="C21" s="6" t="inlineStr">
        <is>
          <t>Pendiente promedio (grados)</t>
        </is>
      </c>
      <c r="D21" s="7" t="n">
        <v>11.6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0.3099</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(56.95 %)</t>
        </is>
      </c>
      <c r="E29" s="8" t="n"/>
      <c r="F29" s="8" t="n"/>
    </row>
    <row r="30">
      <c r="A30" s="6" t="inlineStr">
        <is>
          <t>Superficie clasificada NDVI 2025 (ha)</t>
        </is>
      </c>
      <c r="B30" s="7" t="n">
        <v>250.004</v>
      </c>
      <c r="C30" s="6" t="inlineStr">
        <is>
          <t>Desviación frente al catálogo (%)</t>
        </is>
      </c>
      <c r="D30" s="7" t="n">
        <v>0.05</v>
      </c>
      <c r="E30" s="8" t="n"/>
      <c r="F30" s="8" t="n"/>
    </row>
    <row r="31">
      <c r="A31" s="6" t="inlineStr">
        <is>
          <t>Superficie clasificada MSAVI 2024 (ha)</t>
        </is>
      </c>
      <c r="B31" s="39" t="n">
        <v>249.891</v>
      </c>
      <c r="C31" s="6" t="inlineStr">
        <is>
          <t>Desviación MSAVI frente al catálogo (%)</t>
        </is>
      </c>
      <c r="D31" s="40" t="n">
        <v>0</v>
      </c>
      <c r="E31" s="8" t="n"/>
      <c r="F31" s="8" t="n"/>
    </row>
    <row r="32">
      <c r="A32" s="6" t="inlineStr">
        <is>
          <t>Superficie bajo umbral MSAVI 0.4976 (ha)</t>
        </is>
      </c>
      <c r="B32" s="39" t="n">
        <v>249.454</v>
      </c>
      <c r="C32" s="6" t="inlineStr">
        <is>
          <t>% del bloque bajo umbral (brecha espectral)</t>
        </is>
      </c>
      <c r="D32" s="40" t="n">
        <v>99.83</v>
      </c>
      <c r="E32" s="8" t="n"/>
      <c r="F32" s="8" t="n"/>
    </row>
    <row r="33">
      <c r="A33" s="6" t="inlineStr">
        <is>
          <t>Clase DN dominante (MSAVI 2024)</t>
        </is>
      </c>
      <c r="B33" s="7" t="inlineStr">
        <is>
          <t>DN 2 · 0.2650 - 0.3813 (Vigor muy bajo)</t>
        </is>
      </c>
      <c r="C33" s="6" t="inlineStr">
        <is>
          <t>N.° de polígonos MSAVI del bloque</t>
        </is>
      </c>
      <c r="D33" s="41" t="n">
        <v>726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51" t="inlineStr">
        <is>
          <t>Aproximadamente 200</t>
        </is>
      </c>
      <c r="E36" s="8" t="n"/>
      <c r="F36" s="8" t="n"/>
    </row>
    <row r="37">
      <c r="A37" s="6" t="inlineStr">
        <is>
          <t>Estado de conservación</t>
        </is>
      </c>
      <c r="B37" s="7" t="inlineStr">
        <is>
          <t>Medianamente alterado</t>
        </is>
      </c>
      <c r="C37" s="6" t="inlineStr">
        <is>
          <t>Uso actual dominante del suelo</t>
        </is>
      </c>
      <c r="D37" s="51" t="inlineStr">
        <is>
          <t>Forestal protección</t>
        </is>
      </c>
      <c r="E37" s="8" t="n"/>
      <c r="F37" s="8" t="n"/>
    </row>
    <row r="38">
      <c r="A38" s="6" t="inlineStr">
        <is>
          <t>Tipo de cobertura dominante</t>
        </is>
      </c>
      <c r="B38" s="7" t="inlineStr">
        <is>
          <t>Matorral ralo</t>
        </is>
      </c>
      <c r="C38" s="6" t="inlineStr">
        <is>
          <t>Cobertura vegetal total — campo (%)</t>
        </is>
      </c>
      <c r="D38" s="7" t="n">
        <v>30</v>
      </c>
      <c r="E38" s="8" t="n"/>
      <c r="F38" s="8" t="n"/>
    </row>
    <row r="39">
      <c r="A39" s="6" t="inlineStr">
        <is>
          <t>Suelo desnudo — campo (%)</t>
        </is>
      </c>
      <c r="B39" s="7" t="n">
        <v>30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51" t="inlineStr">
        <is>
          <t>Inventario preliminar (no consignado el número)</t>
        </is>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1" t="inlineStr">
        <is>
          <t>Ing. Héctor Salomón Cahuas Miller, Ing. Juan Carlos Domínguez Vaaras — Esp. Forestales-Infraestructura Natural / ANIN-DIME-SESDI</t>
        </is>
      </c>
      <c r="C44" s="6" t="inlineStr">
        <is>
          <t>Fecha de evaluación</t>
        </is>
      </c>
      <c r="D44" s="7" t="inlineStr">
        <is>
          <t>2026-05-13</t>
        </is>
      </c>
      <c r="E44" s="8" t="n"/>
      <c r="F44" s="8" t="n"/>
    </row>
    <row r="45">
      <c r="A45" s="6" t="inlineStr">
        <is>
          <t>Hora de registro</t>
        </is>
      </c>
      <c r="B45" s="51" t="inlineStr">
        <is>
          <t>08:00 - 10:00 a.m.</t>
        </is>
      </c>
      <c r="C45" s="6" t="inlineStr">
        <is>
          <t>Correlativo de ficha</t>
        </is>
      </c>
      <c r="D45" s="7" t="inlineStr">
        <is>
          <t>F-DT-01-M6B10-001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(cara oeste, ladera media)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alternativas económicas locales + débil gobernanza forestal y debilitada presencia institucional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M6B10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0.4365</v>
      </c>
      <c r="C11" s="21">
        <f>ROUND(B11/$B$15*100,2)</f>
        <v/>
      </c>
      <c r="D11" s="13" t="inlineStr">
        <is>
          <t>Vigor moderado</t>
        </is>
      </c>
      <c r="E11" s="13" t="inlineStr">
        <is>
          <t>Sobre umbral</t>
        </is>
      </c>
    </row>
    <row r="12">
      <c r="A12" s="7" t="inlineStr">
        <is>
          <t>0.3813 - 0.4976 · DN 3</t>
        </is>
      </c>
      <c r="B12" s="18" t="n">
        <v>46.448</v>
      </c>
      <c r="C12" s="19">
        <f>ROUND(B12/$B$15*100,2)</f>
        <v/>
      </c>
      <c r="D12" s="11" t="inlineStr">
        <is>
          <t>Vigor bajo</t>
        </is>
      </c>
      <c r="E12" s="11" t="inlineStr">
        <is>
          <t>BAJO umbral 0.4976</t>
        </is>
      </c>
    </row>
    <row r="13">
      <c r="A13" s="14" t="inlineStr">
        <is>
          <t>0.2650 - 0.3813 · DN 2</t>
        </is>
      </c>
      <c r="B13" s="32" t="n">
        <v>127.182</v>
      </c>
      <c r="C13" s="31">
        <f>ROUND(B13/$B$15*100,2)</f>
        <v/>
      </c>
      <c r="D13" s="15" t="inlineStr">
        <is>
          <t>Vigor muy bajo</t>
        </is>
      </c>
      <c r="E13" s="15" t="inlineStr">
        <is>
          <t>BAJO umbral 0.4976</t>
        </is>
      </c>
    </row>
    <row r="14">
      <c r="A14" s="7" t="inlineStr">
        <is>
          <t>&lt;= 0.2650 · DN 1</t>
        </is>
      </c>
      <c r="B14" s="18" t="n">
        <v>75.824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726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249.89</v>
      </c>
      <c r="C18" s="50" t="inlineStr">
        <is>
          <t>—</t>
        </is>
      </c>
      <c r="D18" s="47" t="inlineStr">
        <is>
          <t>Desviación planimétrica frente al catálogo</t>
        </is>
      </c>
      <c r="E18" s="47" t="inlineStr">
        <is>
          <t>+0.00 %</t>
        </is>
      </c>
    </row>
    <row r="19">
      <c r="A19" s="16" t="inlineStr">
        <is>
          <t>MSAVI 2024 — MEDIA DEL BLOQUE</t>
        </is>
      </c>
      <c r="B19" s="17" t="n">
        <v>0.30989</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726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(0.3099)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0.2047</v>
      </c>
      <c r="C25" s="19" t="n">
        <v>0.08</v>
      </c>
      <c r="D25" s="11" t="inlineStr">
        <is>
          <t>Dosel continuo, matorral denso o mosaico agroforestal</t>
        </is>
      </c>
      <c r="E25" s="11" t="inlineStr"/>
    </row>
    <row r="26">
      <c r="A26" s="12" t="inlineStr">
        <is>
          <t>Vegetación mediana</t>
        </is>
      </c>
      <c r="B26" s="20" t="n">
        <v>57.3494</v>
      </c>
      <c r="C26" s="21" t="n">
        <v>22.94</v>
      </c>
      <c r="D26" s="13" t="inlineStr">
        <is>
          <t>Pastizal cultivado, matorral ralo, parcelas agrícolas</t>
        </is>
      </c>
      <c r="E26" s="13" t="inlineStr"/>
    </row>
    <row r="27">
      <c r="A27" s="7" t="inlineStr">
        <is>
          <t>Vegetación ligera</t>
        </is>
      </c>
      <c r="B27" s="18" t="n">
        <v>142.3668</v>
      </c>
      <c r="C27" s="19" t="n">
        <v>56.95</v>
      </c>
      <c r="D27" s="11" t="inlineStr">
        <is>
          <t>Cobertura discontinua, suelo parcialmente expuesto</t>
        </is>
      </c>
      <c r="E27" s="11" t="inlineStr"/>
    </row>
    <row r="28">
      <c r="A28" s="12" t="inlineStr">
        <is>
          <t>Tierra desnuda</t>
        </is>
      </c>
      <c r="B28" s="20" t="n">
        <v>50.083</v>
      </c>
      <c r="C28" s="21" t="n">
        <v>20.03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249.89</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0.08 % del polígono clasificado como «Vegetación alta» por el NDVI 2025; la observación de campo corresponde a una parcela o recorrido puntual y no es estadísticamente representativa de las 249.890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M6B10</t>
        </is>
      </c>
    </row>
    <row r="6" ht="24" customHeight="1">
      <c r="A6" s="4" t="inlineStr">
        <is>
          <t>Levantamiento del 2026-05-13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617140</v>
      </c>
      <c r="D10" s="26" t="n">
        <v>9423015</v>
      </c>
      <c r="E10" s="11" t="n">
        <v>1163.7</v>
      </c>
      <c r="F10" s="11" t="inlineStr"/>
      <c r="G10" s="11" t="inlineStr">
        <is>
          <t>Coordenada consignada en F-DT-01</t>
        </is>
      </c>
    </row>
    <row r="11">
      <c r="A11" s="12" t="inlineStr">
        <is>
          <t>H-01</t>
        </is>
      </c>
      <c r="B11" s="13" t="inlineStr">
        <is>
          <t>Fuente de agua — Quebrada estacional</t>
        </is>
      </c>
      <c r="C11" s="27" t="n">
        <v>617400</v>
      </c>
      <c r="D11" s="27" t="n">
        <v>9423050</v>
      </c>
      <c r="E11" s="13" t="n">
        <v>901.6</v>
      </c>
      <c r="F11" s="13" t="inlineStr">
        <is>
          <t>Estacional</t>
        </is>
      </c>
      <c r="G11" s="13" t="inlineStr">
        <is>
          <t>Quebrada sin nombre que bordea el flanco norte</t>
        </is>
      </c>
    </row>
    <row r="12">
      <c r="A12" s="7" t="inlineStr">
        <is>
          <t>H-02</t>
        </is>
      </c>
      <c r="B12" s="11" t="inlineStr">
        <is>
          <t>Fuente de agua — Río</t>
        </is>
      </c>
      <c r="C12" s="26" t="n">
        <v>618800</v>
      </c>
      <c r="D12" s="26" t="n">
        <v>9422700</v>
      </c>
      <c r="E12" s="11" t="n">
        <v>653.1</v>
      </c>
      <c r="F12" s="11" t="inlineStr">
        <is>
          <t>Permanente</t>
        </is>
      </c>
      <c r="G12" s="11" t="inlineStr">
        <is>
          <t>Río Piura, eje hidrológico regional</t>
        </is>
      </c>
    </row>
    <row r="13">
      <c r="A13" s="12" t="inlineStr">
        <is>
          <t>H-03</t>
        </is>
      </c>
      <c r="B13" s="13" t="inlineStr">
        <is>
          <t>Fuente de agua — Canal de riego</t>
        </is>
      </c>
      <c r="C13" s="27" t="n">
        <v>617050</v>
      </c>
      <c r="D13" s="27" t="n">
        <v>9422850</v>
      </c>
      <c r="E13" s="13" t="n">
        <v>1277.6</v>
      </c>
      <c r="F13" s="13" t="inlineStr">
        <is>
          <t>Permanente</t>
        </is>
      </c>
      <c r="G13" s="13" t="inlineStr">
        <is>
          <t>Canal de riego del sistema del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618299</v>
      </c>
      <c r="C16" s="6" t="inlineStr">
        <is>
          <t>Centroide del bloque — UTM NORTE (m)</t>
        </is>
      </c>
      <c r="D16" s="7" t="n">
        <v>9423119</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CERRO AISLADO enclavado entre la planicie aluvial cultivada del valle del río Piura (SE) y los centros poblados de Pilca, Ingenio (O) y Maravilla (S). TRES UNIDADES FISIOGRÁFICAS INTERNAS: (i) cresta rocosa con afloramientos y vegetación arbustiva-cactácea; (ii) ladera media con bosque seco caducifolio EN MEJOR ESTADO; (iii) pie de monte y bordes de quebrada sin nombre, CON MAYOR PRESIÓN ANTRÓPICA (pastoreo y huellas). Pendientes máximas registradas en Google Earth: 61.4% (cara oeste, sobre Pilca). El acceso se realiza desde la trocha que parte del C.P. La Pilca, tras cruzar la Quebrada sin nombre (punto de ingreso 617 345 E · 9 422 993 N).</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M6B10</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4" t="inlineStr">
        <is>
          <t>► M6B10</t>
        </is>
      </c>
      <c r="B13" s="30" t="n">
        <v>249.89</v>
      </c>
      <c r="C13" s="31" t="n">
        <v>16.08</v>
      </c>
      <c r="D13" s="15" t="inlineStr">
        <is>
          <t>158 – 537</t>
        </is>
      </c>
      <c r="E13" s="15" t="n">
        <v>379</v>
      </c>
      <c r="F13" s="15" t="n">
        <v>20.6</v>
      </c>
      <c r="G13" s="32" t="n">
        <v>0.3099</v>
      </c>
      <c r="H13" s="31" t="n">
        <v>0.08</v>
      </c>
      <c r="I13" s="3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c r="I15" s="23">
        <f>ROUND(AVERAGE(I10:I14),2)</f>
        <v/>
      </c>
    </row>
    <row r="17" ht="84" customHeight="1">
      <c r="A17" s="9" t="inlineStr">
        <is>
          <t>LECTURA INTRAMICROCUENCA. El bloque M6B10 ocupa el puesto 4 de 5 por superficie dentro de la microcuenca C1077-Q9566 (16.08 % de las 1553.97 ha preliminares de la microcuenca). Su pendiente promedio (20.60 %, clase «15-25% (Fuert. inclinado)») es la 5.ª más baja de 5 y se sitúa por encima del promedio de la microcuenca (18.02 %). Su MSAVI 2024 (0.3099) es el 4.º de 5 y queda por debajo del promedio local (0.3393). Amplitud altitudinal del bloque: 379 m (158–537 msnm). El cuadro conserva todos los bloques catalogados en la microcuenca, incluidos los descartados en el tamizaje, para referencia del conjunto. Los bloques sin ficha DT figuran con sus parámetros de gabinete. BRECHA ESPECTRAL. El 99.83 % de la superficie del bloque (249.454 ha de 249.891 ha) se sitúa bajo el umbral MSAVI 0.4976, por encima del promedio local de la microcuenca (97.63 %) calculado sobre los bloques con dato MSAVI disponible.</t>
        </is>
      </c>
      <c r="B17" s="42" t="n"/>
      <c r="C17" s="42" t="n"/>
      <c r="D17" s="42" t="n"/>
      <c r="E17" s="42" t="n"/>
      <c r="F17" s="42" t="n"/>
      <c r="G17" s="42" t="n"/>
      <c r="H17" s="42" t="n"/>
      <c r="I17" s="43"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2" t="n"/>
      <c r="I19" s="43" t="n"/>
    </row>
  </sheetData>
  <mergeCells count="9">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M6B10</t>
        </is>
      </c>
    </row>
    <row r="6">
      <c r="A6" s="53" t="inlineStr">
        <is>
          <t>Cruce de la ficha de campo F-DT vigente con la ficha de resumen de gabinete y el catálogo maestro. Integración 2026-09-11 20:22:39.</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«C1077-Q9566».</t>
        </is>
      </c>
      <c r="D9" s="57" t="inlineStr">
        <is>
          <t>CONFORME</t>
        </is>
      </c>
      <c r="E9" s="57" t="inlineStr">
        <is>
          <t>Sin acción.</t>
        </is>
      </c>
    </row>
    <row r="10">
      <c r="A10" s="58" t="inlineStr">
        <is>
          <t>G-02</t>
        </is>
      </c>
      <c r="B10" s="58" t="inlineStr">
        <is>
          <t>UTM del punto de muestreo</t>
        </is>
      </c>
      <c r="C10" s="58" t="inlineStr">
        <is>
          <t>El punto de muestreo declarado dista 962.3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(165 msnm) cae dentro del rango altitudinal del bloque (158 - 537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(250.004 ha) se desvía 0.05 % de la superficie de catálogo (249.89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(249.891 ha) se desvía 0.00 % de la superficie de catálogo (249.89 ha).</t>
        </is>
      </c>
      <c r="D14" s="58" t="inlineStr">
        <is>
          <t>CONFORME</t>
        </is>
      </c>
      <c r="E14" s="58" t="inlineStr">
        <is>
          <t>Sin acción: la segmentación valida la geometría del bloque.</t>
        </is>
      </c>
    </row>
    <row r="15">
      <c r="A15" s="57" t="inlineStr">
        <is>
          <t>G-07</t>
        </is>
      </c>
      <c r="B15" s="57" t="inlineStr">
        <is>
          <t>Brecha espectral MSAVI</t>
        </is>
      </c>
      <c r="C15" s="57" t="inlineStr">
        <is>
          <t>El 99.83 % del bloque queda bajo el umbral 0.4976; superficie de brecha 249.45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249.89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(0.3099)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Superficie de ecosistema (ha)</t>
        </is>
      </c>
      <c r="C19" s="57" t="inlineStr">
        <is>
          <t>El libro de resumen V6 consignaba «≈200 ha (de 249.89 ha del bloque)»; la ficha de campo vigente declara «Aproximadamente 200».</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Uso actual dominante del suelo</t>
        </is>
      </c>
      <c r="C20" s="58" t="inlineStr">
        <is>
          <t>El libro de resumen V6 consignaba «Forestal de protección»; la ficha de campo vigente declara «Forestal protección».</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Responsable de la evaluación</t>
        </is>
      </c>
      <c r="C21" s="57" t="inlineStr">
        <is>
          <t>El libro de resumen V6 consignaba «Ing. H. S. Cahuas Miller / Ing. J.C. Domínguez Varas»; la ficha de campo vigente declara «Ing. Héctor Salomón Cahuas Miller, Ing. Juan Carlos Domínguez Vaaras — Esp. Forestales-Infraestructura Natural / ANIN-DIME-SESDI».</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Hora de registro</t>
        </is>
      </c>
      <c r="C22" s="58" t="inlineStr">
        <is>
          <t>El libro de resumen V6 consignaba «08:00 - 10:00 h»; la ficha de campo vigente declara «08:00 - 10:00 a.m.».</t>
        </is>
      </c>
      <c r="D22" s="58" t="inlineStr">
        <is>
          <t>CORREGIDO</t>
        </is>
      </c>
      <c r="E22" s="58" t="inlineStr">
        <is>
          <t>Se adopta el valor de campo por ser la fuente que manda sobre el dato y la más reciente. El valor anterior queda declarado para trazabilidad.</t>
        </is>
      </c>
    </row>
    <row r="23">
      <c r="A23" s="57" t="inlineStr">
        <is>
          <t>F-01</t>
        </is>
      </c>
      <c r="B23" s="57" t="inlineStr">
        <is>
          <t>Fichas F-DT levantadas</t>
        </is>
      </c>
      <c r="C23" s="57" t="inlineStr">
        <is>
          <t>La plantilla de campo trae las cinco fichas F-DT-01 a F-DT-05 (completitud 100.0 % de los campos esperados).</t>
        </is>
      </c>
      <c r="D23" s="57" t="inlineStr">
        <is>
          <t>CONFORME</t>
        </is>
      </c>
      <c r="E23" s="57" t="inlineStr">
        <is>
          <t>Sin acción.</t>
        </is>
      </c>
    </row>
    <row r="24">
      <c r="A24" s="58" t="inlineStr">
        <is>
          <t>F-02</t>
        </is>
      </c>
      <c r="B24" s="58" t="inlineStr">
        <is>
          <t>Cobertura de la integración</t>
        </is>
      </c>
      <c r="C24" s="58" t="inlineStr">
        <is>
          <t>Se declararon 110 de 114 hechos integrados (96.5 %); 4 quedan sin dato en ninguna fuente.</t>
        </is>
      </c>
      <c r="D24" s="58" t="inlineStr">
        <is>
          <t>CONFORME</t>
        </is>
      </c>
      <c r="E24" s="58" t="inlineStr">
        <is>
          <t>Sin acción.</t>
        </is>
      </c>
    </row>
    <row r="25">
      <c r="A25" s="57" t="inlineStr">
        <is>
          <t>H-01</t>
        </is>
      </c>
      <c r="B25" s="57" t="inlineStr">
        <is>
          <t>Rango de pendiente dominante</t>
        </is>
      </c>
      <c r="C25" s="57" t="inlineStr">
        <is>
          <t>La ficha DT declara «25-50% (Mod. escarpado)»; la estadística zonal sobre el MDE arroja una pendiente promedio de 20.60 %, que corresponde a la clase «15-25% (Fuert. inclinado)»</t>
        </is>
      </c>
      <c r="D25" s="57" t="inlineStr">
        <is>
          <t>NO SUSTANTIVA</t>
        </is>
      </c>
      <c r="E25"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6">
      <c r="A26" s="58" t="inlineStr">
        <is>
          <t>H-02</t>
        </is>
      </c>
      <c r="B26" s="58" t="inlineStr">
        <is>
          <t>Cobertura vegetal total</t>
        </is>
      </c>
      <c r="C26" s="58" t="inlineStr">
        <is>
          <t>La ficha DT estima 30 % de cobertura vegetal en campo; el NDVI mediana 2025 clasifica 79.97 % del polígono en clases de vegetación</t>
        </is>
      </c>
      <c r="D26" s="58" t="inlineStr">
        <is>
          <t>NO SUSTANTIVA</t>
        </is>
      </c>
      <c r="E26"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7">
      <c r="A27" s="57" t="inlineStr">
        <is>
          <t>H-03</t>
        </is>
      </c>
      <c r="B27" s="57" t="inlineStr">
        <is>
          <t>Elenco florístico</t>
        </is>
      </c>
      <c r="C27" s="57" t="inlineStr">
        <is>
          <t>La ficha registra 13 taxones, por debajo del mínimo de 15 que exige el formato V5</t>
        </is>
      </c>
      <c r="D27" s="57" t="inlineStr">
        <is>
          <t>SUSTANTIVA</t>
        </is>
      </c>
      <c r="E27" s="57" t="inlineStr">
        <is>
          <t>Registro florístico preliminar, sin colecta ni determinación botánica formal. Debe cerrarse con colecta botánica en la siguiente campaña. (Verificación heredada de la ficha de resumen V6.)</t>
        </is>
      </c>
    </row>
    <row r="28">
      <c r="A28" s="58" t="inlineStr">
        <is>
          <t>H-04</t>
        </is>
      </c>
      <c r="B28" s="58" t="inlineStr">
        <is>
          <t>Representatividad del levantamiento</t>
        </is>
      </c>
      <c r="C28" s="58" t="inlineStr">
        <is>
          <t>Ninguna de las estaciones fotográficas georreferenciadas se localiza dentro del polígono del bloque</t>
        </is>
      </c>
      <c r="D28" s="58" t="inlineStr">
        <is>
          <t>SUSTANTIVA</t>
        </is>
      </c>
      <c r="E28" s="58" t="inlineStr">
        <is>
          <t>La verificación documenta el perímetro y la vista panorámica del bloque, no su interior. Los parámetros que exigen recorrido interno se consignan «Por determinar». (Verificación heredada de la ficha de resumen V6.)</t>
        </is>
      </c>
    </row>
    <row r="29">
      <c r="A29" s="57" t="inlineStr">
        <is>
          <t>H-05</t>
        </is>
      </c>
      <c r="B29" s="57" t="inlineStr">
        <is>
          <t>Centro poblado asociado</t>
        </is>
      </c>
      <c r="C29" s="57" t="inlineStr">
        <is>
          <t>La ficha DT declara «Caserío La Pilca»; el cruce INEI-Bloques V5 identifica 3 centro(s) poblado(s) en el bloque: INGENIO DE BUENOS AIRES, LA MARAVILLA, LA PILCA</t>
        </is>
      </c>
      <c r="D29" s="57" t="inlineStr">
        <is>
          <t>CONFORME</t>
        </is>
      </c>
      <c r="E29" s="57" t="inlineStr">
        <is>
          <t>Se conserva el registro de campo como referencia y se adopta el listado INEI para el diagnóstico social y el cálculo de población beneficiaria. (Verificación heredada de la ficha de resumen V6.)</t>
        </is>
      </c>
    </row>
    <row r="30">
      <c r="A30" s="58" t="inlineStr">
        <is>
          <t>H-06</t>
        </is>
      </c>
      <c r="B30" s="58" t="inlineStr">
        <is>
          <t>Plan de Ingreso</t>
        </is>
      </c>
      <c r="C30" s="58" t="inlineStr">
        <is>
          <t>Altitud = 0 msnm (captura por defecto del aplicativo)</t>
        </is>
      </c>
      <c r="D30" s="58" t="inlineStr">
        <is>
          <t>CORREGIDO</t>
        </is>
      </c>
      <c r="E30" s="58" t="inlineStr">
        <is>
          <t>Se reemplaza por la altitud GPS de campo (244 msnm) (Verificación heredada de la ficha de resumen V6.)</t>
        </is>
      </c>
    </row>
    <row r="31">
      <c r="A31" s="57" t="inlineStr">
        <is>
          <t>H-07</t>
        </is>
      </c>
      <c r="B31" s="57" t="inlineStr">
        <is>
          <t>F-DT-02</t>
        </is>
      </c>
      <c r="C31" s="57" t="inlineStr">
        <is>
          <t>Se declara longitud total de cárcavas (380 m) y % de bloque afectado (12%) sin consignar el número de cárcavas ni su georreferencia</t>
        </is>
      </c>
      <c r="D31" s="57" t="inlineStr">
        <is>
          <t>SUSTANTIVA</t>
        </is>
      </c>
      <c r="E31" s="57" t="inlineStr">
        <is>
          <t>Recorrido sistemático con GPS pendiente (Verificación heredada de la ficha de resumen V6.)</t>
        </is>
      </c>
    </row>
    <row r="32">
      <c r="A32" s="58" t="inlineStr">
        <is>
          <t>H-08</t>
        </is>
      </c>
      <c r="B32" s="58" t="inlineStr">
        <is>
          <t>F-DT-04</t>
        </is>
      </c>
      <c r="C32" s="58" t="inlineStr">
        <is>
          <t>Frecuencia de quemas sin valor pese a registrarse quema de renovación de pastos (18%) y quema accidental (10%)</t>
        </is>
      </c>
      <c r="D32" s="58" t="inlineStr">
        <is>
          <t>SUSTANTIVA</t>
        </is>
      </c>
      <c r="E32" s="58" t="inlineStr">
        <is>
          <t>El indicador no puede quedar vacío (Verificación heredada de la ficha de resumen V6.)</t>
        </is>
      </c>
    </row>
    <row r="33">
      <c r="A33" s="57" t="inlineStr">
        <is>
          <t>H-09</t>
        </is>
      </c>
      <c r="B33" s="57" t="inlineStr">
        <is>
          <t>F-DT-03</t>
        </is>
      </c>
      <c r="C33" s="57" t="inlineStr">
        <is>
          <t>Categorías de amenaza incompletas para Palo santo y Charán</t>
        </is>
      </c>
      <c r="D33" s="57" t="inlineStr">
        <is>
          <t>NO SUSTANTIVA</t>
        </is>
      </c>
      <c r="E33" s="57" t="inlineStr">
        <is>
          <t>Completar categorización (Verificación heredada de la ficha de resumen V6.)</t>
        </is>
      </c>
    </row>
    <row r="34">
      <c r="A34" s="58" t="inlineStr">
        <is>
          <t>H-10</t>
        </is>
      </c>
      <c r="B34" s="58" t="inlineStr">
        <is>
          <t>F-DT-05</t>
        </is>
      </c>
      <c r="C34" s="58" t="inlineStr">
        <is>
          <t>Escorrentía concentrada «No» pese a que el bloque se declara zona de generación de escorrentía hacia el río Piura</t>
        </is>
      </c>
      <c r="D34" s="58" t="inlineStr">
        <is>
          <t>SUSTANTIVA</t>
        </is>
      </c>
      <c r="E34" s="58" t="inlineStr">
        <is>
          <t>Inconsistencia interna a resolver (Verificación heredada de la ficha de resumen V6.)</t>
        </is>
      </c>
    </row>
    <row r="36">
      <c r="A36" s="59" t="inlineStr">
        <is>
          <t>RESUMEN</t>
        </is>
      </c>
      <c r="B36" s="60" t="inlineStr">
        <is>
          <t>26 verificaciones</t>
        </is>
      </c>
      <c r="C36" s="60" t="inlineStr">
        <is>
          <t>SUSTANTIVA: 6 · NO SUSTANTIVA: 3 · CORREGIDO: 5 · CONFORME: 12</t>
        </is>
      </c>
    </row>
    <row r="38">
      <c r="A38"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38:E38"/>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M6B10</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Superficie de ecosistema (ha)</t>
        </is>
      </c>
      <c r="C9" s="57" t="inlineStr">
        <is>
          <t>≈200 ha (de 249.89 ha del bloque)</t>
        </is>
      </c>
      <c r="D9" s="57" t="inlineStr">
        <is>
          <t>Aproximadamente 200</t>
        </is>
      </c>
      <c r="E9" s="57" t="inlineStr">
        <is>
          <t>Dato de campo</t>
        </is>
      </c>
    </row>
    <row r="10">
      <c r="A10" s="58" t="inlineStr">
        <is>
          <t>5. Ecosistema, cobertura y flora (F-DT-03)</t>
        </is>
      </c>
      <c r="B10" s="58" t="inlineStr">
        <is>
          <t>Uso actual dominante del suelo</t>
        </is>
      </c>
      <c r="C10" s="58" t="inlineStr">
        <is>
          <t>Forestal de protección</t>
        </is>
      </c>
      <c r="D10" s="58" t="inlineStr">
        <is>
          <t>Forestal protección</t>
        </is>
      </c>
      <c r="E10" s="58" t="inlineStr">
        <is>
          <t>Dato de campo</t>
        </is>
      </c>
    </row>
    <row r="11">
      <c r="A11" s="57" t="inlineStr">
        <is>
          <t>8. Responsable y modalidad de la evaluación</t>
        </is>
      </c>
      <c r="B11" s="57" t="inlineStr">
        <is>
          <t>Responsable de la evaluación</t>
        </is>
      </c>
      <c r="C11" s="57" t="inlineStr">
        <is>
          <t>Ing. H. S. Cahuas Miller / Ing. J.C. Domínguez Varas</t>
        </is>
      </c>
      <c r="D11" s="57" t="inlineStr">
        <is>
          <t>Ing. Héctor Salomón Cahuas Miller, Ing. Juan Carlos Domínguez Vaaras — Esp. Forestales-Infraestructura Natural / ANIN-DIME-SESDI</t>
        </is>
      </c>
      <c r="E11" s="57" t="inlineStr">
        <is>
          <t>Dato de campo</t>
        </is>
      </c>
    </row>
    <row r="12">
      <c r="A12" s="58" t="inlineStr">
        <is>
          <t>8. Responsable y modalidad de la evaluación</t>
        </is>
      </c>
      <c r="B12" s="58" t="inlineStr">
        <is>
          <t>Hora de registro</t>
        </is>
      </c>
      <c r="C12" s="58" t="inlineStr">
        <is>
          <t>08:00 - 10:00 h</t>
        </is>
      </c>
      <c r="D12" s="58" t="inlineStr">
        <is>
          <t>08:00 - 10:00 a.m.</t>
        </is>
      </c>
      <c r="E12" s="58" t="inlineStr">
        <is>
          <t>Dato de campo</t>
        </is>
      </c>
    </row>
    <row r="14">
      <c r="A14" s="55" t="inlineStr">
        <is>
          <t>B. HECHOS APORTADOS ÚNICAMENTE POR LA FICHA DE CAMPO</t>
        </is>
      </c>
    </row>
    <row r="15">
      <c r="A15" s="56" t="inlineStr">
        <is>
          <t>Sección</t>
        </is>
      </c>
      <c r="B15" s="56" t="inlineStr">
        <is>
          <t>Hecho</t>
        </is>
      </c>
      <c r="C15" s="56" t="inlineStr">
        <is>
          <t>Valor</t>
        </is>
      </c>
      <c r="D15" s="56" t="inlineStr">
        <is>
          <t>Unidad</t>
        </is>
      </c>
    </row>
    <row r="16">
      <c r="A16" s="57" t="inlineStr">
        <is>
          <t>1. Identificación y localización</t>
        </is>
      </c>
      <c r="B16" s="57" t="inlineStr">
        <is>
          <t>UTM ESTE del punto de muestreo (m)</t>
        </is>
      </c>
      <c r="C16" s="57" t="inlineStr">
        <is>
          <t>617345</t>
        </is>
      </c>
      <c r="D16" s="57" t="inlineStr">
        <is>
          <t>m</t>
        </is>
      </c>
    </row>
    <row r="17">
      <c r="A17" s="58" t="inlineStr">
        <is>
          <t>1. Identificación y localización</t>
        </is>
      </c>
      <c r="B17" s="58" t="inlineStr">
        <is>
          <t>UTM NORTE del punto de muestreo (m)</t>
        </is>
      </c>
      <c r="C17" s="58" t="inlineStr">
        <is>
          <t>9422993</t>
        </is>
      </c>
      <c r="D17" s="58" t="inlineStr">
        <is>
          <t>m</t>
        </is>
      </c>
    </row>
    <row r="18">
      <c r="A18" s="57" t="inlineStr">
        <is>
          <t>2. Parámetros físicos del terreno</t>
        </is>
      </c>
      <c r="B18" s="57" t="inlineStr">
        <is>
          <t>Altitud GPS del punto de muestreo (msnm)</t>
        </is>
      </c>
      <c r="C18" s="57" t="inlineStr">
        <is>
          <t>165</t>
        </is>
      </c>
      <c r="D18" s="57" t="inlineStr">
        <is>
          <t>msnm</t>
        </is>
      </c>
    </row>
    <row r="19">
      <c r="A19" s="58" t="inlineStr">
        <is>
          <t>2. Parámetros físicos del terreno</t>
        </is>
      </c>
      <c r="B19" s="58" t="inlineStr">
        <is>
          <t>Piso altitudinal del punto de muestreo</t>
        </is>
      </c>
      <c r="C19" s="58" t="inlineStr">
        <is>
          <t>&lt;1000 m (Yunga)</t>
        </is>
      </c>
      <c r="D19" s="58" t="inlineStr"/>
    </row>
    <row r="20">
      <c r="A20" s="57" t="inlineStr">
        <is>
          <t>2. Parámetros físicos del terreno</t>
        </is>
      </c>
      <c r="B20" s="57" t="inlineStr">
        <is>
          <t>Paisaje dominante descrito en campo</t>
        </is>
      </c>
      <c r="C20" s="57" t="inlineStr">
        <is>
          <t>Cerro aislado de origen estructural, emergente sobre la terraza aluvial del río Piura, con cima rocosa, vertientes de pendiente moderada a fuerte cubiertas por bosque seco estacionalmente caducifolio. Rango altitudinal del bloque: 145–368 msnm (perfil Google Earth). Cara occidental orientada al centro poblado Pilca; cara sur/oriental hacia el cauce del río Piura.</t>
        </is>
      </c>
      <c r="D20" s="57" t="inlineStr"/>
    </row>
    <row r="21">
      <c r="A21" s="58" t="inlineStr">
        <is>
          <t>2. Parámetros físicos del terreno</t>
        </is>
      </c>
      <c r="B21" s="58" t="inlineStr">
        <is>
          <t>Reptación de suelo</t>
        </is>
      </c>
      <c r="C21" s="58" t="inlineStr">
        <is>
          <t>No</t>
        </is>
      </c>
      <c r="D21" s="58" t="inlineStr"/>
    </row>
    <row r="22">
      <c r="A22" s="57" t="inlineStr">
        <is>
          <t>2. Parámetros físicos del terreno</t>
        </is>
      </c>
      <c r="B22" s="57" t="inlineStr">
        <is>
          <t>Deslizamientos antiguos</t>
        </is>
      </c>
      <c r="C22" s="57" t="inlineStr">
        <is>
          <t>Sí</t>
        </is>
      </c>
      <c r="D22" s="57" t="inlineStr"/>
    </row>
    <row r="23">
      <c r="A23" s="58" t="inlineStr">
        <is>
          <t>4. Suelos y erosión (F-DT-02)</t>
        </is>
      </c>
      <c r="B23" s="58" t="inlineStr">
        <is>
          <t>Nivel de erosión - síntesis de campo</t>
        </is>
      </c>
      <c r="C23" s="58" t="inlineStr">
        <is>
          <t>Moderada (surcos)</t>
        </is>
      </c>
      <c r="D23" s="58" t="inlineStr"/>
    </row>
    <row r="24">
      <c r="A24" s="57" t="inlineStr">
        <is>
          <t>4. Suelos y erosión (F-DT-02)</t>
        </is>
      </c>
      <c r="B24" s="57" t="inlineStr">
        <is>
          <t>Sellamiento / costra superficial</t>
        </is>
      </c>
      <c r="C24" s="57" t="inlineStr">
        <is>
          <t>Sí</t>
        </is>
      </c>
      <c r="D24" s="57" t="inlineStr"/>
    </row>
    <row r="25">
      <c r="A25" s="58" t="inlineStr">
        <is>
          <t>4. Suelos y erosión (F-DT-02)</t>
        </is>
      </c>
      <c r="B25" s="58" t="inlineStr">
        <is>
          <t>Compactación por pisoteo</t>
        </is>
      </c>
      <c r="C25" s="58" t="inlineStr">
        <is>
          <t>Sí</t>
        </is>
      </c>
      <c r="D25" s="58" t="inlineStr"/>
    </row>
    <row r="26">
      <c r="A26" s="57" t="inlineStr">
        <is>
          <t>4. Suelos y erosión (F-DT-02)</t>
        </is>
      </c>
      <c r="B26" s="57" t="inlineStr">
        <is>
          <t>Raíces expuestas</t>
        </is>
      </c>
      <c r="C26" s="57" t="inlineStr">
        <is>
          <t>No</t>
        </is>
      </c>
      <c r="D26" s="57" t="inlineStr"/>
    </row>
    <row r="27">
      <c r="A27" s="58" t="inlineStr">
        <is>
          <t>4. Suelos y erosión (F-DT-02)</t>
        </is>
      </c>
      <c r="B27" s="58" t="inlineStr">
        <is>
          <t>Longitud total de cárcavas (m)</t>
        </is>
      </c>
      <c r="C27" s="58" t="inlineStr">
        <is>
          <t>380</t>
        </is>
      </c>
      <c r="D27" s="58" t="inlineStr">
        <is>
          <t>m</t>
        </is>
      </c>
    </row>
    <row r="28">
      <c r="A28" s="57" t="inlineStr">
        <is>
          <t>4. Suelos y erosión (F-DT-02)</t>
        </is>
      </c>
      <c r="B28" s="57" t="inlineStr">
        <is>
          <t>% del bloque afectado por cárcavas</t>
        </is>
      </c>
      <c r="C28" s="57" t="inlineStr">
        <is>
          <t>12</t>
        </is>
      </c>
      <c r="D28" s="57" t="inlineStr">
        <is>
          <t>%</t>
        </is>
      </c>
    </row>
    <row r="29">
      <c r="A29" s="58" t="inlineStr">
        <is>
          <t>4. Suelos y erosión (F-DT-02)</t>
        </is>
      </c>
      <c r="B29" s="58" t="inlineStr">
        <is>
          <t>Erosión laminar (% del bloque)</t>
        </is>
      </c>
      <c r="C29" s="58" t="inlineStr">
        <is>
          <t>15</t>
        </is>
      </c>
      <c r="D29" s="58" t="inlineStr">
        <is>
          <t>%</t>
        </is>
      </c>
    </row>
    <row r="30">
      <c r="A30" s="57" t="inlineStr">
        <is>
          <t>4. Suelos y erosión (F-DT-02)</t>
        </is>
      </c>
      <c r="B30" s="57" t="inlineStr">
        <is>
          <t>Patrón de cárcavas</t>
        </is>
      </c>
      <c r="C30" s="57" t="inlineStr">
        <is>
          <t>Dendrítico</t>
        </is>
      </c>
      <c r="D30" s="57" t="inlineStr"/>
    </row>
    <row r="31">
      <c r="A31" s="58" t="inlineStr">
        <is>
          <t>4. Suelos y erosión (F-DT-02)</t>
        </is>
      </c>
      <c r="B31" s="58" t="inlineStr">
        <is>
          <t>Socavamiento de cauce</t>
        </is>
      </c>
      <c r="C31" s="58" t="inlineStr">
        <is>
          <t>No</t>
        </is>
      </c>
      <c r="D31" s="58" t="inlineStr"/>
    </row>
    <row r="32">
      <c r="A32" s="57" t="inlineStr">
        <is>
          <t>5. Ecosistema, cobertura y flora (F-DT-03)</t>
        </is>
      </c>
      <c r="B32" s="57" t="inlineStr">
        <is>
          <t>Cobertura del dosel (%)</t>
        </is>
      </c>
      <c r="C32" s="57" t="inlineStr">
        <is>
          <t>25</t>
        </is>
      </c>
      <c r="D32" s="57" t="inlineStr">
        <is>
          <t>%</t>
        </is>
      </c>
    </row>
    <row r="33">
      <c r="A33" s="58" t="inlineStr">
        <is>
          <t>5. Ecosistema, cobertura y flora (F-DT-03)</t>
        </is>
      </c>
      <c r="B33" s="58" t="inlineStr">
        <is>
          <t>Cobertura arbustiva (%)</t>
        </is>
      </c>
      <c r="C33" s="58" t="inlineStr">
        <is>
          <t>15</t>
        </is>
      </c>
      <c r="D33" s="58" t="inlineStr">
        <is>
          <t>%</t>
        </is>
      </c>
    </row>
    <row r="34">
      <c r="A34" s="57" t="inlineStr">
        <is>
          <t>5. Ecosistema, cobertura y flora (F-DT-03)</t>
        </is>
      </c>
      <c r="B34" s="57" t="inlineStr">
        <is>
          <t>Cobertura herbácea (%)</t>
        </is>
      </c>
      <c r="C34" s="57" t="inlineStr">
        <is>
          <t>20</t>
        </is>
      </c>
      <c r="D34" s="57" t="inlineStr">
        <is>
          <t>%</t>
        </is>
      </c>
    </row>
    <row r="35">
      <c r="A35" s="58" t="inlineStr">
        <is>
          <t>5. Ecosistema, cobertura y flora (F-DT-03)</t>
        </is>
      </c>
      <c r="B35" s="58" t="inlineStr">
        <is>
          <t>Altura del estrato dominante (m)</t>
        </is>
      </c>
      <c r="C35" s="58" t="inlineStr">
        <is>
          <t>5.5</t>
        </is>
      </c>
      <c r="D35" s="58" t="inlineStr">
        <is>
          <t>m</t>
        </is>
      </c>
    </row>
    <row r="36">
      <c r="A36" s="57" t="inlineStr">
        <is>
          <t>5. Ecosistema, cobertura y flora (F-DT-03)</t>
        </is>
      </c>
      <c r="B36" s="57" t="inlineStr">
        <is>
          <t>Altura máxima registrada (m)</t>
        </is>
      </c>
      <c r="C36" s="57" t="inlineStr">
        <is>
          <t>8</t>
        </is>
      </c>
      <c r="D36" s="57" t="inlineStr">
        <is>
          <t>m</t>
        </is>
      </c>
    </row>
    <row r="37">
      <c r="A37" s="58" t="inlineStr">
        <is>
          <t>5. Ecosistema, cobertura y flora (F-DT-03)</t>
        </is>
      </c>
      <c r="B37" s="58" t="inlineStr">
        <is>
          <t>DAP promedio (cm)</t>
        </is>
      </c>
      <c r="C37" s="58" t="inlineStr">
        <is>
          <t>18</t>
        </is>
      </c>
      <c r="D37" s="58" t="inlineStr">
        <is>
          <t>cm</t>
        </is>
      </c>
    </row>
    <row r="38">
      <c r="A38" s="57" t="inlineStr">
        <is>
          <t>5. Ecosistema, cobertura y flora (F-DT-03)</t>
        </is>
      </c>
      <c r="B38" s="57" t="inlineStr">
        <is>
          <t>Presencia de epífitas</t>
        </is>
      </c>
      <c r="C38" s="57" t="inlineStr">
        <is>
          <t>No</t>
        </is>
      </c>
      <c r="D38" s="57" t="inlineStr"/>
    </row>
    <row r="39">
      <c r="A39" s="58" t="inlineStr">
        <is>
          <t>5. Ecosistema, cobertura y flora (F-DT-03)</t>
        </is>
      </c>
      <c r="B39" s="58" t="inlineStr">
        <is>
          <t>Fenología dominante</t>
        </is>
      </c>
      <c r="C39" s="58" t="inlineStr">
        <is>
          <t>Caducifolio (hojas caídas)</t>
        </is>
      </c>
      <c r="D39" s="58" t="inlineStr"/>
    </row>
    <row r="40">
      <c r="A40" s="57" t="inlineStr">
        <is>
          <t>5. Ecosistema, cobertura y flora (F-DT-03)</t>
        </is>
      </c>
      <c r="B40" s="57" t="inlineStr">
        <is>
          <t>Dimensiones de la parcela (m)</t>
        </is>
      </c>
      <c r="C40" s="57" t="inlineStr">
        <is>
          <t>20 × 50</t>
        </is>
      </c>
      <c r="D40" s="57" t="inlineStr"/>
    </row>
    <row r="41">
      <c r="A41" s="58" t="inlineStr">
        <is>
          <t>5. Ecosistema, cobertura y flora (F-DT-03)</t>
        </is>
      </c>
      <c r="B41" s="58" t="inlineStr">
        <is>
          <t>Pendiente de la parcela (%)</t>
        </is>
      </c>
      <c r="C41" s="58" t="inlineStr">
        <is>
          <t>32</t>
        </is>
      </c>
      <c r="D41" s="58" t="inlineStr">
        <is>
          <t>%</t>
        </is>
      </c>
    </row>
    <row r="42">
      <c r="A42" s="57" t="inlineStr">
        <is>
          <t>5. Ecosistema, cobertura y flora (F-DT-03)</t>
        </is>
      </c>
      <c r="B42" s="57" t="inlineStr">
        <is>
          <t>Especies clave georreferenciadas</t>
        </is>
      </c>
      <c r="C42" s="57" t="inlineStr">
        <is>
          <t>5</t>
        </is>
      </c>
      <c r="D42" s="57" t="inlineStr"/>
    </row>
    <row r="43">
      <c r="A43" s="58" t="inlineStr">
        <is>
          <t>6. Degradación, causas y urgencia (F-DT-04)</t>
        </is>
      </c>
      <c r="B43" s="58" t="inlineStr">
        <is>
          <t>Causas directas de la degradación</t>
        </is>
      </c>
      <c r="C43" s="58" t="inlineStr">
        <is>
          <t>Las principales causas directas de degradación son, en orden de prioridad: (1) sobrepastoreo extensivo principalmente caprino; (2) tala selectiva de especies maderables (Loxopterygium huasango, Bursera graveolens); (3) quemas para renovación de pastos; (4) cambio histórico de uso del suelo en pie de monte hacia agricultura bajo riego del valle del Piura; (5) erosión natural acelerada en eventos FEN.</t>
        </is>
      </c>
      <c r="D43" s="58" t="inlineStr"/>
    </row>
    <row r="44">
      <c r="A44" s="57" t="inlineStr">
        <is>
          <t>6. Degradación, causas y urgencia (F-DT-04)</t>
        </is>
      </c>
      <c r="B44" s="57" t="inlineStr">
        <is>
          <t>N.° de causas activas en la matriz F-DT-04</t>
        </is>
      </c>
      <c r="C44" s="57" t="inlineStr">
        <is>
          <t>11</t>
        </is>
      </c>
      <c r="D44" s="57" t="inlineStr"/>
    </row>
    <row r="45">
      <c r="A45" s="58" t="inlineStr">
        <is>
          <t>7. Hidrología, acceso y logística (F-DT-05)</t>
        </is>
      </c>
      <c r="B45" s="58" t="inlineStr">
        <is>
          <t>Escorrentía concentrada</t>
        </is>
      </c>
      <c r="C45" s="58" t="inlineStr">
        <is>
          <t>No</t>
        </is>
      </c>
      <c r="D45" s="58" t="inlineStr"/>
    </row>
    <row r="46">
      <c r="A46" s="57" t="inlineStr">
        <is>
          <t>7. Hidrología, acceso y logística (F-DT-05)</t>
        </is>
      </c>
      <c r="B46" s="57" t="inlineStr">
        <is>
          <t>Fuentes de agua inventariadas</t>
        </is>
      </c>
      <c r="C46" s="57" t="inlineStr">
        <is>
          <t>3</t>
        </is>
      </c>
      <c r="D46" s="57" t="inlineStr"/>
    </row>
    <row r="47">
      <c r="A47" s="58" t="inlineStr">
        <is>
          <t>7. Hidrología, acceso y logística (F-DT-05)</t>
        </is>
      </c>
      <c r="B47" s="58" t="inlineStr">
        <is>
          <t>Distancia a captación (m)</t>
        </is>
      </c>
      <c r="C47" s="58" t="inlineStr">
        <is>
          <t>1200</t>
        </is>
      </c>
      <c r="D47" s="58" t="inlineStr">
        <is>
          <t>m</t>
        </is>
      </c>
    </row>
    <row r="48">
      <c r="A48" s="57" t="inlineStr">
        <is>
          <t>7. Hidrología, acceso y logística (F-DT-05)</t>
        </is>
      </c>
      <c r="B48" s="57" t="inlineStr">
        <is>
          <t>Interferencia con riego</t>
        </is>
      </c>
      <c r="C48" s="57" t="inlineStr">
        <is>
          <t>No</t>
        </is>
      </c>
      <c r="D48" s="57" t="inlineStr"/>
    </row>
    <row r="49">
      <c r="A49" s="58" t="inlineStr">
        <is>
          <t>7. Hidrología, acceso y logística (F-DT-05)</t>
        </is>
      </c>
      <c r="B49" s="58" t="inlineStr">
        <is>
          <t>Vía principal de acceso</t>
        </is>
      </c>
      <c r="C49" s="58" t="inlineStr">
        <is>
          <t>PE-1NJ / vía departamental PI-Chulucanas-Buenos Aires + trocha hacia Pilca y PI-813</t>
        </is>
      </c>
      <c r="D49" s="58" t="inlineStr"/>
    </row>
    <row r="50">
      <c r="A50" s="57" t="inlineStr">
        <is>
          <t>7. Hidrología, acceso y logística (F-DT-05)</t>
        </is>
      </c>
      <c r="B50" s="57" t="inlineStr">
        <is>
          <t>Tipo de vía del tramo final</t>
        </is>
      </c>
      <c r="C50" s="57" t="inlineStr">
        <is>
          <t>Trocha carrozable</t>
        </is>
      </c>
      <c r="D50" s="57" t="inlineStr"/>
    </row>
    <row r="51">
      <c r="A51" s="58" t="inlineStr">
        <is>
          <t>7. Hidrología, acceso y logística (F-DT-05)</t>
        </is>
      </c>
      <c r="B51" s="58" t="inlineStr">
        <is>
          <t>Transitabilidad en época seca</t>
        </is>
      </c>
      <c r="C51" s="58" t="inlineStr">
        <is>
          <t>Alto</t>
        </is>
      </c>
      <c r="D51" s="58" t="inlineStr"/>
    </row>
    <row r="52">
      <c r="A52" s="57" t="inlineStr">
        <is>
          <t>7. Hidrología, acceso y logística (F-DT-05)</t>
        </is>
      </c>
      <c r="B52" s="57" t="inlineStr">
        <is>
          <t>Transitabilidad en época lluviosa</t>
        </is>
      </c>
      <c r="C52" s="57" t="inlineStr">
        <is>
          <t>Bajo</t>
        </is>
      </c>
      <c r="D52" s="57" t="inlineStr"/>
    </row>
    <row r="53">
      <c r="A53" s="58" t="inlineStr">
        <is>
          <t>7. Hidrología, acceso y logística (F-DT-05)</t>
        </is>
      </c>
      <c r="B53" s="58" t="inlineStr">
        <is>
          <t>Tiempo a la capital distrital (min)</t>
        </is>
      </c>
      <c r="C53" s="58" t="inlineStr">
        <is>
          <t>20</t>
        </is>
      </c>
      <c r="D53" s="58" t="inlineStr">
        <is>
          <t>min</t>
        </is>
      </c>
    </row>
    <row r="54">
      <c r="A54" s="57" t="inlineStr">
        <is>
          <t>7. Hidrología, acceso y logística (F-DT-05)</t>
        </is>
      </c>
      <c r="B54" s="57" t="inlineStr">
        <is>
          <t>Señal celular</t>
        </is>
      </c>
      <c r="C54" s="57" t="inlineStr">
        <is>
          <t>Completa</t>
        </is>
      </c>
      <c r="D54" s="57" t="inlineStr"/>
    </row>
    <row r="55">
      <c r="A55" s="58" t="inlineStr">
        <is>
          <t>7. Hidrología, acceso y logística (F-DT-05)</t>
        </is>
      </c>
      <c r="B55" s="58" t="inlineStr">
        <is>
          <t>Operador con cobertura</t>
        </is>
      </c>
      <c r="C55" s="58" t="inlineStr">
        <is>
          <t>Movistar</t>
        </is>
      </c>
      <c r="D55" s="58" t="inlineStr"/>
    </row>
    <row r="56">
      <c r="A56" s="57" t="inlineStr">
        <is>
          <t>7. Hidrología, acceso y logística (F-DT-05)</t>
        </is>
      </c>
      <c r="B56" s="57" t="inlineStr">
        <is>
          <t>Alojamiento disponible en la zona</t>
        </is>
      </c>
      <c r="C56" s="57" t="inlineStr">
        <is>
          <t>No</t>
        </is>
      </c>
      <c r="D56" s="57" t="inlineStr"/>
    </row>
    <row r="57">
      <c r="A57" s="58" t="inlineStr">
        <is>
          <t>7. Hidrología, acceso y logística (F-DT-05)</t>
        </is>
      </c>
      <c r="B57" s="58" t="inlineStr">
        <is>
          <t>Requiere coordinación con ronda / comunidad</t>
        </is>
      </c>
      <c r="C57" s="58" t="inlineStr">
        <is>
          <t>No</t>
        </is>
      </c>
      <c r="D57" s="58" t="inlineStr"/>
    </row>
    <row r="58">
      <c r="A58" s="57" t="inlineStr">
        <is>
          <t>7. Hidrología, acceso y logística (F-DT-05)</t>
        </is>
      </c>
      <c r="B58" s="57" t="inlineStr">
        <is>
          <t>Contacto local de coordinación</t>
        </is>
      </c>
      <c r="C58" s="57" t="inlineStr">
        <is>
          <t>Coordinar con autoridades del C.P. Pilca y Municipalidad Distrital de Buenos Aires.</t>
        </is>
      </c>
      <c r="D58" s="57" t="inlineStr"/>
    </row>
    <row r="60">
      <c r="A60" s="55" t="inlineStr">
        <is>
          <t>C. PROCEDENCIA DE LOS HECHOS DECLARADOS</t>
        </is>
      </c>
    </row>
    <row r="61">
      <c r="A61" s="56" t="inlineStr">
        <is>
          <t>Fuente</t>
        </is>
      </c>
      <c r="B61" s="56" t="inlineStr">
        <is>
          <t>Hechos</t>
        </is>
      </c>
      <c r="C61" s="56" t="inlineStr">
        <is>
          <t>Alcance de la fuente</t>
        </is>
      </c>
    </row>
    <row r="62">
      <c r="A62" s="57" t="inlineStr">
        <is>
          <t>Dato de campo</t>
        </is>
      </c>
      <c r="B62" s="57" t="n">
        <v>75</v>
      </c>
      <c r="C62" s="57" t="inlineStr">
        <is>
          <t>Verificación en campo. Fichas F-DT-01 a F-DT-05 de la Plantilla DT Campo Check Validada V5, suscritas por el evaluador.</t>
        </is>
      </c>
    </row>
    <row r="63">
      <c r="A63" s="58" t="inlineStr">
        <is>
          <t>Gabinete (GIS / teledetección)</t>
        </is>
      </c>
      <c r="B63" s="58" t="n">
        <v>21</v>
      </c>
      <c r="C63" s="58" t="inlineStr">
        <is>
          <t>Gabinete. Estadística zonal sobre el MDE y compuestos Sentinel-2 (NDVI mediana 2025, MSAVI 2024 por clase DN).</t>
        </is>
      </c>
    </row>
    <row r="64">
      <c r="A64" s="57" t="inlineStr">
        <is>
          <t>Fuente oficial</t>
        </is>
      </c>
      <c r="B64" s="57" t="n">
        <v>14</v>
      </c>
      <c r="C64" s="57" t="inlineStr">
        <is>
          <t>Fuente oficial. Catálogo maestro Bloques V5/V6, división política INEI y codificación de microcuencas de la ANA.</t>
        </is>
      </c>
    </row>
    <row r="66">
      <c r="A66" s="55" t="inlineStr">
        <is>
          <t>D. ESTADO DEL CRUCE ENTRE FUENTES</t>
        </is>
      </c>
    </row>
    <row r="67">
      <c r="A67" s="56" t="inlineStr">
        <is>
          <t>Estado</t>
        </is>
      </c>
      <c r="B67" s="56" t="inlineStr">
        <is>
          <t>Hechos</t>
        </is>
      </c>
      <c r="C67" s="56" t="inlineStr">
        <is>
          <t>Significado</t>
        </is>
      </c>
    </row>
    <row r="68">
      <c r="A68" s="57" t="inlineStr">
        <is>
          <t>CONFORME</t>
        </is>
      </c>
      <c r="B68" s="57" t="n">
        <v>105</v>
      </c>
      <c r="C68" s="57" t="inlineStr">
        <is>
          <t>Las dos fuentes declaran lo mismo, o solo la fuente que manda sobre el hecho lo declara.</t>
        </is>
      </c>
    </row>
    <row r="69">
      <c r="A69" s="58" t="inlineStr">
        <is>
          <t>COMPLEMENTADO</t>
        </is>
      </c>
      <c r="B69" s="58" t="n">
        <v>1</v>
      </c>
      <c r="C69" s="58" t="inlineStr">
        <is>
          <t>Solo una de las fuentes lo declara y se adopta ese valor.</t>
        </is>
      </c>
    </row>
    <row r="70">
      <c r="A70" s="57" t="inlineStr">
        <is>
          <t>ACTUALIZADO</t>
        </is>
      </c>
      <c r="B70" s="57" t="n">
        <v>4</v>
      </c>
      <c r="C70" s="57" t="inlineStr">
        <is>
          <t>La verificación de campo vigente corrige lo que traía el libro de resumen.</t>
        </is>
      </c>
    </row>
    <row r="71">
      <c r="A71" s="58" t="inlineStr">
        <is>
          <t>DISCREPANTE</t>
        </is>
      </c>
      <c r="B71" s="58" t="n">
        <v>0</v>
      </c>
      <c r="C71" s="58" t="inlineStr">
        <is>
          <t>Las fuentes se contradicen; prevalece la que manda sobre el hecho y la otra queda declarada.</t>
        </is>
      </c>
    </row>
    <row r="72">
      <c r="A72" s="57" t="inlineStr">
        <is>
          <t>PENDIENTE</t>
        </is>
      </c>
      <c r="B72" s="57" t="n">
        <v>4</v>
      </c>
      <c r="C72"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M6B10</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Hualtaco</t>
        </is>
      </c>
      <c r="C13" s="57" t="inlineStr">
        <is>
          <t>Loxopterygium huasango</t>
        </is>
      </c>
      <c r="D13" s="57" t="inlineStr">
        <is>
          <t>Anacardiaceae</t>
        </is>
      </c>
      <c r="E13" s="57" t="inlineStr">
        <is>
          <t>Arbóreo medio (8-15 m)</t>
        </is>
      </c>
      <c r="F13" s="57" t="inlineStr">
        <is>
          <t>Endémica</t>
        </is>
      </c>
      <c r="G13" s="57" t="inlineStr">
        <is>
          <t>Frecuente (5-20%)</t>
        </is>
      </c>
      <c r="H13" s="62" t="n">
        <v>22</v>
      </c>
      <c r="I13" s="63" t="n">
        <v>9</v>
      </c>
    </row>
    <row r="14">
      <c r="A14" s="58" t="inlineStr">
        <is>
          <t>2</t>
        </is>
      </c>
      <c r="B14" s="58" t="inlineStr">
        <is>
          <t>Palo santo</t>
        </is>
      </c>
      <c r="C14" s="58" t="inlineStr">
        <is>
          <t>Bursera graveolens</t>
        </is>
      </c>
      <c r="D14" s="58" t="inlineStr">
        <is>
          <t>Burseraceae</t>
        </is>
      </c>
      <c r="E14" s="58" t="inlineStr">
        <is>
          <t>Arbóreo bajo (4-8 m)</t>
        </is>
      </c>
      <c r="F14" s="58" t="inlineStr">
        <is>
          <t>Nativa</t>
        </is>
      </c>
      <c r="G14" s="58" t="inlineStr">
        <is>
          <t>Ocasional (1-5%)</t>
        </is>
      </c>
      <c r="H14" s="64" t="n">
        <v>18</v>
      </c>
      <c r="I14" s="65" t="n">
        <v>6.5</v>
      </c>
    </row>
    <row r="15">
      <c r="A15" s="57" t="inlineStr">
        <is>
          <t>3</t>
        </is>
      </c>
      <c r="B15" s="57" t="inlineStr">
        <is>
          <t>Charán</t>
        </is>
      </c>
      <c r="C15" s="57" t="inlineStr">
        <is>
          <t>Caesalpinea paipai</t>
        </is>
      </c>
      <c r="D15" s="57" t="inlineStr">
        <is>
          <t>Fabaceae</t>
        </is>
      </c>
      <c r="E15" s="57" t="inlineStr">
        <is>
          <t>Arbóreo bajo (4-8 m)</t>
        </is>
      </c>
      <c r="F15" s="57" t="inlineStr">
        <is>
          <t>Nativa</t>
        </is>
      </c>
      <c r="G15" s="57" t="inlineStr">
        <is>
          <t>Frecuente (5-20%)</t>
        </is>
      </c>
      <c r="H15" s="62" t="n">
        <v>15</v>
      </c>
      <c r="I15" s="63" t="n">
        <v>5</v>
      </c>
    </row>
    <row r="16">
      <c r="A16" s="58" t="inlineStr">
        <is>
          <t>4</t>
        </is>
      </c>
      <c r="B16" s="58" t="inlineStr">
        <is>
          <t>Algarrobo</t>
        </is>
      </c>
      <c r="C16" s="58" t="inlineStr">
        <is>
          <t>Prosopis pallida</t>
        </is>
      </c>
      <c r="D16" s="58" t="inlineStr">
        <is>
          <t>Fabaceae</t>
        </is>
      </c>
      <c r="E16" s="58" t="inlineStr">
        <is>
          <t>Arbóreo bajo (4-8 m)</t>
        </is>
      </c>
      <c r="F16" s="58" t="inlineStr">
        <is>
          <t>Nativa</t>
        </is>
      </c>
      <c r="G16" s="58" t="inlineStr">
        <is>
          <t>Abundante (20-40%)</t>
        </is>
      </c>
      <c r="H16" s="64" t="n">
        <v>25</v>
      </c>
      <c r="I16" s="65" t="n">
        <v>6</v>
      </c>
    </row>
    <row r="17">
      <c r="A17" s="57" t="inlineStr">
        <is>
          <t>5</t>
        </is>
      </c>
      <c r="B17" s="57" t="inlineStr">
        <is>
          <t>Faique</t>
        </is>
      </c>
      <c r="C17" s="57" t="inlineStr">
        <is>
          <t>Vachellia macracantha</t>
        </is>
      </c>
      <c r="D17" s="57" t="inlineStr">
        <is>
          <t>Fabaceae</t>
        </is>
      </c>
      <c r="E17" s="57" t="inlineStr">
        <is>
          <t>Arbóreo bajo (4-8 m)</t>
        </is>
      </c>
      <c r="F17" s="57" t="inlineStr">
        <is>
          <t>Nativa</t>
        </is>
      </c>
      <c r="G17" s="57" t="inlineStr">
        <is>
          <t>Frecuente (5-20%)</t>
        </is>
      </c>
      <c r="H17" s="62" t="n">
        <v>16</v>
      </c>
      <c r="I17" s="63" t="n">
        <v>5.5</v>
      </c>
    </row>
    <row r="18">
      <c r="A18" s="58" t="inlineStr">
        <is>
          <t>6</t>
        </is>
      </c>
      <c r="B18" s="58" t="inlineStr">
        <is>
          <t>Pasallo</t>
        </is>
      </c>
      <c r="C18" s="58" t="inlineStr">
        <is>
          <t>Eriotheca ruizii</t>
        </is>
      </c>
      <c r="D18" s="58" t="inlineStr">
        <is>
          <t>Malvaceae</t>
        </is>
      </c>
      <c r="E18" s="58" t="inlineStr">
        <is>
          <t>Arbóreo medio (8-15 m)</t>
        </is>
      </c>
      <c r="F18" s="58" t="inlineStr">
        <is>
          <t>Nativa</t>
        </is>
      </c>
      <c r="G18" s="58" t="inlineStr">
        <is>
          <t>Ocasional (1-5%)</t>
        </is>
      </c>
      <c r="H18" s="64" t="n">
        <v>35</v>
      </c>
      <c r="I18" s="65" t="n">
        <v>9</v>
      </c>
    </row>
    <row r="19">
      <c r="A19" s="57" t="inlineStr">
        <is>
          <t>7</t>
        </is>
      </c>
      <c r="B19" s="57" t="inlineStr">
        <is>
          <t>Ceibo</t>
        </is>
      </c>
      <c r="C19" s="57" t="inlineStr">
        <is>
          <t>Ceiba pentandra</t>
        </is>
      </c>
      <c r="D19" s="57" t="inlineStr">
        <is>
          <t>Malvaceae</t>
        </is>
      </c>
      <c r="E19" s="57" t="inlineStr">
        <is>
          <t>Arbóreo medio (8-15 m)</t>
        </is>
      </c>
      <c r="F19" s="57" t="inlineStr">
        <is>
          <t>Nativa</t>
        </is>
      </c>
      <c r="G19" s="57" t="inlineStr">
        <is>
          <t>Ocasional (1-5%)</t>
        </is>
      </c>
      <c r="H19" s="57" t="n"/>
      <c r="I19" s="57" t="n"/>
    </row>
    <row r="20">
      <c r="A20" s="58" t="inlineStr">
        <is>
          <t>8</t>
        </is>
      </c>
      <c r="B20" s="58" t="inlineStr">
        <is>
          <t>Overo / Flor de overo</t>
        </is>
      </c>
      <c r="C20" s="58" t="inlineStr">
        <is>
          <t>Cordia lutea</t>
        </is>
      </c>
      <c r="D20" s="58" t="inlineStr">
        <is>
          <t>Boraginaceae</t>
        </is>
      </c>
      <c r="E20" s="58" t="inlineStr">
        <is>
          <t>Arbustivo alto (1.5-4 m)</t>
        </is>
      </c>
      <c r="F20" s="58" t="inlineStr">
        <is>
          <t>Nativa</t>
        </is>
      </c>
      <c r="G20" s="58" t="inlineStr">
        <is>
          <t>Abundante (20-40%)</t>
        </is>
      </c>
      <c r="H20" s="58" t="n"/>
      <c r="I20" s="65" t="n">
        <v>3</v>
      </c>
    </row>
    <row r="21">
      <c r="A21" s="57" t="inlineStr">
        <is>
          <t>9</t>
        </is>
      </c>
      <c r="B21" s="57" t="inlineStr">
        <is>
          <t>Cardón / Gigantón</t>
        </is>
      </c>
      <c r="C21" s="57" t="inlineStr">
        <is>
          <t>Neoraimondia arequipensis</t>
        </is>
      </c>
      <c r="D21" s="57" t="inlineStr">
        <is>
          <t>Cactaceae</t>
        </is>
      </c>
      <c r="E21" s="57" t="inlineStr">
        <is>
          <t>Arbóreo bajo (4-8 m)</t>
        </is>
      </c>
      <c r="F21" s="57" t="inlineStr">
        <is>
          <t>Nativa</t>
        </is>
      </c>
      <c r="G21" s="57" t="inlineStr">
        <is>
          <t>Frecuente (5-20%)</t>
        </is>
      </c>
      <c r="H21" s="57" t="n"/>
      <c r="I21" s="63" t="n">
        <v>5</v>
      </c>
    </row>
    <row r="22">
      <c r="A22" s="58" t="inlineStr">
        <is>
          <t>10</t>
        </is>
      </c>
      <c r="B22" s="58" t="inlineStr">
        <is>
          <t>Cactus columnar</t>
        </is>
      </c>
      <c r="C22" s="58" t="inlineStr">
        <is>
          <t>Armatocereus cartwrightianus</t>
        </is>
      </c>
      <c r="D22" s="58" t="inlineStr">
        <is>
          <t>Cactaceae</t>
        </is>
      </c>
      <c r="E22" s="58" t="inlineStr">
        <is>
          <t>Arbustivo alto (1.5-4 m)</t>
        </is>
      </c>
      <c r="F22" s="58" t="inlineStr">
        <is>
          <t>Nativa</t>
        </is>
      </c>
      <c r="G22" s="58" t="inlineStr">
        <is>
          <t>Frecuente (5-20%)</t>
        </is>
      </c>
      <c r="H22" s="58" t="n"/>
      <c r="I22" s="65" t="n">
        <v>3.5</v>
      </c>
    </row>
    <row r="23">
      <c r="A23" s="57" t="inlineStr">
        <is>
          <t>11</t>
        </is>
      </c>
      <c r="B23" s="57" t="inlineStr">
        <is>
          <t>Borrachera</t>
        </is>
      </c>
      <c r="C23" s="57" t="inlineStr">
        <is>
          <t>Ipomoea carnea</t>
        </is>
      </c>
      <c r="D23" s="57" t="inlineStr">
        <is>
          <t>Convolvulaceae</t>
        </is>
      </c>
      <c r="E23" s="57" t="inlineStr">
        <is>
          <t>Arbustivo alto (1.5-4 m)</t>
        </is>
      </c>
      <c r="F23" s="57" t="inlineStr">
        <is>
          <t>Nativa</t>
        </is>
      </c>
      <c r="G23" s="57" t="inlineStr">
        <is>
          <t>Ocasional (1-5%)</t>
        </is>
      </c>
      <c r="H23" s="57" t="n"/>
      <c r="I23" s="63" t="n">
        <v>2</v>
      </c>
    </row>
    <row r="24">
      <c r="A24" s="58" t="inlineStr">
        <is>
          <t>12</t>
        </is>
      </c>
      <c r="B24" s="58" t="inlineStr">
        <is>
          <t>Heliotropo silv.</t>
        </is>
      </c>
      <c r="C24" s="58" t="inlineStr">
        <is>
          <t>Heliotropium angiospermum</t>
        </is>
      </c>
      <c r="D24" s="58" t="inlineStr">
        <is>
          <t>Boraginaceae</t>
        </is>
      </c>
      <c r="E24" s="58" t="inlineStr">
        <is>
          <t>Herbáceo (&lt;0.5 m)</t>
        </is>
      </c>
      <c r="F24" s="58" t="inlineStr">
        <is>
          <t>Nativa</t>
        </is>
      </c>
      <c r="G24" s="58" t="inlineStr">
        <is>
          <t>Ocasional (1-5%)</t>
        </is>
      </c>
      <c r="H24" s="58" t="n"/>
      <c r="I24" s="65" t="n">
        <v>0.3</v>
      </c>
    </row>
    <row r="25">
      <c r="A25" s="57" t="inlineStr">
        <is>
          <t>13</t>
        </is>
      </c>
      <c r="B25" s="57" t="inlineStr">
        <is>
          <t>Pasto natural</t>
        </is>
      </c>
      <c r="C25" s="57" t="inlineStr"/>
      <c r="D25" s="57" t="inlineStr">
        <is>
          <t>Poaceae</t>
        </is>
      </c>
      <c r="E25" s="57" t="inlineStr">
        <is>
          <t>Herbáceo (&lt;0.5 m)</t>
        </is>
      </c>
      <c r="F25" s="57" t="inlineStr">
        <is>
          <t>Nativa</t>
        </is>
      </c>
      <c r="G25" s="57" t="inlineStr">
        <is>
          <t>Frecuente (5-20%)</t>
        </is>
      </c>
      <c r="H25" s="57" t="n"/>
      <c r="I25" s="63" t="n">
        <v>0.2</v>
      </c>
    </row>
    <row r="27">
      <c r="A27" s="55" t="inlineStr">
        <is>
          <t>F-DT-03 · ESPECIES CLAVE GEORREFERENCIADAS</t>
        </is>
      </c>
    </row>
    <row r="28">
      <c r="A28" s="56" t="inlineStr">
        <is>
          <t>N.o</t>
        </is>
      </c>
      <c r="B28" s="56" t="inlineStr">
        <is>
          <t>Especie</t>
        </is>
      </c>
      <c r="C28" s="56" t="inlineStr">
        <is>
          <t>Categoría</t>
        </is>
      </c>
      <c r="D28" s="56" t="inlineStr">
        <is>
          <t>Estado UICN</t>
        </is>
      </c>
      <c r="E28" s="56" t="inlineStr">
        <is>
          <t>UTM ESTE</t>
        </is>
      </c>
      <c r="F28" s="56" t="inlineStr">
        <is>
          <t>UTM NORTE</t>
        </is>
      </c>
      <c r="G28" s="56" t="inlineStr">
        <is>
          <t>N.° individuos</t>
        </is>
      </c>
      <c r="H28" s="56" t="inlineStr">
        <is>
          <t>Observación</t>
        </is>
      </c>
    </row>
    <row r="29">
      <c r="A29" s="57" t="inlineStr">
        <is>
          <t>1</t>
        </is>
      </c>
      <c r="B29" s="57" t="inlineStr">
        <is>
          <t>Loxopterygium huasango (Hualtaco)</t>
        </is>
      </c>
      <c r="C29" s="57" t="inlineStr">
        <is>
          <t>Amenazada (D.S. 043-2006-AG)</t>
        </is>
      </c>
      <c r="D29" s="57" t="inlineStr">
        <is>
          <t>CR — En Peligro Crítico</t>
        </is>
      </c>
      <c r="E29" s="62" t="n">
        <v>617150</v>
      </c>
      <c r="F29" s="62" t="n">
        <v>9423020</v>
      </c>
      <c r="G29" s="63" t="n">
        <v>8</v>
      </c>
      <c r="H29" s="57" t="inlineStr">
        <is>
          <t>Individuos adultos dispersos en ladera media-alta; especie clave del Bes-cm.</t>
        </is>
      </c>
    </row>
    <row r="30">
      <c r="A30" s="58" t="inlineStr">
        <is>
          <t>2</t>
        </is>
      </c>
      <c r="B30" s="58" t="inlineStr">
        <is>
          <t>Bursera graveolens (Palo santo)</t>
        </is>
      </c>
      <c r="C30" s="58" t="inlineStr">
        <is>
          <t>Amenazada (D.S. 043-2006-AG)</t>
        </is>
      </c>
      <c r="D30" s="58" t="inlineStr"/>
      <c r="E30" s="64" t="n">
        <v>617155</v>
      </c>
      <c r="F30" s="64" t="n">
        <v>9423015</v>
      </c>
      <c r="G30" s="65" t="n">
        <v>5</v>
      </c>
      <c r="H30" s="58" t="inlineStr">
        <is>
          <t>Especie aromática de alta demanda; vital para regeneración del ecosistema.</t>
        </is>
      </c>
    </row>
    <row r="31">
      <c r="A31" s="57" t="inlineStr">
        <is>
          <t>3</t>
        </is>
      </c>
      <c r="B31" s="57" t="inlineStr">
        <is>
          <t>Caesalpinea paipai (Charán)</t>
        </is>
      </c>
      <c r="C31" s="57" t="inlineStr"/>
      <c r="D31" s="57" t="inlineStr"/>
      <c r="E31" s="62" t="n">
        <v>617134</v>
      </c>
      <c r="F31" s="62" t="n">
        <v>9423015</v>
      </c>
      <c r="G31" s="62" t="n">
        <v>10</v>
      </c>
      <c r="H31" s="57" t="inlineStr"/>
    </row>
    <row r="32">
      <c r="A32" s="58" t="inlineStr">
        <is>
          <t>4</t>
        </is>
      </c>
      <c r="B32" s="58" t="inlineStr">
        <is>
          <t>Eriotheca ruizii (Pasallo)</t>
        </is>
      </c>
      <c r="C32" s="58" t="inlineStr">
        <is>
          <t>Endémica norte / Piura</t>
        </is>
      </c>
      <c r="D32" s="58" t="inlineStr">
        <is>
          <t>VU — Vulnerable</t>
        </is>
      </c>
      <c r="E32" s="64" t="n">
        <v>617200</v>
      </c>
      <c r="F32" s="64" t="n">
        <v>9423050</v>
      </c>
      <c r="G32" s="64" t="n">
        <v>13</v>
      </c>
      <c r="H32" s="58" t="inlineStr">
        <is>
          <t>Árbol emergente del bosque seco montano; baja densidad.</t>
        </is>
      </c>
    </row>
    <row r="33">
      <c r="A33" s="57" t="inlineStr">
        <is>
          <t>5</t>
        </is>
      </c>
      <c r="B33" s="57" t="inlineStr">
        <is>
          <t>Neoraimondia arequipensis (Cardón)</t>
        </is>
      </c>
      <c r="C33" s="57" t="inlineStr"/>
      <c r="D33" s="57" t="inlineStr">
        <is>
          <t>NT — Casi Amenazado</t>
        </is>
      </c>
      <c r="E33" s="62" t="n">
        <v>617090</v>
      </c>
      <c r="F33" s="62" t="n">
        <v>9423010</v>
      </c>
      <c r="G33" s="62" t="n">
        <v>20</v>
      </c>
      <c r="H33" s="57" t="inlineStr">
        <is>
          <t>Cactus columnar característico del Bes-cm; bioindicador.</t>
        </is>
      </c>
    </row>
    <row r="35">
      <c r="A35" s="55" t="inlineStr">
        <is>
          <t>F-DT-04 · MATRIZ DE CAUSAS DE DEGRADACIÓN</t>
        </is>
      </c>
    </row>
    <row r="36">
      <c r="A36" s="56" t="inlineStr">
        <is>
          <t>N.o</t>
        </is>
      </c>
      <c r="B36" s="56" t="inlineStr">
        <is>
          <t>Causa</t>
        </is>
      </c>
      <c r="C36" s="56" t="inlineStr">
        <is>
          <t>Presencia</t>
        </is>
      </c>
      <c r="D36" s="56" t="inlineStr">
        <is>
          <t>Intensidad</t>
        </is>
      </c>
      <c r="E36" s="56" t="inlineStr">
        <is>
          <t>Extensión</t>
        </is>
      </c>
      <c r="F36" s="56" t="inlineStr">
        <is>
          <t>Antigüedad</t>
        </is>
      </c>
      <c r="G36" s="56" t="inlineStr">
        <is>
          <t>Evidencia</t>
        </is>
      </c>
    </row>
    <row r="37">
      <c r="A37" s="57" t="inlineStr">
        <is>
          <t>1</t>
        </is>
      </c>
      <c r="B37" s="57" t="inlineStr">
        <is>
          <t>Sobrepastoreo (caprino/vacuno)</t>
        </is>
      </c>
      <c r="C37" s="57" t="inlineStr">
        <is>
          <t>Sí</t>
        </is>
      </c>
      <c r="D37" s="57" t="inlineStr">
        <is>
          <t>Moderada</t>
        </is>
      </c>
      <c r="E37" s="57" t="inlineStr">
        <is>
          <t>40</t>
        </is>
      </c>
      <c r="F37" s="57" t="inlineStr">
        <is>
          <t>25</t>
        </is>
      </c>
      <c r="G37" s="57" t="inlineStr">
        <is>
          <t>Huellas frecuentes, pisoteo en senderos, ramoneo selectivo en regeneración de Capparis y Bursera. Predominantemente caprino.</t>
        </is>
      </c>
    </row>
    <row r="38">
      <c r="A38" s="58" t="inlineStr">
        <is>
          <t>2</t>
        </is>
      </c>
      <c r="B38" s="58" t="inlineStr">
        <is>
          <t>Tala para leña</t>
        </is>
      </c>
      <c r="C38" s="58" t="inlineStr">
        <is>
          <t>Sí</t>
        </is>
      </c>
      <c r="D38" s="58" t="inlineStr">
        <is>
          <t>Moderada</t>
        </is>
      </c>
      <c r="E38" s="58" t="inlineStr">
        <is>
          <t>20</t>
        </is>
      </c>
      <c r="F38" s="58" t="inlineStr">
        <is>
          <t>30</t>
        </is>
      </c>
      <c r="G38" s="58" t="inlineStr">
        <is>
          <t>Tocones aislados de palo santo y hualtaco; extracción doméstica para uso de leña.</t>
        </is>
      </c>
    </row>
    <row r="39">
      <c r="A39" s="57" t="inlineStr">
        <is>
          <t>3</t>
        </is>
      </c>
      <c r="B39" s="57" t="inlineStr">
        <is>
          <t>Tala para carbón</t>
        </is>
      </c>
      <c r="C39" s="57" t="inlineStr">
        <is>
          <t>Sí</t>
        </is>
      </c>
      <c r="D39" s="57" t="inlineStr">
        <is>
          <t>Moderada</t>
        </is>
      </c>
      <c r="E39" s="57" t="inlineStr">
        <is>
          <t>10</t>
        </is>
      </c>
      <c r="F39" s="57" t="inlineStr">
        <is>
          <t>20</t>
        </is>
      </c>
      <c r="G39" s="57" t="inlineStr">
        <is>
          <t>Indicios menores; alta demanda regional de palo santo para usos rituales y artesanía.</t>
        </is>
      </c>
    </row>
    <row r="40">
      <c r="A40" s="58" t="inlineStr">
        <is>
          <t>4</t>
        </is>
      </c>
      <c r="B40" s="58" t="inlineStr">
        <is>
          <t>Tala para madera</t>
        </is>
      </c>
      <c r="C40" s="58" t="inlineStr">
        <is>
          <t>Sí</t>
        </is>
      </c>
      <c r="D40" s="58" t="inlineStr">
        <is>
          <t>Moderada</t>
        </is>
      </c>
      <c r="E40" s="58" t="inlineStr">
        <is>
          <t>8</t>
        </is>
      </c>
      <c r="F40" s="58" t="inlineStr">
        <is>
          <t>30</t>
        </is>
      </c>
      <c r="G40" s="58" t="inlineStr">
        <is>
          <t>Cortes selectivos de hualtaco (madera dura, durable).</t>
        </is>
      </c>
    </row>
    <row r="41">
      <c r="A41" s="57" t="inlineStr">
        <is>
          <t>5</t>
        </is>
      </c>
      <c r="B41" s="57" t="inlineStr">
        <is>
          <t>Quema (renovación de pastos)</t>
        </is>
      </c>
      <c r="C41" s="57" t="inlineStr">
        <is>
          <t>Sí</t>
        </is>
      </c>
      <c r="D41" s="57" t="inlineStr">
        <is>
          <t>Moderada</t>
        </is>
      </c>
      <c r="E41" s="57" t="inlineStr">
        <is>
          <t>18</t>
        </is>
      </c>
      <c r="F41" s="57" t="inlineStr">
        <is>
          <t>15</t>
        </is>
      </c>
      <c r="G41" s="57" t="inlineStr">
        <is>
          <t>Evidencia de troncos chamuscados y cenizas en bordes; práctica para "renovar" pastos.</t>
        </is>
      </c>
    </row>
    <row r="42">
      <c r="A42" s="58" t="inlineStr">
        <is>
          <t>6</t>
        </is>
      </c>
      <c r="B42" s="58" t="inlineStr">
        <is>
          <t>Quema accidental / Incendio</t>
        </is>
      </c>
      <c r="C42" s="58" t="inlineStr">
        <is>
          <t>Sí</t>
        </is>
      </c>
      <c r="D42" s="58" t="inlineStr">
        <is>
          <t>Moderada</t>
        </is>
      </c>
      <c r="E42" s="58" t="inlineStr">
        <is>
          <t>10</t>
        </is>
      </c>
      <c r="F42" s="58" t="inlineStr">
        <is>
          <t>10</t>
        </is>
      </c>
      <c r="G42" s="58" t="inlineStr">
        <is>
          <t>Alta inflamabilidad del estrato herbáceo seco; riesgo elevado en estiaje.</t>
        </is>
      </c>
    </row>
    <row r="43">
      <c r="A43" s="57" t="inlineStr">
        <is>
          <t>7</t>
        </is>
      </c>
      <c r="B43" s="57" t="inlineStr">
        <is>
          <t>Cambio de uso a agricultura</t>
        </is>
      </c>
      <c r="C43" s="57" t="inlineStr">
        <is>
          <t>Sí</t>
        </is>
      </c>
      <c r="D43" s="57" t="inlineStr">
        <is>
          <t>Fuerte</t>
        </is>
      </c>
      <c r="E43" s="57" t="inlineStr">
        <is>
          <t>15</t>
        </is>
      </c>
      <c r="F43" s="57" t="inlineStr">
        <is>
          <t>50</t>
        </is>
      </c>
      <c r="G43" s="57" t="inlineStr">
        <is>
          <t>Avance histórico de agricultura bajo riego en pie de monte (terraza aluvial río Piura).</t>
        </is>
      </c>
    </row>
    <row r="44">
      <c r="A44" s="58" t="inlineStr">
        <is>
          <t>8</t>
        </is>
      </c>
      <c r="B44" s="58" t="inlineStr">
        <is>
          <t>Cambio de uso a pastoreo</t>
        </is>
      </c>
      <c r="C44" s="58" t="inlineStr">
        <is>
          <t>Sí</t>
        </is>
      </c>
      <c r="D44" s="58" t="inlineStr">
        <is>
          <t>Moderada</t>
        </is>
      </c>
      <c r="E44" s="58" t="inlineStr">
        <is>
          <t>30</t>
        </is>
      </c>
      <c r="F44" s="58" t="inlineStr">
        <is>
          <t>30</t>
        </is>
      </c>
      <c r="G44" s="58" t="inlineStr">
        <is>
          <t>Cercos vivos y huellas de ganado interno al bloque.</t>
        </is>
      </c>
    </row>
    <row r="45">
      <c r="A45" s="57" t="inlineStr">
        <is>
          <t>9</t>
        </is>
      </c>
      <c r="B45" s="57" t="inlineStr">
        <is>
          <t>Expansión urbana / vial</t>
        </is>
      </c>
      <c r="C45" s="57" t="inlineStr">
        <is>
          <t>Sí</t>
        </is>
      </c>
      <c r="D45" s="57" t="inlineStr">
        <is>
          <t>Ligera</t>
        </is>
      </c>
      <c r="E45" s="57" t="inlineStr">
        <is>
          <t>5</t>
        </is>
      </c>
      <c r="F45" s="57" t="inlineStr">
        <is>
          <t>40</t>
        </is>
      </c>
      <c r="G45" s="57" t="inlineStr">
        <is>
          <t>Asentamientos rurales periféricos (Pilca, La Maravilla, El Ingenio); trochas vecinales.</t>
        </is>
      </c>
    </row>
    <row r="46">
      <c r="A46" s="58" t="inlineStr">
        <is>
          <t>10</t>
        </is>
      </c>
      <c r="B46" s="58" t="inlineStr">
        <is>
          <t>Minería informal</t>
        </is>
      </c>
      <c r="C46" s="58" t="inlineStr">
        <is>
          <t>No</t>
        </is>
      </c>
      <c r="D46" s="58" t="inlineStr">
        <is>
          <t>Nula</t>
        </is>
      </c>
      <c r="E46" s="58" t="inlineStr">
        <is>
          <t>0</t>
        </is>
      </c>
      <c r="F46" s="58" t="inlineStr">
        <is>
          <t>0</t>
        </is>
      </c>
      <c r="G46" s="58" t="inlineStr">
        <is>
          <t>No observada.</t>
        </is>
      </c>
    </row>
    <row r="47">
      <c r="A47" s="57" t="inlineStr">
        <is>
          <t>11</t>
        </is>
      </c>
      <c r="B47" s="57" t="inlineStr">
        <is>
          <t>Extracción de áridos (cauces)</t>
        </is>
      </c>
      <c r="C47" s="57" t="inlineStr">
        <is>
          <t>No</t>
        </is>
      </c>
      <c r="D47" s="57" t="inlineStr">
        <is>
          <t>Nula</t>
        </is>
      </c>
      <c r="E47" s="57" t="inlineStr">
        <is>
          <t>0</t>
        </is>
      </c>
      <c r="F47" s="57" t="inlineStr">
        <is>
          <t>0</t>
        </is>
      </c>
      <c r="G47" s="57" t="inlineStr">
        <is>
          <t>No se observan canteras activas en el bloque (Cantera Río Corral / Cantera Córdova fuera del bloque).</t>
        </is>
      </c>
    </row>
    <row r="48">
      <c r="A48" s="58" t="inlineStr">
        <is>
          <t>12</t>
        </is>
      </c>
      <c r="B48" s="58" t="inlineStr">
        <is>
          <t>Especies invasoras</t>
        </is>
      </c>
      <c r="C48" s="58" t="inlineStr">
        <is>
          <t>No</t>
        </is>
      </c>
      <c r="D48" s="58" t="inlineStr">
        <is>
          <t>Ligera</t>
        </is>
      </c>
      <c r="E48" s="58" t="inlineStr">
        <is>
          <t>0</t>
        </is>
      </c>
      <c r="F48" s="58" t="inlineStr">
        <is>
          <t>0</t>
        </is>
      </c>
      <c r="G48" s="58" t="inlineStr">
        <is>
          <t>Especie exótica invasora conocida como Neem</t>
        </is>
      </c>
    </row>
    <row r="49">
      <c r="A49" s="57" t="inlineStr">
        <is>
          <t>13</t>
        </is>
      </c>
      <c r="B49" s="57" t="inlineStr">
        <is>
          <t>Erosión natural severa</t>
        </is>
      </c>
      <c r="C49" s="57" t="inlineStr">
        <is>
          <t>Sí</t>
        </is>
      </c>
      <c r="D49" s="57" t="inlineStr">
        <is>
          <t>Moderada</t>
        </is>
      </c>
      <c r="E49" s="57" t="inlineStr">
        <is>
          <t>25</t>
        </is>
      </c>
      <c r="F49" s="57" t="inlineStr">
        <is>
          <t>30</t>
        </is>
      </c>
      <c r="G49" s="57" t="inlineStr">
        <is>
          <t>Erosión natural acelerada por pendientes y lluvias intensas FEN.</t>
        </is>
      </c>
    </row>
    <row r="50">
      <c r="A50" s="58" t="inlineStr">
        <is>
          <t>14</t>
        </is>
      </c>
      <c r="B50" s="58" t="inlineStr">
        <is>
          <t>Sequía prolongada / CC</t>
        </is>
      </c>
      <c r="C50" s="58" t="inlineStr">
        <is>
          <t>Sí</t>
        </is>
      </c>
      <c r="D50" s="58" t="inlineStr">
        <is>
          <t>Moderada</t>
        </is>
      </c>
      <c r="E50" s="58" t="inlineStr">
        <is>
          <t>60</t>
        </is>
      </c>
      <c r="F50" s="58" t="inlineStr">
        <is>
          <t>20</t>
        </is>
      </c>
      <c r="G50" s="58" t="inlineStr">
        <is>
          <t>Anomalías térmicas y precipitaciones erráticas (escenario MPI-ESM1-2HR SSP585).</t>
        </is>
      </c>
    </row>
    <row r="51">
      <c r="A51" s="57" t="inlineStr">
        <is>
          <t>15</t>
        </is>
      </c>
      <c r="B51" s="57" t="inlineStr">
        <is>
          <t>Plagas o enfermedades forestales</t>
        </is>
      </c>
      <c r="C51" s="57" t="inlineStr">
        <is>
          <t>No</t>
        </is>
      </c>
      <c r="D51" s="57" t="inlineStr">
        <is>
          <t>Nula</t>
        </is>
      </c>
      <c r="E51" s="57" t="inlineStr">
        <is>
          <t>0</t>
        </is>
      </c>
      <c r="F51" s="57" t="inlineStr">
        <is>
          <t>0</t>
        </is>
      </c>
      <c r="G51" s="57" t="inlineStr">
        <is>
          <t>No observada.</t>
        </is>
      </c>
    </row>
    <row r="52">
      <c r="A52" s="58" t="inlineStr">
        <is>
          <t>16</t>
        </is>
      </c>
      <c r="B52" s="58" t="inlineStr">
        <is>
          <t>Otro</t>
        </is>
      </c>
      <c r="C52" s="58" t="inlineStr">
        <is>
          <t>No</t>
        </is>
      </c>
      <c r="D52" s="58" t="inlineStr">
        <is>
          <t>Nula</t>
        </is>
      </c>
      <c r="E52" s="58" t="inlineStr">
        <is>
          <t>0</t>
        </is>
      </c>
      <c r="F52" s="58" t="inlineStr">
        <is>
          <t>0</t>
        </is>
      </c>
      <c r="G52" s="58" t="inlineStr"/>
    </row>
    <row r="54">
      <c r="A54" s="55" t="inlineStr">
        <is>
          <t>F-DT-04 · INDICADORES CUANTITATIVOS</t>
        </is>
      </c>
    </row>
    <row r="55">
      <c r="A55" s="56" t="inlineStr">
        <is>
          <t>N.o</t>
        </is>
      </c>
      <c r="B55" s="56" t="inlineStr">
        <is>
          <t>Indicador</t>
        </is>
      </c>
      <c r="C55" s="56" t="inlineStr">
        <is>
          <t>Unidad</t>
        </is>
      </c>
      <c r="D55" s="56" t="inlineStr">
        <is>
          <t>Valor</t>
        </is>
      </c>
      <c r="E55" s="56" t="inlineStr">
        <is>
          <t>Fuente</t>
        </is>
      </c>
      <c r="F55" s="56" t="inlineStr">
        <is>
          <t>Umbral</t>
        </is>
      </c>
      <c r="G55" s="56" t="inlineStr">
        <is>
          <t>Nivel</t>
        </is>
      </c>
    </row>
    <row r="56">
      <c r="A56" s="57" t="inlineStr">
        <is>
          <t>1</t>
        </is>
      </c>
      <c r="B56" s="57" t="inlineStr">
        <is>
          <t>Cobertura vegetal total</t>
        </is>
      </c>
      <c r="C56" s="57" t="inlineStr">
        <is>
          <t>%</t>
        </is>
      </c>
      <c r="D56" s="57" t="inlineStr">
        <is>
          <t>30</t>
        </is>
      </c>
      <c r="E56" s="57" t="inlineStr">
        <is>
          <t>Estimación visual de campo + MSAVI Sentinel-2</t>
        </is>
      </c>
      <c r="F56" s="57" t="inlineStr">
        <is>
          <t>&gt;60% bueno; 30-60% medio; &lt;30% malo</t>
        </is>
      </c>
      <c r="G56" s="57" t="inlineStr">
        <is>
          <t>Medio</t>
        </is>
      </c>
    </row>
    <row r="57">
      <c r="A57" s="58" t="inlineStr">
        <is>
          <t>2</t>
        </is>
      </c>
      <c r="B57" s="58" t="inlineStr">
        <is>
          <t>Porcentaje de suelo desnudo</t>
        </is>
      </c>
      <c r="C57" s="58" t="inlineStr">
        <is>
          <t>%</t>
        </is>
      </c>
      <c r="D57" s="58" t="inlineStr">
        <is>
          <t>20</t>
        </is>
      </c>
      <c r="E57" s="58" t="inlineStr">
        <is>
          <t>Estimación visual de campo</t>
        </is>
      </c>
      <c r="F57" s="58" t="inlineStr">
        <is>
          <t>&lt;10% bueno; 10-30% medio; &gt;30% malo</t>
        </is>
      </c>
      <c r="G57" s="58" t="inlineStr">
        <is>
          <t>Medio</t>
        </is>
      </c>
    </row>
    <row r="58">
      <c r="A58" s="57" t="inlineStr">
        <is>
          <t>3</t>
        </is>
      </c>
      <c r="B58" s="57" t="inlineStr">
        <is>
          <t>Densidad de cárcavas</t>
        </is>
      </c>
      <c r="C58" s="57" t="inlineStr">
        <is>
          <t>N°/ha</t>
        </is>
      </c>
      <c r="D58" s="57" t="inlineStr">
        <is>
          <t>1.8</t>
        </is>
      </c>
      <c r="E58" s="57" t="inlineStr">
        <is>
          <t>Estimación visual de campo</t>
        </is>
      </c>
      <c r="F58" s="57" t="inlineStr">
        <is>
          <t>0 nulo; 1-3 medio; &gt;3 alto</t>
        </is>
      </c>
      <c r="G58" s="57" t="inlineStr">
        <is>
          <t>Medio</t>
        </is>
      </c>
    </row>
    <row r="59">
      <c r="A59" s="58" t="inlineStr">
        <is>
          <t>4</t>
        </is>
      </c>
      <c r="B59" s="58" t="inlineStr">
        <is>
          <t>Presencia de especies invasoras</t>
        </is>
      </c>
      <c r="C59" s="58" t="inlineStr">
        <is>
          <t>% área</t>
        </is>
      </c>
      <c r="D59" s="58" t="inlineStr">
        <is>
          <t>3</t>
        </is>
      </c>
      <c r="E59" s="58" t="inlineStr">
        <is>
          <t>Estimación visual de campo</t>
        </is>
      </c>
      <c r="F59" s="58" t="inlineStr">
        <is>
          <t>&lt;5% bueno; 5-20% medio; &gt;20% alto</t>
        </is>
      </c>
      <c r="G59" s="58" t="inlineStr">
        <is>
          <t>Bajo</t>
        </is>
      </c>
    </row>
    <row r="60">
      <c r="A60" s="57" t="inlineStr">
        <is>
          <t>5</t>
        </is>
      </c>
      <c r="B60" s="57" t="inlineStr">
        <is>
          <t>Carga ganadera estimada</t>
        </is>
      </c>
      <c r="C60" s="57" t="inlineStr">
        <is>
          <t>UA/ha</t>
        </is>
      </c>
      <c r="D60" s="57" t="inlineStr">
        <is>
          <t>0.8</t>
        </is>
      </c>
      <c r="E60" s="57" t="inlineStr">
        <is>
          <t>Estimación carga ganadera local (sin censo formal)</t>
        </is>
      </c>
      <c r="F60" s="57" t="inlineStr">
        <is>
          <t>Según tipo de ecosistema</t>
        </is>
      </c>
      <c r="G60" s="57" t="inlineStr">
        <is>
          <t>Medio</t>
        </is>
      </c>
    </row>
    <row r="61">
      <c r="A61" s="58" t="inlineStr">
        <is>
          <t>6</t>
        </is>
      </c>
      <c r="B61" s="58" t="inlineStr">
        <is>
          <t>Frecuencia de quemas últimos 5 años</t>
        </is>
      </c>
      <c r="C61" s="58" t="inlineStr">
        <is>
          <t>N°</t>
        </is>
      </c>
      <c r="D61" s="58" t="inlineStr"/>
      <c r="E61" s="58" t="inlineStr">
        <is>
          <t>Reportes comunitarios + indicios de campo</t>
        </is>
      </c>
      <c r="F61" s="58" t="inlineStr">
        <is>
          <t>0 nulo; 1-2 medio; &gt;2 alto</t>
        </is>
      </c>
      <c r="G61" s="58" t="inlineStr">
        <is>
          <t>Medio</t>
        </is>
      </c>
    </row>
    <row r="62">
      <c r="A62" s="57" t="inlineStr">
        <is>
          <t>7</t>
        </is>
      </c>
      <c r="B62" s="57" t="inlineStr">
        <is>
          <t>% área con pendiente &gt;50%</t>
        </is>
      </c>
      <c r="C62" s="57" t="inlineStr">
        <is>
          <t>%</t>
        </is>
      </c>
      <c r="D62" s="57" t="inlineStr">
        <is>
          <t>25</t>
        </is>
      </c>
      <c r="E62" s="57" t="inlineStr">
        <is>
          <t>Análisis GIS</t>
        </is>
      </c>
      <c r="F62" s="57" t="inlineStr">
        <is>
          <t>Factor de susceptibilidad</t>
        </is>
      </c>
      <c r="G62" s="57" t="inlineStr">
        <is>
          <t>Alto</t>
        </is>
      </c>
    </row>
    <row r="63">
      <c r="A63" s="58" t="inlineStr">
        <is>
          <t>8</t>
        </is>
      </c>
      <c r="B63" s="58" t="inlineStr">
        <is>
          <t>Distancia a vía vecinal más cercana</t>
        </is>
      </c>
      <c r="C63" s="58" t="inlineStr">
        <is>
          <t>m</t>
        </is>
      </c>
      <c r="D63" s="58" t="inlineStr">
        <is>
          <t>300</t>
        </is>
      </c>
      <c r="E63" s="58" t="inlineStr">
        <is>
          <t>Distancia GIS a carretera Chulucanas-Buenos Aires</t>
        </is>
      </c>
      <c r="F63" s="58" t="inlineStr">
        <is>
          <t>A menor distancia → mayor presión</t>
        </is>
      </c>
      <c r="G63" s="58" t="inlineStr">
        <is>
          <t>Alto</t>
        </is>
      </c>
    </row>
    <row r="65">
      <c r="A65" s="55" t="inlineStr">
        <is>
          <t>F-DT-05 · FUENTES DE AGUA INVENTARIADAS</t>
        </is>
      </c>
    </row>
    <row r="66">
      <c r="A66" s="56" t="inlineStr">
        <is>
          <t>N.o</t>
        </is>
      </c>
      <c r="B66" s="56" t="inlineStr">
        <is>
          <t>Tipo de fuente</t>
        </is>
      </c>
      <c r="C66" s="56" t="inlineStr">
        <is>
          <t>UTM ESTE</t>
        </is>
      </c>
      <c r="D66" s="56" t="inlineStr">
        <is>
          <t>UTM NORTE</t>
        </is>
      </c>
      <c r="E66" s="56" t="inlineStr">
        <is>
          <t>Régimen</t>
        </is>
      </c>
      <c r="F66" s="56" t="inlineStr">
        <is>
          <t>Calidad</t>
        </is>
      </c>
      <c r="G66" s="56" t="inlineStr">
        <is>
          <t>Distancia (m)</t>
        </is>
      </c>
      <c r="H66" s="56" t="inlineStr">
        <is>
          <t>Uso / observación</t>
        </is>
      </c>
    </row>
    <row r="67">
      <c r="A67" s="57" t="inlineStr">
        <is>
          <t>1</t>
        </is>
      </c>
      <c r="B67" s="57" t="inlineStr">
        <is>
          <t>Quebrada estacional</t>
        </is>
      </c>
      <c r="C67" s="62" t="n">
        <v>617400</v>
      </c>
      <c r="D67" s="62" t="n">
        <v>9423050</v>
      </c>
      <c r="E67" s="57" t="inlineStr">
        <is>
          <t>Estacional (lluvias)</t>
        </is>
      </c>
      <c r="F67" s="57" t="inlineStr">
        <is>
          <t>Regular (ligeramente turbia o con sedimentos)</t>
        </is>
      </c>
      <c r="G67" s="63" t="n">
        <v>0</v>
      </c>
      <c r="H67" s="57" t="inlineStr">
        <is>
          <t>Quebrada sin nombre que atraviesa el flanco norte del bloque; drena hacia el río Piura. Cauce activo solo en estación lluviosa (ene-abr). Socavamiento de márgenes observado.</t>
        </is>
      </c>
    </row>
    <row r="68">
      <c r="A68" s="58" t="inlineStr">
        <is>
          <t>2</t>
        </is>
      </c>
      <c r="B68" s="58" t="inlineStr">
        <is>
          <t>Río</t>
        </is>
      </c>
      <c r="C68" s="64" t="n">
        <v>618800</v>
      </c>
      <c r="D68" s="64" t="n">
        <v>9422700</v>
      </c>
      <c r="E68" s="58" t="inlineStr">
        <is>
          <t>Permanente</t>
        </is>
      </c>
      <c r="F68" s="58" t="inlineStr">
        <is>
          <t>Regular (ligeramente turbia o con sedimentos)</t>
        </is>
      </c>
      <c r="G68" s="64" t="n">
        <v>1260</v>
      </c>
      <c r="H68" s="58" t="inlineStr">
        <is>
          <t>Río Piura, eje hidrológico regional; bordea el bloque por el sur-este. No es directamente captable desde el bloque.</t>
        </is>
      </c>
    </row>
    <row r="69">
      <c r="A69" s="57" t="inlineStr">
        <is>
          <t>3</t>
        </is>
      </c>
      <c r="B69" s="57" t="inlineStr">
        <is>
          <t>Canal de riego</t>
        </is>
      </c>
      <c r="C69" s="62" t="n">
        <v>617050</v>
      </c>
      <c r="D69" s="62" t="n">
        <v>9422850</v>
      </c>
      <c r="E69" s="57" t="inlineStr">
        <is>
          <t>Permanente</t>
        </is>
      </c>
      <c r="F69" s="57" t="inlineStr">
        <is>
          <t>Regular (ligeramente turbia o con sedimentos)</t>
        </is>
      </c>
      <c r="G69" s="62" t="n">
        <v>350</v>
      </c>
      <c r="H69" s="57" t="inlineStr">
        <is>
          <t>Canal de riego del Sistema Buenos Aires (Comisión de Usuarios del Bajo Piura) que sirve a cultivos del valle adyacente.</t>
        </is>
      </c>
    </row>
    <row r="72">
      <c r="A72" s="55" t="inlineStr">
        <is>
          <t>OBSERVACIONES DEL EVALUADOR POR FICHA</t>
        </is>
      </c>
    </row>
    <row r="73">
      <c r="A73" s="56" t="inlineStr">
        <is>
          <t>Ficha</t>
        </is>
      </c>
      <c r="B73" s="56" t="inlineStr">
        <is>
          <t>Observación registrada en campo</t>
        </is>
      </c>
    </row>
    <row r="74">
      <c r="A74" s="57" t="inlineStr">
        <is>
          <t>F-DT-01</t>
        </is>
      </c>
      <c r="B74" s="57" t="inlineStr">
        <is>
          <t>OBSERVACIONES: El bloque M6B10 corresponde a un cerro aislado, enclavado entre la planicie aluvial cultivada del valle del río Piura (sur–este) y los centros poblados de Pilca, Ingenio (oeste) y Maravilla hacia el sur. Se identifican tres unidades fisiográficas internas: (i) cresta rocosa con afloramientos y vegetación arbustiva-cactácea; (ii) ladera media con bosque seco caducifolio en mejor estado; (iii) pie de monte y bordes de quebrada sin nombre, con mayor presión antrópica (pastoreo y huellas). Pendientes máximas registradas en GE: 61.4 % (cara oeste, sobre Pilca). El acceso al bloque se realiza desde la trocha que parte del C.P. La Pilca, tras cruzar la Quebrada sin nombre (Pto. ingreso M6B10: 17M 617345 E / 9422993 N).</t>
        </is>
      </c>
    </row>
    <row r="75">
      <c r="A75" s="58" t="inlineStr">
        <is>
          <t>F-DT-02</t>
        </is>
      </c>
      <c r="B75" s="58" t="inlineStr">
        <is>
          <t>OBSERVACIONES: La erosión hídrica predominante es de tipo laminar–surco en laderas con cobertura arbustiva incompleta. Las cárcavas más profundas se concentran en los bordes de la Quebrada sin nombre (flanco norte), asociadas a concentración natural de escorrentía y socavamiento de ladera. En el flanco sur (hacia el río Piura) prevalecen surcos incipientes en zonas con menor cobertura vegetal y mayor pisoteo de ganado. El inventario presentado es preliminar; se recomienda recorrido sistemático con GPS para completar el catastro de cárcavas en el estudio definitivo.</t>
        </is>
      </c>
    </row>
    <row r="76">
      <c r="A76" s="57" t="inlineStr">
        <is>
          <t>F-DT-03</t>
        </is>
      </c>
      <c r="B76" s="57" t="inlineStr">
        <is>
          <t>OBSERVACIONES: El bloque M6B10 alberga un parche representativo del ecosistema Bosque Estacionalmente Seco de Colina y Montaña (Bes-cm) en buen estado relativo, pese a la presión periférica por sobrepastoreo y tala selectiva. Sobresale la presencia de Loxopterygium huasango (hualtaco, CR) , especie categorizada como amenazada en el D.S. 043-2006-AG. La estructura vertical muestra dominancia del estrato arbustivo (40%) sobre el arbóreo (25%), compatible con un bosque seco semiabierto en estado medianamente alterado. La cima rocosa funciona como refugio natural para regeneración de cactáceas columnares. Visita realizada al inicio de la estación seca: la mayoría de especies caducifolias se encuentran con hojas en caída o inicio de rebrote.</t>
        </is>
      </c>
    </row>
    <row r="77">
      <c r="A77" s="58" t="inlineStr">
        <is>
          <t>F-DT-04</t>
        </is>
      </c>
      <c r="B77" s="58" t="inlineStr">
        <is>
          <t>OBSERVACIONES: El bloque presenta un patrón típico de degradación de bosques secos costeros del norte: presión combinada de pastoreo, tala selectiva y quemas estacionales que, aunque individualmente de intensidad ligera a moderada, generan sinergias que limitan la regeneración natural. La proximidad al valle agrícola del Piura (alta presión por uso del suelo) y la cercanía a vías vecinales (&lt;500 m) incrementan la accesibilidad y por ende la presión antrópica. La degradación es parcialmente reversible mediante medidas de restauración pasiva (clausura temporal, control de pastoreo) complementadas con medidas activas (revegetación con especies nativas, zanjas de infiltración). El escenario climático futuro (MPI-ESM1-2HR SSP585, 2021-2040) anticipa déficit hídrico creciente que aumentará la vulnerabilidad ecológica.</t>
        </is>
      </c>
    </row>
    <row r="78">
      <c r="A78" s="57" t="inlineStr">
        <is>
          <t>F-DT-05</t>
        </is>
      </c>
      <c r="B78" s="57" t="inlineStr">
        <is>
          <t>OBSERVACIONES: El bloque no presenta fuentes de agua superficial de carácter permanente al interior de su perímetro; la quebrada sin nombre es estacional y depende directamente de las precipitaciones. Esta característica refuerza la importancia del bloque como zona de generación de escorrentía hacia el río Piura, lo que justificaría la intervención con medidas de infiltración (zanjas, barreras vivas, terrazas de formación lenta) para aumentar el tiempo de residencia del agua y reducir el aporte de sedimentos hacia el cauce principal. La accesibilidad es regular en estación seca (acceso vehicular hasta Pilca recomendable camioneta 4x4 y caminata de 20-30 min al interior del bloque), pero se restringe en lluvias. Se recomienda gestionar autorización formal de la Auoridad del Centro Poblado y coordinación con la JASS local para futuras campañas de campo durante ejecución. Los terrenos según refiere entrevistado lugareño son de propiedad del Estado.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M6B10</t>
        </is>
      </c>
    </row>
    <row r="7">
      <c r="A7" s="55" t="inlineStr">
        <is>
          <t>Hechos declarados por fuente</t>
        </is>
      </c>
    </row>
    <row r="8">
      <c r="A8" s="56" t="inlineStr">
        <is>
          <t>Fuente</t>
        </is>
      </c>
      <c r="B8" s="56" t="inlineStr">
        <is>
          <t>Hechos</t>
        </is>
      </c>
    </row>
    <row r="9">
      <c r="A9" s="57" t="inlineStr">
        <is>
          <t>Dato de campo</t>
        </is>
      </c>
      <c r="B9" s="57" t="n">
        <v>75</v>
      </c>
    </row>
    <row r="10">
      <c r="A10" s="58" t="inlineStr">
        <is>
          <t>Gabinete (GIS / teledetección)</t>
        </is>
      </c>
      <c r="B10" s="58" t="n">
        <v>21</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105</v>
      </c>
    </row>
    <row r="31">
      <c r="A31" s="58" t="inlineStr">
        <is>
          <t>COMPLEMENTADO</t>
        </is>
      </c>
      <c r="B31" s="58" t="n">
        <v>1</v>
      </c>
    </row>
    <row r="32">
      <c r="A32" s="57" t="inlineStr">
        <is>
          <t>ACTUALIZADO</t>
        </is>
      </c>
      <c r="B32" s="57" t="n">
        <v>4</v>
      </c>
    </row>
    <row r="33">
      <c r="A33" s="58" t="inlineStr">
        <is>
          <t>DISCREPANTE</t>
        </is>
      </c>
      <c r="B33" s="58" t="n">
        <v>0</v>
      </c>
    </row>
    <row r="34">
      <c r="A34" s="57" t="inlineStr">
        <is>
          <t>PENDIENTE</t>
        </is>
      </c>
      <c r="B34" s="57" t="n">
        <v>4</v>
      </c>
    </row>
    <row r="51">
      <c r="A51" s="55" t="inlineStr">
        <is>
          <t>Cobertura por estrato — campo (%)</t>
        </is>
      </c>
    </row>
    <row r="52">
      <c r="A52" s="56" t="inlineStr">
        <is>
          <t>Estrato</t>
        </is>
      </c>
      <c r="B52" s="56" t="inlineStr">
        <is>
          <t>% del área</t>
        </is>
      </c>
    </row>
    <row r="53">
      <c r="A53" s="57" t="inlineStr">
        <is>
          <t>Dosel</t>
        </is>
      </c>
      <c r="B53" s="62" t="n">
        <v>25</v>
      </c>
    </row>
    <row r="54">
      <c r="A54" s="58" t="inlineStr">
        <is>
          <t>Arbustiva</t>
        </is>
      </c>
      <c r="B54" s="64" t="n">
        <v>15</v>
      </c>
    </row>
    <row r="55">
      <c r="A55" s="57" t="inlineStr">
        <is>
          <t>Herbácea</t>
        </is>
      </c>
      <c r="B55" s="62" t="n">
        <v>20</v>
      </c>
    </row>
    <row r="56">
      <c r="A56" s="58" t="inlineStr">
        <is>
          <t>Suelo desnudo</t>
        </is>
      </c>
      <c r="B56" s="64" t="n">
        <v>30</v>
      </c>
    </row>
    <row r="73">
      <c r="A73" s="55" t="inlineStr">
        <is>
          <t>Causas activas de degradación (F-DT-04)</t>
        </is>
      </c>
    </row>
    <row r="74">
      <c r="A74" s="56" t="inlineStr">
        <is>
          <t>Causa</t>
        </is>
      </c>
      <c r="B74" s="56" t="inlineStr">
        <is>
          <t>Intensidad (1 ligera - 4 muy fuerte)</t>
        </is>
      </c>
    </row>
    <row r="75">
      <c r="A75" s="57" t="inlineStr">
        <is>
          <t>Cambio de uso a agricultura</t>
        </is>
      </c>
      <c r="B75" s="57" t="n">
        <v>3</v>
      </c>
    </row>
    <row r="76">
      <c r="A76" s="58" t="inlineStr">
        <is>
          <t>Cambio de uso a pastoreo</t>
        </is>
      </c>
      <c r="B76" s="58" t="n">
        <v>2</v>
      </c>
    </row>
    <row r="77">
      <c r="A77" s="57" t="inlineStr">
        <is>
          <t>Erosión natural severa</t>
        </is>
      </c>
      <c r="B77" s="57" t="n">
        <v>2</v>
      </c>
    </row>
    <row r="78">
      <c r="A78" s="58" t="inlineStr">
        <is>
          <t>Quema (renovación de pastos)</t>
        </is>
      </c>
      <c r="B78" s="58" t="n">
        <v>2</v>
      </c>
    </row>
    <row r="79">
      <c r="A79" s="57" t="inlineStr">
        <is>
          <t>Quema accidental / Incendio</t>
        </is>
      </c>
      <c r="B79" s="57" t="n">
        <v>2</v>
      </c>
    </row>
    <row r="80">
      <c r="A80" s="58" t="inlineStr">
        <is>
          <t>Sequía prolongada / CC</t>
        </is>
      </c>
      <c r="B80" s="58" t="n">
        <v>2</v>
      </c>
    </row>
    <row r="81">
      <c r="A81" s="57" t="inlineStr">
        <is>
          <t>Sobrepastoreo (caprino/vacuno)</t>
        </is>
      </c>
      <c r="B81" s="57" t="n">
        <v>2</v>
      </c>
    </row>
    <row r="82">
      <c r="A82" s="58" t="inlineStr">
        <is>
          <t>Tala para carbón</t>
        </is>
      </c>
      <c r="B82" s="58" t="n">
        <v>2</v>
      </c>
    </row>
    <row r="83">
      <c r="A83" s="57" t="inlineStr">
        <is>
          <t>Tala para leña</t>
        </is>
      </c>
      <c r="B83" s="57" t="n">
        <v>2</v>
      </c>
    </row>
    <row r="84">
      <c r="A84" s="58" t="inlineStr">
        <is>
          <t>Tala para madera</t>
        </is>
      </c>
      <c r="B84" s="58" t="n">
        <v>2</v>
      </c>
    </row>
    <row r="101">
      <c r="A101" s="55" t="inlineStr">
        <is>
          <t>Control de consistencia por calificación</t>
        </is>
      </c>
    </row>
    <row r="102">
      <c r="A102" s="56" t="inlineStr">
        <is>
          <t>Calificación</t>
        </is>
      </c>
      <c r="B102" s="56" t="inlineStr">
        <is>
          <t>Verificaciones</t>
        </is>
      </c>
    </row>
    <row r="103">
      <c r="A103" s="57" t="inlineStr">
        <is>
          <t>SUSTANTIVA</t>
        </is>
      </c>
      <c r="B103" s="57" t="n">
        <v>6</v>
      </c>
    </row>
    <row r="104">
      <c r="A104" s="58" t="inlineStr">
        <is>
          <t>NO SUSTANTIVA</t>
        </is>
      </c>
      <c r="B104" s="58" t="n">
        <v>3</v>
      </c>
    </row>
    <row r="105">
      <c r="A105" s="57" t="inlineStr">
        <is>
          <t>CORREGIDO</t>
        </is>
      </c>
      <c r="B105" s="57" t="n">
        <v>5</v>
      </c>
    </row>
    <row r="106">
      <c r="A106" s="58" t="inlineStr">
        <is>
          <t>CONFORME</t>
        </is>
      </c>
      <c r="B106"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M6B10 — IN Piura</dc:title>
  <dc:subject>Diagnóstico Territorial por bloque de intervención</dc:subject>
  <dcterms:created xsi:type="dcterms:W3CDTF">2026-09-08T03:39:59Z</dcterms:created>
  <dcterms:modified xsi:type="dcterms:W3CDTF">2026-09-11T20:22:39Z</dcterms:modified>
</cp:coreProperties>
</file>