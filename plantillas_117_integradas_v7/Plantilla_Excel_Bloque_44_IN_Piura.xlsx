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166" fontId="6" fillId="0" borderId="7" pivotButton="0" quotePrefix="0" xfId="0"/>
    <xf numFmtId="4" fontId="6" fillId="5" borderId="7" pivotButton="0" quotePrefix="0" xfId="0"/>
    <xf numFmtId="4"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integración'!$A$53:$A$56</f>
            </numRef>
          </cat>
          <val>
            <numRef>
              <f>'Gráficos de integración'!$B$53:$B$56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integración'!B74</f>
            </strRef>
          </tx>
          <spPr>
            <a:ln>
              <a:prstDash val="solid"/>
            </a:ln>
          </spPr>
          <cat>
            <numRef>
              <f>'Gráficos de integración'!$A$75</f>
            </numRef>
          </cat>
          <val>
            <numRef>
              <f>'Gráficos de integración'!$B$75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integración'!B93</f>
            </strRef>
          </tx>
          <spPr>
            <a:ln>
              <a:prstDash val="solid"/>
            </a:ln>
          </spPr>
          <cat>
            <numRef>
              <f>'Gráficos de integración'!$A$94:$A$97</f>
            </numRef>
          </cat>
          <val>
            <numRef>
              <f>'Gráficos de integración'!$B$94:$B$97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73</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92</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44</t>
        </is>
      </c>
    </row>
    <row r="6" ht="24" customHeight="1">
      <c r="A6" s="4" t="inlineStr">
        <is>
          <t>Diagnóstico Territorial — Plantilla DT Campo Check Validada V5 | Sistema de referencia: UTM WGS 84 Zona 17S (EPSG:32717) · Integrado con la ficha de campo F-DT vigente (DT_Campo_Bloque44_IN_Piura.xlsx) — V7 - resumen V6 + campo F-DT integrado</t>
        </is>
      </c>
    </row>
    <row r="7"/>
    <row r="8" ht="18" customHeight="1">
      <c r="A8" s="5" t="inlineStr">
        <is>
          <t>1. IDENTIFICACIÓN Y LOCALIZACIÓN</t>
        </is>
      </c>
    </row>
    <row r="9">
      <c r="A9" s="6" t="inlineStr">
        <is>
          <t>Código del bloque</t>
        </is>
      </c>
      <c r="B9" s="7" t="inlineStr">
        <is>
          <t>44</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C1076-Q9586</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Cruz de Piedra</t>
        </is>
      </c>
      <c r="C13" s="6" t="inlineStr">
        <is>
          <t>Comunidad campesina</t>
        </is>
      </c>
      <c r="D13" s="7" t="inlineStr">
        <is>
          <t>Por verificar</t>
        </is>
      </c>
      <c r="E13" s="8" t="n"/>
      <c r="F13" s="8" t="n"/>
    </row>
    <row r="14">
      <c r="A14" s="6" t="inlineStr">
        <is>
          <t>Superficie de catálogo (V5/V6), ha</t>
        </is>
      </c>
      <c r="B14" s="7" t="n">
        <v>28.23</v>
      </c>
      <c r="C14" s="6" t="inlineStr">
        <is>
          <t>Fuente de superficie</t>
        </is>
      </c>
      <c r="D14" s="7" t="inlineStr">
        <is>
          <t>Catálogo maestro Bloques V5/V6</t>
        </is>
      </c>
      <c r="E14" s="8" t="n"/>
      <c r="F14" s="8" t="n"/>
    </row>
    <row r="15">
      <c r="A15" s="6" t="inlineStr">
        <is>
          <t>Centroide UTM ESTE (m)</t>
        </is>
      </c>
      <c r="B15" s="7" t="n">
        <v>663637</v>
      </c>
      <c r="C15" s="6" t="inlineStr">
        <is>
          <t>Centroide UTM NORTE (m)</t>
        </is>
      </c>
      <c r="D15" s="7" t="n">
        <v>9400618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3091</v>
      </c>
      <c r="C19" s="6" t="inlineStr">
        <is>
          <t>Altitud máxima (msnm)</t>
        </is>
      </c>
      <c r="D19" s="7" t="n">
        <v>3277</v>
      </c>
      <c r="E19" s="8" t="n"/>
      <c r="F19" s="8" t="n"/>
    </row>
    <row r="20">
      <c r="A20" s="6" t="inlineStr">
        <is>
          <t>Amplitud altitudinal (m)</t>
        </is>
      </c>
      <c r="B20" s="7" t="n">
        <v>186</v>
      </c>
      <c r="C20" s="6" t="inlineStr">
        <is>
          <t>Piso altitudinal dominante</t>
        </is>
      </c>
      <c r="D20" s="7" t="inlineStr">
        <is>
          <t>3000-3500 m (Puna baja)</t>
        </is>
      </c>
      <c r="E20" s="8" t="n"/>
      <c r="F20" s="8" t="n"/>
    </row>
    <row r="21">
      <c r="A21" s="6" t="inlineStr">
        <is>
          <t>Pendiente promedio (%)</t>
        </is>
      </c>
      <c r="B21" s="7" t="n">
        <v>22.21</v>
      </c>
      <c r="C21" s="6" t="inlineStr">
        <is>
          <t>Pendiente promedio (grados)</t>
        </is>
      </c>
      <c r="D21" s="7" t="n">
        <v>12.5</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alta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0.5113</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(83.85 %)</t>
        </is>
      </c>
      <c r="E29" s="8" t="n"/>
      <c r="F29" s="8" t="n"/>
    </row>
    <row r="30">
      <c r="A30" s="6" t="inlineStr">
        <is>
          <t>Superficie clasificada NDVI 2025 (ha)</t>
        </is>
      </c>
      <c r="B30" s="7" t="n">
        <v>28.238</v>
      </c>
      <c r="C30" s="6" t="inlineStr">
        <is>
          <t>Desviación frente al catálogo (%)</t>
        </is>
      </c>
      <c r="D30" s="7" t="n">
        <v>0.03</v>
      </c>
      <c r="E30" s="8" t="n"/>
      <c r="F30" s="8" t="n"/>
    </row>
    <row r="31">
      <c r="A31" s="6" t="inlineStr">
        <is>
          <t>Superficie clasificada MSAVI 2024 (ha)</t>
        </is>
      </c>
      <c r="B31" s="37" t="n">
        <v>28.234</v>
      </c>
      <c r="C31" s="6" t="inlineStr">
        <is>
          <t>Desviación MSAVI frente al catálogo (%)</t>
        </is>
      </c>
      <c r="D31" s="38" t="n">
        <v>0.02</v>
      </c>
      <c r="E31" s="8" t="n"/>
      <c r="F31" s="8" t="n"/>
    </row>
    <row r="32">
      <c r="A32" s="6" t="inlineStr">
        <is>
          <t>Superficie bajo umbral MSAVI 0.4976 (ha)</t>
        </is>
      </c>
      <c r="B32" s="37" t="n">
        <v>14.699</v>
      </c>
      <c r="C32" s="6" t="inlineStr">
        <is>
          <t>% del bloque bajo umbral (brecha espectral)</t>
        </is>
      </c>
      <c r="D32" s="38" t="n">
        <v>52.06</v>
      </c>
      <c r="E32" s="8" t="n"/>
      <c r="F32" s="8" t="n"/>
    </row>
    <row r="33">
      <c r="A33" s="6" t="inlineStr">
        <is>
          <t>Clase DN dominante (MSAVI 2024)</t>
        </is>
      </c>
      <c r="B33" s="7" t="inlineStr">
        <is>
          <t>DN 3 · 0.3813 - 0.4976 (Vigor bajo)</t>
        </is>
      </c>
      <c r="C33" s="6" t="inlineStr">
        <is>
          <t>N.° de polígonos MSAVI del bloque</t>
        </is>
      </c>
      <c r="D33" s="39" t="n">
        <v>97</v>
      </c>
      <c r="E33" s="8" t="n"/>
      <c r="F33" s="8" t="n"/>
    </row>
    <row r="34"/>
    <row r="35" ht="18" customHeight="1">
      <c r="A35" s="5" t="inlineStr">
        <is>
          <t>4. ECOSISTEMA Y ESTADO DE CONSERVACIÓN</t>
        </is>
      </c>
    </row>
    <row r="36">
      <c r="A36" s="6" t="inlineStr">
        <is>
          <t>Tipo de ecosistema (UP)</t>
        </is>
      </c>
      <c r="B36" s="7" t="inlineStr">
        <is>
          <t>Páramo</t>
        </is>
      </c>
      <c r="C36" s="6" t="inlineStr">
        <is>
          <t>Superficie de ecosistema (ha)</t>
        </is>
      </c>
      <c r="D36" s="7" t="inlineStr">
        <is>
          <t>Páramo 26.89 ha + Matorral andino 1.34 ha = 28.23 ha</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Pastizal natural</t>
        </is>
      </c>
      <c r="C38" s="6" t="inlineStr">
        <is>
          <t>Cobertura vegetal total — campo (%)</t>
        </is>
      </c>
      <c r="D38" s="7" t="n">
        <v>85</v>
      </c>
      <c r="E38" s="8" t="n"/>
      <c r="F38" s="8" t="n"/>
    </row>
    <row r="39">
      <c r="A39" s="6" t="inlineStr">
        <is>
          <t>Suelo desnudo — campo (%)</t>
        </is>
      </c>
      <c r="B39" s="7" t="n">
        <v>8</v>
      </c>
      <c r="C39" s="6" t="inlineStr">
        <is>
          <t>Regeneración natural</t>
        </is>
      </c>
      <c r="D39" s="49" t="inlineStr">
        <is>
          <t>No aplica (ecosistema no arbóreo)</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10</v>
      </c>
      <c r="C41" s="6" t="inlineStr">
        <is>
          <t>Estado sanitario</t>
        </is>
      </c>
      <c r="D41" s="49" t="inlineStr">
        <is>
          <t>No aplica</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2026-07-22</t>
        </is>
      </c>
      <c r="E44" s="8" t="n"/>
      <c r="F44" s="8" t="n"/>
    </row>
    <row r="45">
      <c r="A45" s="6" t="inlineStr">
        <is>
          <t>Hora de registro</t>
        </is>
      </c>
      <c r="B45" s="7" t="inlineStr">
        <is>
          <t>15:00 - 15:24</t>
        </is>
      </c>
      <c r="C45" s="6" t="inlineStr">
        <is>
          <t>Correlativo de ficha</t>
        </is>
      </c>
      <c r="D45" s="7" t="inlineStr">
        <is>
          <t>F-DT-01/B44</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permanente)</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un régimen de manejo del pastizal altoandino (sin control de carga, sin rotación ni clausura)</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2.1458</v>
      </c>
      <c r="C10" s="19">
        <f>ROUND(B10/$B$15*100,2)</f>
        <v/>
      </c>
      <c r="D10" s="11" t="inlineStr">
        <is>
          <t>Vigor alto</t>
        </is>
      </c>
      <c r="E10" s="11" t="inlineStr">
        <is>
          <t>Sobre umbral</t>
        </is>
      </c>
    </row>
    <row r="11">
      <c r="A11" s="12" t="inlineStr">
        <is>
          <t>0.4976 - 0.6139 · DN 4</t>
        </is>
      </c>
      <c r="B11" s="31" t="n">
        <v>11.3894</v>
      </c>
      <c r="C11" s="30">
        <f>ROUND(B11/$B$15*100,2)</f>
        <v/>
      </c>
      <c r="D11" s="13" t="inlineStr">
        <is>
          <t>Vigor moderado</t>
        </is>
      </c>
      <c r="E11" s="13" t="inlineStr">
        <is>
          <t>Sobre umbral</t>
        </is>
      </c>
    </row>
    <row r="12">
      <c r="A12" s="7" t="inlineStr">
        <is>
          <t>0.3813 - 0.4976 · DN 3</t>
        </is>
      </c>
      <c r="B12" s="18" t="n">
        <v>14.6992</v>
      </c>
      <c r="C12" s="19">
        <f>ROUND(B12/$B$15*100,2)</f>
        <v/>
      </c>
      <c r="D12" s="11" t="inlineStr">
        <is>
          <t>Vigor bajo</t>
        </is>
      </c>
      <c r="E12" s="11" t="inlineStr">
        <is>
          <t>BAJO umbral 0.4976</t>
        </is>
      </c>
    </row>
    <row r="13">
      <c r="A13" s="14" t="inlineStr">
        <is>
          <t>0.2650 - 0.3813 · DN 2</t>
        </is>
      </c>
      <c r="B13" s="20" t="n">
        <v>0</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97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28.23</v>
      </c>
      <c r="C18" s="48" t="inlineStr">
        <is>
          <t>—</t>
        </is>
      </c>
      <c r="D18" s="45" t="inlineStr">
        <is>
          <t>Desviación planimétrica frente al catálogo</t>
        </is>
      </c>
      <c r="E18" s="45" t="inlineStr">
        <is>
          <t>+0.02 %</t>
        </is>
      </c>
    </row>
    <row r="19">
      <c r="A19" s="16" t="inlineStr">
        <is>
          <t>MSAVI 2024 — MEDIA DEL BLOQUE</t>
        </is>
      </c>
      <c r="B19" s="17" t="n">
        <v>0.511324</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(0.5113)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23.6771</v>
      </c>
      <c r="C25" s="19" t="n">
        <v>83.84999999999999</v>
      </c>
      <c r="D25" s="11" t="inlineStr">
        <is>
          <t>Dosel continuo, matorral denso o mosaico agroforestal</t>
        </is>
      </c>
      <c r="E25" s="11" t="inlineStr"/>
    </row>
    <row r="26">
      <c r="A26" s="14" t="inlineStr">
        <is>
          <t>Vegetación mediana</t>
        </is>
      </c>
      <c r="B26" s="20" t="n">
        <v>4.5611</v>
      </c>
      <c r="C26" s="21" t="n">
        <v>16.15</v>
      </c>
      <c r="D26" s="15" t="inlineStr">
        <is>
          <t>Pastizal cultivado, matorral ralo, parcelas agrícolas</t>
        </is>
      </c>
      <c r="E26" s="15" t="inlineStr"/>
    </row>
    <row r="27">
      <c r="A27" s="16" t="inlineStr">
        <is>
          <t>TOTAL CLASIFICADO</t>
        </is>
      </c>
      <c r="B27" s="22">
        <f>SUM(B25:B26)</f>
        <v/>
      </c>
      <c r="C27" s="23">
        <f>SUM(C25:C26)</f>
        <v/>
      </c>
      <c r="D27" s="17" t="inlineStr"/>
      <c r="E27" s="17" t="inlineStr"/>
    </row>
    <row r="28">
      <c r="A28" s="24" t="inlineStr">
        <is>
          <t>Superficie de catálogo (V5/V6)</t>
        </is>
      </c>
      <c r="B28" s="25" t="n">
        <v>28.23</v>
      </c>
      <c r="C28" s="25" t="inlineStr">
        <is>
          <t>—</t>
        </is>
      </c>
      <c r="D28" s="25" t="inlineStr">
        <is>
          <t>Desviación planimétrica frente al catálogo</t>
        </is>
      </c>
      <c r="E28" s="25" t="inlineStr">
        <is>
          <t>+0.03 %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83.85 % del polígono clasificado como «Vegetación alta» por el NDVI 2025; la observación de campo corresponde a una parcela o recorrido puntual y no es estadísticamente representativa de las 28.230 ha del bloque.</t>
        </is>
      </c>
      <c r="B30" s="40" t="n"/>
      <c r="C30" s="40" t="n"/>
      <c r="D30" s="40" t="n"/>
      <c r="E30" s="41"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44</t>
        </is>
      </c>
    </row>
    <row r="6" ht="24" customHeight="1">
      <c r="A6" s="4" t="inlineStr">
        <is>
          <t>Levantamiento del 2026-07-22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663790</v>
      </c>
      <c r="D10" s="26" t="n">
        <v>9400681</v>
      </c>
      <c r="E10" s="11" t="n">
        <v>165.5</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663637</v>
      </c>
      <c r="C13" s="6" t="inlineStr">
        <is>
          <t>Centroide del bloque — UTM NORTE (m)</t>
        </is>
      </c>
      <c r="D13" s="7" t="n">
        <v>9400618</v>
      </c>
      <c r="E13" s="8" t="n"/>
      <c r="F13" s="8" t="n"/>
      <c r="G13" s="8" t="n"/>
      <c r="H13" s="8" t="n"/>
    </row>
    <row r="14">
      <c r="A14" s="6" t="inlineStr">
        <is>
          <t>N.° de estaciones fotográficas declaradas</t>
        </is>
      </c>
      <c r="B14" s="7" t="inlineStr">
        <is>
          <t>Sin registro en la ficha DT</t>
        </is>
      </c>
      <c r="C14" s="6" t="inlineStr">
        <is>
          <t>Estaciones dentro del polígono</t>
        </is>
      </c>
      <c r="D14" s="7" t="inlineStr">
        <is>
          <t>Por determinar</t>
        </is>
      </c>
      <c r="E14" s="8" t="n"/>
      <c r="F14" s="8" t="n"/>
      <c r="G14" s="8" t="n"/>
      <c r="H14" s="8" t="n"/>
    </row>
    <row r="16" ht="108"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Recorrido de reconocimiento sobre el sector central-norte del bloque. La altitud GPS no fue registrada; el perfil Google Earth arroja cotas entre 3079 y 3232 msnm. La exposición «Oeste» corresponde al sector muestreado; la exposición dominante a escala de polígono queda pendiente de confirmación en GIS. Se observa REPTACIÓN expresada como terracetas de pisoteo continuas en ladera.</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44</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9</t>
        </is>
      </c>
      <c r="B10" s="27" t="n">
        <v>109.86</v>
      </c>
      <c r="C10" s="19" t="n">
        <v>40.1</v>
      </c>
      <c r="D10" s="11" t="inlineStr">
        <is>
          <t>1529 – 2264</t>
        </is>
      </c>
      <c r="E10" s="11" t="n">
        <v>735</v>
      </c>
      <c r="F10" s="11" t="n">
        <v>34.82</v>
      </c>
      <c r="G10" s="18" t="n">
        <v>0.5745</v>
      </c>
      <c r="H10" s="19" t="n">
        <v>90.23999999999999</v>
      </c>
      <c r="I10" s="19" t="n">
        <v>11.68</v>
      </c>
    </row>
    <row r="11">
      <c r="A11" s="14" t="inlineStr">
        <is>
          <t>M22B1</t>
        </is>
      </c>
      <c r="B11" s="28" t="n">
        <v>55.17</v>
      </c>
      <c r="C11" s="21" t="n">
        <v>20.14</v>
      </c>
      <c r="D11" s="15" t="inlineStr">
        <is>
          <t>3216 – 3436</t>
        </is>
      </c>
      <c r="E11" s="15" t="n">
        <v>220</v>
      </c>
      <c r="F11" s="15" t="n">
        <v>19.98</v>
      </c>
      <c r="G11" s="20" t="n">
        <v>0.594</v>
      </c>
      <c r="H11" s="21" t="n">
        <v>91.05</v>
      </c>
      <c r="I11" s="21" t="n">
        <v>4.1</v>
      </c>
    </row>
    <row r="12">
      <c r="A12" s="7" t="inlineStr">
        <is>
          <t>35</t>
        </is>
      </c>
      <c r="B12" s="27" t="n">
        <v>30.8</v>
      </c>
      <c r="C12" s="19" t="n">
        <v>11.24</v>
      </c>
      <c r="D12" s="11" t="inlineStr">
        <is>
          <t>1376 – 1621</t>
        </is>
      </c>
      <c r="E12" s="11" t="n">
        <v>245</v>
      </c>
      <c r="F12" s="11" t="n">
        <v>33.66</v>
      </c>
      <c r="G12" s="18" t="n">
        <v>0.6245000000000001</v>
      </c>
      <c r="H12" s="19" t="n">
        <v>98.17</v>
      </c>
      <c r="I12" s="19" t="n">
        <v>1.19</v>
      </c>
    </row>
    <row r="13">
      <c r="A13" s="12" t="inlineStr">
        <is>
          <t>► 44</t>
        </is>
      </c>
      <c r="B13" s="29" t="n">
        <v>28.23</v>
      </c>
      <c r="C13" s="30" t="n">
        <v>10.3</v>
      </c>
      <c r="D13" s="13" t="inlineStr">
        <is>
          <t>3091 – 3277</t>
        </is>
      </c>
      <c r="E13" s="13" t="n">
        <v>186</v>
      </c>
      <c r="F13" s="13" t="n">
        <v>22.21</v>
      </c>
      <c r="G13" s="31" t="n">
        <v>0.5113</v>
      </c>
      <c r="H13" s="30" t="n">
        <v>83.84999999999999</v>
      </c>
      <c r="I13" s="30" t="n">
        <v>52.06</v>
      </c>
    </row>
    <row r="14">
      <c r="A14" s="7" t="inlineStr">
        <is>
          <t>43</t>
        </is>
      </c>
      <c r="B14" s="27" t="n">
        <v>23.17</v>
      </c>
      <c r="C14" s="19" t="n">
        <v>8.460000000000001</v>
      </c>
      <c r="D14" s="11" t="inlineStr">
        <is>
          <t>251 – 811</t>
        </is>
      </c>
      <c r="E14" s="11" t="n">
        <v>560</v>
      </c>
      <c r="F14" s="11" t="n">
        <v>31.39</v>
      </c>
      <c r="G14" s="18" t="n">
        <v>0.5515</v>
      </c>
      <c r="H14" s="19" t="n">
        <v>78.91</v>
      </c>
      <c r="I14" s="19" t="n">
        <v>21.28</v>
      </c>
    </row>
    <row r="15">
      <c r="A15" s="14" t="inlineStr">
        <is>
          <t>47</t>
        </is>
      </c>
      <c r="B15" s="28" t="n">
        <v>13.55</v>
      </c>
      <c r="C15" s="21" t="n">
        <v>4.95</v>
      </c>
      <c r="D15" s="15" t="inlineStr">
        <is>
          <t>2105 – 2333</t>
        </is>
      </c>
      <c r="E15" s="15" t="n">
        <v>228</v>
      </c>
      <c r="F15" s="15" t="n">
        <v>32.43</v>
      </c>
      <c r="G15" s="20" t="n">
        <v>0.5936</v>
      </c>
      <c r="H15" s="21" t="n">
        <v>91.26000000000001</v>
      </c>
      <c r="I15" s="21" t="n">
        <v>9.84</v>
      </c>
    </row>
    <row r="16">
      <c r="A16" s="7" t="inlineStr">
        <is>
          <t>67</t>
        </is>
      </c>
      <c r="B16" s="27" t="n">
        <v>13.18</v>
      </c>
      <c r="C16" s="19" t="n">
        <v>4.81</v>
      </c>
      <c r="D16" s="11" t="inlineStr">
        <is>
          <t>1575 – 1770</t>
        </is>
      </c>
      <c r="E16" s="11" t="n">
        <v>195</v>
      </c>
      <c r="F16" s="11" t="n">
        <v>30.33</v>
      </c>
      <c r="G16" s="18" t="n">
        <v>0.6052999999999999</v>
      </c>
      <c r="H16" s="19" t="n">
        <v>97.5</v>
      </c>
      <c r="I16" s="19" t="n">
        <v>2.12</v>
      </c>
    </row>
    <row r="17">
      <c r="A17" s="16" t="inlineStr">
        <is>
          <t>TOTAL / PROMEDIO</t>
        </is>
      </c>
      <c r="B17" s="32">
        <f>SUM(B10:B16)</f>
        <v/>
      </c>
      <c r="C17" s="23">
        <f>SUM(C10:C16)</f>
        <v/>
      </c>
      <c r="D17" s="17" t="inlineStr">
        <is>
          <t>251 – 3436</t>
        </is>
      </c>
      <c r="E17" s="17" t="inlineStr"/>
      <c r="F17" s="17">
        <f>ROUND(AVERAGE(F10:F16),2)</f>
        <v/>
      </c>
      <c r="G17" s="22">
        <f>ROUND(AVERAGE(G10:G16),4)</f>
        <v/>
      </c>
      <c r="H17" s="23">
        <f>ROUND(AVERAGE(H10:H16),2)</f>
        <v/>
      </c>
      <c r="I17" s="23">
        <f>ROUND(AVERAGE(I10:I16),2)</f>
        <v/>
      </c>
    </row>
    <row r="19" ht="84" customHeight="1">
      <c r="A19" s="9" t="inlineStr">
        <is>
          <t>LECTURA INTRAMICROCUENCA. El bloque 44 ocupa el puesto 4 de 7 por superficie dentro de la microcuenca C1076-Q9586 (10.30 % de las 273.96 ha preliminares de la microcuenca). Su pendiente promedio (22.21 %, clase «15-25% (Fuert. inclinado)») es la 2.ª más baja de 7 y se sitúa por debajo del promedio de la microcuenca (29.26 %). Su MSAVI 2024 (0.5113) es el 7.º de 7 y queda por debajo del promedio local (0.5793). Amplitud altitudinal del bloque: 186 m (3091–3277 msnm). El cuadro conserva todos los bloques catalogados en la microcuenca, incluidos los descartados en el tamizaje, para referencia del conjunto. Los bloques sin ficha DT figuran con sus parámetros de gabinete. BRECHA ESPECTRAL. El 52.06 % de la superficie del bloque (14.699 ha de 28.234 ha) se sitúa bajo el umbral MSAVI 0.4976, por encima del promedio local de la microcuenca (14.61 %) calculado sobre los bloques con dato MSAVI disponible.</t>
        </is>
      </c>
      <c r="B19" s="40" t="n"/>
      <c r="C19" s="40" t="n"/>
      <c r="D19" s="40" t="n"/>
      <c r="E19" s="40" t="n"/>
      <c r="F19" s="40" t="n"/>
      <c r="G19" s="40" t="n"/>
      <c r="H19" s="40" t="n"/>
      <c r="I19" s="41"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0" t="n"/>
      <c r="C21" s="40" t="n"/>
      <c r="D21" s="40" t="n"/>
      <c r="E21" s="40" t="n"/>
      <c r="F21" s="40" t="n"/>
      <c r="G21" s="40" t="n"/>
      <c r="H21" s="40" t="n"/>
      <c r="I21" s="41" t="n"/>
    </row>
  </sheetData>
  <mergeCells count="9">
    <mergeCell ref="A19:I19"/>
    <mergeCell ref="A2:I2"/>
    <mergeCell ref="A5:I5"/>
    <mergeCell ref="A1:I1"/>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44</t>
        </is>
      </c>
    </row>
    <row r="6">
      <c r="A6" s="51" t="inlineStr">
        <is>
          <t>Cruce de la ficha de campo F-DT vigente con la ficha de resumen de gabinete y el catálogo maestro. Integración 2026-09-11 20:22:28.</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«C1076-Q9586».</t>
        </is>
      </c>
      <c r="D9" s="55" t="inlineStr">
        <is>
          <t>CONFORME</t>
        </is>
      </c>
      <c r="E9" s="55" t="inlineStr">
        <is>
          <t>Sin acción.</t>
        </is>
      </c>
    </row>
    <row r="10">
      <c r="A10" s="56" t="inlineStr">
        <is>
          <t>G-02</t>
        </is>
      </c>
      <c r="B10" s="56" t="inlineStr">
        <is>
          <t>UTM del punto de muestreo</t>
        </is>
      </c>
      <c r="C10" s="56" t="inlineStr">
        <is>
          <t>El punto de muestreo declarado dista 165.5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No es posible contrastar la altitud GPS con el rango altitudinal del bloque: falta uno de los dos datos.</t>
        </is>
      </c>
      <c r="D12" s="56" t="inlineStr">
        <is>
          <t>NO SUSTANTIVA</t>
        </is>
      </c>
      <c r="E12" s="56" t="inlineStr">
        <is>
          <t>Se completa con la lectura GPS de F-DT-01 o con la estadística zonal del MDE.</t>
        </is>
      </c>
    </row>
    <row r="13">
      <c r="A13" s="55" t="inlineStr">
        <is>
          <t>G-05</t>
        </is>
      </c>
      <c r="B13" s="55" t="inlineStr">
        <is>
          <t>Superficie NDVI vs. catálogo</t>
        </is>
      </c>
      <c r="C13" s="55" t="inlineStr">
        <is>
          <t>La superficie clasificada por el NDVI mediana 2025 (28.238 ha) se desvía 0.03 % de la superficie de catálogo (28.23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(28.234 ha) se desvía 0.01 % de la superficie de catálogo (28.23 ha).</t>
        </is>
      </c>
      <c r="D14" s="56" t="inlineStr">
        <is>
          <t>CONFORME</t>
        </is>
      </c>
      <c r="E14" s="56" t="inlineStr">
        <is>
          <t>Sin acción: la segmentación valida la geometría del bloque.</t>
        </is>
      </c>
    </row>
    <row r="15">
      <c r="A15" s="55" t="inlineStr">
        <is>
          <t>G-07</t>
        </is>
      </c>
      <c r="B15" s="55" t="inlineStr">
        <is>
          <t>Brecha espectral MSAVI</t>
        </is>
      </c>
      <c r="C15" s="55" t="inlineStr">
        <is>
          <t>El 52.06 % del bloque queda bajo el umbral 0.4976; superficie de brecha 14.70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28.23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(0.5113) cae en la clase «0.4976 - 0.6139 (Vigor moderado)» y la clase DN dominante por superficie es «DN 3 · 0.3813 - 0.4976 (Vigor bajo)».</t>
        </is>
      </c>
      <c r="D17" s="55" t="inlineStr">
        <is>
          <t>NO SUSTANTIVA</t>
        </is>
      </c>
      <c r="E17" s="55" t="inlineStr">
        <is>
          <t>Se declaran ambas lecturas: la media resume el bloque y la clase dominante su reparto areal.</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92.9 % de los campos esperados).</t>
        </is>
      </c>
      <c r="D19" s="55" t="inlineStr">
        <is>
          <t>CONFORME</t>
        </is>
      </c>
      <c r="E19" s="55" t="inlineStr">
        <is>
          <t>Sin acción.</t>
        </is>
      </c>
    </row>
    <row r="20">
      <c r="A20" s="56" t="inlineStr">
        <is>
          <t>F-02</t>
        </is>
      </c>
      <c r="B20" s="56" t="inlineStr">
        <is>
          <t>Cobertura de la integración</t>
        </is>
      </c>
      <c r="C20" s="56" t="inlineStr">
        <is>
          <t>Se declararon 96 de 114 hechos integrados (84.2 %); 18 quedan sin dato en ninguna fuente.</t>
        </is>
      </c>
      <c r="D20" s="56" t="inlineStr">
        <is>
          <t>CONFORME</t>
        </is>
      </c>
      <c r="E20" s="56" t="inlineStr">
        <is>
          <t>Sin acción.</t>
        </is>
      </c>
    </row>
    <row r="21">
      <c r="A21" s="55" t="inlineStr">
        <is>
          <t>H-01</t>
        </is>
      </c>
      <c r="B21" s="55" t="inlineStr">
        <is>
          <t>Rango de pendiente dominante</t>
        </is>
      </c>
      <c r="C21" s="55" t="inlineStr">
        <is>
          <t>La ficha DT declara «25-50% (Mod. escarpado)»; la estadística zonal sobre el MDE arroja una pendiente promedio de 22.21 %, que corresponde a la clase «15-25% (Fuert. inclinado)»</t>
        </is>
      </c>
      <c r="D21" s="55" t="inlineStr">
        <is>
          <t>NO SUSTANTIVA</t>
        </is>
      </c>
      <c r="E21" s="55"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6" t="inlineStr">
        <is>
          <t>H-02</t>
        </is>
      </c>
      <c r="B22" s="56" t="inlineStr">
        <is>
          <t>Elenco florístico</t>
        </is>
      </c>
      <c r="C22" s="56" t="inlineStr">
        <is>
          <t>La ficha registra 10 taxones, por debajo del mínimo de 15 que exige el formato V5</t>
        </is>
      </c>
      <c r="D22" s="56" t="inlineStr">
        <is>
          <t>SUSTANTIVA</t>
        </is>
      </c>
      <c r="E22" s="56" t="inlineStr">
        <is>
          <t>Registro florístico preliminar, sin colecta ni determinación botánica formal. Debe cerrarse con colecta botánica en la siguiente campaña. (Verificación heredada de la ficha de resumen V6.)</t>
        </is>
      </c>
    </row>
    <row r="23">
      <c r="A23" s="55" t="inlineStr">
        <is>
          <t>H-03</t>
        </is>
      </c>
      <c r="B23" s="55" t="inlineStr">
        <is>
          <t>Centro poblado asociado</t>
        </is>
      </c>
      <c r="C23" s="55" t="inlineStr">
        <is>
          <t>La ficha DT declara «Cruz de Piedra»; el cruce INEI-Bloques V5 identifica 1 centro(s) poblado(s) en el bloque: CRUZ DE PIEDRA</t>
        </is>
      </c>
      <c r="D23" s="55" t="inlineStr">
        <is>
          <t>CONFORME</t>
        </is>
      </c>
      <c r="E23" s="55" t="inlineStr">
        <is>
          <t>Se conserva el registro de campo como referencia y se adopta el listado INEI para el diagnóstico social y el cálculo de población beneficiaria. (Verificación heredada de la ficha de resumen V6.)</t>
        </is>
      </c>
    </row>
    <row r="25">
      <c r="A25" s="57" t="inlineStr">
        <is>
          <t>RESUMEN</t>
        </is>
      </c>
      <c r="B25" s="58" t="inlineStr">
        <is>
          <t>15 verificaciones</t>
        </is>
      </c>
      <c r="C25" s="58" t="inlineStr">
        <is>
          <t>SUSTANTIVA: 2 · NO SUSTANTIVA: 3 · CONFORME: 10</t>
        </is>
      </c>
    </row>
    <row r="27">
      <c r="A27"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6:E6"/>
    <mergeCell ref="A27:E27"/>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44</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663790</t>
        </is>
      </c>
      <c r="D13" s="55" t="inlineStr">
        <is>
          <t>m</t>
        </is>
      </c>
    </row>
    <row r="14">
      <c r="A14" s="56" t="inlineStr">
        <is>
          <t>1. Identificación y localización</t>
        </is>
      </c>
      <c r="B14" s="56" t="inlineStr">
        <is>
          <t>UTM NORTE del punto de muestreo (m)</t>
        </is>
      </c>
      <c r="C14" s="56" t="inlineStr">
        <is>
          <t>9400681</t>
        </is>
      </c>
      <c r="D14" s="56" t="inlineStr">
        <is>
          <t>m</t>
        </is>
      </c>
    </row>
    <row r="15">
      <c r="A15" s="55" t="inlineStr">
        <is>
          <t>2. Parámetros físicos del terreno</t>
        </is>
      </c>
      <c r="B15" s="55" t="inlineStr">
        <is>
          <t>Piso altitudinal del punto de muestreo</t>
        </is>
      </c>
      <c r="C15" s="55" t="inlineStr">
        <is>
          <t>3000-3500 m (Puna baja)</t>
        </is>
      </c>
      <c r="D15" s="55" t="inlineStr"/>
    </row>
    <row r="16">
      <c r="A16" s="56" t="inlineStr">
        <is>
          <t>2. Parámetros físicos del terreno</t>
        </is>
      </c>
      <c r="B16" s="56" t="inlineStr">
        <is>
          <t>Paisaje dominante descrito en campo</t>
        </is>
      </c>
      <c r="C16" s="56" t="inlineStr">
        <is>
          <t>Altiplanicie y laderas altas de páramo/jalca con pajonal continuo de macollos, arbustos bajos dispersos y afloramientos rocosos; parches de matorral siempreverde en cabeceras de quebrada y depresiones húmedas. Cimas redondeadas por encima del nivel del mar de nubes al momento de la visita.</t>
        </is>
      </c>
      <c r="D16" s="56" t="inlineStr"/>
    </row>
    <row r="17">
      <c r="A17" s="55" t="inlineStr">
        <is>
          <t>2. Parámetros físicos del terreno</t>
        </is>
      </c>
      <c r="B17" s="55" t="inlineStr">
        <is>
          <t>Reptación de suelo</t>
        </is>
      </c>
      <c r="C17" s="55" t="inlineStr">
        <is>
          <t>Sí</t>
        </is>
      </c>
      <c r="D17" s="55" t="inlineStr"/>
    </row>
    <row r="18">
      <c r="A18" s="56" t="inlineStr">
        <is>
          <t>2. Parámetros físicos del terreno</t>
        </is>
      </c>
      <c r="B18" s="56" t="inlineStr">
        <is>
          <t>Deslizamientos antiguos</t>
        </is>
      </c>
      <c r="C18" s="56" t="inlineStr">
        <is>
          <t>No</t>
        </is>
      </c>
      <c r="D18" s="56" t="inlineStr"/>
    </row>
    <row r="19">
      <c r="A19" s="55" t="inlineStr">
        <is>
          <t>4. Suelos y erosión (F-DT-02)</t>
        </is>
      </c>
      <c r="B19" s="55" t="inlineStr">
        <is>
          <t>Nivel de erosión - síntesis de campo</t>
        </is>
      </c>
      <c r="C19" s="55" t="inlineStr">
        <is>
          <t>Ligera (laminar)</t>
        </is>
      </c>
      <c r="D19" s="55" t="inlineStr"/>
    </row>
    <row r="20">
      <c r="A20" s="56" t="inlineStr">
        <is>
          <t>4. Suelos y erosión (F-DT-02)</t>
        </is>
      </c>
      <c r="B20" s="56" t="inlineStr">
        <is>
          <t>Compactación por pisoteo</t>
        </is>
      </c>
      <c r="C20" s="56" t="inlineStr">
        <is>
          <t>Sí</t>
        </is>
      </c>
      <c r="D20" s="56" t="inlineStr"/>
    </row>
    <row r="21">
      <c r="A21" s="55" t="inlineStr">
        <is>
          <t>4. Suelos y erosión (F-DT-02)</t>
        </is>
      </c>
      <c r="B21" s="55" t="inlineStr">
        <is>
          <t>Longitud total de cárcavas (m)</t>
        </is>
      </c>
      <c r="C21" s="55" t="inlineStr">
        <is>
          <t>0</t>
        </is>
      </c>
      <c r="D21" s="55" t="inlineStr">
        <is>
          <t>m</t>
        </is>
      </c>
    </row>
    <row r="22">
      <c r="A22" s="56" t="inlineStr">
        <is>
          <t>4. Suelos y erosión (F-DT-02)</t>
        </is>
      </c>
      <c r="B22" s="56" t="inlineStr">
        <is>
          <t>% del bloque afectado por cárcavas</t>
        </is>
      </c>
      <c r="C22" s="56" t="inlineStr">
        <is>
          <t>0</t>
        </is>
      </c>
      <c r="D22" s="56" t="inlineStr">
        <is>
          <t>%</t>
        </is>
      </c>
    </row>
    <row r="23">
      <c r="A23" s="55" t="inlineStr">
        <is>
          <t>4. Suelos y erosión (F-DT-02)</t>
        </is>
      </c>
      <c r="B23" s="55" t="inlineStr">
        <is>
          <t>Socavamiento de cauce</t>
        </is>
      </c>
      <c r="C23" s="55" t="inlineStr">
        <is>
          <t>No</t>
        </is>
      </c>
      <c r="D23" s="55" t="inlineStr"/>
    </row>
    <row r="24">
      <c r="A24" s="56" t="inlineStr">
        <is>
          <t>5. Ecosistema, cobertura y flora (F-DT-03)</t>
        </is>
      </c>
      <c r="B24" s="56" t="inlineStr">
        <is>
          <t>Cobertura del dosel (%)</t>
        </is>
      </c>
      <c r="C24" s="56" t="inlineStr">
        <is>
          <t>0</t>
        </is>
      </c>
      <c r="D24" s="56" t="inlineStr">
        <is>
          <t>%</t>
        </is>
      </c>
    </row>
    <row r="25">
      <c r="A25" s="55" t="inlineStr">
        <is>
          <t>5. Ecosistema, cobertura y flora (F-DT-03)</t>
        </is>
      </c>
      <c r="B25" s="55" t="inlineStr">
        <is>
          <t>Cobertura arbustiva (%)</t>
        </is>
      </c>
      <c r="C25" s="55" t="inlineStr">
        <is>
          <t>10</t>
        </is>
      </c>
      <c r="D25" s="55" t="inlineStr">
        <is>
          <t>%</t>
        </is>
      </c>
    </row>
    <row r="26">
      <c r="A26" s="56" t="inlineStr">
        <is>
          <t>5. Ecosistema, cobertura y flora (F-DT-03)</t>
        </is>
      </c>
      <c r="B26" s="56" t="inlineStr">
        <is>
          <t>Cobertura herbácea (%)</t>
        </is>
      </c>
      <c r="C26" s="56" t="inlineStr">
        <is>
          <t>80</t>
        </is>
      </c>
      <c r="D26" s="56" t="inlineStr">
        <is>
          <t>%</t>
        </is>
      </c>
    </row>
    <row r="27">
      <c r="A27" s="55" t="inlineStr">
        <is>
          <t>5. Ecosistema, cobertura y flora (F-DT-03)</t>
        </is>
      </c>
      <c r="B27" s="55" t="inlineStr">
        <is>
          <t>Altura del estrato dominante (m)</t>
        </is>
      </c>
      <c r="C27" s="55" t="inlineStr">
        <is>
          <t>0.5</t>
        </is>
      </c>
      <c r="D27" s="55" t="inlineStr">
        <is>
          <t>m</t>
        </is>
      </c>
    </row>
    <row r="28">
      <c r="A28" s="56" t="inlineStr">
        <is>
          <t>5. Ecosistema, cobertura y flora (F-DT-03)</t>
        </is>
      </c>
      <c r="B28" s="56" t="inlineStr">
        <is>
          <t>Altura máxima registrada (m)</t>
        </is>
      </c>
      <c r="C28" s="56" t="inlineStr">
        <is>
          <t>1.5</t>
        </is>
      </c>
      <c r="D28" s="56" t="inlineStr">
        <is>
          <t>m</t>
        </is>
      </c>
    </row>
    <row r="29">
      <c r="A29" s="55" t="inlineStr">
        <is>
          <t>5. Ecosistema, cobertura y flora (F-DT-03)</t>
        </is>
      </c>
      <c r="B29" s="55" t="inlineStr">
        <is>
          <t>DAP promedio (cm)</t>
        </is>
      </c>
      <c r="C29" s="55" t="inlineStr">
        <is>
          <t>No aplica</t>
        </is>
      </c>
      <c r="D29" s="55" t="inlineStr">
        <is>
          <t>cm</t>
        </is>
      </c>
    </row>
    <row r="30">
      <c r="A30" s="56" t="inlineStr">
        <is>
          <t>5. Ecosistema, cobertura y flora (F-DT-03)</t>
        </is>
      </c>
      <c r="B30" s="56" t="inlineStr">
        <is>
          <t>Presencia de epífitas</t>
        </is>
      </c>
      <c r="C30" s="56" t="inlineStr">
        <is>
          <t>No</t>
        </is>
      </c>
      <c r="D30" s="56" t="inlineStr"/>
    </row>
    <row r="31">
      <c r="A31" s="55" t="inlineStr">
        <is>
          <t>5. Ecosistema, cobertura y flora (F-DT-03)</t>
        </is>
      </c>
      <c r="B31" s="55" t="inlineStr">
        <is>
          <t>Fenología dominante</t>
        </is>
      </c>
      <c r="C31" s="55" t="inlineStr">
        <is>
          <t>Vegetativo</t>
        </is>
      </c>
      <c r="D31" s="55" t="inlineStr"/>
    </row>
    <row r="32">
      <c r="A32" s="56" t="inlineStr">
        <is>
          <t>5. Ecosistema, cobertura y flora (F-DT-03)</t>
        </is>
      </c>
      <c r="B32" s="56" t="inlineStr">
        <is>
          <t>Dimensiones de la parcela (m)</t>
        </is>
      </c>
      <c r="C32" s="56" t="inlineStr">
        <is>
          <t>No aplica</t>
        </is>
      </c>
      <c r="D32" s="56" t="inlineStr"/>
    </row>
    <row r="33">
      <c r="A33" s="55" t="inlineStr">
        <is>
          <t>5. Ecosistema, cobertura y flora (F-DT-03)</t>
        </is>
      </c>
      <c r="B33" s="55" t="inlineStr">
        <is>
          <t>Pendiente de la parcela (%)</t>
        </is>
      </c>
      <c r="C33" s="55" t="inlineStr">
        <is>
          <t>28.8</t>
        </is>
      </c>
      <c r="D33" s="55" t="inlineStr">
        <is>
          <t>%</t>
        </is>
      </c>
    </row>
    <row r="34">
      <c r="A34" s="56" t="inlineStr">
        <is>
          <t>6. Degradación, causas y urgencia (F-DT-04)</t>
        </is>
      </c>
      <c r="B34" s="56" t="inlineStr">
        <is>
          <t>Causas directas de la degradación</t>
        </is>
      </c>
      <c r="C34" s="56" t="inlineStr">
        <is>
          <t>Sobrepastoreo extensivo con terraceteo por pisoteo y compactación superficial, sobre un ecosistema de páramo de alta fragilidad y lenta recuperación.</t>
        </is>
      </c>
      <c r="D34" s="56" t="inlineStr"/>
    </row>
    <row r="35">
      <c r="A35" s="55" t="inlineStr">
        <is>
          <t>6. Degradación, causas y urgencia (F-DT-04)</t>
        </is>
      </c>
      <c r="B35" s="55" t="inlineStr">
        <is>
          <t>N.° de causas activas en la matriz F-DT-04</t>
        </is>
      </c>
      <c r="C35" s="55" t="inlineStr">
        <is>
          <t>1</t>
        </is>
      </c>
      <c r="D35" s="55" t="inlineStr"/>
    </row>
    <row r="36">
      <c r="A36" s="56" t="inlineStr">
        <is>
          <t>7. Hidrología, acceso y logística (F-DT-05)</t>
        </is>
      </c>
      <c r="B36" s="56" t="inlineStr">
        <is>
          <t>Escorrentía concentrada</t>
        </is>
      </c>
      <c r="C36" s="56" t="inlineStr">
        <is>
          <t>No</t>
        </is>
      </c>
      <c r="D36" s="56" t="inlineStr"/>
    </row>
    <row r="37">
      <c r="A37" s="55" t="inlineStr">
        <is>
          <t>7. Hidrología, acceso y logística (F-DT-05)</t>
        </is>
      </c>
      <c r="B37" s="55" t="inlineStr">
        <is>
          <t>Tipo de vía del tramo final</t>
        </is>
      </c>
      <c r="C37" s="55" t="inlineStr">
        <is>
          <t>Camino de herradura</t>
        </is>
      </c>
      <c r="D37" s="55" t="inlineStr"/>
    </row>
    <row r="38">
      <c r="A38" s="56" t="inlineStr">
        <is>
          <t>7. Hidrología, acceso y logística (F-DT-05)</t>
        </is>
      </c>
      <c r="B38" s="56" t="inlineStr">
        <is>
          <t>Transitabilidad en época seca</t>
        </is>
      </c>
      <c r="C38" s="56" t="inlineStr">
        <is>
          <t>Medio</t>
        </is>
      </c>
      <c r="D38" s="56" t="inlineStr"/>
    </row>
    <row r="39">
      <c r="A39" s="55" t="inlineStr">
        <is>
          <t>7. Hidrología, acceso y logística (F-DT-05)</t>
        </is>
      </c>
      <c r="B39" s="55" t="inlineStr">
        <is>
          <t>Transitabilidad en época lluviosa</t>
        </is>
      </c>
      <c r="C39" s="55" t="inlineStr">
        <is>
          <t>Bajo</t>
        </is>
      </c>
      <c r="D39" s="55" t="inlineStr"/>
    </row>
    <row r="40">
      <c r="A40" s="56" t="inlineStr">
        <is>
          <t>7. Hidrología, acceso y logística (F-DT-05)</t>
        </is>
      </c>
      <c r="B40" s="56" t="inlineStr">
        <is>
          <t>Señal celular</t>
        </is>
      </c>
      <c r="C40" s="56" t="inlineStr">
        <is>
          <t>Sin señal</t>
        </is>
      </c>
      <c r="D40" s="56" t="inlineStr"/>
    </row>
    <row r="41">
      <c r="A41" s="55" t="inlineStr">
        <is>
          <t>7. Hidrología, acceso y logística (F-DT-05)</t>
        </is>
      </c>
      <c r="B41" s="55" t="inlineStr">
        <is>
          <t>Alojamiento disponible en la zona</t>
        </is>
      </c>
      <c r="C41" s="55" t="inlineStr">
        <is>
          <t>No</t>
        </is>
      </c>
      <c r="D41" s="55" t="inlineStr"/>
    </row>
    <row r="42">
      <c r="A42" s="56" t="inlineStr">
        <is>
          <t>7. Hidrología, acceso y logística (F-DT-05)</t>
        </is>
      </c>
      <c r="B42" s="56" t="inlineStr">
        <is>
          <t>Requiere coordinación con ronda / comunidad</t>
        </is>
      </c>
      <c r="C42" s="56" t="inlineStr">
        <is>
          <t>Sí</t>
        </is>
      </c>
      <c r="D42" s="56" t="inlineStr"/>
    </row>
    <row r="44">
      <c r="A44" s="53" t="inlineStr">
        <is>
          <t>C. PROCEDENCIA DE LOS HECHOS DECLARADOS</t>
        </is>
      </c>
    </row>
    <row r="45">
      <c r="A45" s="54" t="inlineStr">
        <is>
          <t>Fuente</t>
        </is>
      </c>
      <c r="B45" s="54" t="inlineStr">
        <is>
          <t>Hechos</t>
        </is>
      </c>
      <c r="C45" s="54" t="inlineStr">
        <is>
          <t>Alcance de la fuente</t>
        </is>
      </c>
    </row>
    <row r="46">
      <c r="A46" s="55" t="inlineStr">
        <is>
          <t>Dato de campo</t>
        </is>
      </c>
      <c r="B46" s="55" t="n">
        <v>59</v>
      </c>
      <c r="C46" s="55" t="inlineStr">
        <is>
          <t>Verificación en campo. Fichas F-DT-01 a F-DT-05 de la Plantilla DT Campo Check Validada V5, suscritas por el evaluador.</t>
        </is>
      </c>
    </row>
    <row r="47">
      <c r="A47" s="56" t="inlineStr">
        <is>
          <t>Gabinete (GIS / teledetección)</t>
        </is>
      </c>
      <c r="B47" s="56" t="n">
        <v>23</v>
      </c>
      <c r="C47" s="56" t="inlineStr">
        <is>
          <t>Gabinete. Estadística zonal sobre el MDE y compuestos Sentinel-2 (NDVI mediana 2025, MSAVI 2024 por clase DN).</t>
        </is>
      </c>
    </row>
    <row r="48">
      <c r="A48" s="55" t="inlineStr">
        <is>
          <t>Fuente oficial</t>
        </is>
      </c>
      <c r="B48" s="55" t="n">
        <v>14</v>
      </c>
      <c r="C48" s="55" t="inlineStr">
        <is>
          <t>Fuente oficial. Catálogo maestro Bloques V5/V6, división política INEI y codificación de microcuencas de la ANA.</t>
        </is>
      </c>
    </row>
    <row r="50">
      <c r="A50" s="53" t="inlineStr">
        <is>
          <t>D. ESTADO DEL CRUCE ENTRE FUENTES</t>
        </is>
      </c>
    </row>
    <row r="51">
      <c r="A51" s="54" t="inlineStr">
        <is>
          <t>Estado</t>
        </is>
      </c>
      <c r="B51" s="54" t="inlineStr">
        <is>
          <t>Hechos</t>
        </is>
      </c>
      <c r="C51" s="54" t="inlineStr">
        <is>
          <t>Significado</t>
        </is>
      </c>
    </row>
    <row r="52">
      <c r="A52" s="55" t="inlineStr">
        <is>
          <t>CONFORME</t>
        </is>
      </c>
      <c r="B52" s="55" t="n">
        <v>94</v>
      </c>
      <c r="C52" s="55" t="inlineStr">
        <is>
          <t>Las dos fuentes declaran lo mismo, o solo la fuente que manda sobre el hecho lo declara.</t>
        </is>
      </c>
    </row>
    <row r="53">
      <c r="A53" s="56" t="inlineStr">
        <is>
          <t>COMPLEMENTADO</t>
        </is>
      </c>
      <c r="B53" s="56" t="n">
        <v>2</v>
      </c>
      <c r="C53" s="56" t="inlineStr">
        <is>
          <t>Solo una de las fuentes lo declara y se adopta ese valor.</t>
        </is>
      </c>
    </row>
    <row r="54">
      <c r="A54" s="55" t="inlineStr">
        <is>
          <t>ACTUALIZADO</t>
        </is>
      </c>
      <c r="B54" s="55" t="n">
        <v>0</v>
      </c>
      <c r="C54" s="55" t="inlineStr">
        <is>
          <t>La verificación de campo vigente corrige lo que traía el libro de resumen.</t>
        </is>
      </c>
    </row>
    <row r="55">
      <c r="A55" s="56" t="inlineStr">
        <is>
          <t>DISCREPANTE</t>
        </is>
      </c>
      <c r="B55" s="56" t="n">
        <v>0</v>
      </c>
      <c r="C55" s="56" t="inlineStr">
        <is>
          <t>Las fuentes se contradicen; prevalece la que manda sobre el hecho y la otra queda declarada.</t>
        </is>
      </c>
    </row>
    <row r="56">
      <c r="A56" s="55" t="inlineStr">
        <is>
          <t>PENDIENTE</t>
        </is>
      </c>
      <c r="B56" s="55" t="n">
        <v>18</v>
      </c>
      <c r="C56"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44</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Paja / pajonal (macollo graminoide)</t>
        </is>
      </c>
      <c r="C13" s="55" t="inlineStr">
        <is>
          <t>Por determinar</t>
        </is>
      </c>
      <c r="D13" s="55" t="inlineStr">
        <is>
          <t>Poaceae (por confirmar)</t>
        </is>
      </c>
      <c r="E13" s="55" t="inlineStr">
        <is>
          <t>Herbáceo (&lt;0.5 m)</t>
        </is>
      </c>
      <c r="F13" s="55" t="inlineStr">
        <is>
          <t>Nativa</t>
        </is>
      </c>
      <c r="G13" s="55" t="inlineStr">
        <is>
          <t>Dominante (&gt;40%)</t>
        </is>
      </c>
      <c r="H13" s="55" t="n"/>
      <c r="I13" s="55" t="n"/>
    </row>
    <row r="14">
      <c r="A14" s="56" t="inlineStr">
        <is>
          <t>2</t>
        </is>
      </c>
      <c r="B14" s="56" t="inlineStr">
        <is>
          <t>Subarbusto postrado de follaje rojizo</t>
        </is>
      </c>
      <c r="C14" s="56" t="inlineStr">
        <is>
          <t>Por determinar</t>
        </is>
      </c>
      <c r="D14" s="56" t="inlineStr">
        <is>
          <t>Por determinar</t>
        </is>
      </c>
      <c r="E14" s="56" t="inlineStr">
        <is>
          <t>Herbáceo (&lt;0.5 m)</t>
        </is>
      </c>
      <c r="F14" s="56" t="inlineStr">
        <is>
          <t>Nativa</t>
        </is>
      </c>
      <c r="G14" s="56" t="inlineStr">
        <is>
          <t>Frecuente (5-20%)</t>
        </is>
      </c>
      <c r="H14" s="56" t="n"/>
      <c r="I14" s="56" t="n"/>
    </row>
    <row r="15">
      <c r="A15" s="55" t="inlineStr">
        <is>
          <t>3</t>
        </is>
      </c>
      <c r="B15" s="55" t="inlineStr">
        <is>
          <t>Cojin verde (hierba en almohadilla / briofita)</t>
        </is>
      </c>
      <c r="C15" s="55" t="inlineStr">
        <is>
          <t>Por determinar</t>
        </is>
      </c>
      <c r="D15" s="55" t="inlineStr">
        <is>
          <t>Por determinar</t>
        </is>
      </c>
      <c r="E15" s="55" t="inlineStr">
        <is>
          <t>Herbáceo (&lt;0.5 m)</t>
        </is>
      </c>
      <c r="F15" s="55" t="inlineStr">
        <is>
          <t>Nativa</t>
        </is>
      </c>
      <c r="G15" s="55" t="inlineStr">
        <is>
          <t>Frecuente (5-20%)</t>
        </is>
      </c>
      <c r="H15" s="55" t="n"/>
      <c r="I15" s="55" t="n"/>
    </row>
    <row r="16">
      <c r="A16" s="56" t="inlineStr">
        <is>
          <t>4</t>
        </is>
      </c>
      <c r="B16" s="56" t="inlineStr">
        <is>
          <t>Arbusto resinoso de hoja pequena verde-amarillenta</t>
        </is>
      </c>
      <c r="C16" s="56" t="inlineStr">
        <is>
          <t>Por determinar</t>
        </is>
      </c>
      <c r="D16" s="56" t="inlineStr">
        <is>
          <t>Por determinar</t>
        </is>
      </c>
      <c r="E16" s="56" t="inlineStr">
        <is>
          <t>Arbustivo bajo (0.5-1.5 m)</t>
        </is>
      </c>
      <c r="F16" s="56" t="inlineStr">
        <is>
          <t>Nativa</t>
        </is>
      </c>
      <c r="G16" s="56" t="inlineStr">
        <is>
          <t>Frecuente (5-20%)</t>
        </is>
      </c>
      <c r="H16" s="56" t="n"/>
      <c r="I16" s="56" t="n"/>
    </row>
    <row r="17">
      <c r="A17" s="55" t="inlineStr">
        <is>
          <t>5</t>
        </is>
      </c>
      <c r="B17" s="55" t="inlineStr">
        <is>
          <t>Arbusto de hoja coriacea verde oscuro</t>
        </is>
      </c>
      <c r="C17" s="55" t="inlineStr">
        <is>
          <t>Por determinar</t>
        </is>
      </c>
      <c r="D17" s="55" t="inlineStr">
        <is>
          <t>Por determinar</t>
        </is>
      </c>
      <c r="E17" s="55" t="inlineStr">
        <is>
          <t>Arbustivo bajo (0.5-1.5 m)</t>
        </is>
      </c>
      <c r="F17" s="55" t="inlineStr">
        <is>
          <t>Nativa</t>
        </is>
      </c>
      <c r="G17" s="55" t="inlineStr">
        <is>
          <t>Ocasional (1-5%)</t>
        </is>
      </c>
      <c r="H17" s="55" t="n"/>
      <c r="I17" s="55" t="n"/>
    </row>
    <row r="18">
      <c r="A18" s="56" t="inlineStr">
        <is>
          <t>6</t>
        </is>
      </c>
      <c r="B18" s="56" t="inlineStr">
        <is>
          <t>Arbusto de flores blancas</t>
        </is>
      </c>
      <c r="C18" s="56" t="inlineStr">
        <is>
          <t>Por determinar</t>
        </is>
      </c>
      <c r="D18" s="56" t="inlineStr">
        <is>
          <t>Por determinar</t>
        </is>
      </c>
      <c r="E18" s="56" t="inlineStr">
        <is>
          <t>Arbustivo bajo (0.5-1.5 m)</t>
        </is>
      </c>
      <c r="F18" s="56" t="inlineStr">
        <is>
          <t>Nativa</t>
        </is>
      </c>
      <c r="G18" s="56" t="inlineStr">
        <is>
          <t>Ocasional (1-5%)</t>
        </is>
      </c>
      <c r="H18" s="56" t="n"/>
      <c r="I18" s="56" t="n"/>
    </row>
    <row r="19">
      <c r="A19" s="55" t="inlineStr">
        <is>
          <t>7</t>
        </is>
      </c>
      <c r="B19" s="55" t="inlineStr">
        <is>
          <t>Liquenes foliosos y costrosos sobre suelo y roca</t>
        </is>
      </c>
      <c r="C19" s="55" t="inlineStr">
        <is>
          <t>Por determinar</t>
        </is>
      </c>
      <c r="D19" s="55" t="inlineStr">
        <is>
          <t>Por determinar</t>
        </is>
      </c>
      <c r="E19" s="55" t="inlineStr">
        <is>
          <t>Herbáceo (&lt;0.5 m)</t>
        </is>
      </c>
      <c r="F19" s="55" t="inlineStr">
        <is>
          <t>Nativa</t>
        </is>
      </c>
      <c r="G19" s="55" t="inlineStr">
        <is>
          <t>Ocasional (1-5%)</t>
        </is>
      </c>
      <c r="H19" s="55" t="n"/>
      <c r="I19" s="55" t="n"/>
    </row>
    <row r="20">
      <c r="A20" s="56" t="inlineStr">
        <is>
          <t>8</t>
        </is>
      </c>
      <c r="B20" s="56" t="inlineStr">
        <is>
          <t>Herbacea de flor amarilla</t>
        </is>
      </c>
      <c r="C20" s="56" t="inlineStr">
        <is>
          <t>Por determinar</t>
        </is>
      </c>
      <c r="D20" s="56" t="inlineStr">
        <is>
          <t>Por determinar</t>
        </is>
      </c>
      <c r="E20" s="56" t="inlineStr">
        <is>
          <t>Herbáceo (&lt;0.5 m)</t>
        </is>
      </c>
      <c r="F20" s="56" t="inlineStr">
        <is>
          <t>Nativa</t>
        </is>
      </c>
      <c r="G20" s="56" t="inlineStr">
        <is>
          <t>Rara (&lt;1%)</t>
        </is>
      </c>
      <c r="H20" s="56" t="n"/>
      <c r="I20" s="56" t="n"/>
    </row>
    <row r="21">
      <c r="A21" s="55" t="inlineStr">
        <is>
          <t>9</t>
        </is>
      </c>
      <c r="B21" s="55" t="inlineStr">
        <is>
          <t>Parche de matorral denso siempreverde (borde de quebrada)</t>
        </is>
      </c>
      <c r="C21" s="55" t="inlineStr">
        <is>
          <t>Por determinar</t>
        </is>
      </c>
      <c r="D21" s="55" t="inlineStr">
        <is>
          <t>Por determinar</t>
        </is>
      </c>
      <c r="E21" s="55" t="inlineStr">
        <is>
          <t>Arbustivo alto (1.5-4 m)</t>
        </is>
      </c>
      <c r="F21" s="55" t="inlineStr">
        <is>
          <t>Nativa</t>
        </is>
      </c>
      <c r="G21" s="55" t="inlineStr">
        <is>
          <t>Ocasional (1-5%)</t>
        </is>
      </c>
      <c r="H21" s="55" t="n"/>
      <c r="I21" s="55" t="n"/>
    </row>
    <row r="22">
      <c r="A22" s="56" t="inlineStr">
        <is>
          <t>10</t>
        </is>
      </c>
      <c r="B22" s="56" t="inlineStr">
        <is>
          <t>Arbolito aislado en cabecera de quebrada</t>
        </is>
      </c>
      <c r="C22" s="56" t="inlineStr">
        <is>
          <t>Por determinar</t>
        </is>
      </c>
      <c r="D22" s="56" t="inlineStr">
        <is>
          <t>Por determinar</t>
        </is>
      </c>
      <c r="E22" s="56" t="inlineStr">
        <is>
          <t>Arbustivo alto (1.5-4 m)</t>
        </is>
      </c>
      <c r="F22" s="56" t="inlineStr">
        <is>
          <t>Nativa</t>
        </is>
      </c>
      <c r="G22" s="56" t="inlineStr">
        <is>
          <t>Rara (&lt;1%)</t>
        </is>
      </c>
      <c r="H22" s="56" t="n"/>
      <c r="I22" s="56" t="n"/>
    </row>
    <row r="24">
      <c r="A24" s="53" t="inlineStr">
        <is>
          <t>F-DT-03 · ESPECIES CLAVE GEORREFERENCIADAS</t>
        </is>
      </c>
    </row>
    <row r="25">
      <c r="A25" s="54" t="inlineStr">
        <is>
          <t>N.o</t>
        </is>
      </c>
      <c r="B25" s="54" t="inlineStr">
        <is>
          <t>Especie</t>
        </is>
      </c>
      <c r="C25" s="54" t="inlineStr">
        <is>
          <t>Categoría</t>
        </is>
      </c>
      <c r="D25" s="54" t="inlineStr">
        <is>
          <t>Estado UICN</t>
        </is>
      </c>
      <c r="E25" s="54" t="inlineStr">
        <is>
          <t>UTM ESTE</t>
        </is>
      </c>
      <c r="F25" s="54" t="inlineStr">
        <is>
          <t>UTM NORTE</t>
        </is>
      </c>
      <c r="G25" s="54" t="inlineStr">
        <is>
          <t>N.° individuos</t>
        </is>
      </c>
      <c r="H25" s="54" t="inlineStr">
        <is>
          <t>Observación</t>
        </is>
      </c>
    </row>
    <row r="27">
      <c r="A27" s="53" t="inlineStr">
        <is>
          <t>F-DT-04 · MATRIZ DE CAUSAS DE DEGRADACIÓN</t>
        </is>
      </c>
    </row>
    <row r="28">
      <c r="A28" s="54" t="inlineStr">
        <is>
          <t>N.o</t>
        </is>
      </c>
      <c r="B28" s="54" t="inlineStr">
        <is>
          <t>Causa</t>
        </is>
      </c>
      <c r="C28" s="54" t="inlineStr">
        <is>
          <t>Presencia</t>
        </is>
      </c>
      <c r="D28" s="54" t="inlineStr">
        <is>
          <t>Intensidad</t>
        </is>
      </c>
      <c r="E28" s="54" t="inlineStr">
        <is>
          <t>Extensión</t>
        </is>
      </c>
      <c r="F28" s="54" t="inlineStr">
        <is>
          <t>Antigüedad</t>
        </is>
      </c>
      <c r="G28" s="54" t="inlineStr">
        <is>
          <t>Evidencia</t>
        </is>
      </c>
    </row>
    <row r="29">
      <c r="A29" s="55" t="inlineStr">
        <is>
          <t>1</t>
        </is>
      </c>
      <c r="B29" s="55" t="inlineStr">
        <is>
          <t>Sobrepastoreo (caprino/vacuno)</t>
        </is>
      </c>
      <c r="C29" s="55" t="inlineStr">
        <is>
          <t>Sí</t>
        </is>
      </c>
      <c r="D29" s="55" t="inlineStr">
        <is>
          <t>Moderada</t>
        </is>
      </c>
      <c r="E29" s="55" t="inlineStr">
        <is>
          <t>70</t>
        </is>
      </c>
      <c r="F29" s="55" t="inlineStr">
        <is>
          <t>Por verificar</t>
        </is>
      </c>
      <c r="G29" s="55" t="inlineStr">
        <is>
          <t>Terracetas de pisoteo continuas y paralelas al contorno en toda la ladera muestreada, con banquetas de suelo descubierto; sendas de ganado. Carga ganadera (UA/ha) por verificar.</t>
        </is>
      </c>
    </row>
    <row r="30">
      <c r="A30" s="56" t="inlineStr">
        <is>
          <t>2</t>
        </is>
      </c>
      <c r="B30" s="56" t="inlineStr">
        <is>
          <t>Tala para leña</t>
        </is>
      </c>
      <c r="C30" s="56" t="inlineStr">
        <is>
          <t>No</t>
        </is>
      </c>
      <c r="D30" s="56" t="inlineStr">
        <is>
          <t>Nula</t>
        </is>
      </c>
      <c r="E30" s="56" t="inlineStr">
        <is>
          <t>0</t>
        </is>
      </c>
      <c r="F30" s="56" t="inlineStr"/>
      <c r="G30" s="56" t="inlineStr">
        <is>
          <t>Ecosistema no arboreo; sin extraccion de lena observada</t>
        </is>
      </c>
    </row>
    <row r="31">
      <c r="A31" s="55" t="inlineStr">
        <is>
          <t>3</t>
        </is>
      </c>
      <c r="B31" s="55" t="inlineStr">
        <is>
          <t>Tala para carbón</t>
        </is>
      </c>
      <c r="C31" s="55" t="inlineStr">
        <is>
          <t>No</t>
        </is>
      </c>
      <c r="D31" s="55" t="inlineStr">
        <is>
          <t>Nula</t>
        </is>
      </c>
      <c r="E31" s="55" t="inlineStr">
        <is>
          <t>0</t>
        </is>
      </c>
      <c r="F31" s="55" t="inlineStr"/>
      <c r="G31" s="55" t="inlineStr">
        <is>
          <t>Sin evidencia de hornos ni carbonizacion</t>
        </is>
      </c>
    </row>
    <row r="32">
      <c r="A32" s="56" t="inlineStr">
        <is>
          <t>4</t>
        </is>
      </c>
      <c r="B32" s="56" t="inlineStr">
        <is>
          <t>Tala para madera</t>
        </is>
      </c>
      <c r="C32" s="56" t="inlineStr">
        <is>
          <t>No</t>
        </is>
      </c>
      <c r="D32" s="56" t="inlineStr">
        <is>
          <t>Nula</t>
        </is>
      </c>
      <c r="E32" s="56" t="inlineStr">
        <is>
          <t>0</t>
        </is>
      </c>
      <c r="F32" s="56" t="inlineStr"/>
      <c r="G32" s="56" t="inlineStr">
        <is>
          <t>Sin individuos arboreos aprovechables</t>
        </is>
      </c>
    </row>
    <row r="33">
      <c r="A33" s="55" t="inlineStr">
        <is>
          <t>5</t>
        </is>
      </c>
      <c r="B33" s="55" t="inlineStr">
        <is>
          <t>Quema (renovación de pastos)</t>
        </is>
      </c>
      <c r="C33" s="55" t="inlineStr"/>
      <c r="D33" s="55" t="inlineStr"/>
      <c r="E33" s="55" t="inlineStr"/>
      <c r="F33" s="55" t="inlineStr"/>
      <c r="G33" s="55" t="inlineStr">
        <is>
          <t>Presencia no concluyente: se observan manchas de coloración pardo-rojiza que podrían corresponder a subarbustos de follaje rojizo o a quema antigua. Requiere verificación con focos de calor y entrevista comunal.</t>
        </is>
      </c>
    </row>
    <row r="34">
      <c r="A34" s="56" t="inlineStr">
        <is>
          <t>6</t>
        </is>
      </c>
      <c r="B34" s="56" t="inlineStr">
        <is>
          <t>Quema accidental / Incendio</t>
        </is>
      </c>
      <c r="C34" s="56" t="inlineStr"/>
      <c r="D34" s="56" t="inlineStr"/>
      <c r="E34" s="56" t="inlineStr"/>
      <c r="F34" s="56" t="inlineStr"/>
      <c r="G34" s="56" t="inlineStr">
        <is>
          <t>Por verificar; sin cicatriz de incendio inequivoca en el recorrido</t>
        </is>
      </c>
    </row>
    <row r="35">
      <c r="A35" s="55" t="inlineStr">
        <is>
          <t>7</t>
        </is>
      </c>
      <c r="B35" s="55" t="inlineStr">
        <is>
          <t>Cambio de uso a agricultura</t>
        </is>
      </c>
      <c r="C35" s="55" t="inlineStr">
        <is>
          <t>No</t>
        </is>
      </c>
      <c r="D35" s="55" t="inlineStr">
        <is>
          <t>Nula</t>
        </is>
      </c>
      <c r="E35" s="55" t="inlineStr">
        <is>
          <t>0</t>
        </is>
      </c>
      <c r="F35" s="55" t="inlineStr"/>
      <c r="G35" s="55" t="inlineStr">
        <is>
          <t>Sin parcelas agricolas dentro del bloque</t>
        </is>
      </c>
    </row>
    <row r="36">
      <c r="A36" s="56" t="inlineStr">
        <is>
          <t>8</t>
        </is>
      </c>
      <c r="B36" s="56" t="inlineStr">
        <is>
          <t>Cambio de uso a pastoreo</t>
        </is>
      </c>
      <c r="C36" s="56" t="inlineStr">
        <is>
          <t>No</t>
        </is>
      </c>
      <c r="D36" s="56" t="inlineStr">
        <is>
          <t>Nula</t>
        </is>
      </c>
      <c r="E36" s="56" t="inlineStr">
        <is>
          <t>0</t>
        </is>
      </c>
      <c r="F36" s="56" t="inlineStr"/>
      <c r="G36" s="56" t="inlineStr">
        <is>
          <t>El pastoreo ocurre sobre pastizal natural, sin conversion de uso</t>
        </is>
      </c>
    </row>
    <row r="37">
      <c r="A37" s="55" t="inlineStr">
        <is>
          <t>9</t>
        </is>
      </c>
      <c r="B37" s="55" t="inlineStr">
        <is>
          <t>Expansión urbana / vial</t>
        </is>
      </c>
      <c r="C37" s="55" t="inlineStr">
        <is>
          <t>No</t>
        </is>
      </c>
      <c r="D37" s="55" t="inlineStr">
        <is>
          <t>Nula</t>
        </is>
      </c>
      <c r="E37" s="55" t="inlineStr">
        <is>
          <t>0</t>
        </is>
      </c>
      <c r="F37" s="55" t="inlineStr"/>
      <c r="G37" s="55" t="inlineStr">
        <is>
          <t>Sin edificaciones; camino de herradura adyacente al limite occidental</t>
        </is>
      </c>
    </row>
    <row r="38">
      <c r="A38" s="56" t="inlineStr">
        <is>
          <t>10</t>
        </is>
      </c>
      <c r="B38" s="56" t="inlineStr">
        <is>
          <t>Minería informal</t>
        </is>
      </c>
      <c r="C38" s="56" t="inlineStr">
        <is>
          <t>No</t>
        </is>
      </c>
      <c r="D38" s="56" t="inlineStr">
        <is>
          <t>Nula</t>
        </is>
      </c>
      <c r="E38" s="56" t="inlineStr">
        <is>
          <t>0</t>
        </is>
      </c>
      <c r="F38" s="56" t="inlineStr"/>
      <c r="G38" s="56" t="inlineStr">
        <is>
          <t>Sin labores mineras observadas</t>
        </is>
      </c>
    </row>
    <row r="39">
      <c r="A39" s="55" t="inlineStr">
        <is>
          <t>11</t>
        </is>
      </c>
      <c r="B39" s="55" t="inlineStr">
        <is>
          <t>Extracción de áridos (cauces)</t>
        </is>
      </c>
      <c r="C39" s="55" t="inlineStr">
        <is>
          <t>No</t>
        </is>
      </c>
      <c r="D39" s="55" t="inlineStr">
        <is>
          <t>Nula</t>
        </is>
      </c>
      <c r="E39" s="55" t="inlineStr">
        <is>
          <t>0</t>
        </is>
      </c>
      <c r="F39" s="55" t="inlineStr"/>
      <c r="G39" s="55" t="inlineStr">
        <is>
          <t>Sin cauces con extraccion de material</t>
        </is>
      </c>
    </row>
    <row r="40">
      <c r="A40" s="56" t="inlineStr">
        <is>
          <t>12</t>
        </is>
      </c>
      <c r="B40" s="56" t="inlineStr">
        <is>
          <t>Especies invasoras</t>
        </is>
      </c>
      <c r="C40" s="56" t="inlineStr"/>
      <c r="D40" s="56" t="inlineStr"/>
      <c r="E40" s="56" t="inlineStr"/>
      <c r="F40" s="56" t="inlineStr"/>
      <c r="G40" s="56" t="inlineStr">
        <is>
          <t>Por verificar; requiere determinacion botanica</t>
        </is>
      </c>
    </row>
    <row r="41">
      <c r="A41" s="55" t="inlineStr">
        <is>
          <t>13</t>
        </is>
      </c>
      <c r="B41" s="55" t="inlineStr">
        <is>
          <t>Erosión natural severa</t>
        </is>
      </c>
      <c r="C41" s="55" t="inlineStr">
        <is>
          <t>No</t>
        </is>
      </c>
      <c r="D41" s="55" t="inlineStr">
        <is>
          <t>Nula</t>
        </is>
      </c>
      <c r="E41" s="55" t="inlineStr">
        <is>
          <t>0</t>
        </is>
      </c>
      <c r="F41" s="55" t="inlineStr"/>
      <c r="G41" s="55" t="inlineStr">
        <is>
          <t>Sin carcavas ni escarpes activos observados</t>
        </is>
      </c>
    </row>
    <row r="42">
      <c r="A42" s="56" t="inlineStr">
        <is>
          <t>14</t>
        </is>
      </c>
      <c r="B42" s="56" t="inlineStr">
        <is>
          <t>Sequía prolongada / CC</t>
        </is>
      </c>
      <c r="C42" s="56" t="inlineStr"/>
      <c r="D42" s="56" t="inlineStr"/>
      <c r="E42" s="56" t="inlineStr"/>
      <c r="F42" s="56" t="inlineStr"/>
      <c r="G42" s="56" t="inlineStr">
        <is>
          <t>Por verificar; requiere serie climatica SENAMHI</t>
        </is>
      </c>
    </row>
    <row r="43">
      <c r="A43" s="55" t="inlineStr">
        <is>
          <t>15</t>
        </is>
      </c>
      <c r="B43" s="55" t="inlineStr">
        <is>
          <t>Plagas o enfermedades forestales</t>
        </is>
      </c>
      <c r="C43" s="55" t="inlineStr">
        <is>
          <t>No</t>
        </is>
      </c>
      <c r="D43" s="55" t="inlineStr">
        <is>
          <t>Nula</t>
        </is>
      </c>
      <c r="E43" s="55" t="inlineStr">
        <is>
          <t>0</t>
        </is>
      </c>
      <c r="F43" s="55" t="inlineStr"/>
      <c r="G43" s="55" t="inlineStr">
        <is>
          <t>Sin sintomas de plagas observados</t>
        </is>
      </c>
    </row>
    <row r="44">
      <c r="A44" s="56" t="inlineStr">
        <is>
          <t>16</t>
        </is>
      </c>
      <c r="B44" s="56" t="inlineStr">
        <is>
          <t>Otro</t>
        </is>
      </c>
      <c r="C44" s="56" t="inlineStr"/>
      <c r="D44" s="56" t="inlineStr"/>
      <c r="E44" s="56" t="inlineStr"/>
      <c r="F44" s="56" t="inlineStr"/>
      <c r="G44" s="56" t="inlineStr">
        <is>
          <t>Pérdida progresiva de la capa orgánica del páramo por pisoteo, con reducción de la capacidad de infiltración y almacenamiento hídrico. Requiere cuantificación específica.</t>
        </is>
      </c>
    </row>
    <row r="46">
      <c r="A46" s="53" t="inlineStr">
        <is>
          <t>F-DT-04 · INDICADORES CUANTITATIVOS</t>
        </is>
      </c>
    </row>
    <row r="47">
      <c r="A47" s="54" t="inlineStr">
        <is>
          <t>N.o</t>
        </is>
      </c>
      <c r="B47" s="54" t="inlineStr">
        <is>
          <t>Indicador</t>
        </is>
      </c>
      <c r="C47" s="54" t="inlineStr">
        <is>
          <t>Unidad</t>
        </is>
      </c>
      <c r="D47" s="54" t="inlineStr">
        <is>
          <t>Valor</t>
        </is>
      </c>
      <c r="E47" s="54" t="inlineStr">
        <is>
          <t>Fuente</t>
        </is>
      </c>
      <c r="F47" s="54" t="inlineStr">
        <is>
          <t>Umbral</t>
        </is>
      </c>
      <c r="G47" s="54" t="inlineStr">
        <is>
          <t>Nivel</t>
        </is>
      </c>
    </row>
    <row r="48">
      <c r="A48" s="55" t="inlineStr">
        <is>
          <t>1</t>
        </is>
      </c>
      <c r="B48" s="55" t="inlineStr">
        <is>
          <t>Cobertura vegetal total</t>
        </is>
      </c>
      <c r="C48" s="55" t="inlineStr">
        <is>
          <t>%</t>
        </is>
      </c>
      <c r="D48" s="55" t="inlineStr">
        <is>
          <t>85</t>
        </is>
      </c>
      <c r="E48" s="55" t="inlineStr">
        <is>
          <t>Estimacion ocular de campo + MSAVI 2024 (0.511)</t>
        </is>
      </c>
      <c r="F48" s="55" t="inlineStr">
        <is>
          <t>&gt;60% bueno; 30-60% medio; &lt;30% malo</t>
        </is>
      </c>
      <c r="G48" s="55" t="inlineStr">
        <is>
          <t>Alto</t>
        </is>
      </c>
    </row>
    <row r="49">
      <c r="A49" s="56" t="inlineStr">
        <is>
          <t>2</t>
        </is>
      </c>
      <c r="B49" s="56" t="inlineStr">
        <is>
          <t>Porcentaje de suelo desnudo</t>
        </is>
      </c>
      <c r="C49" s="56" t="inlineStr">
        <is>
          <t>%</t>
        </is>
      </c>
      <c r="D49" s="56" t="inlineStr">
        <is>
          <t>8</t>
        </is>
      </c>
      <c r="E49" s="56" t="inlineStr">
        <is>
          <t>Estimacion ocular de campo</t>
        </is>
      </c>
      <c r="F49" s="56" t="inlineStr">
        <is>
          <t>&lt;10% bueno; 10-30% medio; &gt;30% malo</t>
        </is>
      </c>
      <c r="G49" s="56" t="inlineStr">
        <is>
          <t>Bajo</t>
        </is>
      </c>
    </row>
    <row r="50">
      <c r="A50" s="55" t="inlineStr">
        <is>
          <t>3</t>
        </is>
      </c>
      <c r="B50" s="55" t="inlineStr">
        <is>
          <t>Densidad de cárcavas</t>
        </is>
      </c>
      <c r="C50" s="55" t="inlineStr">
        <is>
          <t>N°/ha</t>
        </is>
      </c>
      <c r="D50" s="55" t="inlineStr">
        <is>
          <t>0</t>
        </is>
      </c>
      <c r="E50" s="55" t="inlineStr">
        <is>
          <t>Observacion directa (sin carcavas registradas)</t>
        </is>
      </c>
      <c r="F50" s="55" t="inlineStr">
        <is>
          <t>0 nulo; 1-3 medio; &gt;3 alto</t>
        </is>
      </c>
      <c r="G50" s="55" t="inlineStr">
        <is>
          <t>Bajo</t>
        </is>
      </c>
    </row>
    <row r="51">
      <c r="A51" s="56" t="inlineStr">
        <is>
          <t>4</t>
        </is>
      </c>
      <c r="B51" s="56" t="inlineStr">
        <is>
          <t>Presencia de especies invasoras</t>
        </is>
      </c>
      <c r="C51" s="56" t="inlineStr">
        <is>
          <t>% área</t>
        </is>
      </c>
      <c r="D51" s="56" t="inlineStr">
        <is>
          <t>Por verificar</t>
        </is>
      </c>
      <c r="E51" s="56" t="inlineStr">
        <is>
          <t>Requiere determinacion botanica</t>
        </is>
      </c>
      <c r="F51" s="56" t="inlineStr">
        <is>
          <t>&lt;5% bueno; 5-20% medio; &gt;20% alto</t>
        </is>
      </c>
      <c r="G51" s="56" t="inlineStr"/>
    </row>
    <row r="52">
      <c r="A52" s="55" t="inlineStr">
        <is>
          <t>5</t>
        </is>
      </c>
      <c r="B52" s="55" t="inlineStr">
        <is>
          <t>Carga ganadera estimada</t>
        </is>
      </c>
      <c r="C52" s="55" t="inlineStr">
        <is>
          <t>UA/ha</t>
        </is>
      </c>
      <c r="D52" s="55" t="inlineStr">
        <is>
          <t>Por verificar</t>
        </is>
      </c>
      <c r="E52" s="55" t="inlineStr">
        <is>
          <t>Requiere censo pecuario / entrevista comunal</t>
        </is>
      </c>
      <c r="F52" s="55" t="inlineStr">
        <is>
          <t>Según tipo de ecosistema</t>
        </is>
      </c>
      <c r="G52" s="55" t="inlineStr"/>
    </row>
    <row r="53">
      <c r="A53" s="56" t="inlineStr">
        <is>
          <t>6</t>
        </is>
      </c>
      <c r="B53" s="56" t="inlineStr">
        <is>
          <t>Frecuencia de quemas últimos 5 años</t>
        </is>
      </c>
      <c r="C53" s="56" t="inlineStr">
        <is>
          <t>N°</t>
        </is>
      </c>
      <c r="D53" s="56" t="inlineStr">
        <is>
          <t>Por verificar</t>
        </is>
      </c>
      <c r="E53" s="56" t="inlineStr">
        <is>
          <t>Requiere serie de focos de calor y entrevista comunal</t>
        </is>
      </c>
      <c r="F53" s="56" t="inlineStr">
        <is>
          <t>0 nulo; 1-2 medio; &gt;2 alto</t>
        </is>
      </c>
      <c r="G53" s="56" t="inlineStr"/>
    </row>
    <row r="54">
      <c r="A54" s="55" t="inlineStr">
        <is>
          <t>7</t>
        </is>
      </c>
      <c r="B54" s="55" t="inlineStr">
        <is>
          <t>% área con pendiente &gt;50%</t>
        </is>
      </c>
      <c r="C54" s="55" t="inlineStr">
        <is>
          <t>%</t>
        </is>
      </c>
      <c r="D54" s="55" t="inlineStr">
        <is>
          <t>15</t>
        </is>
      </c>
      <c r="E54" s="55" t="inlineStr">
        <is>
          <t>Perfil de elevacion Google Earth (pend. media 28.8%, max 56.4%)</t>
        </is>
      </c>
      <c r="F54" s="55" t="inlineStr">
        <is>
          <t>Factor de susceptibilidad</t>
        </is>
      </c>
      <c r="G54" s="55" t="inlineStr">
        <is>
          <t>Bajo</t>
        </is>
      </c>
    </row>
    <row r="55">
      <c r="A55" s="56" t="inlineStr">
        <is>
          <t>8</t>
        </is>
      </c>
      <c r="B55" s="56" t="inlineStr">
        <is>
          <t>Distancia a vía vecinal más cercana</t>
        </is>
      </c>
      <c r="C55" s="56" t="inlineStr">
        <is>
          <t>m</t>
        </is>
      </c>
      <c r="D55" s="56" t="inlineStr">
        <is>
          <t>Por verificar</t>
        </is>
      </c>
      <c r="E55" s="56" t="inlineStr">
        <is>
          <t>Camino adyacente al limite occidental; medicion GIS pendiente</t>
        </is>
      </c>
      <c r="F55" s="56" t="inlineStr">
        <is>
          <t>A menor distancia → mayor presión</t>
        </is>
      </c>
      <c r="G55" s="56" t="inlineStr"/>
    </row>
    <row r="57">
      <c r="A57" s="53" t="inlineStr">
        <is>
          <t>F-DT-05 · FUENTES DE AGUA INVENTARIADAS</t>
        </is>
      </c>
    </row>
    <row r="58">
      <c r="A58" s="54" t="inlineStr">
        <is>
          <t>N.o</t>
        </is>
      </c>
      <c r="B58" s="54" t="inlineStr">
        <is>
          <t>Tipo de fuente</t>
        </is>
      </c>
      <c r="C58" s="54" t="inlineStr">
        <is>
          <t>UTM ESTE</t>
        </is>
      </c>
      <c r="D58" s="54" t="inlineStr">
        <is>
          <t>UTM NORTE</t>
        </is>
      </c>
      <c r="E58" s="54" t="inlineStr">
        <is>
          <t>Régimen</t>
        </is>
      </c>
      <c r="F58" s="54" t="inlineStr">
        <is>
          <t>Calidad</t>
        </is>
      </c>
      <c r="G58" s="54" t="inlineStr">
        <is>
          <t>Distancia (m)</t>
        </is>
      </c>
      <c r="H58" s="54" t="inlineStr">
        <is>
          <t>Uso / observación</t>
        </is>
      </c>
    </row>
    <row r="61">
      <c r="A61" s="53" t="inlineStr">
        <is>
          <t>OBSERVACIONES DEL EVALUADOR POR FICHA</t>
        </is>
      </c>
    </row>
    <row r="62">
      <c r="A62" s="54" t="inlineStr">
        <is>
          <t>Ficha</t>
        </is>
      </c>
      <c r="B62" s="54" t="inlineStr">
        <is>
          <t>Observación registrada en campo</t>
        </is>
      </c>
    </row>
    <row r="63">
      <c r="A63" s="55" t="inlineStr">
        <is>
          <t>F-DT-01</t>
        </is>
      </c>
      <c r="B63" s="55" t="inlineStr">
        <is>
          <t>Verificación de campo del 22/07/2026 (15:00–15:24 h), recorrido de reconocimiento sobre el sector central-norte del bloque, entre los puntos 663788 E / 9400631 N y 663799 E / 9400943 N (UTM WGS84 17S). Centroide del bloque según catálogo Centroides_Bloques_V5: 663 636,85 E · 9 400 617,91 N. La altitud GPS no fue registrada por el equipo de campo y se consigna como "Por verificar"; a título referencial, el perfil de elevación de Google Earth sobre el recorrido arroja cotas entre 3 079 y 3 232 msnm (media 3 172 msnm), con el punto de control a 3 188 msnm. La exposición "Oeste" corresponde al sector muestreado, donde el transecto medido asciende de oeste a este; el bloque abarca además vertientes con drenaje hacia la quebrada del límite norte, por lo que la exposición dominante a escala de polígono queda pendiente de confirmación en GIS. Se observa reptación de suelo expresada como terracetas de pisoteo continuas en ladera; no se observaron escarpes activos, deslizamientos antiguos ni remociones en masa activas. Afloramientos rocosos presentes en cimas y crestas.</t>
        </is>
      </c>
    </row>
    <row r="64">
      <c r="A64" s="56" t="inlineStr">
        <is>
          <t>F-DT-02</t>
        </is>
      </c>
      <c r="B64" s="56" t="inlineStr">
        <is>
          <t>No se registraron cárcavas ni surcos definidos dentro del sector recorrido; el inventario georreferenciado se entrega vacío. El proceso erosivo dominante es el terraceteo por pisoteo de ganado (terracetas paralelas al contorno con banquetas de suelo descubierto), asociado a erosión laminar incipiente entre macollos. No se efectuaron mediciones instrumentales de longitud, profundidad ni ancho. El porcentaje de erosión laminar y la densidad de cárcavas por hectárea quedan por verificar mediante levantamiento detallado. La urgencia de control se califica como Media: no hay cárcavas activas, pero la pérdida de la capa orgánica del páramo por pisoteo continuo es un proceso de difícil reversión.</t>
        </is>
      </c>
    </row>
    <row r="65">
      <c r="A65" s="55" t="inlineStr">
        <is>
          <t>F-DT-03</t>
        </is>
      </c>
      <c r="B65" s="55" t="inlineStr">
        <is>
          <t>El bloque corresponde a Páramo (26,89 ha) con un componente menor de Matorral andino (1,34 ha), según REPORTE_ECOSISTEMAS_BLOQUES_V5; total 28,23 ha. No existe estrato arbóreo, por lo que los campos de regeneración natural, estado sanitario del dosel y DAP no aplican y se dejan en blanco. Las coberturas son estimaciones oculares apoyadas en el índice MSAVI 2024 (valor de bloque: 0,511). La lista florística es PRELIMINAR y se registra por morfotipos observados; no se alcanzó el mínimo de 15 especies porque la visita fue un recorrido de reconocimiento sin colecta botánica. Los nombres científicos, familias y categorías de conservación (D.S. 043-2006-AG) quedan sujetos a determinación botánica formal y se consignan como "Por determinar". La sección de especies clave/indicadoras se entrega vacía por la misma razón.</t>
        </is>
      </c>
    </row>
    <row r="66">
      <c r="A66" s="56" t="inlineStr">
        <is>
          <t>F-DT-04</t>
        </is>
      </c>
      <c r="B66" s="56" t="inlineStr">
        <is>
          <t>La urgencia de intervención se califica como Alta pese a que la cobertura vegetal se mantiene elevada (≈85 %): el páramo es un ecosistema clave para la regulación hídrica de la cabecera de la microcuenca C1076-Q9586 y su degradación por pisoteo es de reversión lenta y costosa. La velocidad de degradación se califica como Lenta y la reversibilidad como Parcialmente reversible. Los indicadores de especies invasoras, carga ganadera, frecuencia de quemas y distancia a vía quedan como "Por verificar": no fueron medidos instrumentalmente ni se dispone de fuente secundaria validada.</t>
        </is>
      </c>
    </row>
    <row r="67">
      <c r="A67" s="55" t="inlineStr">
        <is>
          <t>F-DT-05</t>
        </is>
      </c>
      <c r="B67" s="55" t="inlineStr">
        <is>
          <t>No se identificaron manantiales, bofedales ni captaciones poblacionales dentro del sector recorrido, por lo que el inventario de fuentes se entrega vacío. La red hídrica cartográfica muestra una quebrada en el límite norte del bloque, pendiente de verificación en campo. Se confirma condición de zona de recarga: el bloque se ubica en cabecera de microcuenca por encima de los 3 000 msnm y durante la visita se registró inmersión en el nivel del mar de nubes, con parches de cojines y briofitas verdes entre terracetas que evidencian humedad persistente. La distancia a la captación poblacional más cercana, el nombre de la JASS, la interferencia con obras de riego, los tiempos de viaje, la transitabilidad estacional, la señal celular, el alojamiento rural y el contacto de la Ronda Campesina quedan por verificar. La modalidad de acceso y el tipo de vía final consignados son preliminares y requieren confirmación.</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44</t>
        </is>
      </c>
    </row>
    <row r="7">
      <c r="A7" s="53" t="inlineStr">
        <is>
          <t>Hechos declarados por fuente</t>
        </is>
      </c>
    </row>
    <row r="8">
      <c r="A8" s="54" t="inlineStr">
        <is>
          <t>Fuente</t>
        </is>
      </c>
      <c r="B8" s="54" t="inlineStr">
        <is>
          <t>Hechos</t>
        </is>
      </c>
    </row>
    <row r="9">
      <c r="A9" s="55" t="inlineStr">
        <is>
          <t>Dato de campo</t>
        </is>
      </c>
      <c r="B9" s="55" t="n">
        <v>59</v>
      </c>
    </row>
    <row r="10">
      <c r="A10" s="56" t="inlineStr">
        <is>
          <t>Gabinete (GIS / teledetección)</t>
        </is>
      </c>
      <c r="B10" s="56" t="n">
        <v>23</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94</v>
      </c>
    </row>
    <row r="31">
      <c r="A31" s="56" t="inlineStr">
        <is>
          <t>COMPLEMENTADO</t>
        </is>
      </c>
      <c r="B31" s="56" t="n">
        <v>2</v>
      </c>
    </row>
    <row r="32">
      <c r="A32" s="55" t="inlineStr">
        <is>
          <t>ACTUALIZADO</t>
        </is>
      </c>
      <c r="B32" s="55" t="n">
        <v>0</v>
      </c>
    </row>
    <row r="33">
      <c r="A33" s="56" t="inlineStr">
        <is>
          <t>DISCREPANTE</t>
        </is>
      </c>
      <c r="B33" s="56" t="n">
        <v>0</v>
      </c>
    </row>
    <row r="34">
      <c r="A34" s="55" t="inlineStr">
        <is>
          <t>PENDIENTE</t>
        </is>
      </c>
      <c r="B34" s="55" t="n">
        <v>18</v>
      </c>
    </row>
    <row r="51">
      <c r="A51" s="53" t="inlineStr">
        <is>
          <t>Cobertura por estrato — campo (%)</t>
        </is>
      </c>
    </row>
    <row r="52">
      <c r="A52" s="54" t="inlineStr">
        <is>
          <t>Estrato</t>
        </is>
      </c>
      <c r="B52" s="54" t="inlineStr">
        <is>
          <t>% del área</t>
        </is>
      </c>
    </row>
    <row r="53">
      <c r="A53" s="55" t="inlineStr">
        <is>
          <t>Dosel</t>
        </is>
      </c>
      <c r="B53" s="60" t="n">
        <v>0</v>
      </c>
    </row>
    <row r="54">
      <c r="A54" s="56" t="inlineStr">
        <is>
          <t>Arbustiva</t>
        </is>
      </c>
      <c r="B54" s="61" t="n">
        <v>10</v>
      </c>
    </row>
    <row r="55">
      <c r="A55" s="55" t="inlineStr">
        <is>
          <t>Herbácea</t>
        </is>
      </c>
      <c r="B55" s="62" t="n">
        <v>80</v>
      </c>
    </row>
    <row r="56">
      <c r="A56" s="56" t="inlineStr">
        <is>
          <t>Suelo desnudo</t>
        </is>
      </c>
      <c r="B56" s="63" t="n">
        <v>8</v>
      </c>
    </row>
    <row r="73">
      <c r="A73" s="53" t="inlineStr">
        <is>
          <t>Causas activas de degradación (F-DT-04)</t>
        </is>
      </c>
    </row>
    <row r="74">
      <c r="A74" s="54" t="inlineStr">
        <is>
          <t>Causa</t>
        </is>
      </c>
      <c r="B74" s="54" t="inlineStr">
        <is>
          <t>Intensidad (1 ligera - 4 muy fuerte)</t>
        </is>
      </c>
    </row>
    <row r="75">
      <c r="A75" s="55" t="inlineStr">
        <is>
          <t>Sobrepastoreo (caprino/vacuno)</t>
        </is>
      </c>
      <c r="B75" s="55" t="n">
        <v>2</v>
      </c>
    </row>
    <row r="92">
      <c r="A92" s="53" t="inlineStr">
        <is>
          <t>Control de consistencia por calificación</t>
        </is>
      </c>
    </row>
    <row r="93">
      <c r="A93" s="54" t="inlineStr">
        <is>
          <t>Calificación</t>
        </is>
      </c>
      <c r="B93" s="54" t="inlineStr">
        <is>
          <t>Verificaciones</t>
        </is>
      </c>
    </row>
    <row r="94">
      <c r="A94" s="55" t="inlineStr">
        <is>
          <t>SUSTANTIVA</t>
        </is>
      </c>
      <c r="B94" s="55" t="n">
        <v>2</v>
      </c>
    </row>
    <row r="95">
      <c r="A95" s="56" t="inlineStr">
        <is>
          <t>NO SUSTANTIVA</t>
        </is>
      </c>
      <c r="B95" s="56" t="n">
        <v>3</v>
      </c>
    </row>
    <row r="96">
      <c r="A96" s="55" t="inlineStr">
        <is>
          <t>CORREGIDO</t>
        </is>
      </c>
      <c r="B96" s="55" t="n">
        <v>0</v>
      </c>
    </row>
    <row r="97">
      <c r="A97" s="56" t="inlineStr">
        <is>
          <t>CONFORME</t>
        </is>
      </c>
      <c r="B97" s="56"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44 — IN Piura</dc:title>
  <dc:subject>Diagnóstico Territorial por bloque de intervención</dc:subject>
  <dcterms:created xsi:type="dcterms:W3CDTF">2026-09-08T03:39:56Z</dcterms:created>
  <dcterms:modified xsi:type="dcterms:W3CDTF">2026-09-11T20:22:28Z</dcterms:modified>
</cp:coreProperties>
</file>