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integración'!$A$66:$A$73</f>
            </numRef>
          </cat>
          <val>
            <numRef>
              <f>'Gráficos de integración'!$B$66:$B$73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M30B5</t>
        </is>
      </c>
    </row>
    <row r="6" ht="24" customHeight="1">
      <c r="A6" s="4" t="inlineStr">
        <is>
          <t>Diagnóstico Territorial — Plantilla DT Campo Check Validada V5 | Sistema de referencia: UTM WGS 84 Zona 17S (EPSG:32717) · Integrado con la ficha de campo F-DT vigente (FDT_M30B5_IN_Piura.xlsx) — V7 - resumen V6 + campo F-DT integrado</t>
        </is>
      </c>
    </row>
    <row r="7"/>
    <row r="8" ht="18" customHeight="1">
      <c r="A8" s="5" t="inlineStr">
        <is>
          <t>1. IDENTIFICACIÓN Y LOCALIZACIÓN</t>
        </is>
      </c>
    </row>
    <row r="9">
      <c r="A9" s="6" t="inlineStr">
        <is>
          <t>Código del bloque</t>
        </is>
      </c>
      <c r="B9" s="7" t="inlineStr">
        <is>
          <t>M30B5</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51" t="inlineStr">
        <is>
          <t>No consignada</t>
        </is>
      </c>
      <c r="E13" s="8" t="n"/>
      <c r="F13" s="8" t="n"/>
    </row>
    <row r="14">
      <c r="A14" s="6" t="inlineStr">
        <is>
          <t>Superficie de catálogo (V5/V6), ha</t>
        </is>
      </c>
      <c r="B14" s="7" t="n">
        <v>90.90000000000001</v>
      </c>
      <c r="C14" s="6" t="inlineStr">
        <is>
          <t>Fuente de superficie</t>
        </is>
      </c>
      <c r="D14" s="7" t="inlineStr">
        <is>
          <t>Catálogo maestro Bloques V5/V6</t>
        </is>
      </c>
      <c r="E14" s="8" t="n"/>
      <c r="F14" s="8" t="n"/>
    </row>
    <row r="15">
      <c r="A15" s="6" t="inlineStr">
        <is>
          <t>Centroide UTM ESTE (m)</t>
        </is>
      </c>
      <c r="B15" s="7" t="n">
        <v>655263</v>
      </c>
      <c r="C15" s="6" t="inlineStr">
        <is>
          <t>Centroide UTM NORTE (m)</t>
        </is>
      </c>
      <c r="D15" s="7" t="n">
        <v>9427340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1782</v>
      </c>
      <c r="C19" s="6" t="inlineStr">
        <is>
          <t>Altitud máxima (msnm)</t>
        </is>
      </c>
      <c r="D19" s="7" t="n">
        <v>2307</v>
      </c>
      <c r="E19" s="8" t="n"/>
      <c r="F19" s="8" t="n"/>
    </row>
    <row r="20">
      <c r="A20" s="6" t="inlineStr">
        <is>
          <t>Amplitud altitudinal (m)</t>
        </is>
      </c>
      <c r="B20" s="7" t="n">
        <v>525</v>
      </c>
      <c r="C20" s="6" t="inlineStr">
        <is>
          <t>Piso altitudinal dominante</t>
        </is>
      </c>
      <c r="D20" s="7" t="inlineStr">
        <is>
          <t>2000-2500 m (Quechua alta)</t>
        </is>
      </c>
      <c r="E20" s="8" t="n"/>
      <c r="F20" s="8" t="n"/>
    </row>
    <row r="21">
      <c r="A21" s="6" t="inlineStr">
        <is>
          <t>Pendiente promedio (%)</t>
        </is>
      </c>
      <c r="B21" s="7" t="n">
        <v>21.23</v>
      </c>
      <c r="C21" s="6" t="inlineStr">
        <is>
          <t>Pendiente promedio (grados)</t>
        </is>
      </c>
      <c r="D21" s="7" t="n">
        <v>12</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21.23° = 38.84%</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0.5564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(79.46 %)</t>
        </is>
      </c>
      <c r="E29" s="8" t="n"/>
      <c r="F29" s="8" t="n"/>
    </row>
    <row r="30">
      <c r="A30" s="6" t="inlineStr">
        <is>
          <t>Superficie clasificada NDVI 2025 (ha)</t>
        </is>
      </c>
      <c r="B30" s="7" t="n">
        <v>90.922</v>
      </c>
      <c r="C30" s="6" t="inlineStr">
        <is>
          <t>Desviación frente al catálogo (%)</t>
        </is>
      </c>
      <c r="D30" s="7" t="n">
        <v>0.02</v>
      </c>
      <c r="E30" s="8" t="n"/>
      <c r="F30" s="8" t="n"/>
    </row>
    <row r="31">
      <c r="A31" s="6" t="inlineStr">
        <is>
          <t>Superficie clasificada MSAVI 2024 (ha)</t>
        </is>
      </c>
      <c r="B31" s="39" t="n">
        <v>90.90300000000001</v>
      </c>
      <c r="C31" s="6" t="inlineStr">
        <is>
          <t>Desviación MSAVI frente al catálogo (%)</t>
        </is>
      </c>
      <c r="D31" s="40" t="n">
        <v>0</v>
      </c>
      <c r="E31" s="8" t="n"/>
      <c r="F31" s="8" t="n"/>
    </row>
    <row r="32">
      <c r="A32" s="6" t="inlineStr">
        <is>
          <t>Superficie bajo umbral MSAVI 0.4976 (ha)</t>
        </is>
      </c>
      <c r="B32" s="39" t="n">
        <v>30.026</v>
      </c>
      <c r="C32" s="6" t="inlineStr">
        <is>
          <t>% del bloque bajo umbral (brecha espectral)</t>
        </is>
      </c>
      <c r="D32" s="40" t="n">
        <v>33.03</v>
      </c>
      <c r="E32" s="8" t="n"/>
      <c r="F32" s="8" t="n"/>
    </row>
    <row r="33">
      <c r="A33" s="6" t="inlineStr">
        <is>
          <t>Clase DN dominante (MSAVI 2024)</t>
        </is>
      </c>
      <c r="B33" s="7" t="inlineStr">
        <is>
          <t>DN 4 · 0.4976 - 0.6139 (Vigor moderado)</t>
        </is>
      </c>
      <c r="C33" s="6" t="inlineStr">
        <is>
          <t>N.° de polígonos MSAVI del bloque</t>
        </is>
      </c>
      <c r="D33" s="41" t="n">
        <v>335</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74.64 ha de Zona agrícola (82.1%) y 16.267 ha de Matorral andino (17.9%) según cartografía MINAM; la superficie consignada corresponde a la unidad dominante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2</v>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de campo IN Piura – ANIN/DIME-SESDI</t>
        </is>
      </c>
      <c r="C44" s="6" t="inlineStr">
        <is>
          <t>Fecha de evaluación</t>
        </is>
      </c>
      <c r="D44" s="7" t="inlineStr">
        <is>
          <t>2026-08-13</t>
        </is>
      </c>
      <c r="E44" s="8" t="n"/>
      <c r="F44" s="8" t="n"/>
    </row>
    <row r="45">
      <c r="A45" s="6" t="inlineStr">
        <is>
          <t>Hora de registro</t>
        </is>
      </c>
      <c r="B45" s="7" t="inlineStr">
        <is>
          <t>13:49 - 14:03 h</t>
        </is>
      </c>
      <c r="C45" s="6" t="inlineStr">
        <is>
          <t>Correlativo de ficha</t>
        </is>
      </c>
      <c r="D45" s="7" t="inlineStr">
        <is>
          <t>F-DT-01 / M30B5 / 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directa en transecto (sin parcela permanente instalada)</t>
        </is>
      </c>
      <c r="E47" s="8" t="n"/>
      <c r="F47" s="8" t="n"/>
    </row>
    <row r="48">
      <c r="A48" s="6" t="inlineStr">
        <is>
          <t>Estaciones fotográficas georreferenciadas</t>
        </is>
      </c>
      <c r="B48" s="7" t="n">
        <v>7</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ganadera familiar de subsistencia sobre suelos de aptitud forestal y de protección, sin ordenamiento predial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M30B5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25.8497</v>
      </c>
      <c r="C10" s="19">
        <f>ROUND(B10/$B$15*100,2)</f>
        <v/>
      </c>
      <c r="D10" s="11" t="inlineStr">
        <is>
          <t>Vigor alto</t>
        </is>
      </c>
      <c r="E10" s="11" t="inlineStr">
        <is>
          <t>Sobre umbral</t>
        </is>
      </c>
    </row>
    <row r="11">
      <c r="A11" s="12" t="inlineStr">
        <is>
          <t>0.4976 - 0.6139 · DN 4</t>
        </is>
      </c>
      <c r="B11" s="31" t="n">
        <v>35.0273</v>
      </c>
      <c r="C11" s="30">
        <f>ROUND(B11/$B$15*100,2)</f>
        <v/>
      </c>
      <c r="D11" s="13" t="inlineStr">
        <is>
          <t>Vigor moderado</t>
        </is>
      </c>
      <c r="E11" s="13" t="inlineStr">
        <is>
          <t>Sobre umbral</t>
        </is>
      </c>
    </row>
    <row r="12">
      <c r="A12" s="7" t="inlineStr">
        <is>
          <t>0.3813 - 0.4976 · DN 3</t>
        </is>
      </c>
      <c r="B12" s="18" t="n">
        <v>29.3772</v>
      </c>
      <c r="C12" s="19">
        <f>ROUND(B12/$B$15*100,2)</f>
        <v/>
      </c>
      <c r="D12" s="11" t="inlineStr">
        <is>
          <t>Vigor bajo</t>
        </is>
      </c>
      <c r="E12" s="11" t="inlineStr">
        <is>
          <t>BAJO umbral 0.4976</t>
        </is>
      </c>
    </row>
    <row r="13">
      <c r="A13" s="14" t="inlineStr">
        <is>
          <t>0.2650 - 0.3813 · DN 2</t>
        </is>
      </c>
      <c r="B13" s="20" t="n">
        <v>0.6493</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335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90.90000000000001</v>
      </c>
      <c r="C18" s="50" t="inlineStr">
        <is>
          <t>—</t>
        </is>
      </c>
      <c r="D18" s="47" t="inlineStr">
        <is>
          <t>Desviación planimétrica frente al catálogo</t>
        </is>
      </c>
      <c r="E18" s="47" t="inlineStr">
        <is>
          <t>+0.00 %</t>
        </is>
      </c>
    </row>
    <row r="19">
      <c r="A19" s="16" t="inlineStr">
        <is>
          <t>MSAVI 2024 — MEDIA DEL BLOQUE</t>
        </is>
      </c>
      <c r="B19" s="17" t="n">
        <v>0.5564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(0.5564)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72.2496</v>
      </c>
      <c r="C25" s="19" t="n">
        <v>79.45999999999999</v>
      </c>
      <c r="D25" s="11" t="inlineStr">
        <is>
          <t>Dosel continuo, matorral denso o mosaico agroforestal</t>
        </is>
      </c>
      <c r="E25" s="11" t="inlineStr"/>
    </row>
    <row r="26">
      <c r="A26" s="14" t="inlineStr">
        <is>
          <t>Vegetación mediana</t>
        </is>
      </c>
      <c r="B26" s="20" t="n">
        <v>18.4809</v>
      </c>
      <c r="C26" s="21" t="n">
        <v>20.33</v>
      </c>
      <c r="D26" s="15" t="inlineStr">
        <is>
          <t>Pastizal cultivado, matorral ralo, parcelas agrícolas</t>
        </is>
      </c>
      <c r="E26" s="15" t="inlineStr"/>
    </row>
    <row r="27">
      <c r="A27" s="7" t="inlineStr">
        <is>
          <t>Vegetación ligera</t>
        </is>
      </c>
      <c r="B27" s="18" t="n">
        <v>0.1913</v>
      </c>
      <c r="C27" s="19" t="n">
        <v>0.21</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90.90000000000001</v>
      </c>
      <c r="C29" s="25" t="inlineStr">
        <is>
          <t>—</t>
        </is>
      </c>
      <c r="D29" s="25" t="inlineStr">
        <is>
          <t>Desviación planimétrica frente al catálogo</t>
        </is>
      </c>
      <c r="E29" s="25" t="inlineStr">
        <is>
          <t>+0.02 %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79.46 % del polígono clasificado como «Vegetación alta» por el NDVI 2025; la observación de campo corresponde a una parcela o recorrido puntual y no es estadísticamente representativa de las 90.900 ha del bloque.</t>
        </is>
      </c>
      <c r="B31" s="42" t="n"/>
      <c r="C31" s="42" t="n"/>
      <c r="D31" s="42" t="n"/>
      <c r="E31" s="43"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M30B5</t>
        </is>
      </c>
    </row>
    <row r="6" ht="24" customHeight="1">
      <c r="A6" s="4" t="inlineStr">
        <is>
          <t>Levantamiento del 2026-08-13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655188</v>
      </c>
      <c r="D10" s="26" t="n">
        <v>9427633</v>
      </c>
      <c r="E10" s="11" t="n">
        <v>302.4</v>
      </c>
      <c r="F10" s="11" t="inlineStr"/>
      <c r="G10" s="11" t="inlineStr">
        <is>
          <t>Coordenada consignada en F-DT-01</t>
        </is>
      </c>
    </row>
    <row r="11">
      <c r="A11" s="14" t="inlineStr">
        <is>
          <t>C-01</t>
        </is>
      </c>
      <c r="B11" s="15" t="inlineStr">
        <is>
          <t>Rasgo erosivo — 655142</t>
        </is>
      </c>
      <c r="C11" s="27" t="n">
        <v>9427609</v>
      </c>
      <c r="D11" s="27" t="inlineStr">
        <is>
          <t>Por verificar</t>
        </is>
      </c>
      <c r="E11" s="15" t="inlineStr"/>
      <c r="F11" s="15" t="inlineStr">
        <is>
          <t>Por verificar</t>
        </is>
      </c>
      <c r="G11" s="15" t="inlineStr">
        <is>
          <t>Por verificar</t>
        </is>
      </c>
    </row>
    <row r="12">
      <c r="A12" s="7" t="inlineStr">
        <is>
          <t>C-02</t>
        </is>
      </c>
      <c r="B12" s="11" t="inlineStr">
        <is>
          <t>Rasgo erosivo — 655109</t>
        </is>
      </c>
      <c r="C12" s="26" t="n">
        <v>9427610</v>
      </c>
      <c r="D12" s="26" t="inlineStr">
        <is>
          <t>Por verificar</t>
        </is>
      </c>
      <c r="E12" s="11" t="inlineStr"/>
      <c r="F12" s="11" t="inlineStr">
        <is>
          <t>Por verificar</t>
        </is>
      </c>
      <c r="G12" s="11" t="inlineStr">
        <is>
          <t>Por verificar</t>
        </is>
      </c>
    </row>
    <row r="13">
      <c r="A13" s="14" t="inlineStr">
        <is>
          <t>H-01</t>
        </is>
      </c>
      <c r="B13" s="15" t="inlineStr">
        <is>
          <t>Fuente de agua — 1</t>
        </is>
      </c>
      <c r="C13" s="27" t="inlineStr">
        <is>
          <t>Manantial / Puquio</t>
        </is>
      </c>
      <c r="D13" s="27" t="n">
        <v>655109</v>
      </c>
      <c r="E13" s="15" t="inlineStr"/>
      <c r="F13" s="15" t="n">
        <v>9427610</v>
      </c>
      <c r="G13" s="15" t="inlineStr"/>
    </row>
    <row r="14">
      <c r="A14" s="7" t="inlineStr">
        <is>
          <t>H-02</t>
        </is>
      </c>
      <c r="B14" s="11" t="inlineStr">
        <is>
          <t>Fuente de agua — 2</t>
        </is>
      </c>
      <c r="C14" s="26" t="inlineStr">
        <is>
          <t>Quebrada estacional</t>
        </is>
      </c>
      <c r="D14" s="26" t="n">
        <v>655060</v>
      </c>
      <c r="E14" s="11" t="inlineStr"/>
      <c r="F14" s="11" t="n">
        <v>9427662</v>
      </c>
      <c r="G14" s="11" t="inlineStr"/>
    </row>
    <row r="15">
      <c r="A15" s="14" t="inlineStr">
        <is>
          <t>B-01</t>
        </is>
      </c>
      <c r="B15" s="15" t="inlineStr">
        <is>
          <t>Especie clave — Salix humboldtiana (Sauce)</t>
        </is>
      </c>
      <c r="C15" s="27" t="inlineStr">
        <is>
          <t>655152</t>
        </is>
      </c>
      <c r="D15" s="27" t="inlineStr">
        <is>
          <t>9427615</t>
        </is>
      </c>
      <c r="E15" s="15" t="n">
        <v>296.6</v>
      </c>
      <c r="F15" s="15" t="inlineStr">
        <is>
          <t>Indicadora de buen estado</t>
        </is>
      </c>
      <c r="G15" s="15" t="inlineStr">
        <is>
          <t>NE - No Evaluado</t>
        </is>
      </c>
    </row>
    <row r="16">
      <c r="A16" s="7" t="inlineStr">
        <is>
          <t>B-02</t>
        </is>
      </c>
      <c r="B16" s="11" t="inlineStr">
        <is>
          <t>Especie clave — Baccharis sp. (Chilca)</t>
        </is>
      </c>
      <c r="C16" s="26" t="inlineStr">
        <is>
          <t>655142</t>
        </is>
      </c>
      <c r="D16" s="26" t="inlineStr">
        <is>
          <t>9427609</t>
        </is>
      </c>
      <c r="E16" s="11" t="n">
        <v>295</v>
      </c>
      <c r="F16" s="11" t="inlineStr">
        <is>
          <t>Indicadora de perturbación</t>
        </is>
      </c>
      <c r="G16" s="11"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655263</v>
      </c>
      <c r="C19" s="6" t="inlineStr">
        <is>
          <t>Centroide del bloque — UTM NORTE (m)</t>
        </is>
      </c>
      <c r="D19" s="7" t="n">
        <v>9427340</v>
      </c>
      <c r="E19" s="8" t="n"/>
      <c r="F19" s="8" t="n"/>
      <c r="G19" s="8" t="n"/>
      <c r="H19" s="8" t="n"/>
    </row>
    <row r="20">
      <c r="A20" s="6" t="inlineStr">
        <is>
          <t>N.° de estaciones fotográficas declaradas</t>
        </is>
      </c>
      <c r="B20" s="7" t="n">
        <v>7</v>
      </c>
      <c r="C20" s="6" t="inlineStr">
        <is>
          <t>Estaciones dentro del polígono</t>
        </is>
      </c>
      <c r="D20" s="7" t="n">
        <v>7</v>
      </c>
      <c r="E20" s="8" t="n"/>
      <c r="F20" s="8" t="n"/>
      <c r="G20" s="8" t="n"/>
      <c r="H20" s="8" t="n"/>
    </row>
    <row r="22" ht="15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CÓDIGO: los siete registros fotográficos georreferenciados (13-08-2026, 13:53-14:03 h) se ubican entre E 655 060 - 655 228 y N 9 427 609 - 9 427 690, dentro del polígono (centroide oficial E 655 263 / N 9 427 340); rotulado de campo consistente con la base tbl_Bloques; NO se detectan discrepancias de codificación. ÁREA: 90.90 ha (tbl_Bloques V4) / 90.903 ha (Bloques_V5) / 90.922 ha (base CP-Bloques V5); diferencia máxima de 0.02 ha, no significativa; se adopta 90.90 ha. INDICIOS DE INESTABILIDAD: afloramiento rocoso subvertical de aspecto columnar en la cumbre del sector este; escarpes activos y cicatrices de suelo desnudo de color claro en laderas; reptación evidenciada por terracetas de pisoteo continuas; escarpe de deslizamiento antiguo en el sector central. Dimensiones no medidas en campo — POR VERIFICAR con levantamiento topográfico de detalle.</t>
        </is>
      </c>
      <c r="B22" s="42" t="n"/>
      <c r="C22" s="42" t="n"/>
      <c r="D22" s="42" t="n"/>
      <c r="E22" s="42" t="n"/>
      <c r="F22" s="42" t="n"/>
      <c r="G22" s="43"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M30B5</t>
        </is>
      </c>
    </row>
    <row r="6" ht="24" customHeight="1">
      <c r="A6" s="4" t="inlineStr">
        <is>
          <t>Distrito de Huancabamba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1" t="inlineStr">
        <is>
          <t>1171 – 1769</t>
        </is>
      </c>
      <c r="E10" s="11" t="n">
        <v>598</v>
      </c>
      <c r="F10" s="11" t="n">
        <v>31.55</v>
      </c>
      <c r="G10" s="18" t="n">
        <v>0.6403</v>
      </c>
      <c r="H10" s="19" t="n">
        <v>94.08</v>
      </c>
      <c r="I10" s="19" t="n">
        <v>8.84</v>
      </c>
    </row>
    <row r="11">
      <c r="A11" s="12" t="inlineStr">
        <is>
          <t>► M30B5</t>
        </is>
      </c>
      <c r="B11" s="29" t="n">
        <v>90.90000000000001</v>
      </c>
      <c r="C11" s="30" t="n">
        <v>16.46</v>
      </c>
      <c r="D11" s="13" t="inlineStr">
        <is>
          <t>1782 – 2307</t>
        </is>
      </c>
      <c r="E11" s="13" t="n">
        <v>525</v>
      </c>
      <c r="F11" s="13" t="n">
        <v>21.23</v>
      </c>
      <c r="G11" s="31" t="n">
        <v>0.5564</v>
      </c>
      <c r="H11" s="30" t="n">
        <v>79.45999999999999</v>
      </c>
      <c r="I11" s="30" t="n">
        <v>33.03</v>
      </c>
    </row>
    <row r="12">
      <c r="A12" s="7" t="inlineStr">
        <is>
          <t>21</t>
        </is>
      </c>
      <c r="B12" s="28" t="n">
        <v>84.23</v>
      </c>
      <c r="C12" s="19" t="n">
        <v>15.25</v>
      </c>
      <c r="D12" s="11" t="inlineStr">
        <is>
          <t>1353 – 2004</t>
        </is>
      </c>
      <c r="E12" s="11" t="n">
        <v>651</v>
      </c>
      <c r="F12" s="11" t="n">
        <v>31.71</v>
      </c>
      <c r="G12" s="18" t="n">
        <v>0.6201</v>
      </c>
      <c r="H12" s="19" t="n">
        <v>89.39</v>
      </c>
      <c r="I12" s="19" t="n">
        <v>5.17</v>
      </c>
    </row>
    <row r="13">
      <c r="A13" s="14" t="inlineStr">
        <is>
          <t>28</t>
        </is>
      </c>
      <c r="B13" s="32" t="n">
        <v>52.97</v>
      </c>
      <c r="C13" s="21" t="n">
        <v>9.59</v>
      </c>
      <c r="D13" s="15" t="inlineStr">
        <is>
          <t>1462 – 1856</t>
        </is>
      </c>
      <c r="E13" s="15" t="n">
        <v>394</v>
      </c>
      <c r="F13" s="15" t="n">
        <v>30.36</v>
      </c>
      <c r="G13" s="20" t="n">
        <v>0.6394</v>
      </c>
      <c r="H13" s="21" t="n">
        <v>96.64</v>
      </c>
      <c r="I13" s="21" t="n">
        <v>0.93</v>
      </c>
    </row>
    <row r="14">
      <c r="A14" s="7" t="inlineStr">
        <is>
          <t>26</t>
        </is>
      </c>
      <c r="B14" s="28" t="n">
        <v>46.96</v>
      </c>
      <c r="C14" s="19" t="n">
        <v>8.5</v>
      </c>
      <c r="D14" s="11" t="inlineStr">
        <is>
          <t>1260 – 1855</t>
        </is>
      </c>
      <c r="E14" s="11" t="n">
        <v>595</v>
      </c>
      <c r="F14" s="11" t="n">
        <v>32.26</v>
      </c>
      <c r="G14" s="18" t="n">
        <v>0.6733</v>
      </c>
      <c r="H14" s="19" t="n">
        <v>97.29000000000001</v>
      </c>
      <c r="I14" s="19" t="n">
        <v>2.35</v>
      </c>
    </row>
    <row r="15">
      <c r="A15" s="14" t="inlineStr">
        <is>
          <t>60</t>
        </is>
      </c>
      <c r="B15" s="32" t="n">
        <v>40.13</v>
      </c>
      <c r="C15" s="21" t="n">
        <v>7.27</v>
      </c>
      <c r="D15" s="15" t="inlineStr">
        <is>
          <t>1638 – 2073</t>
        </is>
      </c>
      <c r="E15" s="15" t="n">
        <v>435</v>
      </c>
      <c r="F15" s="15" t="n">
        <v>32.67</v>
      </c>
      <c r="G15" s="20" t="n">
        <v>0.6745</v>
      </c>
      <c r="H15" s="21" t="n">
        <v>99.90000000000001</v>
      </c>
      <c r="I15" s="21" t="n">
        <v>0.61</v>
      </c>
    </row>
    <row r="16">
      <c r="A16" s="7" t="inlineStr">
        <is>
          <t>64</t>
        </is>
      </c>
      <c r="B16" s="28" t="n">
        <v>35.77</v>
      </c>
      <c r="C16" s="19" t="n">
        <v>6.48</v>
      </c>
      <c r="D16" s="11" t="inlineStr">
        <is>
          <t>2412 – 2651</t>
        </is>
      </c>
      <c r="E16" s="11" t="n">
        <v>239</v>
      </c>
      <c r="F16" s="11" t="n">
        <v>28.18</v>
      </c>
      <c r="G16" s="18" t="n">
        <v>0.5254</v>
      </c>
      <c r="H16" s="19" t="n">
        <v>78.22</v>
      </c>
      <c r="I16" s="19" t="n">
        <v>41.48</v>
      </c>
    </row>
    <row r="17">
      <c r="A17" s="14" t="inlineStr">
        <is>
          <t>37</t>
        </is>
      </c>
      <c r="B17" s="32" t="n">
        <v>35.49</v>
      </c>
      <c r="C17" s="21" t="n">
        <v>6.43</v>
      </c>
      <c r="D17" s="15" t="inlineStr">
        <is>
          <t>1184 – 1455</t>
        </is>
      </c>
      <c r="E17" s="15" t="n">
        <v>271</v>
      </c>
      <c r="F17" s="15" t="n">
        <v>23.59</v>
      </c>
      <c r="G17" s="20" t="n">
        <v>0.6588000000000001</v>
      </c>
      <c r="H17" s="21" t="n">
        <v>98.02</v>
      </c>
      <c r="I17" s="21" t="n">
        <v>1.92</v>
      </c>
    </row>
    <row r="18">
      <c r="A18" s="7" t="inlineStr">
        <is>
          <t>30</t>
        </is>
      </c>
      <c r="B18" s="28" t="n">
        <v>34.87</v>
      </c>
      <c r="C18" s="19" t="n">
        <v>6.31</v>
      </c>
      <c r="D18" s="11" t="inlineStr">
        <is>
          <t>1216 – 1541</t>
        </is>
      </c>
      <c r="E18" s="11" t="n">
        <v>325</v>
      </c>
      <c r="F18" s="11" t="n">
        <v>27.91</v>
      </c>
      <c r="G18" s="18" t="n">
        <v>0.6637999999999999</v>
      </c>
      <c r="H18" s="19" t="n">
        <v>99.38</v>
      </c>
      <c r="I18" s="19" t="n">
        <v>1.31</v>
      </c>
    </row>
    <row r="19">
      <c r="A19" s="14" t="inlineStr">
        <is>
          <t>40</t>
        </is>
      </c>
      <c r="B19" s="32" t="n">
        <v>28.52</v>
      </c>
      <c r="C19" s="21" t="n">
        <v>5.16</v>
      </c>
      <c r="D19" s="15" t="inlineStr">
        <is>
          <t>1407 – 1656</t>
        </is>
      </c>
      <c r="E19" s="15" t="n">
        <v>249</v>
      </c>
      <c r="F19" s="15"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M30B5 ocupa el puesto 2 de 10 por superficie dentro de la microcuenca C1081-Q9591 (16.46 % de las 552.18 ha preliminares de la microcuenca). Su pendiente promedio (21.23 %, clase «15-25% (Fuert. inclinado)») es la 1.ª más baja de 10 y se sitúa por debajo del promedio de la microcuenca (29.09 %). Su MSAVI 2024 (0.5564) es el 9.º de 10 y queda por debajo del promedio local (0.6292). Amplitud altitudinal del bloque: 525 m (1782–2307 msnm). El cuadro conserva todos los bloques catalogados en la microcuenca, incluidos los descartados en el tamizaje, para referencia del conjunto. Los bloques sin ficha DT figuran con sus parámetros de gabinete. BRECHA ESPECTRAL. El 33.03 % de la superficie del bloque (30.026 ha de 90.903 ha) se sitúa bajo el umbral MSAVI 0.4976, por encima del promedio local de la microcuenca (9.85 %) calculado sobre los bloques con dato MSAVI disponible.</t>
        </is>
      </c>
      <c r="B22" s="42" t="n"/>
      <c r="C22" s="42" t="n"/>
      <c r="D22" s="42" t="n"/>
      <c r="E22" s="42" t="n"/>
      <c r="F22" s="42" t="n"/>
      <c r="G22" s="42" t="n"/>
      <c r="H22" s="42" t="n"/>
      <c r="I22" s="43"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2" t="n"/>
      <c r="I24" s="43"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M30B5</t>
        </is>
      </c>
    </row>
    <row r="6">
      <c r="A6" s="53" t="inlineStr">
        <is>
          <t>Cruce de la ficha de campo F-DT vigente con la ficha de resumen de gabinete y el catálogo maestro. Integración 2026-09-11 21:26:36.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«C1081-Q9591».</t>
        </is>
      </c>
      <c r="D9" s="57" t="inlineStr">
        <is>
          <t>CONFORME</t>
        </is>
      </c>
      <c r="E9" s="57" t="inlineStr">
        <is>
          <t>Sin acción.</t>
        </is>
      </c>
    </row>
    <row r="10">
      <c r="A10" s="58" t="inlineStr">
        <is>
          <t>G-02</t>
        </is>
      </c>
      <c r="B10" s="58" t="inlineStr">
        <is>
          <t>UTM del punto de muestreo</t>
        </is>
      </c>
      <c r="C10" s="58" t="inlineStr">
        <is>
          <t>El punto de muestreo declarado dista 302.4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(1938 msnm) cae dentro del rango altitudinal del bloque (1782 - 2307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(90.922 ha) se desvía 0.02 % de la superficie de catálogo (90.90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(90.903 ha) se desvía 0.00 % de la superficie de catálogo (90.90 ha).</t>
        </is>
      </c>
      <c r="D14" s="58" t="inlineStr">
        <is>
          <t>CONFORME</t>
        </is>
      </c>
      <c r="E14" s="58" t="inlineStr">
        <is>
          <t>Sin acción: la segmentación valida la geometría del bloque.</t>
        </is>
      </c>
    </row>
    <row r="15">
      <c r="A15" s="57" t="inlineStr">
        <is>
          <t>G-07</t>
        </is>
      </c>
      <c r="B15" s="57" t="inlineStr">
        <is>
          <t>Brecha espectral MSAVI</t>
        </is>
      </c>
      <c r="C15" s="57" t="inlineStr">
        <is>
          <t>El 33.03 % del bloque queda bajo el umbral 0.4976; superficie de brecha 30.03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90.90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(0.5564) cae en la clase «0.4976 - 0.6139 (Vigor moderado)» y la clase DN dominante por superficie es «DN 4 · 0.4976 - 0.6139 (Vigor moderado)».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96.4 % de los campos esperados).</t>
        </is>
      </c>
      <c r="D19" s="57" t="inlineStr">
        <is>
          <t>CONFORME</t>
        </is>
      </c>
      <c r="E19" s="57" t="inlineStr">
        <is>
          <t>Sin acción.</t>
        </is>
      </c>
    </row>
    <row r="20">
      <c r="A20" s="58" t="inlineStr">
        <is>
          <t>F-02</t>
        </is>
      </c>
      <c r="B20" s="58" t="inlineStr">
        <is>
          <t>Cobertura de la integración</t>
        </is>
      </c>
      <c r="C20" s="58" t="inlineStr">
        <is>
          <t>Se declararon 102 de 114 hechos integrados (89.5 %); 12 quedan sin dato en ninguna fuente.</t>
        </is>
      </c>
      <c r="D20" s="58" t="inlineStr">
        <is>
          <t>CONFORME</t>
        </is>
      </c>
      <c r="E20" s="58" t="inlineStr">
        <is>
          <t>Sin acción.</t>
        </is>
      </c>
    </row>
    <row r="21">
      <c r="A21" s="57" t="inlineStr">
        <is>
          <t>H-01</t>
        </is>
      </c>
      <c r="B21" s="57" t="inlineStr">
        <is>
          <t>Rango de pendiente dominante</t>
        </is>
      </c>
      <c r="C21" s="57" t="inlineStr">
        <is>
          <t>La ficha DT declara «25-50% (Mod. escarpado) — pendiente promedio de gabinete 21.23° = 38.84%»; la estadística zonal sobre el MDE arroja una pendiente promedio de 21.23 %, que corresponde a la clase «15-25% (Fuert. inclinado)»</t>
        </is>
      </c>
      <c r="D21" s="57" t="inlineStr">
        <is>
          <t>NO SUSTANTIVA</t>
        </is>
      </c>
      <c r="E21"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8" t="inlineStr">
        <is>
          <t>H-02</t>
        </is>
      </c>
      <c r="B22" s="58" t="inlineStr">
        <is>
          <t>Rango altitudinal / piso ecológico</t>
        </is>
      </c>
      <c r="C22" s="58" t="inlineStr">
        <is>
          <t>La ficha DT declara «2000-2500 m (Quechua alta) — clase predominante por cota media; el polígono cruza los 2 000 m: lóbulos norte y noroeste entre 1 782 y 2 000 msnm (Quechua media) y lóbulo sur entre 2 000 y 2 307 msnm»; el MDE sitúa el bloque entre 1782 y 2307 msnm, cuyo punto medio corresponde a «2000-2500 m (Quechua alta)»</t>
        </is>
      </c>
      <c r="D22" s="58" t="inlineStr">
        <is>
          <t>NO SUSTANTIVA</t>
        </is>
      </c>
      <c r="E22" s="58" t="inlineStr">
        <is>
          <t>Se declara la divergencia. El bloque abarca más de un piso altitudinal cuando la amplitud supera el ancho de la clase; el registro de campo corresponde al sector recorrido. (Verificación heredada de la ficha de resumen V6.)</t>
        </is>
      </c>
    </row>
    <row r="23">
      <c r="A23" s="57" t="inlineStr">
        <is>
          <t>H-03</t>
        </is>
      </c>
      <c r="B23" s="57" t="inlineStr">
        <is>
          <t>Dimensiones del inventario de cárcavas</t>
        </is>
      </c>
      <c r="C23" s="57" t="inlineStr">
        <is>
          <t>Se registran 2 rasgos erosivos, pero longitud, profundidad y ancho no fueron medidos instrumentalmente</t>
        </is>
      </c>
      <c r="D23" s="57" t="inlineStr">
        <is>
          <t>NO SUSTANTIVA</t>
        </is>
      </c>
      <c r="E23" s="57" t="inlineStr">
        <is>
          <t>El conteo registrado no debe usarse para calcular densidad de cárcavas por hectárea. Pendiente de levantamiento con GPS submétrico. (Verificación heredada de la ficha de resumen V6.)</t>
        </is>
      </c>
    </row>
    <row r="24">
      <c r="A24" s="58" t="inlineStr">
        <is>
          <t>H-04</t>
        </is>
      </c>
      <c r="B24" s="58" t="inlineStr">
        <is>
          <t>Elenco florístico</t>
        </is>
      </c>
      <c r="C24" s="58" t="inlineStr">
        <is>
          <t>La ficha registra 9 taxones, por debajo del mínimo de 15 que exige el formato V5</t>
        </is>
      </c>
      <c r="D24" s="58" t="inlineStr">
        <is>
          <t>SUSTANTIVA</t>
        </is>
      </c>
      <c r="E24" s="58" t="inlineStr">
        <is>
          <t>Registro florístico preliminar, sin colecta ni determinación botánica formal. Debe cerrarse con colecta botánica en la siguiente campaña. (Verificación heredada de la ficha de resumen V6.)</t>
        </is>
      </c>
    </row>
    <row r="25">
      <c r="A25" s="57" t="inlineStr">
        <is>
          <t>H-05</t>
        </is>
      </c>
      <c r="B25" s="57" t="inlineStr">
        <is>
          <t>F-DT-01</t>
        </is>
      </c>
      <c r="C25" s="57" t="inlineStr">
        <is>
          <t>El rango altitudinal declarado (2000-2500 m) corresponde a la clase predominante por cota media; el polígono cruza los 2 000 m y sus lóbulos norte y noroeste están en piso Quechua media</t>
        </is>
      </c>
      <c r="D25" s="57" t="inlineStr">
        <is>
          <t>NO SUSTANTIVA</t>
        </is>
      </c>
      <c r="E25" s="57" t="inlineStr">
        <is>
          <t>Se declara el criterio de clasificación y el rango real 1 782 - 2 307 msnm (Verificación heredada de la ficha de resumen V6.)</t>
        </is>
      </c>
    </row>
    <row r="26">
      <c r="A26" s="58" t="inlineStr">
        <is>
          <t>H-06</t>
        </is>
      </c>
      <c r="B26" s="58" t="inlineStr">
        <is>
          <t>F-DT-02</t>
        </is>
      </c>
      <c r="C26" s="58" t="inlineStr">
        <is>
          <t>Inventario de cárcavas PARCIAL: sólo dos rasgos del borde norte; sin longitud, profundidad, ancho ni densidad</t>
        </is>
      </c>
      <c r="D26" s="58" t="inlineStr">
        <is>
          <t>SUSTANTIVA</t>
        </is>
      </c>
      <c r="E26" s="58" t="inlineStr">
        <is>
          <t>POR VERIFICAR; no se estiman valores. El interior y el lóbulo sur no fueron recorridos (Verificación heredada de la ficha de resumen V6.)</t>
        </is>
      </c>
    </row>
    <row r="27">
      <c r="A27" s="57" t="inlineStr">
        <is>
          <t>H-07</t>
        </is>
      </c>
      <c r="B27" s="57" t="inlineStr">
        <is>
          <t>F-DT-03</t>
        </is>
      </c>
      <c r="C27" s="57" t="inlineStr">
        <is>
          <t>Composición florística de 9 entradas frente al mínimo de 15; entradas 6 a 9 son morfoespecies no determinadas</t>
        </is>
      </c>
      <c r="D27" s="57" t="inlineStr">
        <is>
          <t>SUSTANTIVA</t>
        </is>
      </c>
      <c r="E27" s="57" t="inlineStr">
        <is>
          <t>No se asignan nombres científicos por inferencia; requiere colecta y herborización (Verificación heredada de la ficha de resumen V6.)</t>
        </is>
      </c>
    </row>
    <row r="28">
      <c r="A28" s="58" t="inlineStr">
        <is>
          <t>H-08</t>
        </is>
      </c>
      <c r="B28" s="58" t="inlineStr">
        <is>
          <t>F-DT-04</t>
        </is>
      </c>
      <c r="C28" s="58" t="inlineStr">
        <is>
          <t>Antigüedad de las causas no levantada; indicadores 5, 6 y 7 sin valor</t>
        </is>
      </c>
      <c r="D28" s="58" t="inlineStr">
        <is>
          <t>NO SUSTANTIVA</t>
        </is>
      </c>
      <c r="E28" s="58" t="inlineStr">
        <is>
          <t>POR VERIFICAR; no han sido estimados (Verificación heredada de la ficha de resumen V6.)</t>
        </is>
      </c>
    </row>
    <row r="29">
      <c r="A29" s="57" t="inlineStr">
        <is>
          <t>H-09</t>
        </is>
      </c>
      <c r="B29" s="57" t="inlineStr">
        <is>
          <t>F-DT-05</t>
        </is>
      </c>
      <c r="C29" s="57" t="inlineStr">
        <is>
          <t>Señal celular, operador y alojamiento dejados en blanco por no admitir sus listas la opción "Por verificar"</t>
        </is>
      </c>
      <c r="D29" s="57" t="inlineStr">
        <is>
          <t>NO SUSTANTIVA</t>
        </is>
      </c>
      <c r="E29" s="57" t="inlineStr">
        <is>
          <t>Se declara el vacío en lugar de estimar (Verificación heredada de la ficha de resumen V6.)</t>
        </is>
      </c>
    </row>
    <row r="31">
      <c r="A31" s="59" t="inlineStr">
        <is>
          <t>RESUMEN</t>
        </is>
      </c>
      <c r="B31" s="60" t="inlineStr">
        <is>
          <t>21 verificaciones</t>
        </is>
      </c>
      <c r="C31" s="60" t="inlineStr">
        <is>
          <t>SUSTANTIVA: 4 · NO SUSTANTIVA: 6 · CONFORME: 11</t>
        </is>
      </c>
    </row>
    <row r="33">
      <c r="A33"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M30B5</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655188</t>
        </is>
      </c>
      <c r="D13" s="57" t="inlineStr">
        <is>
          <t>m</t>
        </is>
      </c>
    </row>
    <row r="14">
      <c r="A14" s="58" t="inlineStr">
        <is>
          <t>1. Identificación y localización</t>
        </is>
      </c>
      <c r="B14" s="58" t="inlineStr">
        <is>
          <t>UTM NORTE del punto de muestreo (m)</t>
        </is>
      </c>
      <c r="C14" s="58" t="inlineStr">
        <is>
          <t>9427633</t>
        </is>
      </c>
      <c r="D14" s="58" t="inlineStr">
        <is>
          <t>m</t>
        </is>
      </c>
    </row>
    <row r="15">
      <c r="A15" s="57" t="inlineStr">
        <is>
          <t>2. Parámetros físicos del terreno</t>
        </is>
      </c>
      <c r="B15" s="57" t="inlineStr">
        <is>
          <t>Altitud GPS del punto de muestreo (msnm)</t>
        </is>
      </c>
      <c r="C15" s="57" t="inlineStr">
        <is>
          <t>1938</t>
        </is>
      </c>
      <c r="D15" s="57" t="inlineStr">
        <is>
          <t>msnm</t>
        </is>
      </c>
    </row>
    <row r="16">
      <c r="A16" s="58" t="inlineStr">
        <is>
          <t>2. Parámetros físicos del terreno</t>
        </is>
      </c>
      <c r="B16" s="58" t="inlineStr">
        <is>
          <t>Piso altitudinal del punto de muestreo</t>
        </is>
      </c>
      <c r="C16" s="58" t="inlineStr">
        <is>
          <t>2000-2500 m (Quechua alta)</t>
        </is>
      </c>
      <c r="D16" s="58" t="inlineStr"/>
    </row>
    <row r="17">
      <c r="A17" s="57" t="inlineStr">
        <is>
          <t>2. Parámetros físicos del terreno</t>
        </is>
      </c>
      <c r="B17" s="57" t="inlineStr">
        <is>
          <t>Paisaje dominante descrito en campo</t>
        </is>
      </c>
      <c r="C17" s="57" t="inlineStr">
        <is>
          <t>Laderas de montaña de vertiente occidental con cimas redondeadas y escarpes rocosos en la divisoria; mosaico de pastizales de pastoreo extensivo con parches relictos de matorral andino confinados a quebradas y bordes de cárcava. Terracetas de pisoteo generalizadas en toda la ladera; cicatrices de deslizamientos superficiales de escala métrica en los tramos de mayor pendiente.</t>
        </is>
      </c>
      <c r="D17" s="57" t="inlineStr"/>
    </row>
    <row r="18">
      <c r="A18" s="58" t="inlineStr">
        <is>
          <t>2. Parámetros físicos del terreno</t>
        </is>
      </c>
      <c r="B18" s="58" t="inlineStr">
        <is>
          <t>Reptación de suelo</t>
        </is>
      </c>
      <c r="C18" s="58" t="inlineStr">
        <is>
          <t>Sí</t>
        </is>
      </c>
      <c r="D18" s="58" t="inlineStr"/>
    </row>
    <row r="19">
      <c r="A19" s="57" t="inlineStr">
        <is>
          <t>2. Parámetros físicos del terreno</t>
        </is>
      </c>
      <c r="B19" s="57" t="inlineStr">
        <is>
          <t>Deslizamientos antiguos</t>
        </is>
      </c>
      <c r="C19" s="57" t="inlineStr">
        <is>
          <t>Sí</t>
        </is>
      </c>
      <c r="D19" s="57" t="inlineStr"/>
    </row>
    <row r="20">
      <c r="A20" s="58" t="inlineStr">
        <is>
          <t>4. Suelos y erosión (F-DT-02)</t>
        </is>
      </c>
      <c r="B20" s="58" t="inlineStr">
        <is>
          <t>Nivel de erosión - síntesis de campo</t>
        </is>
      </c>
      <c r="C20" s="58" t="inlineStr">
        <is>
          <t>Fuerte (cárcavas incipientes)</t>
        </is>
      </c>
      <c r="D20" s="58" t="inlineStr"/>
    </row>
    <row r="21">
      <c r="A21" s="57" t="inlineStr">
        <is>
          <t>4. Suelos y erosión (F-DT-02)</t>
        </is>
      </c>
      <c r="B21" s="57" t="inlineStr">
        <is>
          <t>Sellamiento / costra superficial</t>
        </is>
      </c>
      <c r="C21" s="57" t="inlineStr">
        <is>
          <t>Sí</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Sí</t>
        </is>
      </c>
      <c r="D23" s="57" t="inlineStr"/>
    </row>
    <row r="24">
      <c r="A24" s="58" t="inlineStr">
        <is>
          <t>4. Suelos y erosión (F-DT-02)</t>
        </is>
      </c>
      <c r="B24" s="58" t="inlineStr">
        <is>
          <t>Erosión laminar (% del bloque)</t>
        </is>
      </c>
      <c r="C24" s="58" t="inlineStr">
        <is>
          <t>60</t>
        </is>
      </c>
      <c r="D24" s="58" t="inlineStr">
        <is>
          <t>%</t>
        </is>
      </c>
    </row>
    <row r="25">
      <c r="A25" s="57" t="inlineStr">
        <is>
          <t>4. Suelos y erosión (F-DT-02)</t>
        </is>
      </c>
      <c r="B25" s="57" t="inlineStr">
        <is>
          <t>Patrón de cárcavas</t>
        </is>
      </c>
      <c r="C25" s="57" t="inlineStr">
        <is>
          <t>Lineal</t>
        </is>
      </c>
      <c r="D25" s="57" t="inlineStr"/>
    </row>
    <row r="26">
      <c r="A26" s="58" t="inlineStr">
        <is>
          <t>4. Suelos y erosión (F-DT-02)</t>
        </is>
      </c>
      <c r="B26" s="58" t="inlineStr">
        <is>
          <t>Socavamiento de cauce</t>
        </is>
      </c>
      <c r="C26" s="58" t="inlineStr">
        <is>
          <t>Sí</t>
        </is>
      </c>
      <c r="D26" s="58" t="inlineStr"/>
    </row>
    <row r="27">
      <c r="A27" s="57" t="inlineStr">
        <is>
          <t>5. Ecosistema, cobertura y flora (F-DT-03)</t>
        </is>
      </c>
      <c r="B27" s="57" t="inlineStr">
        <is>
          <t>Cobertura del dosel (%)</t>
        </is>
      </c>
      <c r="C27" s="57" t="inlineStr">
        <is>
          <t>3</t>
        </is>
      </c>
      <c r="D27" s="57" t="inlineStr">
        <is>
          <t>%</t>
        </is>
      </c>
    </row>
    <row r="28">
      <c r="A28" s="58" t="inlineStr">
        <is>
          <t>5. Ecosistema, cobertura y flora (F-DT-03)</t>
        </is>
      </c>
      <c r="B28" s="58" t="inlineStr">
        <is>
          <t>Cobertura arbustiva (%)</t>
        </is>
      </c>
      <c r="C28" s="58" t="inlineStr">
        <is>
          <t>15</t>
        </is>
      </c>
      <c r="D28" s="58" t="inlineStr">
        <is>
          <t>%</t>
        </is>
      </c>
    </row>
    <row r="29">
      <c r="A29" s="57" t="inlineStr">
        <is>
          <t>5. Ecosistema, cobertura y flora (F-DT-03)</t>
        </is>
      </c>
      <c r="B29" s="57" t="inlineStr">
        <is>
          <t>Cobertura herbácea (%)</t>
        </is>
      </c>
      <c r="C29" s="57" t="inlineStr">
        <is>
          <t>70</t>
        </is>
      </c>
      <c r="D29" s="57" t="inlineStr">
        <is>
          <t>%</t>
        </is>
      </c>
    </row>
    <row r="30">
      <c r="A30" s="58" t="inlineStr">
        <is>
          <t>5. Ecosistema, cobertura y flora (F-DT-03)</t>
        </is>
      </c>
      <c r="B30" s="58" t="inlineStr">
        <is>
          <t>Cobertura de hojarasca (%)</t>
        </is>
      </c>
      <c r="C30" s="58" t="inlineStr">
        <is>
          <t>2</t>
        </is>
      </c>
      <c r="D30" s="58" t="inlineStr">
        <is>
          <t>%</t>
        </is>
      </c>
    </row>
    <row r="31">
      <c r="A31" s="57" t="inlineStr">
        <is>
          <t>5. Ecosistema, cobertura y flora (F-DT-03)</t>
        </is>
      </c>
      <c r="B31" s="57" t="inlineStr">
        <is>
          <t>Altura del estrato dominante (m)</t>
        </is>
      </c>
      <c r="C31" s="57" t="inlineStr">
        <is>
          <t>0.3</t>
        </is>
      </c>
      <c r="D31" s="57" t="inlineStr">
        <is>
          <t>m</t>
        </is>
      </c>
    </row>
    <row r="32">
      <c r="A32" s="58" t="inlineStr">
        <is>
          <t>5. Ecosistema, cobertura y flora (F-DT-03)</t>
        </is>
      </c>
      <c r="B32" s="58" t="inlineStr">
        <is>
          <t>Altura máxima registrada (m)</t>
        </is>
      </c>
      <c r="C32" s="58" t="inlineStr">
        <is>
          <t>6</t>
        </is>
      </c>
      <c r="D32" s="58" t="inlineStr">
        <is>
          <t>m</t>
        </is>
      </c>
    </row>
    <row r="33">
      <c r="A33" s="57" t="inlineStr">
        <is>
          <t>5. Ecosistema, cobertura y flora (F-DT-03)</t>
        </is>
      </c>
      <c r="B33" s="57" t="inlineStr">
        <is>
          <t>Presencia de epífitas</t>
        </is>
      </c>
      <c r="C33" s="57" t="inlineStr">
        <is>
          <t>Sí</t>
        </is>
      </c>
      <c r="D33" s="57" t="inlineStr"/>
    </row>
    <row r="34">
      <c r="A34" s="58" t="inlineStr">
        <is>
          <t>5. Ecosistema, cobertura y flora (F-DT-03)</t>
        </is>
      </c>
      <c r="B34" s="58" t="inlineStr">
        <is>
          <t>Fenología dominante</t>
        </is>
      </c>
      <c r="C34" s="58" t="inlineStr">
        <is>
          <t>Latencia / Estrés hídrico</t>
        </is>
      </c>
      <c r="D34" s="58" t="inlineStr"/>
    </row>
    <row r="35">
      <c r="A35" s="57" t="inlineStr">
        <is>
          <t>5. Ecosistema, cobertura y flora (F-DT-03)</t>
        </is>
      </c>
      <c r="B35" s="57" t="inlineStr">
        <is>
          <t>Dimensiones de la parcela (m)</t>
        </is>
      </c>
      <c r="C35" s="57" t="inlineStr">
        <is>
          <t>No aplica — recorrido de transecto</t>
        </is>
      </c>
      <c r="D35" s="57" t="inlineStr"/>
    </row>
    <row r="36">
      <c r="A36" s="58" t="inlineStr">
        <is>
          <t>5. Ecosistema, cobertura y flora (F-DT-03)</t>
        </is>
      </c>
      <c r="B36" s="58" t="inlineStr">
        <is>
          <t>Pendiente de la parcela (%)</t>
        </is>
      </c>
      <c r="C36" s="58" t="inlineStr">
        <is>
          <t>38.8</t>
        </is>
      </c>
      <c r="D36" s="58" t="inlineStr">
        <is>
          <t>%</t>
        </is>
      </c>
    </row>
    <row r="37">
      <c r="A37" s="57" t="inlineStr">
        <is>
          <t>5. Ecosistema, cobertura y flora (F-DT-03)</t>
        </is>
      </c>
      <c r="B37" s="57" t="inlineStr">
        <is>
          <t>Especies clave georreferenciadas</t>
        </is>
      </c>
      <c r="C37" s="57" t="inlineStr">
        <is>
          <t>3</t>
        </is>
      </c>
      <c r="D37" s="57" t="inlineStr"/>
    </row>
    <row r="38">
      <c r="A38" s="58" t="inlineStr">
        <is>
          <t>6. Degradación, causas y urgencia (F-DT-04)</t>
        </is>
      </c>
      <c r="B38" s="58" t="inlineStr">
        <is>
          <t>Causas directas de la degradación</t>
        </is>
      </c>
      <c r="C38" s="58" t="inlineStr">
        <is>
          <t>(i) Sobrepastoreo vacuno sin manejo de praderas, que mantiene terracetas de pisoteo, compactación y reptación superficial generalizadas; (ii) conversión histórica del matorral andino a pastizal y áreas agrícolas (82 % del bloque); (iii) tala selectiva de leñosas para leña y postes, que impide la reconstitución del estrato arbóreo; (iv) concentración de escorrentía en huellas de ganado y caminos, que alimenta el carcavamiento remontante.</t>
        </is>
      </c>
      <c r="D38" s="58" t="inlineStr"/>
    </row>
    <row r="39">
      <c r="A39" s="57" t="inlineStr">
        <is>
          <t>6. Degradación, causas y urgencia (F-DT-04)</t>
        </is>
      </c>
      <c r="B39" s="57" t="inlineStr">
        <is>
          <t>N.° de causas activas en la matriz F-DT-04</t>
        </is>
      </c>
      <c r="C39" s="57" t="inlineStr">
        <is>
          <t>8</t>
        </is>
      </c>
      <c r="D39" s="57" t="inlineStr"/>
    </row>
    <row r="40">
      <c r="A40" s="58" t="inlineStr">
        <is>
          <t>7. Hidrología, acceso y logística (F-DT-05)</t>
        </is>
      </c>
      <c r="B40" s="58" t="inlineStr">
        <is>
          <t>Escorrentía concentrada</t>
        </is>
      </c>
      <c r="C40" s="58" t="inlineStr">
        <is>
          <t>Sí</t>
        </is>
      </c>
      <c r="D40" s="58" t="inlineStr"/>
    </row>
    <row r="41">
      <c r="A41" s="57" t="inlineStr">
        <is>
          <t>7. Hidrología, acceso y logística (F-DT-05)</t>
        </is>
      </c>
      <c r="B41" s="57" t="inlineStr">
        <is>
          <t>Fuentes de agua inventariadas</t>
        </is>
      </c>
      <c r="C41" s="57" t="inlineStr">
        <is>
          <t>2</t>
        </is>
      </c>
      <c r="D41" s="57" t="inlineStr"/>
    </row>
    <row r="42">
      <c r="A42" s="58" t="inlineStr">
        <is>
          <t>7. Hidrología, acceso y logística (F-DT-05)</t>
        </is>
      </c>
      <c r="B42" s="58" t="inlineStr">
        <is>
          <t>Interferencia con riego</t>
        </is>
      </c>
      <c r="C42" s="58" t="inlineStr">
        <is>
          <t>No</t>
        </is>
      </c>
      <c r="D42" s="58" t="inlineStr"/>
    </row>
    <row r="43">
      <c r="A43" s="57" t="inlineStr">
        <is>
          <t>7. Hidrología, acceso y logística (F-DT-05)</t>
        </is>
      </c>
      <c r="B43" s="57" t="inlineStr">
        <is>
          <t>Vía principal de acceso</t>
        </is>
      </c>
      <c r="C43" s="57" t="inlineStr">
        <is>
          <t>Vía vecinal Huancabamba – Pariamarca (denominación oficial MTC por confirmar); la vía atraviesa el sector norte del bloque</t>
        </is>
      </c>
      <c r="D43" s="57" t="inlineStr"/>
    </row>
    <row r="44">
      <c r="A44" s="58" t="inlineStr">
        <is>
          <t>7. Hidrología, acceso y logística (F-DT-05)</t>
        </is>
      </c>
      <c r="B44" s="58" t="inlineStr">
        <is>
          <t>Tipo de vía del tramo final</t>
        </is>
      </c>
      <c r="C44" s="58" t="inlineStr">
        <is>
          <t>Trocha carrozable</t>
        </is>
      </c>
      <c r="D44" s="58" t="inlineStr"/>
    </row>
    <row r="45">
      <c r="A45" s="57" t="inlineStr">
        <is>
          <t>7. Hidrología, acceso y logística (F-DT-05)</t>
        </is>
      </c>
      <c r="B45" s="57" t="inlineStr">
        <is>
          <t>Transitabilidad en época seca</t>
        </is>
      </c>
      <c r="C45" s="57" t="inlineStr">
        <is>
          <t>Alto</t>
        </is>
      </c>
      <c r="D45" s="57" t="inlineStr"/>
    </row>
    <row r="46">
      <c r="A46" s="58" t="inlineStr">
        <is>
          <t>7. Hidrología, acceso y logística (F-DT-05)</t>
        </is>
      </c>
      <c r="B46" s="58" t="inlineStr">
        <is>
          <t>Transitabilidad en época lluviosa</t>
        </is>
      </c>
      <c r="C46" s="58" t="inlineStr">
        <is>
          <t>Bajo</t>
        </is>
      </c>
      <c r="D46" s="58" t="inlineStr"/>
    </row>
    <row r="47">
      <c r="A47" s="57" t="inlineStr">
        <is>
          <t>7. Hidrología, acceso y logística (F-DT-05)</t>
        </is>
      </c>
      <c r="B47" s="57" t="inlineStr">
        <is>
          <t>Requiere coordinación con ronda / comunidad</t>
        </is>
      </c>
      <c r="C47" s="57" t="inlineStr">
        <is>
          <t>Sí</t>
        </is>
      </c>
      <c r="D47" s="57" t="inlineStr"/>
    </row>
    <row r="49">
      <c r="A49" s="55" t="inlineStr">
        <is>
          <t>C. PROCEDENCIA DE LOS HECHOS DECLARADOS</t>
        </is>
      </c>
    </row>
    <row r="50">
      <c r="A50" s="56" t="inlineStr">
        <is>
          <t>Fuente</t>
        </is>
      </c>
      <c r="B50" s="56" t="inlineStr">
        <is>
          <t>Hechos</t>
        </is>
      </c>
      <c r="C50" s="56" t="inlineStr">
        <is>
          <t>Alcance de la fuente</t>
        </is>
      </c>
    </row>
    <row r="51">
      <c r="A51" s="57" t="inlineStr">
        <is>
          <t>Dato de campo</t>
        </is>
      </c>
      <c r="B51" s="57" t="n">
        <v>65</v>
      </c>
      <c r="C51" s="57" t="inlineStr">
        <is>
          <t>Verificación en campo. Fichas F-DT-01 a F-DT-05 de la Plantilla DT Campo Check Validada V5, suscritas por el evaluador.</t>
        </is>
      </c>
    </row>
    <row r="52">
      <c r="A52" s="58" t="inlineStr">
        <is>
          <t>Gabinete (GIS / teledetección)</t>
        </is>
      </c>
      <c r="B52" s="58" t="n">
        <v>23</v>
      </c>
      <c r="C52" s="58" t="inlineStr">
        <is>
          <t>Gabinete. Estadística zonal sobre el MDE y compuestos Sentinel-2 (NDVI mediana 2025, MSAVI 2024 por clase DN).</t>
        </is>
      </c>
    </row>
    <row r="53">
      <c r="A53" s="57" t="inlineStr">
        <is>
          <t>Fuente oficial</t>
        </is>
      </c>
      <c r="B53" s="57" t="n">
        <v>14</v>
      </c>
      <c r="C53" s="57" t="inlineStr">
        <is>
          <t>Fuente oficial. Catálogo maestro Bloques V5/V6, división política INEI y codificación de microcuencas de la ANA.</t>
        </is>
      </c>
    </row>
    <row r="55">
      <c r="A55" s="55" t="inlineStr">
        <is>
          <t>D. ESTADO DEL CRUCE ENTRE FUENTES</t>
        </is>
      </c>
    </row>
    <row r="56">
      <c r="A56" s="56" t="inlineStr">
        <is>
          <t>Estado</t>
        </is>
      </c>
      <c r="B56" s="56" t="inlineStr">
        <is>
          <t>Hechos</t>
        </is>
      </c>
      <c r="C56" s="56" t="inlineStr">
        <is>
          <t>Significado</t>
        </is>
      </c>
    </row>
    <row r="57">
      <c r="A57" s="57" t="inlineStr">
        <is>
          <t>CONFORME</t>
        </is>
      </c>
      <c r="B57" s="57" t="n">
        <v>101</v>
      </c>
      <c r="C57" s="57" t="inlineStr">
        <is>
          <t>Las dos fuentes declaran lo mismo, o solo la fuente que manda sobre el hecho lo declara.</t>
        </is>
      </c>
    </row>
    <row r="58">
      <c r="A58" s="58" t="inlineStr">
        <is>
          <t>COMPLEMENTADO</t>
        </is>
      </c>
      <c r="B58" s="58" t="n">
        <v>1</v>
      </c>
      <c r="C58" s="58" t="inlineStr">
        <is>
          <t>Solo una de las fuentes lo declara y se adopta ese valor.</t>
        </is>
      </c>
    </row>
    <row r="59">
      <c r="A59" s="57" t="inlineStr">
        <is>
          <t>ACTUALIZADO</t>
        </is>
      </c>
      <c r="B59" s="57" t="n">
        <v>0</v>
      </c>
      <c r="C59" s="57" t="inlineStr">
        <is>
          <t>La verificación de campo vigente corrige lo que traía el libro de resumen.</t>
        </is>
      </c>
    </row>
    <row r="60">
      <c r="A60" s="58" t="inlineStr">
        <is>
          <t>DISCREPANTE</t>
        </is>
      </c>
      <c r="B60" s="58" t="n">
        <v>0</v>
      </c>
      <c r="C60" s="58" t="inlineStr">
        <is>
          <t>Las fuentes se contradicen; prevalece la que manda sobre el hecho y la otra queda declarada.</t>
        </is>
      </c>
    </row>
    <row r="61">
      <c r="A61" s="57" t="inlineStr">
        <is>
          <t>PENDIENTE</t>
        </is>
      </c>
      <c r="B61" s="57" t="n">
        <v>12</v>
      </c>
      <c r="C61"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M30B5</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Cárcava somera (0.5-2 m)</t>
        </is>
      </c>
      <c r="C9" s="62" t="n">
        <v>655142</v>
      </c>
      <c r="D9" s="62" t="n">
        <v>9427609</v>
      </c>
      <c r="E9" s="57" t="n"/>
      <c r="F9" s="57" t="n"/>
      <c r="G9" s="57" t="n"/>
      <c r="H9" s="57" t="inlineStr">
        <is>
          <t>Activa</t>
        </is>
      </c>
      <c r="I9" s="57" t="inlineStr">
        <is>
          <t>Sobrepastoreo</t>
        </is>
      </c>
    </row>
    <row r="10">
      <c r="A10" s="58" t="inlineStr">
        <is>
          <t>C-02</t>
        </is>
      </c>
      <c r="B10" s="58" t="inlineStr">
        <is>
          <t>Cárcava somera (0.5-2 m)</t>
        </is>
      </c>
      <c r="C10" s="63" t="n">
        <v>655109</v>
      </c>
      <c r="D10" s="63" t="n">
        <v>9427610</v>
      </c>
      <c r="E10" s="58" t="n"/>
      <c r="F10" s="58" t="n"/>
      <c r="G10" s="58" t="n"/>
      <c r="H10" s="58" t="inlineStr">
        <is>
          <t>Activa</t>
        </is>
      </c>
      <c r="I10" s="58" t="inlineStr">
        <is>
          <t>Concentración natural de escorrentía</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Sauce</t>
        </is>
      </c>
      <c r="C14" s="57" t="inlineStr">
        <is>
          <t>Salix humboldtiana</t>
        </is>
      </c>
      <c r="D14" s="57" t="inlineStr">
        <is>
          <t>Salicaceae</t>
        </is>
      </c>
      <c r="E14" s="57" t="inlineStr">
        <is>
          <t>Arbóreo bajo (4-8 m)</t>
        </is>
      </c>
      <c r="F14" s="57" t="inlineStr">
        <is>
          <t>Nativa</t>
        </is>
      </c>
      <c r="G14" s="57" t="inlineStr">
        <is>
          <t>Ocasional (1-5%)</t>
        </is>
      </c>
      <c r="H14" s="57" t="n"/>
      <c r="I14" s="64" t="n">
        <v>5</v>
      </c>
    </row>
    <row r="15">
      <c r="A15" s="58" t="inlineStr">
        <is>
          <t>2</t>
        </is>
      </c>
      <c r="B15" s="58" t="inlineStr">
        <is>
          <t>Eucalipto</t>
        </is>
      </c>
      <c r="C15" s="58" t="inlineStr">
        <is>
          <t>Eucalyptus globulus</t>
        </is>
      </c>
      <c r="D15" s="58" t="inlineStr">
        <is>
          <t>Myrtaceae</t>
        </is>
      </c>
      <c r="E15" s="58" t="inlineStr">
        <is>
          <t>Arbóreo medio (8-15 m)</t>
        </is>
      </c>
      <c r="F15" s="58" t="inlineStr">
        <is>
          <t>Introducida</t>
        </is>
      </c>
      <c r="G15" s="58" t="inlineStr">
        <is>
          <t>Rara (&lt;1%)</t>
        </is>
      </c>
      <c r="H15" s="58" t="n"/>
      <c r="I15" s="63" t="n">
        <v>10</v>
      </c>
    </row>
    <row r="16">
      <c r="A16" s="57" t="inlineStr">
        <is>
          <t>3</t>
        </is>
      </c>
      <c r="B16" s="57" t="inlineStr">
        <is>
          <t>Chilca</t>
        </is>
      </c>
      <c r="C16" s="57" t="inlineStr">
        <is>
          <t>Baccharis sp.</t>
        </is>
      </c>
      <c r="D16" s="57" t="inlineStr">
        <is>
          <t>Asteraceae</t>
        </is>
      </c>
      <c r="E16" s="57" t="inlineStr">
        <is>
          <t>Arbustivo alto (1.5-4 m)</t>
        </is>
      </c>
      <c r="F16" s="57" t="inlineStr">
        <is>
          <t>Nativa</t>
        </is>
      </c>
      <c r="G16" s="57" t="inlineStr">
        <is>
          <t>Frecuente (5-20%)</t>
        </is>
      </c>
      <c r="H16" s="57" t="n"/>
      <c r="I16" s="64" t="n">
        <v>2</v>
      </c>
    </row>
    <row r="17">
      <c r="A17" s="58" t="inlineStr">
        <is>
          <t>4</t>
        </is>
      </c>
      <c r="B17" s="58" t="inlineStr">
        <is>
          <t>Pastos nativos (varias sp.)</t>
        </is>
      </c>
      <c r="C17" s="58" t="inlineStr">
        <is>
          <t>Poaceae — por identificar</t>
        </is>
      </c>
      <c r="D17" s="58" t="inlineStr">
        <is>
          <t>Poaceae</t>
        </is>
      </c>
      <c r="E17" s="58" t="inlineStr">
        <is>
          <t>Herbáceo (&lt;0.5 m)</t>
        </is>
      </c>
      <c r="F17" s="58" t="inlineStr">
        <is>
          <t>Nativa</t>
        </is>
      </c>
      <c r="G17" s="58" t="inlineStr">
        <is>
          <t>Dominante (&gt;40%)</t>
        </is>
      </c>
      <c r="H17" s="58" t="n"/>
      <c r="I17" s="65" t="n">
        <v>0.3</v>
      </c>
    </row>
    <row r="18">
      <c r="A18" s="57" t="inlineStr">
        <is>
          <t>5</t>
        </is>
      </c>
      <c r="B18" s="57" t="inlineStr">
        <is>
          <t>Pastos cultivados (varias sp.)</t>
        </is>
      </c>
      <c r="C18" s="57" t="inlineStr">
        <is>
          <t>Poaceae — por identificar</t>
        </is>
      </c>
      <c r="D18" s="57" t="inlineStr">
        <is>
          <t>Poaceae</t>
        </is>
      </c>
      <c r="E18" s="57" t="inlineStr">
        <is>
          <t>Herbáceo (&lt;0.5 m)</t>
        </is>
      </c>
      <c r="F18" s="57" t="inlineStr">
        <is>
          <t>Introducida</t>
        </is>
      </c>
      <c r="G18" s="57" t="inlineStr">
        <is>
          <t>Abundante (20-40%)</t>
        </is>
      </c>
      <c r="H18" s="57" t="n"/>
      <c r="I18" s="64" t="n">
        <v>0.3</v>
      </c>
    </row>
    <row r="19">
      <c r="A19" s="58" t="inlineStr">
        <is>
          <t>6</t>
        </is>
      </c>
      <c r="B19" s="58" t="inlineStr">
        <is>
          <t>Lanche (nombre local, cf.)</t>
        </is>
      </c>
      <c r="C19" s="58" t="inlineStr">
        <is>
          <t>Myrcianthes sp. — por confirmar</t>
        </is>
      </c>
      <c r="D19" s="58" t="inlineStr">
        <is>
          <t>Myrtaceae</t>
        </is>
      </c>
      <c r="E19" s="58" t="inlineStr">
        <is>
          <t>Arbóreo bajo (4-8 m)</t>
        </is>
      </c>
      <c r="F19" s="58" t="inlineStr">
        <is>
          <t>Nativa</t>
        </is>
      </c>
      <c r="G19" s="58" t="inlineStr">
        <is>
          <t>Ocasional (1-5%)</t>
        </is>
      </c>
      <c r="H19" s="58" t="n"/>
      <c r="I19" s="65" t="n">
        <v>5</v>
      </c>
    </row>
    <row r="20">
      <c r="A20" s="57" t="inlineStr">
        <is>
          <t>7</t>
        </is>
      </c>
      <c r="B20" s="57" t="inlineStr">
        <is>
          <t>Achupalla / bromelia</t>
        </is>
      </c>
      <c r="C20" s="57" t="inlineStr">
        <is>
          <t>Bromeliaceae — por identificar</t>
        </is>
      </c>
      <c r="D20" s="57" t="inlineStr">
        <is>
          <t>Bromeliaceae</t>
        </is>
      </c>
      <c r="E20" s="57" t="inlineStr">
        <is>
          <t>Epífito</t>
        </is>
      </c>
      <c r="F20" s="57" t="inlineStr">
        <is>
          <t>Nativa</t>
        </is>
      </c>
      <c r="G20" s="57" t="inlineStr">
        <is>
          <t>Ocasional (1-5%)</t>
        </is>
      </c>
      <c r="H20" s="57" t="n"/>
      <c r="I20" s="57" t="n"/>
    </row>
    <row r="21">
      <c r="A21" s="58" t="inlineStr">
        <is>
          <t>8</t>
        </is>
      </c>
      <c r="B21" s="58" t="inlineStr">
        <is>
          <t>Morfoespecie arbustiva A (flor amarilla)</t>
        </is>
      </c>
      <c r="C21" s="58" t="inlineStr">
        <is>
          <t>Por identificar</t>
        </is>
      </c>
      <c r="D21" s="58" t="inlineStr">
        <is>
          <t>Por confirmar</t>
        </is>
      </c>
      <c r="E21" s="58" t="inlineStr">
        <is>
          <t>Arbustivo alto (1.5-4 m)</t>
        </is>
      </c>
      <c r="F21" s="58" t="inlineStr">
        <is>
          <t>Nativa</t>
        </is>
      </c>
      <c r="G21" s="58" t="inlineStr">
        <is>
          <t>Frecuente (5-20%)</t>
        </is>
      </c>
      <c r="H21" s="58" t="n"/>
      <c r="I21" s="65" t="n">
        <v>2.5</v>
      </c>
    </row>
    <row r="22">
      <c r="A22" s="57" t="inlineStr">
        <is>
          <t>9</t>
        </is>
      </c>
      <c r="B22" s="57" t="inlineStr">
        <is>
          <t>Morfoespecie arbustiva B (hoja coriácea)</t>
        </is>
      </c>
      <c r="C22" s="57" t="inlineStr">
        <is>
          <t>Por identificar</t>
        </is>
      </c>
      <c r="D22" s="57" t="inlineStr">
        <is>
          <t>Por confirmar</t>
        </is>
      </c>
      <c r="E22" s="57" t="inlineStr">
        <is>
          <t>Arbustivo bajo (0.5-1.5 m)</t>
        </is>
      </c>
      <c r="F22" s="57" t="inlineStr">
        <is>
          <t>Nativa</t>
        </is>
      </c>
      <c r="G22" s="57" t="inlineStr">
        <is>
          <t>Frecuente (5-20%)</t>
        </is>
      </c>
      <c r="H22" s="57" t="n"/>
      <c r="I22" s="64" t="n">
        <v>1.2</v>
      </c>
    </row>
    <row r="24">
      <c r="A24" s="55" t="inlineStr">
        <is>
          <t>F-DT-03 · ESPECIES CLAVE GEORREFERENCIADAS</t>
        </is>
      </c>
    </row>
    <row r="25">
      <c r="A25" s="56" t="inlineStr">
        <is>
          <t>N.o</t>
        </is>
      </c>
      <c r="B25" s="56" t="inlineStr">
        <is>
          <t>Especie</t>
        </is>
      </c>
      <c r="C25" s="56" t="inlineStr">
        <is>
          <t>Categoría</t>
        </is>
      </c>
      <c r="D25" s="56" t="inlineStr">
        <is>
          <t>Estado UICN</t>
        </is>
      </c>
      <c r="E25" s="56" t="inlineStr">
        <is>
          <t>UTM ESTE</t>
        </is>
      </c>
      <c r="F25" s="56" t="inlineStr">
        <is>
          <t>UTM NORTE</t>
        </is>
      </c>
      <c r="G25" s="56" t="inlineStr">
        <is>
          <t>N.° individuos</t>
        </is>
      </c>
      <c r="H25" s="56" t="inlineStr">
        <is>
          <t>Observación</t>
        </is>
      </c>
    </row>
    <row r="26">
      <c r="A26" s="57" t="inlineStr">
        <is>
          <t>1</t>
        </is>
      </c>
      <c r="B26" s="57" t="inlineStr">
        <is>
          <t>Salix humboldtiana (Sauce)</t>
        </is>
      </c>
      <c r="C26" s="57" t="inlineStr">
        <is>
          <t>Indicadora de buen estado</t>
        </is>
      </c>
      <c r="D26" s="57" t="inlineStr">
        <is>
          <t>NE — No Evaluado</t>
        </is>
      </c>
      <c r="E26" s="62" t="n">
        <v>655152</v>
      </c>
      <c r="F26" s="62" t="n">
        <v>9427615</v>
      </c>
      <c r="G26" s="64" t="n">
        <v>1</v>
      </c>
      <c r="H26" s="57" t="inlineStr">
        <is>
          <t>Individuo rebrotado desde tocón cortado, en borde de quebrada; indica humedad edáfica y presión de tala</t>
        </is>
      </c>
    </row>
    <row r="27">
      <c r="A27" s="58" t="inlineStr">
        <is>
          <t>2</t>
        </is>
      </c>
      <c r="B27" s="58" t="inlineStr">
        <is>
          <t>Baccharis sp. (Chilca)</t>
        </is>
      </c>
      <c r="C27" s="58" t="inlineStr">
        <is>
          <t>Indicadora de perturbación</t>
        </is>
      </c>
      <c r="D27" s="58" t="inlineStr">
        <is>
          <t>No aplica</t>
        </is>
      </c>
      <c r="E27" s="63" t="n">
        <v>655142</v>
      </c>
      <c r="F27" s="63" t="n">
        <v>9427609</v>
      </c>
      <c r="G27" s="58" t="n"/>
      <c r="H27" s="58" t="inlineStr">
        <is>
          <t>Colonizadora de taludes y bordes de cárcava; indicador de suelo removido</t>
        </is>
      </c>
    </row>
    <row r="28">
      <c r="A28" s="57" t="inlineStr">
        <is>
          <t>3</t>
        </is>
      </c>
      <c r="B28" s="57" t="inlineStr">
        <is>
          <t>Eucalyptus globulus (Eucalipto)</t>
        </is>
      </c>
      <c r="C28" s="57" t="inlineStr">
        <is>
          <t>Indicadora de perturbación</t>
        </is>
      </c>
      <c r="D28" s="57" t="inlineStr">
        <is>
          <t>No aplica</t>
        </is>
      </c>
      <c r="E28" s="57" t="n"/>
      <c r="F28" s="57" t="n"/>
      <c r="G28" s="57" t="n"/>
      <c r="H28" s="57" t="inlineStr">
        <is>
          <t>Especie introducida reportada por la brigada en linderos y proximidades; coordenada por verificar</t>
        </is>
      </c>
    </row>
    <row r="30">
      <c r="A30" s="55" t="inlineStr">
        <is>
          <t>F-DT-04 · MATRIZ DE CAUSAS DE DEGRADACIÓN</t>
        </is>
      </c>
    </row>
    <row r="31">
      <c r="A31" s="56" t="inlineStr">
        <is>
          <t>N.o</t>
        </is>
      </c>
      <c r="B31" s="56" t="inlineStr">
        <is>
          <t>Causa</t>
        </is>
      </c>
      <c r="C31" s="56" t="inlineStr">
        <is>
          <t>Presencia</t>
        </is>
      </c>
      <c r="D31" s="56" t="inlineStr">
        <is>
          <t>Intensidad</t>
        </is>
      </c>
      <c r="E31" s="56" t="inlineStr">
        <is>
          <t>Extensión</t>
        </is>
      </c>
      <c r="F31" s="56" t="inlineStr">
        <is>
          <t>Antigüedad</t>
        </is>
      </c>
      <c r="G31" s="56" t="inlineStr">
        <is>
          <t>Evidencia</t>
        </is>
      </c>
    </row>
    <row r="32">
      <c r="A32" s="57" t="inlineStr">
        <is>
          <t>1</t>
        </is>
      </c>
      <c r="B32" s="57" t="inlineStr">
        <is>
          <t>Sobrepastoreo (caprino/vacuno)</t>
        </is>
      </c>
      <c r="C32" s="57" t="inlineStr">
        <is>
          <t>Sí</t>
        </is>
      </c>
      <c r="D32" s="57" t="inlineStr">
        <is>
          <t>Fuerte</t>
        </is>
      </c>
      <c r="E32" s="57" t="inlineStr">
        <is>
          <t>80</t>
        </is>
      </c>
      <c r="F32" s="57" t="inlineStr"/>
      <c r="G32" s="57" t="inlineStr">
        <is>
          <t>Terracetas de pisoteo continuas en toda la ladera; ganado vacuno en pastoreo; potreros con cercos de alambre</t>
        </is>
      </c>
    </row>
    <row r="33">
      <c r="A33" s="58" t="inlineStr">
        <is>
          <t>2</t>
        </is>
      </c>
      <c r="B33" s="58" t="inlineStr">
        <is>
          <t>Tala para leña</t>
        </is>
      </c>
      <c r="C33" s="58" t="inlineStr">
        <is>
          <t>Sí</t>
        </is>
      </c>
      <c r="D33" s="58" t="inlineStr">
        <is>
          <t>Moderada</t>
        </is>
      </c>
      <c r="E33" s="58" t="inlineStr"/>
      <c r="F33" s="58" t="inlineStr"/>
      <c r="G33" s="58" t="inlineStr">
        <is>
          <t>Tocones cortados con rebrote en bordes de quebrada y cárcava (Fotos 04 y 05)</t>
        </is>
      </c>
    </row>
    <row r="34">
      <c r="A34" s="57" t="inlineStr">
        <is>
          <t>3</t>
        </is>
      </c>
      <c r="B34" s="57" t="inlineStr">
        <is>
          <t>Tala para carbón</t>
        </is>
      </c>
      <c r="C34" s="57" t="inlineStr">
        <is>
          <t>No</t>
        </is>
      </c>
      <c r="D34" s="57" t="inlineStr">
        <is>
          <t>Nula</t>
        </is>
      </c>
      <c r="E34" s="57" t="inlineStr"/>
      <c r="F34" s="57" t="inlineStr"/>
      <c r="G34" s="57" t="inlineStr">
        <is>
          <t>No se observaron hornos ni pilas de carboneo en el sector recorrido</t>
        </is>
      </c>
    </row>
    <row r="35">
      <c r="A35" s="58" t="inlineStr">
        <is>
          <t>4</t>
        </is>
      </c>
      <c r="B35" s="58" t="inlineStr">
        <is>
          <t>Tala para madera</t>
        </is>
      </c>
      <c r="C35" s="58" t="inlineStr">
        <is>
          <t>No</t>
        </is>
      </c>
      <c r="D35" s="58" t="inlineStr"/>
      <c r="E35" s="58" t="inlineStr"/>
      <c r="F35" s="58" t="inlineStr"/>
      <c r="G35" s="58" t="inlineStr">
        <is>
          <t>Sin evidencia directa en el sector recorrido; POR VERIFICAR en el interior del polígono</t>
        </is>
      </c>
    </row>
    <row r="36">
      <c r="A36" s="57" t="inlineStr">
        <is>
          <t>5</t>
        </is>
      </c>
      <c r="B36" s="57" t="inlineStr">
        <is>
          <t>Quema (renovación de pastos)</t>
        </is>
      </c>
      <c r="C36" s="57" t="inlineStr">
        <is>
          <t>No</t>
        </is>
      </c>
      <c r="D36" s="57" t="inlineStr"/>
      <c r="E36" s="57" t="inlineStr"/>
      <c r="F36" s="57" t="inlineStr"/>
      <c r="G36" s="57" t="inlineStr">
        <is>
          <t>Manchas oscuras compatibles con quema en laderas altas; POR VERIFICAR mediante focos de calor e inspección</t>
        </is>
      </c>
    </row>
    <row r="37">
      <c r="A37" s="58" t="inlineStr">
        <is>
          <t>6</t>
        </is>
      </c>
      <c r="B37" s="58" t="inlineStr">
        <is>
          <t>Quema accidental / Incendio</t>
        </is>
      </c>
      <c r="C37" s="58" t="inlineStr">
        <is>
          <t>No</t>
        </is>
      </c>
      <c r="D37" s="58" t="inlineStr"/>
      <c r="E37" s="58" t="inlineStr"/>
      <c r="F37" s="58" t="inlineStr"/>
      <c r="G37" s="58" t="inlineStr">
        <is>
          <t>Sin evidencia observada; POR VERIFICAR</t>
        </is>
      </c>
    </row>
    <row r="38">
      <c r="A38" s="57" t="inlineStr">
        <is>
          <t>7</t>
        </is>
      </c>
      <c r="B38" s="57" t="inlineStr">
        <is>
          <t>Cambio de uso a agricultura</t>
        </is>
      </c>
      <c r="C38" s="57" t="inlineStr">
        <is>
          <t>Sí</t>
        </is>
      </c>
      <c r="D38" s="57" t="inlineStr">
        <is>
          <t>Fuerte</t>
        </is>
      </c>
      <c r="E38" s="57" t="inlineStr">
        <is>
          <t>82</t>
        </is>
      </c>
      <c r="F38" s="57" t="inlineStr"/>
      <c r="G38" s="57" t="inlineStr">
        <is>
          <t>Cartografía MINAM: 74,64 ha (82,1 %) clasificadas como Zona agrícola; conversión histórica del matorral andino</t>
        </is>
      </c>
    </row>
    <row r="39">
      <c r="A39" s="58" t="inlineStr">
        <is>
          <t>8</t>
        </is>
      </c>
      <c r="B39" s="58" t="inlineStr">
        <is>
          <t>Cambio de uso a pastoreo</t>
        </is>
      </c>
      <c r="C39" s="58" t="inlineStr">
        <is>
          <t>Sí</t>
        </is>
      </c>
      <c r="D39" s="58" t="inlineStr">
        <is>
          <t>Fuerte</t>
        </is>
      </c>
      <c r="E39" s="58" t="inlineStr">
        <is>
          <t>80</t>
        </is>
      </c>
      <c r="F39" s="58" t="inlineStr"/>
      <c r="G39" s="58" t="inlineStr">
        <is>
          <t>Pastizales cultivados y naturales bajo pastoreo extensivo; ganado vacuno observado en las ortofotos de dron</t>
        </is>
      </c>
    </row>
    <row r="40">
      <c r="A40" s="57" t="inlineStr">
        <is>
          <t>9</t>
        </is>
      </c>
      <c r="B40" s="57" t="inlineStr">
        <is>
          <t>Expansión urbana / vial</t>
        </is>
      </c>
      <c r="C40" s="57" t="inlineStr">
        <is>
          <t>Sí</t>
        </is>
      </c>
      <c r="D40" s="57" t="inlineStr">
        <is>
          <t>Ligera</t>
        </is>
      </c>
      <c r="E40" s="57" t="inlineStr">
        <is>
          <t>5</t>
        </is>
      </c>
      <c r="F40" s="57" t="inlineStr"/>
      <c r="G40" s="57" t="inlineStr">
        <is>
          <t>La red vial atraviesa el sector norte del bloque; caminos de herradura y huellas de ganado densifican el drenaje superficial</t>
        </is>
      </c>
    </row>
    <row r="41">
      <c r="A41" s="58" t="inlineStr">
        <is>
          <t>10</t>
        </is>
      </c>
      <c r="B41" s="58" t="inlineStr">
        <is>
          <t>Minería informal</t>
        </is>
      </c>
      <c r="C41" s="58" t="inlineStr">
        <is>
          <t>No</t>
        </is>
      </c>
      <c r="D41" s="58" t="inlineStr">
        <is>
          <t>Nula</t>
        </is>
      </c>
      <c r="E41" s="58" t="inlineStr"/>
      <c r="F41" s="58" t="inlineStr"/>
      <c r="G41" s="58" t="inlineStr">
        <is>
          <t>No observada</t>
        </is>
      </c>
    </row>
    <row r="42">
      <c r="A42" s="57" t="inlineStr">
        <is>
          <t>11</t>
        </is>
      </c>
      <c r="B42" s="57" t="inlineStr">
        <is>
          <t>Extracción de áridos (cauces)</t>
        </is>
      </c>
      <c r="C42" s="57" t="inlineStr">
        <is>
          <t>No</t>
        </is>
      </c>
      <c r="D42" s="57" t="inlineStr">
        <is>
          <t>Nula</t>
        </is>
      </c>
      <c r="E42" s="57" t="inlineStr"/>
      <c r="F42" s="57" t="inlineStr"/>
      <c r="G42" s="57" t="inlineStr">
        <is>
          <t>No observada</t>
        </is>
      </c>
    </row>
    <row r="43">
      <c r="A43" s="58" t="inlineStr">
        <is>
          <t>12</t>
        </is>
      </c>
      <c r="B43" s="58" t="inlineStr">
        <is>
          <t>Especies invasoras</t>
        </is>
      </c>
      <c r="C43" s="58" t="inlineStr">
        <is>
          <t>Sí</t>
        </is>
      </c>
      <c r="D43" s="58" t="inlineStr">
        <is>
          <t>Ligera</t>
        </is>
      </c>
      <c r="E43" s="58" t="inlineStr"/>
      <c r="F43" s="58" t="inlineStr"/>
      <c r="G43" s="58" t="inlineStr">
        <is>
          <t>Eucalyptus globulus (introducida) reportado en linderos; sin evidencia de invasión activa</t>
        </is>
      </c>
    </row>
    <row r="44">
      <c r="A44" s="57" t="inlineStr">
        <is>
          <t>13</t>
        </is>
      </c>
      <c r="B44" s="57" t="inlineStr">
        <is>
          <t>Erosión natural severa</t>
        </is>
      </c>
      <c r="C44" s="57" t="inlineStr">
        <is>
          <t>Sí</t>
        </is>
      </c>
      <c r="D44" s="57" t="inlineStr">
        <is>
          <t>Moderada</t>
        </is>
      </c>
      <c r="E44" s="57" t="inlineStr"/>
      <c r="F44" s="57" t="inlineStr"/>
      <c r="G44" s="57" t="inlineStr">
        <is>
          <t>Cicatrices de deslizamiento superficial y cárcavas con retroceso remontante en pendientes &gt;40 %</t>
        </is>
      </c>
    </row>
    <row r="45">
      <c r="A45" s="58" t="inlineStr">
        <is>
          <t>14</t>
        </is>
      </c>
      <c r="B45" s="58" t="inlineStr">
        <is>
          <t>Sequía prolongada / CC</t>
        </is>
      </c>
      <c r="C45" s="58" t="inlineStr">
        <is>
          <t>Sí</t>
        </is>
      </c>
      <c r="D45" s="58" t="inlineStr">
        <is>
          <t>Moderada</t>
        </is>
      </c>
      <c r="E45" s="58" t="inlineStr"/>
      <c r="F45" s="58" t="inlineStr"/>
      <c r="G45" s="58" t="inlineStr">
        <is>
          <t>Estrés hídrico marcado del estrato herbáceo en estiaje (agosto); déficit hídrico proyectado (MPI-ESM1-2HR, SSP5-8.5, 2021-2040)</t>
        </is>
      </c>
    </row>
    <row r="46">
      <c r="A46" s="57" t="inlineStr">
        <is>
          <t>15</t>
        </is>
      </c>
      <c r="B46" s="57" t="inlineStr">
        <is>
          <t>Plagas o enfermedades forestales</t>
        </is>
      </c>
      <c r="C46" s="57" t="inlineStr">
        <is>
          <t>No</t>
        </is>
      </c>
      <c r="D46" s="57" t="inlineStr">
        <is>
          <t>Nula</t>
        </is>
      </c>
      <c r="E46" s="57" t="inlineStr"/>
      <c r="F46" s="57" t="inlineStr"/>
      <c r="G46" s="57" t="inlineStr">
        <is>
          <t>No se observaron síntomas de plagas ni plantas parásitas sobre el arbolado remanente</t>
        </is>
      </c>
    </row>
    <row r="47">
      <c r="A47" s="58" t="inlineStr">
        <is>
          <t>16</t>
        </is>
      </c>
      <c r="B47" s="58" t="inlineStr">
        <is>
          <t>Otro</t>
        </is>
      </c>
      <c r="C47" s="58" t="inlineStr"/>
      <c r="D47" s="58" t="inlineStr"/>
      <c r="E47" s="58" t="inlineStr"/>
      <c r="F47" s="58" t="inlineStr"/>
      <c r="G47" s="58" t="inlineStr"/>
    </row>
    <row r="49">
      <c r="A49" s="55" t="inlineStr">
        <is>
          <t>F-DT-04 · INDICADORES CUANTITATIVOS</t>
        </is>
      </c>
    </row>
    <row r="50">
      <c r="A50" s="56" t="inlineStr">
        <is>
          <t>N.o</t>
        </is>
      </c>
      <c r="B50" s="56" t="inlineStr">
        <is>
          <t>Indicador</t>
        </is>
      </c>
      <c r="C50" s="56" t="inlineStr">
        <is>
          <t>Unidad</t>
        </is>
      </c>
      <c r="D50" s="56" t="inlineStr">
        <is>
          <t>Valor</t>
        </is>
      </c>
      <c r="E50" s="56" t="inlineStr">
        <is>
          <t>Fuente</t>
        </is>
      </c>
      <c r="F50" s="56" t="inlineStr">
        <is>
          <t>Umbral</t>
        </is>
      </c>
      <c r="G50" s="56" t="inlineStr">
        <is>
          <t>Nivel</t>
        </is>
      </c>
    </row>
    <row r="51">
      <c r="A51" s="57" t="inlineStr">
        <is>
          <t>1</t>
        </is>
      </c>
      <c r="B51" s="57" t="inlineStr">
        <is>
          <t>Cobertura vegetal total</t>
        </is>
      </c>
      <c r="C51" s="57" t="inlineStr">
        <is>
          <t>%</t>
        </is>
      </c>
      <c r="D51" s="57" t="inlineStr">
        <is>
          <t>85</t>
        </is>
      </c>
      <c r="E51" s="57" t="inlineStr">
        <is>
          <t>Observación de campo + ortofoto de dron (13-08-2026)</t>
        </is>
      </c>
      <c r="F51" s="57" t="inlineStr">
        <is>
          <t>Bajo</t>
        </is>
      </c>
      <c r="G51" s="57" t="inlineStr"/>
    </row>
    <row r="52">
      <c r="A52" s="58" t="inlineStr">
        <is>
          <t>2</t>
        </is>
      </c>
      <c r="B52" s="58" t="inlineStr">
        <is>
          <t>Porcentaje de suelo desnudo</t>
        </is>
      </c>
      <c r="C52" s="58" t="inlineStr">
        <is>
          <t>%</t>
        </is>
      </c>
      <c r="D52" s="58" t="inlineStr">
        <is>
          <t>10</t>
        </is>
      </c>
      <c r="E52" s="58" t="inlineStr">
        <is>
          <t>Estimación visual sobre ortofoto de dron</t>
        </is>
      </c>
      <c r="F52" s="58" t="inlineStr">
        <is>
          <t>Medio</t>
        </is>
      </c>
      <c r="G52" s="58" t="inlineStr"/>
    </row>
    <row r="53">
      <c r="A53" s="57" t="inlineStr">
        <is>
          <t>3</t>
        </is>
      </c>
      <c r="B53" s="57" t="inlineStr">
        <is>
          <t>Densidad de cárcavas</t>
        </is>
      </c>
      <c r="C53" s="57" t="inlineStr">
        <is>
          <t>N°/ha</t>
        </is>
      </c>
      <c r="D53" s="57" t="inlineStr">
        <is>
          <t>0.02</t>
        </is>
      </c>
      <c r="E53" s="57" t="inlineStr">
        <is>
          <t>Inventario parcial F-DT-02 (2 cárcavas / 90,90 ha)</t>
        </is>
      </c>
      <c r="F53" s="57" t="inlineStr">
        <is>
          <t>Bajo</t>
        </is>
      </c>
      <c r="G53" s="57" t="inlineStr"/>
    </row>
    <row r="54">
      <c r="A54" s="58" t="inlineStr">
        <is>
          <t>4</t>
        </is>
      </c>
      <c r="B54" s="58" t="inlineStr">
        <is>
          <t>Presencia de especies invasoras</t>
        </is>
      </c>
      <c r="C54" s="58" t="inlineStr">
        <is>
          <t>% área</t>
        </is>
      </c>
      <c r="D54" s="58" t="inlineStr">
        <is>
          <t>&lt;5</t>
        </is>
      </c>
      <c r="E54" s="58" t="inlineStr">
        <is>
          <t>Observación de campo</t>
        </is>
      </c>
      <c r="F54" s="58" t="inlineStr">
        <is>
          <t>Bajo</t>
        </is>
      </c>
      <c r="G54" s="58" t="inlineStr"/>
    </row>
    <row r="55">
      <c r="A55" s="57" t="inlineStr">
        <is>
          <t>5</t>
        </is>
      </c>
      <c r="B55" s="57" t="inlineStr">
        <is>
          <t>Carga ganadera estimada</t>
        </is>
      </c>
      <c r="C55" s="57" t="inlineStr">
        <is>
          <t>UA/ha</t>
        </is>
      </c>
      <c r="D55" s="57" t="inlineStr">
        <is>
          <t>Por verificar</t>
        </is>
      </c>
      <c r="E55" s="57" t="inlineStr">
        <is>
          <t>Requiere censo pecuario / entrevista a titulares</t>
        </is>
      </c>
      <c r="F55" s="57" t="inlineStr">
        <is>
          <t>Según tipo de ecosistema</t>
        </is>
      </c>
      <c r="G55" s="57" t="inlineStr"/>
    </row>
    <row r="56">
      <c r="A56" s="58" t="inlineStr">
        <is>
          <t>6</t>
        </is>
      </c>
      <c r="B56" s="58" t="inlineStr">
        <is>
          <t>Frecuencia de quemas últimos 5 años</t>
        </is>
      </c>
      <c r="C56" s="58" t="inlineStr">
        <is>
          <t>N°</t>
        </is>
      </c>
      <c r="D56" s="58" t="inlineStr">
        <is>
          <t>Por verificar</t>
        </is>
      </c>
      <c r="E56" s="58" t="inlineStr">
        <is>
          <t>Requiere serie de focos de calor (SERFOR / NASA FIRMS)</t>
        </is>
      </c>
      <c r="F56" s="58" t="inlineStr">
        <is>
          <t>0 nulo; 1-2 medio; &gt;2 alto</t>
        </is>
      </c>
      <c r="G56" s="58" t="inlineStr"/>
    </row>
    <row r="57">
      <c r="A57" s="57" t="inlineStr">
        <is>
          <t>7</t>
        </is>
      </c>
      <c r="B57" s="57" t="inlineStr">
        <is>
          <t>% área con pendiente &gt;50%</t>
        </is>
      </c>
      <c r="C57" s="57" t="inlineStr">
        <is>
          <t>%</t>
        </is>
      </c>
      <c r="D57" s="57" t="inlineStr">
        <is>
          <t>Por verificar</t>
        </is>
      </c>
      <c r="E57" s="57" t="inlineStr">
        <is>
          <t>Requiere procesamiento MDE 12,5 m</t>
        </is>
      </c>
      <c r="F57" s="57" t="inlineStr">
        <is>
          <t>Factor de susceptibilidad</t>
        </is>
      </c>
      <c r="G57" s="57" t="inlineStr"/>
    </row>
    <row r="58">
      <c r="A58" s="58" t="inlineStr">
        <is>
          <t>8</t>
        </is>
      </c>
      <c r="B58" s="58" t="inlineStr">
        <is>
          <t>Distancia a vía vecinal más cercana</t>
        </is>
      </c>
      <c r="C58" s="58" t="inlineStr">
        <is>
          <t>m</t>
        </is>
      </c>
      <c r="D58" s="58" t="inlineStr">
        <is>
          <t>0</t>
        </is>
      </c>
      <c r="E58" s="58" t="inlineStr">
        <is>
          <t>Cartografía vial MTC + imagen satelital</t>
        </is>
      </c>
      <c r="F58" s="58" t="inlineStr">
        <is>
          <t>Alto</t>
        </is>
      </c>
      <c r="G58" s="58" t="inlineStr"/>
    </row>
    <row r="60">
      <c r="A60" s="55" t="inlineStr">
        <is>
          <t>F-DT-05 · FUENTES DE AGUA INVENTARIADAS</t>
        </is>
      </c>
    </row>
    <row r="61">
      <c r="A61" s="56" t="inlineStr">
        <is>
          <t>N.o</t>
        </is>
      </c>
      <c r="B61" s="56" t="inlineStr">
        <is>
          <t>Tipo de fuente</t>
        </is>
      </c>
      <c r="C61" s="56" t="inlineStr">
        <is>
          <t>UTM ESTE</t>
        </is>
      </c>
      <c r="D61" s="56" t="inlineStr">
        <is>
          <t>UTM NORTE</t>
        </is>
      </c>
      <c r="E61" s="56" t="inlineStr">
        <is>
          <t>Régimen</t>
        </is>
      </c>
      <c r="F61" s="56" t="inlineStr">
        <is>
          <t>Calidad</t>
        </is>
      </c>
      <c r="G61" s="56" t="inlineStr">
        <is>
          <t>Distancia (m)</t>
        </is>
      </c>
      <c r="H61" s="56" t="inlineStr">
        <is>
          <t>Uso / observación</t>
        </is>
      </c>
    </row>
    <row r="62">
      <c r="A62" s="57" t="inlineStr">
        <is>
          <t>1</t>
        </is>
      </c>
      <c r="B62" s="57" t="inlineStr">
        <is>
          <t>Manantial / Puquio</t>
        </is>
      </c>
      <c r="C62" s="62" t="n">
        <v>655109</v>
      </c>
      <c r="D62" s="62" t="n">
        <v>9427610</v>
      </c>
      <c r="E62" s="57" t="inlineStr">
        <is>
          <t>Permanente</t>
        </is>
      </c>
      <c r="F62" s="57" t="inlineStr">
        <is>
          <t>Buena (clara, sin olor, sin sedimentos)</t>
        </is>
      </c>
      <c r="G62" s="64" t="n">
        <v>0</v>
      </c>
      <c r="H62" s="57" t="inlineStr">
        <is>
          <t>Afloramiento en cabecera de cárcava, con caudal visible en pleno estiaje (13-08-2026, 14:00 h). Sin obra de captación ni protección perimetral. Vegetación higrófila y bromeliáceas en el frente del talud. Uso, caudal y vinculación a JASS por verificar.</t>
        </is>
      </c>
    </row>
    <row r="63">
      <c r="A63" s="58" t="inlineStr">
        <is>
          <t>2</t>
        </is>
      </c>
      <c r="B63" s="58" t="inlineStr">
        <is>
          <t>Quebrada estacional</t>
        </is>
      </c>
      <c r="C63" s="63" t="n">
        <v>655060</v>
      </c>
      <c r="D63" s="63" t="n">
        <v>9427662</v>
      </c>
      <c r="E63" s="58" t="inlineStr">
        <is>
          <t>Estacional (lluvias)</t>
        </is>
      </c>
      <c r="F63" s="58" t="inlineStr">
        <is>
          <t>No evaluable</t>
        </is>
      </c>
      <c r="G63" s="65" t="n">
        <v>0</v>
      </c>
      <c r="H63" s="58" t="inlineStr">
        <is>
          <t>Eje de drenaje con matorral ripario denso en el borde noroeste del bloque; cauce seco al momento de la visita. Concentra la escorrentía de la ladera hacia el norte.</t>
        </is>
      </c>
    </row>
    <row r="66">
      <c r="A66" s="55" t="inlineStr">
        <is>
          <t>OBSERVACIONES DEL EVALUADOR POR FICHA</t>
        </is>
      </c>
    </row>
    <row r="67">
      <c r="A67" s="56" t="inlineStr">
        <is>
          <t>Ficha</t>
        </is>
      </c>
      <c r="B67" s="56" t="inlineStr">
        <is>
          <t>Observación registrada en campo</t>
        </is>
      </c>
    </row>
    <row r="68">
      <c r="A68" s="57" t="inlineStr">
        <is>
          <t>F-DT-01</t>
        </is>
      </c>
      <c r="B68" s="57" t="inlineStr">
        <is>
          <t>OBSERVACIONES F-DT-01 — Bloque M30B5 1) Verificación de código: los siete registros fotográficos georreferenciados (13-08-2026, 13:53–14:03 h) se ubican entre E 655 060 – 655 228 m y N 9 427 609 – 9 427 690 m, dentro del polígono del bloque (centroide oficial E 655 263 / N 9 427 340). Rotulado de campo «Bloque M30B5» consistente con la base tbl_Bloques. NO se detectan discrepancias de codificación. 2) Rango altitudinal: dato de gabinete (MDE) 1 782 – 2 307 msnm; desnivel 525 m; cota media 2 044,5 msnm. El polígono cruza el límite de los 2 000 m: los lóbulos norte y noroeste se sitúan entre 1 782 y 2 000 msnm (piso Quechua media) y el lóbulo sur entre 2 000 y 2 307 msnm (Quechua alta). Se consigna la clase predominante por cota media. Altitudes GPS de campo: 1 937,8 – 1 939,5 msnm (sector accesible, borde norte). 3) Pendiente promedio del bloque (gabinete, MDE): 21,23° equivalente a 38,84 %, que ubica al bloque en la clase 25–50 % (moderadamente escarpado). 4) Área: 90,90 ha (tbl_Bloques V4) / 90,903 ha (Bloques_V5) / 90,922 ha (base CP–Bloques V5). Diferencia máxima de 0,02 ha, no significativa; se adopta 90,90 ha. 5) Indicios de inestabilidad: afloramiento rocoso subvertical de aspecto columnar en la cumbre del sector este; escarpes activos y cicatrices de suelo desnudo de color claro en laderas; reptación evidenciada por terracetas de pisoteo continuas; escarpe de deslizamiento antiguo en el sector central. Dimensiones no medidas en campo — por verificar con levantamiento topográfico de detalle.</t>
        </is>
      </c>
    </row>
    <row r="69">
      <c r="A69" s="58" t="inlineStr">
        <is>
          <t>F-DT-02</t>
        </is>
      </c>
      <c r="B69" s="58" t="inlineStr">
        <is>
          <t>OBSERVACIONES F-DT-02 — Bloque M30B5 1) El inventario de cárcavas es PARCIAL: corresponde únicamente a los dos rasgos georreferenciados durante el recorrido del borde norte del bloque (13-08-2026). El interior y el lóbulo sur del polígono no fueron recorridos. Longitudes, profundidades, anchos y densidad por hectárea quedan «por verificar» y NO han sido estimados. 2) Erosión laminar (60 %): estimación visual sobre las cuatro ortofotos oblicuas y cenitales de dron (13-08-2026, 13:49–13:50 h, altitud de vuelo 1 921–1 930 msnm). Se observa terraceteado de pisoteo continuo (camellones de ganado) cubriendo la mayor parte de la ladera media y alta, indicador directo de reptación superficial y erosión laminar-en surcos por sobrepastoreo. Requiere validación por muestreo en parcelas. 3) Se constata socavamiento en el eje de drenaje principal que atraviesa el bloque de sur a norte, con escalones de erosión remontante y descalce de márgenes. 4) Cicatrices de deslizamiento superficial (suelo desnudo de tonalidad clara) distribuidas en los tramos de pendiente &gt;40 %, sin evidencia de obras de estabilización. 5) Urgencia de control ALTA: la combinación pendiente media 38,84 %, cobertura arbórea casi nula y carga ganadera sin manejo mantiene activo el proceso erosivo en zona de origen (cabecera de la microcuenca C1081-Q9591).</t>
        </is>
      </c>
    </row>
    <row r="70">
      <c r="A70" s="57" t="inlineStr">
        <is>
          <t>F-DT-03</t>
        </is>
      </c>
      <c r="B70" s="57" t="inlineStr">
        <is>
          <t>OBSERVACIONES F-DT-03 — Bloque M30B5 1) Clasificación del ecosistema: la cartografía MINAM asigna al bloque 74,636 ha de Zona agrícola (82,1 %) y 16,267 ha de Matorral andino (17,9 %). Conforme al criterio adoptado en bloques análogos (12, 14 y 17), un ámbito con predominio agropecuario y matorral secundario subordinado se clasifica como «Agroecosistema / Mosaico». La superficie consignada (74,64 ha) corresponde a la unidad dominante; el matorral andino relicto (16,27 ha) se distribuye en quebradas, bordes de cárcava y afloramientos. 2) La verificación de campo confirma la clasificación: matriz continua de pastizal bajo pastoreo extensivo con ganado vacuno, potreros delimitados por cercos, y matorral leñoso confinado a los ejes de drenaje. 3) Composición florística PARCIAL: se registran 9 entradas frente al mínimo de 15 exigido por la ficha. Las especies con determinación firme son las reportadas por la brigada (Sauce, Eucalipto, Chilca, pastos nativos y cultivados). Las entradas 6 a 9 son morfoespecies observadas en el registro fotográfico y NO han sido determinadas; requieren colecta botánica y herborización. NO se han asignado nombres científicos por inferencia. 4) MSAVI 2024 (Sentinel-2) promedio del bloque = 0,5564. La cartografía muestra predominio de las clases 0,3813–0,4976 (amarillo pálido) en el sector central y sur, y 0,4976–0,6139 (verde claro) con parches &gt;0,6139 en quebradas y laderas de exposición sombreada. La clase &lt;0,2650 (roja) es marginal. El patrón es coherente con cobertura herbácea continua y arbolado casi ausente. 5) Cobertura arbórea (3 %) y regeneración natural escasa: no se observaron plántulas ni brinzales de especies leñosas nativas en la matriz de pastizal; la regeneración se restringe a rebrotes de tocón en quebradas, mecanismo insuficiente para la recuperación del estrato leñoso bajo la presión de pastoreo actual. 6) DAP promedio no medido — por verificar mediante parcela de muestreo forestal. 7) Epífitas (campo C28 = «Sí»): rosetas de Bromeliaceae observadas sobre ramas del arbolado relicto y sobre el talud del manantial (Foto 06); ausentes en la matriz de pastizal, lo que evidencia la pérdida de microhábitat asociada a la eliminación del estrato leñoso.</t>
        </is>
      </c>
    </row>
    <row r="71">
      <c r="A71" s="58" t="inlineStr">
        <is>
          <t>F-DT-04</t>
        </is>
      </c>
      <c r="B71" s="58" t="inlineStr">
        <is>
          <t>OBSERVACIONES F-DT-04 — Bloque M30B5 1) Los campos «Antigüedad (años)» de la matriz de causas NO fueron levantados en campo y quedan en blanco; su determinación requiere entrevistas a titulares de predios y análisis multitemporal de imágenes. 2) Indicadores 5 (carga ganadera), 6 (frecuencia de quemas) y 7 (% de área con pendiente &gt;50 %) se consignan «Por verificar»: no se dispone de censo pecuario, serie de focos de calor ni procesamiento del MDE a la fecha de emisión. No han sido estimados. 3) Indicador complementario de gabinete: MSAVI 2024 promedio del bloque = 0,5564 (Sentinel-2), valor intermedio consistente con cobertura herbácea continua y estrato leñoso reducido; se recomienda incorporar la tendencia Theil-Sen (TAU) del período 2016-2024 para calificar la trayectoria de degradación. 4) Pendiente promedio del bloque 21,23° (38,84 %) y desnivel 525 m: condicionantes que amplifican el efecto de la pérdida de cobertura sobre la generación de escorrentía y la susceptibilidad a movimientos en masa. 5) Reversibilidad parcial: persisten núcleos de matorral andino (16,27 ha) que actúan como banco genético y fuente de propágulos, viabilizando una restauración asistida siempre que se controle la carga ganadera (clausura temporal y manejo rotativo).</t>
        </is>
      </c>
    </row>
    <row r="72">
      <c r="A72" s="57" t="inlineStr">
        <is>
          <t>F-DT-05</t>
        </is>
      </c>
      <c r="B72" s="57" t="inlineStr">
        <is>
          <t>OBSERVACIONES F-DT-05 — Bloque M30B5 1) El manantial georreferenciado en E 655 109 / N 9 427 610 constituye el hallazgo hídrico más relevante: aflora en el frente de un talud de cárcava en retroceso activo, de modo que el propio proceso erosivo compromete el punto de surgencia. Se recomienda su protección prioritaria (cerco de exclusión, estabilización del talud con obras vivas y revegetación de la cabecera). 2) El bloque se localiza en cabecera de la microcuenca C1081-Q9591 (cota 1 782 – 2 307 msnm), en zona de recarga hídrica: la infiltración en las laderas altas alimenta el afloramiento y el drenaje que descienden hacia el norte. La pérdida de cobertura leñosa y la compactación por pisoteo reducen la infiltración y aumentan la escorrentía superficial. 3) Zonas de humedad persistente: franjas de pastizal verde intenso en las depresiones y ejes de drenaje, contrastantes con la matriz de pastizal seco, observadas en las ortofotos de dron. 4) Se observan en las ortofotos estructuras rectangulares de color azul distribuidas en el pastizal, cuya naturaleza (reservorios / bebederos / colmenas) NO fue verificada en campo. Por verificar. 5) Datos logísticos pendientes, deliberadamente dejados EN BLANCO por no haber sido levantados en campo y no admitir sus listas la opción «Por verificar»: señal celular (C42), operador dominante (C43) y alojamiento rural (C44). Igualmente pendientes: tiempos de desplazamiento desde capital distrital y provincial, distancia a captación poblacional y datos de la JASS. Ninguno ha sido estimado. 6) Distrito y provincia de Huancabamba: la coordinación con la Ronda Campesina es práctica institucional obligada para el ingreso a predios; se consigna «Sí» de manera preventiva, sujeta a confirmación.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M30B5</t>
        </is>
      </c>
    </row>
    <row r="7">
      <c r="A7" s="55" t="inlineStr">
        <is>
          <t>Hechos declarados por fuente</t>
        </is>
      </c>
    </row>
    <row r="8">
      <c r="A8" s="56" t="inlineStr">
        <is>
          <t>Fuente</t>
        </is>
      </c>
      <c r="B8" s="56" t="inlineStr">
        <is>
          <t>Hechos</t>
        </is>
      </c>
    </row>
    <row r="9">
      <c r="A9" s="57" t="inlineStr">
        <is>
          <t>Dato de campo</t>
        </is>
      </c>
      <c r="B9" s="57" t="n">
        <v>65</v>
      </c>
    </row>
    <row r="10">
      <c r="A10" s="58" t="inlineStr">
        <is>
          <t>Gabinete (GIS / teledetección)</t>
        </is>
      </c>
      <c r="B10" s="58" t="n">
        <v>23</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101</v>
      </c>
    </row>
    <row r="29">
      <c r="A29" s="58" t="inlineStr">
        <is>
          <t>COMPLEMENTADO</t>
        </is>
      </c>
      <c r="B29" s="58" t="n">
        <v>1</v>
      </c>
    </row>
    <row r="30">
      <c r="A30" s="57" t="inlineStr">
        <is>
          <t>ACTUALIZADO</t>
        </is>
      </c>
      <c r="B30" s="57" t="n">
        <v>0</v>
      </c>
    </row>
    <row r="31">
      <c r="A31" s="58" t="inlineStr">
        <is>
          <t>DISCREPANTE</t>
        </is>
      </c>
      <c r="B31" s="58" t="n">
        <v>0</v>
      </c>
    </row>
    <row r="32">
      <c r="A32" s="57" t="inlineStr">
        <is>
          <t>PENDIENTE</t>
        </is>
      </c>
      <c r="B32" s="57" t="n">
        <v>12</v>
      </c>
    </row>
    <row r="45">
      <c r="A45" s="55" t="inlineStr">
        <is>
          <t>Cobertura por estrato — campo (%)</t>
        </is>
      </c>
    </row>
    <row r="46">
      <c r="A46" s="56" t="inlineStr">
        <is>
          <t>Estrato</t>
        </is>
      </c>
      <c r="B46" s="56" t="inlineStr">
        <is>
          <t>% del área</t>
        </is>
      </c>
    </row>
    <row r="47">
      <c r="A47" s="57" t="inlineStr">
        <is>
          <t>Dosel</t>
        </is>
      </c>
      <c r="B47" s="64" t="n">
        <v>3</v>
      </c>
    </row>
    <row r="48">
      <c r="A48" s="58" t="inlineStr">
        <is>
          <t>Arbustiva</t>
        </is>
      </c>
      <c r="B48" s="63" t="n">
        <v>15</v>
      </c>
    </row>
    <row r="49">
      <c r="A49" s="57" t="inlineStr">
        <is>
          <t>Herbácea</t>
        </is>
      </c>
      <c r="B49" s="62" t="n">
        <v>70</v>
      </c>
    </row>
    <row r="50">
      <c r="A50" s="58" t="inlineStr">
        <is>
          <t>Hojarasca</t>
        </is>
      </c>
      <c r="B50" s="65" t="n">
        <v>2</v>
      </c>
    </row>
    <row r="51">
      <c r="A51" s="57" t="inlineStr">
        <is>
          <t>Suelo desnudo</t>
        </is>
      </c>
      <c r="B51" s="62" t="n">
        <v>10</v>
      </c>
    </row>
    <row r="64">
      <c r="A64" s="55" t="inlineStr">
        <is>
          <t>Causas activas de degradación (F-DT-04)</t>
        </is>
      </c>
    </row>
    <row r="65">
      <c r="A65" s="56" t="inlineStr">
        <is>
          <t>Causa</t>
        </is>
      </c>
      <c r="B65" s="56" t="inlineStr">
        <is>
          <t>Intensidad (1 ligera - 4 muy fuerte)</t>
        </is>
      </c>
    </row>
    <row r="66">
      <c r="A66" s="57" t="inlineStr">
        <is>
          <t>Cambio de uso a agricultura</t>
        </is>
      </c>
      <c r="B66" s="57" t="n">
        <v>3</v>
      </c>
    </row>
    <row r="67">
      <c r="A67" s="58" t="inlineStr">
        <is>
          <t>Cambio de uso a pastoreo</t>
        </is>
      </c>
      <c r="B67" s="58" t="n">
        <v>3</v>
      </c>
    </row>
    <row r="68">
      <c r="A68" s="57" t="inlineStr">
        <is>
          <t>Sobrepastoreo (caprino/vacuno)</t>
        </is>
      </c>
      <c r="B68" s="57" t="n">
        <v>3</v>
      </c>
    </row>
    <row r="69">
      <c r="A69" s="58" t="inlineStr">
        <is>
          <t>Erosión natural severa</t>
        </is>
      </c>
      <c r="B69" s="58" t="n">
        <v>2</v>
      </c>
    </row>
    <row r="70">
      <c r="A70" s="57" t="inlineStr">
        <is>
          <t>Sequía prolongada / CC</t>
        </is>
      </c>
      <c r="B70" s="57" t="n">
        <v>2</v>
      </c>
    </row>
    <row r="71">
      <c r="A71" s="58" t="inlineStr">
        <is>
          <t>Tala para leña</t>
        </is>
      </c>
      <c r="B71" s="58" t="n">
        <v>2</v>
      </c>
    </row>
    <row r="72">
      <c r="A72" s="57" t="inlineStr">
        <is>
          <t>Especies invasoras</t>
        </is>
      </c>
      <c r="B72" s="57" t="n">
        <v>1</v>
      </c>
    </row>
    <row r="73">
      <c r="A73" s="58" t="inlineStr">
        <is>
          <t>Expansión urbana / vial</t>
        </is>
      </c>
      <c r="B73" s="58" t="n">
        <v>1</v>
      </c>
    </row>
    <row r="83">
      <c r="A83" s="55" t="inlineStr">
        <is>
          <t>Control de consistencia por calificación</t>
        </is>
      </c>
    </row>
    <row r="84">
      <c r="A84" s="56" t="inlineStr">
        <is>
          <t>Calificación</t>
        </is>
      </c>
      <c r="B84" s="56" t="inlineStr">
        <is>
          <t>Verificaciones</t>
        </is>
      </c>
    </row>
    <row r="85">
      <c r="A85" s="57" t="inlineStr">
        <is>
          <t>SUSTANTIVA</t>
        </is>
      </c>
      <c r="B85" s="57" t="n">
        <v>4</v>
      </c>
    </row>
    <row r="86">
      <c r="A86" s="58" t="inlineStr">
        <is>
          <t>NO SUSTANTIVA</t>
        </is>
      </c>
      <c r="B86" s="58" t="n">
        <v>6</v>
      </c>
    </row>
    <row r="87">
      <c r="A87" s="57" t="inlineStr">
        <is>
          <t>CORREGIDO</t>
        </is>
      </c>
      <c r="B87" s="57" t="n">
        <v>0</v>
      </c>
    </row>
    <row r="88">
      <c r="A88" s="58" t="inlineStr">
        <is>
          <t>CONFORME</t>
        </is>
      </c>
      <c r="B88"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M30B5 — IN Piura</dc:title>
  <dc:subject>Diagnóstico Territorial por bloque de intervención</dc:subject>
  <dcterms:created xsi:type="dcterms:W3CDTF">2026-09-08T03:39:58Z</dcterms:created>
  <dcterms:modified xsi:type="dcterms:W3CDTF">2026-09-11T21:26:36Z</dcterms:modified>
</cp:coreProperties>
</file>