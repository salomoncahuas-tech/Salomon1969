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integración'!B75</f>
            </strRef>
          </tx>
          <spPr>
            <a:ln>
              <a:prstDash val="solid"/>
            </a:ln>
          </spPr>
          <cat>
            <numRef>
              <f>'Gráficos de integración'!$A$76:$A$79</f>
            </numRef>
          </cat>
          <val>
            <numRef>
              <f>'Gráficos de integración'!$B$76:$B$79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63</t>
        </is>
      </c>
    </row>
    <row r="6" ht="24" customHeight="1">
      <c r="A6" s="4" t="inlineStr">
        <is>
          <t>Diagnóstico Territorial — Plantilla DT Campo Check Validada V5 | Sistema de referencia: UTM WGS 84 Zona 17S (EPSG:32717) · Integrado con la ficha de campo F-DT vigente (Plantilla_DT_Campo_Bloque63_IN_Piura_rev_hscm.xlsx) — V7 - resumen V6 + campo F-DT integrado</t>
        </is>
      </c>
    </row>
    <row r="7"/>
    <row r="8" ht="18" customHeight="1">
      <c r="A8" s="5" t="inlineStr">
        <is>
          <t>1. IDENTIFICACIÓN Y LOCALIZACIÓN</t>
        </is>
      </c>
    </row>
    <row r="9">
      <c r="A9" s="6" t="inlineStr">
        <is>
          <t>Código del bloque</t>
        </is>
      </c>
      <c r="B9" s="7" t="inlineStr">
        <is>
          <t>63</t>
        </is>
      </c>
      <c r="C9" s="6" t="inlineStr">
        <is>
          <t>Microcuenca (catálogo)</t>
        </is>
      </c>
      <c r="D9" s="7" t="inlineStr">
        <is>
          <t>C1081-Q9583</t>
        </is>
      </c>
      <c r="E9" s="8" t="n"/>
      <c r="F9" s="8" t="n"/>
    </row>
    <row r="10">
      <c r="A10" s="6" t="inlineStr">
        <is>
          <t>Zona de planificación</t>
        </is>
      </c>
      <c r="B10" s="7" t="inlineStr">
        <is>
          <t>Z11</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Shuturumbe</t>
        </is>
      </c>
      <c r="C13" s="6" t="inlineStr">
        <is>
          <t>Comunidad campesina</t>
        </is>
      </c>
      <c r="D13" s="7" t="inlineStr">
        <is>
          <t>Por verificar</t>
        </is>
      </c>
      <c r="E13" s="8" t="n"/>
      <c r="F13" s="8" t="n"/>
    </row>
    <row r="14">
      <c r="A14" s="6" t="inlineStr">
        <is>
          <t>Superficie de catálogo (V5/V6), ha</t>
        </is>
      </c>
      <c r="B14" s="7" t="n">
        <v>50.46</v>
      </c>
      <c r="C14" s="6" t="inlineStr">
        <is>
          <t>Fuente de superficie</t>
        </is>
      </c>
      <c r="D14" s="7" t="inlineStr">
        <is>
          <t>Catálogo maestro Bloques V5/V6</t>
        </is>
      </c>
      <c r="E14" s="8" t="n"/>
      <c r="F14" s="8" t="n"/>
    </row>
    <row r="15">
      <c r="A15" s="6" t="inlineStr">
        <is>
          <t>Centroide UTM ESTE (m)</t>
        </is>
      </c>
      <c r="B15" s="7" t="n">
        <v>655059</v>
      </c>
      <c r="C15" s="6" t="inlineStr">
        <is>
          <t>Centroide UTM NORTE (m)</t>
        </is>
      </c>
      <c r="D15" s="7" t="n">
        <v>9413845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1508</v>
      </c>
      <c r="C19" s="6" t="inlineStr">
        <is>
          <t>Altitud máxima (msnm)</t>
        </is>
      </c>
      <c r="D19" s="7" t="n">
        <v>2080</v>
      </c>
      <c r="E19" s="8" t="n"/>
      <c r="F19" s="8" t="n"/>
    </row>
    <row r="20">
      <c r="A20" s="6" t="inlineStr">
        <is>
          <t>Amplitud altitudinal (m)</t>
        </is>
      </c>
      <c r="B20" s="7" t="n">
        <v>572</v>
      </c>
      <c r="C20" s="6" t="inlineStr">
        <is>
          <t>Piso altitudinal dominante</t>
        </is>
      </c>
      <c r="D20" s="7" t="inlineStr">
        <is>
          <t>1500-2000 m (Quechua media)</t>
        </is>
      </c>
      <c r="E20" s="8" t="n"/>
      <c r="F20" s="8" t="n"/>
    </row>
    <row r="21">
      <c r="A21" s="6" t="inlineStr">
        <is>
          <t>Pendiente promedio (%)</t>
        </is>
      </c>
      <c r="B21" s="7" t="n">
        <v>35.5</v>
      </c>
      <c r="C21" s="6" t="inlineStr">
        <is>
          <t>Pendiente promedio (grados)</t>
        </is>
      </c>
      <c r="D21" s="7" t="n">
        <v>19.5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0.6036</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(99.20 %)</t>
        </is>
      </c>
      <c r="E29" s="8" t="n"/>
      <c r="F29" s="8" t="n"/>
    </row>
    <row r="30">
      <c r="A30" s="6" t="inlineStr">
        <is>
          <t>Superficie clasificada NDVI 2025 (ha)</t>
        </is>
      </c>
      <c r="B30" s="7" t="n">
        <v>50.469</v>
      </c>
      <c r="C30" s="6" t="inlineStr">
        <is>
          <t>Desviación frente al catálogo (%)</t>
        </is>
      </c>
      <c r="D30" s="7" t="n">
        <v>0.02</v>
      </c>
      <c r="E30" s="8" t="n"/>
      <c r="F30" s="8" t="n"/>
    </row>
    <row r="31">
      <c r="A31" s="6" t="inlineStr">
        <is>
          <t>Superficie clasificada MSAVI 2024 (ha)</t>
        </is>
      </c>
      <c r="B31" s="38" t="n">
        <v>50.459</v>
      </c>
      <c r="C31" s="6" t="inlineStr">
        <is>
          <t>Desviación MSAVI frente al catálogo (%)</t>
        </is>
      </c>
      <c r="D31" s="39" t="n">
        <v>0</v>
      </c>
      <c r="E31" s="8" t="n"/>
      <c r="F31" s="8" t="n"/>
    </row>
    <row r="32">
      <c r="A32" s="6" t="inlineStr">
        <is>
          <t>Superficie bajo umbral MSAVI 0.4976 (ha)</t>
        </is>
      </c>
      <c r="B32" s="38" t="n">
        <v>1.488</v>
      </c>
      <c r="C32" s="6" t="inlineStr">
        <is>
          <t>% del bloque bajo umbral (brecha espectral)</t>
        </is>
      </c>
      <c r="D32" s="39" t="n">
        <v>2.95</v>
      </c>
      <c r="E32" s="8" t="n"/>
      <c r="F32" s="8" t="n"/>
    </row>
    <row r="33">
      <c r="A33" s="6" t="inlineStr">
        <is>
          <t>Clase DN dominante (MSAVI 2024)</t>
        </is>
      </c>
      <c r="B33" s="7" t="inlineStr">
        <is>
          <t>DN 4 · 0.4976 - 0.6139 (Vigor moderado)</t>
        </is>
      </c>
      <c r="C33" s="6" t="inlineStr">
        <is>
          <t>N.° de polígonos MSAVI del bloque</t>
        </is>
      </c>
      <c r="D33" s="40" t="n">
        <v>113</v>
      </c>
      <c r="E33" s="8" t="n"/>
      <c r="F33" s="8" t="n"/>
    </row>
    <row r="34"/>
    <row r="35" ht="18" customHeight="1">
      <c r="A35" s="5" t="inlineStr">
        <is>
          <t>4. ECOSISTEMA Y ESTADO DE CONSERVACIÓN</t>
        </is>
      </c>
    </row>
    <row r="36">
      <c r="A36" s="6" t="inlineStr">
        <is>
          <t>Tipo de ecosistema (UP)</t>
        </is>
      </c>
      <c r="B36" s="7" t="inlineStr">
        <is>
          <t>Matorral Andino subhúmedo (declarado en campo: Matorral andino, Ma)</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inlineStr">
        <is>
          <t>0 = no inventariadas</t>
        </is>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y Blgo. Abel Aucasime</t>
        </is>
      </c>
      <c r="C44" s="6" t="inlineStr">
        <is>
          <t>Fecha de evaluación</t>
        </is>
      </c>
      <c r="D44" s="7" t="inlineStr">
        <is>
          <t>2026-07-21</t>
        </is>
      </c>
      <c r="E44" s="8" t="n"/>
      <c r="F44" s="8" t="n"/>
    </row>
    <row r="45">
      <c r="A45" s="6" t="inlineStr">
        <is>
          <t>Hora de registro</t>
        </is>
      </c>
      <c r="B45" s="50" t="inlineStr">
        <is>
          <t>Sin registro en ficha</t>
        </is>
      </c>
      <c r="C45" s="6" t="inlineStr">
        <is>
          <t>Correlativo de ficha</t>
        </is>
      </c>
      <c r="D45" s="7" t="inlineStr">
        <is>
          <t>F-DT-01-63</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consignada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18.3555</v>
      </c>
      <c r="C10" s="19">
        <f>ROUND(B10/$B$15*100,2)</f>
        <v/>
      </c>
      <c r="D10" s="11" t="inlineStr">
        <is>
          <t>Vigor alto</t>
        </is>
      </c>
      <c r="E10" s="11" t="inlineStr">
        <is>
          <t>Sobre umbral</t>
        </is>
      </c>
    </row>
    <row r="11">
      <c r="A11" s="12" t="inlineStr">
        <is>
          <t>0.4976 - 0.6139 · DN 4</t>
        </is>
      </c>
      <c r="B11" s="32" t="n">
        <v>30.6155</v>
      </c>
      <c r="C11" s="31">
        <f>ROUND(B11/$B$15*100,2)</f>
        <v/>
      </c>
      <c r="D11" s="13" t="inlineStr">
        <is>
          <t>Vigor moderado</t>
        </is>
      </c>
      <c r="E11" s="13" t="inlineStr">
        <is>
          <t>Sobre umbral</t>
        </is>
      </c>
    </row>
    <row r="12">
      <c r="A12" s="7" t="inlineStr">
        <is>
          <t>0.3813 - 0.4976 · DN 3</t>
        </is>
      </c>
      <c r="B12" s="18" t="n">
        <v>1.4877</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113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50.46</v>
      </c>
      <c r="C18" s="49" t="inlineStr">
        <is>
          <t>—</t>
        </is>
      </c>
      <c r="D18" s="46" t="inlineStr">
        <is>
          <t>Desviación planimétrica frente al catálogo</t>
        </is>
      </c>
      <c r="E18" s="46" t="inlineStr">
        <is>
          <t>+0.00 %</t>
        </is>
      </c>
    </row>
    <row r="19">
      <c r="A19" s="16" t="inlineStr">
        <is>
          <t>MSAVI 2024 — MEDIA DEL BLOQUE</t>
        </is>
      </c>
      <c r="B19" s="17" t="n">
        <v>0.603582</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(0.6036)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50.0651</v>
      </c>
      <c r="C25" s="19" t="n">
        <v>99.2</v>
      </c>
      <c r="D25" s="11" t="inlineStr">
        <is>
          <t>Dosel continuo, matorral denso o mosaico agroforestal</t>
        </is>
      </c>
      <c r="E25" s="11" t="inlineStr"/>
    </row>
    <row r="26">
      <c r="A26" s="14" t="inlineStr">
        <is>
          <t>Vegetación mediana</t>
        </is>
      </c>
      <c r="B26" s="20" t="n">
        <v>0.394</v>
      </c>
      <c r="C26" s="21" t="n">
        <v>0.78</v>
      </c>
      <c r="D26" s="15" t="inlineStr">
        <is>
          <t>Pastizal cultivado, matorral ralo, parcelas agrícolas</t>
        </is>
      </c>
      <c r="E26" s="15" t="inlineStr"/>
    </row>
    <row r="27">
      <c r="A27" s="7" t="inlineStr">
        <is>
          <t>Vegetación ligera</t>
        </is>
      </c>
      <c r="B27" s="18" t="n">
        <v>0.009900000000000001</v>
      </c>
      <c r="C27" s="19" t="n">
        <v>0.02</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50.46</v>
      </c>
      <c r="C29" s="25" t="inlineStr">
        <is>
          <t>—</t>
        </is>
      </c>
      <c r="D29" s="25" t="inlineStr">
        <is>
          <t>Desviación planimétrica frente al catálogo</t>
        </is>
      </c>
      <c r="E29" s="25" t="inlineStr">
        <is>
          <t>+0.02 %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63</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655059</v>
      </c>
      <c r="D10" s="26" t="n">
        <v>9413845</v>
      </c>
      <c r="E10" s="11" t="n">
        <v>0</v>
      </c>
      <c r="F10" s="11" t="inlineStr"/>
      <c r="G10" s="11" t="inlineStr">
        <is>
          <t>Coordenada consignada en F-DT-01</t>
        </is>
      </c>
    </row>
    <row r="11">
      <c r="A11" s="14" t="inlineStr">
        <is>
          <t>H-01</t>
        </is>
      </c>
      <c r="B11" s="15" t="inlineStr">
        <is>
          <t>Fuente de agua — Quebrada permanente</t>
        </is>
      </c>
      <c r="C11" s="27" t="inlineStr">
        <is>
          <t>Por determinar</t>
        </is>
      </c>
      <c r="D11" s="27" t="inlineStr">
        <is>
          <t>Por determinar</t>
        </is>
      </c>
      <c r="E11" s="15" t="inlineStr"/>
      <c r="F11" s="15" t="inlineStr">
        <is>
          <t>Permanente</t>
        </is>
      </c>
      <c r="G11" s="15" t="inlineStr">
        <is>
          <t>Quebrada activa colindante</t>
        </is>
      </c>
    </row>
    <row r="12">
      <c r="A12" s="7" t="inlineStr">
        <is>
          <t>H-02</t>
        </is>
      </c>
      <c r="B12" s="11" t="inlineStr">
        <is>
          <t>Fuente de agua — Quebrada estacional</t>
        </is>
      </c>
      <c r="C12" s="26" t="inlineStr">
        <is>
          <t>Por determinar</t>
        </is>
      </c>
      <c r="D12" s="26" t="inlineStr">
        <is>
          <t>Por determinar</t>
        </is>
      </c>
      <c r="E12" s="11" t="inlineStr"/>
      <c r="F12" s="11" t="inlineStr">
        <is>
          <t>Estacional</t>
        </is>
      </c>
      <c r="G12" s="11" t="inlineStr">
        <is>
          <t>Drenajes tributarios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655059</v>
      </c>
      <c r="C15" s="6" t="inlineStr">
        <is>
          <t>Centroide del bloque — UTM NORTE (m)</t>
        </is>
      </c>
      <c r="D15" s="7" t="n">
        <v>9413845</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de campo. Altitud GPS de campo 1 520 msnm. Rango altitudinal del bloque según MDE: 1 508-2 080 msnm (amplitud 572 m); pendiente promedio 35.50%. Centro poblado asociado: Shuturumbe. Acceso: vía afirmada Canchaque – Coyona, margen izquierda de una quebrada s/n.</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63</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4" t="inlineStr">
        <is>
          <t>24</t>
        </is>
      </c>
      <c r="B11" s="29" t="n">
        <v>90.16</v>
      </c>
      <c r="C11" s="21" t="n">
        <v>22.65</v>
      </c>
      <c r="D11" s="15" t="inlineStr">
        <is>
          <t>1319 – 1887</t>
        </is>
      </c>
      <c r="E11" s="15" t="n">
        <v>568</v>
      </c>
      <c r="F11" s="15"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 63</t>
        </is>
      </c>
      <c r="B13" s="30" t="n">
        <v>50.46</v>
      </c>
      <c r="C13" s="31" t="n">
        <v>12.68</v>
      </c>
      <c r="D13" s="13" t="inlineStr">
        <is>
          <t>1508 – 2080</t>
        </is>
      </c>
      <c r="E13" s="13" t="n">
        <v>572</v>
      </c>
      <c r="F13" s="13" t="n">
        <v>35.5</v>
      </c>
      <c r="G13" s="32" t="n">
        <v>0.6036</v>
      </c>
      <c r="H13" s="31" t="n">
        <v>99.2</v>
      </c>
      <c r="I13" s="3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4" t="inlineStr">
        <is>
          <t>83</t>
        </is>
      </c>
      <c r="B15" s="29" t="n">
        <v>24.344</v>
      </c>
      <c r="C15" s="21" t="n">
        <v>6.12</v>
      </c>
      <c r="D15" s="15" t="inlineStr">
        <is>
          <t>Por determinar</t>
        </is>
      </c>
      <c r="E15" s="15" t="inlineStr">
        <is>
          <t>Por determinar</t>
        </is>
      </c>
      <c r="F15" s="15"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4" t="inlineStr">
        <is>
          <t>85</t>
        </is>
      </c>
      <c r="B17" s="29" t="n">
        <v>11.906</v>
      </c>
      <c r="C17" s="21" t="n">
        <v>2.99</v>
      </c>
      <c r="D17" s="15" t="inlineStr">
        <is>
          <t>Por determinar</t>
        </is>
      </c>
      <c r="E17" s="15" t="inlineStr">
        <is>
          <t>Por determinar</t>
        </is>
      </c>
      <c r="F17" s="15"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1" t="n"/>
      <c r="I20" s="42" t="n"/>
    </row>
    <row r="22" ht="84" customHeight="1">
      <c r="A22" s="9" t="inlineStr">
        <is>
          <t>LECTURA INTRAMICROCUENCA. El bloque 63 ocupa el puesto 4 de 9 por superficie dentro de la microcuenca C1081-Q9583 (12.68 % de las 398.04 ha preliminares de la microcuenca). Su pendiente promedio (35.50 %, clase «25-50% (Mod. escarpado)») es la 4.ª más baja de 4 y se sitúa por encima del promedio de la microcuenca (25.08 %). Su MSAVI 2024 (0.6036) es el 2.º de 9 y queda por encima del promedio local (0.3616). Amplitud altitudinal del bloque: 572 m (1508–2080 msnm). El cuadro conserva todos los bloques catalogados en la microcuenca, incluidos los descartados en el tamizaje, para referencia del conjunto. Los bloques sin ficha DT figuran con sus parámetros de gabinete. BRECHA ESPECTRAL. El 2.95 % de la superficie del bloque (1.488 ha de 50.459 ha) se sitúa bajo el umbral MSAVI 0.4976, por debajo del promedio local de la microcuenca (76.96 %)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63</t>
        </is>
      </c>
    </row>
    <row r="6">
      <c r="A6" s="52" t="inlineStr">
        <is>
          <t>Cruce de la ficha de campo F-DT vigente con la ficha de resumen de gabinete y el catálogo maestro. Integración 2026-09-11 20:22:31.</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«C1081-Q9583».</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(1520 msnm) cae dentro del rango altitudinal del bloque (1508 - 2080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(50.469 ha) se desvía 0.02 % de la superficie de catálogo (50.46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(50.459 ha) se desvía -0.00 % de la superficie de catálogo (50.46 ha).</t>
        </is>
      </c>
      <c r="D14" s="57" t="inlineStr">
        <is>
          <t>CONFORME</t>
        </is>
      </c>
      <c r="E14" s="57" t="inlineStr">
        <is>
          <t>Sin acción: la segmentación valida la geometría del bloque.</t>
        </is>
      </c>
    </row>
    <row r="15">
      <c r="A15" s="56" t="inlineStr">
        <is>
          <t>G-07</t>
        </is>
      </c>
      <c r="B15" s="56" t="inlineStr">
        <is>
          <t>Brecha espectral MSAVI</t>
        </is>
      </c>
      <c r="C15" s="56" t="inlineStr">
        <is>
          <t>El 2.95 % del bloque queda bajo el umbral 0.4976; superficie de brecha 1.4877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50.46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(0.6036)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88 de 114 hechos integrados (77.2 %); 26 quedan sin dato en ninguna fuente.</t>
        </is>
      </c>
      <c r="D20" s="57" t="inlineStr">
        <is>
          <t>CONFORME</t>
        </is>
      </c>
      <c r="E20" s="57" t="inlineStr">
        <is>
          <t>Sin acción.</t>
        </is>
      </c>
    </row>
    <row r="21">
      <c r="A21" s="56" t="inlineStr">
        <is>
          <t>H-01</t>
        </is>
      </c>
      <c r="B21" s="56" t="inlineStr">
        <is>
          <t>Elenco florístico</t>
        </is>
      </c>
      <c r="C21" s="56" t="inlineStr">
        <is>
          <t>La ficha registra 10 taxones, por debajo del mínimo de 15 que exige el formato V5</t>
        </is>
      </c>
      <c r="D21" s="56" t="inlineStr">
        <is>
          <t>SUSTANTIVA</t>
        </is>
      </c>
      <c r="E21" s="56" t="inlineStr">
        <is>
          <t>Registro florístico preliminar, sin colecta ni determinación botánica formal. Debe cerrarse con colecta botánica en la siguiente campaña. (Verificación heredada de la ficha de resumen V6.)</t>
        </is>
      </c>
    </row>
    <row r="22">
      <c r="A22" s="57" t="inlineStr">
        <is>
          <t>H-02</t>
        </is>
      </c>
      <c r="B22" s="57" t="inlineStr">
        <is>
          <t>Representatividad del levantamiento</t>
        </is>
      </c>
      <c r="C22" s="57" t="inlineStr">
        <is>
          <t>Ninguna de las estaciones fotográficas georreferenciadas se localiza dentro del polígono del bloque</t>
        </is>
      </c>
      <c r="D22" s="57" t="inlineStr">
        <is>
          <t>SUSTANTIVA</t>
        </is>
      </c>
      <c r="E22" s="57" t="inlineStr">
        <is>
          <t>La verificación documenta el perímetro y la vista panorámica del bloque, no su interior. Los parámetros que exigen recorrido interno se consignan «Por determinar». (Verificación heredada de la ficha de resumen V6.)</t>
        </is>
      </c>
    </row>
    <row r="23">
      <c r="A23" s="56" t="inlineStr">
        <is>
          <t>H-03</t>
        </is>
      </c>
      <c r="B23" s="56" t="inlineStr">
        <is>
          <t>Centro poblado asociado</t>
        </is>
      </c>
      <c r="C23" s="56" t="inlineStr">
        <is>
          <t>La ficha DT declara «Shuturumbe»; el cruce INEI-Bloques V5 identifica 1 centro(s) poblado(s) en el bloque: SHUTURUMBE</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4">
      <c r="A24" s="57" t="inlineStr">
        <is>
          <t>H-04</t>
        </is>
      </c>
      <c r="B24" s="57" t="inlineStr">
        <is>
          <t>F-DT-02</t>
        </is>
      </c>
      <c r="C24" s="57" t="inlineStr">
        <is>
          <t>N.° de cárcavas = 0 sin inventario georreferenciado; no equivale a ausencia verificada</t>
        </is>
      </c>
      <c r="D24" s="57" t="inlineStr">
        <is>
          <t>SUSTANTIVA</t>
        </is>
      </c>
      <c r="E24" s="57" t="inlineStr">
        <is>
          <t>Declarado en la propia ficha; levantar con ortomosaico y MDS (Verificación heredada de la ficha de resumen V6.)</t>
        </is>
      </c>
    </row>
    <row r="25">
      <c r="A25" s="56" t="inlineStr">
        <is>
          <t>H-05</t>
        </is>
      </c>
      <c r="B25" s="56" t="inlineStr">
        <is>
          <t>F-DT-03</t>
        </is>
      </c>
      <c r="C25" s="56" t="inlineStr">
        <is>
          <t>Registro florístico de 10 entradas (incluidas especies cultivadas) frente a las 15 especies exigidas por la ficha</t>
        </is>
      </c>
      <c r="D25" s="56" t="inlineStr">
        <is>
          <t>SUSTANTIVA</t>
        </is>
      </c>
      <c r="E25" s="56" t="inlineStr">
        <is>
          <t>Colecta e identificación botánica pendientes (Verificación heredada de la ficha de resumen V6.)</t>
        </is>
      </c>
    </row>
    <row r="26">
      <c r="A26" s="57" t="inlineStr">
        <is>
          <t>H-06</t>
        </is>
      </c>
      <c r="B26" s="57" t="inlineStr">
        <is>
          <t>F-DT-01</t>
        </is>
      </c>
      <c r="C26" s="57" t="inlineStr">
        <is>
          <t>Punto de registro = centroide del polígono, no punto GPS de campo</t>
        </is>
      </c>
      <c r="D26" s="57" t="inlineStr">
        <is>
          <t>NO SUSTANTIVA</t>
        </is>
      </c>
      <c r="E26" s="57" t="inlineStr">
        <is>
          <t>Declarado en la propia ficha (Verificación heredada de la ficha de resumen V6.)</t>
        </is>
      </c>
    </row>
    <row r="28">
      <c r="A28" s="58" t="inlineStr">
        <is>
          <t>RESUMEN</t>
        </is>
      </c>
      <c r="B28" s="59" t="inlineStr">
        <is>
          <t>18 verificaciones</t>
        </is>
      </c>
      <c r="C28" s="59" t="inlineStr">
        <is>
          <t>SUSTANTIVA: 5 · NO SUSTANTIVA: 1 · CONFORME: 12</t>
        </is>
      </c>
    </row>
    <row r="30">
      <c r="A30"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0:E30"/>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63</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655059</t>
        </is>
      </c>
      <c r="D13" s="56" t="inlineStr">
        <is>
          <t>m</t>
        </is>
      </c>
    </row>
    <row r="14">
      <c r="A14" s="57" t="inlineStr">
        <is>
          <t>1. Identificación y localización</t>
        </is>
      </c>
      <c r="B14" s="57" t="inlineStr">
        <is>
          <t>UTM NORTE del punto de muestreo (m)</t>
        </is>
      </c>
      <c r="C14" s="57" t="inlineStr">
        <is>
          <t>9413845</t>
        </is>
      </c>
      <c r="D14" s="57" t="inlineStr">
        <is>
          <t>m</t>
        </is>
      </c>
    </row>
    <row r="15">
      <c r="A15" s="56" t="inlineStr">
        <is>
          <t>2. Parámetros físicos del terreno</t>
        </is>
      </c>
      <c r="B15" s="56" t="inlineStr">
        <is>
          <t>Altitud GPS del punto de muestreo (msnm)</t>
        </is>
      </c>
      <c r="C15" s="56" t="inlineStr">
        <is>
          <t>1520</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Sistema de laderas convexo-cóncavas tributarias de la quebrada Q9583, con paisaje de montaña dominado por matorral andino y zona agrícola. No se identifican afloramientos rocosos; la pendiente se incrementa al ascender por la ladera.</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Fuerte (cárcavas incipientes)</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Longitud total de cárcavas (m)</t>
        </is>
      </c>
      <c r="C23" s="56" t="inlineStr">
        <is>
          <t>0</t>
        </is>
      </c>
      <c r="D23" s="56" t="inlineStr">
        <is>
          <t>m</t>
        </is>
      </c>
    </row>
    <row r="24">
      <c r="A24" s="57" t="inlineStr">
        <is>
          <t>4. Suelos y erosión (F-DT-02)</t>
        </is>
      </c>
      <c r="B24" s="57" t="inlineStr">
        <is>
          <t>% del bloque afectado por cárcavas</t>
        </is>
      </c>
      <c r="C24" s="57" t="inlineStr">
        <is>
          <t>0</t>
        </is>
      </c>
      <c r="D24" s="57" t="inlineStr">
        <is>
          <t>%</t>
        </is>
      </c>
    </row>
    <row r="25">
      <c r="A25" s="56" t="inlineStr">
        <is>
          <t>4. Suelos y erosión (F-DT-02)</t>
        </is>
      </c>
      <c r="B25" s="56" t="inlineStr">
        <is>
          <t>Patrón de cárcavas</t>
        </is>
      </c>
      <c r="C25" s="56" t="inlineStr">
        <is>
          <t>Aislado</t>
        </is>
      </c>
      <c r="D25" s="56" t="inlineStr"/>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Fenología dominante</t>
        </is>
      </c>
      <c r="C27" s="56" t="inlineStr">
        <is>
          <t>Vegetativo</t>
        </is>
      </c>
      <c r="D27" s="56" t="inlineStr"/>
    </row>
    <row r="28">
      <c r="A28" s="57" t="inlineStr">
        <is>
          <t>5. Ecosistema, cobertura y flora (F-DT-03)</t>
        </is>
      </c>
      <c r="B28" s="57" t="inlineStr">
        <is>
          <t>Pendiente de la parcela (%)</t>
        </is>
      </c>
      <c r="C28" s="57" t="inlineStr">
        <is>
          <t>35.5</t>
        </is>
      </c>
      <c r="D28" s="57" t="inlineStr">
        <is>
          <t>%</t>
        </is>
      </c>
    </row>
    <row r="29">
      <c r="A29" s="56" t="inlineStr">
        <is>
          <t>6. Degradación, causas y urgencia (F-DT-04)</t>
        </is>
      </c>
      <c r="B29" s="56" t="inlineStr">
        <is>
          <t>Causas directas de la degradación</t>
        </is>
      </c>
      <c r="C29" s="56" t="inlineStr">
        <is>
          <t>Sobrepastoreo (caprino/vacuno) (Fuerte); Cambio de uso a agricultura (Moderada); Cambio de uso a pastoreo (Moderada); Erosión natural severa (Moderada); Expansión urbana / vial (Ligera)</t>
        </is>
      </c>
      <c r="D29" s="56" t="inlineStr"/>
    </row>
    <row r="30">
      <c r="A30" s="57" t="inlineStr">
        <is>
          <t>6. Degradación, causas y urgencia (F-DT-04)</t>
        </is>
      </c>
      <c r="B30" s="57" t="inlineStr">
        <is>
          <t>N.° de causas activas en la matriz F-DT-04</t>
        </is>
      </c>
      <c r="C30" s="57" t="inlineStr">
        <is>
          <t>5</t>
        </is>
      </c>
      <c r="D30" s="57" t="inlineStr"/>
    </row>
    <row r="31">
      <c r="A31" s="56" t="inlineStr">
        <is>
          <t>7. Hidrología, acceso y logística (F-DT-05)</t>
        </is>
      </c>
      <c r="B31" s="56" t="inlineStr">
        <is>
          <t>Escorrentía concentrada</t>
        </is>
      </c>
      <c r="C31" s="56" t="inlineStr">
        <is>
          <t>Sí</t>
        </is>
      </c>
      <c r="D31" s="56" t="inlineStr"/>
    </row>
    <row r="32">
      <c r="A32" s="57" t="inlineStr">
        <is>
          <t>7. Hidrología, acceso y logística (F-DT-05)</t>
        </is>
      </c>
      <c r="B32" s="57" t="inlineStr">
        <is>
          <t>Fuentes de agua inventariadas</t>
        </is>
      </c>
      <c r="C32" s="57" t="inlineStr">
        <is>
          <t>2</t>
        </is>
      </c>
      <c r="D32" s="57" t="inlineStr"/>
    </row>
    <row r="33">
      <c r="A33" s="56" t="inlineStr">
        <is>
          <t>7. Hidrología, acceso y logística (F-DT-05)</t>
        </is>
      </c>
      <c r="B33" s="56" t="inlineStr">
        <is>
          <t>Vía principal de acceso</t>
        </is>
      </c>
      <c r="C33" s="56" t="inlineStr">
        <is>
          <t>Vía afirmada Canchaque – Coyona</t>
        </is>
      </c>
      <c r="D33" s="56" t="inlineStr"/>
    </row>
    <row r="34">
      <c r="A34" s="57" t="inlineStr">
        <is>
          <t>7. Hidrología, acceso y logística (F-DT-05)</t>
        </is>
      </c>
      <c r="B34" s="57" t="inlineStr">
        <is>
          <t>Tipo de vía del tramo final</t>
        </is>
      </c>
      <c r="C34" s="57" t="inlineStr">
        <is>
          <t>Vecinal afirmada</t>
        </is>
      </c>
      <c r="D34" s="57" t="inlineStr"/>
    </row>
    <row r="35">
      <c r="A35" s="56" t="inlineStr">
        <is>
          <t>7. Hidrología, acceso y logística (F-DT-05)</t>
        </is>
      </c>
      <c r="B35" s="56" t="inlineStr">
        <is>
          <t>Transitabilidad en época seca</t>
        </is>
      </c>
      <c r="C35" s="56" t="inlineStr">
        <is>
          <t>Medio</t>
        </is>
      </c>
      <c r="D35" s="56" t="inlineStr"/>
    </row>
    <row r="36">
      <c r="A36" s="57" t="inlineStr">
        <is>
          <t>7. Hidrología, acceso y logística (F-DT-05)</t>
        </is>
      </c>
      <c r="B36" s="57" t="inlineStr">
        <is>
          <t>Transitabilidad en época lluviosa</t>
        </is>
      </c>
      <c r="C36" s="57" t="inlineStr">
        <is>
          <t>Bajo</t>
        </is>
      </c>
      <c r="D36" s="57" t="inlineStr"/>
    </row>
    <row r="37">
      <c r="A37" s="56" t="inlineStr">
        <is>
          <t>7. Hidrología, acceso y logística (F-DT-05)</t>
        </is>
      </c>
      <c r="B37" s="56" t="inlineStr">
        <is>
          <t>Requiere coordinación con ronda / comunidad</t>
        </is>
      </c>
      <c r="C37" s="56" t="inlineStr">
        <is>
          <t>Sí</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51</v>
      </c>
      <c r="C41" s="56" t="inlineStr">
        <is>
          <t>Verificación en campo. Fichas F-DT-01 a F-DT-05 de la Plantilla DT Campo Check Validada V5, suscritas por el evaluador.</t>
        </is>
      </c>
    </row>
    <row r="42">
      <c r="A42" s="57" t="inlineStr">
        <is>
          <t>Gabinete (GIS / teledetección)</t>
        </is>
      </c>
      <c r="B42" s="57" t="n">
        <v>23</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2</v>
      </c>
      <c r="C48" s="57" t="inlineStr">
        <is>
          <t>Solo una de las fuentes lo declara y se adopta ese valor.</t>
        </is>
      </c>
    </row>
    <row r="49">
      <c r="A49" s="56" t="inlineStr">
        <is>
          <t>ACTUALIZADO</t>
        </is>
      </c>
      <c r="B49" s="56" t="n">
        <v>0</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26</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63</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pentandra</t>
        </is>
      </c>
      <c r="D13" s="56" t="inlineStr"/>
      <c r="E13" s="56" t="inlineStr">
        <is>
          <t>Arbóreo medio (8-15 m)</t>
        </is>
      </c>
      <c r="F13" s="56" t="inlineStr">
        <is>
          <t>Nativa</t>
        </is>
      </c>
      <c r="G13" s="56" t="inlineStr">
        <is>
          <t>Ocasional (1-5%)</t>
        </is>
      </c>
      <c r="H13" s="56" t="n"/>
      <c r="I13" s="56" t="n"/>
    </row>
    <row r="14">
      <c r="A14" s="57" t="inlineStr">
        <is>
          <t>2</t>
        </is>
      </c>
      <c r="B14" s="57" t="inlineStr">
        <is>
          <t>Pasallo</t>
        </is>
      </c>
      <c r="C14" s="57" t="inlineStr">
        <is>
          <t>Eriotheca ruizii</t>
        </is>
      </c>
      <c r="D14" s="57" t="inlineStr"/>
      <c r="E14" s="57" t="inlineStr">
        <is>
          <t>Arbóreo bajo (4-8 m)</t>
        </is>
      </c>
      <c r="F14" s="57" t="inlineStr">
        <is>
          <t>Nativa</t>
        </is>
      </c>
      <c r="G14" s="57" t="inlineStr">
        <is>
          <t>Ocasional (1-5%)</t>
        </is>
      </c>
      <c r="H14" s="57" t="n"/>
      <c r="I14" s="57" t="n"/>
    </row>
    <row r="15">
      <c r="A15" s="56" t="inlineStr">
        <is>
          <t>3</t>
        </is>
      </c>
      <c r="B15" s="56" t="inlineStr">
        <is>
          <t>Charán</t>
        </is>
      </c>
      <c r="C15" s="56" t="inlineStr">
        <is>
          <t>Caesalpinea paipai</t>
        </is>
      </c>
      <c r="D15" s="56" t="inlineStr"/>
      <c r="E15" s="56" t="inlineStr">
        <is>
          <t>Arbóreo bajo (4-8 m)</t>
        </is>
      </c>
      <c r="F15" s="56" t="inlineStr">
        <is>
          <t>Nativa</t>
        </is>
      </c>
      <c r="G15" s="56" t="inlineStr">
        <is>
          <t>Ocasional (1-5%)</t>
        </is>
      </c>
      <c r="H15" s="56" t="n"/>
      <c r="I15" s="56" t="n"/>
    </row>
    <row r="16">
      <c r="A16" s="57" t="inlineStr">
        <is>
          <t>4</t>
        </is>
      </c>
      <c r="B16" s="57" t="inlineStr">
        <is>
          <t>Roble</t>
        </is>
      </c>
      <c r="C16" s="57" t="inlineStr">
        <is>
          <t>Grevilea robusta</t>
        </is>
      </c>
      <c r="D16" s="57" t="inlineStr"/>
      <c r="E16" s="57" t="inlineStr">
        <is>
          <t>Arbóreo superior (&gt;15 m)</t>
        </is>
      </c>
      <c r="F16" s="57" t="inlineStr">
        <is>
          <t>Introducida</t>
        </is>
      </c>
      <c r="G16" s="57" t="inlineStr">
        <is>
          <t>Ocasional (1-5%)</t>
        </is>
      </c>
      <c r="H16" s="57" t="n"/>
      <c r="I16" s="57" t="n"/>
    </row>
    <row r="17">
      <c r="A17" s="56" t="inlineStr">
        <is>
          <t>5</t>
        </is>
      </c>
      <c r="B17" s="56" t="inlineStr">
        <is>
          <t>Nogal</t>
        </is>
      </c>
      <c r="C17" s="56" t="inlineStr">
        <is>
          <t>Juglans neotropica</t>
        </is>
      </c>
      <c r="D17" s="56" t="inlineStr"/>
      <c r="E17" s="56" t="inlineStr">
        <is>
          <t>Arbóreo superior (&gt;15 m)</t>
        </is>
      </c>
      <c r="F17" s="56" t="inlineStr">
        <is>
          <t>Nativa</t>
        </is>
      </c>
      <c r="G17" s="56" t="inlineStr">
        <is>
          <t>Ocasional (1-5%)</t>
        </is>
      </c>
      <c r="H17" s="56" t="n"/>
      <c r="I17" s="56" t="n"/>
    </row>
    <row r="18">
      <c r="A18" s="57" t="inlineStr">
        <is>
          <t>6</t>
        </is>
      </c>
      <c r="B18" s="57" t="inlineStr">
        <is>
          <t>Guaba/Pacae</t>
        </is>
      </c>
      <c r="C18" s="57" t="inlineStr">
        <is>
          <t>Inga spp.</t>
        </is>
      </c>
      <c r="D18" s="57" t="inlineStr"/>
      <c r="E18" s="57" t="inlineStr">
        <is>
          <t>Arbóreo medio (8-15 m)</t>
        </is>
      </c>
      <c r="F18" s="57" t="inlineStr">
        <is>
          <t>Nativa</t>
        </is>
      </c>
      <c r="G18" s="57" t="inlineStr">
        <is>
          <t>Ocasional (1-5%)</t>
        </is>
      </c>
      <c r="H18" s="57" t="n"/>
      <c r="I18" s="57" t="n"/>
    </row>
    <row r="19">
      <c r="A19" s="56" t="inlineStr">
        <is>
          <t>7</t>
        </is>
      </c>
      <c r="B19" s="56" t="inlineStr">
        <is>
          <t>Café</t>
        </is>
      </c>
      <c r="C19" s="56" t="inlineStr"/>
      <c r="D19" s="56" t="inlineStr"/>
      <c r="E19" s="56" t="inlineStr"/>
      <c r="F19" s="56" t="inlineStr"/>
      <c r="G19" s="56" t="inlineStr">
        <is>
          <t>Ocasional (1-5%)</t>
        </is>
      </c>
      <c r="H19" s="56" t="n"/>
      <c r="I19" s="56" t="n"/>
    </row>
    <row r="20">
      <c r="A20" s="57" t="inlineStr">
        <is>
          <t>8</t>
        </is>
      </c>
      <c r="B20" s="57" t="inlineStr">
        <is>
          <t>Cítricos</t>
        </is>
      </c>
      <c r="C20" s="57" t="inlineStr"/>
      <c r="D20" s="57" t="inlineStr"/>
      <c r="E20" s="57" t="inlineStr"/>
      <c r="F20" s="57" t="inlineStr"/>
      <c r="G20" s="57" t="inlineStr">
        <is>
          <t>Ocasional (1-5%)</t>
        </is>
      </c>
      <c r="H20" s="57" t="n"/>
      <c r="I20" s="57" t="n"/>
    </row>
    <row r="21">
      <c r="A21" s="56" t="inlineStr">
        <is>
          <t>9</t>
        </is>
      </c>
      <c r="B21" s="56" t="inlineStr">
        <is>
          <t>Pastos cultivados</t>
        </is>
      </c>
      <c r="C21" s="56" t="inlineStr">
        <is>
          <t>Brachiaria / Pennisetum spp.</t>
        </is>
      </c>
      <c r="D21" s="56" t="inlineStr">
        <is>
          <t>Poaceae</t>
        </is>
      </c>
      <c r="E21" s="56" t="inlineStr">
        <is>
          <t>Herbáceo (&lt;0.5 m)</t>
        </is>
      </c>
      <c r="F21" s="56" t="inlineStr">
        <is>
          <t>Introducida</t>
        </is>
      </c>
      <c r="G21" s="56" t="inlineStr">
        <is>
          <t>Abundante (20-40%)</t>
        </is>
      </c>
      <c r="H21" s="56" t="n"/>
      <c r="I21" s="56" t="n"/>
    </row>
    <row r="22">
      <c r="A22" s="57" t="inlineStr">
        <is>
          <t>10</t>
        </is>
      </c>
      <c r="B22" s="57" t="inlineStr">
        <is>
          <t>Maíz</t>
        </is>
      </c>
      <c r="C22" s="57" t="inlineStr"/>
      <c r="D22" s="57" t="inlineStr"/>
      <c r="E22" s="57" t="inlineStr">
        <is>
          <t>Herbáceo (&lt;0.5 m)</t>
        </is>
      </c>
      <c r="F22" s="57" t="inlineStr"/>
      <c r="G22" s="57" t="inlineStr"/>
      <c r="H22" s="57" t="n"/>
      <c r="I22" s="57" t="n"/>
    </row>
    <row r="24">
      <c r="A24" s="54" t="inlineStr">
        <is>
          <t>F-DT-03 · ESPECIES CLAVE GEORREFERENCIADAS</t>
        </is>
      </c>
    </row>
    <row r="25">
      <c r="A25" s="55" t="inlineStr">
        <is>
          <t>N.o</t>
        </is>
      </c>
      <c r="B25" s="55" t="inlineStr">
        <is>
          <t>Especie</t>
        </is>
      </c>
      <c r="C25" s="55" t="inlineStr">
        <is>
          <t>Categoría</t>
        </is>
      </c>
      <c r="D25" s="55" t="inlineStr">
        <is>
          <t>Estado UICN</t>
        </is>
      </c>
      <c r="E25" s="55" t="inlineStr">
        <is>
          <t>UTM ESTE</t>
        </is>
      </c>
      <c r="F25" s="55" t="inlineStr">
        <is>
          <t>UTM NORTE</t>
        </is>
      </c>
      <c r="G25" s="55" t="inlineStr">
        <is>
          <t>N.° individuos</t>
        </is>
      </c>
      <c r="H25" s="55" t="inlineStr">
        <is>
          <t>Observación</t>
        </is>
      </c>
    </row>
    <row r="27">
      <c r="A27" s="54" t="inlineStr">
        <is>
          <t>F-DT-04 · MATRIZ DE CAUSAS DE DEGRADACIÓN</t>
        </is>
      </c>
    </row>
    <row r="28">
      <c r="A28" s="55" t="inlineStr">
        <is>
          <t>N.o</t>
        </is>
      </c>
      <c r="B28" s="55" t="inlineStr">
        <is>
          <t>Causa</t>
        </is>
      </c>
      <c r="C28" s="55" t="inlineStr">
        <is>
          <t>Presencia</t>
        </is>
      </c>
      <c r="D28" s="55" t="inlineStr">
        <is>
          <t>Intensidad</t>
        </is>
      </c>
      <c r="E28" s="55" t="inlineStr">
        <is>
          <t>Extensión</t>
        </is>
      </c>
      <c r="F28" s="55" t="inlineStr">
        <is>
          <t>Antigüedad</t>
        </is>
      </c>
      <c r="G28" s="55" t="inlineStr">
        <is>
          <t>Evidencia</t>
        </is>
      </c>
    </row>
    <row r="29">
      <c r="A29" s="56" t="inlineStr">
        <is>
          <t>1</t>
        </is>
      </c>
      <c r="B29" s="56" t="inlineStr">
        <is>
          <t>Sobrepastoreo (caprino/vacuno)</t>
        </is>
      </c>
      <c r="C29" s="56" t="inlineStr">
        <is>
          <t>Sí</t>
        </is>
      </c>
      <c r="D29" s="56" t="inlineStr">
        <is>
          <t>Fuerte</t>
        </is>
      </c>
      <c r="E29" s="56" t="inlineStr">
        <is>
          <t>40</t>
        </is>
      </c>
      <c r="F29" s="56" t="inlineStr"/>
      <c r="G29" s="56" t="inlineStr">
        <is>
          <t>Pastoreo extensivo de vacunos de Shuturumbe; estrías, surcos y compactación por pisoteo</t>
        </is>
      </c>
    </row>
    <row r="30">
      <c r="A30" s="57" t="inlineStr">
        <is>
          <t>2</t>
        </is>
      </c>
      <c r="B30" s="57" t="inlineStr">
        <is>
          <t>Tala para leña</t>
        </is>
      </c>
      <c r="C30" s="57" t="inlineStr"/>
      <c r="D30" s="57" t="inlineStr"/>
      <c r="E30" s="57" t="inlineStr"/>
      <c r="F30" s="57" t="inlineStr"/>
      <c r="G30" s="57" t="inlineStr"/>
    </row>
    <row r="31">
      <c r="A31" s="56" t="inlineStr">
        <is>
          <t>3</t>
        </is>
      </c>
      <c r="B31" s="56" t="inlineStr">
        <is>
          <t>Tala para carbón</t>
        </is>
      </c>
      <c r="C31" s="56" t="inlineStr"/>
      <c r="D31" s="56" t="inlineStr"/>
      <c r="E31" s="56" t="inlineStr"/>
      <c r="F31" s="56" t="inlineStr"/>
      <c r="G31" s="56" t="inlineStr"/>
    </row>
    <row r="32">
      <c r="A32" s="57" t="inlineStr">
        <is>
          <t>4</t>
        </is>
      </c>
      <c r="B32" s="57" t="inlineStr">
        <is>
          <t>Tala para madera</t>
        </is>
      </c>
      <c r="C32" s="57" t="inlineStr"/>
      <c r="D32" s="57" t="inlineStr"/>
      <c r="E32" s="57" t="inlineStr"/>
      <c r="F32" s="57" t="inlineStr"/>
      <c r="G32" s="57" t="inlineStr"/>
    </row>
    <row r="33">
      <c r="A33" s="56" t="inlineStr">
        <is>
          <t>5</t>
        </is>
      </c>
      <c r="B33" s="56" t="inlineStr">
        <is>
          <t>Quema (renovación de pastos)</t>
        </is>
      </c>
      <c r="C33" s="56" t="inlineStr"/>
      <c r="D33" s="56" t="inlineStr"/>
      <c r="E33" s="56" t="inlineStr"/>
      <c r="F33" s="56" t="inlineStr"/>
      <c r="G33" s="56" t="inlineStr"/>
    </row>
    <row r="34">
      <c r="A34" s="57" t="inlineStr">
        <is>
          <t>6</t>
        </is>
      </c>
      <c r="B34" s="57" t="inlineStr">
        <is>
          <t>Quema accidental / Incendio</t>
        </is>
      </c>
      <c r="C34" s="57" t="inlineStr"/>
      <c r="D34" s="57" t="inlineStr"/>
      <c r="E34" s="57" t="inlineStr"/>
      <c r="F34" s="57" t="inlineStr"/>
      <c r="G34" s="57" t="inlineStr"/>
    </row>
    <row r="35">
      <c r="A35" s="56" t="inlineStr">
        <is>
          <t>7</t>
        </is>
      </c>
      <c r="B35" s="56" t="inlineStr">
        <is>
          <t>Cambio de uso a agricultura</t>
        </is>
      </c>
      <c r="C35" s="56" t="inlineStr">
        <is>
          <t>Sí</t>
        </is>
      </c>
      <c r="D35" s="56" t="inlineStr">
        <is>
          <t>Moderada</t>
        </is>
      </c>
      <c r="E35" s="56" t="inlineStr">
        <is>
          <t>25</t>
        </is>
      </c>
      <c r="F35" s="56" t="inlineStr"/>
      <c r="G35" s="56" t="inlineStr">
        <is>
          <t>Cultivos de café, pastos y otros productos agrícolas</t>
        </is>
      </c>
    </row>
    <row r="36">
      <c r="A36" s="57" t="inlineStr">
        <is>
          <t>8</t>
        </is>
      </c>
      <c r="B36" s="57" t="inlineStr">
        <is>
          <t>Cambio de uso a pastoreo</t>
        </is>
      </c>
      <c r="C36" s="57" t="inlineStr">
        <is>
          <t>Sí</t>
        </is>
      </c>
      <c r="D36" s="57" t="inlineStr">
        <is>
          <t>Moderada</t>
        </is>
      </c>
      <c r="E36" s="57" t="inlineStr">
        <is>
          <t>20</t>
        </is>
      </c>
      <c r="F36" s="57" t="inlineStr"/>
      <c r="G36" s="57" t="inlineStr">
        <is>
          <t>Conversión de matorral a pastizal de uso ganadero</t>
        </is>
      </c>
    </row>
    <row r="37">
      <c r="A37" s="56" t="inlineStr">
        <is>
          <t>9</t>
        </is>
      </c>
      <c r="B37" s="56" t="inlineStr">
        <is>
          <t>Expansión urbana / vial</t>
        </is>
      </c>
      <c r="C37" s="56" t="inlineStr">
        <is>
          <t>Sí</t>
        </is>
      </c>
      <c r="D37" s="56" t="inlineStr">
        <is>
          <t>Ligera</t>
        </is>
      </c>
      <c r="E37" s="56" t="inlineStr">
        <is>
          <t>5</t>
        </is>
      </c>
      <c r="F37" s="56" t="inlineStr"/>
      <c r="G37" s="56" t="inlineStr">
        <is>
          <t>Vía afirmada colindante y caminos de herradura interiores</t>
        </is>
      </c>
    </row>
    <row r="38">
      <c r="A38" s="57" t="inlineStr">
        <is>
          <t>10</t>
        </is>
      </c>
      <c r="B38" s="57" t="inlineStr">
        <is>
          <t>Minería informal</t>
        </is>
      </c>
      <c r="C38" s="57" t="inlineStr"/>
      <c r="D38" s="57" t="inlineStr"/>
      <c r="E38" s="57" t="inlineStr"/>
      <c r="F38" s="57" t="inlineStr"/>
      <c r="G38" s="57" t="inlineStr"/>
    </row>
    <row r="39">
      <c r="A39" s="56" t="inlineStr">
        <is>
          <t>11</t>
        </is>
      </c>
      <c r="B39" s="56" t="inlineStr">
        <is>
          <t>Extracción de áridos (cauces)</t>
        </is>
      </c>
      <c r="C39" s="56" t="inlineStr"/>
      <c r="D39" s="56" t="inlineStr"/>
      <c r="E39" s="56" t="inlineStr"/>
      <c r="F39" s="56" t="inlineStr"/>
      <c r="G39" s="56" t="inlineStr"/>
    </row>
    <row r="40">
      <c r="A40" s="57" t="inlineStr">
        <is>
          <t>12</t>
        </is>
      </c>
      <c r="B40" s="57" t="inlineStr">
        <is>
          <t>Especies invasoras</t>
        </is>
      </c>
      <c r="C40" s="57" t="inlineStr"/>
      <c r="D40" s="57" t="inlineStr"/>
      <c r="E40" s="57" t="inlineStr"/>
      <c r="F40" s="57" t="inlineStr"/>
      <c r="G40" s="57" t="inlineStr"/>
    </row>
    <row r="41">
      <c r="A41" s="56" t="inlineStr">
        <is>
          <t>13</t>
        </is>
      </c>
      <c r="B41" s="56" t="inlineStr">
        <is>
          <t>Erosión natural severa</t>
        </is>
      </c>
      <c r="C41" s="56" t="inlineStr">
        <is>
          <t>Sí</t>
        </is>
      </c>
      <c r="D41" s="56" t="inlineStr">
        <is>
          <t>Moderada</t>
        </is>
      </c>
      <c r="E41" s="56" t="inlineStr">
        <is>
          <t>10</t>
        </is>
      </c>
      <c r="F41" s="56" t="inlineStr"/>
      <c r="G41" s="56" t="inlineStr">
        <is>
          <t>Escarpes activos, reptación de suelos y zonas escarpadas</t>
        </is>
      </c>
    </row>
    <row r="42">
      <c r="A42" s="57" t="inlineStr">
        <is>
          <t>14</t>
        </is>
      </c>
      <c r="B42" s="57" t="inlineStr">
        <is>
          <t>Sequía prolongada / CC</t>
        </is>
      </c>
      <c r="C42" s="57" t="inlineStr"/>
      <c r="D42" s="57" t="inlineStr"/>
      <c r="E42" s="57" t="inlineStr"/>
      <c r="F42" s="57" t="inlineStr"/>
      <c r="G42" s="57" t="inlineStr"/>
    </row>
    <row r="43">
      <c r="A43" s="56" t="inlineStr">
        <is>
          <t>15</t>
        </is>
      </c>
      <c r="B43" s="56" t="inlineStr">
        <is>
          <t>Plagas o enfermedades forestales</t>
        </is>
      </c>
      <c r="C43" s="56" t="inlineStr"/>
      <c r="D43" s="56" t="inlineStr"/>
      <c r="E43" s="56" t="inlineStr"/>
      <c r="F43" s="56" t="inlineStr"/>
      <c r="G43" s="56" t="inlineStr"/>
    </row>
    <row r="44">
      <c r="A44" s="57" t="inlineStr">
        <is>
          <t>16</t>
        </is>
      </c>
      <c r="B44" s="57" t="inlineStr">
        <is>
          <t>Otro</t>
        </is>
      </c>
      <c r="C44" s="57" t="inlineStr"/>
      <c r="D44" s="57" t="inlineStr"/>
      <c r="E44" s="57" t="inlineStr"/>
      <c r="F44" s="57" t="inlineStr"/>
      <c r="G44" s="57" t="inlineStr"/>
    </row>
    <row r="46">
      <c r="A46" s="54" t="inlineStr">
        <is>
          <t>F-DT-04 · INDICADORES CUANTITATIVOS</t>
        </is>
      </c>
    </row>
    <row r="47">
      <c r="A47" s="55" t="inlineStr">
        <is>
          <t>N.o</t>
        </is>
      </c>
      <c r="B47" s="55" t="inlineStr">
        <is>
          <t>Indicador</t>
        </is>
      </c>
      <c r="C47" s="55" t="inlineStr">
        <is>
          <t>Unidad</t>
        </is>
      </c>
      <c r="D47" s="55" t="inlineStr">
        <is>
          <t>Valor</t>
        </is>
      </c>
      <c r="E47" s="55" t="inlineStr">
        <is>
          <t>Fuente</t>
        </is>
      </c>
      <c r="F47" s="55" t="inlineStr">
        <is>
          <t>Umbral</t>
        </is>
      </c>
      <c r="G47" s="55" t="inlineStr">
        <is>
          <t>Nivel</t>
        </is>
      </c>
    </row>
    <row r="48">
      <c r="A48" s="56" t="inlineStr">
        <is>
          <t>1</t>
        </is>
      </c>
      <c r="B48" s="56" t="inlineStr">
        <is>
          <t>Cobertura vegetal total</t>
        </is>
      </c>
      <c r="C48" s="56" t="inlineStr">
        <is>
          <t>%</t>
        </is>
      </c>
      <c r="D48" s="56" t="inlineStr">
        <is>
          <t>97.16</t>
        </is>
      </c>
      <c r="E48" s="56" t="inlineStr">
        <is>
          <t>MSAVI 2024 (clases &gt; 0.4976), conteo de píxeles</t>
        </is>
      </c>
      <c r="F48" s="56" t="inlineStr">
        <is>
          <t>&gt;60% bueno; 30-60% medio; &lt;30% malo</t>
        </is>
      </c>
      <c r="G48" s="56" t="inlineStr">
        <is>
          <t>Alto</t>
        </is>
      </c>
    </row>
    <row r="49">
      <c r="A49" s="57" t="inlineStr">
        <is>
          <t>2</t>
        </is>
      </c>
      <c r="B49" s="57" t="inlineStr">
        <is>
          <t>Porcentaje de suelo desnudo</t>
        </is>
      </c>
      <c r="C49" s="57" t="inlineStr">
        <is>
          <t>%</t>
        </is>
      </c>
      <c r="D49" s="57" t="inlineStr">
        <is>
          <t>0</t>
        </is>
      </c>
      <c r="E49" s="57" t="inlineStr">
        <is>
          <t>MSAVI 2024 (clase &lt;= 0.2650)</t>
        </is>
      </c>
      <c r="F49" s="57" t="inlineStr">
        <is>
          <t>&lt;10% bueno; 10-30% medio; &gt;30% malo</t>
        </is>
      </c>
      <c r="G49" s="57" t="inlineStr">
        <is>
          <t>Bajo</t>
        </is>
      </c>
    </row>
    <row r="50">
      <c r="A50" s="56" t="inlineStr">
        <is>
          <t>3</t>
        </is>
      </c>
      <c r="B50" s="56" t="inlineStr">
        <is>
          <t>Densidad de cárcavas</t>
        </is>
      </c>
      <c r="C50" s="56" t="inlineStr">
        <is>
          <t>N°/ha</t>
        </is>
      </c>
      <c r="D50" s="56" t="inlineStr">
        <is>
          <t>Por determinar</t>
        </is>
      </c>
      <c r="E50" s="56" t="inlineStr">
        <is>
          <t>Inventario de cárcavas no ejecutado</t>
        </is>
      </c>
      <c r="F50" s="56" t="inlineStr">
        <is>
          <t>0 nulo; 1-3 medio; &gt;3 alto</t>
        </is>
      </c>
      <c r="G50" s="56" t="inlineStr"/>
    </row>
    <row r="51">
      <c r="A51" s="57" t="inlineStr">
        <is>
          <t>4</t>
        </is>
      </c>
      <c r="B51" s="57" t="inlineStr">
        <is>
          <t>Presencia de especies invasoras</t>
        </is>
      </c>
      <c r="C51" s="57" t="inlineStr">
        <is>
          <t>% área</t>
        </is>
      </c>
      <c r="D51" s="57" t="inlineStr">
        <is>
          <t>Por determinar</t>
        </is>
      </c>
      <c r="E51" s="57" t="inlineStr">
        <is>
          <t>Sin verificación botánica</t>
        </is>
      </c>
      <c r="F51" s="57" t="inlineStr">
        <is>
          <t>&lt;5% bueno; 5-20% medio; &gt;20% alto</t>
        </is>
      </c>
      <c r="G51" s="57" t="inlineStr"/>
    </row>
    <row r="52">
      <c r="A52" s="56" t="inlineStr">
        <is>
          <t>5</t>
        </is>
      </c>
      <c r="B52" s="56" t="inlineStr">
        <is>
          <t>Carga ganadera estimada</t>
        </is>
      </c>
      <c r="C52" s="56" t="inlineStr">
        <is>
          <t>UA/ha</t>
        </is>
      </c>
      <c r="D52" s="56" t="inlineStr">
        <is>
          <t>Por determinar</t>
        </is>
      </c>
      <c r="E52" s="56" t="inlineStr">
        <is>
          <t>Sin conteo de unidades animales</t>
        </is>
      </c>
      <c r="F52" s="56" t="inlineStr">
        <is>
          <t>Según tipo de ecosistema</t>
        </is>
      </c>
      <c r="G52" s="56" t="inlineStr"/>
    </row>
    <row r="53">
      <c r="A53" s="57" t="inlineStr">
        <is>
          <t>6</t>
        </is>
      </c>
      <c r="B53" s="57" t="inlineStr">
        <is>
          <t>Frecuencia de quemas últimos 5 años</t>
        </is>
      </c>
      <c r="C53" s="57" t="inlineStr">
        <is>
          <t>N°</t>
        </is>
      </c>
      <c r="D53" s="57" t="inlineStr">
        <is>
          <t>Por determinar</t>
        </is>
      </c>
      <c r="E53" s="57" t="inlineStr">
        <is>
          <t>Sin serie de focos de calor</t>
        </is>
      </c>
      <c r="F53" s="57" t="inlineStr">
        <is>
          <t>0 nulo; 1-2 medio; &gt;2 alto</t>
        </is>
      </c>
      <c r="G53" s="57" t="inlineStr"/>
    </row>
    <row r="54">
      <c r="A54" s="56" t="inlineStr">
        <is>
          <t>7</t>
        </is>
      </c>
      <c r="B54" s="56" t="inlineStr">
        <is>
          <t>% área con pendiente &gt;50%</t>
        </is>
      </c>
      <c r="C54" s="56" t="inlineStr">
        <is>
          <t>%</t>
        </is>
      </c>
      <c r="D54" s="56" t="inlineStr">
        <is>
          <t>Por determinar</t>
        </is>
      </c>
      <c r="E54" s="56" t="inlineStr">
        <is>
          <t>Requiere reclasificación del MDE</t>
        </is>
      </c>
      <c r="F54" s="56" t="inlineStr">
        <is>
          <t>Factor de susceptibilidad</t>
        </is>
      </c>
      <c r="G54" s="56" t="inlineStr"/>
    </row>
    <row r="55">
      <c r="A55" s="57" t="inlineStr">
        <is>
          <t>8</t>
        </is>
      </c>
      <c r="B55" s="57" t="inlineStr">
        <is>
          <t>Distancia a vía vecinal más cercana</t>
        </is>
      </c>
      <c r="C55" s="57" t="inlineStr">
        <is>
          <t>m</t>
        </is>
      </c>
      <c r="D55" s="57" t="inlineStr">
        <is>
          <t>0</t>
        </is>
      </c>
      <c r="E55" s="57" t="inlineStr">
        <is>
          <t>Vía de acceso colindante al bloque</t>
        </is>
      </c>
      <c r="F55" s="57" t="inlineStr">
        <is>
          <t>A menor distancia → mayor presión</t>
        </is>
      </c>
      <c r="G55" s="57" t="inlineStr">
        <is>
          <t>Alto</t>
        </is>
      </c>
    </row>
    <row r="57">
      <c r="A57" s="54" t="inlineStr">
        <is>
          <t>F-DT-05 · FUENTES DE AGUA INVENTARIADAS</t>
        </is>
      </c>
    </row>
    <row r="58">
      <c r="A58" s="55" t="inlineStr">
        <is>
          <t>N.o</t>
        </is>
      </c>
      <c r="B58" s="55" t="inlineStr">
        <is>
          <t>Tipo de fuente</t>
        </is>
      </c>
      <c r="C58" s="55" t="inlineStr">
        <is>
          <t>UTM ESTE</t>
        </is>
      </c>
      <c r="D58" s="55" t="inlineStr">
        <is>
          <t>UTM NORTE</t>
        </is>
      </c>
      <c r="E58" s="55" t="inlineStr">
        <is>
          <t>Régimen</t>
        </is>
      </c>
      <c r="F58" s="55" t="inlineStr">
        <is>
          <t>Calidad</t>
        </is>
      </c>
      <c r="G58" s="55" t="inlineStr">
        <is>
          <t>Distancia (m)</t>
        </is>
      </c>
      <c r="H58" s="55" t="inlineStr">
        <is>
          <t>Uso / observación</t>
        </is>
      </c>
    </row>
    <row r="59">
      <c r="A59" s="56" t="inlineStr">
        <is>
          <t>1</t>
        </is>
      </c>
      <c r="B59" s="56" t="inlineStr">
        <is>
          <t>Quebrada permanente</t>
        </is>
      </c>
      <c r="C59" s="56" t="n"/>
      <c r="D59" s="56" t="n"/>
      <c r="E59" s="56" t="inlineStr">
        <is>
          <t>Permanente</t>
        </is>
      </c>
      <c r="F59" s="56" t="inlineStr">
        <is>
          <t>Buena (clara, sin olor, sin sedimentos)</t>
        </is>
      </c>
      <c r="G59" s="61" t="n">
        <v>0</v>
      </c>
      <c r="H59" s="56" t="inlineStr">
        <is>
          <t>Quebrada activa colindante que discurre agua proveniente de la parte alta de la montaña</t>
        </is>
      </c>
    </row>
    <row r="60">
      <c r="A60" s="57" t="inlineStr">
        <is>
          <t>2</t>
        </is>
      </c>
      <c r="B60" s="57" t="inlineStr">
        <is>
          <t>Quebrada estacional</t>
        </is>
      </c>
      <c r="C60" s="57" t="n"/>
      <c r="D60" s="57" t="n"/>
      <c r="E60" s="57" t="inlineStr">
        <is>
          <t>Estacional (lluvias)</t>
        </is>
      </c>
      <c r="F60" s="57" t="inlineStr">
        <is>
          <t>No evaluable</t>
        </is>
      </c>
      <c r="G60" s="62" t="n">
        <v>0</v>
      </c>
      <c r="H60" s="57" t="inlineStr">
        <is>
          <t>Drenajes tributarios de la quebrada Q9583 en el interior del bloque</t>
        </is>
      </c>
    </row>
    <row r="63">
      <c r="A63" s="54" t="inlineStr">
        <is>
          <t>OBSERVACIONES DEL EVALUADOR POR FICHA</t>
        </is>
      </c>
    </row>
    <row r="64">
      <c r="A64" s="55" t="inlineStr">
        <is>
          <t>Ficha</t>
        </is>
      </c>
      <c r="B64" s="55" t="inlineStr">
        <is>
          <t>Observación registrada en campo</t>
        </is>
      </c>
    </row>
    <row r="65">
      <c r="A65" s="56" t="inlineStr">
        <is>
          <t>F-DT-01</t>
        </is>
      </c>
      <c r="B65" s="56" t="inlineStr">
        <is>
          <t>Coordenadas correspondientes al CENTROIDE del polígono (Bloques V4/V5); no a un punto de muestreo GPS de campo. Altitud consignada: altitud GPS de campo 1520 msnm. Rango altitudinal del bloque según MDE: 1508–2080 msnm (amplitud 572 m); pendiente promedio 35.50 %. Centro(s) poblado(s) asociado(s): Shuturumbe. Acceso: Vía afirmada Canchaque – Coyona, margen izquierda de una quebrada s/n.</t>
        </is>
      </c>
    </row>
    <row r="66">
      <c r="A66" s="57" t="inlineStr">
        <is>
          <t>F-DT-02</t>
        </is>
      </c>
      <c r="B66" s="57" t="inlineStr">
        <is>
          <t>Nivel general de erosión moderado a severo, con erosión hídrica y por sobrepastoreo. Se observan estrías y surcos en la ladera formados por el tránsito habitual del ganado vacuno, así como zonas escarpadas. No se identifican cárcavas desarrolladas dentro del bloque. El suelo presenta compactación por pisoteo y piedras de tamaño mediano a grande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is>
      </c>
    </row>
    <row r="67">
      <c r="A67" s="56" t="inlineStr">
        <is>
          <t>F-DT-03</t>
        </is>
      </c>
      <c r="B67" s="56" t="inlineStr">
        <is>
          <t>Ecosistema declarado en campo: Matorral andino (Ma). El entregable de campo consigna cultivos de café, pastos y otros productos agrícolas sin detallar el elenco florístico del matorral andino. El inventario de 15 especies exigido por la ficha F-DT-03 queda pendiente de colecta e identificación botánica. Coberturas por estrato, alturas y DAP no medidos instrumentalmente en esta evaluación. No se confirmaron especies amenazadas del D.S. 043-2006-AG. La superficie ocupada por cultivos debe excluirse del área efectiva en el tamizaje predial.</t>
        </is>
      </c>
    </row>
    <row r="68">
      <c r="A68" s="57" t="inlineStr">
        <is>
          <t>F-DT-04</t>
        </is>
      </c>
      <c r="B68" s="57" t="inlineStr">
        <is>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is>
      </c>
    </row>
    <row r="69">
      <c r="A69" s="56" t="inlineStr">
        <is>
          <t>F-DT-05</t>
        </is>
      </c>
      <c r="B69" s="56" t="inlineStr">
        <is>
          <t>Acceso: Vía afirmada Canchaque – Coyona, margen izquierda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63</t>
        </is>
      </c>
    </row>
    <row r="7">
      <c r="A7" s="54" t="inlineStr">
        <is>
          <t>Hechos declarados por fuente</t>
        </is>
      </c>
    </row>
    <row r="8">
      <c r="A8" s="55" t="inlineStr">
        <is>
          <t>Fuente</t>
        </is>
      </c>
      <c r="B8" s="55" t="inlineStr">
        <is>
          <t>Hechos</t>
        </is>
      </c>
    </row>
    <row r="9">
      <c r="A9" s="56" t="inlineStr">
        <is>
          <t>Dato de campo</t>
        </is>
      </c>
      <c r="B9" s="56" t="n">
        <v>51</v>
      </c>
    </row>
    <row r="10">
      <c r="A10" s="57" t="inlineStr">
        <is>
          <t>Gabinete (GIS / teledetección)</t>
        </is>
      </c>
      <c r="B10" s="57" t="n">
        <v>23</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86</v>
      </c>
    </row>
    <row r="31">
      <c r="A31" s="57" t="inlineStr">
        <is>
          <t>COMPLEMENTADO</t>
        </is>
      </c>
      <c r="B31" s="57" t="n">
        <v>2</v>
      </c>
    </row>
    <row r="32">
      <c r="A32" s="56" t="inlineStr">
        <is>
          <t>ACTUALIZADO</t>
        </is>
      </c>
      <c r="B32" s="56" t="n">
        <v>0</v>
      </c>
    </row>
    <row r="33">
      <c r="A33" s="57" t="inlineStr">
        <is>
          <t>DISCREPANTE</t>
        </is>
      </c>
      <c r="B33" s="57" t="n">
        <v>0</v>
      </c>
    </row>
    <row r="34">
      <c r="A34" s="56" t="inlineStr">
        <is>
          <t>PENDIENTE</t>
        </is>
      </c>
      <c r="B34" s="56" t="n">
        <v>26</v>
      </c>
    </row>
    <row r="51">
      <c r="A51" s="54" t="inlineStr">
        <is>
          <t>Causas activas de degradación (F-DT-04)</t>
        </is>
      </c>
    </row>
    <row r="52">
      <c r="A52" s="55" t="inlineStr">
        <is>
          <t>Causa</t>
        </is>
      </c>
      <c r="B52" s="55" t="inlineStr">
        <is>
          <t>Intensidad (1 ligera - 4 muy fuerte)</t>
        </is>
      </c>
    </row>
    <row r="53">
      <c r="A53" s="56" t="inlineStr">
        <is>
          <t>Sobrepastoreo (caprino/vacuno)</t>
        </is>
      </c>
      <c r="B53" s="56" t="n">
        <v>3</v>
      </c>
    </row>
    <row r="54">
      <c r="A54" s="57" t="inlineStr">
        <is>
          <t>Cambio de uso a agricultura</t>
        </is>
      </c>
      <c r="B54" s="57" t="n">
        <v>2</v>
      </c>
    </row>
    <row r="55">
      <c r="A55" s="56" t="inlineStr">
        <is>
          <t>Cambio de uso a pastoreo</t>
        </is>
      </c>
      <c r="B55" s="56" t="n">
        <v>2</v>
      </c>
    </row>
    <row r="56">
      <c r="A56" s="57" t="inlineStr">
        <is>
          <t>Erosión natural severa</t>
        </is>
      </c>
      <c r="B56" s="57" t="n">
        <v>2</v>
      </c>
    </row>
    <row r="57">
      <c r="A57" s="56" t="inlineStr">
        <is>
          <t>Expansión urbana / vial</t>
        </is>
      </c>
      <c r="B57" s="56" t="n">
        <v>1</v>
      </c>
    </row>
    <row r="74">
      <c r="A74" s="54" t="inlineStr">
        <is>
          <t>Control de consistencia por calificación</t>
        </is>
      </c>
    </row>
    <row r="75">
      <c r="A75" s="55" t="inlineStr">
        <is>
          <t>Calificación</t>
        </is>
      </c>
      <c r="B75" s="55" t="inlineStr">
        <is>
          <t>Verificaciones</t>
        </is>
      </c>
    </row>
    <row r="76">
      <c r="A76" s="56" t="inlineStr">
        <is>
          <t>SUSTANTIVA</t>
        </is>
      </c>
      <c r="B76" s="56" t="n">
        <v>5</v>
      </c>
    </row>
    <row r="77">
      <c r="A77" s="57" t="inlineStr">
        <is>
          <t>NO SUSTANTIVA</t>
        </is>
      </c>
      <c r="B77" s="57" t="n">
        <v>1</v>
      </c>
    </row>
    <row r="78">
      <c r="A78" s="56" t="inlineStr">
        <is>
          <t>CORREGIDO</t>
        </is>
      </c>
      <c r="B78" s="56" t="n">
        <v>0</v>
      </c>
    </row>
    <row r="79">
      <c r="A79" s="57" t="inlineStr">
        <is>
          <t>CONFORME</t>
        </is>
      </c>
      <c r="B7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63 — IN Piura</dc:title>
  <dc:subject>Diagnóstico Territorial por bloque de intervención</dc:subject>
  <dcterms:created xsi:type="dcterms:W3CDTF">2026-09-08T03:39:54Z</dcterms:created>
  <dcterms:modified xsi:type="dcterms:W3CDTF">2026-09-11T20:22:31Z</dcterms:modified>
</cp:coreProperties>
</file>