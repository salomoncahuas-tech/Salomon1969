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f>
            </numRef>
          </cat>
          <val>
            <numRef>
              <f>'Gráficos de integración'!$B$47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integración'!$A$66:$A$72</f>
            </numRef>
          </cat>
          <val>
            <numRef>
              <f>'Gráficos de integración'!$B$66:$B$72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6</t>
        </is>
      </c>
    </row>
    <row r="6" ht="24" customHeight="1">
      <c r="A6" s="4" t="inlineStr">
        <is>
          <t>Diagnóstico Territorial — Plantilla DT Campo Check Validada V5 | Sistema de referencia: UTM WGS 84 Zona 17S (EPSG:32717) · Integrado con la ficha de campo F-DT vigente (Plantilla_DT_Campo_Check_Validada_V5_Bloque6.xlsx) — V7 - resumen V6 + campo F-DT integrado</t>
        </is>
      </c>
    </row>
    <row r="7"/>
    <row r="8" ht="18" customHeight="1">
      <c r="A8" s="5" t="inlineStr">
        <is>
          <t>1. IDENTIFICACIÓN Y LOCALIZACIÓN</t>
        </is>
      </c>
    </row>
    <row r="9">
      <c r="A9" s="6" t="inlineStr">
        <is>
          <t>Código del bloque</t>
        </is>
      </c>
      <c r="B9" s="7" t="inlineStr">
        <is>
          <t>6</t>
        </is>
      </c>
      <c r="C9" s="6" t="inlineStr">
        <is>
          <t>Microcuenca (catálogo)</t>
        </is>
      </c>
      <c r="D9" s="7" t="inlineStr">
        <is>
          <t>C1096-Q9547</t>
        </is>
      </c>
      <c r="E9" s="8" t="n"/>
      <c r="F9" s="8" t="n"/>
    </row>
    <row r="10">
      <c r="A10" s="6" t="inlineStr">
        <is>
          <t>Zona de planificación</t>
        </is>
      </c>
      <c r="B10" s="7" t="inlineStr">
        <is>
          <t>Z02</t>
        </is>
      </c>
      <c r="C10" s="6" t="inlineStr">
        <is>
          <t>Microcuenca declarada en ficha DT</t>
        </is>
      </c>
      <c r="D10" s="7" t="inlineStr">
        <is>
          <t>C1096-Q9547</t>
        </is>
      </c>
      <c r="E10" s="8" t="n"/>
      <c r="F10" s="8" t="n"/>
    </row>
    <row r="11">
      <c r="A11" s="6" t="inlineStr">
        <is>
          <t>Departamento</t>
        </is>
      </c>
      <c r="B11" s="7" t="inlineStr">
        <is>
          <t>Piura</t>
        </is>
      </c>
      <c r="C11" s="6" t="inlineStr">
        <is>
          <t>Provincia</t>
        </is>
      </c>
      <c r="D11" s="7" t="inlineStr">
        <is>
          <t>Ayabaca</t>
        </is>
      </c>
      <c r="E11" s="8" t="n"/>
      <c r="F11" s="8" t="n"/>
    </row>
    <row r="12">
      <c r="A12" s="6" t="inlineStr">
        <is>
          <t>Distrito</t>
        </is>
      </c>
      <c r="B12" s="7" t="inlineStr">
        <is>
          <t>Frias</t>
        </is>
      </c>
      <c r="C12" s="6" t="inlineStr">
        <is>
          <t>Capital distrital</t>
        </is>
      </c>
      <c r="D12" s="7" t="inlineStr">
        <is>
          <t>Frias</t>
        </is>
      </c>
      <c r="E12" s="8" t="n"/>
      <c r="F12" s="8" t="n"/>
    </row>
    <row r="13">
      <c r="A13" s="6" t="inlineStr">
        <is>
          <t>Centro poblado asociado</t>
        </is>
      </c>
      <c r="B13" s="7" t="inlineStr">
        <is>
          <t>Guabal/Huabal (280 hab.); entorno: Nogal, Guanábano Alto, El Común de Pilán</t>
        </is>
      </c>
      <c r="C13" s="6" t="inlineStr">
        <is>
          <t>Comunidad campesina</t>
        </is>
      </c>
      <c r="D13" s="7" t="inlineStr">
        <is>
          <t>Por verificar</t>
        </is>
      </c>
      <c r="E13" s="8" t="n"/>
      <c r="F13" s="8" t="n"/>
    </row>
    <row r="14">
      <c r="A14" s="6" t="inlineStr">
        <is>
          <t>Superficie de catálogo (V5/V6), ha</t>
        </is>
      </c>
      <c r="B14" s="7" t="n">
        <v>168.41</v>
      </c>
      <c r="C14" s="6" t="inlineStr">
        <is>
          <t>Fuente de superficie</t>
        </is>
      </c>
      <c r="D14" s="7" t="inlineStr">
        <is>
          <t>Catálogo maestro Bloques V5/V6</t>
        </is>
      </c>
      <c r="E14" s="8" t="n"/>
      <c r="F14" s="8" t="n"/>
    </row>
    <row r="15">
      <c r="A15" s="6" t="inlineStr">
        <is>
          <t>Centroide UTM ESTE (m)</t>
        </is>
      </c>
      <c r="B15" s="7" t="n">
        <v>605636</v>
      </c>
      <c r="C15" s="6" t="inlineStr">
        <is>
          <t>Centroide UTM NORTE (m)</t>
        </is>
      </c>
      <c r="D15" s="7" t="n">
        <v>9455269</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1398</v>
      </c>
      <c r="C19" s="6" t="inlineStr">
        <is>
          <t>Altitud máxima (msnm)</t>
        </is>
      </c>
      <c r="D19" s="7" t="n">
        <v>2016</v>
      </c>
      <c r="E19" s="8" t="n"/>
      <c r="F19" s="8" t="n"/>
    </row>
    <row r="20">
      <c r="A20" s="6" t="inlineStr">
        <is>
          <t>Amplitud altitudinal (m)</t>
        </is>
      </c>
      <c r="B20" s="7" t="n">
        <v>618</v>
      </c>
      <c r="C20" s="6" t="inlineStr">
        <is>
          <t>Piso altitudinal dominante</t>
        </is>
      </c>
      <c r="D20" s="7" t="inlineStr">
        <is>
          <t>1500-2000 m (Quechua media)</t>
        </is>
      </c>
      <c r="E20" s="8" t="n"/>
      <c r="F20" s="8" t="n"/>
    </row>
    <row r="21">
      <c r="A21" s="6" t="inlineStr">
        <is>
          <t>Pendiente promedio (%)</t>
        </is>
      </c>
      <c r="B21" s="7" t="n">
        <v>33.74</v>
      </c>
      <c r="C21" s="6" t="inlineStr">
        <is>
          <t>Pendiente promedio (grados)</t>
        </is>
      </c>
      <c r="D21" s="7" t="n">
        <v>18.6</v>
      </c>
      <c r="E21" s="8" t="n"/>
      <c r="F21" s="8" t="n"/>
    </row>
    <row r="22">
      <c r="A22" s="6" t="inlineStr">
        <is>
          <t>Clase de pendiente equivalente</t>
        </is>
      </c>
      <c r="B22" s="7" t="inlineStr">
        <is>
          <t>25-50% (Mod. escarpado)</t>
        </is>
      </c>
      <c r="C22" s="6" t="inlineStr">
        <is>
          <t>Rango de pendiente declarado en campo</t>
        </is>
      </c>
      <c r="D22" s="7" t="inlineStr">
        <is>
          <t>50-75%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0.5381</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mediana (52.17 %)</t>
        </is>
      </c>
      <c r="E29" s="8" t="n"/>
      <c r="F29" s="8" t="n"/>
    </row>
    <row r="30">
      <c r="A30" s="6" t="inlineStr">
        <is>
          <t>Superficie clasificada NDVI 2025 (ha)</t>
        </is>
      </c>
      <c r="B30" s="7" t="n">
        <v>168.499</v>
      </c>
      <c r="C30" s="6" t="inlineStr">
        <is>
          <t>Desviación frente al catálogo (%)</t>
        </is>
      </c>
      <c r="D30" s="7" t="n">
        <v>0.05</v>
      </c>
      <c r="E30" s="8" t="n"/>
      <c r="F30" s="8" t="n"/>
    </row>
    <row r="31">
      <c r="A31" s="6" t="inlineStr">
        <is>
          <t>Superficie clasificada MSAVI 2024 (ha)</t>
        </is>
      </c>
      <c r="B31" s="38" t="n">
        <v>168.411</v>
      </c>
      <c r="C31" s="6" t="inlineStr">
        <is>
          <t>Desviación MSAVI frente al catálogo (%)</t>
        </is>
      </c>
      <c r="D31" s="39" t="n">
        <v>0</v>
      </c>
      <c r="E31" s="8" t="n"/>
      <c r="F31" s="8" t="n"/>
    </row>
    <row r="32">
      <c r="A32" s="6" t="inlineStr">
        <is>
          <t>Superficie bajo umbral MSAVI 0.4976 (ha)</t>
        </is>
      </c>
      <c r="B32" s="38" t="n">
        <v>59.635</v>
      </c>
      <c r="C32" s="6" t="inlineStr">
        <is>
          <t>% del bloque bajo umbral (brecha espectral)</t>
        </is>
      </c>
      <c r="D32" s="39" t="n">
        <v>35.41</v>
      </c>
      <c r="E32" s="8" t="n"/>
      <c r="F32" s="8" t="n"/>
    </row>
    <row r="33">
      <c r="A33" s="6" t="inlineStr">
        <is>
          <t>Clase DN dominante (MSAVI 2024)</t>
        </is>
      </c>
      <c r="B33" s="7" t="inlineStr">
        <is>
          <t>DN 4 · 0.4976 - 0.6139 (Vigor moderado)</t>
        </is>
      </c>
      <c r="C33" s="6" t="inlineStr">
        <is>
          <t>N.° de polígonos MSAVI del bloque</t>
        </is>
      </c>
      <c r="D33" s="40" t="n">
        <v>703</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Zona agrícola 164.24 ha (97.5%) + Bes-cm 4.17 ha (2.5%); total 168.41 ha</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85</v>
      </c>
      <c r="E38" s="8" t="n"/>
      <c r="F38" s="8" t="n"/>
    </row>
    <row r="39">
      <c r="A39" s="6" t="inlineStr">
        <is>
          <t>Suelo desnudo — campo (%)</t>
        </is>
      </c>
      <c r="B39" s="7" t="n">
        <v>10</v>
      </c>
      <c r="C39" s="6" t="inlineStr">
        <is>
          <t>Regeneración natural</t>
        </is>
      </c>
      <c r="D39" s="7" t="inlineStr">
        <is>
          <t>Regular (10-50 pl./100m²)</t>
        </is>
      </c>
      <c r="E39" s="8" t="n"/>
      <c r="F39" s="8" t="n"/>
    </row>
    <row r="40">
      <c r="A40" s="6" t="inlineStr">
        <is>
          <t>Nivel general de erosión</t>
        </is>
      </c>
      <c r="B40" s="7" t="inlineStr">
        <is>
          <t>Ligera (laminar)</t>
        </is>
      </c>
      <c r="C40" s="6" t="inlineStr">
        <is>
          <t>N.° de cárcavas registradas</t>
        </is>
      </c>
      <c r="D40" s="7" t="n">
        <v>1</v>
      </c>
      <c r="E40" s="8" t="n"/>
      <c r="F40" s="8" t="n"/>
    </row>
    <row r="41">
      <c r="A41" s="6" t="inlineStr">
        <is>
          <t>Elenco florístico (n.° de taxones)</t>
        </is>
      </c>
      <c r="B41" s="7" t="n">
        <v>13</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(ANIN/DIME-SESDI)</t>
        </is>
      </c>
      <c r="C44" s="6" t="inlineStr">
        <is>
          <t>Fecha de evaluación</t>
        </is>
      </c>
      <c r="D44" s="7" t="inlineStr">
        <is>
          <t>2026-06-23</t>
        </is>
      </c>
      <c r="E44" s="8" t="n"/>
      <c r="F44" s="8" t="n"/>
    </row>
    <row r="45">
      <c r="A45" s="6" t="inlineStr">
        <is>
          <t>Hora de registro</t>
        </is>
      </c>
      <c r="B45" s="7" t="inlineStr">
        <is>
          <t>11:03-11:48 a.m.</t>
        </is>
      </c>
      <c r="C45" s="6" t="inlineStr">
        <is>
          <t>Correlativo de ficha</t>
        </is>
      </c>
      <c r="D45" s="7" t="inlineStr">
        <is>
          <t>DT-06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0" t="inlineStr">
        <is>
          <t>Recorrido de reconocimiento</t>
        </is>
      </c>
      <c r="E47" s="8" t="n"/>
      <c r="F47" s="8" t="n"/>
    </row>
    <row r="48">
      <c r="A48" s="6" t="inlineStr">
        <is>
          <t>Estaciones fotográficas georreferenciadas</t>
        </is>
      </c>
      <c r="B48" s="7" t="n">
        <v>35</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agropecuaria de subsistencia sobre laderas de fuerte pendiente, sin prácticas de conservación de suelos.</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Baja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6</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31.6575</v>
      </c>
      <c r="C10" s="19">
        <f>ROUND(B10/$B$15*100,2)</f>
        <v/>
      </c>
      <c r="D10" s="11" t="inlineStr">
        <is>
          <t>Vigor alto</t>
        </is>
      </c>
      <c r="E10" s="11" t="inlineStr">
        <is>
          <t>Sobre umbral</t>
        </is>
      </c>
    </row>
    <row r="11">
      <c r="A11" s="12" t="inlineStr">
        <is>
          <t>0.4976 - 0.6139 · DN 4</t>
        </is>
      </c>
      <c r="B11" s="30" t="n">
        <v>77.1185</v>
      </c>
      <c r="C11" s="29">
        <f>ROUND(B11/$B$15*100,2)</f>
        <v/>
      </c>
      <c r="D11" s="13" t="inlineStr">
        <is>
          <t>Vigor moderado</t>
        </is>
      </c>
      <c r="E11" s="13" t="inlineStr">
        <is>
          <t>Sobre umbral</t>
        </is>
      </c>
    </row>
    <row r="12">
      <c r="A12" s="7" t="inlineStr">
        <is>
          <t>0.3813 - 0.4976 · DN 3</t>
        </is>
      </c>
      <c r="B12" s="18" t="n">
        <v>55.3534</v>
      </c>
      <c r="C12" s="19">
        <f>ROUND(B12/$B$15*100,2)</f>
        <v/>
      </c>
      <c r="D12" s="11" t="inlineStr">
        <is>
          <t>Vigor bajo</t>
        </is>
      </c>
      <c r="E12" s="11" t="inlineStr">
        <is>
          <t>BAJO umbral 0.4976</t>
        </is>
      </c>
    </row>
    <row r="13">
      <c r="A13" s="14" t="inlineStr">
        <is>
          <t>0.2650 - 0.3813 · DN 2</t>
        </is>
      </c>
      <c r="B13" s="20" t="n">
        <v>4.2168</v>
      </c>
      <c r="C13" s="21">
        <f>ROUND(B13/$B$15*100,2)</f>
        <v/>
      </c>
      <c r="D13" s="15" t="inlineStr">
        <is>
          <t>Vigor muy bajo</t>
        </is>
      </c>
      <c r="E13" s="15" t="inlineStr">
        <is>
          <t>BAJO umbral 0.4976</t>
        </is>
      </c>
    </row>
    <row r="14">
      <c r="A14" s="7" t="inlineStr">
        <is>
          <t>&lt;= 0.2650 · DN 1</t>
        </is>
      </c>
      <c r="B14" s="18" t="n">
        <v>0.0644</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703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168.41</v>
      </c>
      <c r="C18" s="49" t="inlineStr">
        <is>
          <t>—</t>
        </is>
      </c>
      <c r="D18" s="46" t="inlineStr">
        <is>
          <t>Desviación planimétrica frente al catálogo</t>
        </is>
      </c>
      <c r="E18" s="46" t="inlineStr">
        <is>
          <t>+0.00 %</t>
        </is>
      </c>
    </row>
    <row r="19">
      <c r="A19" s="16" t="inlineStr">
        <is>
          <t>MSAVI 2024 — MEDIA DEL BLOQUE</t>
        </is>
      </c>
      <c r="B19" s="17" t="n">
        <v>0.538144</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703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(0.5381)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67.59269999999999</v>
      </c>
      <c r="C25" s="19" t="n">
        <v>40.11</v>
      </c>
      <c r="D25" s="11" t="inlineStr">
        <is>
          <t>Dosel continuo, matorral denso o mosaico agroforestal</t>
        </is>
      </c>
      <c r="E25" s="11" t="inlineStr"/>
    </row>
    <row r="26">
      <c r="A26" s="14" t="inlineStr">
        <is>
          <t>Vegetación mediana</t>
        </is>
      </c>
      <c r="B26" s="20" t="n">
        <v>87.9057</v>
      </c>
      <c r="C26" s="21" t="n">
        <v>52.17</v>
      </c>
      <c r="D26" s="15" t="inlineStr">
        <is>
          <t>Pastizal cultivado, matorral ralo, parcelas agrícolas</t>
        </is>
      </c>
      <c r="E26" s="15" t="inlineStr"/>
    </row>
    <row r="27">
      <c r="A27" s="7" t="inlineStr">
        <is>
          <t>Vegetación ligera</t>
        </is>
      </c>
      <c r="B27" s="18" t="n">
        <v>12.7614</v>
      </c>
      <c r="C27" s="19" t="n">
        <v>7.57</v>
      </c>
      <c r="D27" s="11" t="inlineStr">
        <is>
          <t>Cobertura discontinua, suelo parcialmente expuesto</t>
        </is>
      </c>
      <c r="E27" s="11" t="inlineStr"/>
    </row>
    <row r="28">
      <c r="A28" s="14" t="inlineStr">
        <is>
          <t>Tierra desnuda</t>
        </is>
      </c>
      <c r="B28" s="20" t="n">
        <v>0.2388</v>
      </c>
      <c r="C28" s="21" t="n">
        <v>0.14</v>
      </c>
      <c r="D28" s="15" t="inlineStr">
        <is>
          <t>Suelo desnudo, afloramientos, plataformas y taludes</t>
        </is>
      </c>
      <c r="E28" s="15" t="inlineStr"/>
    </row>
    <row r="29">
      <c r="A29" s="16" t="inlineStr">
        <is>
          <t>TOTAL CLASIFICADO</t>
        </is>
      </c>
      <c r="B29" s="22">
        <f>SUM(B25:B28)</f>
        <v/>
      </c>
      <c r="C29" s="23">
        <f>SUM(C25:C28)</f>
        <v/>
      </c>
      <c r="D29" s="17" t="inlineStr"/>
      <c r="E29" s="17" t="inlineStr"/>
    </row>
    <row r="30">
      <c r="A30" s="24" t="inlineStr">
        <is>
          <t>Superficie de catálogo (V5/V6)</t>
        </is>
      </c>
      <c r="B30" s="25" t="n">
        <v>168.41</v>
      </c>
      <c r="C30" s="25" t="inlineStr">
        <is>
          <t>—</t>
        </is>
      </c>
      <c r="D30" s="25" t="inlineStr">
        <is>
          <t>Desviación planimétrica frente al catálogo</t>
        </is>
      </c>
      <c r="E30" s="25" t="inlineStr">
        <is>
          <t>+0.05 %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40.11 % del polígono clasificado como «Vegetación alta» por el NDVI 2025; la observación de campo corresponde a una parcela o recorrido puntual y no es estadísticamente representativa de las 168.410 ha del bloque.</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6</t>
        </is>
      </c>
    </row>
    <row r="6" ht="24" customHeight="1">
      <c r="A6" s="4" t="inlineStr">
        <is>
          <t>Levantamiento del 2026-06-23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606182</v>
      </c>
      <c r="D10" s="26" t="n">
        <v>9455199</v>
      </c>
      <c r="E10" s="11" t="n">
        <v>550.5</v>
      </c>
      <c r="F10" s="11" t="inlineStr"/>
      <c r="G10" s="11" t="inlineStr">
        <is>
          <t>Coordenada consignada en F-DT-01</t>
        </is>
      </c>
    </row>
    <row r="11">
      <c r="A11" s="14" t="inlineStr">
        <is>
          <t>C-01</t>
        </is>
      </c>
      <c r="B11" s="15" t="inlineStr">
        <is>
          <t>Rasgo erosivo — Cicatriz de suelo expuesto en talud</t>
        </is>
      </c>
      <c r="C11" s="27" t="n">
        <v>605992</v>
      </c>
      <c r="D11" s="27" t="n">
        <v>9455103</v>
      </c>
      <c r="E11" s="15" t="n">
        <v>392.8</v>
      </c>
      <c r="F11" s="15" t="inlineStr">
        <is>
          <t>Semi-activa</t>
        </is>
      </c>
      <c r="G11" s="15" t="inlineStr">
        <is>
          <t>Concentración natural de escorrentía</t>
        </is>
      </c>
    </row>
    <row r="12">
      <c r="A12" s="7" t="inlineStr">
        <is>
          <t>H-01</t>
        </is>
      </c>
      <c r="B12" s="11" t="inlineStr">
        <is>
          <t>Fuente de agua — Quebrada estacional</t>
        </is>
      </c>
      <c r="C12" s="26" t="n">
        <v>606300</v>
      </c>
      <c r="D12" s="26" t="n">
        <v>9455240</v>
      </c>
      <c r="E12" s="11" t="n">
        <v>664.6</v>
      </c>
      <c r="F12" s="11" t="inlineStr">
        <is>
          <t>Estacional (lluvias)</t>
        </is>
      </c>
      <c r="G12" s="11" t="inlineStr">
        <is>
          <t>Quebrada tributaria</t>
        </is>
      </c>
    </row>
    <row r="13">
      <c r="A13" s="14" t="inlineStr">
        <is>
          <t>H-02</t>
        </is>
      </c>
      <c r="B13" s="15" t="inlineStr">
        <is>
          <t>Fuente de agua — Río</t>
        </is>
      </c>
      <c r="C13" s="27" t="n">
        <v>607000</v>
      </c>
      <c r="D13" s="27" t="n">
        <v>9454800</v>
      </c>
      <c r="E13" s="15" t="n">
        <v>1442.4</v>
      </c>
      <c r="F13" s="15" t="inlineStr">
        <is>
          <t>Permanente</t>
        </is>
      </c>
      <c r="G13" s="15" t="inlineStr">
        <is>
          <t>Curso principal del sector</t>
        </is>
      </c>
    </row>
    <row r="14">
      <c r="A14" s="7" t="inlineStr">
        <is>
          <t>H-03</t>
        </is>
      </c>
      <c r="B14" s="11" t="inlineStr">
        <is>
          <t>Fuente de agua — Canal de riego</t>
        </is>
      </c>
      <c r="C14" s="26" t="n">
        <v>606131</v>
      </c>
      <c r="D14" s="26" t="n">
        <v>9455221</v>
      </c>
      <c r="E14" s="11" t="n">
        <v>497.3</v>
      </c>
      <c r="F14" s="11" t="inlineStr">
        <is>
          <t>Permanente</t>
        </is>
      </c>
      <c r="G14" s="11" t="inlineStr">
        <is>
          <t>Tubería/manguera de conducción</t>
        </is>
      </c>
    </row>
    <row r="15">
      <c r="A15" s="16" t="inlineStr">
        <is>
          <t>TOTAL: 5 puntos</t>
        </is>
      </c>
      <c r="B15" s="17" t="inlineStr"/>
      <c r="C15" s="17" t="inlineStr"/>
      <c r="D15" s="17" t="inlineStr"/>
      <c r="E15" s="17" t="inlineStr"/>
      <c r="F15" s="17" t="inlineStr"/>
      <c r="G15" s="17" t="inlineStr"/>
    </row>
    <row r="17">
      <c r="A17" s="6" t="inlineStr">
        <is>
          <t>Centroide del bloque — UTM ESTE (m)</t>
        </is>
      </c>
      <c r="B17" s="7" t="n">
        <v>605636</v>
      </c>
      <c r="C17" s="6" t="inlineStr">
        <is>
          <t>Centroide del bloque — UTM NORTE (m)</t>
        </is>
      </c>
      <c r="D17" s="7" t="n">
        <v>9455269</v>
      </c>
      <c r="E17" s="8" t="n"/>
      <c r="F17" s="8" t="n"/>
      <c r="G17" s="8" t="n"/>
      <c r="H17" s="8" t="n"/>
    </row>
    <row r="18">
      <c r="A18" s="6" t="inlineStr">
        <is>
          <t>N.° de estaciones fotográficas declaradas</t>
        </is>
      </c>
      <c r="B18" s="7" t="n">
        <v>35</v>
      </c>
      <c r="C18" s="6" t="inlineStr">
        <is>
          <t>Estaciones dentro del polígono</t>
        </is>
      </c>
      <c r="D18" s="7" t="inlineStr">
        <is>
          <t>Por determinar</t>
        </is>
      </c>
      <c r="E18" s="8" t="n"/>
      <c r="F18" s="8" t="n"/>
      <c r="G18" s="8" t="n"/>
      <c r="H18" s="8" t="n"/>
    </row>
    <row r="20" ht="96"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La app fotográfica no registró altitud GPS. Rango altitudinal del MDE; pendientes (media 51.1%, máx 74.5%) del perfil Google Earth. La pendiente máxima (74.5%) se aproxima al umbral de idoneidad del proyecto (75%). Forma de terreno, pendiente y exposición son juicio experto a escala de bloque.</t>
        </is>
      </c>
      <c r="B20" s="41" t="n"/>
      <c r="C20" s="41" t="n"/>
      <c r="D20" s="41" t="n"/>
      <c r="E20" s="41" t="n"/>
      <c r="F20" s="41" t="n"/>
      <c r="G20" s="42" t="n"/>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C1096-Q9547 — BLOQUE 6</t>
        </is>
      </c>
    </row>
    <row r="6" ht="24" customHeight="1">
      <c r="A6" s="4" t="inlineStr">
        <is>
          <t>Distrito de Frias · Provincia de Ayabaca · Comparación de los bloques preliminares de intervención de la misma microcuenca</t>
        </is>
      </c>
    </row>
    <row r="8" ht="18" customHeight="1">
      <c r="A8" s="5" t="inlineStr">
        <is>
          <t>BLOQUES DE LA MICROCUENCA C1096-Q9547</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2" t="inlineStr">
        <is>
          <t>► 6</t>
        </is>
      </c>
      <c r="B10" s="28" t="n">
        <v>168.41</v>
      </c>
      <c r="C10" s="29" t="n">
        <v>53.36</v>
      </c>
      <c r="D10" s="13" t="inlineStr">
        <is>
          <t>1398 – 2016</t>
        </is>
      </c>
      <c r="E10" s="13" t="n">
        <v>618</v>
      </c>
      <c r="F10" s="13" t="n">
        <v>33.74</v>
      </c>
      <c r="G10" s="30" t="n">
        <v>0.5381</v>
      </c>
      <c r="H10" s="29" t="n">
        <v>40.11</v>
      </c>
      <c r="I10" s="29" t="n">
        <v>35.41</v>
      </c>
    </row>
    <row r="11">
      <c r="A11" s="14" t="inlineStr">
        <is>
          <t>M10B4</t>
        </is>
      </c>
      <c r="B11" s="31" t="n">
        <v>68.89</v>
      </c>
      <c r="C11" s="21" t="n">
        <v>21.83</v>
      </c>
      <c r="D11" s="15" t="inlineStr">
        <is>
          <t>170 – 313</t>
        </is>
      </c>
      <c r="E11" s="15" t="n">
        <v>143</v>
      </c>
      <c r="F11" s="15" t="n">
        <v>13.83</v>
      </c>
      <c r="G11" s="20" t="n">
        <v>0.3133</v>
      </c>
      <c r="H11" s="21" t="n">
        <v>0</v>
      </c>
      <c r="I11" s="21" t="n">
        <v>99.81</v>
      </c>
    </row>
    <row r="12">
      <c r="A12" s="7" t="inlineStr">
        <is>
          <t>25</t>
        </is>
      </c>
      <c r="B12" s="32" t="n">
        <v>53.48</v>
      </c>
      <c r="C12" s="19" t="n">
        <v>16.94</v>
      </c>
      <c r="D12" s="11" t="inlineStr">
        <is>
          <t>143 – 210</t>
        </is>
      </c>
      <c r="E12" s="11" t="n">
        <v>67</v>
      </c>
      <c r="F12" s="11" t="n">
        <v>11.68</v>
      </c>
      <c r="G12" s="18" t="n">
        <v>0.2565</v>
      </c>
      <c r="H12" s="19" t="inlineStr">
        <is>
          <t>Por determinar</t>
        </is>
      </c>
      <c r="I12" s="11" t="inlineStr">
        <is>
          <t>s/d</t>
        </is>
      </c>
    </row>
    <row r="13">
      <c r="A13" s="14" t="inlineStr">
        <is>
          <t>36</t>
        </is>
      </c>
      <c r="B13" s="31" t="n">
        <v>24.84</v>
      </c>
      <c r="C13" s="21" t="n">
        <v>7.87</v>
      </c>
      <c r="D13" s="15" t="inlineStr">
        <is>
          <t>1239 – 1476</t>
        </is>
      </c>
      <c r="E13" s="15" t="n">
        <v>237</v>
      </c>
      <c r="F13" s="15" t="n">
        <v>30.65</v>
      </c>
      <c r="G13" s="20" t="n">
        <v>0.5395</v>
      </c>
      <c r="H13" s="21" t="n">
        <v>49.11</v>
      </c>
      <c r="I13" s="21" t="n">
        <v>35.63</v>
      </c>
    </row>
    <row r="14">
      <c r="A14" s="16" t="inlineStr">
        <is>
          <t>TOTAL / PROMEDIO</t>
        </is>
      </c>
      <c r="B14" s="33">
        <f>SUM(B10:B13)</f>
        <v/>
      </c>
      <c r="C14" s="23">
        <f>SUM(C10:C13)</f>
        <v/>
      </c>
      <c r="D14" s="17" t="inlineStr">
        <is>
          <t>143 – 2016</t>
        </is>
      </c>
      <c r="E14" s="17" t="inlineStr"/>
      <c r="F14" s="17">
        <f>ROUND(AVERAGE(F10:F13),2)</f>
        <v/>
      </c>
      <c r="G14" s="22">
        <f>ROUND(AVERAGE(G10:G13),4)</f>
        <v/>
      </c>
      <c r="H14" s="23">
        <f>ROUND(AVERAGE(H10:H13),2)</f>
        <v/>
      </c>
      <c r="I14" s="23">
        <f>ROUND(AVERAGE(I10:I13),2)</f>
        <v/>
      </c>
    </row>
    <row r="15" ht="48" customHeight="1">
      <c r="A15" s="9" t="inlineStr">
        <is>
          <t>ALCANCE DE LOS PROMEDIOS. La fila TOTAL / PROMEDIO omite las celdas «Por determinar»: el promedio de VEGETACIÓN ALTA (NDVI 2025) se calcula sobre 3 de los 4 bloques; el bloque restante carece de estadística zonal de NDVI. Los totales de ÁREA y % de microcuenca sí comprenden la totalidad de los 4 bloques. No se estima ningún valor ausente.</t>
        </is>
      </c>
      <c r="B15" s="41" t="n"/>
      <c r="C15" s="41" t="n"/>
      <c r="D15" s="41" t="n"/>
      <c r="E15" s="41" t="n"/>
      <c r="F15" s="41" t="n"/>
      <c r="G15" s="41" t="n"/>
      <c r="H15" s="41" t="n"/>
      <c r="I15" s="42" t="n"/>
    </row>
    <row r="17" ht="84" customHeight="1">
      <c r="A17" s="9" t="inlineStr">
        <is>
          <t>LECTURA INTRAMICROCUENCA. El bloque 6 ocupa el puesto 1 de 4 por superficie dentro de la microcuenca C1096-Q9547 (53.36 % de las 315.62 ha preliminares de la microcuenca). Su pendiente promedio (33.74 %, clase «25-50% (Mod. escarpado)») es la 4.ª más baja de 4 y se sitúa por encima del promedio de la microcuenca (22.48 %). Su MSAVI 2024 (0.5381) es el 2.º de 4 y queda por encima del promedio local (0.4119). Amplitud altitudinal del bloque: 618 m (1398–2016 msnm). El cuadro conserva todos los bloques catalogados en la microcuenca, incluidos los descartados en el tamizaje, para referencia del conjunto. Los bloques sin ficha DT figuran con sus parámetros de gabinete. BRECHA ESPECTRAL. El 35.41 % de la superficie del bloque (59.635 ha de 168.411 ha) se sitúa bajo el umbral MSAVI 0.4976, por debajo del promedio local de la microcuenca (56.95 %) calculado sobre los bloques con dato MSAVI disponible.</t>
        </is>
      </c>
      <c r="B17" s="41" t="n"/>
      <c r="C17" s="41" t="n"/>
      <c r="D17" s="41" t="n"/>
      <c r="E17" s="41" t="n"/>
      <c r="F17" s="41" t="n"/>
      <c r="G17" s="41" t="n"/>
      <c r="H17" s="41" t="n"/>
      <c r="I17" s="42" t="n"/>
    </row>
    <row r="19" ht="60" customHeight="1">
      <c r="A19"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9" s="41" t="n"/>
      <c r="C19" s="41" t="n"/>
      <c r="D19" s="41" t="n"/>
      <c r="E19" s="41" t="n"/>
      <c r="F19" s="41" t="n"/>
      <c r="G19" s="41" t="n"/>
      <c r="H19" s="41" t="n"/>
      <c r="I19" s="42" t="n"/>
    </row>
  </sheetData>
  <mergeCells count="10">
    <mergeCell ref="A15:I15"/>
    <mergeCell ref="A19:I19"/>
    <mergeCell ref="A2:I2"/>
    <mergeCell ref="A5:I5"/>
    <mergeCell ref="A1:I1"/>
    <mergeCell ref="A17:I17"/>
    <mergeCell ref="A8:I8"/>
    <mergeCell ref="A3:I3"/>
    <mergeCell ref="A6:I6"/>
    <mergeCell ref="A4:I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6</t>
        </is>
      </c>
    </row>
    <row r="6">
      <c r="A6" s="52" t="inlineStr">
        <is>
          <t>Cruce de la ficha de campo F-DT vigente con la ficha de resumen de gabinete y el catálogo maestro. Integración 2026-09-11 21:26:29.</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«C1096-Q9547».</t>
        </is>
      </c>
      <c r="D9" s="56" t="inlineStr">
        <is>
          <t>CONFORME</t>
        </is>
      </c>
      <c r="E9" s="56" t="inlineStr">
        <is>
          <t>Sin acción.</t>
        </is>
      </c>
    </row>
    <row r="10">
      <c r="A10" s="57" t="inlineStr">
        <is>
          <t>G-02</t>
        </is>
      </c>
      <c r="B10" s="57" t="inlineStr">
        <is>
          <t>UTM del punto de muestreo</t>
        </is>
      </c>
      <c r="C10" s="57" t="inlineStr">
        <is>
          <t>El punto de muestreo declarado dista 550.5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La altitud GPS (1458 msnm) cae dentro del rango altitudinal del bloque (1398 - 2016 msnm).</t>
        </is>
      </c>
      <c r="D12" s="57" t="inlineStr">
        <is>
          <t>CONFORME</t>
        </is>
      </c>
      <c r="E12" s="57" t="inlineStr">
        <is>
          <t>Sin acción.</t>
        </is>
      </c>
    </row>
    <row r="13">
      <c r="A13" s="56" t="inlineStr">
        <is>
          <t>G-05</t>
        </is>
      </c>
      <c r="B13" s="56" t="inlineStr">
        <is>
          <t>Superficie NDVI vs. catálogo</t>
        </is>
      </c>
      <c r="C13" s="56" t="inlineStr">
        <is>
          <t>La superficie clasificada por el NDVI mediana 2025 (168.499 ha) se desvía 0.05 % de la superficie de catálogo (168.41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(168.411 ha) se desvía 0.00 % de la superficie de catálogo (168.41 ha).</t>
        </is>
      </c>
      <c r="D14" s="57" t="inlineStr">
        <is>
          <t>CONFORME</t>
        </is>
      </c>
      <c r="E14" s="57" t="inlineStr">
        <is>
          <t>Sin acción: la segmentación valida la geometría del bloque.</t>
        </is>
      </c>
    </row>
    <row r="15">
      <c r="A15" s="56" t="inlineStr">
        <is>
          <t>G-07</t>
        </is>
      </c>
      <c r="B15" s="56" t="inlineStr">
        <is>
          <t>Brecha espectral MSAVI</t>
        </is>
      </c>
      <c r="C15" s="56" t="inlineStr">
        <is>
          <t>El 35.41 % del bloque queda bajo el umbral 0.4976; superficie de brecha 59.63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168.41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(0.5381) cae en la clase «0.4976 - 0.6139 (Vigor moderado)» y la clase DN dominante por superficie es «DN 4 · 0.4976 - 0.6139 (Vigor moderado)».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F-01</t>
        </is>
      </c>
      <c r="B19" s="56" t="inlineStr">
        <is>
          <t>Fichas F-DT levantadas</t>
        </is>
      </c>
      <c r="C19" s="56" t="inlineStr">
        <is>
          <t>La plantilla de campo trae las cinco fichas F-DT-01 a F-DT-05 (completitud 100.0 % de los campos esperados).</t>
        </is>
      </c>
      <c r="D19" s="56" t="inlineStr">
        <is>
          <t>CONFORME</t>
        </is>
      </c>
      <c r="E19" s="56" t="inlineStr">
        <is>
          <t>Sin acción.</t>
        </is>
      </c>
    </row>
    <row r="20">
      <c r="A20" s="57" t="inlineStr">
        <is>
          <t>F-02</t>
        </is>
      </c>
      <c r="B20" s="57" t="inlineStr">
        <is>
          <t>Cobertura de la integración</t>
        </is>
      </c>
      <c r="C20" s="57" t="inlineStr">
        <is>
          <t>Se declararon 97 de 114 hechos integrados (85.1 %); 17 quedan sin dato en ninguna fuente.</t>
        </is>
      </c>
      <c r="D20" s="57" t="inlineStr">
        <is>
          <t>CONFORME</t>
        </is>
      </c>
      <c r="E20" s="57" t="inlineStr">
        <is>
          <t>Sin acción.</t>
        </is>
      </c>
    </row>
    <row r="21">
      <c r="A21" s="56" t="inlineStr">
        <is>
          <t>H-01</t>
        </is>
      </c>
      <c r="B21" s="56" t="inlineStr">
        <is>
          <t>Rango de pendiente dominante</t>
        </is>
      </c>
      <c r="C21" s="56" t="inlineStr">
        <is>
          <t>La ficha DT declara «50-75% (Escarpado)»; la estadística zonal sobre el MDE arroja una pendiente promedio de 33.74 %, que corresponde a la clase «25-50% (Mod. escarpado)»</t>
        </is>
      </c>
      <c r="D21" s="56" t="inlineStr">
        <is>
          <t>NO SUSTANTIVA</t>
        </is>
      </c>
      <c r="E21" s="5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2">
      <c r="A22" s="57" t="inlineStr">
        <is>
          <t>H-02</t>
        </is>
      </c>
      <c r="B22" s="57" t="inlineStr">
        <is>
          <t>Dimensiones del inventario de cárcavas</t>
        </is>
      </c>
      <c r="C22" s="57" t="inlineStr">
        <is>
          <t>Se registran 1 rasgos erosivos, pero longitud, profundidad y ancho no fueron medidos instrumentalmente</t>
        </is>
      </c>
      <c r="D22" s="57" t="inlineStr">
        <is>
          <t>NO SUSTANTIVA</t>
        </is>
      </c>
      <c r="E22" s="57" t="inlineStr">
        <is>
          <t>El conteo registrado no debe usarse para calcular densidad de cárcavas por hectárea. Pendiente de levantamiento con GPS submétrico. (Verificación heredada de la ficha de resumen V6.)</t>
        </is>
      </c>
    </row>
    <row r="23">
      <c r="A23" s="56" t="inlineStr">
        <is>
          <t>H-03</t>
        </is>
      </c>
      <c r="B23" s="56" t="inlineStr">
        <is>
          <t>Elenco florístico</t>
        </is>
      </c>
      <c r="C23" s="56" t="inlineStr">
        <is>
          <t>La ficha registra 13 taxones, por debajo del mínimo de 15 que exige el formato V5</t>
        </is>
      </c>
      <c r="D23" s="56" t="inlineStr">
        <is>
          <t>SUSTANTIVA</t>
        </is>
      </c>
      <c r="E23" s="56" t="inlineStr">
        <is>
          <t>Registro florístico preliminar, sin colecta ni determinación botánica formal. Debe cerrarse con colecta botánica en la siguiente campaña. (Verificación heredada de la ficha de resumen V6.)</t>
        </is>
      </c>
    </row>
    <row r="24">
      <c r="A24" s="57" t="inlineStr">
        <is>
          <t>H-04</t>
        </is>
      </c>
      <c r="B24" s="57" t="inlineStr">
        <is>
          <t>Centro poblado asociado</t>
        </is>
      </c>
      <c r="C24" s="57" t="inlineStr">
        <is>
          <t>La ficha DT declara «Guabal/Huabal (280 hab.); entorno: Nogal, Guanábano Alto, El Común de Pilán»; el cruce INEI-Bloques V5 identifica 3 centro(s) poblado(s) en el bloque: GUABAL, GUANABANO ALTO, NOGAL</t>
        </is>
      </c>
      <c r="D24" s="57" t="inlineStr">
        <is>
          <t>CONFORME</t>
        </is>
      </c>
      <c r="E24" s="57" t="inlineStr">
        <is>
          <t>Se conserva el registro de campo como referencia y se adopta el listado INEI para el diagnóstico social y el cálculo de población beneficiaria. (Verificación heredada de la ficha de resumen V6.)</t>
        </is>
      </c>
    </row>
    <row r="26">
      <c r="A26" s="58" t="inlineStr">
        <is>
          <t>RESUMEN</t>
        </is>
      </c>
      <c r="B26" s="59" t="inlineStr">
        <is>
          <t>16 verificaciones</t>
        </is>
      </c>
      <c r="C26" s="59" t="inlineStr">
        <is>
          <t>SUSTANTIVA: 2 · NO SUSTANTIVA: 2 · CONFORME: 12</t>
        </is>
      </c>
    </row>
    <row r="28">
      <c r="A28"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28:E28"/>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6</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t>
        </is>
      </c>
      <c r="B9" s="56" t="inlineStr">
        <is>
          <t>Sin cambios: la ficha de campo confirma el libro V6</t>
        </is>
      </c>
      <c r="C9" s="56" t="inlineStr"/>
      <c r="D9" s="56" t="inlineStr"/>
      <c r="E9" s="56" t="inlineStr"/>
    </row>
    <row r="11">
      <c r="A11" s="54" t="inlineStr">
        <is>
          <t>B. HECHOS APORTADOS ÚNICAMENTE POR LA FICHA DE CAMPO</t>
        </is>
      </c>
    </row>
    <row r="12">
      <c r="A12" s="55" t="inlineStr">
        <is>
          <t>Sección</t>
        </is>
      </c>
      <c r="B12" s="55" t="inlineStr">
        <is>
          <t>Hecho</t>
        </is>
      </c>
      <c r="C12" s="55" t="inlineStr">
        <is>
          <t>Valor</t>
        </is>
      </c>
      <c r="D12" s="55" t="inlineStr">
        <is>
          <t>Unidad</t>
        </is>
      </c>
    </row>
    <row r="13">
      <c r="A13" s="56" t="inlineStr">
        <is>
          <t>1. Identificación y localización</t>
        </is>
      </c>
      <c r="B13" s="56" t="inlineStr">
        <is>
          <t>UTM ESTE del punto de muestreo (m)</t>
        </is>
      </c>
      <c r="C13" s="56" t="inlineStr">
        <is>
          <t>606182</t>
        </is>
      </c>
      <c r="D13" s="56" t="inlineStr">
        <is>
          <t>m</t>
        </is>
      </c>
    </row>
    <row r="14">
      <c r="A14" s="57" t="inlineStr">
        <is>
          <t>1. Identificación y localización</t>
        </is>
      </c>
      <c r="B14" s="57" t="inlineStr">
        <is>
          <t>UTM NORTE del punto de muestreo (m)</t>
        </is>
      </c>
      <c r="C14" s="57" t="inlineStr">
        <is>
          <t>9455199</t>
        </is>
      </c>
      <c r="D14" s="57" t="inlineStr">
        <is>
          <t>m</t>
        </is>
      </c>
    </row>
    <row r="15">
      <c r="A15" s="56" t="inlineStr">
        <is>
          <t>2. Parámetros físicos del terreno</t>
        </is>
      </c>
      <c r="B15" s="56" t="inlineStr">
        <is>
          <t>Altitud GPS del punto de muestreo (msnm)</t>
        </is>
      </c>
      <c r="C15" s="56" t="inlineStr">
        <is>
          <t>1458</t>
        </is>
      </c>
      <c r="D15" s="56" t="inlineStr">
        <is>
          <t>msnm</t>
        </is>
      </c>
    </row>
    <row r="16">
      <c r="A16" s="57" t="inlineStr">
        <is>
          <t>2. Parámetros físicos del terreno</t>
        </is>
      </c>
      <c r="B16" s="57" t="inlineStr">
        <is>
          <t>Piso altitudinal del punto de muestreo</t>
        </is>
      </c>
      <c r="C16" s="57" t="inlineStr">
        <is>
          <t>1500-2000 m (Quechua media)</t>
        </is>
      </c>
      <c r="D16" s="57" t="inlineStr"/>
    </row>
    <row r="17">
      <c r="A17" s="56" t="inlineStr">
        <is>
          <t>2. Parámetros físicos del terreno</t>
        </is>
      </c>
      <c r="B17" s="56" t="inlineStr">
        <is>
          <t>Paisaje dominante descrito en campo</t>
        </is>
      </c>
      <c r="C17" s="56" t="inlineStr">
        <is>
          <t>Ladera montañosa de fuerte pendiente con mosaico agropecuario (pastos cultivados y maíz), relictos de bosque y matorral nativo en quebradas, afloramientos rocosos dispersos y neblina frecuente en cimas.</t>
        </is>
      </c>
      <c r="D17" s="56" t="inlineStr"/>
    </row>
    <row r="18">
      <c r="A18" s="57" t="inlineStr">
        <is>
          <t>2. Parámetros físicos del terreno</t>
        </is>
      </c>
      <c r="B18" s="57" t="inlineStr">
        <is>
          <t>Reptación de suelo</t>
        </is>
      </c>
      <c r="C18" s="57" t="inlineStr">
        <is>
          <t>No</t>
        </is>
      </c>
      <c r="D18" s="57" t="inlineStr"/>
    </row>
    <row r="19">
      <c r="A19" s="56" t="inlineStr">
        <is>
          <t>2. Parámetros físicos del terreno</t>
        </is>
      </c>
      <c r="B19" s="56" t="inlineStr">
        <is>
          <t>Deslizamientos antiguos</t>
        </is>
      </c>
      <c r="C19" s="56" t="inlineStr">
        <is>
          <t>No</t>
        </is>
      </c>
      <c r="D19" s="56" t="inlineStr"/>
    </row>
    <row r="20">
      <c r="A20" s="57" t="inlineStr">
        <is>
          <t>4. Suelos y erosión (F-DT-02)</t>
        </is>
      </c>
      <c r="B20" s="57" t="inlineStr">
        <is>
          <t>Nivel de erosión - síntesis de campo</t>
        </is>
      </c>
      <c r="C20" s="57" t="inlineStr">
        <is>
          <t>Ligera (laminar)</t>
        </is>
      </c>
      <c r="D20" s="57" t="inlineStr"/>
    </row>
    <row r="21">
      <c r="A21" s="56" t="inlineStr">
        <is>
          <t>4. Suelos y erosión (F-DT-02)</t>
        </is>
      </c>
      <c r="B21" s="56" t="inlineStr">
        <is>
          <t>Sellamiento / costra superficial</t>
        </is>
      </c>
      <c r="C21" s="56" t="inlineStr">
        <is>
          <t>No</t>
        </is>
      </c>
      <c r="D21" s="56" t="inlineStr"/>
    </row>
    <row r="22">
      <c r="A22" s="57" t="inlineStr">
        <is>
          <t>4. Suelos y erosión (F-DT-02)</t>
        </is>
      </c>
      <c r="B22" s="57" t="inlineStr">
        <is>
          <t>Compactación por pisoteo</t>
        </is>
      </c>
      <c r="C22" s="57" t="inlineStr">
        <is>
          <t>Sí</t>
        </is>
      </c>
      <c r="D22" s="57" t="inlineStr"/>
    </row>
    <row r="23">
      <c r="A23" s="56" t="inlineStr">
        <is>
          <t>4. Suelos y erosión (F-DT-02)</t>
        </is>
      </c>
      <c r="B23" s="56" t="inlineStr">
        <is>
          <t>Raíces expuestas</t>
        </is>
      </c>
      <c r="C23" s="56" t="inlineStr">
        <is>
          <t>Sí</t>
        </is>
      </c>
      <c r="D23" s="56" t="inlineStr"/>
    </row>
    <row r="24">
      <c r="A24" s="57" t="inlineStr">
        <is>
          <t>4. Suelos y erosión (F-DT-02)</t>
        </is>
      </c>
      <c r="B24" s="57" t="inlineStr">
        <is>
          <t>Erosión laminar (% del bloque)</t>
        </is>
      </c>
      <c r="C24" s="57" t="inlineStr">
        <is>
          <t>10</t>
        </is>
      </c>
      <c r="D24" s="57" t="inlineStr">
        <is>
          <t>%</t>
        </is>
      </c>
    </row>
    <row r="25">
      <c r="A25" s="56" t="inlineStr">
        <is>
          <t>4. Suelos y erosión (F-DT-02)</t>
        </is>
      </c>
      <c r="B25" s="56" t="inlineStr">
        <is>
          <t>Patrón de cárcavas</t>
        </is>
      </c>
      <c r="C25" s="56" t="inlineStr">
        <is>
          <t>Aislado</t>
        </is>
      </c>
      <c r="D25" s="56" t="inlineStr"/>
    </row>
    <row r="26">
      <c r="A26" s="57" t="inlineStr">
        <is>
          <t>4. Suelos y erosión (F-DT-02)</t>
        </is>
      </c>
      <c r="B26" s="57" t="inlineStr">
        <is>
          <t>Socavamiento de cauce</t>
        </is>
      </c>
      <c r="C26" s="57" t="inlineStr">
        <is>
          <t>No</t>
        </is>
      </c>
      <c r="D26" s="57" t="inlineStr"/>
    </row>
    <row r="27">
      <c r="A27" s="56" t="inlineStr">
        <is>
          <t>5. Ecosistema, cobertura y flora (F-DT-03)</t>
        </is>
      </c>
      <c r="B27" s="56" t="inlineStr">
        <is>
          <t>Presencia de epífitas</t>
        </is>
      </c>
      <c r="C27" s="56" t="inlineStr">
        <is>
          <t>No</t>
        </is>
      </c>
      <c r="D27" s="56" t="inlineStr"/>
    </row>
    <row r="28">
      <c r="A28" s="57" t="inlineStr">
        <is>
          <t>5. Ecosistema, cobertura y flora (F-DT-03)</t>
        </is>
      </c>
      <c r="B28" s="57" t="inlineStr">
        <is>
          <t>Fenología dominante</t>
        </is>
      </c>
      <c r="C28" s="57" t="inlineStr">
        <is>
          <t>Vegetativo</t>
        </is>
      </c>
      <c r="D28" s="57" t="inlineStr"/>
    </row>
    <row r="29">
      <c r="A29" s="56" t="inlineStr">
        <is>
          <t>5. Ecosistema, cobertura y flora (F-DT-03)</t>
        </is>
      </c>
      <c r="B29" s="56" t="inlineStr">
        <is>
          <t>Especies clave georreferenciadas</t>
        </is>
      </c>
      <c r="C29" s="56" t="inlineStr">
        <is>
          <t>1</t>
        </is>
      </c>
      <c r="D29" s="56" t="inlineStr"/>
    </row>
    <row r="30">
      <c r="A30" s="57" t="inlineStr">
        <is>
          <t>6. Degradación, causas y urgencia (F-DT-04)</t>
        </is>
      </c>
      <c r="B30" s="57" t="inlineStr">
        <is>
          <t>Causas directas de la degradación</t>
        </is>
      </c>
      <c r="C30" s="57" t="inlineStr">
        <is>
          <t>Cambio de uso a pastoreo y agricultura en ladera de fuerte pendiente; pastoreo extensivo; expansión vial (trochas en mal estado); presencia de Agave americana; disposición inadecuada de residuos sólidos en punto colindante con el Bloque 36.</t>
        </is>
      </c>
      <c r="D30" s="57" t="inlineStr"/>
    </row>
    <row r="31">
      <c r="A31" s="56" t="inlineStr">
        <is>
          <t>6. Degradación, causas y urgencia (F-DT-04)</t>
        </is>
      </c>
      <c r="B31" s="56" t="inlineStr">
        <is>
          <t>N.° de causas activas en la matriz F-DT-04</t>
        </is>
      </c>
      <c r="C31" s="56" t="inlineStr">
        <is>
          <t>7</t>
        </is>
      </c>
      <c r="D31" s="56" t="inlineStr"/>
    </row>
    <row r="32">
      <c r="A32" s="57" t="inlineStr">
        <is>
          <t>7. Hidrología, acceso y logística (F-DT-05)</t>
        </is>
      </c>
      <c r="B32" s="57" t="inlineStr">
        <is>
          <t>Escorrentía concentrada</t>
        </is>
      </c>
      <c r="C32" s="57" t="inlineStr">
        <is>
          <t>Sí</t>
        </is>
      </c>
      <c r="D32" s="57" t="inlineStr"/>
    </row>
    <row r="33">
      <c r="A33" s="56" t="inlineStr">
        <is>
          <t>7. Hidrología, acceso y logística (F-DT-05)</t>
        </is>
      </c>
      <c r="B33" s="56" t="inlineStr">
        <is>
          <t>Fuentes de agua inventariadas</t>
        </is>
      </c>
      <c r="C33" s="56" t="inlineStr">
        <is>
          <t>3</t>
        </is>
      </c>
      <c r="D33" s="56" t="inlineStr"/>
    </row>
    <row r="34">
      <c r="A34" s="57" t="inlineStr">
        <is>
          <t>7. Hidrología, acceso y logística (F-DT-05)</t>
        </is>
      </c>
      <c r="B34" s="57" t="inlineStr">
        <is>
          <t>Interferencia con riego</t>
        </is>
      </c>
      <c r="C34" s="57" t="inlineStr">
        <is>
          <t>Sí</t>
        </is>
      </c>
      <c r="D34" s="57" t="inlineStr"/>
    </row>
    <row r="35">
      <c r="A35" s="56" t="inlineStr">
        <is>
          <t>7. Hidrología, acceso y logística (F-DT-05)</t>
        </is>
      </c>
      <c r="B35" s="56" t="inlineStr">
        <is>
          <t>Vía principal de acceso</t>
        </is>
      </c>
      <c r="C35" s="56" t="inlineStr">
        <is>
          <t>Trocha carrozable desde Frías hacia CC.PP. Guabal/Huabal + camino de herradura</t>
        </is>
      </c>
      <c r="D35" s="56" t="inlineStr"/>
    </row>
    <row r="36">
      <c r="A36" s="57" t="inlineStr">
        <is>
          <t>7. Hidrología, acceso y logística (F-DT-05)</t>
        </is>
      </c>
      <c r="B36" s="57" t="inlineStr">
        <is>
          <t>Tipo de vía del tramo final</t>
        </is>
      </c>
      <c r="C36" s="57" t="inlineStr">
        <is>
          <t>Trocha carrozable</t>
        </is>
      </c>
      <c r="D36" s="57" t="inlineStr"/>
    </row>
    <row r="37">
      <c r="A37" s="56" t="inlineStr">
        <is>
          <t>7. Hidrología, acceso y logística (F-DT-05)</t>
        </is>
      </c>
      <c r="B37" s="56" t="inlineStr">
        <is>
          <t>Transitabilidad en época seca</t>
        </is>
      </c>
      <c r="C37" s="56" t="inlineStr">
        <is>
          <t>Medio</t>
        </is>
      </c>
      <c r="D37" s="56" t="inlineStr"/>
    </row>
    <row r="38">
      <c r="A38" s="57" t="inlineStr">
        <is>
          <t>7. Hidrología, acceso y logística (F-DT-05)</t>
        </is>
      </c>
      <c r="B38" s="57" t="inlineStr">
        <is>
          <t>Transitabilidad en época lluviosa</t>
        </is>
      </c>
      <c r="C38" s="57" t="inlineStr">
        <is>
          <t>Bajo</t>
        </is>
      </c>
      <c r="D38" s="57" t="inlineStr"/>
    </row>
    <row r="39">
      <c r="A39" s="56" t="inlineStr">
        <is>
          <t>7. Hidrología, acceso y logística (F-DT-05)</t>
        </is>
      </c>
      <c r="B39" s="56" t="inlineStr">
        <is>
          <t>Tiempo a la capital distrital (min)</t>
        </is>
      </c>
      <c r="C39" s="56" t="inlineStr">
        <is>
          <t>60</t>
        </is>
      </c>
      <c r="D39" s="56" t="inlineStr">
        <is>
          <t>min</t>
        </is>
      </c>
    </row>
    <row r="40">
      <c r="A40" s="57" t="inlineStr">
        <is>
          <t>7. Hidrología, acceso y logística (F-DT-05)</t>
        </is>
      </c>
      <c r="B40" s="57" t="inlineStr">
        <is>
          <t>Señal celular</t>
        </is>
      </c>
      <c r="C40" s="57" t="inlineStr">
        <is>
          <t>Parcial</t>
        </is>
      </c>
      <c r="D40" s="57" t="inlineStr"/>
    </row>
    <row r="41">
      <c r="A41" s="56" t="inlineStr">
        <is>
          <t>7. Hidrología, acceso y logística (F-DT-05)</t>
        </is>
      </c>
      <c r="B41" s="56" t="inlineStr">
        <is>
          <t>Operador con cobertura</t>
        </is>
      </c>
      <c r="C41" s="56" t="inlineStr">
        <is>
          <t>Bitel</t>
        </is>
      </c>
      <c r="D41" s="56" t="inlineStr"/>
    </row>
    <row r="42">
      <c r="A42" s="57" t="inlineStr">
        <is>
          <t>7. Hidrología, acceso y logística (F-DT-05)</t>
        </is>
      </c>
      <c r="B42" s="57" t="inlineStr">
        <is>
          <t>Alojamiento disponible en la zona</t>
        </is>
      </c>
      <c r="C42" s="57" t="inlineStr">
        <is>
          <t>No</t>
        </is>
      </c>
      <c r="D42" s="57" t="inlineStr"/>
    </row>
    <row r="43">
      <c r="A43" s="56" t="inlineStr">
        <is>
          <t>7. Hidrología, acceso y logística (F-DT-05)</t>
        </is>
      </c>
      <c r="B43" s="56" t="inlineStr">
        <is>
          <t>Requiere coordinación con ronda / comunidad</t>
        </is>
      </c>
      <c r="C43" s="56" t="inlineStr">
        <is>
          <t>Sí</t>
        </is>
      </c>
      <c r="D43" s="56" t="inlineStr"/>
    </row>
    <row r="45">
      <c r="A45" s="54" t="inlineStr">
        <is>
          <t>C. PROCEDENCIA DE LOS HECHOS DECLARADOS</t>
        </is>
      </c>
    </row>
    <row r="46">
      <c r="A46" s="55" t="inlineStr">
        <is>
          <t>Fuente</t>
        </is>
      </c>
      <c r="B46" s="55" t="inlineStr">
        <is>
          <t>Hechos</t>
        </is>
      </c>
      <c r="C46" s="55" t="inlineStr">
        <is>
          <t>Alcance de la fuente</t>
        </is>
      </c>
    </row>
    <row r="47">
      <c r="A47" s="56" t="inlineStr">
        <is>
          <t>Dato de campo</t>
        </is>
      </c>
      <c r="B47" s="56" t="n">
        <v>61</v>
      </c>
      <c r="C47" s="56" t="inlineStr">
        <is>
          <t>Verificación en campo. Fichas F-DT-01 a F-DT-05 de la Plantilla DT Campo Check Validada V5, suscritas por el evaluador.</t>
        </is>
      </c>
    </row>
    <row r="48">
      <c r="A48" s="57" t="inlineStr">
        <is>
          <t>Gabinete (GIS / teledetección)</t>
        </is>
      </c>
      <c r="B48" s="57" t="n">
        <v>22</v>
      </c>
      <c r="C48" s="57" t="inlineStr">
        <is>
          <t>Gabinete. Estadística zonal sobre el MDE y compuestos Sentinel-2 (NDVI mediana 2025, MSAVI 2024 por clase DN).</t>
        </is>
      </c>
    </row>
    <row r="49">
      <c r="A49" s="56" t="inlineStr">
        <is>
          <t>Fuente oficial</t>
        </is>
      </c>
      <c r="B49" s="56" t="n">
        <v>14</v>
      </c>
      <c r="C49" s="56" t="inlineStr">
        <is>
          <t>Fuente oficial. Catálogo maestro Bloques V5/V6, división política INEI y codificación de microcuencas de la ANA.</t>
        </is>
      </c>
    </row>
    <row r="51">
      <c r="A51" s="54" t="inlineStr">
        <is>
          <t>D. ESTADO DEL CRUCE ENTRE FUENTES</t>
        </is>
      </c>
    </row>
    <row r="52">
      <c r="A52" s="55" t="inlineStr">
        <is>
          <t>Estado</t>
        </is>
      </c>
      <c r="B52" s="55" t="inlineStr">
        <is>
          <t>Hechos</t>
        </is>
      </c>
      <c r="C52" s="55" t="inlineStr">
        <is>
          <t>Significado</t>
        </is>
      </c>
    </row>
    <row r="53">
      <c r="A53" s="56" t="inlineStr">
        <is>
          <t>CONFORME</t>
        </is>
      </c>
      <c r="B53" s="56" t="n">
        <v>96</v>
      </c>
      <c r="C53" s="56" t="inlineStr">
        <is>
          <t>Las dos fuentes declaran lo mismo, o solo la fuente que manda sobre el hecho lo declara.</t>
        </is>
      </c>
    </row>
    <row r="54">
      <c r="A54" s="57" t="inlineStr">
        <is>
          <t>COMPLEMENTADO</t>
        </is>
      </c>
      <c r="B54" s="57" t="n">
        <v>1</v>
      </c>
      <c r="C54" s="57" t="inlineStr">
        <is>
          <t>Solo una de las fuentes lo declara y se adopta ese valor.</t>
        </is>
      </c>
    </row>
    <row r="55">
      <c r="A55" s="56" t="inlineStr">
        <is>
          <t>ACTUALIZADO</t>
        </is>
      </c>
      <c r="B55" s="56" t="n">
        <v>0</v>
      </c>
      <c r="C55" s="56" t="inlineStr">
        <is>
          <t>La verificación de campo vigente corrige lo que traía el libro de resumen.</t>
        </is>
      </c>
    </row>
    <row r="56">
      <c r="A56" s="57" t="inlineStr">
        <is>
          <t>DISCREPANTE</t>
        </is>
      </c>
      <c r="B56" s="57" t="n">
        <v>0</v>
      </c>
      <c r="C56" s="57" t="inlineStr">
        <is>
          <t>Las fuentes se contradicen; prevalece la que manda sobre el hecho y la otra queda declarada.</t>
        </is>
      </c>
    </row>
    <row r="57">
      <c r="A57" s="56" t="inlineStr">
        <is>
          <t>PENDIENTE</t>
        </is>
      </c>
      <c r="B57" s="56" t="n">
        <v>17</v>
      </c>
      <c r="C57"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3"/>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6</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C-01</t>
        </is>
      </c>
      <c r="B9" s="56" t="inlineStr">
        <is>
          <t>Cárcava incipiente (30-50 cm)</t>
        </is>
      </c>
      <c r="C9" s="61" t="n">
        <v>605992</v>
      </c>
      <c r="D9" s="61" t="n">
        <v>9455103</v>
      </c>
      <c r="E9" s="56" t="n"/>
      <c r="F9" s="56" t="n"/>
      <c r="G9" s="56" t="n"/>
      <c r="H9" s="56" t="inlineStr">
        <is>
          <t>Semi-activa</t>
        </is>
      </c>
      <c r="I9" s="56" t="inlineStr">
        <is>
          <t>Concentración natural de escorrentía</t>
        </is>
      </c>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Pastos cultivados</t>
        </is>
      </c>
      <c r="C13" s="56" t="inlineStr">
        <is>
          <t>Poaceae (indet.)</t>
        </is>
      </c>
      <c r="D13" s="56" t="inlineStr">
        <is>
          <t>Poaceae</t>
        </is>
      </c>
      <c r="E13" s="56" t="inlineStr">
        <is>
          <t>Herbáceo (&lt;0.5 m)</t>
        </is>
      </c>
      <c r="F13" s="56" t="inlineStr">
        <is>
          <t>Introducida</t>
        </is>
      </c>
      <c r="G13" s="56" t="inlineStr">
        <is>
          <t>Dominante (&gt;40%)</t>
        </is>
      </c>
      <c r="H13" s="56" t="n"/>
      <c r="I13" s="56" t="n"/>
    </row>
    <row r="14">
      <c r="A14" s="57" t="inlineStr">
        <is>
          <t>2</t>
        </is>
      </c>
      <c r="B14" s="57" t="inlineStr">
        <is>
          <t>Maíz</t>
        </is>
      </c>
      <c r="C14" s="57" t="inlineStr">
        <is>
          <t>Zea mays</t>
        </is>
      </c>
      <c r="D14" s="57" t="inlineStr">
        <is>
          <t>Poaceae</t>
        </is>
      </c>
      <c r="E14" s="57" t="inlineStr">
        <is>
          <t>Herbáceo (&lt;0.5 m)</t>
        </is>
      </c>
      <c r="F14" s="57" t="inlineStr">
        <is>
          <t>Introducida</t>
        </is>
      </c>
      <c r="G14" s="57" t="inlineStr">
        <is>
          <t>Frecuente (5-20%)</t>
        </is>
      </c>
      <c r="H14" s="57" t="n"/>
      <c r="I14" s="57" t="n"/>
    </row>
    <row r="15">
      <c r="A15" s="56" t="inlineStr">
        <is>
          <t>3</t>
        </is>
      </c>
      <c r="B15" s="56" t="inlineStr">
        <is>
          <t>Agave</t>
        </is>
      </c>
      <c r="C15" s="56" t="inlineStr">
        <is>
          <t>Agave americana</t>
        </is>
      </c>
      <c r="D15" s="56" t="inlineStr">
        <is>
          <t>Asparagaceae</t>
        </is>
      </c>
      <c r="E15" s="56" t="inlineStr">
        <is>
          <t>Arbustivo bajo (0.5-1.5 m)</t>
        </is>
      </c>
      <c r="F15" s="56" t="inlineStr">
        <is>
          <t>Introducida</t>
        </is>
      </c>
      <c r="G15" s="56" t="inlineStr">
        <is>
          <t>Ocasional (1-5%)</t>
        </is>
      </c>
      <c r="H15" s="56" t="n"/>
      <c r="I15" s="56" t="n"/>
    </row>
    <row r="16">
      <c r="A16" s="57" t="inlineStr">
        <is>
          <t>4</t>
        </is>
      </c>
      <c r="B16" s="57" t="inlineStr">
        <is>
          <t>Higuerilla</t>
        </is>
      </c>
      <c r="C16" s="57" t="inlineStr">
        <is>
          <t>Ricinus comunnis</t>
        </is>
      </c>
      <c r="D16" s="57" t="inlineStr">
        <is>
          <t>Euphorbiaceae</t>
        </is>
      </c>
      <c r="E16" s="57" t="inlineStr">
        <is>
          <t>Arbustivo bajo (0.5-1.5 m)</t>
        </is>
      </c>
      <c r="F16" s="57" t="inlineStr">
        <is>
          <t>Nativa</t>
        </is>
      </c>
      <c r="G16" s="57" t="inlineStr">
        <is>
          <t>Frecuente (5-20%)</t>
        </is>
      </c>
      <c r="H16" s="57" t="n"/>
      <c r="I16" s="57" t="n"/>
    </row>
    <row r="17">
      <c r="A17" s="56" t="inlineStr">
        <is>
          <t>5</t>
        </is>
      </c>
      <c r="B17" s="56" t="inlineStr">
        <is>
          <t>Higuerón</t>
        </is>
      </c>
      <c r="C17" s="56" t="inlineStr">
        <is>
          <t>Ficus spp</t>
        </is>
      </c>
      <c r="D17" s="56" t="inlineStr">
        <is>
          <t>Moraceae</t>
        </is>
      </c>
      <c r="E17" s="56" t="inlineStr">
        <is>
          <t>Arbóreo medio (8-15 m)</t>
        </is>
      </c>
      <c r="F17" s="56" t="inlineStr">
        <is>
          <t>Nativa</t>
        </is>
      </c>
      <c r="G17" s="56" t="inlineStr">
        <is>
          <t>Frecuente (5-20%)</t>
        </is>
      </c>
      <c r="H17" s="56" t="n"/>
      <c r="I17" s="56" t="n"/>
    </row>
    <row r="18">
      <c r="A18" s="57" t="inlineStr">
        <is>
          <t>6</t>
        </is>
      </c>
      <c r="B18" s="57" t="inlineStr">
        <is>
          <t>Pacae/Guaba</t>
        </is>
      </c>
      <c r="C18" s="57" t="inlineStr">
        <is>
          <t>Inga spp</t>
        </is>
      </c>
      <c r="D18" s="57" t="inlineStr">
        <is>
          <t>Fabaceae</t>
        </is>
      </c>
      <c r="E18" s="57" t="inlineStr">
        <is>
          <t>Arbóreo medio (8-15 m)</t>
        </is>
      </c>
      <c r="F18" s="57" t="inlineStr">
        <is>
          <t>Nativa</t>
        </is>
      </c>
      <c r="G18" s="57" t="inlineStr">
        <is>
          <t>Abundante (20-40%)</t>
        </is>
      </c>
      <c r="H18" s="57" t="n"/>
      <c r="I18" s="57" t="n"/>
    </row>
    <row r="19">
      <c r="A19" s="56" t="inlineStr">
        <is>
          <t>7</t>
        </is>
      </c>
      <c r="B19" s="56" t="inlineStr">
        <is>
          <t>Frijol de palo</t>
        </is>
      </c>
      <c r="C19" s="56" t="inlineStr">
        <is>
          <t>Erytrhina edulis</t>
        </is>
      </c>
      <c r="D19" s="56" t="inlineStr">
        <is>
          <t>Fabaceae</t>
        </is>
      </c>
      <c r="E19" s="56" t="inlineStr">
        <is>
          <t>Arbóreo medio (8-15 m)</t>
        </is>
      </c>
      <c r="F19" s="56" t="inlineStr">
        <is>
          <t>Nativa</t>
        </is>
      </c>
      <c r="G19" s="56" t="inlineStr">
        <is>
          <t>Frecuente (5-20%)</t>
        </is>
      </c>
      <c r="H19" s="56" t="n"/>
      <c r="I19" s="56" t="n"/>
    </row>
    <row r="20">
      <c r="A20" s="57" t="inlineStr">
        <is>
          <t>8</t>
        </is>
      </c>
      <c r="B20" s="57" t="inlineStr">
        <is>
          <t>Chirimoyo silvestre</t>
        </is>
      </c>
      <c r="C20" s="57" t="inlineStr">
        <is>
          <t>Annona sp.</t>
        </is>
      </c>
      <c r="D20" s="57" t="inlineStr"/>
      <c r="E20" s="57" t="inlineStr">
        <is>
          <t>Arbóreo medio (8-15 m)</t>
        </is>
      </c>
      <c r="F20" s="57" t="inlineStr">
        <is>
          <t>Nativa</t>
        </is>
      </c>
      <c r="G20" s="57" t="inlineStr">
        <is>
          <t>Frecuente (5-20%)</t>
        </is>
      </c>
      <c r="H20" s="57" t="n"/>
      <c r="I20" s="57" t="n"/>
    </row>
    <row r="21">
      <c r="A21" s="56" t="inlineStr">
        <is>
          <t>9</t>
        </is>
      </c>
      <c r="B21" s="56" t="inlineStr">
        <is>
          <t>Grevilea</t>
        </is>
      </c>
      <c r="C21" s="56" t="inlineStr">
        <is>
          <t>Grevilea robusta</t>
        </is>
      </c>
      <c r="D21" s="56" t="inlineStr"/>
      <c r="E21" s="56" t="inlineStr">
        <is>
          <t>Arbóreo superior (&gt;15 m)</t>
        </is>
      </c>
      <c r="F21" s="56" t="inlineStr">
        <is>
          <t>Nativa</t>
        </is>
      </c>
      <c r="G21" s="56" t="inlineStr">
        <is>
          <t>Ocasional (1-5%)</t>
        </is>
      </c>
      <c r="H21" s="56" t="n"/>
      <c r="I21" s="56" t="n"/>
    </row>
    <row r="22">
      <c r="A22" s="57" t="inlineStr">
        <is>
          <t>10</t>
        </is>
      </c>
      <c r="B22" s="57" t="inlineStr">
        <is>
          <t>Malva</t>
        </is>
      </c>
      <c r="C22" s="57" t="inlineStr"/>
      <c r="D22" s="57" t="inlineStr">
        <is>
          <t>Malvaceae</t>
        </is>
      </c>
      <c r="E22" s="57" t="inlineStr">
        <is>
          <t>Herbáceo (&lt;0.5 m)</t>
        </is>
      </c>
      <c r="F22" s="57" t="inlineStr">
        <is>
          <t>Nativa</t>
        </is>
      </c>
      <c r="G22" s="57" t="inlineStr">
        <is>
          <t>Abundante (20-40%)</t>
        </is>
      </c>
      <c r="H22" s="57" t="n"/>
      <c r="I22" s="57" t="n"/>
    </row>
    <row r="23">
      <c r="A23" s="56" t="inlineStr">
        <is>
          <t>11</t>
        </is>
      </c>
      <c r="B23" s="56" t="inlineStr">
        <is>
          <t>Chilca</t>
        </is>
      </c>
      <c r="C23" s="56" t="inlineStr">
        <is>
          <t>Baccharis sp</t>
        </is>
      </c>
      <c r="D23" s="56" t="inlineStr">
        <is>
          <t>Asteraceae</t>
        </is>
      </c>
      <c r="E23" s="56" t="inlineStr">
        <is>
          <t>Arbustivo bajo (0.5-1.5 m)</t>
        </is>
      </c>
      <c r="F23" s="56" t="inlineStr">
        <is>
          <t>Nativa</t>
        </is>
      </c>
      <c r="G23" s="56" t="inlineStr">
        <is>
          <t>Frecuente (5-20%)</t>
        </is>
      </c>
      <c r="H23" s="56" t="n"/>
      <c r="I23" s="56" t="n"/>
    </row>
    <row r="24">
      <c r="A24" s="57" t="inlineStr">
        <is>
          <t>12</t>
        </is>
      </c>
      <c r="B24" s="57" t="inlineStr">
        <is>
          <t>Eucalipto</t>
        </is>
      </c>
      <c r="C24" s="57" t="inlineStr">
        <is>
          <t>Eucalyptus globulus</t>
        </is>
      </c>
      <c r="D24" s="57" t="inlineStr">
        <is>
          <t>Myrtaceae</t>
        </is>
      </c>
      <c r="E24" s="57" t="inlineStr">
        <is>
          <t>Arbóreo superior (&gt;15 m)</t>
        </is>
      </c>
      <c r="F24" s="57" t="inlineStr">
        <is>
          <t>Introducida</t>
        </is>
      </c>
      <c r="G24" s="57" t="inlineStr">
        <is>
          <t>Frecuente (5-20%)</t>
        </is>
      </c>
      <c r="H24" s="57" t="n"/>
      <c r="I24" s="57" t="n"/>
    </row>
    <row r="25">
      <c r="A25" s="56" t="inlineStr">
        <is>
          <t>13</t>
        </is>
      </c>
      <c r="B25" s="56" t="inlineStr">
        <is>
          <t>Ciprés</t>
        </is>
      </c>
      <c r="C25" s="56" t="inlineStr">
        <is>
          <t>Cupressus macrocarpa</t>
        </is>
      </c>
      <c r="D25" s="56" t="inlineStr">
        <is>
          <t>Cupresaceae</t>
        </is>
      </c>
      <c r="E25" s="56" t="inlineStr">
        <is>
          <t>Arbóreo medio (8-15 m)</t>
        </is>
      </c>
      <c r="F25" s="56" t="inlineStr">
        <is>
          <t>Introducida</t>
        </is>
      </c>
      <c r="G25" s="56" t="inlineStr">
        <is>
          <t>Ocasional (1-5%)</t>
        </is>
      </c>
      <c r="H25" s="56" t="n"/>
      <c r="I25" s="56" t="n"/>
    </row>
    <row r="27">
      <c r="A27" s="54" t="inlineStr">
        <is>
          <t>F-DT-03 · ESPECIES CLAVE GEORREFERENCIADAS</t>
        </is>
      </c>
    </row>
    <row r="28">
      <c r="A28" s="55" t="inlineStr">
        <is>
          <t>N.o</t>
        </is>
      </c>
      <c r="B28" s="55" t="inlineStr">
        <is>
          <t>Especie</t>
        </is>
      </c>
      <c r="C28" s="55" t="inlineStr">
        <is>
          <t>Categoría</t>
        </is>
      </c>
      <c r="D28" s="55" t="inlineStr">
        <is>
          <t>Estado UICN</t>
        </is>
      </c>
      <c r="E28" s="55" t="inlineStr">
        <is>
          <t>UTM ESTE</t>
        </is>
      </c>
      <c r="F28" s="55" t="inlineStr">
        <is>
          <t>UTM NORTE</t>
        </is>
      </c>
      <c r="G28" s="55" t="inlineStr">
        <is>
          <t>N.° individuos</t>
        </is>
      </c>
      <c r="H28" s="55" t="inlineStr">
        <is>
          <t>Observación</t>
        </is>
      </c>
    </row>
    <row r="29">
      <c r="A29" s="56" t="inlineStr">
        <is>
          <t>1</t>
        </is>
      </c>
      <c r="B29" s="56" t="inlineStr">
        <is>
          <t>Relicto de Bosque Estacionalmente Seco (quebrada)</t>
        </is>
      </c>
      <c r="C29" s="56" t="inlineStr">
        <is>
          <t>Indicadora de buen estado</t>
        </is>
      </c>
      <c r="D29" s="56" t="inlineStr">
        <is>
          <t>NE — No Evaluado</t>
        </is>
      </c>
      <c r="E29" s="56" t="n"/>
      <c r="F29" s="56" t="n"/>
      <c r="G29" s="56" t="n"/>
      <c r="H29" s="56" t="inlineStr">
        <is>
          <t>Bes-cm en quebradas; determinación botánica formal pendiente</t>
        </is>
      </c>
    </row>
    <row r="31">
      <c r="A31" s="54" t="inlineStr">
        <is>
          <t>F-DT-04 · MATRIZ DE CAUSAS DE DEGRADACIÓN</t>
        </is>
      </c>
    </row>
    <row r="32">
      <c r="A32" s="55" t="inlineStr">
        <is>
          <t>N.o</t>
        </is>
      </c>
      <c r="B32" s="55" t="inlineStr">
        <is>
          <t>Causa</t>
        </is>
      </c>
      <c r="C32" s="55" t="inlineStr">
        <is>
          <t>Presencia</t>
        </is>
      </c>
      <c r="D32" s="55" t="inlineStr">
        <is>
          <t>Intensidad</t>
        </is>
      </c>
      <c r="E32" s="55" t="inlineStr">
        <is>
          <t>Extensión</t>
        </is>
      </c>
      <c r="F32" s="55" t="inlineStr">
        <is>
          <t>Antigüedad</t>
        </is>
      </c>
      <c r="G32" s="55" t="inlineStr">
        <is>
          <t>Evidencia</t>
        </is>
      </c>
    </row>
    <row r="33">
      <c r="A33" s="56" t="inlineStr">
        <is>
          <t>1</t>
        </is>
      </c>
      <c r="B33" s="56" t="inlineStr">
        <is>
          <t>Sobrepastoreo (caprino/vacuno)</t>
        </is>
      </c>
      <c r="C33" s="56" t="inlineStr">
        <is>
          <t>Sí</t>
        </is>
      </c>
      <c r="D33" s="56" t="inlineStr">
        <is>
          <t>Moderada</t>
        </is>
      </c>
      <c r="E33" s="56" t="inlineStr">
        <is>
          <t>35</t>
        </is>
      </c>
      <c r="F33" s="56" t="inlineStr"/>
      <c r="G33" s="56" t="inlineStr">
        <is>
          <t>Pastos cultivados y cercos; pisoteo en sendas (por verificar)</t>
        </is>
      </c>
    </row>
    <row r="34">
      <c r="A34" s="57" t="inlineStr">
        <is>
          <t>2</t>
        </is>
      </c>
      <c r="B34" s="57" t="inlineStr">
        <is>
          <t>Tala para leña</t>
        </is>
      </c>
      <c r="C34" s="57" t="inlineStr">
        <is>
          <t>Sí</t>
        </is>
      </c>
      <c r="D34" s="57" t="inlineStr">
        <is>
          <t>Ligera</t>
        </is>
      </c>
      <c r="E34" s="57" t="inlineStr"/>
      <c r="F34" s="57" t="inlineStr"/>
      <c r="G34" s="57" t="inlineStr">
        <is>
          <t>Extracción puntual de leña para autoconsumo (por verificar)</t>
        </is>
      </c>
    </row>
    <row r="35">
      <c r="A35" s="56" t="inlineStr">
        <is>
          <t>3</t>
        </is>
      </c>
      <c r="B35" s="56" t="inlineStr">
        <is>
          <t>Tala para carbón</t>
        </is>
      </c>
      <c r="C35" s="56" t="inlineStr"/>
      <c r="D35" s="56" t="inlineStr"/>
      <c r="E35" s="56" t="inlineStr"/>
      <c r="F35" s="56" t="inlineStr"/>
      <c r="G35" s="56" t="inlineStr"/>
    </row>
    <row r="36">
      <c r="A36" s="57" t="inlineStr">
        <is>
          <t>4</t>
        </is>
      </c>
      <c r="B36" s="57" t="inlineStr">
        <is>
          <t>Tala para madera</t>
        </is>
      </c>
      <c r="C36" s="57" t="inlineStr"/>
      <c r="D36" s="57" t="inlineStr"/>
      <c r="E36" s="57" t="inlineStr"/>
      <c r="F36" s="57" t="inlineStr"/>
      <c r="G36" s="57" t="inlineStr"/>
    </row>
    <row r="37">
      <c r="A37" s="56" t="inlineStr">
        <is>
          <t>5</t>
        </is>
      </c>
      <c r="B37" s="56" t="inlineStr">
        <is>
          <t>Quema (renovación de pastos)</t>
        </is>
      </c>
      <c r="C37" s="56" t="inlineStr"/>
      <c r="D37" s="56" t="inlineStr"/>
      <c r="E37" s="56" t="inlineStr"/>
      <c r="F37" s="56" t="inlineStr"/>
      <c r="G37" s="56" t="inlineStr"/>
    </row>
    <row r="38">
      <c r="A38" s="57" t="inlineStr">
        <is>
          <t>6</t>
        </is>
      </c>
      <c r="B38" s="57" t="inlineStr">
        <is>
          <t>Quema accidental / Incendio</t>
        </is>
      </c>
      <c r="C38" s="57" t="inlineStr"/>
      <c r="D38" s="57" t="inlineStr"/>
      <c r="E38" s="57" t="inlineStr"/>
      <c r="F38" s="57" t="inlineStr"/>
      <c r="G38" s="57" t="inlineStr"/>
    </row>
    <row r="39">
      <c r="A39" s="56" t="inlineStr">
        <is>
          <t>7</t>
        </is>
      </c>
      <c r="B39" s="56" t="inlineStr">
        <is>
          <t>Cambio de uso a agricultura</t>
        </is>
      </c>
      <c r="C39" s="56" t="inlineStr">
        <is>
          <t>Sí</t>
        </is>
      </c>
      <c r="D39" s="56" t="inlineStr">
        <is>
          <t>Moderada</t>
        </is>
      </c>
      <c r="E39" s="56" t="inlineStr">
        <is>
          <t>25</t>
        </is>
      </c>
      <c r="F39" s="56" t="inlineStr"/>
      <c r="G39" s="56" t="inlineStr">
        <is>
          <t>Parcelas de maíz en ladera de fuerte pendiente (índice 120)</t>
        </is>
      </c>
    </row>
    <row r="40">
      <c r="A40" s="57" t="inlineStr">
        <is>
          <t>8</t>
        </is>
      </c>
      <c r="B40" s="57" t="inlineStr">
        <is>
          <t>Cambio de uso a pastoreo</t>
        </is>
      </c>
      <c r="C40" s="57" t="inlineStr">
        <is>
          <t>Sí</t>
        </is>
      </c>
      <c r="D40" s="57" t="inlineStr">
        <is>
          <t>Moderada</t>
        </is>
      </c>
      <c r="E40" s="57" t="inlineStr">
        <is>
          <t>35</t>
        </is>
      </c>
      <c r="F40" s="57" t="inlineStr"/>
      <c r="G40" s="57" t="inlineStr">
        <is>
          <t>Pastos cultivados dominantes en ladera</t>
        </is>
      </c>
    </row>
    <row r="41">
      <c r="A41" s="56" t="inlineStr">
        <is>
          <t>9</t>
        </is>
      </c>
      <c r="B41" s="56" t="inlineStr">
        <is>
          <t>Expansión urbana / vial</t>
        </is>
      </c>
      <c r="C41" s="56" t="inlineStr">
        <is>
          <t>Sí</t>
        </is>
      </c>
      <c r="D41" s="56" t="inlineStr">
        <is>
          <t>Ligera</t>
        </is>
      </c>
      <c r="E41" s="56" t="inlineStr">
        <is>
          <t>5</t>
        </is>
      </c>
      <c r="F41" s="56" t="inlineStr"/>
      <c r="G41" s="56" t="inlineStr">
        <is>
          <t>Trochas y caminos de herradura; vía de acceso en mal estado (índice 119); cercanía a Guabal/Huabal</t>
        </is>
      </c>
    </row>
    <row r="42">
      <c r="A42" s="57" t="inlineStr">
        <is>
          <t>10</t>
        </is>
      </c>
      <c r="B42" s="57" t="inlineStr">
        <is>
          <t>Minería informal</t>
        </is>
      </c>
      <c r="C42" s="57" t="inlineStr"/>
      <c r="D42" s="57" t="inlineStr"/>
      <c r="E42" s="57" t="inlineStr"/>
      <c r="F42" s="57" t="inlineStr"/>
      <c r="G42" s="57" t="inlineStr"/>
    </row>
    <row r="43">
      <c r="A43" s="56" t="inlineStr">
        <is>
          <t>11</t>
        </is>
      </c>
      <c r="B43" s="56" t="inlineStr">
        <is>
          <t>Extracción de áridos (cauces)</t>
        </is>
      </c>
      <c r="C43" s="56" t="inlineStr"/>
      <c r="D43" s="56" t="inlineStr"/>
      <c r="E43" s="56" t="inlineStr"/>
      <c r="F43" s="56" t="inlineStr"/>
      <c r="G43" s="56" t="inlineStr"/>
    </row>
    <row r="44">
      <c r="A44" s="57" t="inlineStr">
        <is>
          <t>12</t>
        </is>
      </c>
      <c r="B44" s="57" t="inlineStr">
        <is>
          <t>Especies invasoras</t>
        </is>
      </c>
      <c r="C44" s="57" t="inlineStr">
        <is>
          <t>Sí</t>
        </is>
      </c>
      <c r="D44" s="57" t="inlineStr">
        <is>
          <t>Ligera</t>
        </is>
      </c>
      <c r="E44" s="57" t="inlineStr"/>
      <c r="F44" s="57" t="inlineStr"/>
      <c r="G44" s="57" t="inlineStr">
        <is>
          <t>Agave americana en taludes y bordes</t>
        </is>
      </c>
    </row>
    <row r="45">
      <c r="A45" s="56" t="inlineStr">
        <is>
          <t>13</t>
        </is>
      </c>
      <c r="B45" s="56" t="inlineStr">
        <is>
          <t>Erosión natural severa</t>
        </is>
      </c>
      <c r="C45" s="56" t="inlineStr"/>
      <c r="D45" s="56" t="inlineStr"/>
      <c r="E45" s="56" t="inlineStr"/>
      <c r="F45" s="56" t="inlineStr"/>
      <c r="G45" s="56" t="inlineStr"/>
    </row>
    <row r="46">
      <c r="A46" s="57" t="inlineStr">
        <is>
          <t>14</t>
        </is>
      </c>
      <c r="B46" s="57" t="inlineStr">
        <is>
          <t>Sequía prolongada / CC</t>
        </is>
      </c>
      <c r="C46" s="57" t="inlineStr"/>
      <c r="D46" s="57" t="inlineStr"/>
      <c r="E46" s="57" t="inlineStr"/>
      <c r="F46" s="57" t="inlineStr"/>
      <c r="G46" s="57" t="inlineStr"/>
    </row>
    <row r="47">
      <c r="A47" s="56" t="inlineStr">
        <is>
          <t>15</t>
        </is>
      </c>
      <c r="B47" s="56" t="inlineStr">
        <is>
          <t>Plagas o enfermedades forestales</t>
        </is>
      </c>
      <c r="C47" s="56" t="inlineStr"/>
      <c r="D47" s="56" t="inlineStr"/>
      <c r="E47" s="56" t="inlineStr"/>
      <c r="F47" s="56" t="inlineStr"/>
      <c r="G47" s="56" t="inlineStr"/>
    </row>
    <row r="48">
      <c r="A48" s="57" t="inlineStr">
        <is>
          <t>16</t>
        </is>
      </c>
      <c r="B48" s="57" t="inlineStr">
        <is>
          <t>Otro</t>
        </is>
      </c>
      <c r="C48" s="57" t="inlineStr">
        <is>
          <t>Sí</t>
        </is>
      </c>
      <c r="D48" s="57" t="inlineStr">
        <is>
          <t>Ligera</t>
        </is>
      </c>
      <c r="E48" s="57" t="inlineStr"/>
      <c r="F48" s="57" t="inlineStr"/>
      <c r="G48" s="57" t="inlineStr">
        <is>
          <t>Otro — disposición inadecuada de residuos sólidos: botadero en punto colindante con Bloque 36 (índice 84; 606534 E / 9454785 N)</t>
        </is>
      </c>
    </row>
    <row r="50">
      <c r="A50" s="54" t="inlineStr">
        <is>
          <t>F-DT-04 · INDICADORES CUANTITATIVOS</t>
        </is>
      </c>
    </row>
    <row r="51">
      <c r="A51" s="55" t="inlineStr">
        <is>
          <t>N.o</t>
        </is>
      </c>
      <c r="B51" s="55" t="inlineStr">
        <is>
          <t>Indicador</t>
        </is>
      </c>
      <c r="C51" s="55" t="inlineStr">
        <is>
          <t>Unidad</t>
        </is>
      </c>
      <c r="D51" s="55" t="inlineStr">
        <is>
          <t>Valor</t>
        </is>
      </c>
      <c r="E51" s="55" t="inlineStr">
        <is>
          <t>Fuente</t>
        </is>
      </c>
      <c r="F51" s="55" t="inlineStr">
        <is>
          <t>Umbral</t>
        </is>
      </c>
      <c r="G51" s="55" t="inlineStr">
        <is>
          <t>Nivel</t>
        </is>
      </c>
    </row>
    <row r="52">
      <c r="A52" s="56" t="inlineStr">
        <is>
          <t>1</t>
        </is>
      </c>
      <c r="B52" s="56" t="inlineStr">
        <is>
          <t>Cobertura vegetal total</t>
        </is>
      </c>
      <c r="C52" s="56" t="inlineStr">
        <is>
          <t>%</t>
        </is>
      </c>
      <c r="D52" s="56" t="inlineStr">
        <is>
          <t>85</t>
        </is>
      </c>
      <c r="E52" s="56" t="inlineStr">
        <is>
          <t>Estimación ocular + MSAVI del sector</t>
        </is>
      </c>
      <c r="F52" s="56" t="inlineStr">
        <is>
          <t>&gt;60% bueno; 30-60% medio; &lt;30% malo</t>
        </is>
      </c>
      <c r="G52" s="56" t="inlineStr">
        <is>
          <t>Alto</t>
        </is>
      </c>
    </row>
    <row r="53">
      <c r="A53" s="57" t="inlineStr">
        <is>
          <t>2</t>
        </is>
      </c>
      <c r="B53" s="57" t="inlineStr">
        <is>
          <t>Porcentaje de suelo desnudo</t>
        </is>
      </c>
      <c r="C53" s="57" t="inlineStr">
        <is>
          <t>%</t>
        </is>
      </c>
      <c r="D53" s="57" t="inlineStr">
        <is>
          <t>10</t>
        </is>
      </c>
      <c r="E53" s="57" t="inlineStr">
        <is>
          <t>Estimación ocular de campo</t>
        </is>
      </c>
      <c r="F53" s="57" t="inlineStr">
        <is>
          <t>&lt;10% bueno; 10-30% medio; &gt;30% malo</t>
        </is>
      </c>
      <c r="G53" s="57" t="inlineStr">
        <is>
          <t>Bajo</t>
        </is>
      </c>
    </row>
    <row r="54">
      <c r="A54" s="56" t="inlineStr">
        <is>
          <t>3</t>
        </is>
      </c>
      <c r="B54" s="56" t="inlineStr">
        <is>
          <t>Densidad de cárcavas</t>
        </is>
      </c>
      <c r="C54" s="56" t="inlineStr">
        <is>
          <t>N°/ha</t>
        </is>
      </c>
      <c r="D54" s="56" t="inlineStr">
        <is>
          <t>Por determinar</t>
        </is>
      </c>
      <c r="E54" s="56" t="inlineStr">
        <is>
          <t>Pendiente de cuantificación</t>
        </is>
      </c>
      <c r="F54" s="56" t="inlineStr">
        <is>
          <t>0 nulo; 1-3 medio; &gt;3 alto</t>
        </is>
      </c>
      <c r="G54" s="56" t="inlineStr"/>
    </row>
    <row r="55">
      <c r="A55" s="57" t="inlineStr">
        <is>
          <t>4</t>
        </is>
      </c>
      <c r="B55" s="57" t="inlineStr">
        <is>
          <t>Presencia de especies invasoras</t>
        </is>
      </c>
      <c r="C55" s="57" t="inlineStr">
        <is>
          <t>% área</t>
        </is>
      </c>
      <c r="D55" s="57" t="inlineStr">
        <is>
          <t>5</t>
        </is>
      </c>
      <c r="E55" s="57" t="inlineStr">
        <is>
          <t>Estimación ocular</t>
        </is>
      </c>
      <c r="F55" s="57" t="inlineStr">
        <is>
          <t>&lt;5% bueno; 5-20% medio; &gt;20% alto</t>
        </is>
      </c>
      <c r="G55" s="57" t="inlineStr">
        <is>
          <t>Bajo</t>
        </is>
      </c>
    </row>
    <row r="56">
      <c r="A56" s="56" t="inlineStr">
        <is>
          <t>5</t>
        </is>
      </c>
      <c r="B56" s="56" t="inlineStr">
        <is>
          <t>Carga ganadera estimada</t>
        </is>
      </c>
      <c r="C56" s="56" t="inlineStr">
        <is>
          <t>UA/ha</t>
        </is>
      </c>
      <c r="D56" s="56" t="inlineStr">
        <is>
          <t>Por determinar</t>
        </is>
      </c>
      <c r="E56" s="56" t="inlineStr">
        <is>
          <t>Pendiente de cuantificación</t>
        </is>
      </c>
      <c r="F56" s="56" t="inlineStr">
        <is>
          <t>Según tipo de ecosistema</t>
        </is>
      </c>
      <c r="G56" s="56" t="inlineStr"/>
    </row>
    <row r="57">
      <c r="A57" s="57" t="inlineStr">
        <is>
          <t>6</t>
        </is>
      </c>
      <c r="B57" s="57" t="inlineStr">
        <is>
          <t>Frecuencia de quemas últimos 5 años</t>
        </is>
      </c>
      <c r="C57" s="57" t="inlineStr">
        <is>
          <t>N°</t>
        </is>
      </c>
      <c r="D57" s="57" t="inlineStr">
        <is>
          <t>Por determinar</t>
        </is>
      </c>
      <c r="E57" s="57" t="inlineStr">
        <is>
          <t>Pendiente de cuantificación</t>
        </is>
      </c>
      <c r="F57" s="57" t="inlineStr">
        <is>
          <t>0 nulo; 1-2 medio; &gt;2 alto</t>
        </is>
      </c>
      <c r="G57" s="57" t="inlineStr"/>
    </row>
    <row r="58">
      <c r="A58" s="56" t="inlineStr">
        <is>
          <t>7</t>
        </is>
      </c>
      <c r="B58" s="56" t="inlineStr">
        <is>
          <t>% área con pendiente &gt;50%</t>
        </is>
      </c>
      <c r="C58" s="56" t="inlineStr">
        <is>
          <t>%</t>
        </is>
      </c>
      <c r="D58" s="56" t="inlineStr">
        <is>
          <t>50</t>
        </is>
      </c>
      <c r="E58" s="56" t="inlineStr">
        <is>
          <t>Perfil Google Earth (media 51,1 %; máx 74,5 %); requiere DEM</t>
        </is>
      </c>
      <c r="F58" s="56" t="inlineStr">
        <is>
          <t>Factor de susceptibilidad</t>
        </is>
      </c>
      <c r="G58" s="56" t="inlineStr">
        <is>
          <t>Alto</t>
        </is>
      </c>
    </row>
    <row r="59">
      <c r="A59" s="57" t="inlineStr">
        <is>
          <t>8</t>
        </is>
      </c>
      <c r="B59" s="57" t="inlineStr">
        <is>
          <t>Distancia a vía vecinal más cercana</t>
        </is>
      </c>
      <c r="C59" s="57" t="inlineStr">
        <is>
          <t>m</t>
        </is>
      </c>
      <c r="D59" s="57" t="inlineStr">
        <is>
          <t>0</t>
        </is>
      </c>
      <c r="E59" s="57" t="inlineStr">
        <is>
          <t>Trocha atraviesa/bordea el bloque</t>
        </is>
      </c>
      <c r="F59" s="57" t="inlineStr">
        <is>
          <t>A menor distancia → mayor presión</t>
        </is>
      </c>
      <c r="G59" s="57" t="inlineStr">
        <is>
          <t>Alto</t>
        </is>
      </c>
    </row>
    <row r="61">
      <c r="A61" s="54" t="inlineStr">
        <is>
          <t>F-DT-05 · FUENTES DE AGUA INVENTARIADAS</t>
        </is>
      </c>
    </row>
    <row r="62">
      <c r="A62" s="55" t="inlineStr">
        <is>
          <t>N.o</t>
        </is>
      </c>
      <c r="B62" s="55" t="inlineStr">
        <is>
          <t>Tipo de fuente</t>
        </is>
      </c>
      <c r="C62" s="55" t="inlineStr">
        <is>
          <t>UTM ESTE</t>
        </is>
      </c>
      <c r="D62" s="55" t="inlineStr">
        <is>
          <t>UTM NORTE</t>
        </is>
      </c>
      <c r="E62" s="55" t="inlineStr">
        <is>
          <t>Régimen</t>
        </is>
      </c>
      <c r="F62" s="55" t="inlineStr">
        <is>
          <t>Calidad</t>
        </is>
      </c>
      <c r="G62" s="55" t="inlineStr">
        <is>
          <t>Distancia (m)</t>
        </is>
      </c>
      <c r="H62" s="55" t="inlineStr">
        <is>
          <t>Uso / observación</t>
        </is>
      </c>
    </row>
    <row r="63">
      <c r="A63" s="56" t="inlineStr">
        <is>
          <t>1</t>
        </is>
      </c>
      <c r="B63" s="56" t="inlineStr">
        <is>
          <t>Quebrada estacional</t>
        </is>
      </c>
      <c r="C63" s="61" t="n">
        <v>606300</v>
      </c>
      <c r="D63" s="61" t="n">
        <v>9455240</v>
      </c>
      <c r="E63" s="56" t="inlineStr">
        <is>
          <t>Estacional (lluvias)</t>
        </is>
      </c>
      <c r="F63" s="56" t="inlineStr"/>
      <c r="G63" s="56" t="n"/>
      <c r="H63" s="56" t="inlineStr">
        <is>
          <t>Quebrada tributaria que diseca el bloque (ubic. aprox.; por verificar)</t>
        </is>
      </c>
    </row>
    <row r="64">
      <c r="A64" s="57" t="inlineStr">
        <is>
          <t>2</t>
        </is>
      </c>
      <c r="B64" s="57" t="inlineStr">
        <is>
          <t>Río</t>
        </is>
      </c>
      <c r="C64" s="62" t="n">
        <v>607000</v>
      </c>
      <c r="D64" s="62" t="n">
        <v>9454800</v>
      </c>
      <c r="E64" s="57" t="inlineStr">
        <is>
          <t>Permanente</t>
        </is>
      </c>
      <c r="F64" s="57" t="inlineStr"/>
      <c r="G64" s="57" t="n"/>
      <c r="H64" s="57" t="inlineStr">
        <is>
          <t>Curso principal del sector al E (borde Guabal/Huabal; ubic. aprox.; por verificar)</t>
        </is>
      </c>
    </row>
    <row r="65">
      <c r="A65" s="56" t="inlineStr">
        <is>
          <t>3</t>
        </is>
      </c>
      <c r="B65" s="56" t="inlineStr">
        <is>
          <t>Canal de riego</t>
        </is>
      </c>
      <c r="C65" s="61" t="n">
        <v>606131</v>
      </c>
      <c r="D65" s="61" t="n">
        <v>9455221</v>
      </c>
      <c r="E65" s="56" t="inlineStr">
        <is>
          <t>Permanente</t>
        </is>
      </c>
      <c r="F65" s="56" t="inlineStr"/>
      <c r="G65" s="56" t="n"/>
      <c r="H65" s="56" t="inlineStr">
        <is>
          <t>Tubería/manguera de conducción de agua observada en ladera (índices 108–110); captación aguas arriba por verificar</t>
        </is>
      </c>
    </row>
    <row r="68">
      <c r="A68" s="54" t="inlineStr">
        <is>
          <t>OBSERVACIONES DEL EVALUADOR POR FICHA</t>
        </is>
      </c>
    </row>
    <row r="69">
      <c r="A69" s="55" t="inlineStr">
        <is>
          <t>Ficha</t>
        </is>
      </c>
      <c r="B69" s="55" t="inlineStr">
        <is>
          <t>Observación registrada en campo</t>
        </is>
      </c>
    </row>
    <row r="70">
      <c r="A70" s="56" t="inlineStr">
        <is>
          <t>F-DT-01</t>
        </is>
      </c>
      <c r="B70" s="56" t="inlineStr">
        <is>
          <t>Verificación de campo del 23/06/2026 (registro fotográfico georreferenciado índices 94–128). LIMITACIONES (no fabricación): la app fotográfica no registró altitud GPS por punto; el rango altitudinal del bloque (1 398–1 909 msnm; media ≈ 1 650) proviene del modelo de elevación (DEM); las pendientes (media 51,1 %; máxima 74,5 %) provienen del perfil de elevación Google Earth del propio Bloque 6 (distancia 1,13 km). La pendiente máxima (74,5 %) se aproxima al umbral de idoneidad del proyecto (75 %). Punto de muestreo de referencia: índice 109 (606182 E / 9455199 N). Centroide catastral del catálogo: 605636 E / 9455269 N. Forma de terreno, rango de pendiente dominante y exposición predominante son juicio experto a escala de bloque (laderas descienden hacia el cauce al E/SE); requieren confirmación con DEM. Escarpes activos: no observados en superficie natural; sí una cicatriz de suelo expuesto localizada en talud (índice 115).</t>
        </is>
      </c>
    </row>
    <row r="71">
      <c r="A71" s="57" t="inlineStr">
        <is>
          <t>F-DT-02</t>
        </is>
      </c>
      <c r="B71" s="57" t="inlineStr">
        <is>
          <t>Cobertura vegetal alta (época húmeda) que limita la erosión; nivel general LIGERO (laminar). Se registra 1 rasgo representativo (cicatriz de suelo expuesto en talud, índice 115). Otros indicios no concluyentes: parche denudado en ladera (índice 107) y surcos/huellas sobre la trocha en mal estado (índice 119), no inventariados por falta de medición. Dimensiones de cárcavas (longitud, profundidad, ancho), longitud total acumulada, % de bloque afectado y densidad por hectárea: PENDIENTES de levantamiento instrumental por el especialista de Infraestructura Marrón.</t>
        </is>
      </c>
    </row>
    <row r="72">
      <c r="A72" s="56" t="inlineStr">
        <is>
          <t>F-DT-03</t>
        </is>
      </c>
      <c r="B72" s="56" t="inlineStr">
        <is>
          <t>Clasificación MINAM (Reporte de Ecosistemas por Bloques): Zona agrícola (Agri) 164,24 ha (97,5 %) + Bosque Estacionalmente Seco de Colina y Montaña (Bes-cm) 4,17 ha (2,5 %); total 168,41 ha. En campo se confirma un mosaico agropecuario de ladera con relictos de bosque y matorral nativo en quebradas. La lista florística replica la del Bloque 36 (colindante, misma microcuenca) por similitud de hábitat; es PRELIMINAR y está sujeta a colección y determinación botánica formal. Coberturas y % son estimaciones oculares apoyadas en MSAVI del sector. Presencia de epífitas: posible (neblina frecuente) pero no concluyente, no consignada.</t>
        </is>
      </c>
    </row>
    <row r="73">
      <c r="A73" s="57" t="inlineStr">
        <is>
          <t>F-DT-05</t>
        </is>
      </c>
      <c r="B73" s="57" t="inlineStr">
        <is>
          <t>Bloque en zona de origen y recarga de la microcuenca C1096-Q9547. Evidencias de humedad: neblina frecuente, relictos boscosos densos en quebradas, escorrentía sobre la trocha (índice 94) y tubería/manguera de conducción de agua en ladera (índices 108–110), cuya captación aguas arriba queda por verificar. Coordenadas de fuentes aproximadas. Distancia y datos de la captación poblacional/JASS, autorización de Ronda Campesina, señal celular y tiempos de viaje: por verificar (no registrados en el reconocimiento). Transitabilidad en época lluviosa BAJA: vía de acceso en mal estado (índice 119).</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6</t>
        </is>
      </c>
    </row>
    <row r="7">
      <c r="A7" s="54" t="inlineStr">
        <is>
          <t>Hechos declarados por fuente</t>
        </is>
      </c>
    </row>
    <row r="8">
      <c r="A8" s="55" t="inlineStr">
        <is>
          <t>Fuente</t>
        </is>
      </c>
      <c r="B8" s="55" t="inlineStr">
        <is>
          <t>Hechos</t>
        </is>
      </c>
    </row>
    <row r="9">
      <c r="A9" s="56" t="inlineStr">
        <is>
          <t>Dato de campo</t>
        </is>
      </c>
      <c r="B9" s="56" t="n">
        <v>61</v>
      </c>
    </row>
    <row r="10">
      <c r="A10" s="57" t="inlineStr">
        <is>
          <t>Gabinete (GIS / teledetección)</t>
        </is>
      </c>
      <c r="B10" s="57" t="n">
        <v>22</v>
      </c>
    </row>
    <row r="11">
      <c r="A11" s="56" t="inlineStr">
        <is>
          <t>Fuente oficial</t>
        </is>
      </c>
      <c r="B11" s="56" t="n">
        <v>14</v>
      </c>
    </row>
    <row r="26">
      <c r="A26" s="54" t="inlineStr">
        <is>
          <t>Estado del cruce entre fuentes</t>
        </is>
      </c>
    </row>
    <row r="27">
      <c r="A27" s="55" t="inlineStr">
        <is>
          <t>Estado</t>
        </is>
      </c>
      <c r="B27" s="55" t="inlineStr">
        <is>
          <t>Hechos</t>
        </is>
      </c>
    </row>
    <row r="28">
      <c r="A28" s="56" t="inlineStr">
        <is>
          <t>CONFORME</t>
        </is>
      </c>
      <c r="B28" s="56" t="n">
        <v>96</v>
      </c>
    </row>
    <row r="29">
      <c r="A29" s="57" t="inlineStr">
        <is>
          <t>COMPLEMENTADO</t>
        </is>
      </c>
      <c r="B29" s="57" t="n">
        <v>1</v>
      </c>
    </row>
    <row r="30">
      <c r="A30" s="56" t="inlineStr">
        <is>
          <t>ACTUALIZADO</t>
        </is>
      </c>
      <c r="B30" s="56" t="n">
        <v>0</v>
      </c>
    </row>
    <row r="31">
      <c r="A31" s="57" t="inlineStr">
        <is>
          <t>DISCREPANTE</t>
        </is>
      </c>
      <c r="B31" s="57" t="n">
        <v>0</v>
      </c>
    </row>
    <row r="32">
      <c r="A32" s="56" t="inlineStr">
        <is>
          <t>PENDIENTE</t>
        </is>
      </c>
      <c r="B32" s="56" t="n">
        <v>17</v>
      </c>
    </row>
    <row r="45">
      <c r="A45" s="54" t="inlineStr">
        <is>
          <t>Cobertura por estrato — campo (%)</t>
        </is>
      </c>
    </row>
    <row r="46">
      <c r="A46" s="55" t="inlineStr">
        <is>
          <t>Estrato</t>
        </is>
      </c>
      <c r="B46" s="55" t="inlineStr">
        <is>
          <t>% del área</t>
        </is>
      </c>
    </row>
    <row r="47">
      <c r="A47" s="56" t="inlineStr">
        <is>
          <t>Suelo desnudo</t>
        </is>
      </c>
      <c r="B47" s="61" t="n">
        <v>10</v>
      </c>
    </row>
    <row r="64">
      <c r="A64" s="54" t="inlineStr">
        <is>
          <t>Causas activas de degradación (F-DT-04)</t>
        </is>
      </c>
    </row>
    <row r="65">
      <c r="A65" s="55" t="inlineStr">
        <is>
          <t>Causa</t>
        </is>
      </c>
      <c r="B65" s="55" t="inlineStr">
        <is>
          <t>Intensidad (1 ligera - 4 muy fuerte)</t>
        </is>
      </c>
    </row>
    <row r="66">
      <c r="A66" s="56" t="inlineStr">
        <is>
          <t>Cambio de uso a agricultura</t>
        </is>
      </c>
      <c r="B66" s="56" t="n">
        <v>2</v>
      </c>
    </row>
    <row r="67">
      <c r="A67" s="57" t="inlineStr">
        <is>
          <t>Cambio de uso a pastoreo</t>
        </is>
      </c>
      <c r="B67" s="57" t="n">
        <v>2</v>
      </c>
    </row>
    <row r="68">
      <c r="A68" s="56" t="inlineStr">
        <is>
          <t>Sobrepastoreo (caprino/vacuno)</t>
        </is>
      </c>
      <c r="B68" s="56" t="n">
        <v>2</v>
      </c>
    </row>
    <row r="69">
      <c r="A69" s="57" t="inlineStr">
        <is>
          <t>Especies invasoras</t>
        </is>
      </c>
      <c r="B69" s="57" t="n">
        <v>1</v>
      </c>
    </row>
    <row r="70">
      <c r="A70" s="56" t="inlineStr">
        <is>
          <t>Expansión urbana / vial</t>
        </is>
      </c>
      <c r="B70" s="56" t="n">
        <v>1</v>
      </c>
    </row>
    <row r="71">
      <c r="A71" s="57" t="inlineStr">
        <is>
          <t>Otro</t>
        </is>
      </c>
      <c r="B71" s="57" t="n">
        <v>1</v>
      </c>
    </row>
    <row r="72">
      <c r="A72" s="56" t="inlineStr">
        <is>
          <t>Tala para leña</t>
        </is>
      </c>
      <c r="B72" s="56" t="n">
        <v>1</v>
      </c>
    </row>
    <row r="83">
      <c r="A83" s="54" t="inlineStr">
        <is>
          <t>Control de consistencia por calificación</t>
        </is>
      </c>
    </row>
    <row r="84">
      <c r="A84" s="55" t="inlineStr">
        <is>
          <t>Calificación</t>
        </is>
      </c>
      <c r="B84" s="55" t="inlineStr">
        <is>
          <t>Verificaciones</t>
        </is>
      </c>
    </row>
    <row r="85">
      <c r="A85" s="56" t="inlineStr">
        <is>
          <t>SUSTANTIVA</t>
        </is>
      </c>
      <c r="B85" s="56" t="n">
        <v>2</v>
      </c>
    </row>
    <row r="86">
      <c r="A86" s="57" t="inlineStr">
        <is>
          <t>NO SUSTANTIVA</t>
        </is>
      </c>
      <c r="B86" s="57" t="n">
        <v>2</v>
      </c>
    </row>
    <row r="87">
      <c r="A87" s="56" t="inlineStr">
        <is>
          <t>CORREGIDO</t>
        </is>
      </c>
      <c r="B87" s="56" t="n">
        <v>0</v>
      </c>
    </row>
    <row r="88">
      <c r="A88" s="57" t="inlineStr">
        <is>
          <t>CONFORME</t>
        </is>
      </c>
      <c r="B88" s="57"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6 — IN Piura</dc:title>
  <dc:subject>Diagnóstico Territorial por bloque de intervención</dc:subject>
  <dcterms:created xsi:type="dcterms:W3CDTF">2026-09-08T03:39:56Z</dcterms:created>
  <dcterms:modified xsi:type="dcterms:W3CDTF">2026-09-11T21:26:29Z</dcterms:modified>
</cp:coreProperties>
</file>