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integración'!$A$76:$A$81</f>
            </numRef>
          </cat>
          <val>
            <numRef>
              <f>'Gráficos de integración'!$B$76:$B$81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integración'!B99</f>
            </strRef>
          </tx>
          <spPr>
            <a:ln>
              <a:prstDash val="solid"/>
            </a:ln>
          </spPr>
          <cat>
            <numRef>
              <f>'Gráficos de integración'!$A$100:$A$103</f>
            </numRef>
          </cat>
          <val>
            <numRef>
              <f>'Gráficos de integración'!$B$100:$B$103</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98</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M18B3</t>
        </is>
      </c>
    </row>
    <row r="6" ht="24" customHeight="1">
      <c r="A6" s="4" t="inlineStr">
        <is>
          <t>Diagnóstico Territorial — Plantilla DT Campo Check Validada V5 | Sistema de referencia: UTM WGS 84 Zona 17S (EPSG:32717) · Integrado con la ficha de campo F-DT vigente (Plantilla_DT_M18B3_Llenada.xlsx) — V7 - resumen V6 + campo F-DT integrado</t>
        </is>
      </c>
    </row>
    <row r="7"/>
    <row r="8" ht="18" customHeight="1">
      <c r="A8" s="5" t="inlineStr">
        <is>
          <t>1. IDENTIFICACIÓN Y LOCALIZACIÓN</t>
        </is>
      </c>
    </row>
    <row r="9">
      <c r="A9" s="6" t="inlineStr">
        <is>
          <t>Código del bloque</t>
        </is>
      </c>
      <c r="B9" s="7" t="inlineStr">
        <is>
          <t>M18B3</t>
        </is>
      </c>
      <c r="C9" s="6" t="inlineStr">
        <is>
          <t>Microcuenca (catálogo)</t>
        </is>
      </c>
      <c r="D9" s="7" t="inlineStr">
        <is>
          <t>C1077-Q9579</t>
        </is>
      </c>
      <c r="E9" s="8" t="n"/>
      <c r="F9" s="8" t="n"/>
    </row>
    <row r="10">
      <c r="A10" s="6" t="inlineStr">
        <is>
          <t>Zona de planificación</t>
        </is>
      </c>
      <c r="B10" s="7" t="inlineStr">
        <is>
          <t>Z07</t>
        </is>
      </c>
      <c r="C10" s="6" t="inlineStr">
        <is>
          <t>Microcuenca declarada en ficha DT</t>
        </is>
      </c>
      <c r="D10" s="7" t="inlineStr">
        <is>
          <t>C1077-Q9579</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Mangomanguilla / Villa Malacasí</t>
        </is>
      </c>
      <c r="C13" s="6" t="inlineStr">
        <is>
          <t>Comunidad campesina</t>
        </is>
      </c>
      <c r="D13" s="51" t="inlineStr">
        <is>
          <t>No aplica (predios privados; colinda con ACP Mangamanguilla)</t>
        </is>
      </c>
      <c r="E13" s="8" t="n"/>
      <c r="F13" s="8" t="n"/>
    </row>
    <row r="14">
      <c r="A14" s="6" t="inlineStr">
        <is>
          <t>Superficie de catálogo (V5/V6), ha</t>
        </is>
      </c>
      <c r="B14" s="7" t="n">
        <v>373.81</v>
      </c>
      <c r="C14" s="6" t="inlineStr">
        <is>
          <t>Fuente de superficie</t>
        </is>
      </c>
      <c r="D14" s="7" t="inlineStr">
        <is>
          <t>Catálogo maestro Bloques V5/V6</t>
        </is>
      </c>
      <c r="E14" s="8" t="n"/>
      <c r="F14" s="8" t="n"/>
    </row>
    <row r="15">
      <c r="A15" s="6" t="inlineStr">
        <is>
          <t>Centroide UTM ESTE (m)</t>
        </is>
      </c>
      <c r="B15" s="7" t="n">
        <v>625311</v>
      </c>
      <c r="C15" s="6" t="inlineStr">
        <is>
          <t>Centroide UTM NORTE (m)</t>
        </is>
      </c>
      <c r="D15" s="7" t="n">
        <v>9412195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159</v>
      </c>
      <c r="C19" s="6" t="inlineStr">
        <is>
          <t>Altitud máxima (msnm)</t>
        </is>
      </c>
      <c r="D19" s="7" t="n">
        <v>533</v>
      </c>
      <c r="E19" s="8" t="n"/>
      <c r="F19" s="8" t="n"/>
    </row>
    <row r="20">
      <c r="A20" s="6" t="inlineStr">
        <is>
          <t>Amplitud altitudinal (m)</t>
        </is>
      </c>
      <c r="B20" s="7" t="n">
        <v>374</v>
      </c>
      <c r="C20" s="6" t="inlineStr">
        <is>
          <t>Piso altitudinal dominante</t>
        </is>
      </c>
      <c r="D20" s="7" t="inlineStr">
        <is>
          <t>&lt;1000 m (Yunga)</t>
        </is>
      </c>
      <c r="E20" s="8" t="n"/>
      <c r="F20" s="8" t="n"/>
    </row>
    <row r="21">
      <c r="A21" s="6" t="inlineStr">
        <is>
          <t>Pendiente promedio (%)</t>
        </is>
      </c>
      <c r="B21" s="7" t="n">
        <v>21.52</v>
      </c>
      <c r="C21" s="6" t="inlineStr">
        <is>
          <t>Pendiente promedio (grados)</t>
        </is>
      </c>
      <c r="D21" s="7" t="n">
        <v>12.1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0.3694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(67.32 %)</t>
        </is>
      </c>
      <c r="E29" s="8" t="n"/>
      <c r="F29" s="8" t="n"/>
    </row>
    <row r="30">
      <c r="A30" s="6" t="inlineStr">
        <is>
          <t>Superficie clasificada NDVI 2025 (ha)</t>
        </is>
      </c>
      <c r="B30" s="7" t="n">
        <v>373.96</v>
      </c>
      <c r="C30" s="6" t="inlineStr">
        <is>
          <t>Desviación frente al catálogo (%)</t>
        </is>
      </c>
      <c r="D30" s="7" t="n">
        <v>0.04</v>
      </c>
      <c r="E30" s="8" t="n"/>
      <c r="F30" s="8" t="n"/>
    </row>
    <row r="31">
      <c r="A31" s="6" t="inlineStr">
        <is>
          <t>Superficie clasificada MSAVI 2024 (ha)</t>
        </is>
      </c>
      <c r="B31" s="39" t="n">
        <v>373.807</v>
      </c>
      <c r="C31" s="6" t="inlineStr">
        <is>
          <t>Desviación MSAVI frente al catálogo (%)</t>
        </is>
      </c>
      <c r="D31" s="40" t="n">
        <v>0</v>
      </c>
      <c r="E31" s="8" t="n"/>
      <c r="F31" s="8" t="n"/>
    </row>
    <row r="32">
      <c r="A32" s="6" t="inlineStr">
        <is>
          <t>Superficie bajo umbral MSAVI 0.4976 (ha)</t>
        </is>
      </c>
      <c r="B32" s="39" t="n">
        <v>367.739</v>
      </c>
      <c r="C32" s="6" t="inlineStr">
        <is>
          <t>% del bloque bajo umbral (brecha espectral)</t>
        </is>
      </c>
      <c r="D32" s="40" t="n">
        <v>98.38</v>
      </c>
      <c r="E32" s="8" t="n"/>
      <c r="F32" s="8" t="n"/>
    </row>
    <row r="33">
      <c r="A33" s="6" t="inlineStr">
        <is>
          <t>Clase DN dominante (MSAVI 2024)</t>
        </is>
      </c>
      <c r="B33" s="7" t="inlineStr">
        <is>
          <t>DN 2 · 0.2650 - 0.3813 (Vigor muy bajo)</t>
        </is>
      </c>
      <c r="C33" s="6" t="inlineStr">
        <is>
          <t>N.° de polígonos MSAVI del bloque</t>
        </is>
      </c>
      <c r="D33" s="41" t="n">
        <v>1239</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373.81 ha (100% del bloque)</t>
        </is>
      </c>
      <c r="E36" s="8" t="n"/>
      <c r="F36" s="8" t="n"/>
    </row>
    <row r="37">
      <c r="A37" s="6" t="inlineStr">
        <is>
          <t>Estado de conservación</t>
        </is>
      </c>
      <c r="B37" s="7" t="inlineStr">
        <is>
          <t>Levemente alterado</t>
        </is>
      </c>
      <c r="C37" s="6" t="inlineStr">
        <is>
          <t>Uso actual dominante del suelo</t>
        </is>
      </c>
      <c r="D37" s="51" t="inlineStr">
        <is>
          <t>Forestal protección</t>
        </is>
      </c>
      <c r="E37" s="8" t="n"/>
      <c r="F37" s="8" t="n"/>
    </row>
    <row r="38">
      <c r="A38" s="6" t="inlineStr">
        <is>
          <t>Tipo de cobertura dominante</t>
        </is>
      </c>
      <c r="B38" s="7" t="inlineStr">
        <is>
          <t>Bosque ralo (30-70%)</t>
        </is>
      </c>
      <c r="C38" s="6" t="inlineStr">
        <is>
          <t>Cobertura vegetal total — campo (%)</t>
        </is>
      </c>
      <c r="D38" s="7" t="n">
        <v>70</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1</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 / Ing. Juan Carlos Domínguez Varas</t>
        </is>
      </c>
      <c r="C44" s="6" t="inlineStr">
        <is>
          <t>Fecha de evaluación</t>
        </is>
      </c>
      <c r="D44" s="7" t="inlineStr">
        <is>
          <t>2026-05-21</t>
        </is>
      </c>
      <c r="E44" s="8" t="n"/>
      <c r="F44" s="8" t="n"/>
    </row>
    <row r="45">
      <c r="A45" s="6" t="inlineStr">
        <is>
          <t>Hora de registro</t>
        </is>
      </c>
      <c r="B45" s="7" t="inlineStr">
        <is>
          <t>09:12 - 09:50 h</t>
        </is>
      </c>
      <c r="C45" s="6" t="inlineStr">
        <is>
          <t>Correlativo de ficha</t>
        </is>
      </c>
      <c r="D45" s="7" t="inlineStr">
        <is>
          <t>F-DT-M18B3-01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Dependencia económica de las familias del uso extensivo del bosque seco (leña y pastoreo) ante la limitada disponibilidad de alternativas</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M18B3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0.1067</v>
      </c>
      <c r="C10" s="19">
        <f>ROUND(B10/$B$15*100,2)</f>
        <v/>
      </c>
      <c r="D10" s="11" t="inlineStr">
        <is>
          <t>Vigor alto</t>
        </is>
      </c>
      <c r="E10" s="11" t="inlineStr">
        <is>
          <t>Sobre umbral</t>
        </is>
      </c>
    </row>
    <row r="11">
      <c r="A11" s="12" t="inlineStr">
        <is>
          <t>0.4976 - 0.6139 · DN 4</t>
        </is>
      </c>
      <c r="B11" s="20" t="n">
        <v>5.9616</v>
      </c>
      <c r="C11" s="21">
        <f>ROUND(B11/$B$15*100,2)</f>
        <v/>
      </c>
      <c r="D11" s="13" t="inlineStr">
        <is>
          <t>Vigor moderado</t>
        </is>
      </c>
      <c r="E11" s="13" t="inlineStr">
        <is>
          <t>Sobre umbral</t>
        </is>
      </c>
    </row>
    <row r="12">
      <c r="A12" s="7" t="inlineStr">
        <is>
          <t>0.3813 - 0.4976 · DN 3</t>
        </is>
      </c>
      <c r="B12" s="18" t="n">
        <v>156.435</v>
      </c>
      <c r="C12" s="19">
        <f>ROUND(B12/$B$15*100,2)</f>
        <v/>
      </c>
      <c r="D12" s="11" t="inlineStr">
        <is>
          <t>Vigor bajo</t>
        </is>
      </c>
      <c r="E12" s="11" t="inlineStr">
        <is>
          <t>BAJO umbral 0.4976</t>
        </is>
      </c>
    </row>
    <row r="13">
      <c r="A13" s="14" t="inlineStr">
        <is>
          <t>0.2650 - 0.3813 · DN 2</t>
        </is>
      </c>
      <c r="B13" s="30" t="n">
        <v>193.319</v>
      </c>
      <c r="C13" s="29">
        <f>ROUND(B13/$B$15*100,2)</f>
        <v/>
      </c>
      <c r="D13" s="15" t="inlineStr">
        <is>
          <t>Vigor muy bajo</t>
        </is>
      </c>
      <c r="E13" s="15" t="inlineStr">
        <is>
          <t>BAJO umbral 0.4976</t>
        </is>
      </c>
    </row>
    <row r="14">
      <c r="A14" s="7" t="inlineStr">
        <is>
          <t>&lt;= 0.2650 · DN 1</t>
        </is>
      </c>
      <c r="B14" s="18" t="n">
        <v>17.985</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1 239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373.81</v>
      </c>
      <c r="C18" s="50" t="inlineStr">
        <is>
          <t>—</t>
        </is>
      </c>
      <c r="D18" s="47" t="inlineStr">
        <is>
          <t>Desviación planimétrica frente al catálogo</t>
        </is>
      </c>
      <c r="E18" s="47" t="inlineStr">
        <is>
          <t>+0.00 %</t>
        </is>
      </c>
    </row>
    <row r="19">
      <c r="A19" s="16" t="inlineStr">
        <is>
          <t>MSAVI 2024 — MEDIA DEL BLOQUE</t>
        </is>
      </c>
      <c r="B19" s="17" t="n">
        <v>0.369424</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1 239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(0.3694)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33.7208</v>
      </c>
      <c r="C25" s="19" t="n">
        <v>9.02</v>
      </c>
      <c r="D25" s="11" t="inlineStr">
        <is>
          <t>Dosel continuo, matorral denso o mosaico agroforestal</t>
        </is>
      </c>
      <c r="E25" s="11" t="inlineStr"/>
    </row>
    <row r="26">
      <c r="A26" s="12" t="inlineStr">
        <is>
          <t>Vegetación mediana</t>
        </is>
      </c>
      <c r="B26" s="20" t="n">
        <v>251.7415</v>
      </c>
      <c r="C26" s="21" t="n">
        <v>67.31999999999999</v>
      </c>
      <c r="D26" s="13" t="inlineStr">
        <is>
          <t>Pastizal cultivado, matorral ralo, parcelas agrícolas</t>
        </is>
      </c>
      <c r="E26" s="13" t="inlineStr"/>
    </row>
    <row r="27">
      <c r="A27" s="7" t="inlineStr">
        <is>
          <t>Vegetación ligera</t>
        </is>
      </c>
      <c r="B27" s="18" t="n">
        <v>87.9127</v>
      </c>
      <c r="C27" s="19" t="n">
        <v>23.51</v>
      </c>
      <c r="D27" s="11" t="inlineStr">
        <is>
          <t>Cobertura discontinua, suelo parcialmente expuesto</t>
        </is>
      </c>
      <c r="E27" s="11" t="inlineStr"/>
    </row>
    <row r="28">
      <c r="A28" s="12" t="inlineStr">
        <is>
          <t>Tierra desnuda</t>
        </is>
      </c>
      <c r="B28" s="20" t="n">
        <v>0.5853</v>
      </c>
      <c r="C28" s="21" t="n">
        <v>0.16</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373.81</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9.02 % del polígono clasificado como «Vegetación alta» por el NDVI 2025; la observación de campo corresponde a una parcela o recorrido puntual y no es estadísticamente representativa de las 373.810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M18B3</t>
        </is>
      </c>
    </row>
    <row r="6" ht="24" customHeight="1">
      <c r="A6" s="4" t="inlineStr">
        <is>
          <t>Levantamiento del 2026-05-21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625826</v>
      </c>
      <c r="D10" s="26" t="n">
        <v>9411463</v>
      </c>
      <c r="E10" s="11" t="n">
        <v>895</v>
      </c>
      <c r="F10" s="11" t="inlineStr"/>
      <c r="G10" s="11" t="inlineStr">
        <is>
          <t>Coordenada consignada en F-DT-01</t>
        </is>
      </c>
    </row>
    <row r="11">
      <c r="A11" s="12" t="inlineStr">
        <is>
          <t>C-01</t>
        </is>
      </c>
      <c r="B11" s="13" t="inlineStr">
        <is>
          <t>Rasgo erosivo — Surco (&lt;30 cm) — 15 m, 0.2 m prof., 0.3 m ancho</t>
        </is>
      </c>
      <c r="C11" s="27" t="n">
        <v>625826</v>
      </c>
      <c r="D11" s="27" t="n">
        <v>9411463</v>
      </c>
      <c r="E11" s="13" t="n">
        <v>895</v>
      </c>
      <c r="F11" s="13" t="inlineStr">
        <is>
          <t>Semi-activa</t>
        </is>
      </c>
      <c r="G11" s="13" t="inlineStr">
        <is>
          <t>Sobrepastoreo</t>
        </is>
      </c>
    </row>
    <row r="12">
      <c r="A12" s="7" t="inlineStr">
        <is>
          <t>H-01</t>
        </is>
      </c>
      <c r="B12" s="11" t="inlineStr">
        <is>
          <t>Fuente de agua — Río</t>
        </is>
      </c>
      <c r="C12" s="26" t="n">
        <v>625728</v>
      </c>
      <c r="D12" s="26" t="n">
        <v>9411447</v>
      </c>
      <c r="E12" s="11" t="n">
        <v>856.4</v>
      </c>
      <c r="F12" s="11" t="inlineStr">
        <is>
          <t>Permanente</t>
        </is>
      </c>
      <c r="G12" s="11" t="inlineStr">
        <is>
          <t>Río Piura (Río Seco)</t>
        </is>
      </c>
    </row>
    <row r="13">
      <c r="A13" s="12" t="inlineStr">
        <is>
          <t>H-02</t>
        </is>
      </c>
      <c r="B13" s="13" t="inlineStr">
        <is>
          <t>Fuente de agua — Reservorio / Represa</t>
        </is>
      </c>
      <c r="C13" s="27" t="n">
        <v>625722</v>
      </c>
      <c r="D13" s="27" t="n">
        <v>9411456</v>
      </c>
      <c r="E13" s="13" t="n">
        <v>845.6</v>
      </c>
      <c r="F13" s="13" t="inlineStr">
        <is>
          <t>Estacional</t>
        </is>
      </c>
      <c r="G13" s="13" t="inlineStr">
        <is>
          <t>Reservorio rústico revestido</t>
        </is>
      </c>
    </row>
    <row r="14">
      <c r="A14" s="7" t="inlineStr">
        <is>
          <t>H-03</t>
        </is>
      </c>
      <c r="B14" s="11" t="inlineStr">
        <is>
          <t>Fuente de agua — Reservorio / Represa</t>
        </is>
      </c>
      <c r="C14" s="26" t="n">
        <v>625692</v>
      </c>
      <c r="D14" s="26" t="n">
        <v>9411343</v>
      </c>
      <c r="E14" s="11" t="n">
        <v>933.3</v>
      </c>
      <c r="F14" s="11" t="inlineStr">
        <is>
          <t>Permanente</t>
        </is>
      </c>
      <c r="G14" s="11" t="inlineStr">
        <is>
          <t>Tanque elevado + reservorio (JASS)</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625311</v>
      </c>
      <c r="C17" s="6" t="inlineStr">
        <is>
          <t>Centroide del bloque — UTM NORTE (m)</t>
        </is>
      </c>
      <c r="D17" s="7" t="n">
        <v>9412195</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32"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RELATIVAMENTE MENOS DISTURBADO respecto a otros bloques visitados en el ámbito. No se observaron procesos de remoción en masa activos ni escarpes recientes durante el recorrido (21-05-2026). La inestabilidad potencial se asocia principalmente a la PÉRDIDA DE COBERTURA EN LADERAS CON PENDIENTE &gt;25% Y A LA CONCENTRACIÓN DE ESCORRENTÍA ESTACIONAL. Punto de muestreo representativo en el frente sur del bloque (acceso desde Salitral, CRUCE DEL RÍO SECO). NOTA: el código de bloque visitado en campo y rotulado en imágenes es M18B3 (Salitral).</t>
        </is>
      </c>
      <c r="B20" s="42" t="n"/>
      <c r="C20" s="42" t="n"/>
      <c r="D20" s="42" t="n"/>
      <c r="E20" s="42" t="n"/>
      <c r="F20" s="42" t="n"/>
      <c r="G20" s="43"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C1077-Q9579 — BLOQUE M18B3</t>
        </is>
      </c>
    </row>
    <row r="6" ht="24" customHeight="1">
      <c r="A6" s="4" t="inlineStr">
        <is>
          <t>Distrito de Salitral · Provincia de Morropon · Comparación de los bloques preliminares de intervención de la misma microcuenca</t>
        </is>
      </c>
    </row>
    <row r="8" ht="18" customHeight="1">
      <c r="A8" s="5" t="inlineStr">
        <is>
          <t>BLOQUES DE LA MICROCUENCA C1077-Q9579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M18B3</t>
        </is>
      </c>
      <c r="B10" s="28" t="n">
        <v>373.81</v>
      </c>
      <c r="C10" s="29" t="n">
        <v>51.1</v>
      </c>
      <c r="D10" s="15" t="inlineStr">
        <is>
          <t>159 – 533</t>
        </is>
      </c>
      <c r="E10" s="15" t="n">
        <v>374</v>
      </c>
      <c r="F10" s="15" t="n">
        <v>21.52</v>
      </c>
      <c r="G10" s="30" t="n">
        <v>0.3694</v>
      </c>
      <c r="H10" s="29" t="n">
        <v>9.02</v>
      </c>
      <c r="I10" s="29" t="n">
        <v>98.38</v>
      </c>
    </row>
    <row r="11">
      <c r="A11" s="12" t="inlineStr">
        <is>
          <t>M18B5</t>
        </is>
      </c>
      <c r="B11" s="31" t="n">
        <v>197.35</v>
      </c>
      <c r="C11" s="21" t="n">
        <v>26.98</v>
      </c>
      <c r="D11" s="13" t="inlineStr">
        <is>
          <t>157 – 645</t>
        </is>
      </c>
      <c r="E11" s="13" t="n">
        <v>488</v>
      </c>
      <c r="F11" s="13" t="n">
        <v>18.19</v>
      </c>
      <c r="G11" s="20" t="n">
        <v>0.3565</v>
      </c>
      <c r="H11" s="21" t="inlineStr">
        <is>
          <t>Por determinar</t>
        </is>
      </c>
      <c r="I11" s="13" t="inlineStr">
        <is>
          <t>s/d</t>
        </is>
      </c>
    </row>
    <row r="12">
      <c r="A12" s="7" t="inlineStr">
        <is>
          <t>M18B1</t>
        </is>
      </c>
      <c r="B12" s="32" t="n">
        <v>160.36</v>
      </c>
      <c r="C12" s="19" t="n">
        <v>21.92</v>
      </c>
      <c r="D12" s="11" t="inlineStr">
        <is>
          <t>153 – 396</t>
        </is>
      </c>
      <c r="E12" s="11" t="n">
        <v>243</v>
      </c>
      <c r="F12" s="11" t="n">
        <v>20.37</v>
      </c>
      <c r="G12" s="18" t="n">
        <v>0.3343</v>
      </c>
      <c r="H12" s="19" t="n">
        <v>1.41</v>
      </c>
      <c r="I12" s="19" t="n">
        <v>99.67</v>
      </c>
    </row>
    <row r="13">
      <c r="A13" s="16" t="inlineStr">
        <is>
          <t>TOTAL / PROMEDIO</t>
        </is>
      </c>
      <c r="B13" s="33">
        <f>SUM(B10:B12)</f>
        <v/>
      </c>
      <c r="C13" s="23">
        <f>SUM(C10:C12)</f>
        <v/>
      </c>
      <c r="D13" s="17" t="inlineStr">
        <is>
          <t>153 – 645</t>
        </is>
      </c>
      <c r="E13" s="17" t="inlineStr"/>
      <c r="F13" s="17">
        <f>ROUND(AVERAGE(F10:F12),2)</f>
        <v/>
      </c>
      <c r="G13" s="22">
        <f>ROUND(AVERAGE(G10:G12),4)</f>
        <v/>
      </c>
      <c r="H13" s="23">
        <f>ROUND(AVERAGE(H10:H12),2)</f>
        <v/>
      </c>
      <c r="I13" s="23">
        <f>ROUND(AVERAGE(I10:I12),2)</f>
        <v/>
      </c>
    </row>
    <row r="14" ht="48" customHeight="1">
      <c r="A14" s="9" t="inlineStr">
        <is>
          <t>ALCANCE DE LOS PROMEDIOS. La fila TOTAL / PROMEDIO omite las celdas «Por determinar»: el promedio de VEGETACIÓN ALTA (NDVI 2025) se calcula sobre 2 de los 3 bloques; el bloque restante carece de estadística zonal de NDVI. Los totales de ÁREA y % de microcuenca sí comprenden la totalidad de los 3 bloques. No se estima ningún valor ausente.</t>
        </is>
      </c>
      <c r="B14" s="42" t="n"/>
      <c r="C14" s="42" t="n"/>
      <c r="D14" s="42" t="n"/>
      <c r="E14" s="42" t="n"/>
      <c r="F14" s="42" t="n"/>
      <c r="G14" s="42" t="n"/>
      <c r="H14" s="42" t="n"/>
      <c r="I14" s="43" t="n"/>
    </row>
    <row r="16" ht="84" customHeight="1">
      <c r="A16" s="9" t="inlineStr">
        <is>
          <t>LECTURA INTRAMICROCUENCA. El bloque M18B3 ocupa el puesto 1 de 3 por superficie dentro de la microcuenca C1077-Q9579 (51.10 % de las 731.52 ha preliminares de la microcuenca). Su pendiente promedio (21.52 %, clase «15-25% (Fuert. inclinado)») es la 3.ª más baja de 3 y se sitúa por encima del promedio de la microcuenca (20.03 %). Su MSAVI 2024 (0.3694) es el 1.º de 3 y queda por encima del promedio local (0.3534). Amplitud altitudinal del bloque: 374 m (159–533 msnm). El cuadro conserva todos los bloques catalogados en la microcuenca, incluidos los descartados en el tamizaje, para referencia del conjunto. Los bloques sin ficha DT figuran con sus parámetros de gabinete. BRECHA ESPECTRAL. El 98.38 % de la superficie del bloque (367.739 ha de 373.807 ha) se sitúa bajo el umbral MSAVI 0.4976, por debajo del promedio local de la microcuenca (99.02 %) calculado sobre los bloques con dato MSAVI disponible.</t>
        </is>
      </c>
      <c r="B16" s="42" t="n"/>
      <c r="C16" s="42" t="n"/>
      <c r="D16" s="42" t="n"/>
      <c r="E16" s="42" t="n"/>
      <c r="F16" s="42" t="n"/>
      <c r="G16" s="42" t="n"/>
      <c r="H16" s="42" t="n"/>
      <c r="I16" s="43" t="n"/>
    </row>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8" s="42" t="n"/>
      <c r="C18" s="42" t="n"/>
      <c r="D18" s="42" t="n"/>
      <c r="E18" s="42" t="n"/>
      <c r="F18" s="42" t="n"/>
      <c r="G18" s="42" t="n"/>
      <c r="H18" s="42" t="n"/>
      <c r="I18" s="43" t="n"/>
    </row>
  </sheetData>
  <mergeCells count="10">
    <mergeCell ref="A2:I2"/>
    <mergeCell ref="A5:I5"/>
    <mergeCell ref="A14:I14"/>
    <mergeCell ref="A1:I1"/>
    <mergeCell ref="A18:I18"/>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6"/>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M18B3</t>
        </is>
      </c>
    </row>
    <row r="6">
      <c r="A6" s="53" t="inlineStr">
        <is>
          <t>Cruce de la ficha de campo F-DT vigente con la ficha de resumen de gabinete y el catálogo maestro. Integración 2026-09-11 20:22:36.</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«C1077-Q9579».</t>
        </is>
      </c>
      <c r="D9" s="57" t="inlineStr">
        <is>
          <t>CONFORME</t>
        </is>
      </c>
      <c r="E9" s="57" t="inlineStr">
        <is>
          <t>Sin acción.</t>
        </is>
      </c>
    </row>
    <row r="10">
      <c r="A10" s="58" t="inlineStr">
        <is>
          <t>G-02</t>
        </is>
      </c>
      <c r="B10" s="58" t="inlineStr">
        <is>
          <t>UTM del punto de muestreo</t>
        </is>
      </c>
      <c r="C10" s="58" t="inlineStr">
        <is>
          <t>El punto de muestreo declarado dista 895.0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(325 msnm) cae dentro del rango altitudinal del bloque (159 - 533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(373.960 ha) se desvía 0.04 % de la superficie de catálogo (373.81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(373.807 ha) se desvía -0.00 % de la superficie de catálogo (373.81 ha).</t>
        </is>
      </c>
      <c r="D14" s="58" t="inlineStr">
        <is>
          <t>CONFORME</t>
        </is>
      </c>
      <c r="E14" s="58" t="inlineStr">
        <is>
          <t>Sin acción: la segmentación valida la geometría del bloque.</t>
        </is>
      </c>
    </row>
    <row r="15">
      <c r="A15" s="57" t="inlineStr">
        <is>
          <t>G-07</t>
        </is>
      </c>
      <c r="B15" s="57" t="inlineStr">
        <is>
          <t>Brecha espectral MSAVI</t>
        </is>
      </c>
      <c r="C15" s="57" t="inlineStr">
        <is>
          <t>El 98.38 % del bloque queda bajo el umbral 0.4976; superficie de brecha 367.74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373.81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(0.3694)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Comunidad campesina</t>
        </is>
      </c>
      <c r="C19" s="57" t="inlineStr">
        <is>
          <t>El libro de resumen V6 consignaba «No aplica (predios privados; COLINDA CON EL ACP MANGAMANGUILLA)»; la ficha de campo vigente declara «No aplica (predios privados; colinda con ACP Mangamanguilla)».</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Uso actual dominante del suelo</t>
        </is>
      </c>
      <c r="C20" s="58" t="inlineStr">
        <is>
          <t>El libro de resumen V6 consignaba «Forestal de protección»; la ficha de campo vigente declara «Forestal protección».</t>
        </is>
      </c>
      <c r="D20" s="58" t="inlineStr">
        <is>
          <t>CORREGIDO</t>
        </is>
      </c>
      <c r="E20" s="58" t="inlineStr">
        <is>
          <t>Se adopta el valor de campo por ser la fuente que manda sobre el dato y la más reciente. El valor anterior queda declarado para trazabilidad.</t>
        </is>
      </c>
    </row>
    <row r="21">
      <c r="A21" s="57" t="inlineStr">
        <is>
          <t>F-01</t>
        </is>
      </c>
      <c r="B21" s="57" t="inlineStr">
        <is>
          <t>Fichas F-DT levantadas</t>
        </is>
      </c>
      <c r="C21" s="57" t="inlineStr">
        <is>
          <t>La plantilla de campo trae las cinco fichas F-DT-01 a F-DT-05 (completitud 100.0 % de los campos esperados).</t>
        </is>
      </c>
      <c r="D21" s="57" t="inlineStr">
        <is>
          <t>CONFORME</t>
        </is>
      </c>
      <c r="E21" s="57" t="inlineStr">
        <is>
          <t>Sin acción.</t>
        </is>
      </c>
    </row>
    <row r="22">
      <c r="A22" s="58" t="inlineStr">
        <is>
          <t>F-02</t>
        </is>
      </c>
      <c r="B22" s="58" t="inlineStr">
        <is>
          <t>Cobertura de la integración</t>
        </is>
      </c>
      <c r="C22" s="58" t="inlineStr">
        <is>
          <t>Se declararon 108 de 114 hechos integrados (94.7 %); 6 quedan sin dato en ninguna fuente.</t>
        </is>
      </c>
      <c r="D22" s="58" t="inlineStr">
        <is>
          <t>CONFORME</t>
        </is>
      </c>
      <c r="E22" s="58" t="inlineStr">
        <is>
          <t>Sin acción.</t>
        </is>
      </c>
    </row>
    <row r="23">
      <c r="A23" s="57" t="inlineStr">
        <is>
          <t>H-01</t>
        </is>
      </c>
      <c r="B23" s="57" t="inlineStr">
        <is>
          <t>Rango de pendiente dominante</t>
        </is>
      </c>
      <c r="C23" s="57" t="inlineStr">
        <is>
          <t>La ficha DT declara «25-50% (Mod. escarpado)»; la estadística zonal sobre el MDE arroja una pendiente promedio de 21.52 %, que corresponde a la clase «15-25% (Fuert. inclinado)»</t>
        </is>
      </c>
      <c r="D23" s="57" t="inlineStr">
        <is>
          <t>NO SUSTANTIVA</t>
        </is>
      </c>
      <c r="E23"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58" t="inlineStr">
        <is>
          <t>H-02</t>
        </is>
      </c>
      <c r="B24" s="58" t="inlineStr">
        <is>
          <t>Cobertura vegetal total</t>
        </is>
      </c>
      <c r="C24" s="58" t="inlineStr">
        <is>
          <t>La ficha DT estima 70 % de cobertura vegetal en campo; el NDVI mediana 2025 clasifica 99.85 % del polígono en clases de vegetación</t>
        </is>
      </c>
      <c r="D24" s="58" t="inlineStr">
        <is>
          <t>NO SUSTANTIVA</t>
        </is>
      </c>
      <c r="E24"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
      <c r="A25" s="57" t="inlineStr">
        <is>
          <t>H-03</t>
        </is>
      </c>
      <c r="B25" s="57" t="inlineStr">
        <is>
          <t>Representatividad del levantamiento</t>
        </is>
      </c>
      <c r="C25" s="57" t="inlineStr">
        <is>
          <t>Ninguna de las estaciones fotográficas georreferenciadas se localiza dentro del polígono del bloque</t>
        </is>
      </c>
      <c r="D25" s="57" t="inlineStr">
        <is>
          <t>SUSTANTIVA</t>
        </is>
      </c>
      <c r="E25" s="57" t="inlineStr">
        <is>
          <t>La verificación documenta el perímetro y la vista panorámica del bloque, no su interior. Los parámetros que exigen recorrido interno se consignan «Por determinar». (Verificación heredada de la ficha de resumen V6.)</t>
        </is>
      </c>
    </row>
    <row r="26">
      <c r="A26" s="58" t="inlineStr">
        <is>
          <t>H-04</t>
        </is>
      </c>
      <c r="B26" s="58" t="inlineStr">
        <is>
          <t>Centro poblado asociado</t>
        </is>
      </c>
      <c r="C26" s="58" t="inlineStr">
        <is>
          <t>La ficha DT declara «Mangomanguilla / Villa Malacasí»; el cruce INEI-Bloques V5 identifica 3 centro(s) poblado(s) en el bloque: HUARO QUISPAMPA, MANGOMANGUIA, SELVA ANDINA</t>
        </is>
      </c>
      <c r="D26" s="58" t="inlineStr">
        <is>
          <t>NO SUSTANTIVA</t>
        </is>
      </c>
      <c r="E26" s="58" t="inlineStr">
        <is>
          <t>Se conserva el registro de campo como referencia y se adopta el listado INEI para el diagnóstico social y el cálculo de población beneficiaria. (Verificación heredada de la ficha de resumen V6.)</t>
        </is>
      </c>
    </row>
    <row r="27">
      <c r="A27" s="57" t="inlineStr">
        <is>
          <t>H-05</t>
        </is>
      </c>
      <c r="B27" s="57" t="inlineStr">
        <is>
          <t>Plan de Ingreso</t>
        </is>
      </c>
      <c r="C27" s="57" t="inlineStr">
        <is>
          <t>Altitud = 0 msnm (captura por defecto del aplicativo)</t>
        </is>
      </c>
      <c r="D27" s="57" t="inlineStr">
        <is>
          <t>CORREGIDO</t>
        </is>
      </c>
      <c r="E27" s="57" t="inlineStr">
        <is>
          <t>Se reemplaza por la altitud GPS de campo (330 msnm) (Verificación heredada de la ficha de resumen V6.)</t>
        </is>
      </c>
    </row>
    <row r="28">
      <c r="A28" s="58" t="inlineStr">
        <is>
          <t>H-06</t>
        </is>
      </c>
      <c r="B28" s="58" t="inlineStr">
        <is>
          <t>F-DT-02</t>
        </is>
      </c>
      <c r="C28" s="58" t="inlineStr">
        <is>
          <t>Se declara 5% del bloque con cárcavas y densidad 0.5 N.°/ha para una sola cárcava de 15 m en 373.81 ha</t>
        </is>
      </c>
      <c r="D28" s="58" t="inlineStr">
        <is>
          <t>SUSTANTIVA</t>
        </is>
      </c>
      <c r="E28" s="58" t="inlineStr">
        <is>
          <t>Cifras incompatibles entre sí: recalcular (Verificación heredada de la ficha de resumen V6.)</t>
        </is>
      </c>
    </row>
    <row r="29">
      <c r="A29" s="57" t="inlineStr">
        <is>
          <t>H-07</t>
        </is>
      </c>
      <c r="B29" s="57" t="inlineStr">
        <is>
          <t>F-DT-03</t>
        </is>
      </c>
      <c r="C29" s="57" t="inlineStr">
        <is>
          <t>Categorías: Hualtaco VU y Palo santo NT, frente a CR en la mayoría de los bloques</t>
        </is>
      </c>
      <c r="D29" s="57" t="inlineStr">
        <is>
          <t>SUSTANTIVA</t>
        </is>
      </c>
      <c r="E29" s="57" t="inlineStr">
        <is>
          <t>Homogeneizar criterio de categorización (Verificación heredada de la ficha de resumen V6.)</t>
        </is>
      </c>
    </row>
    <row r="30">
      <c r="A30" s="58" t="inlineStr">
        <is>
          <t>H-08</t>
        </is>
      </c>
      <c r="B30" s="58" t="inlineStr">
        <is>
          <t>F-DT-04</t>
        </is>
      </c>
      <c r="C30" s="58" t="inlineStr">
        <is>
          <t>Cobertura vegetal total 70% calificada «Bajo» de nivel de degradación</t>
        </is>
      </c>
      <c r="D30" s="58" t="inlineStr">
        <is>
          <t>NO SUSTANTIVA</t>
        </is>
      </c>
      <c r="E30" s="58" t="inlineStr">
        <is>
          <t>Coherente con la convención de nivel de degradación (Verificación heredada de la ficha de resumen V6.)</t>
        </is>
      </c>
    </row>
    <row r="31">
      <c r="A31" s="57" t="inlineStr">
        <is>
          <t>H-09</t>
        </is>
      </c>
      <c r="B31" s="57" t="inlineStr">
        <is>
          <t>F-DT-01</t>
        </is>
      </c>
      <c r="C31" s="57" t="inlineStr">
        <is>
          <t>COLINDANCIA CON EL ÁREA DE CONSERVACIÓN PRIVADA MANGAMANGUILLA</t>
        </is>
      </c>
      <c r="D31" s="57" t="inlineStr">
        <is>
          <t>SUSTANTIVA</t>
        </is>
      </c>
      <c r="E31" s="57" t="inlineStr">
        <is>
          <t>Verificar filtro de exclusión por ANP/ACP y coordinar con SERNANP; oportunidad de conectividad ecológica (Verificación heredada de la ficha de resumen V6.)</t>
        </is>
      </c>
    </row>
    <row r="32">
      <c r="A32" s="58" t="inlineStr">
        <is>
          <t>H-10</t>
        </is>
      </c>
      <c r="B32" s="58" t="inlineStr">
        <is>
          <t>F-DT-05</t>
        </is>
      </c>
      <c r="C32" s="58" t="inlineStr">
        <is>
          <t>Captación poblacional de la JASS a ≈150 m del límite del bloque</t>
        </is>
      </c>
      <c r="D32" s="58" t="inlineStr">
        <is>
          <t>SUSTANTIVA</t>
        </is>
      </c>
      <c r="E32" s="58" t="inlineStr">
        <is>
          <t>Oportunidad MERESE (Verificación heredada de la ficha de resumen V6.)</t>
        </is>
      </c>
    </row>
    <row r="34">
      <c r="A34" s="59" t="inlineStr">
        <is>
          <t>RESUMEN</t>
        </is>
      </c>
      <c r="B34" s="60" t="inlineStr">
        <is>
          <t>24 verificaciones</t>
        </is>
      </c>
      <c r="C34" s="60" t="inlineStr">
        <is>
          <t>SUSTANTIVA: 6 · NO SUSTANTIVA: 4 · CORREGIDO: 3 · CONFORME: 11</t>
        </is>
      </c>
    </row>
    <row r="36">
      <c r="A36"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6:E36"/>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M18B3</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1. Identificación y localización</t>
        </is>
      </c>
      <c r="B9" s="57" t="inlineStr">
        <is>
          <t>Comunidad campesina</t>
        </is>
      </c>
      <c r="C9" s="57" t="inlineStr">
        <is>
          <t>No aplica (predios privados; COLINDA CON EL ACP MANGAMANGUILLA)</t>
        </is>
      </c>
      <c r="D9" s="57" t="inlineStr">
        <is>
          <t>No aplica (predios privados; colinda con ACP Mangamanguilla)</t>
        </is>
      </c>
      <c r="E9" s="57" t="inlineStr">
        <is>
          <t>Dato de campo</t>
        </is>
      </c>
    </row>
    <row r="10">
      <c r="A10" s="58" t="inlineStr">
        <is>
          <t>5. Ecosistema, cobertura y flora (F-DT-03)</t>
        </is>
      </c>
      <c r="B10" s="58" t="inlineStr">
        <is>
          <t>Uso actual dominante del suelo</t>
        </is>
      </c>
      <c r="C10" s="58" t="inlineStr">
        <is>
          <t>Forestal de protección</t>
        </is>
      </c>
      <c r="D10" s="58" t="inlineStr">
        <is>
          <t>Forestal protección</t>
        </is>
      </c>
      <c r="E10" s="58" t="inlineStr">
        <is>
          <t>Dato de campo</t>
        </is>
      </c>
    </row>
    <row r="12">
      <c r="A12" s="55" t="inlineStr">
        <is>
          <t>B. HECHOS APORTADOS ÚNICAMENTE POR LA FICHA DE CAMPO</t>
        </is>
      </c>
    </row>
    <row r="13">
      <c r="A13" s="56" t="inlineStr">
        <is>
          <t>Sección</t>
        </is>
      </c>
      <c r="B13" s="56" t="inlineStr">
        <is>
          <t>Hecho</t>
        </is>
      </c>
      <c r="C13" s="56" t="inlineStr">
        <is>
          <t>Valor</t>
        </is>
      </c>
      <c r="D13" s="56" t="inlineStr">
        <is>
          <t>Unidad</t>
        </is>
      </c>
    </row>
    <row r="14">
      <c r="A14" s="57" t="inlineStr">
        <is>
          <t>1. Identificación y localización</t>
        </is>
      </c>
      <c r="B14" s="57" t="inlineStr">
        <is>
          <t>UTM ESTE del punto de muestreo (m)</t>
        </is>
      </c>
      <c r="C14" s="57" t="inlineStr">
        <is>
          <t>625826</t>
        </is>
      </c>
      <c r="D14" s="57" t="inlineStr">
        <is>
          <t>m</t>
        </is>
      </c>
    </row>
    <row r="15">
      <c r="A15" s="58" t="inlineStr">
        <is>
          <t>1. Identificación y localización</t>
        </is>
      </c>
      <c r="B15" s="58" t="inlineStr">
        <is>
          <t>UTM NORTE del punto de muestreo (m)</t>
        </is>
      </c>
      <c r="C15" s="58" t="inlineStr">
        <is>
          <t>9411463</t>
        </is>
      </c>
      <c r="D15" s="58" t="inlineStr">
        <is>
          <t>m</t>
        </is>
      </c>
    </row>
    <row r="16">
      <c r="A16" s="57" t="inlineStr">
        <is>
          <t>2. Parámetros físicos del terreno</t>
        </is>
      </c>
      <c r="B16" s="57" t="inlineStr">
        <is>
          <t>Altitud GPS del punto de muestreo (msnm)</t>
        </is>
      </c>
      <c r="C16" s="57" t="inlineStr">
        <is>
          <t>325</t>
        </is>
      </c>
      <c r="D16" s="57" t="inlineStr">
        <is>
          <t>msnm</t>
        </is>
      </c>
    </row>
    <row r="17">
      <c r="A17" s="58" t="inlineStr">
        <is>
          <t>2. Parámetros físicos del terreno</t>
        </is>
      </c>
      <c r="B17" s="58" t="inlineStr">
        <is>
          <t>Piso altitudinal del punto de muestreo</t>
        </is>
      </c>
      <c r="C17" s="58" t="inlineStr">
        <is>
          <t>&lt;1000 m (Yunga)</t>
        </is>
      </c>
      <c r="D17" s="58" t="inlineStr"/>
    </row>
    <row r="18">
      <c r="A18" s="57" t="inlineStr">
        <is>
          <t>2. Parámetros físicos del terreno</t>
        </is>
      </c>
      <c r="B18" s="57" t="inlineStr">
        <is>
          <t>Paisaje dominante descrito en campo</t>
        </is>
      </c>
      <c r="C18" s="57" t="inlineStr">
        <is>
          <t>Paisaje de colinas y montañas bajas del bosque estacionalmente seco, con laderas de pendiente moderada a fuerte, afloramientos rocosos dispersos y relictos arbóreos en las partes altas e inaccesibles. Frente sur orientado hacia el cauce del Río Piura (Río Seco).</t>
        </is>
      </c>
      <c r="D18" s="57" t="inlineStr"/>
    </row>
    <row r="19">
      <c r="A19" s="58" t="inlineStr">
        <is>
          <t>2. Parámetros físicos del terreno</t>
        </is>
      </c>
      <c r="B19" s="58" t="inlineStr">
        <is>
          <t>Reptación de suelo</t>
        </is>
      </c>
      <c r="C19" s="58" t="inlineStr">
        <is>
          <t>No</t>
        </is>
      </c>
      <c r="D19" s="58" t="inlineStr"/>
    </row>
    <row r="20">
      <c r="A20" s="57" t="inlineStr">
        <is>
          <t>2. Parámetros físicos del terreno</t>
        </is>
      </c>
      <c r="B20" s="57" t="inlineStr">
        <is>
          <t>Deslizamientos antiguos</t>
        </is>
      </c>
      <c r="C20" s="57" t="inlineStr">
        <is>
          <t>No</t>
        </is>
      </c>
      <c r="D20" s="57" t="inlineStr"/>
    </row>
    <row r="21">
      <c r="A21" s="58" t="inlineStr">
        <is>
          <t>4. Suelos y erosión (F-DT-02)</t>
        </is>
      </c>
      <c r="B21" s="58" t="inlineStr">
        <is>
          <t>Nivel de erosión - síntesis de campo</t>
        </is>
      </c>
      <c r="C21" s="58" t="inlineStr">
        <is>
          <t>Ligera (laminar)</t>
        </is>
      </c>
      <c r="D21" s="58" t="inlineStr"/>
    </row>
    <row r="22">
      <c r="A22" s="57" t="inlineStr">
        <is>
          <t>4. Suelos y erosión (F-DT-02)</t>
        </is>
      </c>
      <c r="B22" s="57" t="inlineStr">
        <is>
          <t>Sellamiento / costra superficial</t>
        </is>
      </c>
      <c r="C22" s="57" t="inlineStr">
        <is>
          <t>No</t>
        </is>
      </c>
      <c r="D22" s="57" t="inlineStr"/>
    </row>
    <row r="23">
      <c r="A23" s="58" t="inlineStr">
        <is>
          <t>4. Suelos y erosión (F-DT-02)</t>
        </is>
      </c>
      <c r="B23" s="58" t="inlineStr">
        <is>
          <t>Compactación por pisoteo</t>
        </is>
      </c>
      <c r="C23" s="58" t="inlineStr">
        <is>
          <t>Sí</t>
        </is>
      </c>
      <c r="D23" s="58" t="inlineStr"/>
    </row>
    <row r="24">
      <c r="A24" s="57" t="inlineStr">
        <is>
          <t>4. Suelos y erosión (F-DT-02)</t>
        </is>
      </c>
      <c r="B24" s="57" t="inlineStr">
        <is>
          <t>Raíces expuestas</t>
        </is>
      </c>
      <c r="C24" s="57" t="inlineStr">
        <is>
          <t>Sí</t>
        </is>
      </c>
      <c r="D24" s="57" t="inlineStr"/>
    </row>
    <row r="25">
      <c r="A25" s="58" t="inlineStr">
        <is>
          <t>4. Suelos y erosión (F-DT-02)</t>
        </is>
      </c>
      <c r="B25" s="58" t="inlineStr">
        <is>
          <t>Longitud total de cárcavas (m)</t>
        </is>
      </c>
      <c r="C25" s="58" t="inlineStr">
        <is>
          <t>15</t>
        </is>
      </c>
      <c r="D25" s="58" t="inlineStr">
        <is>
          <t>m</t>
        </is>
      </c>
    </row>
    <row r="26">
      <c r="A26" s="57" t="inlineStr">
        <is>
          <t>4. Suelos y erosión (F-DT-02)</t>
        </is>
      </c>
      <c r="B26" s="57" t="inlineStr">
        <is>
          <t>% del bloque afectado por cárcavas</t>
        </is>
      </c>
      <c r="C26" s="57" t="inlineStr">
        <is>
          <t>5</t>
        </is>
      </c>
      <c r="D26" s="57" t="inlineStr">
        <is>
          <t>%</t>
        </is>
      </c>
    </row>
    <row r="27">
      <c r="A27" s="58" t="inlineStr">
        <is>
          <t>4. Suelos y erosión (F-DT-02)</t>
        </is>
      </c>
      <c r="B27" s="58" t="inlineStr">
        <is>
          <t>Erosión laminar (% del bloque)</t>
        </is>
      </c>
      <c r="C27" s="58" t="inlineStr">
        <is>
          <t>10</t>
        </is>
      </c>
      <c r="D27" s="58" t="inlineStr">
        <is>
          <t>%</t>
        </is>
      </c>
    </row>
    <row r="28">
      <c r="A28" s="57" t="inlineStr">
        <is>
          <t>4. Suelos y erosión (F-DT-02)</t>
        </is>
      </c>
      <c r="B28" s="57" t="inlineStr">
        <is>
          <t>Patrón de cárcavas</t>
        </is>
      </c>
      <c r="C28" s="57" t="inlineStr">
        <is>
          <t>Aislado</t>
        </is>
      </c>
      <c r="D28" s="57" t="inlineStr"/>
    </row>
    <row r="29">
      <c r="A29" s="58" t="inlineStr">
        <is>
          <t>4. Suelos y erosión (F-DT-02)</t>
        </is>
      </c>
      <c r="B29" s="58" t="inlineStr">
        <is>
          <t>Socavamiento de cauce</t>
        </is>
      </c>
      <c r="C29" s="58" t="inlineStr">
        <is>
          <t>No</t>
        </is>
      </c>
      <c r="D29" s="58" t="inlineStr"/>
    </row>
    <row r="30">
      <c r="A30" s="57" t="inlineStr">
        <is>
          <t>5. Ecosistema, cobertura y flora (F-DT-03)</t>
        </is>
      </c>
      <c r="B30" s="57" t="inlineStr">
        <is>
          <t>Cobertura del dosel (%)</t>
        </is>
      </c>
      <c r="C30" s="57" t="inlineStr">
        <is>
          <t>35</t>
        </is>
      </c>
      <c r="D30" s="57" t="inlineStr">
        <is>
          <t>%</t>
        </is>
      </c>
    </row>
    <row r="31">
      <c r="A31" s="58" t="inlineStr">
        <is>
          <t>5. Ecosistema, cobertura y flora (F-DT-03)</t>
        </is>
      </c>
      <c r="B31" s="58" t="inlineStr">
        <is>
          <t>Cobertura arbustiva (%)</t>
        </is>
      </c>
      <c r="C31" s="58" t="inlineStr">
        <is>
          <t>30</t>
        </is>
      </c>
      <c r="D31" s="58" t="inlineStr">
        <is>
          <t>%</t>
        </is>
      </c>
    </row>
    <row r="32">
      <c r="A32" s="57" t="inlineStr">
        <is>
          <t>5. Ecosistema, cobertura y flora (F-DT-03)</t>
        </is>
      </c>
      <c r="B32" s="57" t="inlineStr">
        <is>
          <t>Cobertura herbácea (%)</t>
        </is>
      </c>
      <c r="C32" s="57" t="inlineStr">
        <is>
          <t>25</t>
        </is>
      </c>
      <c r="D32" s="57" t="inlineStr">
        <is>
          <t>%</t>
        </is>
      </c>
    </row>
    <row r="33">
      <c r="A33" s="58" t="inlineStr">
        <is>
          <t>5. Ecosistema, cobertura y flora (F-DT-03)</t>
        </is>
      </c>
      <c r="B33" s="58" t="inlineStr">
        <is>
          <t>Cobertura de hojarasca (%)</t>
        </is>
      </c>
      <c r="C33" s="58" t="inlineStr">
        <is>
          <t>15</t>
        </is>
      </c>
      <c r="D33" s="58" t="inlineStr">
        <is>
          <t>%</t>
        </is>
      </c>
    </row>
    <row r="34">
      <c r="A34" s="57" t="inlineStr">
        <is>
          <t>5. Ecosistema, cobertura y flora (F-DT-03)</t>
        </is>
      </c>
      <c r="B34" s="57" t="inlineStr">
        <is>
          <t>Altura del estrato dominante (m)</t>
        </is>
      </c>
      <c r="C34" s="57" t="inlineStr">
        <is>
          <t>5</t>
        </is>
      </c>
      <c r="D34" s="57" t="inlineStr">
        <is>
          <t>m</t>
        </is>
      </c>
    </row>
    <row r="35">
      <c r="A35" s="58" t="inlineStr">
        <is>
          <t>5. Ecosistema, cobertura y flora (F-DT-03)</t>
        </is>
      </c>
      <c r="B35" s="58" t="inlineStr">
        <is>
          <t>Altura máxima registrada (m)</t>
        </is>
      </c>
      <c r="C35" s="58" t="inlineStr">
        <is>
          <t>9</t>
        </is>
      </c>
      <c r="D35" s="58" t="inlineStr">
        <is>
          <t>m</t>
        </is>
      </c>
    </row>
    <row r="36">
      <c r="A36" s="57" t="inlineStr">
        <is>
          <t>5. Ecosistema, cobertura y flora (F-DT-03)</t>
        </is>
      </c>
      <c r="B36" s="57" t="inlineStr">
        <is>
          <t>DAP promedio (cm)</t>
        </is>
      </c>
      <c r="C36" s="57" t="inlineStr">
        <is>
          <t>18</t>
        </is>
      </c>
      <c r="D36" s="57" t="inlineStr">
        <is>
          <t>cm</t>
        </is>
      </c>
    </row>
    <row r="37">
      <c r="A37" s="58" t="inlineStr">
        <is>
          <t>5. Ecosistema, cobertura y flora (F-DT-03)</t>
        </is>
      </c>
      <c r="B37" s="58" t="inlineStr">
        <is>
          <t>Presencia de epífitas</t>
        </is>
      </c>
      <c r="C37" s="58" t="inlineStr">
        <is>
          <t>No</t>
        </is>
      </c>
      <c r="D37" s="58" t="inlineStr"/>
    </row>
    <row r="38">
      <c r="A38" s="57" t="inlineStr">
        <is>
          <t>5. Ecosistema, cobertura y flora (F-DT-03)</t>
        </is>
      </c>
      <c r="B38" s="57" t="inlineStr">
        <is>
          <t>Fenología dominante</t>
        </is>
      </c>
      <c r="C38" s="57" t="inlineStr">
        <is>
          <t>Vegetativo</t>
        </is>
      </c>
      <c r="D38" s="57" t="inlineStr"/>
    </row>
    <row r="39">
      <c r="A39" s="58" t="inlineStr">
        <is>
          <t>5. Ecosistema, cobertura y flora (F-DT-03)</t>
        </is>
      </c>
      <c r="B39" s="58" t="inlineStr">
        <is>
          <t>Especies clave georreferenciadas</t>
        </is>
      </c>
      <c r="C39" s="58" t="inlineStr">
        <is>
          <t>5</t>
        </is>
      </c>
      <c r="D39" s="58" t="inlineStr"/>
    </row>
    <row r="40">
      <c r="A40" s="57" t="inlineStr">
        <is>
          <t>6. Degradación, causas y urgencia (F-DT-04)</t>
        </is>
      </c>
      <c r="B40" s="57" t="inlineStr">
        <is>
          <t>Causas directas de la degradación</t>
        </is>
      </c>
      <c r="C40" s="57" t="inlineStr">
        <is>
          <t>Sobrepastoreo caprino y corta de leña como principales presiones antrópicas; déficit hídrico estacional agravado por cambio climático como presión natural dominante.</t>
        </is>
      </c>
      <c r="D40" s="57" t="inlineStr"/>
    </row>
    <row r="41">
      <c r="A41" s="58" t="inlineStr">
        <is>
          <t>6. Degradación, causas y urgencia (F-DT-04)</t>
        </is>
      </c>
      <c r="B41" s="58" t="inlineStr">
        <is>
          <t>N.° de causas activas en la matriz F-DT-04</t>
        </is>
      </c>
      <c r="C41" s="58" t="inlineStr">
        <is>
          <t>6</t>
        </is>
      </c>
      <c r="D41" s="58" t="inlineStr"/>
    </row>
    <row r="42">
      <c r="A42" s="57" t="inlineStr">
        <is>
          <t>7. Hidrología, acceso y logística (F-DT-05)</t>
        </is>
      </c>
      <c r="B42" s="57" t="inlineStr">
        <is>
          <t>Escorrentía concentrada</t>
        </is>
      </c>
      <c r="C42" s="57" t="inlineStr">
        <is>
          <t>Sí</t>
        </is>
      </c>
      <c r="D42" s="57" t="inlineStr"/>
    </row>
    <row r="43">
      <c r="A43" s="58" t="inlineStr">
        <is>
          <t>7. Hidrología, acceso y logística (F-DT-05)</t>
        </is>
      </c>
      <c r="B43" s="58" t="inlineStr">
        <is>
          <t>Fuentes de agua inventariadas</t>
        </is>
      </c>
      <c r="C43" s="58" t="inlineStr">
        <is>
          <t>3</t>
        </is>
      </c>
      <c r="D43" s="58" t="inlineStr"/>
    </row>
    <row r="44">
      <c r="A44" s="57" t="inlineStr">
        <is>
          <t>7. Hidrología, acceso y logística (F-DT-05)</t>
        </is>
      </c>
      <c r="B44" s="57" t="inlineStr">
        <is>
          <t>Distancia a captación (m)</t>
        </is>
      </c>
      <c r="C44" s="57" t="inlineStr">
        <is>
          <t>150</t>
        </is>
      </c>
      <c r="D44" s="57" t="inlineStr">
        <is>
          <t>m</t>
        </is>
      </c>
    </row>
    <row r="45">
      <c r="A45" s="58" t="inlineStr">
        <is>
          <t>7. Hidrología, acceso y logística (F-DT-05)</t>
        </is>
      </c>
      <c r="B45" s="58" t="inlineStr">
        <is>
          <t>Interferencia con riego</t>
        </is>
      </c>
      <c r="C45" s="58" t="inlineStr">
        <is>
          <t>No</t>
        </is>
      </c>
      <c r="D45" s="58" t="inlineStr"/>
    </row>
    <row r="46">
      <c r="A46" s="57" t="inlineStr">
        <is>
          <t>7. Hidrología, acceso y logística (F-DT-05)</t>
        </is>
      </c>
      <c r="B46" s="57" t="inlineStr">
        <is>
          <t>Vía principal de acceso</t>
        </is>
      </c>
      <c r="C46" s="57" t="inlineStr">
        <is>
          <t>PE-1NL → desvío a Salitral → trocha vecinal a Mangomanguilla</t>
        </is>
      </c>
      <c r="D46" s="57" t="inlineStr"/>
    </row>
    <row r="47">
      <c r="A47" s="58" t="inlineStr">
        <is>
          <t>7. Hidrología, acceso y logística (F-DT-05)</t>
        </is>
      </c>
      <c r="B47" s="58" t="inlineStr">
        <is>
          <t>Tipo de vía del tramo final</t>
        </is>
      </c>
      <c r="C47" s="58" t="inlineStr">
        <is>
          <t>Trocha carrozable</t>
        </is>
      </c>
      <c r="D47" s="58" t="inlineStr"/>
    </row>
    <row r="48">
      <c r="A48" s="57" t="inlineStr">
        <is>
          <t>7. Hidrología, acceso y logística (F-DT-05)</t>
        </is>
      </c>
      <c r="B48" s="57" t="inlineStr">
        <is>
          <t>Transitabilidad en época seca</t>
        </is>
      </c>
      <c r="C48" s="57" t="inlineStr">
        <is>
          <t>Medio</t>
        </is>
      </c>
      <c r="D48" s="57" t="inlineStr"/>
    </row>
    <row r="49">
      <c r="A49" s="58" t="inlineStr">
        <is>
          <t>7. Hidrología, acceso y logística (F-DT-05)</t>
        </is>
      </c>
      <c r="B49" s="58" t="inlineStr">
        <is>
          <t>Transitabilidad en época lluviosa</t>
        </is>
      </c>
      <c r="C49" s="58" t="inlineStr">
        <is>
          <t>Bajo</t>
        </is>
      </c>
      <c r="D49" s="58" t="inlineStr"/>
    </row>
    <row r="50">
      <c r="A50" s="57" t="inlineStr">
        <is>
          <t>7. Hidrología, acceso y logística (F-DT-05)</t>
        </is>
      </c>
      <c r="B50" s="57" t="inlineStr">
        <is>
          <t>Tiempo a la capital distrital (min)</t>
        </is>
      </c>
      <c r="C50" s="57" t="inlineStr">
        <is>
          <t>45</t>
        </is>
      </c>
      <c r="D50" s="57" t="inlineStr">
        <is>
          <t>min</t>
        </is>
      </c>
    </row>
    <row r="51">
      <c r="A51" s="58" t="inlineStr">
        <is>
          <t>7. Hidrología, acceso y logística (F-DT-05)</t>
        </is>
      </c>
      <c r="B51" s="58" t="inlineStr">
        <is>
          <t>Señal celular</t>
        </is>
      </c>
      <c r="C51" s="58" t="inlineStr">
        <is>
          <t>Parcial</t>
        </is>
      </c>
      <c r="D51" s="58" t="inlineStr"/>
    </row>
    <row r="52">
      <c r="A52" s="57" t="inlineStr">
        <is>
          <t>7. Hidrología, acceso y logística (F-DT-05)</t>
        </is>
      </c>
      <c r="B52" s="57" t="inlineStr">
        <is>
          <t>Operador con cobertura</t>
        </is>
      </c>
      <c r="C52" s="57" t="inlineStr">
        <is>
          <t>Movistar</t>
        </is>
      </c>
      <c r="D52" s="57" t="inlineStr"/>
    </row>
    <row r="53">
      <c r="A53" s="58" t="inlineStr">
        <is>
          <t>7. Hidrología, acceso y logística (F-DT-05)</t>
        </is>
      </c>
      <c r="B53" s="58" t="inlineStr">
        <is>
          <t>Alojamiento disponible en la zona</t>
        </is>
      </c>
      <c r="C53" s="58" t="inlineStr">
        <is>
          <t>No</t>
        </is>
      </c>
      <c r="D53" s="58" t="inlineStr"/>
    </row>
    <row r="54">
      <c r="A54" s="57" t="inlineStr">
        <is>
          <t>7. Hidrología, acceso y logística (F-DT-05)</t>
        </is>
      </c>
      <c r="B54" s="57" t="inlineStr">
        <is>
          <t>Requiere coordinación con ronda / comunidad</t>
        </is>
      </c>
      <c r="C54" s="57" t="inlineStr">
        <is>
          <t>No</t>
        </is>
      </c>
      <c r="D54" s="57" t="inlineStr"/>
    </row>
    <row r="56">
      <c r="A56" s="55" t="inlineStr">
        <is>
          <t>C. PROCEDENCIA DE LOS HECHOS DECLARADOS</t>
        </is>
      </c>
    </row>
    <row r="57">
      <c r="A57" s="56" t="inlineStr">
        <is>
          <t>Fuente</t>
        </is>
      </c>
      <c r="B57" s="56" t="inlineStr">
        <is>
          <t>Hechos</t>
        </is>
      </c>
      <c r="C57" s="56" t="inlineStr">
        <is>
          <t>Alcance de la fuente</t>
        </is>
      </c>
    </row>
    <row r="58">
      <c r="A58" s="57" t="inlineStr">
        <is>
          <t>Dato de campo</t>
        </is>
      </c>
      <c r="B58" s="57" t="n">
        <v>72</v>
      </c>
      <c r="C58" s="57" t="inlineStr">
        <is>
          <t>Verificación en campo. Fichas F-DT-01 a F-DT-05 de la Plantilla DT Campo Check Validada V5, suscritas por el evaluador.</t>
        </is>
      </c>
    </row>
    <row r="59">
      <c r="A59" s="58" t="inlineStr">
        <is>
          <t>Gabinete (GIS / teledetección)</t>
        </is>
      </c>
      <c r="B59" s="58" t="n">
        <v>22</v>
      </c>
      <c r="C59" s="58" t="inlineStr">
        <is>
          <t>Gabinete. Estadística zonal sobre el MDE y compuestos Sentinel-2 (NDVI mediana 2025, MSAVI 2024 por clase DN).</t>
        </is>
      </c>
    </row>
    <row r="60">
      <c r="A60" s="57" t="inlineStr">
        <is>
          <t>Fuente oficial</t>
        </is>
      </c>
      <c r="B60" s="57" t="n">
        <v>14</v>
      </c>
      <c r="C60" s="57" t="inlineStr">
        <is>
          <t>Fuente oficial. Catálogo maestro Bloques V5/V6, división política INEI y codificación de microcuencas de la ANA.</t>
        </is>
      </c>
    </row>
    <row r="62">
      <c r="A62" s="55" t="inlineStr">
        <is>
          <t>D. ESTADO DEL CRUCE ENTRE FUENTES</t>
        </is>
      </c>
    </row>
    <row r="63">
      <c r="A63" s="56" t="inlineStr">
        <is>
          <t>Estado</t>
        </is>
      </c>
      <c r="B63" s="56" t="inlineStr">
        <is>
          <t>Hechos</t>
        </is>
      </c>
      <c r="C63" s="56" t="inlineStr">
        <is>
          <t>Significado</t>
        </is>
      </c>
    </row>
    <row r="64">
      <c r="A64" s="57" t="inlineStr">
        <is>
          <t>CONFORME</t>
        </is>
      </c>
      <c r="B64" s="57" t="n">
        <v>105</v>
      </c>
      <c r="C64" s="57" t="inlineStr">
        <is>
          <t>Las dos fuentes declaran lo mismo, o solo la fuente que manda sobre el hecho lo declara.</t>
        </is>
      </c>
    </row>
    <row r="65">
      <c r="A65" s="58" t="inlineStr">
        <is>
          <t>COMPLEMENTADO</t>
        </is>
      </c>
      <c r="B65" s="58" t="n">
        <v>1</v>
      </c>
      <c r="C65" s="58" t="inlineStr">
        <is>
          <t>Solo una de las fuentes lo declara y se adopta ese valor.</t>
        </is>
      </c>
    </row>
    <row r="66">
      <c r="A66" s="57" t="inlineStr">
        <is>
          <t>ACTUALIZADO</t>
        </is>
      </c>
      <c r="B66" s="57" t="n">
        <v>2</v>
      </c>
      <c r="C66" s="57" t="inlineStr">
        <is>
          <t>La verificación de campo vigente corrige lo que traía el libro de resumen.</t>
        </is>
      </c>
    </row>
    <row r="67">
      <c r="A67" s="58" t="inlineStr">
        <is>
          <t>DISCREPANTE</t>
        </is>
      </c>
      <c r="B67" s="58" t="n">
        <v>0</v>
      </c>
      <c r="C67" s="58" t="inlineStr">
        <is>
          <t>Las fuentes se contradicen; prevalece la que manda sobre el hecho y la otra queda declarada.</t>
        </is>
      </c>
    </row>
    <row r="68">
      <c r="A68" s="57" t="inlineStr">
        <is>
          <t>PENDIENTE</t>
        </is>
      </c>
      <c r="B68" s="57" t="n">
        <v>6</v>
      </c>
      <c r="C68"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M18B3</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C-01</t>
        </is>
      </c>
      <c r="B9" s="57" t="inlineStr">
        <is>
          <t>Surco (&lt;30 cm)</t>
        </is>
      </c>
      <c r="C9" s="62" t="n">
        <v>625826</v>
      </c>
      <c r="D9" s="62" t="n">
        <v>9411463</v>
      </c>
      <c r="E9" s="62" t="n">
        <v>15</v>
      </c>
      <c r="F9" s="63" t="n">
        <v>0.2</v>
      </c>
      <c r="G9" s="63" t="n">
        <v>0.3</v>
      </c>
      <c r="H9" s="57" t="inlineStr">
        <is>
          <t>Semi-activa</t>
        </is>
      </c>
      <c r="I9" s="57" t="inlineStr">
        <is>
          <t>Sobrepastoreo</t>
        </is>
      </c>
    </row>
    <row r="11">
      <c r="A11" s="55" t="inlineStr">
        <is>
          <t>F-DT-03 · ELENCO FLORÍSTICO</t>
        </is>
      </c>
    </row>
    <row r="12">
      <c r="A12" s="56" t="inlineStr">
        <is>
          <t>N.o</t>
        </is>
      </c>
      <c r="B12" s="56" t="inlineStr">
        <is>
          <t>Nombre común</t>
        </is>
      </c>
      <c r="C12" s="56" t="inlineStr">
        <is>
          <t>Nombre científico</t>
        </is>
      </c>
      <c r="D12" s="56" t="inlineStr">
        <is>
          <t>Familia</t>
        </is>
      </c>
      <c r="E12" s="56" t="inlineStr">
        <is>
          <t>Estrato</t>
        </is>
      </c>
      <c r="F12" s="56" t="inlineStr">
        <is>
          <t>Origen</t>
        </is>
      </c>
      <c r="G12" s="56" t="inlineStr">
        <is>
          <t>Abundancia</t>
        </is>
      </c>
      <c r="H12" s="56" t="inlineStr">
        <is>
          <t>DAP (cm)</t>
        </is>
      </c>
      <c r="I12" s="56" t="inlineStr">
        <is>
          <t>Altura (m)</t>
        </is>
      </c>
    </row>
    <row r="13">
      <c r="A13" s="57" t="inlineStr">
        <is>
          <t>1</t>
        </is>
      </c>
      <c r="B13" s="57" t="inlineStr">
        <is>
          <t>Charán</t>
        </is>
      </c>
      <c r="C13" s="57" t="inlineStr">
        <is>
          <t>Caesalpinia paipai</t>
        </is>
      </c>
      <c r="D13" s="57" t="inlineStr">
        <is>
          <t>Fabaceae</t>
        </is>
      </c>
      <c r="E13" s="57" t="inlineStr">
        <is>
          <t>Arbóreo medio (8-15 m)</t>
        </is>
      </c>
      <c r="F13" s="57" t="inlineStr">
        <is>
          <t>Nativa</t>
        </is>
      </c>
      <c r="G13" s="57" t="inlineStr">
        <is>
          <t>Abundante (20-40%)</t>
        </is>
      </c>
      <c r="H13" s="62" t="n">
        <v>20</v>
      </c>
      <c r="I13" s="63" t="n">
        <v>8</v>
      </c>
    </row>
    <row r="14">
      <c r="A14" s="58" t="inlineStr">
        <is>
          <t>2</t>
        </is>
      </c>
      <c r="B14" s="58" t="inlineStr">
        <is>
          <t>Hualtaco</t>
        </is>
      </c>
      <c r="C14" s="58" t="inlineStr">
        <is>
          <t>Loxopterygium huasango</t>
        </is>
      </c>
      <c r="D14" s="58" t="inlineStr">
        <is>
          <t>Anacardiaceae</t>
        </is>
      </c>
      <c r="E14" s="58" t="inlineStr">
        <is>
          <t>Arbóreo medio (8-15 m)</t>
        </is>
      </c>
      <c r="F14" s="58" t="inlineStr">
        <is>
          <t>Endémica</t>
        </is>
      </c>
      <c r="G14" s="58" t="inlineStr">
        <is>
          <t>Frecuente (5-20%)</t>
        </is>
      </c>
      <c r="H14" s="64" t="n">
        <v>25</v>
      </c>
      <c r="I14" s="65" t="n">
        <v>9</v>
      </c>
    </row>
    <row r="15">
      <c r="A15" s="57" t="inlineStr">
        <is>
          <t>3</t>
        </is>
      </c>
      <c r="B15" s="57" t="inlineStr">
        <is>
          <t>Pasallo</t>
        </is>
      </c>
      <c r="C15" s="57" t="inlineStr">
        <is>
          <t>Eriotheca ruizii</t>
        </is>
      </c>
      <c r="D15" s="57" t="inlineStr">
        <is>
          <t>Malvaceae</t>
        </is>
      </c>
      <c r="E15" s="57" t="inlineStr">
        <is>
          <t>Arbóreo medio (8-15 m)</t>
        </is>
      </c>
      <c r="F15" s="57" t="inlineStr">
        <is>
          <t>Nativa</t>
        </is>
      </c>
      <c r="G15" s="57" t="inlineStr">
        <is>
          <t>Frecuente (5-20%)</t>
        </is>
      </c>
      <c r="H15" s="62" t="n">
        <v>30</v>
      </c>
      <c r="I15" s="63" t="n">
        <v>8</v>
      </c>
    </row>
    <row r="16">
      <c r="A16" s="58" t="inlineStr">
        <is>
          <t>4</t>
        </is>
      </c>
      <c r="B16" s="58" t="inlineStr">
        <is>
          <t>Algarrobo</t>
        </is>
      </c>
      <c r="C16" s="58" t="inlineStr">
        <is>
          <t>Neltuma pallida</t>
        </is>
      </c>
      <c r="D16" s="58" t="inlineStr">
        <is>
          <t>Fabaceae</t>
        </is>
      </c>
      <c r="E16" s="58" t="inlineStr">
        <is>
          <t>Arbóreo bajo (4-8 m)</t>
        </is>
      </c>
      <c r="F16" s="58" t="inlineStr">
        <is>
          <t>Nativa</t>
        </is>
      </c>
      <c r="G16" s="58" t="inlineStr">
        <is>
          <t>Ocasional (1-5%)</t>
        </is>
      </c>
      <c r="H16" s="64" t="n">
        <v>22</v>
      </c>
      <c r="I16" s="65" t="n">
        <v>6</v>
      </c>
    </row>
    <row r="17">
      <c r="A17" s="57" t="inlineStr">
        <is>
          <t>5</t>
        </is>
      </c>
      <c r="B17" s="57" t="inlineStr">
        <is>
          <t>Faique</t>
        </is>
      </c>
      <c r="C17" s="57" t="inlineStr">
        <is>
          <t>Vachellia macracantha</t>
        </is>
      </c>
      <c r="D17" s="57" t="inlineStr">
        <is>
          <t>Fabaceae</t>
        </is>
      </c>
      <c r="E17" s="57" t="inlineStr">
        <is>
          <t>Arbóreo bajo (4-8 m)</t>
        </is>
      </c>
      <c r="F17" s="57" t="inlineStr">
        <is>
          <t>Nativa</t>
        </is>
      </c>
      <c r="G17" s="57" t="inlineStr">
        <is>
          <t>Frecuente (5-20%)</t>
        </is>
      </c>
      <c r="H17" s="62" t="n">
        <v>15</v>
      </c>
      <c r="I17" s="63" t="n">
        <v>5</v>
      </c>
    </row>
    <row r="18">
      <c r="A18" s="58" t="inlineStr">
        <is>
          <t>6</t>
        </is>
      </c>
      <c r="B18" s="58" t="inlineStr">
        <is>
          <t>Palo santo</t>
        </is>
      </c>
      <c r="C18" s="58" t="inlineStr">
        <is>
          <t>Bursera graveolens</t>
        </is>
      </c>
      <c r="D18" s="58" t="inlineStr">
        <is>
          <t>Burseraceae</t>
        </is>
      </c>
      <c r="E18" s="58" t="inlineStr">
        <is>
          <t>Arbóreo bajo (4-8 m)</t>
        </is>
      </c>
      <c r="F18" s="58" t="inlineStr">
        <is>
          <t>Nativa</t>
        </is>
      </c>
      <c r="G18" s="58" t="inlineStr">
        <is>
          <t>Ocasional (1-5%)</t>
        </is>
      </c>
      <c r="H18" s="64" t="n">
        <v>18</v>
      </c>
      <c r="I18" s="65" t="n">
        <v>6</v>
      </c>
    </row>
    <row r="19">
      <c r="A19" s="57" t="inlineStr">
        <is>
          <t>7</t>
        </is>
      </c>
      <c r="B19" s="57" t="inlineStr">
        <is>
          <t>Sapote</t>
        </is>
      </c>
      <c r="C19" s="57" t="inlineStr">
        <is>
          <t>Colicodendron scabridum</t>
        </is>
      </c>
      <c r="D19" s="57" t="inlineStr">
        <is>
          <t>Capparaceae</t>
        </is>
      </c>
      <c r="E19" s="57" t="inlineStr">
        <is>
          <t>Arbustivo alto (1.5-4 m)</t>
        </is>
      </c>
      <c r="F19" s="57" t="inlineStr">
        <is>
          <t>Nativa</t>
        </is>
      </c>
      <c r="G19" s="57" t="inlineStr">
        <is>
          <t>Ocasional (1-5%)</t>
        </is>
      </c>
      <c r="H19" s="57" t="n"/>
      <c r="I19" s="63" t="n">
        <v>3</v>
      </c>
    </row>
    <row r="20">
      <c r="A20" s="58" t="inlineStr">
        <is>
          <t>8</t>
        </is>
      </c>
      <c r="B20" s="58" t="inlineStr">
        <is>
          <t>Overo</t>
        </is>
      </c>
      <c r="C20" s="58" t="inlineStr">
        <is>
          <t>Cordia lutea</t>
        </is>
      </c>
      <c r="D20" s="58" t="inlineStr">
        <is>
          <t>Boraginaceae</t>
        </is>
      </c>
      <c r="E20" s="58" t="inlineStr">
        <is>
          <t>Arbustivo alto (1.5-4 m)</t>
        </is>
      </c>
      <c r="F20" s="58" t="inlineStr">
        <is>
          <t>Nativa</t>
        </is>
      </c>
      <c r="G20" s="58" t="inlineStr">
        <is>
          <t>Frecuente (5-20%)</t>
        </is>
      </c>
      <c r="H20" s="58" t="n"/>
      <c r="I20" s="65" t="n">
        <v>2.5</v>
      </c>
    </row>
    <row r="21">
      <c r="A21" s="57" t="inlineStr">
        <is>
          <t>9</t>
        </is>
      </c>
      <c r="B21" s="57" t="inlineStr">
        <is>
          <t>Vichayo</t>
        </is>
      </c>
      <c r="C21" s="57" t="inlineStr">
        <is>
          <t>Capparis avicenniifolia</t>
        </is>
      </c>
      <c r="D21" s="57" t="inlineStr">
        <is>
          <t>Capparaceae</t>
        </is>
      </c>
      <c r="E21" s="57" t="inlineStr">
        <is>
          <t>Arbustivo bajo (0.5-1.5 m)</t>
        </is>
      </c>
      <c r="F21" s="57" t="inlineStr">
        <is>
          <t>Nativa</t>
        </is>
      </c>
      <c r="G21" s="57" t="inlineStr">
        <is>
          <t>Frecuente (5-20%)</t>
        </is>
      </c>
      <c r="H21" s="57" t="n"/>
      <c r="I21" s="63" t="n">
        <v>1.2</v>
      </c>
    </row>
    <row r="22">
      <c r="A22" s="58" t="inlineStr">
        <is>
          <t>10</t>
        </is>
      </c>
      <c r="B22" s="58" t="inlineStr">
        <is>
          <t>Gigantón / Cardo</t>
        </is>
      </c>
      <c r="C22" s="58" t="inlineStr">
        <is>
          <t>Armatocereus cartwrightianus</t>
        </is>
      </c>
      <c r="D22" s="58" t="inlineStr">
        <is>
          <t>Cactaceae</t>
        </is>
      </c>
      <c r="E22" s="58" t="inlineStr">
        <is>
          <t>Arbustivo alto (1.5-4 m)</t>
        </is>
      </c>
      <c r="F22" s="58" t="inlineStr">
        <is>
          <t>Nativa</t>
        </is>
      </c>
      <c r="G22" s="58" t="inlineStr">
        <is>
          <t>Frecuente (5-20%)</t>
        </is>
      </c>
      <c r="H22" s="58" t="n"/>
      <c r="I22" s="65" t="n">
        <v>3</v>
      </c>
    </row>
    <row r="23">
      <c r="A23" s="57" t="inlineStr">
        <is>
          <t>11</t>
        </is>
      </c>
      <c r="B23" s="57" t="inlineStr">
        <is>
          <t>Cactácea columnar</t>
        </is>
      </c>
      <c r="C23" s="57" t="inlineStr">
        <is>
          <t>Neoraimondia arequipensis</t>
        </is>
      </c>
      <c r="D23" s="57" t="inlineStr">
        <is>
          <t>Cactaceae</t>
        </is>
      </c>
      <c r="E23" s="57" t="inlineStr">
        <is>
          <t>Arbustivo alto (1.5-4 m)</t>
        </is>
      </c>
      <c r="F23" s="57" t="inlineStr">
        <is>
          <t>Nativa</t>
        </is>
      </c>
      <c r="G23" s="57" t="inlineStr">
        <is>
          <t>Ocasional (1-5%)</t>
        </is>
      </c>
      <c r="H23" s="57" t="n"/>
      <c r="I23" s="63" t="n">
        <v>2.5</v>
      </c>
    </row>
    <row r="24">
      <c r="A24" s="58" t="inlineStr">
        <is>
          <t>12</t>
        </is>
      </c>
      <c r="B24" s="58" t="inlineStr">
        <is>
          <t>Cabuya / Penca</t>
        </is>
      </c>
      <c r="C24" s="58" t="inlineStr">
        <is>
          <t>Agave americana</t>
        </is>
      </c>
      <c r="D24" s="58" t="inlineStr">
        <is>
          <t>Asparagaceae</t>
        </is>
      </c>
      <c r="E24" s="58" t="inlineStr">
        <is>
          <t>Arbustivo bajo (0.5-1.5 m)</t>
        </is>
      </c>
      <c r="F24" s="58" t="inlineStr">
        <is>
          <t>Introducida</t>
        </is>
      </c>
      <c r="G24" s="58" t="inlineStr">
        <is>
          <t>Ocasional (1-5%)</t>
        </is>
      </c>
      <c r="H24" s="58" t="n"/>
      <c r="I24" s="65" t="n">
        <v>1.5</v>
      </c>
    </row>
    <row r="25">
      <c r="A25" s="57" t="inlineStr">
        <is>
          <t>13</t>
        </is>
      </c>
      <c r="B25" s="57" t="inlineStr">
        <is>
          <t>Pasto natural</t>
        </is>
      </c>
      <c r="C25" s="57" t="inlineStr">
        <is>
          <t>Cenchrus sp.</t>
        </is>
      </c>
      <c r="D25" s="57" t="inlineStr">
        <is>
          <t>Poaceae</t>
        </is>
      </c>
      <c r="E25" s="57" t="inlineStr">
        <is>
          <t>Herbáceo (&lt;0.5 m)</t>
        </is>
      </c>
      <c r="F25" s="57" t="inlineStr">
        <is>
          <t>Nativa</t>
        </is>
      </c>
      <c r="G25" s="57" t="inlineStr">
        <is>
          <t>Abundante (20-40%)</t>
        </is>
      </c>
      <c r="H25" s="57" t="n"/>
      <c r="I25" s="63" t="n">
        <v>0.4</v>
      </c>
    </row>
    <row r="26">
      <c r="A26" s="58" t="inlineStr">
        <is>
          <t>14</t>
        </is>
      </c>
      <c r="B26" s="58" t="inlineStr">
        <is>
          <t>Charamusco</t>
        </is>
      </c>
      <c r="C26" s="58" t="inlineStr">
        <is>
          <t>Encelia canescens</t>
        </is>
      </c>
      <c r="D26" s="58" t="inlineStr">
        <is>
          <t>Asteraceae</t>
        </is>
      </c>
      <c r="E26" s="58" t="inlineStr">
        <is>
          <t>Herbáceo (&lt;0.5 m)</t>
        </is>
      </c>
      <c r="F26" s="58" t="inlineStr">
        <is>
          <t>Nativa</t>
        </is>
      </c>
      <c r="G26" s="58" t="inlineStr">
        <is>
          <t>Frecuente (5-20%)</t>
        </is>
      </c>
      <c r="H26" s="58" t="n"/>
      <c r="I26" s="65" t="n">
        <v>0.5</v>
      </c>
    </row>
    <row r="27">
      <c r="A27" s="57" t="inlineStr">
        <is>
          <t>15</t>
        </is>
      </c>
      <c r="B27" s="57" t="inlineStr">
        <is>
          <t>Aromo</t>
        </is>
      </c>
      <c r="C27" s="57" t="inlineStr">
        <is>
          <t>Acacia sp.</t>
        </is>
      </c>
      <c r="D27" s="57" t="inlineStr">
        <is>
          <t>Fabaceae</t>
        </is>
      </c>
      <c r="E27" s="57" t="inlineStr">
        <is>
          <t>Arbustivo bajo (0.5-1.5 m)</t>
        </is>
      </c>
      <c r="F27" s="57" t="inlineStr">
        <is>
          <t>Nativa</t>
        </is>
      </c>
      <c r="G27" s="57" t="inlineStr">
        <is>
          <t>Ocasional (1-5%)</t>
        </is>
      </c>
      <c r="H27" s="57" t="n"/>
      <c r="I27" s="63" t="n">
        <v>1.4</v>
      </c>
    </row>
    <row r="29">
      <c r="A29" s="55" t="inlineStr">
        <is>
          <t>F-DT-03 · ESPECIES CLAVE GEORREFERENCIADAS</t>
        </is>
      </c>
    </row>
    <row r="30">
      <c r="A30" s="56" t="inlineStr">
        <is>
          <t>N.o</t>
        </is>
      </c>
      <c r="B30" s="56" t="inlineStr">
        <is>
          <t>Especie</t>
        </is>
      </c>
      <c r="C30" s="56" t="inlineStr">
        <is>
          <t>Categoría</t>
        </is>
      </c>
      <c r="D30" s="56" t="inlineStr">
        <is>
          <t>Estado UICN</t>
        </is>
      </c>
      <c r="E30" s="56" t="inlineStr">
        <is>
          <t>UTM ESTE</t>
        </is>
      </c>
      <c r="F30" s="56" t="inlineStr">
        <is>
          <t>UTM NORTE</t>
        </is>
      </c>
      <c r="G30" s="56" t="inlineStr">
        <is>
          <t>N.° individuos</t>
        </is>
      </c>
      <c r="H30" s="56" t="inlineStr">
        <is>
          <t>Observación</t>
        </is>
      </c>
    </row>
    <row r="31">
      <c r="A31" s="57" t="inlineStr">
        <is>
          <t>1</t>
        </is>
      </c>
      <c r="B31" s="57" t="inlineStr">
        <is>
          <t>Hualtaco (Loxopterygium huasango)</t>
        </is>
      </c>
      <c r="C31" s="57" t="inlineStr">
        <is>
          <t>Amenazada (D.S. 043-2006-AG)</t>
        </is>
      </c>
      <c r="D31" s="57" t="inlineStr">
        <is>
          <t>VU — Vulnerable</t>
        </is>
      </c>
      <c r="E31" s="62" t="n">
        <v>626200</v>
      </c>
      <c r="F31" s="62" t="n">
        <v>9412300</v>
      </c>
      <c r="G31" s="63" t="n">
        <v>8</v>
      </c>
      <c r="H31" s="57" t="inlineStr">
        <is>
          <t>Relictos en parte alta del bloque</t>
        </is>
      </c>
    </row>
    <row r="32">
      <c r="A32" s="58" t="inlineStr">
        <is>
          <t>2</t>
        </is>
      </c>
      <c r="B32" s="58" t="inlineStr">
        <is>
          <t>Palo santo (Bursera graveolens)</t>
        </is>
      </c>
      <c r="C32" s="58" t="inlineStr">
        <is>
          <t>Amenazada (D.S. 043-2006-AG)</t>
        </is>
      </c>
      <c r="D32" s="58" t="inlineStr">
        <is>
          <t>NT — Casi Amenazado</t>
        </is>
      </c>
      <c r="E32" s="64" t="n">
        <v>625980</v>
      </c>
      <c r="F32" s="64" t="n">
        <v>9411900</v>
      </c>
      <c r="G32" s="65" t="n">
        <v>5</v>
      </c>
      <c r="H32" s="58" t="inlineStr">
        <is>
          <t>Individuos dispersos en ladera media</t>
        </is>
      </c>
    </row>
    <row r="33">
      <c r="A33" s="57" t="inlineStr">
        <is>
          <t>3</t>
        </is>
      </c>
      <c r="B33" s="57" t="inlineStr">
        <is>
          <t>Charán (Caesalpinia paipai)</t>
        </is>
      </c>
      <c r="C33" s="57" t="inlineStr">
        <is>
          <t>Indicadora de buen estado</t>
        </is>
      </c>
      <c r="D33" s="57" t="inlineStr">
        <is>
          <t>No aplica</t>
        </is>
      </c>
      <c r="E33" s="62" t="n">
        <v>625826</v>
      </c>
      <c r="F33" s="62" t="n">
        <v>9411463</v>
      </c>
      <c r="G33" s="62" t="n">
        <v>30</v>
      </c>
      <c r="H33" s="57" t="inlineStr">
        <is>
          <t>Dominante en estrato arbóreo medio</t>
        </is>
      </c>
    </row>
    <row r="34">
      <c r="A34" s="58" t="inlineStr">
        <is>
          <t>4</t>
        </is>
      </c>
      <c r="B34" s="58" t="inlineStr">
        <is>
          <t>Pasallo (Eriotheca ruizii)</t>
        </is>
      </c>
      <c r="C34" s="58" t="inlineStr">
        <is>
          <t>Endémica norte / Piura</t>
        </is>
      </c>
      <c r="D34" s="58" t="inlineStr">
        <is>
          <t>No aplica</t>
        </is>
      </c>
      <c r="E34" s="64" t="n">
        <v>625900</v>
      </c>
      <c r="F34" s="64" t="n">
        <v>9411700</v>
      </c>
      <c r="G34" s="65" t="n">
        <v>6</v>
      </c>
      <c r="H34" s="58" t="inlineStr">
        <is>
          <t>Característica de bosque seco de colina</t>
        </is>
      </c>
    </row>
    <row r="35">
      <c r="A35" s="57" t="inlineStr">
        <is>
          <t>5</t>
        </is>
      </c>
      <c r="B35" s="57" t="inlineStr">
        <is>
          <t>Algarrobo (Neltuma pallida)</t>
        </is>
      </c>
      <c r="C35" s="57" t="inlineStr">
        <is>
          <t>Clave cultural</t>
        </is>
      </c>
      <c r="D35" s="57" t="inlineStr">
        <is>
          <t>No aplica</t>
        </is>
      </c>
      <c r="E35" s="62" t="n">
        <v>625750</v>
      </c>
      <c r="F35" s="62" t="n">
        <v>9411400</v>
      </c>
      <c r="G35" s="63" t="n">
        <v>4</v>
      </c>
      <c r="H35" s="57" t="inlineStr">
        <is>
          <t>Uso local; regeneración escasa</t>
        </is>
      </c>
    </row>
    <row r="37">
      <c r="A37" s="55" t="inlineStr">
        <is>
          <t>F-DT-04 · MATRIZ DE CAUSAS DE DEGRADACIÓN</t>
        </is>
      </c>
    </row>
    <row r="38">
      <c r="A38" s="56" t="inlineStr">
        <is>
          <t>N.o</t>
        </is>
      </c>
      <c r="B38" s="56" t="inlineStr">
        <is>
          <t>Causa</t>
        </is>
      </c>
      <c r="C38" s="56" t="inlineStr">
        <is>
          <t>Presencia</t>
        </is>
      </c>
      <c r="D38" s="56" t="inlineStr">
        <is>
          <t>Intensidad</t>
        </is>
      </c>
      <c r="E38" s="56" t="inlineStr">
        <is>
          <t>Extensión</t>
        </is>
      </c>
      <c r="F38" s="56" t="inlineStr">
        <is>
          <t>Antigüedad</t>
        </is>
      </c>
      <c r="G38" s="56" t="inlineStr">
        <is>
          <t>Evidencia</t>
        </is>
      </c>
    </row>
    <row r="39">
      <c r="A39" s="57" t="inlineStr">
        <is>
          <t>1</t>
        </is>
      </c>
      <c r="B39" s="57" t="inlineStr">
        <is>
          <t>Sobrepastoreo (caprino/vacuno)</t>
        </is>
      </c>
      <c r="C39" s="57" t="inlineStr">
        <is>
          <t>Sí</t>
        </is>
      </c>
      <c r="D39" s="57" t="inlineStr">
        <is>
          <t>Moderada</t>
        </is>
      </c>
      <c r="E39" s="57" t="inlineStr">
        <is>
          <t>30</t>
        </is>
      </c>
      <c r="F39" s="57" t="inlineStr">
        <is>
          <t>&gt;20</t>
        </is>
      </c>
      <c r="G39" s="57" t="inlineStr">
        <is>
          <t>Ramoneo y senderos de ganado caprino en laderas</t>
        </is>
      </c>
    </row>
    <row r="40">
      <c r="A40" s="58" t="inlineStr">
        <is>
          <t>2</t>
        </is>
      </c>
      <c r="B40" s="58" t="inlineStr">
        <is>
          <t>Tala para leña</t>
        </is>
      </c>
      <c r="C40" s="58" t="inlineStr">
        <is>
          <t>Sí</t>
        </is>
      </c>
      <c r="D40" s="58" t="inlineStr">
        <is>
          <t>Ligera</t>
        </is>
      </c>
      <c r="E40" s="58" t="inlineStr">
        <is>
          <t>15</t>
        </is>
      </c>
      <c r="F40" s="58" t="inlineStr">
        <is>
          <t>&gt;20</t>
        </is>
      </c>
      <c r="G40" s="58" t="inlineStr">
        <is>
          <t>Corta selectiva de leña en sectores accesibles</t>
        </is>
      </c>
    </row>
    <row r="41">
      <c r="A41" s="57" t="inlineStr">
        <is>
          <t>3</t>
        </is>
      </c>
      <c r="B41" s="57" t="inlineStr">
        <is>
          <t>Tala para carbón</t>
        </is>
      </c>
      <c r="C41" s="57" t="inlineStr">
        <is>
          <t>No</t>
        </is>
      </c>
      <c r="D41" s="57" t="inlineStr">
        <is>
          <t>Nula</t>
        </is>
      </c>
      <c r="E41" s="57" t="inlineStr">
        <is>
          <t>0</t>
        </is>
      </c>
      <c r="F41" s="57" t="inlineStr"/>
      <c r="G41" s="57" t="inlineStr">
        <is>
          <t>No se observaron hornos ni tocones de carbón</t>
        </is>
      </c>
    </row>
    <row r="42">
      <c r="A42" s="58" t="inlineStr">
        <is>
          <t>4</t>
        </is>
      </c>
      <c r="B42" s="58" t="inlineStr">
        <is>
          <t>Tala para madera</t>
        </is>
      </c>
      <c r="C42" s="58" t="inlineStr">
        <is>
          <t>No</t>
        </is>
      </c>
      <c r="D42" s="58" t="inlineStr">
        <is>
          <t>Nula</t>
        </is>
      </c>
      <c r="E42" s="58" t="inlineStr">
        <is>
          <t>0</t>
        </is>
      </c>
      <c r="F42" s="58" t="inlineStr"/>
      <c r="G42" s="58" t="inlineStr">
        <is>
          <t>Sin evidencia de aprovechamiento maderable comercial</t>
        </is>
      </c>
    </row>
    <row r="43">
      <c r="A43" s="57" t="inlineStr">
        <is>
          <t>5</t>
        </is>
      </c>
      <c r="B43" s="57" t="inlineStr">
        <is>
          <t>Quema (renovación de pastos)</t>
        </is>
      </c>
      <c r="C43" s="57" t="inlineStr">
        <is>
          <t>Sí</t>
        </is>
      </c>
      <c r="D43" s="57" t="inlineStr">
        <is>
          <t>Ligera</t>
        </is>
      </c>
      <c r="E43" s="57" t="inlineStr">
        <is>
          <t>10</t>
        </is>
      </c>
      <c r="F43" s="57" t="inlineStr">
        <is>
          <t>&lt;10</t>
        </is>
      </c>
      <c r="G43" s="57" t="inlineStr">
        <is>
          <t>Quemas puntuales para renovación de pastos</t>
        </is>
      </c>
    </row>
    <row r="44">
      <c r="A44" s="58" t="inlineStr">
        <is>
          <t>6</t>
        </is>
      </c>
      <c r="B44" s="58" t="inlineStr">
        <is>
          <t>Quema accidental / Incendio</t>
        </is>
      </c>
      <c r="C44" s="58" t="inlineStr">
        <is>
          <t>No</t>
        </is>
      </c>
      <c r="D44" s="58" t="inlineStr">
        <is>
          <t>Nula</t>
        </is>
      </c>
      <c r="E44" s="58" t="inlineStr">
        <is>
          <t>0</t>
        </is>
      </c>
      <c r="F44" s="58" t="inlineStr"/>
      <c r="G44" s="58" t="inlineStr">
        <is>
          <t>Sin evidencia de incendios recientes de gran extensión</t>
        </is>
      </c>
    </row>
    <row r="45">
      <c r="A45" s="57" t="inlineStr">
        <is>
          <t>7</t>
        </is>
      </c>
      <c r="B45" s="57" t="inlineStr">
        <is>
          <t>Cambio de uso a agricultura</t>
        </is>
      </c>
      <c r="C45" s="57" t="inlineStr">
        <is>
          <t>No</t>
        </is>
      </c>
      <c r="D45" s="57" t="inlineStr">
        <is>
          <t>Nula</t>
        </is>
      </c>
      <c r="E45" s="57" t="inlineStr">
        <is>
          <t>0</t>
        </is>
      </c>
      <c r="F45" s="57" t="inlineStr"/>
      <c r="G45" s="57" t="inlineStr">
        <is>
          <t>Agricultura limitada al pie de ladera, fuera del núcleo</t>
        </is>
      </c>
    </row>
    <row r="46">
      <c r="A46" s="58" t="inlineStr">
        <is>
          <t>8</t>
        </is>
      </c>
      <c r="B46" s="58" t="inlineStr">
        <is>
          <t>Cambio de uso a pastoreo</t>
        </is>
      </c>
      <c r="C46" s="58" t="inlineStr">
        <is>
          <t>Sí</t>
        </is>
      </c>
      <c r="D46" s="58" t="inlineStr">
        <is>
          <t>Ligera</t>
        </is>
      </c>
      <c r="E46" s="58" t="inlineStr">
        <is>
          <t>10</t>
        </is>
      </c>
      <c r="F46" s="58" t="inlineStr">
        <is>
          <t>&gt;20</t>
        </is>
      </c>
      <c r="G46" s="58" t="inlineStr">
        <is>
          <t>Pastoreo extensivo disperso</t>
        </is>
      </c>
    </row>
    <row r="47">
      <c r="A47" s="57" t="inlineStr">
        <is>
          <t>9</t>
        </is>
      </c>
      <c r="B47" s="57" t="inlineStr">
        <is>
          <t>Expansión urbana / vial</t>
        </is>
      </c>
      <c r="C47" s="57" t="inlineStr">
        <is>
          <t>No</t>
        </is>
      </c>
      <c r="D47" s="57" t="inlineStr">
        <is>
          <t>Nula</t>
        </is>
      </c>
      <c r="E47" s="57" t="inlineStr">
        <is>
          <t>0</t>
        </is>
      </c>
      <c r="F47" s="57" t="inlineStr"/>
      <c r="G47" s="57" t="inlineStr">
        <is>
          <t>Sin expansión urbana o vial relevante en el bloque</t>
        </is>
      </c>
    </row>
    <row r="48">
      <c r="A48" s="58" t="inlineStr">
        <is>
          <t>10</t>
        </is>
      </c>
      <c r="B48" s="58" t="inlineStr">
        <is>
          <t>Minería informal</t>
        </is>
      </c>
      <c r="C48" s="58" t="inlineStr">
        <is>
          <t>No</t>
        </is>
      </c>
      <c r="D48" s="58" t="inlineStr">
        <is>
          <t>Nula</t>
        </is>
      </c>
      <c r="E48" s="58" t="inlineStr">
        <is>
          <t>0</t>
        </is>
      </c>
      <c r="F48" s="58" t="inlineStr"/>
      <c r="G48" s="58" t="inlineStr">
        <is>
          <t>No se observó actividad minera</t>
        </is>
      </c>
    </row>
    <row r="49">
      <c r="A49" s="57" t="inlineStr">
        <is>
          <t>11</t>
        </is>
      </c>
      <c r="B49" s="57" t="inlineStr">
        <is>
          <t>Extracción de áridos (cauces)</t>
        </is>
      </c>
      <c r="C49" s="57" t="inlineStr">
        <is>
          <t>No</t>
        </is>
      </c>
      <c r="D49" s="57" t="inlineStr">
        <is>
          <t>Nula</t>
        </is>
      </c>
      <c r="E49" s="57" t="inlineStr">
        <is>
          <t>0</t>
        </is>
      </c>
      <c r="F49" s="57" t="inlineStr"/>
      <c r="G49" s="57" t="inlineStr">
        <is>
          <t>Extracción de áridos en cauce, fuera del bloque</t>
        </is>
      </c>
    </row>
    <row r="50">
      <c r="A50" s="58" t="inlineStr">
        <is>
          <t>12</t>
        </is>
      </c>
      <c r="B50" s="58" t="inlineStr">
        <is>
          <t>Especies invasoras</t>
        </is>
      </c>
      <c r="C50" s="58" t="inlineStr">
        <is>
          <t>Sí</t>
        </is>
      </c>
      <c r="D50" s="58" t="inlineStr">
        <is>
          <t>Ligera</t>
        </is>
      </c>
      <c r="E50" s="58" t="inlineStr">
        <is>
          <t>5</t>
        </is>
      </c>
      <c r="F50" s="58" t="inlineStr"/>
      <c r="G50" s="58" t="inlineStr">
        <is>
          <t>Baja presencia de invasoras (p.ej. Agave)</t>
        </is>
      </c>
    </row>
    <row r="51">
      <c r="A51" s="57" t="inlineStr">
        <is>
          <t>13</t>
        </is>
      </c>
      <c r="B51" s="57" t="inlineStr">
        <is>
          <t>Erosión natural severa</t>
        </is>
      </c>
      <c r="C51" s="57" t="inlineStr">
        <is>
          <t>No</t>
        </is>
      </c>
      <c r="D51" s="57" t="inlineStr">
        <is>
          <t>Nula</t>
        </is>
      </c>
      <c r="E51" s="57" t="inlineStr">
        <is>
          <t>0</t>
        </is>
      </c>
      <c r="F51" s="57" t="inlineStr"/>
      <c r="G51" s="57" t="inlineStr">
        <is>
          <t>Erosión natural de grado ligero</t>
        </is>
      </c>
    </row>
    <row r="52">
      <c r="A52" s="58" t="inlineStr">
        <is>
          <t>14</t>
        </is>
      </c>
      <c r="B52" s="58" t="inlineStr">
        <is>
          <t>Sequía prolongada / CC</t>
        </is>
      </c>
      <c r="C52" s="58" t="inlineStr">
        <is>
          <t>Sí</t>
        </is>
      </c>
      <c r="D52" s="58" t="inlineStr">
        <is>
          <t>Moderada</t>
        </is>
      </c>
      <c r="E52" s="58" t="inlineStr">
        <is>
          <t>100</t>
        </is>
      </c>
      <c r="F52" s="58" t="inlineStr"/>
      <c r="G52" s="58" t="inlineStr">
        <is>
          <t>Estacionalidad marcada y déficit hídrico (CC)</t>
        </is>
      </c>
    </row>
    <row r="53">
      <c r="A53" s="57" t="inlineStr">
        <is>
          <t>15</t>
        </is>
      </c>
      <c r="B53" s="57" t="inlineStr">
        <is>
          <t>Plagas o enfermedades forestales</t>
        </is>
      </c>
      <c r="C53" s="57" t="inlineStr">
        <is>
          <t>No</t>
        </is>
      </c>
      <c r="D53" s="57" t="inlineStr">
        <is>
          <t>Nula</t>
        </is>
      </c>
      <c r="E53" s="57" t="inlineStr">
        <is>
          <t>0</t>
        </is>
      </c>
      <c r="F53" s="57" t="inlineStr"/>
      <c r="G53" s="57" t="inlineStr">
        <is>
          <t>Sin plagas o enfermedades forestales evidentes</t>
        </is>
      </c>
    </row>
    <row r="54">
      <c r="A54" s="58" t="inlineStr">
        <is>
          <t>16</t>
        </is>
      </c>
      <c r="B54" s="58" t="inlineStr">
        <is>
          <t>Otro</t>
        </is>
      </c>
      <c r="C54" s="58" t="inlineStr">
        <is>
          <t>No</t>
        </is>
      </c>
      <c r="D54" s="58" t="inlineStr">
        <is>
          <t>Nula</t>
        </is>
      </c>
      <c r="E54" s="58" t="inlineStr">
        <is>
          <t>0</t>
        </is>
      </c>
      <c r="F54" s="58" t="inlineStr"/>
      <c r="G54" s="58" t="inlineStr"/>
    </row>
    <row r="56">
      <c r="A56" s="55" t="inlineStr">
        <is>
          <t>F-DT-04 · INDICADORES CUANTITATIVOS</t>
        </is>
      </c>
    </row>
    <row r="57">
      <c r="A57" s="56" t="inlineStr">
        <is>
          <t>N.o</t>
        </is>
      </c>
      <c r="B57" s="56" t="inlineStr">
        <is>
          <t>Indicador</t>
        </is>
      </c>
      <c r="C57" s="56" t="inlineStr">
        <is>
          <t>Unidad</t>
        </is>
      </c>
      <c r="D57" s="56" t="inlineStr">
        <is>
          <t>Valor</t>
        </is>
      </c>
      <c r="E57" s="56" t="inlineStr">
        <is>
          <t>Fuente</t>
        </is>
      </c>
      <c r="F57" s="56" t="inlineStr">
        <is>
          <t>Umbral</t>
        </is>
      </c>
      <c r="G57" s="56" t="inlineStr">
        <is>
          <t>Nivel</t>
        </is>
      </c>
    </row>
    <row r="58">
      <c r="A58" s="57" t="inlineStr">
        <is>
          <t>1</t>
        </is>
      </c>
      <c r="B58" s="57" t="inlineStr">
        <is>
          <t>Cobertura vegetal total</t>
        </is>
      </c>
      <c r="C58" s="57" t="inlineStr">
        <is>
          <t>%</t>
        </is>
      </c>
      <c r="D58" s="57" t="inlineStr">
        <is>
          <t>70</t>
        </is>
      </c>
      <c r="E58" s="57" t="inlineStr">
        <is>
          <t>MSAVI 2024 + campo</t>
        </is>
      </c>
      <c r="F58" s="57" t="inlineStr">
        <is>
          <t>&gt;60% bueno; 30-60% medio; &lt;30% malo</t>
        </is>
      </c>
      <c r="G58" s="57" t="inlineStr">
        <is>
          <t>Bajo</t>
        </is>
      </c>
    </row>
    <row r="59">
      <c r="A59" s="58" t="inlineStr">
        <is>
          <t>2</t>
        </is>
      </c>
      <c r="B59" s="58" t="inlineStr">
        <is>
          <t>Porcentaje de suelo desnudo</t>
        </is>
      </c>
      <c r="C59" s="58" t="inlineStr">
        <is>
          <t>%</t>
        </is>
      </c>
      <c r="D59" s="58" t="inlineStr">
        <is>
          <t>15</t>
        </is>
      </c>
      <c r="E59" s="58" t="inlineStr">
        <is>
          <t>Estimación campo</t>
        </is>
      </c>
      <c r="F59" s="58" t="inlineStr">
        <is>
          <t>&lt;10% bueno; 10-30% medio; &gt;30% malo</t>
        </is>
      </c>
      <c r="G59" s="58" t="inlineStr">
        <is>
          <t>Medio</t>
        </is>
      </c>
    </row>
    <row r="60">
      <c r="A60" s="57" t="inlineStr">
        <is>
          <t>3</t>
        </is>
      </c>
      <c r="B60" s="57" t="inlineStr">
        <is>
          <t>Densidad de cárcavas</t>
        </is>
      </c>
      <c r="C60" s="57" t="inlineStr">
        <is>
          <t>N°/ha</t>
        </is>
      </c>
      <c r="D60" s="57" t="inlineStr">
        <is>
          <t>0.5</t>
        </is>
      </c>
      <c r="E60" s="57" t="inlineStr">
        <is>
          <t>Inventario F-DT-02</t>
        </is>
      </c>
      <c r="F60" s="57" t="inlineStr">
        <is>
          <t>0 nulo; 1-3 medio; &gt;3 alto</t>
        </is>
      </c>
      <c r="G60" s="57" t="inlineStr">
        <is>
          <t>Bajo</t>
        </is>
      </c>
    </row>
    <row r="61">
      <c r="A61" s="58" t="inlineStr">
        <is>
          <t>4</t>
        </is>
      </c>
      <c r="B61" s="58" t="inlineStr">
        <is>
          <t>Presencia de especies invasoras</t>
        </is>
      </c>
      <c r="C61" s="58" t="inlineStr">
        <is>
          <t>% área</t>
        </is>
      </c>
      <c r="D61" s="58" t="inlineStr">
        <is>
          <t>3</t>
        </is>
      </c>
      <c r="E61" s="58" t="inlineStr">
        <is>
          <t>Estimación campo</t>
        </is>
      </c>
      <c r="F61" s="58" t="inlineStr">
        <is>
          <t>&lt;5% bueno; 5-20% medio; &gt;20% alto</t>
        </is>
      </c>
      <c r="G61" s="58" t="inlineStr">
        <is>
          <t>Bajo</t>
        </is>
      </c>
    </row>
    <row r="62">
      <c r="A62" s="57" t="inlineStr">
        <is>
          <t>5</t>
        </is>
      </c>
      <c r="B62" s="57" t="inlineStr">
        <is>
          <t>Carga ganadera estimada</t>
        </is>
      </c>
      <c r="C62" s="57" t="inlineStr">
        <is>
          <t>UA/ha</t>
        </is>
      </c>
      <c r="D62" s="57" t="inlineStr">
        <is>
          <t>0.5</t>
        </is>
      </c>
      <c r="E62" s="57" t="inlineStr">
        <is>
          <t>Estimación campo</t>
        </is>
      </c>
      <c r="F62" s="57" t="inlineStr">
        <is>
          <t>Según tipo de ecosistema</t>
        </is>
      </c>
      <c r="G62" s="57" t="inlineStr">
        <is>
          <t>Medio</t>
        </is>
      </c>
    </row>
    <row r="63">
      <c r="A63" s="58" t="inlineStr">
        <is>
          <t>6</t>
        </is>
      </c>
      <c r="B63" s="58" t="inlineStr">
        <is>
          <t>Frecuencia de quemas últimos 5 años</t>
        </is>
      </c>
      <c r="C63" s="58" t="inlineStr">
        <is>
          <t>N°</t>
        </is>
      </c>
      <c r="D63" s="58" t="inlineStr">
        <is>
          <t>1</t>
        </is>
      </c>
      <c r="E63" s="58" t="inlineStr">
        <is>
          <t>Entrevista local</t>
        </is>
      </c>
      <c r="F63" s="58" t="inlineStr">
        <is>
          <t>0 nulo; 1-2 medio; &gt;2 alto</t>
        </is>
      </c>
      <c r="G63" s="58" t="inlineStr">
        <is>
          <t>Medio</t>
        </is>
      </c>
    </row>
    <row r="64">
      <c r="A64" s="57" t="inlineStr">
        <is>
          <t>7</t>
        </is>
      </c>
      <c r="B64" s="57" t="inlineStr">
        <is>
          <t>% área con pendiente &gt;50%</t>
        </is>
      </c>
      <c r="C64" s="57" t="inlineStr">
        <is>
          <t>%</t>
        </is>
      </c>
      <c r="D64" s="57" t="inlineStr">
        <is>
          <t>35</t>
        </is>
      </c>
      <c r="E64" s="57" t="inlineStr">
        <is>
          <t>DEM / pendientes</t>
        </is>
      </c>
      <c r="F64" s="57" t="inlineStr">
        <is>
          <t>Factor de susceptibilidad</t>
        </is>
      </c>
      <c r="G64" s="57" t="inlineStr">
        <is>
          <t>Medio</t>
        </is>
      </c>
    </row>
    <row r="65">
      <c r="A65" s="58" t="inlineStr">
        <is>
          <t>8</t>
        </is>
      </c>
      <c r="B65" s="58" t="inlineStr">
        <is>
          <t>Distancia a vía vecinal más cercana</t>
        </is>
      </c>
      <c r="C65" s="58" t="inlineStr">
        <is>
          <t>m</t>
        </is>
      </c>
      <c r="D65" s="58" t="inlineStr">
        <is>
          <t>50</t>
        </is>
      </c>
      <c r="E65" s="58" t="inlineStr">
        <is>
          <t>GIS vías MTC</t>
        </is>
      </c>
      <c r="F65" s="58" t="inlineStr">
        <is>
          <t>A menor distancia → mayor presión</t>
        </is>
      </c>
      <c r="G65" s="58" t="inlineStr">
        <is>
          <t>Medio</t>
        </is>
      </c>
    </row>
    <row r="67">
      <c r="A67" s="55" t="inlineStr">
        <is>
          <t>F-DT-05 · FUENTES DE AGUA INVENTARIADAS</t>
        </is>
      </c>
    </row>
    <row r="68">
      <c r="A68" s="56" t="inlineStr">
        <is>
          <t>N.o</t>
        </is>
      </c>
      <c r="B68" s="56" t="inlineStr">
        <is>
          <t>Tipo de fuente</t>
        </is>
      </c>
      <c r="C68" s="56" t="inlineStr">
        <is>
          <t>UTM ESTE</t>
        </is>
      </c>
      <c r="D68" s="56" t="inlineStr">
        <is>
          <t>UTM NORTE</t>
        </is>
      </c>
      <c r="E68" s="56" t="inlineStr">
        <is>
          <t>Régimen</t>
        </is>
      </c>
      <c r="F68" s="56" t="inlineStr">
        <is>
          <t>Calidad</t>
        </is>
      </c>
      <c r="G68" s="56" t="inlineStr">
        <is>
          <t>Distancia (m)</t>
        </is>
      </c>
      <c r="H68" s="56" t="inlineStr">
        <is>
          <t>Uso / observación</t>
        </is>
      </c>
    </row>
    <row r="69">
      <c r="A69" s="57" t="inlineStr">
        <is>
          <t>1</t>
        </is>
      </c>
      <c r="B69" s="57" t="inlineStr">
        <is>
          <t>Río</t>
        </is>
      </c>
      <c r="C69" s="62" t="n">
        <v>625728</v>
      </c>
      <c r="D69" s="62" t="n">
        <v>9411447</v>
      </c>
      <c r="E69" s="57" t="inlineStr">
        <is>
          <t>Permanente</t>
        </is>
      </c>
      <c r="F69" s="57" t="inlineStr">
        <is>
          <t>Regular (ligeramente turbia o con sedimentos)</t>
        </is>
      </c>
      <c r="G69" s="62" t="n">
        <v>120</v>
      </c>
      <c r="H69" s="57" t="inlineStr">
        <is>
          <t>Río Piura (Río Seco), límite sur; estiaje marcado en época seca</t>
        </is>
      </c>
    </row>
    <row r="70">
      <c r="A70" s="58" t="inlineStr">
        <is>
          <t>2</t>
        </is>
      </c>
      <c r="B70" s="58" t="inlineStr">
        <is>
          <t>Reservorio / Represa</t>
        </is>
      </c>
      <c r="C70" s="64" t="n">
        <v>625722</v>
      </c>
      <c r="D70" s="64" t="n">
        <v>9411456</v>
      </c>
      <c r="E70" s="58" t="inlineStr">
        <is>
          <t>Estacional (lluvias)</t>
        </is>
      </c>
      <c r="F70" s="58" t="inlineStr">
        <is>
          <t>No evaluable</t>
        </is>
      </c>
      <c r="G70" s="65" t="n">
        <v>0</v>
      </c>
      <c r="H70" s="58" t="inlineStr">
        <is>
          <t>Reservorio rústico revestido con geomembrana, almacenamiento estacional</t>
        </is>
      </c>
    </row>
    <row r="71">
      <c r="A71" s="57" t="inlineStr">
        <is>
          <t>3</t>
        </is>
      </c>
      <c r="B71" s="57" t="inlineStr">
        <is>
          <t>Reservorio / Represa</t>
        </is>
      </c>
      <c r="C71" s="62" t="n">
        <v>625692</v>
      </c>
      <c r="D71" s="62" t="n">
        <v>9411343</v>
      </c>
      <c r="E71" s="57" t="inlineStr">
        <is>
          <t>Permanente</t>
        </is>
      </c>
      <c r="F71" s="57" t="inlineStr">
        <is>
          <t>Buena (clara, sin olor, sin sedimentos)</t>
        </is>
      </c>
      <c r="G71" s="63" t="n">
        <v>0</v>
      </c>
      <c r="H71" s="57" t="inlineStr">
        <is>
          <t>Tanque elevado + reservorio circular; sistema de agua del CP (JASS)</t>
        </is>
      </c>
    </row>
    <row r="74">
      <c r="A74" s="55" t="inlineStr">
        <is>
          <t>OBSERVACIONES DEL EVALUADOR POR FICHA</t>
        </is>
      </c>
    </row>
    <row r="75">
      <c r="A75" s="56" t="inlineStr">
        <is>
          <t>Ficha</t>
        </is>
      </c>
      <c r="B75" s="56" t="inlineStr">
        <is>
          <t>Observación registrada en campo</t>
        </is>
      </c>
    </row>
    <row r="76">
      <c r="A76" s="57" t="inlineStr">
        <is>
          <t>F-DT-01</t>
        </is>
      </c>
      <c r="B76" s="57" t="inlineStr">
        <is>
          <t>Bloque relativamente menos disturbado respecto a otros bloques visitados en el ámbito. No se observaron procesos de remoción en masa activos ni escarpes recientes durante el recorrido (21-05-2026). La inestabilidad potencial se asocia principalmente a la pérdida de cobertura en laderas con pendiente &gt;25% y a la concentración de escorrentía estacional. Punto de muestreo representativo en el frente sur del bloque (acceso desde Salitral, cruce del Río Seco). NOTA: el código de bloque visitado en campo y rotulado en imágenes es M18B3 (Salitral).</t>
        </is>
      </c>
    </row>
    <row r="77">
      <c r="A77" s="58" t="inlineStr">
        <is>
          <t>F-DT-02</t>
        </is>
      </c>
      <c r="B77" s="58" t="inlineStr">
        <is>
          <t>Predominio de erosión laminar de grado ligero en laderas con cobertura herbácea-arbustiva. Surcos incipientes asociados a huellas de ganado caprino en sectores de mayor pendiente. No se evidenció socavamiento del cauce ni cárcavas profundas. Suelos superficiales pedregosos con buena infiltración por presencia de hojarasca y raíces. Urgencia de control de erosión: baja.</t>
        </is>
      </c>
    </row>
    <row r="78">
      <c r="A78" s="57" t="inlineStr">
        <is>
          <t>F-DT-03</t>
        </is>
      </c>
      <c r="B78" s="57" t="inlineStr">
        <is>
          <t>Ecosistema Bes-cm en estado levemente alterado, con relictos arbóreos bien conservados en cotas altas e inaccesibles. Presencia de especies clave del bosque seco (Charán, Hualtaco, Pasallo, Palo santo). Baja incidencia de especies invasoras. El bloque se beneficia de la cercanía del Área de Conservación Privada Mangamanguilla y de iniciativas locales (SERNANP, ONG y asociación de mujeres productoras de plantas nativas y semillas forestales), lo que favorece su potencial de restauración.</t>
        </is>
      </c>
    </row>
    <row r="79">
      <c r="A79" s="58" t="inlineStr">
        <is>
          <t>F-DT-04</t>
        </is>
      </c>
      <c r="B79" s="58" t="inlineStr">
        <is>
          <t>La degradación es de grado bajo a moderado y de avance lento, lo que sitúa al bloque como de alta idoneidad para medidas de infraestructura natural (revegetación/enriquecimiento, clausura temporal, zanjas de infiltración). La presencia de actores de conservación (ACP, SERNANP, ONG, asociación de productoras de plantas nativas) constituye un activo de gobernanza para sostener la intervención.</t>
        </is>
      </c>
    </row>
    <row r="80">
      <c r="A80" s="57" t="inlineStr">
        <is>
          <t>F-DT-05</t>
        </is>
      </c>
      <c r="B80" s="57" t="inlineStr">
        <is>
          <t>Acceso por trocha carrozable transitable en seco con vehículo 4x4 (cruce del Río Seco) y tramo final a pie (&lt;30 min). En época lluviosa la transitabilidad se reduce por el cruce del cauce. El bloque se ubica en zona de recarga hídrica con escorrentía concentrada estacional; la captación poblacional del CP (JASS) se localiza a ~150 m del límite. No se identificó interferencia con obras de riego.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M18B3</t>
        </is>
      </c>
    </row>
    <row r="7">
      <c r="A7" s="55" t="inlineStr">
        <is>
          <t>Hechos declarados por fuente</t>
        </is>
      </c>
    </row>
    <row r="8">
      <c r="A8" s="56" t="inlineStr">
        <is>
          <t>Fuente</t>
        </is>
      </c>
      <c r="B8" s="56" t="inlineStr">
        <is>
          <t>Hechos</t>
        </is>
      </c>
    </row>
    <row r="9">
      <c r="A9" s="57" t="inlineStr">
        <is>
          <t>Dato de campo</t>
        </is>
      </c>
      <c r="B9" s="57" t="n">
        <v>72</v>
      </c>
    </row>
    <row r="10">
      <c r="A10" s="58" t="inlineStr">
        <is>
          <t>Gabinete (GIS / teledetección)</t>
        </is>
      </c>
      <c r="B10" s="58" t="n">
        <v>22</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105</v>
      </c>
    </row>
    <row r="31">
      <c r="A31" s="58" t="inlineStr">
        <is>
          <t>COMPLEMENTADO</t>
        </is>
      </c>
      <c r="B31" s="58" t="n">
        <v>1</v>
      </c>
    </row>
    <row r="32">
      <c r="A32" s="57" t="inlineStr">
        <is>
          <t>ACTUALIZADO</t>
        </is>
      </c>
      <c r="B32" s="57" t="n">
        <v>2</v>
      </c>
    </row>
    <row r="33">
      <c r="A33" s="58" t="inlineStr">
        <is>
          <t>DISCREPANTE</t>
        </is>
      </c>
      <c r="B33" s="58" t="n">
        <v>0</v>
      </c>
    </row>
    <row r="34">
      <c r="A34" s="57" t="inlineStr">
        <is>
          <t>PENDIENTE</t>
        </is>
      </c>
      <c r="B34" s="57" t="n">
        <v>6</v>
      </c>
    </row>
    <row r="51">
      <c r="A51" s="55" t="inlineStr">
        <is>
          <t>Cobertura por estrato — campo (%)</t>
        </is>
      </c>
    </row>
    <row r="52">
      <c r="A52" s="56" t="inlineStr">
        <is>
          <t>Estrato</t>
        </is>
      </c>
      <c r="B52" s="56" t="inlineStr">
        <is>
          <t>% del área</t>
        </is>
      </c>
    </row>
    <row r="53">
      <c r="A53" s="57" t="inlineStr">
        <is>
          <t>Dosel</t>
        </is>
      </c>
      <c r="B53" s="62" t="n">
        <v>35</v>
      </c>
    </row>
    <row r="54">
      <c r="A54" s="58" t="inlineStr">
        <is>
          <t>Arbustiva</t>
        </is>
      </c>
      <c r="B54" s="64" t="n">
        <v>30</v>
      </c>
    </row>
    <row r="55">
      <c r="A55" s="57" t="inlineStr">
        <is>
          <t>Herbácea</t>
        </is>
      </c>
      <c r="B55" s="62" t="n">
        <v>25</v>
      </c>
    </row>
    <row r="56">
      <c r="A56" s="58" t="inlineStr">
        <is>
          <t>Hojarasca</t>
        </is>
      </c>
      <c r="B56" s="64" t="n">
        <v>15</v>
      </c>
    </row>
    <row r="57">
      <c r="A57" s="57" t="inlineStr">
        <is>
          <t>Suelo desnudo</t>
        </is>
      </c>
      <c r="B57" s="62" t="n">
        <v>15</v>
      </c>
    </row>
    <row r="74">
      <c r="A74" s="55" t="inlineStr">
        <is>
          <t>Causas activas de degradación (F-DT-04)</t>
        </is>
      </c>
    </row>
    <row r="75">
      <c r="A75" s="56" t="inlineStr">
        <is>
          <t>Causa</t>
        </is>
      </c>
      <c r="B75" s="56" t="inlineStr">
        <is>
          <t>Intensidad (1 ligera - 4 muy fuerte)</t>
        </is>
      </c>
    </row>
    <row r="76">
      <c r="A76" s="57" t="inlineStr">
        <is>
          <t>Sequía prolongada / CC</t>
        </is>
      </c>
      <c r="B76" s="57" t="n">
        <v>2</v>
      </c>
    </row>
    <row r="77">
      <c r="A77" s="58" t="inlineStr">
        <is>
          <t>Sobrepastoreo (caprino/vacuno)</t>
        </is>
      </c>
      <c r="B77" s="58" t="n">
        <v>2</v>
      </c>
    </row>
    <row r="78">
      <c r="A78" s="57" t="inlineStr">
        <is>
          <t>Cambio de uso a pastoreo</t>
        </is>
      </c>
      <c r="B78" s="57" t="n">
        <v>1</v>
      </c>
    </row>
    <row r="79">
      <c r="A79" s="58" t="inlineStr">
        <is>
          <t>Especies invasoras</t>
        </is>
      </c>
      <c r="B79" s="58" t="n">
        <v>1</v>
      </c>
    </row>
    <row r="80">
      <c r="A80" s="57" t="inlineStr">
        <is>
          <t>Quema (renovación de pastos)</t>
        </is>
      </c>
      <c r="B80" s="57" t="n">
        <v>1</v>
      </c>
    </row>
    <row r="81">
      <c r="A81" s="58" t="inlineStr">
        <is>
          <t>Tala para leña</t>
        </is>
      </c>
      <c r="B81" s="58" t="n">
        <v>1</v>
      </c>
    </row>
    <row r="98">
      <c r="A98" s="55" t="inlineStr">
        <is>
          <t>Control de consistencia por calificación</t>
        </is>
      </c>
    </row>
    <row r="99">
      <c r="A99" s="56" t="inlineStr">
        <is>
          <t>Calificación</t>
        </is>
      </c>
      <c r="B99" s="56" t="inlineStr">
        <is>
          <t>Verificaciones</t>
        </is>
      </c>
    </row>
    <row r="100">
      <c r="A100" s="57" t="inlineStr">
        <is>
          <t>SUSTANTIVA</t>
        </is>
      </c>
      <c r="B100" s="57" t="n">
        <v>6</v>
      </c>
    </row>
    <row r="101">
      <c r="A101" s="58" t="inlineStr">
        <is>
          <t>NO SUSTANTIVA</t>
        </is>
      </c>
      <c r="B101" s="58" t="n">
        <v>4</v>
      </c>
    </row>
    <row r="102">
      <c r="A102" s="57" t="inlineStr">
        <is>
          <t>CORREGIDO</t>
        </is>
      </c>
      <c r="B102" s="57" t="n">
        <v>3</v>
      </c>
    </row>
    <row r="103">
      <c r="A103" s="58" t="inlineStr">
        <is>
          <t>CONFORME</t>
        </is>
      </c>
      <c r="B103" s="58"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M18B3 — IN Piura</dc:title>
  <dc:subject>Diagnóstico Territorial por bloque de intervención</dc:subject>
  <dcterms:created xsi:type="dcterms:W3CDTF">2026-09-08T03:39:57Z</dcterms:created>
  <dcterms:modified xsi:type="dcterms:W3CDTF">2026-09-11T20:22:36Z</dcterms:modified>
</cp:coreProperties>
</file>