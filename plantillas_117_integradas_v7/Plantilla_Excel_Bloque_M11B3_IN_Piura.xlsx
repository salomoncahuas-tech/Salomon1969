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integración'!$A$47:$A$50</f>
            </numRef>
          </cat>
          <val>
            <numRef>
              <f>'Gráficos de integración'!$B$47:$B$50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integración'!$A$66:$A$68</f>
            </numRef>
          </cat>
          <val>
            <numRef>
              <f>'Gráficos de integración'!$B$66:$B$68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M11B3</t>
        </is>
      </c>
    </row>
    <row r="6" ht="24" customHeight="1">
      <c r="A6" s="4" t="inlineStr">
        <is>
          <t>Diagnóstico Territorial — Plantilla DT Campo Check Validada V5 | Sistema de referencia: UTM WGS 84 Zona 17S (EPSG:32717) · Integrado con la ficha de campo F-DT vigente (Plantilla_DT_Campo_M11B3_07may2026.xlsx) — V7 - resumen V6 + campo F-DT integrado</t>
        </is>
      </c>
    </row>
    <row r="7"/>
    <row r="8" ht="18" customHeight="1">
      <c r="A8" s="5" t="inlineStr">
        <is>
          <t>1. IDENTIFICACIÓN Y LOCALIZACIÓN</t>
        </is>
      </c>
    </row>
    <row r="9">
      <c r="A9" s="6" t="inlineStr">
        <is>
          <t>Código del bloque</t>
        </is>
      </c>
      <c r="B9" s="7" t="inlineStr">
        <is>
          <t>M11B3</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CP La Quemazón / CP La Pareja / CP Alto San José</t>
        </is>
      </c>
      <c r="C13" s="6" t="inlineStr">
        <is>
          <t>Comunidad campesina</t>
        </is>
      </c>
      <c r="D13" s="7" t="inlineStr">
        <is>
          <t>Por verificar in situ</t>
        </is>
      </c>
      <c r="E13" s="8" t="n"/>
      <c r="F13" s="8" t="n"/>
    </row>
    <row r="14">
      <c r="A14" s="6" t="inlineStr">
        <is>
          <t>Superficie de catálogo (V5/V6), ha</t>
        </is>
      </c>
      <c r="B14" s="7" t="n">
        <v>106.03</v>
      </c>
      <c r="C14" s="6" t="inlineStr">
        <is>
          <t>Fuente de superficie</t>
        </is>
      </c>
      <c r="D14" s="7" t="inlineStr">
        <is>
          <t>Catálogo maestro Bloques V5/V6</t>
        </is>
      </c>
      <c r="E14" s="8" t="n"/>
      <c r="F14" s="8" t="n"/>
    </row>
    <row r="15">
      <c r="A15" s="6" t="inlineStr">
        <is>
          <t>Centroide UTM ESTE (m)</t>
        </is>
      </c>
      <c r="B15" s="7" t="n">
        <v>642079</v>
      </c>
      <c r="C15" s="6" t="inlineStr">
        <is>
          <t>Centroide UTM NORTE (m)</t>
        </is>
      </c>
      <c r="D15" s="7" t="n">
        <v>9413823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278</v>
      </c>
      <c r="C19" s="6" t="inlineStr">
        <is>
          <t>Altitud máxima (msnm)</t>
        </is>
      </c>
      <c r="D19" s="7" t="n">
        <v>477</v>
      </c>
      <c r="E19" s="8" t="n"/>
      <c r="F19" s="8" t="n"/>
    </row>
    <row r="20">
      <c r="A20" s="6" t="inlineStr">
        <is>
          <t>Amplitud altitudinal (m)</t>
        </is>
      </c>
      <c r="B20" s="7" t="n">
        <v>199</v>
      </c>
      <c r="C20" s="6" t="inlineStr">
        <is>
          <t>Piso altitudinal dominante</t>
        </is>
      </c>
      <c r="D20" s="7" t="inlineStr">
        <is>
          <t>&lt;1000 m (Yunga)</t>
        </is>
      </c>
      <c r="E20" s="8" t="n"/>
      <c r="F20" s="8" t="n"/>
    </row>
    <row r="21">
      <c r="A21" s="6" t="inlineStr">
        <is>
          <t>Pendiente promedio (%)</t>
        </is>
      </c>
      <c r="B21" s="7" t="n">
        <v>18.11</v>
      </c>
      <c r="C21" s="6" t="inlineStr">
        <is>
          <t>Pendiente promedio (grados)</t>
        </is>
      </c>
      <c r="D21" s="7" t="n">
        <v>10.3</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No (no observado a distancia)</t>
        </is>
      </c>
      <c r="C25" s="6" t="inlineStr">
        <is>
          <t>Remociones en masa activas</t>
        </is>
      </c>
      <c r="D25" s="7" t="inlineStr">
        <is>
          <t>No (no observado a distancia)</t>
        </is>
      </c>
      <c r="E25" s="8" t="n"/>
      <c r="F25" s="8" t="n"/>
    </row>
    <row r="26"/>
    <row r="27" ht="18" customHeight="1">
      <c r="A27" s="5" t="inlineStr">
        <is>
          <t>3. ÍNDICES DE VEGETACIÓN (SENTINEL-2)</t>
        </is>
      </c>
    </row>
    <row r="28">
      <c r="A28" s="6" t="inlineStr">
        <is>
          <t>MSAVI 2024 — media del bloque</t>
        </is>
      </c>
      <c r="B28" s="7" t="n">
        <v>0.3956</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(49.93 %)</t>
        </is>
      </c>
      <c r="E29" s="8" t="n"/>
      <c r="F29" s="8" t="n"/>
    </row>
    <row r="30">
      <c r="A30" s="6" t="inlineStr">
        <is>
          <t>Superficie clasificada NDVI 2025 (ha)</t>
        </is>
      </c>
      <c r="B30" s="7" t="n">
        <v>106.059</v>
      </c>
      <c r="C30" s="6" t="inlineStr">
        <is>
          <t>Desviación frente al catálogo (%)</t>
        </is>
      </c>
      <c r="D30" s="7" t="n">
        <v>0.03</v>
      </c>
      <c r="E30" s="8" t="n"/>
      <c r="F30" s="8" t="n"/>
    </row>
    <row r="31">
      <c r="A31" s="6" t="inlineStr">
        <is>
          <t>Superficie clasificada MSAVI 2024 (ha)</t>
        </is>
      </c>
      <c r="B31" s="39" t="n">
        <v>106.027</v>
      </c>
      <c r="C31" s="6" t="inlineStr">
        <is>
          <t>Desviación MSAVI frente al catálogo (%)</t>
        </is>
      </c>
      <c r="D31" s="40" t="n">
        <v>0</v>
      </c>
      <c r="E31" s="8" t="n"/>
      <c r="F31" s="8" t="n"/>
    </row>
    <row r="32">
      <c r="A32" s="6" t="inlineStr">
        <is>
          <t>Superficie bajo umbral MSAVI 0.4976 (ha)</t>
        </is>
      </c>
      <c r="B32" s="39" t="n">
        <v>94.229</v>
      </c>
      <c r="C32" s="6" t="inlineStr">
        <is>
          <t>% del bloque bajo umbral (brecha espectral)</t>
        </is>
      </c>
      <c r="D32" s="40" t="n">
        <v>88.87</v>
      </c>
      <c r="E32" s="8" t="n"/>
      <c r="F32" s="8" t="n"/>
    </row>
    <row r="33">
      <c r="A33" s="6" t="inlineStr">
        <is>
          <t>Clase DN dominante (MSAVI 2024)</t>
        </is>
      </c>
      <c r="B33" s="7" t="inlineStr">
        <is>
          <t>DN 3 · 0.3813 - 0.4976 (Vigor bajo)</t>
        </is>
      </c>
      <c r="C33" s="6" t="inlineStr">
        <is>
          <t>N.° de polígonos MSAVI del bloque</t>
        </is>
      </c>
      <c r="D33" s="41" t="n">
        <v>338</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106.03 ha (100% del bloque)</t>
        </is>
      </c>
      <c r="E36" s="8" t="n"/>
      <c r="F36" s="8" t="n"/>
    </row>
    <row r="37">
      <c r="A37" s="6" t="inlineStr">
        <is>
          <t>Estado de conservación</t>
        </is>
      </c>
      <c r="B37" s="7" t="inlineStr">
        <is>
          <t>Levemente alterado</t>
        </is>
      </c>
      <c r="C37" s="6" t="inlineStr">
        <is>
          <t>Uso actual dominante del suelo</t>
        </is>
      </c>
      <c r="D37" s="51" t="inlineStr">
        <is>
          <t>Forestal protección</t>
        </is>
      </c>
      <c r="E37" s="8" t="n"/>
      <c r="F37" s="8" t="n"/>
    </row>
    <row r="38">
      <c r="A38" s="6" t="inlineStr">
        <is>
          <t>Tipo de cobertura dominante</t>
        </is>
      </c>
      <c r="B38" s="7" t="inlineStr">
        <is>
          <t>Bosque ralo (30-70%)</t>
        </is>
      </c>
      <c r="C38" s="6" t="inlineStr">
        <is>
          <t>Cobertura vegetal total — campo (%)</t>
        </is>
      </c>
      <c r="D38" s="7" t="n">
        <v>75</v>
      </c>
      <c r="E38" s="8" t="n"/>
      <c r="F38" s="8" t="n"/>
    </row>
    <row r="39">
      <c r="A39" s="6" t="inlineStr">
        <is>
          <t>Suelo desnudo — campo (%)</t>
        </is>
      </c>
      <c r="B39" s="7" t="n">
        <v>5</v>
      </c>
      <c r="C39" s="6" t="inlineStr">
        <is>
          <t>Regeneración natural</t>
        </is>
      </c>
      <c r="D39" s="51" t="inlineStr">
        <is>
          <t>Sin registro en ficha</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51" t="inlineStr">
        <is>
          <t>0</t>
        </is>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Carlos Domínguez Varas</t>
        </is>
      </c>
      <c r="C44" s="6" t="inlineStr">
        <is>
          <t>Fecha de evaluación</t>
        </is>
      </c>
      <c r="D44" s="7" t="inlineStr">
        <is>
          <t>2026-05-07</t>
        </is>
      </c>
      <c r="E44" s="8" t="n"/>
      <c r="F44" s="8" t="n"/>
    </row>
    <row r="45">
      <c r="A45" s="6" t="inlineStr">
        <is>
          <t>Hora de registro</t>
        </is>
      </c>
      <c r="B45" s="51" t="inlineStr">
        <is>
          <t>12:00 m</t>
        </is>
      </c>
      <c r="C45" s="6" t="inlineStr">
        <is>
          <t>Correlativo de ficha</t>
        </is>
      </c>
      <c r="D45" s="7" t="inlineStr">
        <is>
          <t>M11B3-01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Observación a distancia (sin parcela)</t>
        </is>
      </c>
      <c r="E47" s="8" t="n"/>
      <c r="F47" s="8" t="n"/>
    </row>
    <row r="48">
      <c r="A48" s="6" t="inlineStr">
        <is>
          <t>Estaciones fotográficas georreferenciadas</t>
        </is>
      </c>
      <c r="B48" s="7" t="n">
        <v>0</v>
      </c>
      <c r="C48" s="6" t="inlineStr">
        <is>
          <t>Modalidad de acceso</t>
        </is>
      </c>
      <c r="D48" s="7" t="inlineStr">
        <is>
          <t>INACCESIBLE EN LLUVIAS</t>
        </is>
      </c>
      <c r="E48" s="8" t="n"/>
      <c r="F48" s="8" t="n"/>
    </row>
    <row r="49"/>
    <row r="50" ht="18" customHeight="1">
      <c r="A50" s="5" t="inlineStr">
        <is>
          <t>6. SÍNTESIS PARA LA GESTIÓN DEL RIESGO EN CONTEXTO DE CAMBIO CLIMÁTICO</t>
        </is>
      </c>
    </row>
    <row r="51">
      <c r="A51" s="6" t="inlineStr">
        <is>
          <t>Causa subyacente principal</t>
        </is>
      </c>
      <c r="B51" s="7" t="inlineStr">
        <is>
          <t>Sequía prolongada / cambio climático como motor subyacente regional. Presión antrópica histórica baja en el polígono</t>
        </is>
      </c>
      <c r="C51" s="6" t="inlineStr">
        <is>
          <t>Velocidad de degradación</t>
        </is>
      </c>
      <c r="D51" s="7" t="inlineStr">
        <is>
          <t>Estable</t>
        </is>
      </c>
      <c r="E51" s="8" t="n"/>
      <c r="F51" s="8" t="n"/>
    </row>
    <row r="52">
      <c r="A52" s="6" t="inlineStr">
        <is>
          <t>Reversibilidad técnica</t>
        </is>
      </c>
      <c r="B52" s="7" t="inlineStr">
        <is>
          <t>Totalmente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M11B3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0.1667</v>
      </c>
      <c r="C10" s="19">
        <f>ROUND(B10/$B$15*100,2)</f>
        <v/>
      </c>
      <c r="D10" s="11" t="inlineStr">
        <is>
          <t>Vigor alto</t>
        </is>
      </c>
      <c r="E10" s="11" t="inlineStr">
        <is>
          <t>Sobre umbral</t>
        </is>
      </c>
    </row>
    <row r="11">
      <c r="A11" s="12" t="inlineStr">
        <is>
          <t>0.4976 - 0.6139 · DN 4</t>
        </is>
      </c>
      <c r="B11" s="20" t="n">
        <v>11.6313</v>
      </c>
      <c r="C11" s="21">
        <f>ROUND(B11/$B$15*100,2)</f>
        <v/>
      </c>
      <c r="D11" s="13" t="inlineStr">
        <is>
          <t>Vigor moderado</t>
        </is>
      </c>
      <c r="E11" s="13" t="inlineStr">
        <is>
          <t>Sobre umbral</t>
        </is>
      </c>
    </row>
    <row r="12">
      <c r="A12" s="14" t="inlineStr">
        <is>
          <t>0.3813 - 0.4976 · DN 3</t>
        </is>
      </c>
      <c r="B12" s="30" t="n">
        <v>47.1236</v>
      </c>
      <c r="C12" s="29">
        <f>ROUND(B12/$B$15*100,2)</f>
        <v/>
      </c>
      <c r="D12" s="15" t="inlineStr">
        <is>
          <t>Vigor bajo</t>
        </is>
      </c>
      <c r="E12" s="15" t="inlineStr">
        <is>
          <t>BAJO umbral 0.4976</t>
        </is>
      </c>
    </row>
    <row r="13">
      <c r="A13" s="12" t="inlineStr">
        <is>
          <t>0.2650 - 0.3813 · DN 2</t>
        </is>
      </c>
      <c r="B13" s="20" t="n">
        <v>43.1431</v>
      </c>
      <c r="C13" s="21">
        <f>ROUND(B13/$B$15*100,2)</f>
        <v/>
      </c>
      <c r="D13" s="13" t="inlineStr">
        <is>
          <t>Vigor muy bajo</t>
        </is>
      </c>
      <c r="E13" s="13" t="inlineStr">
        <is>
          <t>BAJO umbral 0.4976</t>
        </is>
      </c>
    </row>
    <row r="14">
      <c r="A14" s="7" t="inlineStr">
        <is>
          <t>&lt;= 0.2650 · DN 1</t>
        </is>
      </c>
      <c r="B14" s="18" t="n">
        <v>3.9623</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338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106.03</v>
      </c>
      <c r="C18" s="50" t="inlineStr">
        <is>
          <t>—</t>
        </is>
      </c>
      <c r="D18" s="47" t="inlineStr">
        <is>
          <t>Desviación planimétrica frente al catálogo</t>
        </is>
      </c>
      <c r="E18" s="47" t="inlineStr">
        <is>
          <t>+0.00 %</t>
        </is>
      </c>
    </row>
    <row r="19">
      <c r="A19" s="16" t="inlineStr">
        <is>
          <t>MSAVI 2024 — MEDIA DEL BLOQUE</t>
        </is>
      </c>
      <c r="B19" s="17" t="n">
        <v>0.395609</v>
      </c>
      <c r="C19" s="17" t="inlineStr">
        <is>
          <t>—</t>
        </is>
      </c>
      <c r="D19" s="17" t="inlineStr">
        <is>
          <t>Vigor bajo · clase 0.3813 - 0.4976</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338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(0.3956)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22.4394</v>
      </c>
      <c r="C25" s="19" t="n">
        <v>21.16</v>
      </c>
      <c r="D25" s="11" t="inlineStr">
        <is>
          <t>Dosel continuo, matorral denso o mosaico agroforestal</t>
        </is>
      </c>
      <c r="E25" s="11" t="inlineStr"/>
    </row>
    <row r="26">
      <c r="A26" s="12" t="inlineStr">
        <is>
          <t>Vegetación mediana</t>
        </is>
      </c>
      <c r="B26" s="20" t="n">
        <v>52.9549</v>
      </c>
      <c r="C26" s="21" t="n">
        <v>49.93</v>
      </c>
      <c r="D26" s="13" t="inlineStr">
        <is>
          <t>Pastizal cultivado, matorral ralo, parcelas agrícolas</t>
        </is>
      </c>
      <c r="E26" s="13" t="inlineStr"/>
    </row>
    <row r="27">
      <c r="A27" s="7" t="inlineStr">
        <is>
          <t>Vegetación ligera</t>
        </is>
      </c>
      <c r="B27" s="18" t="n">
        <v>29.6374</v>
      </c>
      <c r="C27" s="19" t="n">
        <v>27.94</v>
      </c>
      <c r="D27" s="11" t="inlineStr">
        <is>
          <t>Cobertura discontinua, suelo parcialmente expuesto</t>
        </is>
      </c>
      <c r="E27" s="11" t="inlineStr"/>
    </row>
    <row r="28">
      <c r="A28" s="12" t="inlineStr">
        <is>
          <t>Tierra desnuda</t>
        </is>
      </c>
      <c r="B28" s="20" t="n">
        <v>1.027</v>
      </c>
      <c r="C28" s="21" t="n">
        <v>0.97</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106.03</v>
      </c>
      <c r="C30" s="25" t="inlineStr">
        <is>
          <t>—</t>
        </is>
      </c>
      <c r="D30" s="25" t="inlineStr">
        <is>
          <t>Desviación planimétrica frente al catálogo</t>
        </is>
      </c>
      <c r="E30" s="25" t="inlineStr">
        <is>
          <t>+0.03 %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75 % frente a un 21.16 % del polígono clasificado como «Vegetación alta» por el NDVI 2025; la observación de campo corresponde a una parcela o recorrido puntual y no es estadísticamente representativa de las 106.030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M11B3</t>
        </is>
      </c>
    </row>
    <row r="6" ht="24" customHeight="1">
      <c r="A6" s="4" t="inlineStr">
        <is>
          <t>Levantamiento del 2026-05-07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642079</v>
      </c>
      <c r="D10" s="26" t="n">
        <v>9413823</v>
      </c>
      <c r="E10" s="11" t="n">
        <v>0</v>
      </c>
      <c r="F10" s="11" t="inlineStr"/>
      <c r="G10" s="11" t="inlineStr">
        <is>
          <t>Coordenada consignada en F-DT-01</t>
        </is>
      </c>
    </row>
    <row r="11">
      <c r="A11" s="12" t="inlineStr">
        <is>
          <t>H-01</t>
        </is>
      </c>
      <c r="B11" s="13" t="inlineStr">
        <is>
          <t>Fuente de agua — Río</t>
        </is>
      </c>
      <c r="C11" s="27" t="n">
        <v>642300</v>
      </c>
      <c r="D11" s="27" t="n">
        <v>9413400</v>
      </c>
      <c r="E11" s="13" t="n">
        <v>477.3</v>
      </c>
      <c r="F11" s="13" t="inlineStr">
        <is>
          <t>Permanente</t>
        </is>
      </c>
      <c r="G11" s="13" t="inlineStr">
        <is>
          <t>Río Bigote, borde sur-oriental</t>
        </is>
      </c>
    </row>
    <row r="12">
      <c r="A12" s="7" t="inlineStr">
        <is>
          <t>H-02</t>
        </is>
      </c>
      <c r="B12" s="11" t="inlineStr">
        <is>
          <t>Fuente de agua — Quebrada estacional</t>
        </is>
      </c>
      <c r="C12" s="26" t="n">
        <v>641900</v>
      </c>
      <c r="D12" s="26" t="n">
        <v>9413900</v>
      </c>
      <c r="E12" s="11" t="n">
        <v>194.9</v>
      </c>
      <c r="F12" s="11" t="inlineStr">
        <is>
          <t>Estacional</t>
        </is>
      </c>
      <c r="G12" s="11" t="inlineStr">
        <is>
          <t>Microquebradas de bajo orden</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642079</v>
      </c>
      <c r="C15" s="6" t="inlineStr">
        <is>
          <t>Centroide del bloque — UTM NORTE (m)</t>
        </is>
      </c>
      <c r="D15" s="7" t="n">
        <v>9413823</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15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PARCIAL — OBSERVACIÓN A DISTANCIA DESDE LA RIBERA OPUESTA DEL RÍO BIGOTE (07/05/2026). ACCESO TERRESTRE DIRECTO INTERRUMPIDO POR CRECIDA DEL RÍO BIGOTE (caudal sobre nivel de vadeo seguro). HALLAZGOS VISUALES: COBERTURA FORESTAL DENSA Y CONTINUA, DOSEL ARBÓREO CERRADO, LÍNEA DE CUMBRE ÍNTEGRA, SIN PARCHES VISIBLES DE SUELO DESNUDO NI EVIDENCIAS MACROSCÓPICAS DE DEGRADACIÓN RECIENTE. Los indicios de remoción en masa registrados como «No» CORRESPONDEN A NO OBSERVACIÓN A DISTANCIA y requieren verificación in situ. Se recomienda reprogramar la verificación por modalidad alternativa (cabecera de microcuenca, cruce en época seca agosto-octubre 2026, o sobrevuelo RPA). MSAVI PROMEDIO ZONAL DEL BLOQUE: 0.396 (EL MÁS ALTO ENTRE LOS BLOQUES INSPECCIONADOS DEL CORREDOR).</t>
        </is>
      </c>
      <c r="B18" s="42" t="n"/>
      <c r="C18" s="42" t="n"/>
      <c r="D18" s="42" t="n"/>
      <c r="E18" s="42" t="n"/>
      <c r="F18" s="42" t="n"/>
      <c r="G18" s="43"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M11B3</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M11B3</t>
        </is>
      </c>
      <c r="B10" s="28" t="n">
        <v>106.03</v>
      </c>
      <c r="C10" s="29" t="n">
        <v>26.64</v>
      </c>
      <c r="D10" s="15" t="inlineStr">
        <is>
          <t>278 – 477</t>
        </is>
      </c>
      <c r="E10" s="15" t="n">
        <v>199</v>
      </c>
      <c r="F10" s="15" t="n">
        <v>18.11</v>
      </c>
      <c r="G10" s="30" t="n">
        <v>0.3956</v>
      </c>
      <c r="H10" s="29" t="n">
        <v>21.16</v>
      </c>
      <c r="I10" s="29" t="n">
        <v>88.87</v>
      </c>
    </row>
    <row r="11">
      <c r="A11" s="12" t="inlineStr">
        <is>
          <t>24</t>
        </is>
      </c>
      <c r="B11" s="31" t="n">
        <v>90.16</v>
      </c>
      <c r="C11" s="21" t="n">
        <v>22.65</v>
      </c>
      <c r="D11" s="13" t="inlineStr">
        <is>
          <t>1319 – 1887</t>
        </is>
      </c>
      <c r="E11" s="13" t="n">
        <v>568</v>
      </c>
      <c r="F11" s="13" t="n">
        <v>32.98</v>
      </c>
      <c r="G11" s="20" t="n">
        <v>0.6748</v>
      </c>
      <c r="H11" s="21" t="n">
        <v>98.51000000000001</v>
      </c>
      <c r="I11" s="21" t="n">
        <v>2.29</v>
      </c>
    </row>
    <row r="12">
      <c r="A12" s="7" t="inlineStr">
        <is>
          <t>87</t>
        </is>
      </c>
      <c r="B12" s="32" t="n">
        <v>62.219</v>
      </c>
      <c r="C12" s="19" t="n">
        <v>15.63</v>
      </c>
      <c r="D12" s="11" t="inlineStr">
        <is>
          <t>Por determinar</t>
        </is>
      </c>
      <c r="E12" s="11" t="inlineStr">
        <is>
          <t>Por determinar</t>
        </is>
      </c>
      <c r="F12" s="11" t="inlineStr">
        <is>
          <t>Por determinar</t>
        </is>
      </c>
      <c r="G12" s="18" t="n">
        <v>0.2487</v>
      </c>
      <c r="H12" s="19" t="n">
        <v>0.34</v>
      </c>
      <c r="I12" s="19" t="n">
        <v>99.72</v>
      </c>
    </row>
    <row r="13">
      <c r="A13" s="12" t="inlineStr">
        <is>
          <t>63</t>
        </is>
      </c>
      <c r="B13" s="31" t="n">
        <v>50.46</v>
      </c>
      <c r="C13" s="21" t="n">
        <v>12.68</v>
      </c>
      <c r="D13" s="13" t="inlineStr">
        <is>
          <t>1508 – 2080</t>
        </is>
      </c>
      <c r="E13" s="13" t="n">
        <v>572</v>
      </c>
      <c r="F13" s="13" t="n">
        <v>35.5</v>
      </c>
      <c r="G13" s="20" t="n">
        <v>0.6036</v>
      </c>
      <c r="H13" s="21" t="n">
        <v>99.2</v>
      </c>
      <c r="I13" s="21" t="n">
        <v>2.95</v>
      </c>
    </row>
    <row r="14">
      <c r="A14" s="7" t="inlineStr">
        <is>
          <t>86</t>
        </is>
      </c>
      <c r="B14" s="32" t="n">
        <v>30.001</v>
      </c>
      <c r="C14" s="19" t="n">
        <v>7.54</v>
      </c>
      <c r="D14" s="11" t="inlineStr">
        <is>
          <t>Por determinar</t>
        </is>
      </c>
      <c r="E14" s="11" t="inlineStr">
        <is>
          <t>Por determinar</t>
        </is>
      </c>
      <c r="F14" s="11" t="inlineStr">
        <is>
          <t>Por determinar</t>
        </is>
      </c>
      <c r="G14" s="18" t="n">
        <v>0.2735</v>
      </c>
      <c r="H14" s="19" t="n">
        <v>1.05</v>
      </c>
      <c r="I14" s="19" t="n">
        <v>99.62</v>
      </c>
    </row>
    <row r="15">
      <c r="A15" s="12" t="inlineStr">
        <is>
          <t>83</t>
        </is>
      </c>
      <c r="B15" s="31" t="n">
        <v>24.344</v>
      </c>
      <c r="C15" s="21" t="n">
        <v>6.12</v>
      </c>
      <c r="D15" s="13" t="inlineStr">
        <is>
          <t>Por determinar</t>
        </is>
      </c>
      <c r="E15" s="13" t="inlineStr">
        <is>
          <t>Por determinar</t>
        </is>
      </c>
      <c r="F15" s="13" t="inlineStr">
        <is>
          <t>Por determinar</t>
        </is>
      </c>
      <c r="G15" s="20" t="n">
        <v>0.3055</v>
      </c>
      <c r="H15" s="21" t="n">
        <v>2.88</v>
      </c>
      <c r="I15" s="21" t="n">
        <v>99.39</v>
      </c>
    </row>
    <row r="16">
      <c r="A16" s="7" t="inlineStr">
        <is>
          <t>77</t>
        </is>
      </c>
      <c r="B16" s="32" t="n">
        <v>17.82</v>
      </c>
      <c r="C16" s="19" t="n">
        <v>4.48</v>
      </c>
      <c r="D16" s="11" t="inlineStr">
        <is>
          <t>242 – 346</t>
        </is>
      </c>
      <c r="E16" s="11" t="n">
        <v>104</v>
      </c>
      <c r="F16" s="11" t="n">
        <v>13.71</v>
      </c>
      <c r="G16" s="18" t="n">
        <v>0.2725</v>
      </c>
      <c r="H16" s="19" t="n">
        <v>0.11</v>
      </c>
      <c r="I16" s="19" t="n">
        <v>99.78</v>
      </c>
    </row>
    <row r="17">
      <c r="A17" s="12" t="inlineStr">
        <is>
          <t>85</t>
        </is>
      </c>
      <c r="B17" s="31" t="n">
        <v>11.906</v>
      </c>
      <c r="C17" s="21" t="n">
        <v>2.99</v>
      </c>
      <c r="D17" s="13" t="inlineStr">
        <is>
          <t>Por determinar</t>
        </is>
      </c>
      <c r="E17" s="13" t="inlineStr">
        <is>
          <t>Por determinar</t>
        </is>
      </c>
      <c r="F17" s="13" t="inlineStr">
        <is>
          <t>Por determinar</t>
        </is>
      </c>
      <c r="G17" s="20" t="n">
        <v>0.2289</v>
      </c>
      <c r="H17" s="21" t="n">
        <v>0</v>
      </c>
      <c r="I17" s="21" t="n">
        <v>100</v>
      </c>
    </row>
    <row r="18">
      <c r="A18" s="7" t="inlineStr">
        <is>
          <t>84</t>
        </is>
      </c>
      <c r="B18" s="32" t="n">
        <v>5.097</v>
      </c>
      <c r="C18" s="19" t="n">
        <v>1.28</v>
      </c>
      <c r="D18" s="11" t="inlineStr">
        <is>
          <t>Por determinar</t>
        </is>
      </c>
      <c r="E18" s="11" t="inlineStr">
        <is>
          <t>Por determinar</t>
        </is>
      </c>
      <c r="F18" s="11" t="inlineStr">
        <is>
          <t>Por determinar</t>
        </is>
      </c>
      <c r="G18" s="18" t="n">
        <v>0.2516</v>
      </c>
      <c r="H18" s="19" t="n">
        <v>0</v>
      </c>
      <c r="I18" s="19"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2" t="n"/>
      <c r="C20" s="42" t="n"/>
      <c r="D20" s="42" t="n"/>
      <c r="E20" s="42" t="n"/>
      <c r="F20" s="42" t="n"/>
      <c r="G20" s="42" t="n"/>
      <c r="H20" s="42" t="n"/>
      <c r="I20" s="43" t="n"/>
    </row>
    <row r="22" ht="84" customHeight="1">
      <c r="A22" s="9" t="inlineStr">
        <is>
          <t>LECTURA INTRAMICROCUENCA. El bloque M11B3 ocupa el puesto 1 de 9 por superficie dentro de la microcuenca C1081-Q9583 (26.64 % de las 398.04 ha preliminares de la microcuenca). Su pendiente promedio (18.11 %, clase «15-25% (Fuert. inclinado)») es la 2.ª más baja de 4 y se sitúa por debajo del promedio de la microcuenca (25.08 %). Su MSAVI 2024 (0.3956) es el 3.º de 9 y queda por encima del promedio local (0.3616). Amplitud altitudinal del bloque: 199 m (278–477 msnm). El cuadro conserva todos los bloques catalogados en la microcuenca, incluidos los descartados en el tamizaje, para referencia del conjunto. Los bloques sin ficha DT figuran con sus parámetros de gabinete. BRECHA ESPECTRAL. El 88.87 % de la superficie del bloque (94.229 ha de 106.027 ha) se sitúa bajo el umbral MSAVI 0.4976, por encima del promedio local de la microcuenca (76.96 %) calculado sobre los bloques con dato MSAVI disponible.</t>
        </is>
      </c>
      <c r="B22" s="42" t="n"/>
      <c r="C22" s="42" t="n"/>
      <c r="D22" s="42" t="n"/>
      <c r="E22" s="42" t="n"/>
      <c r="F22" s="42" t="n"/>
      <c r="G22" s="42" t="n"/>
      <c r="H22" s="42" t="n"/>
      <c r="I22" s="43"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2" t="n"/>
      <c r="C24" s="42" t="n"/>
      <c r="D24" s="42" t="n"/>
      <c r="E24" s="42" t="n"/>
      <c r="F24" s="42" t="n"/>
      <c r="G24" s="42" t="n"/>
      <c r="H24" s="42" t="n"/>
      <c r="I24" s="43"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M11B3</t>
        </is>
      </c>
    </row>
    <row r="6">
      <c r="A6" s="53" t="inlineStr">
        <is>
          <t>Cruce de la ficha de campo F-DT vigente con la ficha de resumen de gabinete y el catálogo maestro. Integración 2026-09-11 21:26:32.</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«C1081-Q9583».</t>
        </is>
      </c>
      <c r="D9" s="57" t="inlineStr">
        <is>
          <t>CONFORME</t>
        </is>
      </c>
      <c r="E9" s="57" t="inlineStr">
        <is>
          <t>Sin acción.</t>
        </is>
      </c>
    </row>
    <row r="10">
      <c r="A10" s="58" t="inlineStr">
        <is>
          <t>G-02</t>
        </is>
      </c>
      <c r="B10" s="58" t="inlineStr">
        <is>
          <t>UTM del punto de muestreo</t>
        </is>
      </c>
      <c r="C10" s="58" t="inlineStr">
        <is>
          <t>El punto de muestreo declarado dista 0.0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(257 msnm) cae dentro del rango altitudinal del bloque (278 - 477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(106.059 ha) se desvía 0.03 % de la superficie de catálogo (106.03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(106.027 ha) se desvía -0.00 % de la superficie de catálogo (106.03 ha).</t>
        </is>
      </c>
      <c r="D14" s="58" t="inlineStr">
        <is>
          <t>CONFORME</t>
        </is>
      </c>
      <c r="E14" s="58" t="inlineStr">
        <is>
          <t>Sin acción: la segmentación valida la geometría del bloque.</t>
        </is>
      </c>
    </row>
    <row r="15">
      <c r="A15" s="57" t="inlineStr">
        <is>
          <t>G-07</t>
        </is>
      </c>
      <c r="B15" s="57" t="inlineStr">
        <is>
          <t>Brecha espectral MSAVI</t>
        </is>
      </c>
      <c r="C15" s="57" t="inlineStr">
        <is>
          <t>El 88.87 % del bloque queda bajo el umbral 0.4976; superficie de brecha 94.23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106.03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(0.3956) cae en la clase «0.3813 - 0.4976 (Vigor bajo)» y la clase DN dominante por superficie es «DN 3 · 0.3813 - 0.4976 (Vigor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Uso actual dominante del suelo</t>
        </is>
      </c>
      <c r="C19" s="57" t="inlineStr">
        <is>
          <t>El libro de resumen V6 consignaba «Forestal de protección»; la ficha de campo vigente declara «Forestal protección».</t>
        </is>
      </c>
      <c r="D19" s="57" t="inlineStr">
        <is>
          <t>CORREGIDO</t>
        </is>
      </c>
      <c r="E19" s="57" t="inlineStr">
        <is>
          <t>Se adopta el valor de campo por ser la fuente que manda sobre el dato y la más reciente. El valor anterior queda declarado para trazabilidad.</t>
        </is>
      </c>
    </row>
    <row r="20">
      <c r="A20" s="58" t="inlineStr">
        <is>
          <t>I-02</t>
        </is>
      </c>
      <c r="B20" s="58" t="inlineStr">
        <is>
          <t>Hora de registro</t>
        </is>
      </c>
      <c r="C20" s="58" t="inlineStr">
        <is>
          <t>El libro de resumen V6 consignaba «12:00 h»; la ficha de campo vigente declara «12:00 m».</t>
        </is>
      </c>
      <c r="D20" s="58" t="inlineStr">
        <is>
          <t>CORREGIDO</t>
        </is>
      </c>
      <c r="E20" s="58" t="inlineStr">
        <is>
          <t>Se adopta el valor de campo por ser la fuente que manda sobre el dato y la más reciente. El valor anterior queda declarado para trazabilidad.</t>
        </is>
      </c>
    </row>
    <row r="21">
      <c r="A21" s="57" t="inlineStr">
        <is>
          <t>F-01</t>
        </is>
      </c>
      <c r="B21" s="57" t="inlineStr">
        <is>
          <t>Fichas F-DT levantadas</t>
        </is>
      </c>
      <c r="C21" s="57" t="inlineStr">
        <is>
          <t>La plantilla de campo trae las cinco fichas F-DT-01 a F-DT-05 (completitud 92.9 % de los campos esperados).</t>
        </is>
      </c>
      <c r="D21" s="57" t="inlineStr">
        <is>
          <t>CONFORME</t>
        </is>
      </c>
      <c r="E21" s="57" t="inlineStr">
        <is>
          <t>Sin acción.</t>
        </is>
      </c>
    </row>
    <row r="22">
      <c r="A22" s="58" t="inlineStr">
        <is>
          <t>F-02</t>
        </is>
      </c>
      <c r="B22" s="58" t="inlineStr">
        <is>
          <t>Tablas del formulario sin filas leídas</t>
        </is>
      </c>
      <c r="C22" s="58" t="inlineStr">
        <is>
          <t>La plantilla de campo no entrego filas en: F-DT-03 · elenco florístico.</t>
        </is>
      </c>
      <c r="D22" s="58" t="inlineStr">
        <is>
          <t>NO SUSTANTIVA</t>
        </is>
      </c>
      <c r="E22" s="58" t="inlineStr">
        <is>
          <t>Se conserva lo que declara la ficha de resumen y no se sustituye por un conteo en cero. Debe revisarse la maqueta de esas tablas en la plantilla de campo.</t>
        </is>
      </c>
    </row>
    <row r="23">
      <c r="A23" s="57" t="inlineStr">
        <is>
          <t>F-03</t>
        </is>
      </c>
      <c r="B23" s="57" t="inlineStr">
        <is>
          <t>Cobertura de la integración</t>
        </is>
      </c>
      <c r="C23" s="57" t="inlineStr">
        <is>
          <t>Se declararon 94 de 114 hechos integrados (82.5 %); 20 quedan sin dato en ninguna fuente.</t>
        </is>
      </c>
      <c r="D23" s="57" t="inlineStr">
        <is>
          <t>CONFORME</t>
        </is>
      </c>
      <c r="E23" s="57" t="inlineStr">
        <is>
          <t>Sin acción.</t>
        </is>
      </c>
    </row>
    <row r="24">
      <c r="A24" s="58" t="inlineStr">
        <is>
          <t>H-01</t>
        </is>
      </c>
      <c r="B24" s="58" t="inlineStr">
        <is>
          <t>Cobertura vegetal total</t>
        </is>
      </c>
      <c r="C24" s="58" t="inlineStr">
        <is>
          <t>La ficha DT estima 75 % de cobertura vegetal en campo; el NDVI mediana 2025 clasifica 99.03 % del polígono en clases de vegetación</t>
        </is>
      </c>
      <c r="D24" s="58" t="inlineStr">
        <is>
          <t>NO SUSTANTIVA</t>
        </is>
      </c>
      <c r="E24" s="58"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5">
      <c r="A25" s="57" t="inlineStr">
        <is>
          <t>H-02</t>
        </is>
      </c>
      <c r="B25" s="57" t="inlineStr">
        <is>
          <t>Elenco florístico</t>
        </is>
      </c>
      <c r="C25" s="57" t="inlineStr">
        <is>
          <t>La ficha registra 0 taxones, por debajo del mínimo de 15 que exige el formato V5</t>
        </is>
      </c>
      <c r="D25" s="57" t="inlineStr">
        <is>
          <t>SUSTANTIVA</t>
        </is>
      </c>
      <c r="E25" s="57" t="inlineStr">
        <is>
          <t>Registro florístico preliminar, sin colecta ni determinación botánica formal. Debe cerrarse con colecta botánica en la siguiente campaña. (Verificación heredada de la ficha de resumen V6.)</t>
        </is>
      </c>
    </row>
    <row r="26">
      <c r="A26" s="58" t="inlineStr">
        <is>
          <t>H-03</t>
        </is>
      </c>
      <c r="B26" s="58" t="inlineStr">
        <is>
          <t>Representatividad del levantamiento</t>
        </is>
      </c>
      <c r="C26" s="58" t="inlineStr">
        <is>
          <t>Ninguna de las estaciones fotográficas georreferenciadas se localiza dentro del polígono del bloque</t>
        </is>
      </c>
      <c r="D26" s="58" t="inlineStr">
        <is>
          <t>SUSTANTIVA</t>
        </is>
      </c>
      <c r="E26" s="58" t="inlineStr">
        <is>
          <t>La verificación documenta el perímetro y la vista panorámica del bloque, no su interior. Los parámetros que exigen recorrido interno se consignan «Por determinar». (Verificación heredada de la ficha de resumen V6.)</t>
        </is>
      </c>
    </row>
    <row r="27">
      <c r="A27" s="57" t="inlineStr">
        <is>
          <t>H-04</t>
        </is>
      </c>
      <c r="B27" s="57" t="inlineStr">
        <is>
          <t>Centro poblado asociado</t>
        </is>
      </c>
      <c r="C27" s="57" t="inlineStr">
        <is>
          <t>La ficha DT declara «CP La Quemazón / CP La Pareja / CP Alto San José»; el cruce INEI-Bloques V5 identifica 2 centro(s) poblado(s) en el bloque: LA PAREJA, QUEMAZON</t>
        </is>
      </c>
      <c r="D27" s="57" t="inlineStr">
        <is>
          <t>CONFORME</t>
        </is>
      </c>
      <c r="E27" s="57" t="inlineStr">
        <is>
          <t>Se conserva el registro de campo como referencia y se adopta el listado INEI para el diagnóstico social y el cálculo de población beneficiaria. (Verificación heredada de la ficha de resumen V6.)</t>
        </is>
      </c>
    </row>
    <row r="28">
      <c r="A28" s="58" t="inlineStr">
        <is>
          <t>H-05</t>
        </is>
      </c>
      <c r="B28" s="58" t="inlineStr">
        <is>
          <t>Plan de Ingreso</t>
        </is>
      </c>
      <c r="C28" s="58" t="inlineStr">
        <is>
          <t>Altitud = 0 msnm (captura por defecto del aplicativo)</t>
        </is>
      </c>
      <c r="D28" s="58" t="inlineStr">
        <is>
          <t>CORREGIDO</t>
        </is>
      </c>
      <c r="E28" s="58" t="inlineStr">
        <is>
          <t>Se reemplaza por la altitud GPS de campo (257 msnm) (Verificación heredada de la ficha de resumen V6.)</t>
        </is>
      </c>
    </row>
    <row r="29">
      <c r="A29" s="57" t="inlineStr">
        <is>
          <t>H-06</t>
        </is>
      </c>
      <c r="B29" s="57" t="inlineStr">
        <is>
          <t>F-DT-01</t>
        </is>
      </c>
      <c r="C29" s="57" t="inlineStr">
        <is>
          <t>VERIFICACIÓN PARCIAL: observación a distancia desde la ribera opuesta del río Bigote; acceso interrumpido por crecida</t>
        </is>
      </c>
      <c r="D29" s="57" t="inlineStr">
        <is>
          <t>SUSTANTIVA</t>
        </is>
      </c>
      <c r="E29" s="57" t="inlineStr">
        <is>
          <t>Los registros «No» de escarpes, reptación, deslizamientos y remociones significan NO OBSERVADO, no ausencia verificada (Verificación heredada de la ficha de resumen V6.)</t>
        </is>
      </c>
    </row>
    <row r="30">
      <c r="A30" s="58" t="inlineStr">
        <is>
          <t>H-07</t>
        </is>
      </c>
      <c r="B30" s="58" t="inlineStr">
        <is>
          <t>F-DT-02</t>
        </is>
      </c>
      <c r="C30" s="58" t="inlineStr">
        <is>
          <t>Inventario de cárcavas no realizado in situ</t>
        </is>
      </c>
      <c r="D30" s="58" t="inlineStr">
        <is>
          <t>SUSTANTIVA</t>
        </is>
      </c>
      <c r="E30" s="58" t="inlineStr">
        <is>
          <t>Verificación pendiente (Verificación heredada de la ficha de resumen V6.)</t>
        </is>
      </c>
    </row>
    <row r="31">
      <c r="A31" s="57" t="inlineStr">
        <is>
          <t>H-08</t>
        </is>
      </c>
      <c r="B31" s="57" t="inlineStr">
        <is>
          <t>F-DT-03</t>
        </is>
      </c>
      <c r="C31" s="57" t="inlineStr">
        <is>
          <t>Sin inventario florístico: las 5 especies listadas son referenciales para enriquecimiento, NO observadas</t>
        </is>
      </c>
      <c r="D31" s="57" t="inlineStr">
        <is>
          <t>SUSTANTIVA</t>
        </is>
      </c>
      <c r="E31" s="57" t="inlineStr">
        <is>
          <t>Inventario pendiente en su totalidad (Verificación heredada de la ficha de resumen V6.)</t>
        </is>
      </c>
    </row>
    <row r="32">
      <c r="A32" s="58" t="inlineStr">
        <is>
          <t>H-09</t>
        </is>
      </c>
      <c r="B32" s="58" t="inlineStr">
        <is>
          <t>F-DT-04</t>
        </is>
      </c>
      <c r="C32" s="58" t="inlineStr">
        <is>
          <t>Suelo desnudo 5% calificado «Alto», incompatible con el umbral de la propia ficha (&lt;10% = bueno)</t>
        </is>
      </c>
      <c r="D32" s="58" t="inlineStr">
        <is>
          <t>NO SUSTANTIVA</t>
        </is>
      </c>
      <c r="E32" s="58" t="inlineStr">
        <is>
          <t>Recalificar (Verificación heredada de la ficha de resumen V6.)</t>
        </is>
      </c>
    </row>
    <row r="33">
      <c r="A33" s="57" t="inlineStr">
        <is>
          <t>H-10</t>
        </is>
      </c>
      <c r="B33" s="57" t="inlineStr">
        <is>
          <t>F-DT-05</t>
        </is>
      </c>
      <c r="C33" s="57" t="inlineStr">
        <is>
          <t>Acceso terrestre condicionado al régimen hidrológico del río Bigote; solo viable entre agosto y noviembre</t>
        </is>
      </c>
      <c r="D33" s="57" t="inlineStr">
        <is>
          <t>SUSTANTIVA</t>
        </is>
      </c>
      <c r="E33" s="57" t="inlineStr">
        <is>
          <t>LA RESOLUCIÓN DEL ACCESO OPERATIVO ES INSUMO CRÍTICO PARA TODAS LAS FASES POSTERIORES (Verificación heredada de la ficha de resumen V6.)</t>
        </is>
      </c>
    </row>
    <row r="35">
      <c r="A35" s="59" t="inlineStr">
        <is>
          <t>RESUMEN</t>
        </is>
      </c>
      <c r="B35" s="60" t="inlineStr">
        <is>
          <t>25 verificaciones</t>
        </is>
      </c>
      <c r="C35" s="60" t="inlineStr">
        <is>
          <t>SUSTANTIVA: 7 · NO SUSTANTIVA: 3 · CORREGIDO: 3 · CONFORME: 12</t>
        </is>
      </c>
    </row>
    <row r="37">
      <c r="A37"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37:E37"/>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M11B3</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5. Ecosistema, cobertura y flora (F-DT-03)</t>
        </is>
      </c>
      <c r="B9" s="57" t="inlineStr">
        <is>
          <t>Uso actual dominante del suelo</t>
        </is>
      </c>
      <c r="C9" s="57" t="inlineStr">
        <is>
          <t>Forestal de protección</t>
        </is>
      </c>
      <c r="D9" s="57" t="inlineStr">
        <is>
          <t>Forestal protección</t>
        </is>
      </c>
      <c r="E9" s="57" t="inlineStr">
        <is>
          <t>Dato de campo</t>
        </is>
      </c>
    </row>
    <row r="10">
      <c r="A10" s="58" t="inlineStr">
        <is>
          <t>8. Responsable y modalidad de la evaluación</t>
        </is>
      </c>
      <c r="B10" s="58" t="inlineStr">
        <is>
          <t>Hora de registro</t>
        </is>
      </c>
      <c r="C10" s="58" t="inlineStr">
        <is>
          <t>12:00 h</t>
        </is>
      </c>
      <c r="D10" s="58" t="inlineStr">
        <is>
          <t>12:00 m</t>
        </is>
      </c>
      <c r="E10" s="58" t="inlineStr">
        <is>
          <t>Dato de campo</t>
        </is>
      </c>
    </row>
    <row r="12">
      <c r="A12" s="55" t="inlineStr">
        <is>
          <t>B. HECHOS APORTADOS ÚNICAMENTE POR LA FICHA DE CAMPO</t>
        </is>
      </c>
    </row>
    <row r="13">
      <c r="A13" s="56" t="inlineStr">
        <is>
          <t>Sección</t>
        </is>
      </c>
      <c r="B13" s="56" t="inlineStr">
        <is>
          <t>Hecho</t>
        </is>
      </c>
      <c r="C13" s="56" t="inlineStr">
        <is>
          <t>Valor</t>
        </is>
      </c>
      <c r="D13" s="56" t="inlineStr">
        <is>
          <t>Unidad</t>
        </is>
      </c>
    </row>
    <row r="14">
      <c r="A14" s="57" t="inlineStr">
        <is>
          <t>1. Identificación y localización</t>
        </is>
      </c>
      <c r="B14" s="57" t="inlineStr">
        <is>
          <t>UTM ESTE del punto de muestreo (m)</t>
        </is>
      </c>
      <c r="C14" s="57" t="inlineStr">
        <is>
          <t>642079</t>
        </is>
      </c>
      <c r="D14" s="57" t="inlineStr">
        <is>
          <t>m</t>
        </is>
      </c>
    </row>
    <row r="15">
      <c r="A15" s="58" t="inlineStr">
        <is>
          <t>1. Identificación y localización</t>
        </is>
      </c>
      <c r="B15" s="58" t="inlineStr">
        <is>
          <t>UTM NORTE del punto de muestreo (m)</t>
        </is>
      </c>
      <c r="C15" s="58" t="inlineStr">
        <is>
          <t>9413823</t>
        </is>
      </c>
      <c r="D15" s="58" t="inlineStr">
        <is>
          <t>m</t>
        </is>
      </c>
    </row>
    <row r="16">
      <c r="A16" s="57" t="inlineStr">
        <is>
          <t>2. Parámetros físicos del terreno</t>
        </is>
      </c>
      <c r="B16" s="57" t="inlineStr">
        <is>
          <t>Altitud GPS del punto de muestreo (msnm)</t>
        </is>
      </c>
      <c r="C16" s="57" t="inlineStr">
        <is>
          <t>257</t>
        </is>
      </c>
      <c r="D16" s="57" t="inlineStr">
        <is>
          <t>msnm</t>
        </is>
      </c>
    </row>
    <row r="17">
      <c r="A17" s="58" t="inlineStr">
        <is>
          <t>2. Parámetros físicos del terreno</t>
        </is>
      </c>
      <c r="B17" s="58" t="inlineStr">
        <is>
          <t>Piso altitudinal del punto de muestreo</t>
        </is>
      </c>
      <c r="C17" s="58" t="inlineStr">
        <is>
          <t>&lt;1000 m (Yunga)</t>
        </is>
      </c>
      <c r="D17" s="58" t="inlineStr"/>
    </row>
    <row r="18">
      <c r="A18" s="57" t="inlineStr">
        <is>
          <t>2. Parámetros físicos del terreno</t>
        </is>
      </c>
      <c r="B18" s="57" t="inlineStr">
        <is>
          <t>Paisaje dominante descrito en campo</t>
        </is>
      </c>
      <c r="C18" s="57" t="inlineStr">
        <is>
          <t>Bloque irregular alargado orientado noreste-suroeste, en ladera norte de cerro montañoso que domina el valle del río Bigote. Abarca desde la cima (≈408 msnm) hasta el piedemonte cercano a los CP (≈257 msnm). Relieve convexo en parte superior y cóncavo en la base, con disecciones menores por microquebradas estacionales. Borde sur-oriental próximo al cauce del río Bigote.</t>
        </is>
      </c>
      <c r="D18" s="57" t="inlineStr"/>
    </row>
    <row r="19">
      <c r="A19" s="58" t="inlineStr">
        <is>
          <t>2. Parámetros físicos del terreno</t>
        </is>
      </c>
      <c r="B19" s="58" t="inlineStr">
        <is>
          <t>Reptación de suelo</t>
        </is>
      </c>
      <c r="C19" s="58" t="inlineStr">
        <is>
          <t>No</t>
        </is>
      </c>
      <c r="D19" s="58" t="inlineStr"/>
    </row>
    <row r="20">
      <c r="A20" s="57" t="inlineStr">
        <is>
          <t>2. Parámetros físicos del terreno</t>
        </is>
      </c>
      <c r="B20" s="57" t="inlineStr">
        <is>
          <t>Deslizamientos antiguos</t>
        </is>
      </c>
      <c r="C20" s="57" t="inlineStr">
        <is>
          <t>No</t>
        </is>
      </c>
      <c r="D20" s="57" t="inlineStr"/>
    </row>
    <row r="21">
      <c r="A21" s="58" t="inlineStr">
        <is>
          <t>4. Suelos y erosión (F-DT-02)</t>
        </is>
      </c>
      <c r="B21" s="58" t="inlineStr">
        <is>
          <t>Nivel de erosión - síntesis de campo</t>
        </is>
      </c>
      <c r="C21" s="58" t="inlineStr">
        <is>
          <t>Ligera (laminar)</t>
        </is>
      </c>
      <c r="D21" s="58" t="inlineStr"/>
    </row>
    <row r="22">
      <c r="A22" s="57" t="inlineStr">
        <is>
          <t>4. Suelos y erosión (F-DT-02)</t>
        </is>
      </c>
      <c r="B22" s="57" t="inlineStr">
        <is>
          <t>Longitud total de cárcavas (m)</t>
        </is>
      </c>
      <c r="C22" s="57" t="inlineStr">
        <is>
          <t>0</t>
        </is>
      </c>
      <c r="D22" s="57" t="inlineStr">
        <is>
          <t>m</t>
        </is>
      </c>
    </row>
    <row r="23">
      <c r="A23" s="58" t="inlineStr">
        <is>
          <t>4. Suelos y erosión (F-DT-02)</t>
        </is>
      </c>
      <c r="B23" s="58" t="inlineStr">
        <is>
          <t>% del bloque afectado por cárcavas</t>
        </is>
      </c>
      <c r="C23" s="58" t="inlineStr">
        <is>
          <t>0</t>
        </is>
      </c>
      <c r="D23" s="58" t="inlineStr">
        <is>
          <t>%</t>
        </is>
      </c>
    </row>
    <row r="24">
      <c r="A24" s="57" t="inlineStr">
        <is>
          <t>4. Suelos y erosión (F-DT-02)</t>
        </is>
      </c>
      <c r="B24" s="57" t="inlineStr">
        <is>
          <t>Erosión laminar (% del bloque)</t>
        </is>
      </c>
      <c r="C24" s="57" t="inlineStr">
        <is>
          <t>5</t>
        </is>
      </c>
      <c r="D24" s="57" t="inlineStr">
        <is>
          <t>%</t>
        </is>
      </c>
    </row>
    <row r="25">
      <c r="A25" s="58" t="inlineStr">
        <is>
          <t>4. Suelos y erosión (F-DT-02)</t>
        </is>
      </c>
      <c r="B25" s="58" t="inlineStr">
        <is>
          <t>Patrón de cárcavas</t>
        </is>
      </c>
      <c r="C25" s="58" t="inlineStr">
        <is>
          <t>Aislado</t>
        </is>
      </c>
      <c r="D25" s="58" t="inlineStr"/>
    </row>
    <row r="26">
      <c r="A26" s="57" t="inlineStr">
        <is>
          <t>4. Suelos y erosión (F-DT-02)</t>
        </is>
      </c>
      <c r="B26" s="57" t="inlineStr">
        <is>
          <t>Socavamiento de cauce</t>
        </is>
      </c>
      <c r="C26" s="57" t="inlineStr">
        <is>
          <t>Sí</t>
        </is>
      </c>
      <c r="D26" s="57" t="inlineStr"/>
    </row>
    <row r="27">
      <c r="A27" s="58" t="inlineStr">
        <is>
          <t>5. Ecosistema, cobertura y flora (F-DT-03)</t>
        </is>
      </c>
      <c r="B27" s="58" t="inlineStr">
        <is>
          <t>Cobertura del dosel (%)</t>
        </is>
      </c>
      <c r="C27" s="58" t="inlineStr">
        <is>
          <t>65</t>
        </is>
      </c>
      <c r="D27" s="58" t="inlineStr">
        <is>
          <t>%</t>
        </is>
      </c>
    </row>
    <row r="28">
      <c r="A28" s="57" t="inlineStr">
        <is>
          <t>5. Ecosistema, cobertura y flora (F-DT-03)</t>
        </is>
      </c>
      <c r="B28" s="57" t="inlineStr">
        <is>
          <t>Cobertura arbustiva (%)</t>
        </is>
      </c>
      <c r="C28" s="57" t="inlineStr">
        <is>
          <t>20</t>
        </is>
      </c>
      <c r="D28" s="57" t="inlineStr">
        <is>
          <t>%</t>
        </is>
      </c>
    </row>
    <row r="29">
      <c r="A29" s="58" t="inlineStr">
        <is>
          <t>5. Ecosistema, cobertura y flora (F-DT-03)</t>
        </is>
      </c>
      <c r="B29" s="58" t="inlineStr">
        <is>
          <t>Cobertura herbácea (%)</t>
        </is>
      </c>
      <c r="C29" s="58" t="inlineStr">
        <is>
          <t>10</t>
        </is>
      </c>
      <c r="D29" s="58" t="inlineStr">
        <is>
          <t>%</t>
        </is>
      </c>
    </row>
    <row r="30">
      <c r="A30" s="57" t="inlineStr">
        <is>
          <t>5. Ecosistema, cobertura y flora (F-DT-03)</t>
        </is>
      </c>
      <c r="B30" s="57" t="inlineStr">
        <is>
          <t>Fenología dominante</t>
        </is>
      </c>
      <c r="C30" s="57" t="inlineStr">
        <is>
          <t>Caducifolio (hojas caídas)</t>
        </is>
      </c>
      <c r="D30" s="57" t="inlineStr"/>
    </row>
    <row r="31">
      <c r="A31" s="58" t="inlineStr">
        <is>
          <t>5. Ecosistema, cobertura y flora (F-DT-03)</t>
        </is>
      </c>
      <c r="B31" s="58" t="inlineStr">
        <is>
          <t>Dimensiones de la parcela (m)</t>
        </is>
      </c>
      <c r="C31" s="58" t="inlineStr">
        <is>
          <t>No aplica (verif. parcial)</t>
        </is>
      </c>
      <c r="D31" s="58" t="inlineStr"/>
    </row>
    <row r="32">
      <c r="A32" s="57" t="inlineStr">
        <is>
          <t>6. Degradación, causas y urgencia (F-DT-04)</t>
        </is>
      </c>
      <c r="B32" s="57" t="inlineStr">
        <is>
          <t>Causas directas de la degradación</t>
        </is>
      </c>
      <c r="C32" s="57" t="inlineStr">
        <is>
          <t>Principales causas directas observadas: (1) erosión natural severa en parches localizados (MSAVI≤0.265 zona central-sur y borde con cauce); (2) dinámica fluvial activa del río Bigote en borde sur-oriental con socavamiento de margen; (3) susceptibilidad inherente a movimientos en masa superficiales por pendiente máxima 36.4%. NO se identificaron causas antrópicas directas (tala, quema, cambio de uso) a la resolución de la observación a distancia.</t>
        </is>
      </c>
      <c r="D32" s="57" t="inlineStr"/>
    </row>
    <row r="33">
      <c r="A33" s="58" t="inlineStr">
        <is>
          <t>6. Degradación, causas y urgencia (F-DT-04)</t>
        </is>
      </c>
      <c r="B33" s="58" t="inlineStr">
        <is>
          <t>N.° de causas activas en la matriz F-DT-04</t>
        </is>
      </c>
      <c r="C33" s="58" t="inlineStr">
        <is>
          <t>3</t>
        </is>
      </c>
      <c r="D33" s="58" t="inlineStr"/>
    </row>
    <row r="34">
      <c r="A34" s="57" t="inlineStr">
        <is>
          <t>7. Hidrología, acceso y logística (F-DT-05)</t>
        </is>
      </c>
      <c r="B34" s="57" t="inlineStr">
        <is>
          <t>Escorrentía concentrada</t>
        </is>
      </c>
      <c r="C34" s="57" t="inlineStr">
        <is>
          <t>Sí</t>
        </is>
      </c>
      <c r="D34" s="57" t="inlineStr"/>
    </row>
    <row r="35">
      <c r="A35" s="58" t="inlineStr">
        <is>
          <t>7. Hidrología, acceso y logística (F-DT-05)</t>
        </is>
      </c>
      <c r="B35" s="58" t="inlineStr">
        <is>
          <t>Fuentes de agua inventariadas</t>
        </is>
      </c>
      <c r="C35" s="58" t="inlineStr">
        <is>
          <t>2</t>
        </is>
      </c>
      <c r="D35" s="58" t="inlineStr"/>
    </row>
    <row r="36">
      <c r="A36" s="57" t="inlineStr">
        <is>
          <t>7. Hidrología, acceso y logística (F-DT-05)</t>
        </is>
      </c>
      <c r="B36" s="57" t="inlineStr">
        <is>
          <t>Interferencia con riego</t>
        </is>
      </c>
      <c r="C36" s="57" t="inlineStr">
        <is>
          <t>No</t>
        </is>
      </c>
      <c r="D36" s="57" t="inlineStr"/>
    </row>
    <row r="37">
      <c r="A37" s="58" t="inlineStr">
        <is>
          <t>7. Hidrología, acceso y logística (F-DT-05)</t>
        </is>
      </c>
      <c r="B37" s="58" t="inlineStr">
        <is>
          <t>Vía principal de acceso</t>
        </is>
      </c>
      <c r="C37" s="58" t="inlineStr">
        <is>
          <t>Trocha desde Salitral / San Juan de Bigote hasta CP La Pareja - La Quemazón (cruce río Bigote requerido)</t>
        </is>
      </c>
      <c r="D37" s="58" t="inlineStr"/>
    </row>
    <row r="38">
      <c r="A38" s="57" t="inlineStr">
        <is>
          <t>7. Hidrología, acceso y logística (F-DT-05)</t>
        </is>
      </c>
      <c r="B38" s="57" t="inlineStr">
        <is>
          <t>Tipo de vía del tramo final</t>
        </is>
      </c>
      <c r="C38" s="57" t="inlineStr">
        <is>
          <t>Trocha carrozable</t>
        </is>
      </c>
      <c r="D38" s="57" t="inlineStr"/>
    </row>
    <row r="39">
      <c r="A39" s="58" t="inlineStr">
        <is>
          <t>7. Hidrología, acceso y logística (F-DT-05)</t>
        </is>
      </c>
      <c r="B39" s="58" t="inlineStr">
        <is>
          <t>Transitabilidad en época seca</t>
        </is>
      </c>
      <c r="C39" s="58" t="inlineStr">
        <is>
          <t>Medio</t>
        </is>
      </c>
      <c r="D39" s="58" t="inlineStr"/>
    </row>
    <row r="40">
      <c r="A40" s="57" t="inlineStr">
        <is>
          <t>7. Hidrología, acceso y logística (F-DT-05)</t>
        </is>
      </c>
      <c r="B40" s="57" t="inlineStr">
        <is>
          <t>Transitabilidad en época lluviosa</t>
        </is>
      </c>
      <c r="C40" s="57" t="inlineStr">
        <is>
          <t>Bajo</t>
        </is>
      </c>
      <c r="D40" s="57" t="inlineStr"/>
    </row>
    <row r="41">
      <c r="A41" s="58" t="inlineStr">
        <is>
          <t>7. Hidrología, acceso y logística (F-DT-05)</t>
        </is>
      </c>
      <c r="B41" s="58" t="inlineStr">
        <is>
          <t>Alojamiento disponible en la zona</t>
        </is>
      </c>
      <c r="C41" s="58" t="inlineStr">
        <is>
          <t>Sí</t>
        </is>
      </c>
      <c r="D41" s="58" t="inlineStr"/>
    </row>
    <row r="43">
      <c r="A43" s="55" t="inlineStr">
        <is>
          <t>C. PROCEDENCIA DE LOS HECHOS DECLARADOS</t>
        </is>
      </c>
    </row>
    <row r="44">
      <c r="A44" s="56" t="inlineStr">
        <is>
          <t>Fuente</t>
        </is>
      </c>
      <c r="B44" s="56" t="inlineStr">
        <is>
          <t>Hechos</t>
        </is>
      </c>
      <c r="C44" s="56" t="inlineStr">
        <is>
          <t>Alcance de la fuente</t>
        </is>
      </c>
    </row>
    <row r="45">
      <c r="A45" s="57" t="inlineStr">
        <is>
          <t>Dato de campo</t>
        </is>
      </c>
      <c r="B45" s="57" t="n">
        <v>55</v>
      </c>
      <c r="C45" s="57" t="inlineStr">
        <is>
          <t>Verificación en campo. Fichas F-DT-01 a F-DT-05 de la Plantilla DT Campo Check Validada V5, suscritas por el evaluador.</t>
        </is>
      </c>
    </row>
    <row r="46">
      <c r="A46" s="58" t="inlineStr">
        <is>
          <t>Gabinete (GIS / teledetección)</t>
        </is>
      </c>
      <c r="B46" s="58" t="n">
        <v>25</v>
      </c>
      <c r="C46" s="58" t="inlineStr">
        <is>
          <t>Gabinete. Estadística zonal sobre el MDE y compuestos Sentinel-2 (NDVI mediana 2025, MSAVI 2024 por clase DN).</t>
        </is>
      </c>
    </row>
    <row r="47">
      <c r="A47" s="57" t="inlineStr">
        <is>
          <t>Fuente oficial</t>
        </is>
      </c>
      <c r="B47" s="57" t="n">
        <v>14</v>
      </c>
      <c r="C47" s="57" t="inlineStr">
        <is>
          <t>Fuente oficial. Catálogo maestro Bloques V5/V6, división política INEI y codificación de microcuencas de la ANA.</t>
        </is>
      </c>
    </row>
    <row r="49">
      <c r="A49" s="55" t="inlineStr">
        <is>
          <t>D. ESTADO DEL CRUCE ENTRE FUENTES</t>
        </is>
      </c>
    </row>
    <row r="50">
      <c r="A50" s="56" t="inlineStr">
        <is>
          <t>Estado</t>
        </is>
      </c>
      <c r="B50" s="56" t="inlineStr">
        <is>
          <t>Hechos</t>
        </is>
      </c>
      <c r="C50" s="56" t="inlineStr">
        <is>
          <t>Significado</t>
        </is>
      </c>
    </row>
    <row r="51">
      <c r="A51" s="57" t="inlineStr">
        <is>
          <t>CONFORME</t>
        </is>
      </c>
      <c r="B51" s="57" t="n">
        <v>90</v>
      </c>
      <c r="C51" s="57" t="inlineStr">
        <is>
          <t>Las dos fuentes declaran lo mismo, o solo la fuente que manda sobre el hecho lo declara.</t>
        </is>
      </c>
    </row>
    <row r="52">
      <c r="A52" s="58" t="inlineStr">
        <is>
          <t>COMPLEMENTADO</t>
        </is>
      </c>
      <c r="B52" s="58" t="n">
        <v>2</v>
      </c>
      <c r="C52" s="58" t="inlineStr">
        <is>
          <t>Solo una de las fuentes lo declara y se adopta ese valor.</t>
        </is>
      </c>
    </row>
    <row r="53">
      <c r="A53" s="57" t="inlineStr">
        <is>
          <t>ACTUALIZADO</t>
        </is>
      </c>
      <c r="B53" s="57" t="n">
        <v>2</v>
      </c>
      <c r="C53" s="57" t="inlineStr">
        <is>
          <t>La verificación de campo vigente corrige lo que traía el libro de resumen.</t>
        </is>
      </c>
    </row>
    <row r="54">
      <c r="A54" s="58" t="inlineStr">
        <is>
          <t>DISCREPANTE</t>
        </is>
      </c>
      <c r="B54" s="58" t="n">
        <v>0</v>
      </c>
      <c r="C54" s="58" t="inlineStr">
        <is>
          <t>Las fuentes se contradicen; prevalece la que manda sobre el hecho y la otra queda declarada.</t>
        </is>
      </c>
    </row>
    <row r="55">
      <c r="A55" s="57" t="inlineStr">
        <is>
          <t>PENDIENTE</t>
        </is>
      </c>
      <c r="B55" s="57" t="n">
        <v>20</v>
      </c>
      <c r="C55"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M11B3</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Sin cárcavas inventariadas en el tramo verificado</t>
        </is>
      </c>
      <c r="B9" s="57" t="inlineStr"/>
      <c r="C9" s="57" t="inlineStr"/>
      <c r="D9" s="57" t="inlineStr"/>
      <c r="E9" s="57" t="inlineStr"/>
      <c r="F9" s="57" t="inlineStr"/>
      <c r="G9" s="57" t="inlineStr"/>
      <c r="H9" s="57" t="inlineStr"/>
      <c r="I9" s="57" t="inlineStr"/>
    </row>
    <row r="11">
      <c r="A11" s="55" t="inlineStr">
        <is>
          <t>F-DT-03 · ELENCO FLORÍSTICO</t>
        </is>
      </c>
    </row>
    <row r="12">
      <c r="A12" s="56" t="inlineStr">
        <is>
          <t>N.o</t>
        </is>
      </c>
      <c r="B12" s="56" t="inlineStr">
        <is>
          <t>Nombre común</t>
        </is>
      </c>
      <c r="C12" s="56" t="inlineStr">
        <is>
          <t>Nombre científico</t>
        </is>
      </c>
      <c r="D12" s="56" t="inlineStr">
        <is>
          <t>Familia</t>
        </is>
      </c>
      <c r="E12" s="56" t="inlineStr">
        <is>
          <t>Estrato</t>
        </is>
      </c>
      <c r="F12" s="56" t="inlineStr">
        <is>
          <t>Origen</t>
        </is>
      </c>
      <c r="G12" s="56" t="inlineStr">
        <is>
          <t>Abundancia</t>
        </is>
      </c>
      <c r="H12" s="56" t="inlineStr">
        <is>
          <t>DAP (cm)</t>
        </is>
      </c>
      <c r="I12" s="56" t="inlineStr">
        <is>
          <t>Altura (m)</t>
        </is>
      </c>
    </row>
    <row r="14">
      <c r="A14" s="55" t="inlineStr">
        <is>
          <t>F-DT-03 · ESPECIES CLAVE GEORREFERENCIADAS</t>
        </is>
      </c>
    </row>
    <row r="15">
      <c r="A15" s="56" t="inlineStr">
        <is>
          <t>N.o</t>
        </is>
      </c>
      <c r="B15" s="56" t="inlineStr">
        <is>
          <t>Especie</t>
        </is>
      </c>
      <c r="C15" s="56" t="inlineStr">
        <is>
          <t>Categoría</t>
        </is>
      </c>
      <c r="D15" s="56" t="inlineStr">
        <is>
          <t>Estado UICN</t>
        </is>
      </c>
      <c r="E15" s="56" t="inlineStr">
        <is>
          <t>UTM ESTE</t>
        </is>
      </c>
      <c r="F15" s="56" t="inlineStr">
        <is>
          <t>UTM NORTE</t>
        </is>
      </c>
      <c r="G15" s="56" t="inlineStr">
        <is>
          <t>N.° individuos</t>
        </is>
      </c>
      <c r="H15" s="56" t="inlineStr">
        <is>
          <t>Observación</t>
        </is>
      </c>
    </row>
    <row r="17">
      <c r="A17" s="55" t="inlineStr">
        <is>
          <t>F-DT-04 · MATRIZ DE CAUSAS DE DEGRADACIÓN</t>
        </is>
      </c>
    </row>
    <row r="18">
      <c r="A18" s="56" t="inlineStr">
        <is>
          <t>N.o</t>
        </is>
      </c>
      <c r="B18" s="56" t="inlineStr">
        <is>
          <t>Causa</t>
        </is>
      </c>
      <c r="C18" s="56" t="inlineStr">
        <is>
          <t>Presencia</t>
        </is>
      </c>
      <c r="D18" s="56" t="inlineStr">
        <is>
          <t>Intensidad</t>
        </is>
      </c>
      <c r="E18" s="56" t="inlineStr">
        <is>
          <t>Extensión</t>
        </is>
      </c>
      <c r="F18" s="56" t="inlineStr">
        <is>
          <t>Antigüedad</t>
        </is>
      </c>
      <c r="G18" s="56" t="inlineStr">
        <is>
          <t>Evidencia</t>
        </is>
      </c>
    </row>
    <row r="19">
      <c r="A19" s="57" t="inlineStr">
        <is>
          <t>1</t>
        </is>
      </c>
      <c r="B19" s="57" t="inlineStr">
        <is>
          <t>Sobrepastoreo (caprino/vacuno)</t>
        </is>
      </c>
      <c r="C19" s="57" t="inlineStr">
        <is>
          <t>No</t>
        </is>
      </c>
      <c r="D19" s="57" t="inlineStr">
        <is>
          <t>Nula</t>
        </is>
      </c>
      <c r="E19" s="57" t="inlineStr"/>
      <c r="F19" s="57" t="inlineStr"/>
      <c r="G19" s="57" t="inlineStr">
        <is>
          <t>No observado a distancia. Posible ganadería extensiva sugerida por senderos en piedemonte (fuera del polígono). Por verificar in situ.</t>
        </is>
      </c>
    </row>
    <row r="20">
      <c r="A20" s="58" t="inlineStr">
        <is>
          <t>2</t>
        </is>
      </c>
      <c r="B20" s="58" t="inlineStr">
        <is>
          <t>Tala para leña</t>
        </is>
      </c>
      <c r="C20" s="58" t="inlineStr">
        <is>
          <t>No</t>
        </is>
      </c>
      <c r="D20" s="58" t="inlineStr">
        <is>
          <t>Nula</t>
        </is>
      </c>
      <c r="E20" s="58" t="inlineStr"/>
      <c r="F20" s="58" t="inlineStr"/>
      <c r="G20" s="58" t="inlineStr">
        <is>
          <t>No se identificaron parches de tala reciente desde observación a distancia.</t>
        </is>
      </c>
    </row>
    <row r="21">
      <c r="A21" s="57" t="inlineStr">
        <is>
          <t>3</t>
        </is>
      </c>
      <c r="B21" s="57" t="inlineStr">
        <is>
          <t>Tala para carbón</t>
        </is>
      </c>
      <c r="C21" s="57" t="inlineStr">
        <is>
          <t>No</t>
        </is>
      </c>
      <c r="D21" s="57" t="inlineStr">
        <is>
          <t>Nula</t>
        </is>
      </c>
      <c r="E21" s="57" t="inlineStr"/>
      <c r="F21" s="57" t="inlineStr"/>
      <c r="G21" s="57" t="inlineStr">
        <is>
          <t>No observado.</t>
        </is>
      </c>
    </row>
    <row r="22">
      <c r="A22" s="58" t="inlineStr">
        <is>
          <t>4</t>
        </is>
      </c>
      <c r="B22" s="58" t="inlineStr">
        <is>
          <t>Tala para madera</t>
        </is>
      </c>
      <c r="C22" s="58" t="inlineStr">
        <is>
          <t>No</t>
        </is>
      </c>
      <c r="D22" s="58" t="inlineStr">
        <is>
          <t>Nula</t>
        </is>
      </c>
      <c r="E22" s="58" t="inlineStr"/>
      <c r="F22" s="58" t="inlineStr"/>
      <c r="G22" s="58" t="inlineStr">
        <is>
          <t>No observado. Línea de cumbre íntegra sin discontinuidades.</t>
        </is>
      </c>
    </row>
    <row r="23">
      <c r="A23" s="57" t="inlineStr">
        <is>
          <t>5</t>
        </is>
      </c>
      <c r="B23" s="57" t="inlineStr">
        <is>
          <t>Quema (renovación de pastos)</t>
        </is>
      </c>
      <c r="C23" s="57" t="inlineStr">
        <is>
          <t>No</t>
        </is>
      </c>
      <c r="D23" s="57" t="inlineStr">
        <is>
          <t>Nula</t>
        </is>
      </c>
      <c r="E23" s="57" t="inlineStr"/>
      <c r="F23" s="57" t="inlineStr"/>
      <c r="G23" s="57" t="inlineStr">
        <is>
          <t>No se identificaron áreas de quema desde observación a distancia.</t>
        </is>
      </c>
    </row>
    <row r="24">
      <c r="A24" s="58" t="inlineStr">
        <is>
          <t>6</t>
        </is>
      </c>
      <c r="B24" s="58" t="inlineStr">
        <is>
          <t>Quema accidental / Incendio</t>
        </is>
      </c>
      <c r="C24" s="58" t="inlineStr">
        <is>
          <t>No</t>
        </is>
      </c>
      <c r="D24" s="58" t="inlineStr">
        <is>
          <t>Nula</t>
        </is>
      </c>
      <c r="E24" s="58" t="inlineStr"/>
      <c r="F24" s="58" t="inlineStr"/>
      <c r="G24" s="58" t="inlineStr">
        <is>
          <t>No observado.</t>
        </is>
      </c>
    </row>
    <row r="25">
      <c r="A25" s="57" t="inlineStr">
        <is>
          <t>7</t>
        </is>
      </c>
      <c r="B25" s="57" t="inlineStr">
        <is>
          <t>Cambio de uso a agricultura</t>
        </is>
      </c>
      <c r="C25" s="57" t="inlineStr">
        <is>
          <t>No</t>
        </is>
      </c>
      <c r="D25" s="57" t="inlineStr">
        <is>
          <t>Nula</t>
        </is>
      </c>
      <c r="E25" s="57" t="inlineStr"/>
      <c r="F25" s="57" t="inlineStr"/>
      <c r="G25" s="57" t="inlineStr">
        <is>
          <t>No se observaron asentamientos ni cultivos dentro del polígono. Cultivos bajo riego en planicie aluvial fuera del polígono.</t>
        </is>
      </c>
    </row>
    <row r="26">
      <c r="A26" s="58" t="inlineStr">
        <is>
          <t>8</t>
        </is>
      </c>
      <c r="B26" s="58" t="inlineStr">
        <is>
          <t>Cambio de uso a pastoreo</t>
        </is>
      </c>
      <c r="C26" s="58" t="inlineStr">
        <is>
          <t>No</t>
        </is>
      </c>
      <c r="D26" s="58" t="inlineStr">
        <is>
          <t>Nula</t>
        </is>
      </c>
      <c r="E26" s="58" t="inlineStr"/>
      <c r="F26" s="58" t="inlineStr"/>
      <c r="G26" s="58" t="inlineStr">
        <is>
          <t>No observado dentro del polígono.</t>
        </is>
      </c>
    </row>
    <row r="27">
      <c r="A27" s="57" t="inlineStr">
        <is>
          <t>9</t>
        </is>
      </c>
      <c r="B27" s="57" t="inlineStr">
        <is>
          <t>Expansión urbana / vial</t>
        </is>
      </c>
      <c r="C27" s="57" t="inlineStr">
        <is>
          <t>No</t>
        </is>
      </c>
      <c r="D27" s="57" t="inlineStr">
        <is>
          <t>Nula</t>
        </is>
      </c>
      <c r="E27" s="57" t="inlineStr"/>
      <c r="F27" s="57" t="inlineStr"/>
      <c r="G27" s="57" t="inlineStr">
        <is>
          <t>Centros poblados (La Quemazón, La Pareja, Alto San José) en periferia, fuera del polígono.</t>
        </is>
      </c>
    </row>
    <row r="28">
      <c r="A28" s="58" t="inlineStr">
        <is>
          <t>10</t>
        </is>
      </c>
      <c r="B28" s="58" t="inlineStr">
        <is>
          <t>Minería informal</t>
        </is>
      </c>
      <c r="C28" s="58" t="inlineStr">
        <is>
          <t>No</t>
        </is>
      </c>
      <c r="D28" s="58" t="inlineStr">
        <is>
          <t>Nula</t>
        </is>
      </c>
      <c r="E28" s="58" t="inlineStr"/>
      <c r="F28" s="58" t="inlineStr"/>
      <c r="G28" s="58" t="inlineStr">
        <is>
          <t>No observado.</t>
        </is>
      </c>
    </row>
    <row r="29">
      <c r="A29" s="57" t="inlineStr">
        <is>
          <t>11</t>
        </is>
      </c>
      <c r="B29" s="57" t="inlineStr">
        <is>
          <t>Extracción de áridos (cauces)</t>
        </is>
      </c>
      <c r="C29" s="57" t="inlineStr">
        <is>
          <t>Por verificar</t>
        </is>
      </c>
      <c r="D29" s="57" t="inlineStr">
        <is>
          <t>Nula</t>
        </is>
      </c>
      <c r="E29" s="57" t="inlineStr"/>
      <c r="F29" s="57" t="inlineStr"/>
      <c r="G29" s="57" t="inlineStr">
        <is>
          <t>Posible en cauce del río Bigote (borde sur-oriental del bloque). Requiere verificación in situ.</t>
        </is>
      </c>
    </row>
    <row r="30">
      <c r="A30" s="58" t="inlineStr">
        <is>
          <t>12</t>
        </is>
      </c>
      <c r="B30" s="58" t="inlineStr">
        <is>
          <t>Especies invasoras</t>
        </is>
      </c>
      <c r="C30" s="58" t="inlineStr">
        <is>
          <t>Por verificar</t>
        </is>
      </c>
      <c r="D30" s="58" t="inlineStr">
        <is>
          <t>Nula</t>
        </is>
      </c>
      <c r="E30" s="58" t="inlineStr"/>
      <c r="F30" s="58" t="inlineStr"/>
      <c r="G30" s="58" t="inlineStr">
        <is>
          <t>No identificadas a distancia. Verificación in situ recomendada (sección 5 del diagnóstico).</t>
        </is>
      </c>
    </row>
    <row r="31">
      <c r="A31" s="57" t="inlineStr">
        <is>
          <t>13</t>
        </is>
      </c>
      <c r="B31" s="57" t="inlineStr">
        <is>
          <t>Erosión natural severa</t>
        </is>
      </c>
      <c r="C31" s="57" t="inlineStr">
        <is>
          <t>Sí</t>
        </is>
      </c>
      <c r="D31" s="57" t="inlineStr">
        <is>
          <t>Ligera</t>
        </is>
      </c>
      <c r="E31" s="57" t="inlineStr">
        <is>
          <t>10</t>
        </is>
      </c>
      <c r="F31" s="57" t="inlineStr"/>
      <c r="G31" s="57" t="inlineStr">
        <is>
          <t>Pendiente máxima 36.4% mantiene susceptibilidad inherente a erosión hídrica superficial y movimientos en masa superficiales. Parches localizados MSAVI≤0.265 en zona central-sur y borde con cauce.</t>
        </is>
      </c>
    </row>
    <row r="32">
      <c r="A32" s="58" t="inlineStr">
        <is>
          <t>14</t>
        </is>
      </c>
      <c r="B32" s="58" t="inlineStr">
        <is>
          <t>Sequía prolongada / CC</t>
        </is>
      </c>
      <c r="C32" s="58" t="inlineStr">
        <is>
          <t>Sí</t>
        </is>
      </c>
      <c r="D32" s="58" t="inlineStr">
        <is>
          <t>Moderada</t>
        </is>
      </c>
      <c r="E32" s="58" t="inlineStr">
        <is>
          <t>100</t>
        </is>
      </c>
      <c r="F32" s="58" t="inlineStr"/>
      <c r="G32" s="58" t="inlineStr">
        <is>
          <t>Bloque en cuenca alta del Piura, ecosistema bosque seco con déficit hídrico estacional. Modelos MPI-ESM1-2HR (SSP 585, 2021-2040) proyectan déficit hídrico futuro.</t>
        </is>
      </c>
    </row>
    <row r="33">
      <c r="A33" s="57" t="inlineStr">
        <is>
          <t>15</t>
        </is>
      </c>
      <c r="B33" s="57" t="inlineStr">
        <is>
          <t>Plagas o enfermedades forestales</t>
        </is>
      </c>
      <c r="C33" s="57" t="inlineStr">
        <is>
          <t>No</t>
        </is>
      </c>
      <c r="D33" s="57" t="inlineStr">
        <is>
          <t>Nula</t>
        </is>
      </c>
      <c r="E33" s="57" t="inlineStr"/>
      <c r="F33" s="57" t="inlineStr"/>
      <c r="G33" s="57" t="inlineStr">
        <is>
          <t>Dosel observado a distancia con coloración verde intenso y sin daños visibles.</t>
        </is>
      </c>
    </row>
    <row r="34">
      <c r="A34" s="58" t="inlineStr">
        <is>
          <t>16</t>
        </is>
      </c>
      <c r="B34" s="58" t="inlineStr">
        <is>
          <t>Dinámica fluvial activa (río Bigote)</t>
        </is>
      </c>
      <c r="C34" s="58" t="inlineStr">
        <is>
          <t>Sí</t>
        </is>
      </c>
      <c r="D34" s="58" t="inlineStr">
        <is>
          <t>Moderada</t>
        </is>
      </c>
      <c r="E34" s="58" t="inlineStr">
        <is>
          <t>5</t>
        </is>
      </c>
      <c r="F34" s="58" t="inlineStr"/>
      <c r="G34" s="58" t="inlineStr">
        <is>
          <t>Cauce del río Bigote con sedimentos recientes y flujo activo en franja de contacto. Crecida estacional verificada el 07/05/2026 (impidió acceso al polígono). Genera peligro hídrico y socavamiento de margen.</t>
        </is>
      </c>
    </row>
    <row r="36">
      <c r="A36" s="55" t="inlineStr">
        <is>
          <t>F-DT-04 · INDICADORES CUANTITATIVOS</t>
        </is>
      </c>
    </row>
    <row r="37">
      <c r="A37" s="56" t="inlineStr">
        <is>
          <t>N.o</t>
        </is>
      </c>
      <c r="B37" s="56" t="inlineStr">
        <is>
          <t>Indicador</t>
        </is>
      </c>
      <c r="C37" s="56" t="inlineStr">
        <is>
          <t>Unidad</t>
        </is>
      </c>
      <c r="D37" s="56" t="inlineStr">
        <is>
          <t>Valor</t>
        </is>
      </c>
      <c r="E37" s="56" t="inlineStr">
        <is>
          <t>Fuente</t>
        </is>
      </c>
      <c r="F37" s="56" t="inlineStr">
        <is>
          <t>Umbral</t>
        </is>
      </c>
      <c r="G37" s="56" t="inlineStr">
        <is>
          <t>Nivel</t>
        </is>
      </c>
    </row>
    <row r="38">
      <c r="A38" s="57" t="inlineStr">
        <is>
          <t>1</t>
        </is>
      </c>
      <c r="B38" s="57" t="inlineStr">
        <is>
          <t>Cobertura vegetal total</t>
        </is>
      </c>
      <c r="C38" s="57" t="inlineStr">
        <is>
          <t>%</t>
        </is>
      </c>
      <c r="D38" s="57" t="inlineStr">
        <is>
          <t>75</t>
        </is>
      </c>
      <c r="E38" s="57" t="inlineStr">
        <is>
          <t>Observación visual a distancia + MSAVI (gabinete)</t>
        </is>
      </c>
      <c r="F38" s="57" t="inlineStr">
        <is>
          <t>&gt;60% bueno; 30-60% medio; &lt;30% malo</t>
        </is>
      </c>
      <c r="G38" s="57" t="inlineStr">
        <is>
          <t>Alto</t>
        </is>
      </c>
    </row>
    <row r="39">
      <c r="A39" s="58" t="inlineStr">
        <is>
          <t>2</t>
        </is>
      </c>
      <c r="B39" s="58" t="inlineStr">
        <is>
          <t>Porcentaje de suelo desnudo</t>
        </is>
      </c>
      <c r="C39" s="58" t="inlineStr">
        <is>
          <t>%</t>
        </is>
      </c>
      <c r="D39" s="58" t="inlineStr">
        <is>
          <t>5</t>
        </is>
      </c>
      <c r="E39" s="58" t="inlineStr">
        <is>
          <t>Observación visual a distancia</t>
        </is>
      </c>
      <c r="F39" s="58" t="inlineStr">
        <is>
          <t>&lt;10% bueno; 10-30% medio; &gt;30% malo</t>
        </is>
      </c>
      <c r="G39" s="58" t="inlineStr">
        <is>
          <t>Alto</t>
        </is>
      </c>
    </row>
    <row r="40">
      <c r="A40" s="57" t="inlineStr">
        <is>
          <t>3</t>
        </is>
      </c>
      <c r="B40" s="57" t="inlineStr">
        <is>
          <t>Densidad de cárcavas</t>
        </is>
      </c>
      <c r="C40" s="57" t="inlineStr">
        <is>
          <t>N°/ha</t>
        </is>
      </c>
      <c r="D40" s="57" t="inlineStr">
        <is>
          <t>0</t>
        </is>
      </c>
      <c r="E40" s="57" t="inlineStr">
        <is>
          <t>No observadas a distancia</t>
        </is>
      </c>
      <c r="F40" s="57" t="inlineStr">
        <is>
          <t>0 nulo; 1-3 medio; &gt;3 alto</t>
        </is>
      </c>
      <c r="G40" s="57" t="inlineStr">
        <is>
          <t>Bajo</t>
        </is>
      </c>
    </row>
    <row r="41">
      <c r="A41" s="58" t="inlineStr">
        <is>
          <t>4</t>
        </is>
      </c>
      <c r="B41" s="58" t="inlineStr">
        <is>
          <t>Presencia de especies invasoras</t>
        </is>
      </c>
      <c r="C41" s="58" t="inlineStr">
        <is>
          <t>% área</t>
        </is>
      </c>
      <c r="D41" s="58" t="inlineStr">
        <is>
          <t>n/d</t>
        </is>
      </c>
      <c r="E41" s="58" t="inlineStr">
        <is>
          <t>Por verificar in situ</t>
        </is>
      </c>
      <c r="F41" s="58" t="inlineStr">
        <is>
          <t>&lt;5% bueno; 5-20% medio; &gt;20% alto</t>
        </is>
      </c>
      <c r="G41" s="58" t="inlineStr">
        <is>
          <t>Bajo</t>
        </is>
      </c>
    </row>
    <row r="42">
      <c r="A42" s="57" t="inlineStr">
        <is>
          <t>5</t>
        </is>
      </c>
      <c r="B42" s="57" t="inlineStr">
        <is>
          <t>Carga ganadera estimada</t>
        </is>
      </c>
      <c r="C42" s="57" t="inlineStr">
        <is>
          <t>UA/ha</t>
        </is>
      </c>
      <c r="D42" s="57" t="inlineStr">
        <is>
          <t>n/d</t>
        </is>
      </c>
      <c r="E42" s="57" t="inlineStr">
        <is>
          <t>Por verificar in situ</t>
        </is>
      </c>
      <c r="F42" s="57" t="inlineStr">
        <is>
          <t>Según tipo de ecosistema</t>
        </is>
      </c>
      <c r="G42" s="57" t="inlineStr">
        <is>
          <t>Bajo</t>
        </is>
      </c>
    </row>
    <row r="43">
      <c r="A43" s="58" t="inlineStr">
        <is>
          <t>6</t>
        </is>
      </c>
      <c r="B43" s="58" t="inlineStr">
        <is>
          <t>Frecuencia de quemas últimos 5 años</t>
        </is>
      </c>
      <c r="C43" s="58" t="inlineStr">
        <is>
          <t>N°</t>
        </is>
      </c>
      <c r="D43" s="58" t="inlineStr">
        <is>
          <t>0</t>
        </is>
      </c>
      <c r="E43" s="58" t="inlineStr">
        <is>
          <t>Sin evidencias visibles + entrevistas pendientes</t>
        </is>
      </c>
      <c r="F43" s="58" t="inlineStr">
        <is>
          <t>0 nulo; 1-2 medio; &gt;2 alto</t>
        </is>
      </c>
      <c r="G43" s="58" t="inlineStr">
        <is>
          <t>Bajo</t>
        </is>
      </c>
    </row>
    <row r="44">
      <c r="A44" s="57" t="inlineStr">
        <is>
          <t>7</t>
        </is>
      </c>
      <c r="B44" s="57" t="inlineStr">
        <is>
          <t>% área con pendiente &gt;50%</t>
        </is>
      </c>
      <c r="C44" s="57" t="inlineStr">
        <is>
          <t>%</t>
        </is>
      </c>
      <c r="D44" s="57" t="inlineStr">
        <is>
          <t>5</t>
        </is>
      </c>
      <c r="E44" s="57" t="inlineStr">
        <is>
          <t>Perfil elevación Google Earth (gabinete)</t>
        </is>
      </c>
      <c r="F44" s="57" t="inlineStr">
        <is>
          <t>Factor de susceptibilidad</t>
        </is>
      </c>
      <c r="G44" s="57" t="inlineStr">
        <is>
          <t>Bajo</t>
        </is>
      </c>
    </row>
    <row r="45">
      <c r="A45" s="58" t="inlineStr">
        <is>
          <t>8</t>
        </is>
      </c>
      <c r="B45" s="58" t="inlineStr">
        <is>
          <t>Distancia a vía vecinal más cercana</t>
        </is>
      </c>
      <c r="C45" s="58" t="inlineStr">
        <is>
          <t>m</t>
        </is>
      </c>
      <c r="D45" s="58" t="inlineStr">
        <is>
          <t>500</t>
        </is>
      </c>
      <c r="E45" s="58" t="inlineStr">
        <is>
          <t>Estimación desde imagen satelital — trocha que llega a CP La Pareja / La Quemazón</t>
        </is>
      </c>
      <c r="F45" s="58" t="inlineStr">
        <is>
          <t>A menor distancia → mayor presión</t>
        </is>
      </c>
      <c r="G45" s="58" t="inlineStr">
        <is>
          <t>Medio</t>
        </is>
      </c>
    </row>
    <row r="47">
      <c r="A47" s="55" t="inlineStr">
        <is>
          <t>F-DT-05 · FUENTES DE AGUA INVENTARIADAS</t>
        </is>
      </c>
    </row>
    <row r="48">
      <c r="A48" s="56" t="inlineStr">
        <is>
          <t>N.o</t>
        </is>
      </c>
      <c r="B48" s="56" t="inlineStr">
        <is>
          <t>Tipo de fuente</t>
        </is>
      </c>
      <c r="C48" s="56" t="inlineStr">
        <is>
          <t>UTM ESTE</t>
        </is>
      </c>
      <c r="D48" s="56" t="inlineStr">
        <is>
          <t>UTM NORTE</t>
        </is>
      </c>
      <c r="E48" s="56" t="inlineStr">
        <is>
          <t>Régimen</t>
        </is>
      </c>
      <c r="F48" s="56" t="inlineStr">
        <is>
          <t>Calidad</t>
        </is>
      </c>
      <c r="G48" s="56" t="inlineStr">
        <is>
          <t>Distancia (m)</t>
        </is>
      </c>
      <c r="H48" s="56" t="inlineStr">
        <is>
          <t>Uso / observación</t>
        </is>
      </c>
    </row>
    <row r="49">
      <c r="A49" s="57" t="inlineStr">
        <is>
          <t>1</t>
        </is>
      </c>
      <c r="B49" s="57" t="inlineStr">
        <is>
          <t>Río</t>
        </is>
      </c>
      <c r="C49" s="62" t="n">
        <v>642300</v>
      </c>
      <c r="D49" s="62" t="n">
        <v>9413400</v>
      </c>
      <c r="E49" s="57" t="inlineStr">
        <is>
          <t>Permanente</t>
        </is>
      </c>
      <c r="F49" s="57" t="inlineStr">
        <is>
          <t>Mala (turbia, con olor o color)</t>
        </is>
      </c>
      <c r="G49" s="63" t="n">
        <v>0</v>
      </c>
      <c r="H49" s="57" t="inlineStr">
        <is>
          <t>Río Bigote, borde sur-oriental del bloque. Crecida observada 07/05/2026 impidió cruce. Cauce amplio con sedimentos aluviales visibles. Régimen torrencial estacional, vadeo seguro generalmente agosto-noviembre.</t>
        </is>
      </c>
    </row>
    <row r="50">
      <c r="A50" s="58" t="inlineStr">
        <is>
          <t>2</t>
        </is>
      </c>
      <c r="B50" s="58" t="inlineStr">
        <is>
          <t>Quebrada estacional</t>
        </is>
      </c>
      <c r="C50" s="64" t="n">
        <v>641900</v>
      </c>
      <c r="D50" s="64" t="n">
        <v>9413900</v>
      </c>
      <c r="E50" s="58" t="inlineStr">
        <is>
          <t>Estacional (lluvias)</t>
        </is>
      </c>
      <c r="F50" s="58" t="inlineStr">
        <is>
          <t>No evaluable</t>
        </is>
      </c>
      <c r="G50" s="65" t="n">
        <v>0</v>
      </c>
      <c r="H50" s="58" t="inlineStr">
        <is>
          <t>Microquebradas de bajo orden que disectan la ladera del cerro, drenando hacia el norte y suroeste. Hondonadas con humedad subsuperficial actúan como corredores de vegetación más densa (refugios vegetales).</t>
        </is>
      </c>
    </row>
    <row r="53">
      <c r="A53" s="55" t="inlineStr">
        <is>
          <t>OBSERVACIONES DEL EVALUADOR POR FICHA</t>
        </is>
      </c>
    </row>
    <row r="54">
      <c r="A54" s="56" t="inlineStr">
        <is>
          <t>Ficha</t>
        </is>
      </c>
      <c r="B54" s="56" t="inlineStr">
        <is>
          <t>Observación registrada en campo</t>
        </is>
      </c>
    </row>
    <row r="55">
      <c r="A55" s="57" t="inlineStr">
        <is>
          <t>F-DT-01</t>
        </is>
      </c>
      <c r="B55" s="57" t="inlineStr">
        <is>
          <t>VERIFICACIÓN PARCIAL — Observación a distancia desde la ribera opuesta del río Bigote (07/05/2026, 12:00 m). Acceso terrestre directo interrumpido por crecida del río Bigote (caudal sobre nivel de vadeo seguro). Hallazgos visuales: cobertura forestal densa y continua, dosel arbóreo cerrado, línea de cumbre íntegra, sin parches visibles de suelo desnudo ni evidencias macroscópicas de degradación reciente. Los indicios de remoción en masa registrados como 'No' corresponden a no observación a distancia y requieren verificación in situ. Se recomienda reprogramar verificación por modalidad alternativa (cabecera de microcuenca, cruce en época seca agosto-octubre 2026, o sobrevuelo RPA). MSAVI promedio zonal del bloque: 0.396 (el más alto entre bloques inspeccionados del corredor).</t>
        </is>
      </c>
    </row>
    <row r="56">
      <c r="A56" s="58" t="inlineStr">
        <is>
          <t>F-DT-02</t>
        </is>
      </c>
      <c r="B56" s="58" t="inlineStr">
        <is>
          <t>La caracterización de procesos erosivos en este bloque corresponde a observación visual a distancia desde la ribera opuesta del río Bigote. No se realizó inventario de cárcavas in situ por restricción de acceso. Los valores reportados reflejan la lectura conjunta del MSAVI promedio del bloque (0.396, el más alto del corredor) y la observación visual de cobertura forestal densa y continua. Se detectó dinámica fluvial activa en el borde sur-oriental (cauce del río Bigote con sedimentos recientes y flujo activo) que sugiere socavamiento de margen relevante para futuras intervenciones de protección de márgenes. REQUIERE VERIFICACIÓN IN SITU con acceso por cabecera de microcuenca o reprogramación en época seca avanzada (agosto-octubre 2026).</t>
        </is>
      </c>
    </row>
    <row r="57">
      <c r="A57" s="57" t="inlineStr">
        <is>
          <t>F-DT-03</t>
        </is>
      </c>
      <c r="B57" s="57" t="inlineStr">
        <is>
          <t>Caracterización ecológica realizada por OBSERVACIÓN VISUAL A DISTANCIA desde la ribera opuesta del río Bigote (07/05/2026). Hallazgos visuales: cobertura forestal densa y continua, estructura vertical multiestrato con árboles emergentes sobre dosel cerrado, sugiriendo bosque seco maduro o en estado avanzado de regeneración natural. Coloración general verde intenso con tonalidades verde-amarillentas en parte baja (transición seca de mayo). NO se realizó inventario florístico ni medición de DAP/altura por restricción de acceso terrestre. La reclasificación preliminar del estado de conservación (de 'degradación moderada-significativa' del modelamiento gabinete a 'conservación aparentemente favorable') es PRELIMINAR y requiere confirmación in situ. MSAVI promedio zonal: 0.396 (el más alto del corredor). Especies probables para enriquecimiento (referencial, no observadas): Loxopterygium huasango, Bursera graveolens, Caesalpinia spinosa, Capparis scabrida, Prosopis pallida. Reprogramar inventario in situ con acceso por cabecera de microcuenca (Modalidad A) o en época seca avanzada (Modalidad B, agosto-octubre 2026).</t>
        </is>
      </c>
    </row>
    <row r="58">
      <c r="A58" s="58" t="inlineStr">
        <is>
          <t>F-DT-04</t>
        </is>
      </c>
      <c r="B58" s="58" t="inlineStr">
        <is>
          <t>Caracterización basada en VERIFICACIÓN PARCIAL (observación a distancia, 07/05/2026). Bloque reclasificado preliminarmente de 'degradación moderada a significativa' (modelamiento gabinete) a 'CONSERVACIÓN APARENTEMENTE FAVORABLE' (verificación visual de campo). Potencial de recuperación / consolidación: ALTO. La intervención se orienta a protección, enriquecimiento puntual y consolidación de núcleos existentes, NO a restauración masiva. Reclasificación PRELIMINAR — requiere confirmación in situ.</t>
        </is>
      </c>
    </row>
    <row r="59">
      <c r="A59" s="57" t="inlineStr">
        <is>
          <t>F-DT-05</t>
        </is>
      </c>
      <c r="B59" s="57" t="inlineStr">
        <is>
          <t>La verificación de campo del 07/05/2026 evidenció que el ACCESO TERRESTRE DIRECTO al polígono está condicionado al régimen hidrológico del río Bigote. La ruta convencional vía CP La Quemazón / La Pareja exige cruce del cauce o de uno de sus brazos, imposibilitado por crecida estacional. Consulta a pobladores del CP La Pareja confirmó que el cruce solo es viable bajo condiciones hidrológicas favorables, típicamente entre agosto y noviembre. MODALIDADES ALTERNATIVAS RECOMENDADAS: (A) Acceso por cabecera de microcuenca desde caseríos Barrios Bajo Morropón / Palo Negro (caminata 2-4 h); (B) Reprogramación para agosto-octubre 2026 con vadeo seguro; (C) Sobrevuelo fotogramétrico con dron RPA categoría I. Estrategia recomendada: combinar A+C en mayo-julio 2026 y B en agosto-octubre 2026. RESOLUCIÓN DEL ACCESO OPERATIVO es insumo crítico para todas las fases posteriores del Proyecto IN Piura en este bloque.</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M11B3</t>
        </is>
      </c>
    </row>
    <row r="7">
      <c r="A7" s="55" t="inlineStr">
        <is>
          <t>Hechos declarados por fuente</t>
        </is>
      </c>
    </row>
    <row r="8">
      <c r="A8" s="56" t="inlineStr">
        <is>
          <t>Fuente</t>
        </is>
      </c>
      <c r="B8" s="56" t="inlineStr">
        <is>
          <t>Hechos</t>
        </is>
      </c>
    </row>
    <row r="9">
      <c r="A9" s="57" t="inlineStr">
        <is>
          <t>Dato de campo</t>
        </is>
      </c>
      <c r="B9" s="57" t="n">
        <v>55</v>
      </c>
    </row>
    <row r="10">
      <c r="A10" s="58" t="inlineStr">
        <is>
          <t>Gabinete (GIS / teledetección)</t>
        </is>
      </c>
      <c r="B10" s="58" t="n">
        <v>25</v>
      </c>
    </row>
    <row r="11">
      <c r="A11" s="57" t="inlineStr">
        <is>
          <t>Fuente oficial</t>
        </is>
      </c>
      <c r="B11" s="57" t="n">
        <v>14</v>
      </c>
    </row>
    <row r="26">
      <c r="A26" s="55" t="inlineStr">
        <is>
          <t>Estado del cruce entre fuentes</t>
        </is>
      </c>
    </row>
    <row r="27">
      <c r="A27" s="56" t="inlineStr">
        <is>
          <t>Estado</t>
        </is>
      </c>
      <c r="B27" s="56" t="inlineStr">
        <is>
          <t>Hechos</t>
        </is>
      </c>
    </row>
    <row r="28">
      <c r="A28" s="57" t="inlineStr">
        <is>
          <t>CONFORME</t>
        </is>
      </c>
      <c r="B28" s="57" t="n">
        <v>90</v>
      </c>
    </row>
    <row r="29">
      <c r="A29" s="58" t="inlineStr">
        <is>
          <t>COMPLEMENTADO</t>
        </is>
      </c>
      <c r="B29" s="58" t="n">
        <v>2</v>
      </c>
    </row>
    <row r="30">
      <c r="A30" s="57" t="inlineStr">
        <is>
          <t>ACTUALIZADO</t>
        </is>
      </c>
      <c r="B30" s="57" t="n">
        <v>2</v>
      </c>
    </row>
    <row r="31">
      <c r="A31" s="58" t="inlineStr">
        <is>
          <t>DISCREPANTE</t>
        </is>
      </c>
      <c r="B31" s="58" t="n">
        <v>0</v>
      </c>
    </row>
    <row r="32">
      <c r="A32" s="57" t="inlineStr">
        <is>
          <t>PENDIENTE</t>
        </is>
      </c>
      <c r="B32" s="57" t="n">
        <v>20</v>
      </c>
    </row>
    <row r="45">
      <c r="A45" s="55" t="inlineStr">
        <is>
          <t>Cobertura por estrato — campo (%)</t>
        </is>
      </c>
    </row>
    <row r="46">
      <c r="A46" s="56" t="inlineStr">
        <is>
          <t>Estrato</t>
        </is>
      </c>
      <c r="B46" s="56" t="inlineStr">
        <is>
          <t>% del área</t>
        </is>
      </c>
    </row>
    <row r="47">
      <c r="A47" s="57" t="inlineStr">
        <is>
          <t>Dosel</t>
        </is>
      </c>
      <c r="B47" s="62" t="n">
        <v>65</v>
      </c>
    </row>
    <row r="48">
      <c r="A48" s="58" t="inlineStr">
        <is>
          <t>Arbustiva</t>
        </is>
      </c>
      <c r="B48" s="64" t="n">
        <v>20</v>
      </c>
    </row>
    <row r="49">
      <c r="A49" s="57" t="inlineStr">
        <is>
          <t>Herbácea</t>
        </is>
      </c>
      <c r="B49" s="62" t="n">
        <v>10</v>
      </c>
    </row>
    <row r="50">
      <c r="A50" s="58" t="inlineStr">
        <is>
          <t>Suelo desnudo</t>
        </is>
      </c>
      <c r="B50" s="65" t="n">
        <v>5</v>
      </c>
    </row>
    <row r="64">
      <c r="A64" s="55" t="inlineStr">
        <is>
          <t>Causas activas de degradación (F-DT-04)</t>
        </is>
      </c>
    </row>
    <row r="65">
      <c r="A65" s="56" t="inlineStr">
        <is>
          <t>Causa</t>
        </is>
      </c>
      <c r="B65" s="56" t="inlineStr">
        <is>
          <t>Intensidad (1 ligera - 4 muy fuerte)</t>
        </is>
      </c>
    </row>
    <row r="66">
      <c r="A66" s="57" t="inlineStr">
        <is>
          <t>Dinámica fluvial activa (río Bigote)</t>
        </is>
      </c>
      <c r="B66" s="57" t="n">
        <v>2</v>
      </c>
    </row>
    <row r="67">
      <c r="A67" s="58" t="inlineStr">
        <is>
          <t>Sequía prolongada / CC</t>
        </is>
      </c>
      <c r="B67" s="58" t="n">
        <v>2</v>
      </c>
    </row>
    <row r="68">
      <c r="A68" s="57" t="inlineStr">
        <is>
          <t>Erosión natural severa</t>
        </is>
      </c>
      <c r="B68" s="57" t="n">
        <v>1</v>
      </c>
    </row>
    <row r="83">
      <c r="A83" s="55" t="inlineStr">
        <is>
          <t>Control de consistencia por calificación</t>
        </is>
      </c>
    </row>
    <row r="84">
      <c r="A84" s="56" t="inlineStr">
        <is>
          <t>Calificación</t>
        </is>
      </c>
      <c r="B84" s="56" t="inlineStr">
        <is>
          <t>Verificaciones</t>
        </is>
      </c>
    </row>
    <row r="85">
      <c r="A85" s="57" t="inlineStr">
        <is>
          <t>SUSTANTIVA</t>
        </is>
      </c>
      <c r="B85" s="57" t="n">
        <v>7</v>
      </c>
    </row>
    <row r="86">
      <c r="A86" s="58" t="inlineStr">
        <is>
          <t>NO SUSTANTIVA</t>
        </is>
      </c>
      <c r="B86" s="58" t="n">
        <v>3</v>
      </c>
    </row>
    <row r="87">
      <c r="A87" s="57" t="inlineStr">
        <is>
          <t>CORREGIDO</t>
        </is>
      </c>
      <c r="B87" s="57" t="n">
        <v>3</v>
      </c>
    </row>
    <row r="88">
      <c r="A88" s="58" t="inlineStr">
        <is>
          <t>CONFORME</t>
        </is>
      </c>
      <c r="B88"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M11B3 — IN Piura</dc:title>
  <dc:subject>Diagnóstico Territorial por bloque de intervención</dc:subject>
  <dcterms:created xsi:type="dcterms:W3CDTF">2026-09-08T03:39:57Z</dcterms:created>
  <dcterms:modified xsi:type="dcterms:W3CDTF">2026-09-11T21:26:32Z</dcterms:modified>
</cp:coreProperties>
</file>