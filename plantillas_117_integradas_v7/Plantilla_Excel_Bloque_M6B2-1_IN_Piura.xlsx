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integración'!$A$53:$A$55</f>
            </numRef>
          </cat>
          <val>
            <numRef>
              <f>'Gráficos de integración'!$B$53:$B$55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integración'!B73</f>
            </strRef>
          </tx>
          <spPr>
            <a:ln>
              <a:prstDash val="solid"/>
            </a:ln>
          </spPr>
          <cat>
            <numRef>
              <f>'Gráficos de integración'!$A$74:$A$77</f>
            </numRef>
          </cat>
          <val>
            <numRef>
              <f>'Gráficos de integración'!$B$74:$B$77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72</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M6B2-1</t>
        </is>
      </c>
    </row>
    <row r="6" ht="24" customHeight="1">
      <c r="A6" s="4" t="inlineStr">
        <is>
          <t>Diagnóstico Territorial — Plantilla DT Campo Check Validada V5 | Sistema de referencia: UTM WGS 84 Zona 17S (EPSG:32717) · Integrado con la ficha de campo F-DT vigente (FDT_M6B2-1_Diagnostico_Territorial_V5.xlsx) — V7 - resumen V6 + campo F-DT integrado</t>
        </is>
      </c>
    </row>
    <row r="7"/>
    <row r="8" ht="18" customHeight="1">
      <c r="A8" s="5" t="inlineStr">
        <is>
          <t>1. IDENTIFICACIÓN Y LOCALIZACIÓN</t>
        </is>
      </c>
    </row>
    <row r="9">
      <c r="A9" s="6" t="inlineStr">
        <is>
          <t>Código del bloque</t>
        </is>
      </c>
      <c r="B9" s="7" t="inlineStr">
        <is>
          <t>M6B2-1</t>
        </is>
      </c>
      <c r="C9" s="6" t="inlineStr">
        <is>
          <t>Microcuenca (catálogo)</t>
        </is>
      </c>
      <c r="D9" s="7" t="inlineStr">
        <is>
          <t>C1077-Q9566</t>
        </is>
      </c>
      <c r="E9" s="8" t="n"/>
      <c r="F9" s="8" t="n"/>
    </row>
    <row r="10">
      <c r="A10" s="6" t="inlineStr">
        <is>
          <t>Zona de planificación</t>
        </is>
      </c>
      <c r="B10" s="7" t="inlineStr">
        <is>
          <t>Z06</t>
        </is>
      </c>
      <c r="C10" s="6" t="inlineStr">
        <is>
          <t>Microcuenca declarada en ficha DT</t>
        </is>
      </c>
      <c r="D10" s="7" t="inlineStr">
        <is>
          <t>C1077-Q9566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Buenos Aires</t>
        </is>
      </c>
      <c r="C12" s="6" t="inlineStr">
        <is>
          <t>Capital distrital</t>
        </is>
      </c>
      <c r="D12" s="7" t="inlineStr">
        <is>
          <t>Buenos Aires</t>
        </is>
      </c>
      <c r="E12" s="8" t="n"/>
      <c r="F12" s="8" t="n"/>
    </row>
    <row r="13">
      <c r="A13" s="6" t="inlineStr">
        <is>
          <t>Centro poblado asociado</t>
        </is>
      </c>
      <c r="B13" s="7" t="inlineStr">
        <is>
          <t>Buenos Aires</t>
        </is>
      </c>
      <c r="C13" s="6" t="inlineStr">
        <is>
          <t>Comunidad campesina</t>
        </is>
      </c>
      <c r="D13" s="50" t="inlineStr">
        <is>
          <t>No consignada</t>
        </is>
      </c>
      <c r="E13" s="8" t="n"/>
      <c r="F13" s="8" t="n"/>
    </row>
    <row r="14">
      <c r="A14" s="6" t="inlineStr">
        <is>
          <t>Superficie de catálogo (V5/V6), ha</t>
        </is>
      </c>
      <c r="B14" s="7" t="n">
        <v>514.36</v>
      </c>
      <c r="C14" s="6" t="inlineStr">
        <is>
          <t>Fuente de superficie</t>
        </is>
      </c>
      <c r="D14" s="7" t="inlineStr">
        <is>
          <t>Catálogo maestro Bloques V5/V6</t>
        </is>
      </c>
      <c r="E14" s="8" t="n"/>
      <c r="F14" s="8" t="n"/>
    </row>
    <row r="15">
      <c r="A15" s="6" t="inlineStr">
        <is>
          <t>Centroide UTM ESTE (m)</t>
        </is>
      </c>
      <c r="B15" s="7" t="n">
        <v>612864</v>
      </c>
      <c r="C15" s="6" t="inlineStr">
        <is>
          <t>Centroide UTM NORTE (m)</t>
        </is>
      </c>
      <c r="D15" s="7" t="n">
        <v>9413345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181</v>
      </c>
      <c r="C19" s="6" t="inlineStr">
        <is>
          <t>Altitud máxima (msnm)</t>
        </is>
      </c>
      <c r="D19" s="7" t="n">
        <v>504</v>
      </c>
      <c r="E19" s="8" t="n"/>
      <c r="F19" s="8" t="n"/>
    </row>
    <row r="20">
      <c r="A20" s="6" t="inlineStr">
        <is>
          <t>Amplitud altitudinal (m)</t>
        </is>
      </c>
      <c r="B20" s="7" t="n">
        <v>323</v>
      </c>
      <c r="C20" s="6" t="inlineStr">
        <is>
          <t>Piso altitudinal dominante</t>
        </is>
      </c>
      <c r="D20" s="7" t="inlineStr">
        <is>
          <t>&lt;1000 m (Yunga)</t>
        </is>
      </c>
      <c r="E20" s="8" t="n"/>
      <c r="F20" s="8" t="n"/>
    </row>
    <row r="21">
      <c r="A21" s="6" t="inlineStr">
        <is>
          <t>Pendiente promedio (%)</t>
        </is>
      </c>
      <c r="B21" s="7" t="n">
        <v>16.84</v>
      </c>
      <c r="C21" s="6" t="inlineStr">
        <is>
          <t>Pendiente promedio (grados)</t>
        </is>
      </c>
      <c r="D21" s="7" t="n">
        <v>9.6</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0.3381</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(60.21 %)</t>
        </is>
      </c>
      <c r="E29" s="8" t="n"/>
      <c r="F29" s="8" t="n"/>
    </row>
    <row r="30">
      <c r="A30" s="6" t="inlineStr">
        <is>
          <t>Superficie clasificada NDVI 2025 (ha)</t>
        </is>
      </c>
      <c r="B30" s="7" t="n">
        <v>514.6079999999999</v>
      </c>
      <c r="C30" s="6" t="inlineStr">
        <is>
          <t>Desviación frente al catálogo (%)</t>
        </is>
      </c>
      <c r="D30" s="7" t="n">
        <v>0.05</v>
      </c>
      <c r="E30" s="8" t="n"/>
      <c r="F30" s="8" t="n"/>
    </row>
    <row r="31">
      <c r="A31" s="6" t="inlineStr">
        <is>
          <t>Superficie clasificada MSAVI 2024 (ha)</t>
        </is>
      </c>
      <c r="B31" s="38" t="n">
        <v>514.359</v>
      </c>
      <c r="C31" s="6" t="inlineStr">
        <is>
          <t>Desviación MSAVI frente al catálogo (%)</t>
        </is>
      </c>
      <c r="D31" s="39" t="n">
        <v>0</v>
      </c>
      <c r="E31" s="8" t="n"/>
      <c r="F31" s="8" t="n"/>
    </row>
    <row r="32">
      <c r="A32" s="6" t="inlineStr">
        <is>
          <t>Superficie bajo umbral MSAVI 0.4976 (ha)</t>
        </is>
      </c>
      <c r="B32" s="38" t="n">
        <v>509.148</v>
      </c>
      <c r="C32" s="6" t="inlineStr">
        <is>
          <t>% del bloque bajo umbral (brecha espectral)</t>
        </is>
      </c>
      <c r="D32" s="39" t="n">
        <v>98.98999999999999</v>
      </c>
      <c r="E32" s="8" t="n"/>
      <c r="F32" s="8" t="n"/>
    </row>
    <row r="33">
      <c r="A33" s="6" t="inlineStr">
        <is>
          <t>Clase DN dominante (MSAVI 2024)</t>
        </is>
      </c>
      <c r="B33" s="7" t="inlineStr">
        <is>
          <t>DN 2 · 0.2650 - 0.3813 (Vigor muy bajo)</t>
        </is>
      </c>
      <c r="C33" s="6" t="inlineStr">
        <is>
          <t>N.° de polígonos MSAVI del bloque</t>
        </is>
      </c>
      <c r="D33" s="40" t="n">
        <v>1232</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514.36 ha (100% del bloque)</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Bosque denso (&gt;70%)</t>
        </is>
      </c>
      <c r="C38" s="6" t="inlineStr">
        <is>
          <t>Cobertura vegetal total — campo (%)</t>
        </is>
      </c>
      <c r="D38" s="7" t="inlineStr">
        <is>
          <t>Por verificar</t>
        </is>
      </c>
      <c r="E38" s="8" t="n"/>
      <c r="F38" s="8" t="n"/>
    </row>
    <row r="39">
      <c r="A39" s="6" t="inlineStr">
        <is>
          <t>Suelo desnudo — campo (%)</t>
        </is>
      </c>
      <c r="B39" s="7" t="n">
        <v>15</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11</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50" t="inlineStr">
        <is>
          <t>Ing. Juan Dominguez</t>
        </is>
      </c>
      <c r="C44" s="6" t="inlineStr">
        <is>
          <t>Fecha de evaluación</t>
        </is>
      </c>
      <c r="D44" s="7" t="inlineStr">
        <is>
          <t>2026-05-18</t>
        </is>
      </c>
      <c r="E44" s="8" t="n"/>
      <c r="F44" s="8" t="n"/>
    </row>
    <row r="45">
      <c r="A45" s="6" t="inlineStr">
        <is>
          <t>Hora de registro</t>
        </is>
      </c>
      <c r="B45" s="50" t="inlineStr">
        <is>
          <t>14:00 - 14:15</t>
        </is>
      </c>
      <c r="C45" s="6" t="inlineStr">
        <is>
          <t>Correlativo de ficha</t>
        </is>
      </c>
      <c r="D45" s="7" t="inlineStr">
        <is>
          <t>Por determinar</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P-01 (transecto 50 × 4 m)</t>
        </is>
      </c>
      <c r="E47" s="8" t="n"/>
      <c r="F47" s="8" t="n"/>
    </row>
    <row r="48">
      <c r="A48" s="6" t="inlineStr">
        <is>
          <t>Estaciones fotográficas georreferenciadas</t>
        </is>
      </c>
      <c r="B48" s="7" t="n">
        <v>0</v>
      </c>
      <c r="C48" s="6" t="inlineStr">
        <is>
          <t>Modalidad de acceso</t>
        </is>
      </c>
      <c r="D48" s="50"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Pastoreo de ganado caprino</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Baja</t>
        </is>
      </c>
      <c r="E52" s="8" t="n"/>
      <c r="F52" s="8" t="n"/>
    </row>
    <row r="53">
      <c r="A53" s="6" t="inlineStr">
        <is>
          <t>Urgencia de control de erosión</t>
        </is>
      </c>
      <c r="B53" s="7" t="inlineStr">
        <is>
          <t>Baja</t>
        </is>
      </c>
      <c r="C53" s="6" t="inlineStr">
        <is>
          <t>Zona de recarga hídrica</t>
        </is>
      </c>
      <c r="D53" s="50" t="inlineStr">
        <is>
          <t>Sin registro en ficha</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M6B2-1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0.1485</v>
      </c>
      <c r="C10" s="19">
        <f>ROUND(B10/$B$15*100,2)</f>
        <v/>
      </c>
      <c r="D10" s="11" t="inlineStr">
        <is>
          <t>Vigor alto</t>
        </is>
      </c>
      <c r="E10" s="11" t="inlineStr">
        <is>
          <t>Sobre umbral</t>
        </is>
      </c>
    </row>
    <row r="11">
      <c r="A11" s="12" t="inlineStr">
        <is>
          <t>0.4976 - 0.6139 · DN 4</t>
        </is>
      </c>
      <c r="B11" s="20" t="n">
        <v>5.0625</v>
      </c>
      <c r="C11" s="21">
        <f>ROUND(B11/$B$15*100,2)</f>
        <v/>
      </c>
      <c r="D11" s="13" t="inlineStr">
        <is>
          <t>Vigor moderado</t>
        </is>
      </c>
      <c r="E11" s="13" t="inlineStr">
        <is>
          <t>Sobre umbral</t>
        </is>
      </c>
    </row>
    <row r="12">
      <c r="A12" s="7" t="inlineStr">
        <is>
          <t>0.3813 - 0.4976 · DN 3</t>
        </is>
      </c>
      <c r="B12" s="18" t="n">
        <v>117.0072</v>
      </c>
      <c r="C12" s="19">
        <f>ROUND(B12/$B$15*100,2)</f>
        <v/>
      </c>
      <c r="D12" s="11" t="inlineStr">
        <is>
          <t>Vigor bajo</t>
        </is>
      </c>
      <c r="E12" s="11" t="inlineStr">
        <is>
          <t>BAJO umbral 0.4976</t>
        </is>
      </c>
    </row>
    <row r="13">
      <c r="A13" s="14" t="inlineStr">
        <is>
          <t>0.2650 - 0.3813 · DN 2</t>
        </is>
      </c>
      <c r="B13" s="29" t="n">
        <v>328.7026</v>
      </c>
      <c r="C13" s="28">
        <f>ROUND(B13/$B$15*100,2)</f>
        <v/>
      </c>
      <c r="D13" s="15" t="inlineStr">
        <is>
          <t>Vigor muy bajo</t>
        </is>
      </c>
      <c r="E13" s="15" t="inlineStr">
        <is>
          <t>BAJO umbral 0.4976</t>
        </is>
      </c>
    </row>
    <row r="14">
      <c r="A14" s="7" t="inlineStr">
        <is>
          <t>&lt;= 0.2650 · DN 1</t>
        </is>
      </c>
      <c r="B14" s="18" t="n">
        <v>63.4381</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1 232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514.36</v>
      </c>
      <c r="C18" s="49" t="inlineStr">
        <is>
          <t>—</t>
        </is>
      </c>
      <c r="D18" s="46" t="inlineStr">
        <is>
          <t>Desviación planimétrica frente al catálogo</t>
        </is>
      </c>
      <c r="E18" s="46" t="inlineStr">
        <is>
          <t>+0.00 %</t>
        </is>
      </c>
    </row>
    <row r="19">
      <c r="A19" s="16" t="inlineStr">
        <is>
          <t>MSAVI 2024 — MEDIA DEL BLOQUE</t>
        </is>
      </c>
      <c r="B19" s="17" t="n">
        <v>0.3381</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1 232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(0.3381)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5.036</v>
      </c>
      <c r="C25" s="19" t="n">
        <v>0.98</v>
      </c>
      <c r="D25" s="11" t="inlineStr">
        <is>
          <t>Dosel continuo, matorral denso o mosaico agroforestal</t>
        </is>
      </c>
      <c r="E25" s="11" t="inlineStr"/>
    </row>
    <row r="26">
      <c r="A26" s="12" t="inlineStr">
        <is>
          <t>Vegetación mediana</t>
        </is>
      </c>
      <c r="B26" s="20" t="n">
        <v>195.4763</v>
      </c>
      <c r="C26" s="21" t="n">
        <v>37.99</v>
      </c>
      <c r="D26" s="13" t="inlineStr">
        <is>
          <t>Pastizal cultivado, matorral ralo, parcelas agrícolas</t>
        </is>
      </c>
      <c r="E26" s="13" t="inlineStr"/>
    </row>
    <row r="27">
      <c r="A27" s="7" t="inlineStr">
        <is>
          <t>Vegetación ligera</t>
        </is>
      </c>
      <c r="B27" s="18" t="n">
        <v>309.8212</v>
      </c>
      <c r="C27" s="19" t="n">
        <v>60.21</v>
      </c>
      <c r="D27" s="11" t="inlineStr">
        <is>
          <t>Cobertura discontinua, suelo parcialmente expuesto</t>
        </is>
      </c>
      <c r="E27" s="11" t="inlineStr"/>
    </row>
    <row r="28">
      <c r="A28" s="12" t="inlineStr">
        <is>
          <t>Tierra desnuda</t>
        </is>
      </c>
      <c r="B28" s="20" t="n">
        <v>4.2744</v>
      </c>
      <c r="C28" s="21" t="n">
        <v>0.83</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514.36</v>
      </c>
      <c r="C30" s="25" t="inlineStr">
        <is>
          <t>—</t>
        </is>
      </c>
      <c r="D30" s="25" t="inlineStr">
        <is>
          <t>Desviación planimétrica frente al catálogo</t>
        </is>
      </c>
      <c r="E30" s="25" t="inlineStr">
        <is>
          <t>+0.05 %</t>
        </is>
      </c>
    </row>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M6B2-1</t>
        </is>
      </c>
    </row>
    <row r="6" ht="24" customHeight="1">
      <c r="A6" s="4" t="inlineStr">
        <is>
          <t>Levantamiento del 2026-05-18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615428</v>
      </c>
      <c r="D10" s="26" t="n">
        <v>9416185</v>
      </c>
      <c r="E10" s="11" t="n">
        <v>3826.2</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612864</v>
      </c>
      <c r="C13" s="6" t="inlineStr">
        <is>
          <t>Centroide del bloque — UTM NORTE (m)</t>
        </is>
      </c>
      <c r="D13" s="7" t="n">
        <v>9413345</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20"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 MOMENTO DE LA EVALUACIÓN LA ACCESIBILIDAD AL BLOQUE ERA LIMITADA POR LA PRESENCIA DE TERRENOS DE CULTIVOS Y POTREROS DE PROPIETARIOS PRIVADOS. NO SE PUDO ACCEDER AL INTERIOR DEL BLOQUE. [Normalización para validación: el rango altitudinal 200-400 msnm reportado en campo se clasifica como «&lt;1000 m (Yunga)» según lst_RangoAltitud — verificar con el Ing. Cahuas.] ATENCIÓN: el punto de registro (615 428 E · 9 416 185 N) dista ≈3.8 km al NE del centroide de catálogo (612 864 E · 9 413 340 N).</t>
        </is>
      </c>
      <c r="B16" s="41" t="n"/>
      <c r="C16" s="41" t="n"/>
      <c r="D16" s="41" t="n"/>
      <c r="E16" s="41" t="n"/>
      <c r="F16" s="41" t="n"/>
      <c r="G16" s="42"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C1077-Q9566 — BLOQUE M6B2-1</t>
        </is>
      </c>
    </row>
    <row r="6" ht="24" customHeight="1">
      <c r="A6" s="4" t="inlineStr">
        <is>
          <t>Distrito de Buenos Aires · Provincia de Morropon · Comparación de los bloques preliminares de intervención de la misma microcuenca</t>
        </is>
      </c>
    </row>
    <row r="8" ht="18" customHeight="1">
      <c r="A8" s="5" t="inlineStr">
        <is>
          <t>BLOQUES DE LA MICROCUENCA C1077-Q9566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M6B2-1</t>
        </is>
      </c>
      <c r="B10" s="27" t="n">
        <v>514.36</v>
      </c>
      <c r="C10" s="28" t="n">
        <v>33.1</v>
      </c>
      <c r="D10" s="15" t="inlineStr">
        <is>
          <t>181 – 504</t>
        </is>
      </c>
      <c r="E10" s="15" t="n">
        <v>323</v>
      </c>
      <c r="F10" s="15" t="n">
        <v>16.84</v>
      </c>
      <c r="G10" s="29" t="n">
        <v>0.3381</v>
      </c>
      <c r="H10" s="28" t="n">
        <v>0.98</v>
      </c>
      <c r="I10" s="28" t="n">
        <v>98.98999999999999</v>
      </c>
    </row>
    <row r="11">
      <c r="A11" s="12" t="inlineStr">
        <is>
          <t>M6B2-2</t>
        </is>
      </c>
      <c r="B11" s="30" t="n">
        <v>333.01</v>
      </c>
      <c r="C11" s="21" t="n">
        <v>21.43</v>
      </c>
      <c r="D11" s="13" t="inlineStr">
        <is>
          <t>195 – 440</t>
        </is>
      </c>
      <c r="E11" s="13" t="n">
        <v>245</v>
      </c>
      <c r="F11" s="13" t="n">
        <v>14.33</v>
      </c>
      <c r="G11" s="20" t="n">
        <v>0.3026</v>
      </c>
      <c r="H11" s="21" t="n">
        <v>0.68</v>
      </c>
      <c r="I11" s="21" t="n">
        <v>99</v>
      </c>
    </row>
    <row r="12">
      <c r="A12" s="7" t="inlineStr">
        <is>
          <t>5</t>
        </is>
      </c>
      <c r="B12" s="31" t="n">
        <v>295.73</v>
      </c>
      <c r="C12" s="19" t="n">
        <v>19.03</v>
      </c>
      <c r="D12" s="11" t="inlineStr">
        <is>
          <t>150 – 377</t>
        </is>
      </c>
      <c r="E12" s="11" t="n">
        <v>227</v>
      </c>
      <c r="F12" s="11" t="n">
        <v>18.57</v>
      </c>
      <c r="G12" s="18" t="n">
        <v>0.3394</v>
      </c>
      <c r="H12" s="19" t="n">
        <v>5.59</v>
      </c>
      <c r="I12" s="19" t="n">
        <v>99.84999999999999</v>
      </c>
    </row>
    <row r="13">
      <c r="A13" s="12" t="inlineStr">
        <is>
          <t>M6B10</t>
        </is>
      </c>
      <c r="B13" s="30" t="n">
        <v>249.89</v>
      </c>
      <c r="C13" s="21" t="n">
        <v>16.08</v>
      </c>
      <c r="D13" s="13" t="inlineStr">
        <is>
          <t>158 – 537</t>
        </is>
      </c>
      <c r="E13" s="13" t="n">
        <v>379</v>
      </c>
      <c r="F13" s="13" t="n">
        <v>20.6</v>
      </c>
      <c r="G13" s="20" t="n">
        <v>0.3099</v>
      </c>
      <c r="H13" s="21" t="n">
        <v>0.08</v>
      </c>
      <c r="I13" s="21" t="n">
        <v>99.83</v>
      </c>
    </row>
    <row r="14">
      <c r="A14" s="7" t="inlineStr">
        <is>
          <t>M6B2-3</t>
        </is>
      </c>
      <c r="B14" s="31" t="n">
        <v>160.98</v>
      </c>
      <c r="C14" s="19" t="n">
        <v>10.36</v>
      </c>
      <c r="D14" s="11" t="inlineStr">
        <is>
          <t>166 – 557</t>
        </is>
      </c>
      <c r="E14" s="11" t="n">
        <v>391</v>
      </c>
      <c r="F14" s="11" t="n">
        <v>19.78</v>
      </c>
      <c r="G14" s="18" t="n">
        <v>0.4063</v>
      </c>
      <c r="H14" s="19" t="n">
        <v>4.92</v>
      </c>
      <c r="I14" s="19" t="n">
        <v>90.48999999999999</v>
      </c>
    </row>
    <row r="15">
      <c r="A15" s="16" t="inlineStr">
        <is>
          <t>TOTAL / PROMEDIO</t>
        </is>
      </c>
      <c r="B15" s="32">
        <f>SUM(B10:B14)</f>
        <v/>
      </c>
      <c r="C15" s="23">
        <f>SUM(C10:C14)</f>
        <v/>
      </c>
      <c r="D15" s="17" t="inlineStr">
        <is>
          <t>150 – 557</t>
        </is>
      </c>
      <c r="E15" s="17" t="inlineStr"/>
      <c r="F15" s="17">
        <f>ROUND(AVERAGE(F10:F14),2)</f>
        <v/>
      </c>
      <c r="G15" s="22">
        <f>ROUND(AVERAGE(G10:G14),4)</f>
        <v/>
      </c>
      <c r="H15" s="23">
        <f>ROUND(AVERAGE(H10:H14),2)</f>
        <v/>
      </c>
      <c r="I15" s="23">
        <f>ROUND(AVERAGE(I10:I14),2)</f>
        <v/>
      </c>
    </row>
    <row r="17" ht="84" customHeight="1">
      <c r="A17" s="9" t="inlineStr">
        <is>
          <t>LECTURA INTRAMICROCUENCA. El bloque M6B2-1 ocupa el puesto 1 de 5 por superficie dentro de la microcuenca C1077-Q9566 (33.10 % de las 1553.97 ha preliminares de la microcuenca). Su pendiente promedio (16.84 %, clase «15-25% (Fuert. inclinado)») es la 2.ª más baja de 5 y se sitúa por debajo del promedio de la microcuenca (18.02 %). Su MSAVI 2024 (0.3381) es el 3.º de 5 y queda por debajo del promedio local (0.3393). Amplitud altitudinal del bloque: 323 m (181–504 msnm). El cuadro conserva todos los bloques catalogados en la microcuenca, incluidos los descartados en el tamizaje, para referencia del conjunto. Los bloques sin ficha DT figuran con sus parámetros de gabinete. BRECHA ESPECTRAL. El 98.99 % de la superficie del bloque (509.148 ha de 514.359 ha) se sitúa bajo el umbral MSAVI 0.4976, por encima del promedio local de la microcuenca (97.63 %) calculado sobre los bloques con dato MSAVI disponible.</t>
        </is>
      </c>
      <c r="B17" s="41" t="n"/>
      <c r="C17" s="41" t="n"/>
      <c r="D17" s="41" t="n"/>
      <c r="E17" s="41" t="n"/>
      <c r="F17" s="41" t="n"/>
      <c r="G17" s="41" t="n"/>
      <c r="H17" s="41" t="n"/>
      <c r="I17" s="42" t="n"/>
    </row>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9" s="41" t="n"/>
      <c r="C19" s="41" t="n"/>
      <c r="D19" s="41" t="n"/>
      <c r="E19" s="41" t="n"/>
      <c r="F19" s="41" t="n"/>
      <c r="G19" s="41" t="n"/>
      <c r="H19" s="41" t="n"/>
      <c r="I19" s="42" t="n"/>
    </row>
  </sheetData>
  <mergeCells count="9">
    <mergeCell ref="A19:I19"/>
    <mergeCell ref="A2:I2"/>
    <mergeCell ref="A5:I5"/>
    <mergeCell ref="A1:I1"/>
    <mergeCell ref="A17:I17"/>
    <mergeCell ref="A8:I8"/>
    <mergeCell ref="A3:I3"/>
    <mergeCell ref="A6:I6"/>
    <mergeCell ref="A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M6B2-1</t>
        </is>
      </c>
    </row>
    <row r="6">
      <c r="A6" s="52" t="inlineStr">
        <is>
          <t>Cruce de la ficha de campo F-DT vigente con la ficha de resumen de gabinete y el catálogo maestro. Integración 2026-09-11 20:22:39.</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«C1077-Q9566».</t>
        </is>
      </c>
      <c r="D9" s="56" t="inlineStr">
        <is>
          <t>CONFORME</t>
        </is>
      </c>
      <c r="E9" s="56" t="inlineStr">
        <is>
          <t>Sin acción.</t>
        </is>
      </c>
    </row>
    <row r="10">
      <c r="A10" s="57" t="inlineStr">
        <is>
          <t>G-02</t>
        </is>
      </c>
      <c r="B10" s="57" t="inlineStr">
        <is>
          <t>UTM del punto de muestreo</t>
        </is>
      </c>
      <c r="C10" s="57" t="inlineStr">
        <is>
          <t>El punto de muestreo declarado dista 3826.2 m del centroide del bloque, por encima del radio de control de 1500 m.</t>
        </is>
      </c>
      <c r="D10" s="57" t="inlineStr">
        <is>
          <t>NO SUSTANTIVA</t>
        </is>
      </c>
      <c r="E10" s="57" t="inlineStr">
        <is>
          <t>Se verifica en gabinete si la estación cae dentro del polígono; el dato de campo se conserva como referencia de acceso.</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(200 msnm) cae dentro del rango altitudinal del bloque (181 - 504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(514.608 ha) se desvía 0.05 % de la superficie de catálogo (514.36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(514.359 ha) se desvía -0.00 % de la superficie de catálogo (514.36 ha).</t>
        </is>
      </c>
      <c r="D14" s="57" t="inlineStr">
        <is>
          <t>CONFORME</t>
        </is>
      </c>
      <c r="E14" s="57" t="inlineStr">
        <is>
          <t>Sin acción: la segmentación valida la geometría del bloque.</t>
        </is>
      </c>
    </row>
    <row r="15">
      <c r="A15" s="56" t="inlineStr">
        <is>
          <t>G-07</t>
        </is>
      </c>
      <c r="B15" s="56" t="inlineStr">
        <is>
          <t>Brecha espectral MSAVI</t>
        </is>
      </c>
      <c r="C15" s="56" t="inlineStr">
        <is>
          <t>El 98.99 % del bloque queda bajo el umbral 0.4976; superficie de brecha 509.15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514.36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(0.3381) cae en la clase «0.2650 - 0.3813 (Vigor muy bajo)» y la clase DN dominante por superficie es «DN 2 · 0.2650 - 0.3813 (Vigor muy bajo)».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Responsable de la evaluación</t>
        </is>
      </c>
      <c r="C19" s="56" t="inlineStr">
        <is>
          <t>El libro de resumen V6 consignaba «Juan Carlos Domínguez Varas»; la ficha de campo vigente declara «Ing. Juan Dominguez».</t>
        </is>
      </c>
      <c r="D19" s="56" t="inlineStr">
        <is>
          <t>CORREGIDO</t>
        </is>
      </c>
      <c r="E19" s="56" t="inlineStr">
        <is>
          <t>Se adopta el valor de campo por ser la fuente que manda sobre el dato y la más reciente. El valor anterior queda declarado para trazabilidad.</t>
        </is>
      </c>
    </row>
    <row r="20">
      <c r="A20" s="57" t="inlineStr">
        <is>
          <t>I-02</t>
        </is>
      </c>
      <c r="B20" s="57" t="inlineStr">
        <is>
          <t>Hora de registro</t>
        </is>
      </c>
      <c r="C20" s="57" t="inlineStr">
        <is>
          <t>El libro de resumen V6 consignaba «14:00 h»; la ficha de campo vigente declara «14:00 - 14:15».</t>
        </is>
      </c>
      <c r="D20" s="57" t="inlineStr">
        <is>
          <t>CORREGIDO</t>
        </is>
      </c>
      <c r="E20" s="57" t="inlineStr">
        <is>
          <t>Se adopta el valor de campo por ser la fuente que manda sobre el dato y la más reciente. El valor anterior queda declarado para trazabilidad.</t>
        </is>
      </c>
    </row>
    <row r="21">
      <c r="A21" s="56" t="inlineStr">
        <is>
          <t>F-01</t>
        </is>
      </c>
      <c r="B21" s="56" t="inlineStr">
        <is>
          <t>Fichas F-DT levantadas</t>
        </is>
      </c>
      <c r="C21" s="56" t="inlineStr">
        <is>
          <t>La plantilla de campo trae las cinco fichas F-DT-01 a F-DT-05 (completitud 85.7 % de los campos esperados).</t>
        </is>
      </c>
      <c r="D21" s="56" t="inlineStr">
        <is>
          <t>CONFORME</t>
        </is>
      </c>
      <c r="E21" s="56" t="inlineStr">
        <is>
          <t>Sin acción.</t>
        </is>
      </c>
    </row>
    <row r="22">
      <c r="A22" s="57" t="inlineStr">
        <is>
          <t>F-02</t>
        </is>
      </c>
      <c r="B22" s="57" t="inlineStr">
        <is>
          <t>Cobertura de la integración</t>
        </is>
      </c>
      <c r="C22" s="57" t="inlineStr">
        <is>
          <t>Se declararon 88 de 114 hechos integrados (77.2 %); 26 quedan sin dato en ninguna fuente.</t>
        </is>
      </c>
      <c r="D22" s="57" t="inlineStr">
        <is>
          <t>CONFORME</t>
        </is>
      </c>
      <c r="E22" s="57" t="inlineStr">
        <is>
          <t>Sin acción.</t>
        </is>
      </c>
    </row>
    <row r="23">
      <c r="A23" s="56" t="inlineStr">
        <is>
          <t>H-01</t>
        </is>
      </c>
      <c r="B23" s="56" t="inlineStr">
        <is>
          <t>Rango de pendiente dominante</t>
        </is>
      </c>
      <c r="C23" s="56" t="inlineStr">
        <is>
          <t>La ficha DT declara «25-50% (Mod. escarpado)»; la estadística zonal sobre el MDE arroja una pendiente promedio de 16.84 %, que corresponde a la clase «15-25% (Fuert. inclinado)»</t>
        </is>
      </c>
      <c r="D23" s="56" t="inlineStr">
        <is>
          <t>NO SUSTANTIVA</t>
        </is>
      </c>
      <c r="E23" s="5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4">
      <c r="A24" s="57" t="inlineStr">
        <is>
          <t>H-02</t>
        </is>
      </c>
      <c r="B24" s="57" t="inlineStr">
        <is>
          <t>Elenco florístico</t>
        </is>
      </c>
      <c r="C24" s="57" t="inlineStr">
        <is>
          <t>La ficha registra 11 taxones, por debajo del mínimo de 15 que exige el formato V5</t>
        </is>
      </c>
      <c r="D24" s="57" t="inlineStr">
        <is>
          <t>SUSTANTIVA</t>
        </is>
      </c>
      <c r="E24" s="57" t="inlineStr">
        <is>
          <t>Registro florístico preliminar, sin colecta ni determinación botánica formal. Debe cerrarse con colecta botánica en la siguiente campaña. (Verificación heredada de la ficha de resumen V6.)</t>
        </is>
      </c>
    </row>
    <row r="25">
      <c r="A25" s="56" t="inlineStr">
        <is>
          <t>H-03</t>
        </is>
      </c>
      <c r="B25" s="56" t="inlineStr">
        <is>
          <t>Representatividad del levantamiento</t>
        </is>
      </c>
      <c r="C25" s="56" t="inlineStr">
        <is>
          <t>Ninguna de las estaciones fotográficas georreferenciadas se localiza dentro del polígono del bloque</t>
        </is>
      </c>
      <c r="D25" s="56" t="inlineStr">
        <is>
          <t>SUSTANTIVA</t>
        </is>
      </c>
      <c r="E25" s="56" t="inlineStr">
        <is>
          <t>La verificación documenta el perímetro y la vista panorámica del bloque, no su interior. Los parámetros que exigen recorrido interno se consignan «Por determinar». (Verificación heredada de la ficha de resumen V6.)</t>
        </is>
      </c>
    </row>
    <row r="26">
      <c r="A26" s="57" t="inlineStr">
        <is>
          <t>H-04</t>
        </is>
      </c>
      <c r="B26" s="57" t="inlineStr">
        <is>
          <t>Plan de Ingreso</t>
        </is>
      </c>
      <c r="C26" s="57" t="inlineStr">
        <is>
          <t>Altitud = 0 msnm (captura por defecto del aplicativo)</t>
        </is>
      </c>
      <c r="D26" s="57" t="inlineStr">
        <is>
          <t>CORREGIDO</t>
        </is>
      </c>
      <c r="E26" s="57" t="inlineStr">
        <is>
          <t>Se reemplaza por la altitud GPS de campo (200 msnm) (Verificación heredada de la ficha de resumen V6.)</t>
        </is>
      </c>
    </row>
    <row r="27">
      <c r="A27" s="56" t="inlineStr">
        <is>
          <t>H-05</t>
        </is>
      </c>
      <c r="B27" s="56" t="inlineStr">
        <is>
          <t>F-DT-01</t>
        </is>
      </c>
      <c r="C27" s="56" t="inlineStr">
        <is>
          <t>NO SE PUDO ACCEDER AL INTERIOR DEL BLOQUE por terrenos de cultivos y potreros de propietarios privados</t>
        </is>
      </c>
      <c r="D27" s="56" t="inlineStr">
        <is>
          <t>SUSTANTIVA</t>
        </is>
      </c>
      <c r="E27" s="56" t="inlineStr">
        <is>
          <t>Las 514.36 ha no fueron recorridas; gestión predial previa indispensable (Verificación heredada de la ficha de resumen V6.)</t>
        </is>
      </c>
    </row>
    <row r="28">
      <c r="A28" s="57" t="inlineStr">
        <is>
          <t>H-06</t>
        </is>
      </c>
      <c r="B28" s="57" t="inlineStr">
        <is>
          <t>F-DT-03</t>
        </is>
      </c>
      <c r="C28" s="57" t="inlineStr">
        <is>
          <t>Inventario florístico sin familia, origen, abundancia, DAP ni altura; especies clave por levantar</t>
        </is>
      </c>
      <c r="D28" s="57" t="inlineStr">
        <is>
          <t>SUSTANTIVA</t>
        </is>
      </c>
      <c r="E28" s="57" t="inlineStr">
        <is>
          <t>Levantamiento pendiente (Verificación heredada de la ficha de resumen V6.)</t>
        </is>
      </c>
    </row>
    <row r="29">
      <c r="A29" s="56" t="inlineStr">
        <is>
          <t>H-07</t>
        </is>
      </c>
      <c r="B29" s="56" t="inlineStr">
        <is>
          <t>F-DT-04</t>
        </is>
      </c>
      <c r="C29" s="56" t="inlineStr">
        <is>
          <t>Ninguno de los 8 indicadores cuantitativos fue diligenciado; extensiones y antigüedades sin cuantificar</t>
        </is>
      </c>
      <c r="D29" s="56" t="inlineStr">
        <is>
          <t>SUSTANTIVA</t>
        </is>
      </c>
      <c r="E29" s="56" t="inlineStr">
        <is>
          <t>Cuantificación pendiente (Verificación heredada de la ficha de resumen V6.)</t>
        </is>
      </c>
    </row>
    <row r="30">
      <c r="A30" s="57" t="inlineStr">
        <is>
          <t>H-08</t>
        </is>
      </c>
      <c r="B30" s="57" t="inlineStr">
        <is>
          <t>F-DT-05</t>
        </is>
      </c>
      <c r="C30" s="57" t="inlineStr">
        <is>
          <t>La ficha F-DT-05 del archivo de origen correspondía a OTRO bloque (M7B2) y no fue transferida</t>
        </is>
      </c>
      <c r="D30" s="57" t="inlineStr">
        <is>
          <t>SUSTANTIVA</t>
        </is>
      </c>
      <c r="E30" s="57" t="inlineStr">
        <is>
          <t>Aplicación correcta de la regla de no fabricación; levantamiento pendiente (Verificación heredada de la ficha de resumen V6.)</t>
        </is>
      </c>
    </row>
    <row r="32">
      <c r="A32" s="58" t="inlineStr">
        <is>
          <t>RESUMEN</t>
        </is>
      </c>
      <c r="B32" s="59" t="inlineStr">
        <is>
          <t>22 verificaciones</t>
        </is>
      </c>
      <c r="C32" s="59" t="inlineStr">
        <is>
          <t>SUSTANTIVA: 7 · NO SUSTANTIVA: 2 · CORREGIDO: 3 · CONFORME: 10</t>
        </is>
      </c>
    </row>
    <row r="34">
      <c r="A34"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4:E34"/>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M6B2-1</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8. Responsable y modalidad de la evaluación</t>
        </is>
      </c>
      <c r="B9" s="56" t="inlineStr">
        <is>
          <t>Responsable de la evaluación</t>
        </is>
      </c>
      <c r="C9" s="56" t="inlineStr">
        <is>
          <t>Juan Carlos Domínguez Varas</t>
        </is>
      </c>
      <c r="D9" s="56" t="inlineStr">
        <is>
          <t>Ing. Juan Dominguez</t>
        </is>
      </c>
      <c r="E9" s="56" t="inlineStr">
        <is>
          <t>Dato de campo</t>
        </is>
      </c>
    </row>
    <row r="10">
      <c r="A10" s="57" t="inlineStr">
        <is>
          <t>8. Responsable y modalidad de la evaluación</t>
        </is>
      </c>
      <c r="B10" s="57" t="inlineStr">
        <is>
          <t>Hora de registro</t>
        </is>
      </c>
      <c r="C10" s="57" t="inlineStr">
        <is>
          <t>14:00 h</t>
        </is>
      </c>
      <c r="D10" s="57" t="inlineStr">
        <is>
          <t>14:00 - 14:15</t>
        </is>
      </c>
      <c r="E10" s="57" t="inlineStr">
        <is>
          <t>Dato de campo</t>
        </is>
      </c>
    </row>
    <row r="12">
      <c r="A12" s="54" t="inlineStr">
        <is>
          <t>B. HECHOS APORTADOS ÚNICAMENTE POR LA FICHA DE CAMPO</t>
        </is>
      </c>
    </row>
    <row r="13">
      <c r="A13" s="55" t="inlineStr">
        <is>
          <t>Sección</t>
        </is>
      </c>
      <c r="B13" s="55" t="inlineStr">
        <is>
          <t>Hecho</t>
        </is>
      </c>
      <c r="C13" s="55" t="inlineStr">
        <is>
          <t>Valor</t>
        </is>
      </c>
      <c r="D13" s="55" t="inlineStr">
        <is>
          <t>Unidad</t>
        </is>
      </c>
    </row>
    <row r="14">
      <c r="A14" s="56" t="inlineStr">
        <is>
          <t>1. Identificación y localización</t>
        </is>
      </c>
      <c r="B14" s="56" t="inlineStr">
        <is>
          <t>UTM ESTE del punto de muestreo (m)</t>
        </is>
      </c>
      <c r="C14" s="56" t="inlineStr">
        <is>
          <t>615428</t>
        </is>
      </c>
      <c r="D14" s="56" t="inlineStr">
        <is>
          <t>m</t>
        </is>
      </c>
    </row>
    <row r="15">
      <c r="A15" s="57" t="inlineStr">
        <is>
          <t>1. Identificación y localización</t>
        </is>
      </c>
      <c r="B15" s="57" t="inlineStr">
        <is>
          <t>UTM NORTE del punto de muestreo (m)</t>
        </is>
      </c>
      <c r="C15" s="57" t="inlineStr">
        <is>
          <t>9416185</t>
        </is>
      </c>
      <c r="D15" s="57" t="inlineStr">
        <is>
          <t>m</t>
        </is>
      </c>
    </row>
    <row r="16">
      <c r="A16" s="56" t="inlineStr">
        <is>
          <t>2. Parámetros físicos del terreno</t>
        </is>
      </c>
      <c r="B16" s="56" t="inlineStr">
        <is>
          <t>Altitud GPS del punto de muestreo (msnm)</t>
        </is>
      </c>
      <c r="C16" s="56" t="inlineStr">
        <is>
          <t>200</t>
        </is>
      </c>
      <c r="D16" s="56" t="inlineStr">
        <is>
          <t>msnm</t>
        </is>
      </c>
    </row>
    <row r="17">
      <c r="A17" s="57" t="inlineStr">
        <is>
          <t>2. Parámetros físicos del terreno</t>
        </is>
      </c>
      <c r="B17" s="57" t="inlineStr">
        <is>
          <t>Piso altitudinal del punto de muestreo</t>
        </is>
      </c>
      <c r="C17" s="57" t="inlineStr">
        <is>
          <t>&lt;1000 m (Yunga)</t>
        </is>
      </c>
      <c r="D17" s="57" t="inlineStr"/>
    </row>
    <row r="18">
      <c r="A18" s="56" t="inlineStr">
        <is>
          <t>2. Parámetros físicos del terreno</t>
        </is>
      </c>
      <c r="B18" s="56" t="inlineStr">
        <is>
          <t>Paisaje dominante descrito en campo</t>
        </is>
      </c>
      <c r="C18" s="56" t="inlineStr">
        <is>
          <t>Ladera de colina convexo-cóncavas tributarias de la quebrada Q9566 (microcuenca C1077), con altitudes de 200 a 400 msnm y desniveles internos. Paisaje de colina media, dominado por bosque estacionalmente seco de montaña.</t>
        </is>
      </c>
      <c r="D18" s="56" t="inlineStr"/>
    </row>
    <row r="19">
      <c r="A19" s="57" t="inlineStr">
        <is>
          <t>2. Parámetros físicos del terreno</t>
        </is>
      </c>
      <c r="B19" s="57" t="inlineStr">
        <is>
          <t>Reptación de suelo</t>
        </is>
      </c>
      <c r="C19" s="57" t="inlineStr">
        <is>
          <t>No</t>
        </is>
      </c>
      <c r="D19" s="57" t="inlineStr"/>
    </row>
    <row r="20">
      <c r="A20" s="56" t="inlineStr">
        <is>
          <t>2. Parámetros físicos del terreno</t>
        </is>
      </c>
      <c r="B20" s="56" t="inlineStr">
        <is>
          <t>Deslizamientos antiguos</t>
        </is>
      </c>
      <c r="C20" s="56" t="inlineStr">
        <is>
          <t>No</t>
        </is>
      </c>
      <c r="D20" s="56" t="inlineStr"/>
    </row>
    <row r="21">
      <c r="A21" s="57" t="inlineStr">
        <is>
          <t>4. Suelos y erosión (F-DT-02)</t>
        </is>
      </c>
      <c r="B21" s="57" t="inlineStr">
        <is>
          <t>Nivel de erosión - síntesis de campo</t>
        </is>
      </c>
      <c r="C21" s="57" t="inlineStr">
        <is>
          <t>Ligera (laminar)</t>
        </is>
      </c>
      <c r="D21" s="57" t="inlineStr"/>
    </row>
    <row r="22">
      <c r="A22" s="56" t="inlineStr">
        <is>
          <t>4. Suelos y erosión (F-DT-02)</t>
        </is>
      </c>
      <c r="B22" s="56" t="inlineStr">
        <is>
          <t>Sellamiento / costra superficial</t>
        </is>
      </c>
      <c r="C22" s="56" t="inlineStr">
        <is>
          <t>No</t>
        </is>
      </c>
      <c r="D22" s="56" t="inlineStr"/>
    </row>
    <row r="23">
      <c r="A23" s="57" t="inlineStr">
        <is>
          <t>4. Suelos y erosión (F-DT-02)</t>
        </is>
      </c>
      <c r="B23" s="57" t="inlineStr">
        <is>
          <t>Compactación por pisoteo</t>
        </is>
      </c>
      <c r="C23" s="57" t="inlineStr">
        <is>
          <t>Sí</t>
        </is>
      </c>
      <c r="D23" s="57" t="inlineStr"/>
    </row>
    <row r="24">
      <c r="A24" s="56" t="inlineStr">
        <is>
          <t>4. Suelos y erosión (F-DT-02)</t>
        </is>
      </c>
      <c r="B24" s="56" t="inlineStr">
        <is>
          <t>Raíces expuestas</t>
        </is>
      </c>
      <c r="C24" s="56" t="inlineStr">
        <is>
          <t>No</t>
        </is>
      </c>
      <c r="D24" s="56" t="inlineStr"/>
    </row>
    <row r="25">
      <c r="A25" s="57" t="inlineStr">
        <is>
          <t>4. Suelos y erosión (F-DT-02)</t>
        </is>
      </c>
      <c r="B25" s="57" t="inlineStr">
        <is>
          <t>Longitud total de cárcavas (m)</t>
        </is>
      </c>
      <c r="C25" s="57" t="inlineStr">
        <is>
          <t>0</t>
        </is>
      </c>
      <c r="D25" s="57" t="inlineStr">
        <is>
          <t>m</t>
        </is>
      </c>
    </row>
    <row r="26">
      <c r="A26" s="56" t="inlineStr">
        <is>
          <t>4. Suelos y erosión (F-DT-02)</t>
        </is>
      </c>
      <c r="B26" s="56" t="inlineStr">
        <is>
          <t>% del bloque afectado por cárcavas</t>
        </is>
      </c>
      <c r="C26" s="56" t="inlineStr">
        <is>
          <t>0</t>
        </is>
      </c>
      <c r="D26" s="56" t="inlineStr">
        <is>
          <t>%</t>
        </is>
      </c>
    </row>
    <row r="27">
      <c r="A27" s="57" t="inlineStr">
        <is>
          <t>4. Suelos y erosión (F-DT-02)</t>
        </is>
      </c>
      <c r="B27" s="57" t="inlineStr">
        <is>
          <t>Patrón de cárcavas</t>
        </is>
      </c>
      <c r="C27" s="57" t="inlineStr">
        <is>
          <t>Aislado</t>
        </is>
      </c>
      <c r="D27" s="57" t="inlineStr"/>
    </row>
    <row r="28">
      <c r="A28" s="56" t="inlineStr">
        <is>
          <t>4. Suelos y erosión (F-DT-02)</t>
        </is>
      </c>
      <c r="B28" s="56" t="inlineStr">
        <is>
          <t>Socavamiento de cauce</t>
        </is>
      </c>
      <c r="C28" s="56" t="inlineStr">
        <is>
          <t>No</t>
        </is>
      </c>
      <c r="D28" s="56" t="inlineStr"/>
    </row>
    <row r="29">
      <c r="A29" s="57" t="inlineStr">
        <is>
          <t>5. Ecosistema, cobertura y flora (F-DT-03)</t>
        </is>
      </c>
      <c r="B29" s="57" t="inlineStr">
        <is>
          <t>Cobertura del dosel (%)</t>
        </is>
      </c>
      <c r="C29" s="57" t="inlineStr">
        <is>
          <t>70</t>
        </is>
      </c>
      <c r="D29" s="57" t="inlineStr">
        <is>
          <t>%</t>
        </is>
      </c>
    </row>
    <row r="30">
      <c r="A30" s="56" t="inlineStr">
        <is>
          <t>5. Ecosistema, cobertura y flora (F-DT-03)</t>
        </is>
      </c>
      <c r="B30" s="56" t="inlineStr">
        <is>
          <t>Cobertura herbácea (%)</t>
        </is>
      </c>
      <c r="C30" s="56" t="inlineStr">
        <is>
          <t>20</t>
        </is>
      </c>
      <c r="D30" s="56" t="inlineStr">
        <is>
          <t>%</t>
        </is>
      </c>
    </row>
    <row r="31">
      <c r="A31" s="57" t="inlineStr">
        <is>
          <t>5. Ecosistema, cobertura y flora (F-DT-03)</t>
        </is>
      </c>
      <c r="B31" s="57" t="inlineStr">
        <is>
          <t>Altura máxima registrada (m)</t>
        </is>
      </c>
      <c r="C31" s="57" t="inlineStr">
        <is>
          <t>8</t>
        </is>
      </c>
      <c r="D31" s="57" t="inlineStr">
        <is>
          <t>m</t>
        </is>
      </c>
    </row>
    <row r="32">
      <c r="A32" s="56" t="inlineStr">
        <is>
          <t>5. Ecosistema, cobertura y flora (F-DT-03)</t>
        </is>
      </c>
      <c r="B32" s="56" t="inlineStr">
        <is>
          <t>Presencia de epífitas</t>
        </is>
      </c>
      <c r="C32" s="56" t="inlineStr">
        <is>
          <t>No</t>
        </is>
      </c>
      <c r="D32" s="56" t="inlineStr"/>
    </row>
    <row r="33">
      <c r="A33" s="57" t="inlineStr">
        <is>
          <t>5. Ecosistema, cobertura y flora (F-DT-03)</t>
        </is>
      </c>
      <c r="B33" s="57" t="inlineStr">
        <is>
          <t>Fenología dominante</t>
        </is>
      </c>
      <c r="C33" s="57" t="inlineStr">
        <is>
          <t>Vegetativo</t>
        </is>
      </c>
      <c r="D33" s="57" t="inlineStr"/>
    </row>
    <row r="34">
      <c r="A34" s="56" t="inlineStr">
        <is>
          <t>5. Ecosistema, cobertura y flora (F-DT-03)</t>
        </is>
      </c>
      <c r="B34" s="56" t="inlineStr">
        <is>
          <t>Dimensiones de la parcela (m)</t>
        </is>
      </c>
      <c r="C34" s="56" t="inlineStr">
        <is>
          <t>50 × 4</t>
        </is>
      </c>
      <c r="D34" s="56" t="inlineStr"/>
    </row>
    <row r="35">
      <c r="A35" s="57" t="inlineStr">
        <is>
          <t>6. Degradación, causas y urgencia (F-DT-04)</t>
        </is>
      </c>
      <c r="B35" s="57" t="inlineStr">
        <is>
          <t>Causas directas de la degradación</t>
        </is>
      </c>
      <c r="C35" s="57" t="inlineStr">
        <is>
          <t>Sobrepastoreo de ganado caprino</t>
        </is>
      </c>
      <c r="D35" s="57" t="inlineStr"/>
    </row>
    <row r="36">
      <c r="A36" s="56" t="inlineStr">
        <is>
          <t>6. Degradación, causas y urgencia (F-DT-04)</t>
        </is>
      </c>
      <c r="B36" s="56" t="inlineStr">
        <is>
          <t>N.° de causas activas en la matriz F-DT-04</t>
        </is>
      </c>
      <c r="C36" s="56" t="inlineStr">
        <is>
          <t>0</t>
        </is>
      </c>
      <c r="D36" s="56" t="inlineStr"/>
    </row>
    <row r="38">
      <c r="A38" s="54" t="inlineStr">
        <is>
          <t>C. PROCEDENCIA DE LOS HECHOS DECLARADOS</t>
        </is>
      </c>
    </row>
    <row r="39">
      <c r="A39" s="55" t="inlineStr">
        <is>
          <t>Fuente</t>
        </is>
      </c>
      <c r="B39" s="55" t="inlineStr">
        <is>
          <t>Hechos</t>
        </is>
      </c>
      <c r="C39" s="55" t="inlineStr">
        <is>
          <t>Alcance de la fuente</t>
        </is>
      </c>
    </row>
    <row r="40">
      <c r="A40" s="56" t="inlineStr">
        <is>
          <t>Dato de campo</t>
        </is>
      </c>
      <c r="B40" s="56" t="n">
        <v>50</v>
      </c>
      <c r="C40" s="56" t="inlineStr">
        <is>
          <t>Verificación en campo. Fichas F-DT-01 a F-DT-05 de la Plantilla DT Campo Check Validada V5, suscritas por el evaluador.</t>
        </is>
      </c>
    </row>
    <row r="41">
      <c r="A41" s="57" t="inlineStr">
        <is>
          <t>Gabinete (GIS / teledetección)</t>
        </is>
      </c>
      <c r="B41" s="57" t="n">
        <v>24</v>
      </c>
      <c r="C41" s="57" t="inlineStr">
        <is>
          <t>Gabinete. Estadística zonal sobre el MDE y compuestos Sentinel-2 (NDVI mediana 2025, MSAVI 2024 por clase DN).</t>
        </is>
      </c>
    </row>
    <row r="42">
      <c r="A42" s="56" t="inlineStr">
        <is>
          <t>Fuente oficial</t>
        </is>
      </c>
      <c r="B42" s="56" t="n">
        <v>14</v>
      </c>
      <c r="C42" s="56" t="inlineStr">
        <is>
          <t>Fuente oficial. Catálogo maestro Bloques V5/V6, división política INEI y codificación de microcuencas de la ANA.</t>
        </is>
      </c>
    </row>
    <row r="44">
      <c r="A44" s="54" t="inlineStr">
        <is>
          <t>D. ESTADO DEL CRUCE ENTRE FUENTES</t>
        </is>
      </c>
    </row>
    <row r="45">
      <c r="A45" s="55" t="inlineStr">
        <is>
          <t>Estado</t>
        </is>
      </c>
      <c r="B45" s="55" t="inlineStr">
        <is>
          <t>Hechos</t>
        </is>
      </c>
      <c r="C45" s="55" t="inlineStr">
        <is>
          <t>Significado</t>
        </is>
      </c>
    </row>
    <row r="46">
      <c r="A46" s="56" t="inlineStr">
        <is>
          <t>CONFORME</t>
        </is>
      </c>
      <c r="B46" s="56" t="n">
        <v>83</v>
      </c>
      <c r="C46" s="56" t="inlineStr">
        <is>
          <t>Las dos fuentes declaran lo mismo, o solo la fuente que manda sobre el hecho lo declara.</t>
        </is>
      </c>
    </row>
    <row r="47">
      <c r="A47" s="57" t="inlineStr">
        <is>
          <t>COMPLEMENTADO</t>
        </is>
      </c>
      <c r="B47" s="57" t="n">
        <v>3</v>
      </c>
      <c r="C47" s="57" t="inlineStr">
        <is>
          <t>Solo una de las fuentes lo declara y se adopta ese valor.</t>
        </is>
      </c>
    </row>
    <row r="48">
      <c r="A48" s="56" t="inlineStr">
        <is>
          <t>ACTUALIZADO</t>
        </is>
      </c>
      <c r="B48" s="56" t="n">
        <v>2</v>
      </c>
      <c r="C48" s="56" t="inlineStr">
        <is>
          <t>La verificación de campo vigente corrige lo que traía el libro de resumen.</t>
        </is>
      </c>
    </row>
    <row r="49">
      <c r="A49" s="57" t="inlineStr">
        <is>
          <t>DISCREPANTE</t>
        </is>
      </c>
      <c r="B49" s="57" t="n">
        <v>0</v>
      </c>
      <c r="C49" s="57" t="inlineStr">
        <is>
          <t>Las fuentes se contradicen; prevalece la que manda sobre el hecho y la otra queda declarada.</t>
        </is>
      </c>
    </row>
    <row r="50">
      <c r="A50" s="56" t="inlineStr">
        <is>
          <t>PENDIENTE</t>
        </is>
      </c>
      <c r="B50" s="56" t="n">
        <v>26</v>
      </c>
      <c r="C50"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M6B2-1</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Charán</t>
        </is>
      </c>
      <c r="C13" s="56" t="inlineStr">
        <is>
          <t>Caesalpinea paipai</t>
        </is>
      </c>
      <c r="D13" s="56" t="inlineStr"/>
      <c r="E13" s="56" t="inlineStr"/>
      <c r="F13" s="56" t="inlineStr"/>
      <c r="G13" s="56" t="inlineStr"/>
      <c r="H13" s="56" t="n"/>
      <c r="I13" s="56" t="n"/>
    </row>
    <row r="14">
      <c r="A14" s="57" t="inlineStr">
        <is>
          <t>2</t>
        </is>
      </c>
      <c r="B14" s="57" t="inlineStr">
        <is>
          <t>Faique</t>
        </is>
      </c>
      <c r="C14" s="57" t="inlineStr">
        <is>
          <t>Acacia macracantha</t>
        </is>
      </c>
      <c r="D14" s="57" t="inlineStr"/>
      <c r="E14" s="57" t="inlineStr"/>
      <c r="F14" s="57" t="inlineStr"/>
      <c r="G14" s="57" t="inlineStr"/>
      <c r="H14" s="57" t="n"/>
      <c r="I14" s="57" t="n"/>
    </row>
    <row r="15">
      <c r="A15" s="56" t="inlineStr">
        <is>
          <t>3</t>
        </is>
      </c>
      <c r="B15" s="56" t="inlineStr">
        <is>
          <t>Sapote</t>
        </is>
      </c>
      <c r="C15" s="56" t="inlineStr"/>
      <c r="D15" s="56" t="inlineStr"/>
      <c r="E15" s="56" t="inlineStr"/>
      <c r="F15" s="56" t="inlineStr"/>
      <c r="G15" s="56" t="inlineStr"/>
      <c r="H15" s="56" t="n"/>
      <c r="I15" s="56" t="n"/>
    </row>
    <row r="16">
      <c r="A16" s="57" t="inlineStr">
        <is>
          <t>4</t>
        </is>
      </c>
      <c r="B16" s="57" t="inlineStr">
        <is>
          <t>Algarrobo</t>
        </is>
      </c>
      <c r="C16" s="57" t="inlineStr">
        <is>
          <t>Prosopis sp</t>
        </is>
      </c>
      <c r="D16" s="57" t="inlineStr"/>
      <c r="E16" s="57" t="inlineStr"/>
      <c r="F16" s="57" t="inlineStr"/>
      <c r="G16" s="57" t="inlineStr"/>
      <c r="H16" s="57" t="n"/>
      <c r="I16" s="57" t="n"/>
    </row>
    <row r="17">
      <c r="A17" s="56" t="inlineStr">
        <is>
          <t>5</t>
        </is>
      </c>
      <c r="B17" s="56" t="inlineStr">
        <is>
          <t>Hualtaco</t>
        </is>
      </c>
      <c r="C17" s="56" t="inlineStr">
        <is>
          <t>Loxopterigium huasango</t>
        </is>
      </c>
      <c r="D17" s="56" t="inlineStr"/>
      <c r="E17" s="56" t="inlineStr"/>
      <c r="F17" s="56" t="inlineStr"/>
      <c r="G17" s="56" t="inlineStr"/>
      <c r="H17" s="56" t="n"/>
      <c r="I17" s="56" t="n"/>
    </row>
    <row r="18">
      <c r="A18" s="57" t="inlineStr">
        <is>
          <t>6</t>
        </is>
      </c>
      <c r="B18" s="57" t="inlineStr">
        <is>
          <t>Overo</t>
        </is>
      </c>
      <c r="C18" s="57" t="inlineStr">
        <is>
          <t>Cordial lutea</t>
        </is>
      </c>
      <c r="D18" s="57" t="inlineStr"/>
      <c r="E18" s="57" t="inlineStr"/>
      <c r="F18" s="57" t="inlineStr"/>
      <c r="G18" s="57" t="inlineStr"/>
      <c r="H18" s="57" t="n"/>
      <c r="I18" s="57" t="n"/>
    </row>
    <row r="19">
      <c r="A19" s="56" t="inlineStr">
        <is>
          <t>7</t>
        </is>
      </c>
      <c r="B19" s="56" t="inlineStr">
        <is>
          <t>Cactaceas</t>
        </is>
      </c>
      <c r="C19" s="56" t="inlineStr"/>
      <c r="D19" s="56" t="inlineStr"/>
      <c r="E19" s="56" t="inlineStr"/>
      <c r="F19" s="56" t="inlineStr"/>
      <c r="G19" s="56" t="inlineStr"/>
      <c r="H19" s="56" t="n"/>
      <c r="I19" s="56" t="n"/>
    </row>
    <row r="20">
      <c r="A20" s="57" t="inlineStr">
        <is>
          <t>8</t>
        </is>
      </c>
      <c r="B20" s="57" t="inlineStr">
        <is>
          <t>Borrachera</t>
        </is>
      </c>
      <c r="C20" s="57" t="inlineStr">
        <is>
          <t>Ipomoea carnea</t>
        </is>
      </c>
      <c r="D20" s="57" t="inlineStr"/>
      <c r="E20" s="57" t="inlineStr"/>
      <c r="F20" s="57" t="inlineStr"/>
      <c r="G20" s="57" t="inlineStr"/>
      <c r="H20" s="57" t="n"/>
      <c r="I20" s="57" t="n"/>
    </row>
    <row r="21">
      <c r="A21" s="56" t="inlineStr">
        <is>
          <t>9</t>
        </is>
      </c>
      <c r="B21" s="56" t="inlineStr">
        <is>
          <t>Palo Santo</t>
        </is>
      </c>
      <c r="C21" s="56" t="inlineStr">
        <is>
          <t>Bursera graveolens</t>
        </is>
      </c>
      <c r="D21" s="56" t="inlineStr"/>
      <c r="E21" s="56" t="inlineStr"/>
      <c r="F21" s="56" t="inlineStr"/>
      <c r="G21" s="56" t="inlineStr"/>
      <c r="H21" s="56" t="n"/>
      <c r="I21" s="56" t="n"/>
    </row>
    <row r="22">
      <c r="A22" s="57" t="inlineStr">
        <is>
          <t>10</t>
        </is>
      </c>
      <c r="B22" s="57" t="inlineStr">
        <is>
          <t>Pasallo</t>
        </is>
      </c>
      <c r="C22" s="57" t="inlineStr">
        <is>
          <t>Eriotheca ruizii</t>
        </is>
      </c>
      <c r="D22" s="57" t="inlineStr"/>
      <c r="E22" s="57" t="inlineStr"/>
      <c r="F22" s="57" t="inlineStr"/>
      <c r="G22" s="57" t="inlineStr"/>
      <c r="H22" s="57" t="n"/>
      <c r="I22" s="57" t="n"/>
    </row>
    <row r="23">
      <c r="A23" s="56" t="inlineStr">
        <is>
          <t>11</t>
        </is>
      </c>
      <c r="B23" s="56" t="inlineStr">
        <is>
          <t>Pastos nativos</t>
        </is>
      </c>
      <c r="C23" s="56" t="inlineStr">
        <is>
          <t>Poaceas</t>
        </is>
      </c>
      <c r="D23" s="56" t="inlineStr"/>
      <c r="E23" s="56" t="inlineStr"/>
      <c r="F23" s="56" t="inlineStr"/>
      <c r="G23" s="56" t="inlineStr"/>
      <c r="H23" s="56" t="n"/>
      <c r="I23" s="56" t="n"/>
    </row>
    <row r="25">
      <c r="A25" s="54" t="inlineStr">
        <is>
          <t>F-DT-03 · ESPECIES CLAVE GEORREFERENCIADAS</t>
        </is>
      </c>
    </row>
    <row r="26">
      <c r="A26" s="55" t="inlineStr">
        <is>
          <t>N.o</t>
        </is>
      </c>
      <c r="B26" s="55" t="inlineStr">
        <is>
          <t>Especie</t>
        </is>
      </c>
      <c r="C26" s="55" t="inlineStr">
        <is>
          <t>Categoría</t>
        </is>
      </c>
      <c r="D26" s="55" t="inlineStr">
        <is>
          <t>Estado UICN</t>
        </is>
      </c>
      <c r="E26" s="55" t="inlineStr">
        <is>
          <t>UTM ESTE</t>
        </is>
      </c>
      <c r="F26" s="55" t="inlineStr">
        <is>
          <t>UTM NORTE</t>
        </is>
      </c>
      <c r="G26" s="55" t="inlineStr">
        <is>
          <t>N.° individuos</t>
        </is>
      </c>
      <c r="H26" s="55" t="inlineStr">
        <is>
          <t>Observación</t>
        </is>
      </c>
    </row>
    <row r="28">
      <c r="A28" s="54" t="inlineStr">
        <is>
          <t>F-DT-04 · MATRIZ DE CAUSAS DE DEGRADACIÓN</t>
        </is>
      </c>
    </row>
    <row r="29">
      <c r="A29" s="55" t="inlineStr">
        <is>
          <t>N.o</t>
        </is>
      </c>
      <c r="B29" s="55" t="inlineStr">
        <is>
          <t>Causa</t>
        </is>
      </c>
      <c r="C29" s="55" t="inlineStr">
        <is>
          <t>Presencia</t>
        </is>
      </c>
      <c r="D29" s="55" t="inlineStr">
        <is>
          <t>Intensidad</t>
        </is>
      </c>
      <c r="E29" s="55" t="inlineStr">
        <is>
          <t>Extensión</t>
        </is>
      </c>
      <c r="F29" s="55" t="inlineStr">
        <is>
          <t>Antigüedad</t>
        </is>
      </c>
      <c r="G29" s="55" t="inlineStr">
        <is>
          <t>Evidencia</t>
        </is>
      </c>
    </row>
    <row r="30">
      <c r="A30" s="56" t="inlineStr">
        <is>
          <t>1</t>
        </is>
      </c>
      <c r="B30" s="56" t="inlineStr">
        <is>
          <t>Sobrepastoreo (caprino/vacuno)</t>
        </is>
      </c>
      <c r="C30" s="56" t="inlineStr"/>
      <c r="D30" s="56" t="inlineStr"/>
      <c r="E30" s="56" t="inlineStr"/>
      <c r="F30" s="56" t="inlineStr"/>
      <c r="G30" s="56" t="inlineStr"/>
    </row>
    <row r="31">
      <c r="A31" s="57" t="inlineStr">
        <is>
          <t>2</t>
        </is>
      </c>
      <c r="B31" s="57" t="inlineStr">
        <is>
          <t>Tala para leña</t>
        </is>
      </c>
      <c r="C31" s="57" t="inlineStr"/>
      <c r="D31" s="57" t="inlineStr"/>
      <c r="E31" s="57" t="inlineStr"/>
      <c r="F31" s="57" t="inlineStr"/>
      <c r="G31" s="57" t="inlineStr"/>
    </row>
    <row r="32">
      <c r="A32" s="56" t="inlineStr">
        <is>
          <t>3</t>
        </is>
      </c>
      <c r="B32" s="56" t="inlineStr">
        <is>
          <t>Tala para carbón</t>
        </is>
      </c>
      <c r="C32" s="56" t="inlineStr"/>
      <c r="D32" s="56" t="inlineStr"/>
      <c r="E32" s="56" t="inlineStr"/>
      <c r="F32" s="56" t="inlineStr"/>
      <c r="G32" s="56" t="inlineStr"/>
    </row>
    <row r="33">
      <c r="A33" s="57" t="inlineStr">
        <is>
          <t>4</t>
        </is>
      </c>
      <c r="B33" s="57" t="inlineStr">
        <is>
          <t>Tala para madera</t>
        </is>
      </c>
      <c r="C33" s="57" t="inlineStr"/>
      <c r="D33" s="57" t="inlineStr"/>
      <c r="E33" s="57" t="inlineStr"/>
      <c r="F33" s="57" t="inlineStr"/>
      <c r="G33" s="57" t="inlineStr"/>
    </row>
    <row r="34">
      <c r="A34" s="56" t="inlineStr">
        <is>
          <t>5</t>
        </is>
      </c>
      <c r="B34" s="56" t="inlineStr">
        <is>
          <t>Quema (renovación de pastos)</t>
        </is>
      </c>
      <c r="C34" s="56" t="inlineStr"/>
      <c r="D34" s="56" t="inlineStr"/>
      <c r="E34" s="56" t="inlineStr"/>
      <c r="F34" s="56" t="inlineStr"/>
      <c r="G34" s="56" t="inlineStr"/>
    </row>
    <row r="35">
      <c r="A35" s="57" t="inlineStr">
        <is>
          <t>6</t>
        </is>
      </c>
      <c r="B35" s="57" t="inlineStr">
        <is>
          <t>Quema accidental / Incendio</t>
        </is>
      </c>
      <c r="C35" s="57" t="inlineStr"/>
      <c r="D35" s="57" t="inlineStr"/>
      <c r="E35" s="57" t="inlineStr"/>
      <c r="F35" s="57" t="inlineStr"/>
      <c r="G35" s="57" t="inlineStr"/>
    </row>
    <row r="36">
      <c r="A36" s="56" t="inlineStr">
        <is>
          <t>7</t>
        </is>
      </c>
      <c r="B36" s="56" t="inlineStr">
        <is>
          <t>Cambio de uso a agricultura</t>
        </is>
      </c>
      <c r="C36" s="56" t="inlineStr"/>
      <c r="D36" s="56" t="inlineStr"/>
      <c r="E36" s="56" t="inlineStr"/>
      <c r="F36" s="56" t="inlineStr"/>
      <c r="G36" s="56" t="inlineStr"/>
    </row>
    <row r="37">
      <c r="A37" s="57" t="inlineStr">
        <is>
          <t>8</t>
        </is>
      </c>
      <c r="B37" s="57" t="inlineStr">
        <is>
          <t>Cambio de uso a pastoreo</t>
        </is>
      </c>
      <c r="C37" s="57" t="inlineStr"/>
      <c r="D37" s="57" t="inlineStr"/>
      <c r="E37" s="57" t="inlineStr"/>
      <c r="F37" s="57" t="inlineStr"/>
      <c r="G37" s="57" t="inlineStr"/>
    </row>
    <row r="38">
      <c r="A38" s="56" t="inlineStr">
        <is>
          <t>9</t>
        </is>
      </c>
      <c r="B38" s="56" t="inlineStr">
        <is>
          <t>Expansión urbana / vial</t>
        </is>
      </c>
      <c r="C38" s="56" t="inlineStr"/>
      <c r="D38" s="56" t="inlineStr"/>
      <c r="E38" s="56" t="inlineStr"/>
      <c r="F38" s="56" t="inlineStr"/>
      <c r="G38" s="56" t="inlineStr"/>
    </row>
    <row r="39">
      <c r="A39" s="57" t="inlineStr">
        <is>
          <t>10</t>
        </is>
      </c>
      <c r="B39" s="57" t="inlineStr">
        <is>
          <t>Minería informal</t>
        </is>
      </c>
      <c r="C39" s="57" t="inlineStr"/>
      <c r="D39" s="57" t="inlineStr"/>
      <c r="E39" s="57" t="inlineStr"/>
      <c r="F39" s="57" t="inlineStr"/>
      <c r="G39" s="57" t="inlineStr"/>
    </row>
    <row r="40">
      <c r="A40" s="56" t="inlineStr">
        <is>
          <t>11</t>
        </is>
      </c>
      <c r="B40" s="56" t="inlineStr">
        <is>
          <t>Extracción de áridos (cauces)</t>
        </is>
      </c>
      <c r="C40" s="56" t="inlineStr"/>
      <c r="D40" s="56" t="inlineStr"/>
      <c r="E40" s="56" t="inlineStr"/>
      <c r="F40" s="56" t="inlineStr"/>
      <c r="G40" s="56" t="inlineStr"/>
    </row>
    <row r="41">
      <c r="A41" s="57" t="inlineStr">
        <is>
          <t>12</t>
        </is>
      </c>
      <c r="B41" s="57" t="inlineStr">
        <is>
          <t>Especies invasoras</t>
        </is>
      </c>
      <c r="C41" s="57" t="inlineStr"/>
      <c r="D41" s="57" t="inlineStr"/>
      <c r="E41" s="57" t="inlineStr"/>
      <c r="F41" s="57" t="inlineStr"/>
      <c r="G41" s="57" t="inlineStr"/>
    </row>
    <row r="42">
      <c r="A42" s="56" t="inlineStr">
        <is>
          <t>13</t>
        </is>
      </c>
      <c r="B42" s="56" t="inlineStr">
        <is>
          <t>Erosión natural severa</t>
        </is>
      </c>
      <c r="C42" s="56" t="inlineStr"/>
      <c r="D42" s="56" t="inlineStr"/>
      <c r="E42" s="56" t="inlineStr"/>
      <c r="F42" s="56" t="inlineStr"/>
      <c r="G42" s="56" t="inlineStr"/>
    </row>
    <row r="43">
      <c r="A43" s="57" t="inlineStr">
        <is>
          <t>14</t>
        </is>
      </c>
      <c r="B43" s="57" t="inlineStr">
        <is>
          <t>Sequía prolongada / CC</t>
        </is>
      </c>
      <c r="C43" s="57" t="inlineStr"/>
      <c r="D43" s="57" t="inlineStr"/>
      <c r="E43" s="57" t="inlineStr"/>
      <c r="F43" s="57" t="inlineStr"/>
      <c r="G43" s="57" t="inlineStr"/>
    </row>
    <row r="44">
      <c r="A44" s="56" t="inlineStr">
        <is>
          <t>15</t>
        </is>
      </c>
      <c r="B44" s="56" t="inlineStr">
        <is>
          <t>Plagas o enfermedades forestales</t>
        </is>
      </c>
      <c r="C44" s="56" t="inlineStr"/>
      <c r="D44" s="56" t="inlineStr"/>
      <c r="E44" s="56" t="inlineStr"/>
      <c r="F44" s="56" t="inlineStr"/>
      <c r="G44" s="56" t="inlineStr"/>
    </row>
    <row r="45">
      <c r="A45" s="57" t="inlineStr">
        <is>
          <t>16</t>
        </is>
      </c>
      <c r="B45" s="57" t="inlineStr">
        <is>
          <t>Otro</t>
        </is>
      </c>
      <c r="C45" s="57" t="inlineStr"/>
      <c r="D45" s="57" t="inlineStr"/>
      <c r="E45" s="57" t="inlineStr"/>
      <c r="F45" s="57" t="inlineStr"/>
      <c r="G45" s="57" t="inlineStr"/>
    </row>
    <row r="47">
      <c r="A47" s="54" t="inlineStr">
        <is>
          <t>F-DT-04 · INDICADORES CUANTITATIVOS</t>
        </is>
      </c>
    </row>
    <row r="48">
      <c r="A48" s="55" t="inlineStr">
        <is>
          <t>N.o</t>
        </is>
      </c>
      <c r="B48" s="55" t="inlineStr">
        <is>
          <t>Indicador</t>
        </is>
      </c>
      <c r="C48" s="55" t="inlineStr">
        <is>
          <t>Unidad</t>
        </is>
      </c>
      <c r="D48" s="55" t="inlineStr">
        <is>
          <t>Valor</t>
        </is>
      </c>
      <c r="E48" s="55" t="inlineStr">
        <is>
          <t>Fuente</t>
        </is>
      </c>
      <c r="F48" s="55" t="inlineStr">
        <is>
          <t>Umbral</t>
        </is>
      </c>
      <c r="G48" s="55" t="inlineStr">
        <is>
          <t>Nivel</t>
        </is>
      </c>
    </row>
    <row r="49">
      <c r="A49" s="56" t="inlineStr">
        <is>
          <t>1</t>
        </is>
      </c>
      <c r="B49" s="56" t="inlineStr">
        <is>
          <t>Cobertura vegetal total</t>
        </is>
      </c>
      <c r="C49" s="56" t="inlineStr">
        <is>
          <t>%</t>
        </is>
      </c>
      <c r="D49" s="56" t="inlineStr"/>
      <c r="E49" s="56" t="inlineStr"/>
      <c r="F49" s="56" t="inlineStr">
        <is>
          <t>&gt;60% bueno; 30-60% medio; &lt;30% malo</t>
        </is>
      </c>
      <c r="G49" s="56" t="inlineStr"/>
    </row>
    <row r="50">
      <c r="A50" s="57" t="inlineStr">
        <is>
          <t>2</t>
        </is>
      </c>
      <c r="B50" s="57" t="inlineStr">
        <is>
          <t>Porcentaje de suelo desnudo</t>
        </is>
      </c>
      <c r="C50" s="57" t="inlineStr">
        <is>
          <t>%</t>
        </is>
      </c>
      <c r="D50" s="57" t="inlineStr"/>
      <c r="E50" s="57" t="inlineStr"/>
      <c r="F50" s="57" t="inlineStr">
        <is>
          <t>&lt;10% bueno; 10-30% medio; &gt;30% malo</t>
        </is>
      </c>
      <c r="G50" s="57" t="inlineStr"/>
    </row>
    <row r="51">
      <c r="A51" s="56" t="inlineStr">
        <is>
          <t>3</t>
        </is>
      </c>
      <c r="B51" s="56" t="inlineStr">
        <is>
          <t>Densidad de cárcavas</t>
        </is>
      </c>
      <c r="C51" s="56" t="inlineStr">
        <is>
          <t>N°/ha</t>
        </is>
      </c>
      <c r="D51" s="56" t="inlineStr"/>
      <c r="E51" s="56" t="inlineStr"/>
      <c r="F51" s="56" t="inlineStr">
        <is>
          <t>0 nulo; 1-3 medio; &gt;3 alto</t>
        </is>
      </c>
      <c r="G51" s="56" t="inlineStr"/>
    </row>
    <row r="52">
      <c r="A52" s="57" t="inlineStr">
        <is>
          <t>4</t>
        </is>
      </c>
      <c r="B52" s="57" t="inlineStr">
        <is>
          <t>Presencia de especies invasoras</t>
        </is>
      </c>
      <c r="C52" s="57" t="inlineStr">
        <is>
          <t>% área</t>
        </is>
      </c>
      <c r="D52" s="57" t="inlineStr"/>
      <c r="E52" s="57" t="inlineStr"/>
      <c r="F52" s="57" t="inlineStr">
        <is>
          <t>&lt;5% bueno; 5-20% medio; &gt;20% alto</t>
        </is>
      </c>
      <c r="G52" s="57" t="inlineStr"/>
    </row>
    <row r="53">
      <c r="A53" s="56" t="inlineStr">
        <is>
          <t>5</t>
        </is>
      </c>
      <c r="B53" s="56" t="inlineStr">
        <is>
          <t>Carga ganadera estimada</t>
        </is>
      </c>
      <c r="C53" s="56" t="inlineStr">
        <is>
          <t>UA/ha</t>
        </is>
      </c>
      <c r="D53" s="56" t="inlineStr"/>
      <c r="E53" s="56" t="inlineStr"/>
      <c r="F53" s="56" t="inlineStr">
        <is>
          <t>Según tipo de ecosistema</t>
        </is>
      </c>
      <c r="G53" s="56" t="inlineStr"/>
    </row>
    <row r="54">
      <c r="A54" s="57" t="inlineStr">
        <is>
          <t>6</t>
        </is>
      </c>
      <c r="B54" s="57" t="inlineStr">
        <is>
          <t>Frecuencia de quemas últimos 5 años</t>
        </is>
      </c>
      <c r="C54" s="57" t="inlineStr">
        <is>
          <t>N°</t>
        </is>
      </c>
      <c r="D54" s="57" t="inlineStr"/>
      <c r="E54" s="57" t="inlineStr"/>
      <c r="F54" s="57" t="inlineStr">
        <is>
          <t>0 nulo; 1-2 medio; &gt;2 alto</t>
        </is>
      </c>
      <c r="G54" s="57" t="inlineStr"/>
    </row>
    <row r="55">
      <c r="A55" s="56" t="inlineStr">
        <is>
          <t>7</t>
        </is>
      </c>
      <c r="B55" s="56" t="inlineStr">
        <is>
          <t>% área con pendiente &gt;50%</t>
        </is>
      </c>
      <c r="C55" s="56" t="inlineStr">
        <is>
          <t>%</t>
        </is>
      </c>
      <c r="D55" s="56" t="inlineStr"/>
      <c r="E55" s="56" t="inlineStr"/>
      <c r="F55" s="56" t="inlineStr">
        <is>
          <t>Factor de susceptibilidad</t>
        </is>
      </c>
      <c r="G55" s="56" t="inlineStr"/>
    </row>
    <row r="56">
      <c r="A56" s="57" t="inlineStr">
        <is>
          <t>8</t>
        </is>
      </c>
      <c r="B56" s="57" t="inlineStr">
        <is>
          <t>Distancia a vía vecinal más cercana</t>
        </is>
      </c>
      <c r="C56" s="57" t="inlineStr">
        <is>
          <t>m</t>
        </is>
      </c>
      <c r="D56" s="57" t="inlineStr"/>
      <c r="E56" s="57" t="inlineStr"/>
      <c r="F56" s="57" t="inlineStr">
        <is>
          <t>A menor distancia → mayor presión</t>
        </is>
      </c>
      <c r="G56" s="57" t="inlineStr"/>
    </row>
    <row r="58">
      <c r="A58" s="54" t="inlineStr">
        <is>
          <t>F-DT-05 · FUENTES DE AGUA INVENTARIADAS</t>
        </is>
      </c>
    </row>
    <row r="59">
      <c r="A59" s="55" t="inlineStr">
        <is>
          <t>N.o</t>
        </is>
      </c>
      <c r="B59" s="55" t="inlineStr">
        <is>
          <t>Tipo de fuente</t>
        </is>
      </c>
      <c r="C59" s="55" t="inlineStr">
        <is>
          <t>UTM ESTE</t>
        </is>
      </c>
      <c r="D59" s="55" t="inlineStr">
        <is>
          <t>UTM NORTE</t>
        </is>
      </c>
      <c r="E59" s="55" t="inlineStr">
        <is>
          <t>Régimen</t>
        </is>
      </c>
      <c r="F59" s="55" t="inlineStr">
        <is>
          <t>Calidad</t>
        </is>
      </c>
      <c r="G59" s="55" t="inlineStr">
        <is>
          <t>Distancia (m)</t>
        </is>
      </c>
      <c r="H59" s="55" t="inlineStr">
        <is>
          <t>Uso / observación</t>
        </is>
      </c>
    </row>
    <row r="62">
      <c r="A62" s="54" t="inlineStr">
        <is>
          <t>OBSERVACIONES DEL EVALUADOR POR FICHA</t>
        </is>
      </c>
    </row>
    <row r="63">
      <c r="A63" s="55" t="inlineStr">
        <is>
          <t>Ficha</t>
        </is>
      </c>
      <c r="B63" s="55" t="inlineStr">
        <is>
          <t>Observación registrada en campo</t>
        </is>
      </c>
    </row>
    <row r="64">
      <c r="A64" s="56" t="inlineStr">
        <is>
          <t>F-DT-01</t>
        </is>
      </c>
      <c r="B64" s="56" t="inlineStr">
        <is>
          <t>Al momento de la evaluación la accesibilidad al bloque era limitada por la presencia de terrenos de cultivos y potreros de propietarios privados. [Normalización para validación: rango altitudinal del bloque 200–400 msnm reportado en campo se clasifica como "&lt;1000 m (Yunga)" según lst_RangoAltitud — verificar con Ing. Cahuas.]</t>
        </is>
      </c>
    </row>
    <row r="65">
      <c r="A65" s="57" t="inlineStr">
        <is>
          <t>F-DT-02</t>
        </is>
      </c>
      <c r="B65" s="57" t="inlineStr">
        <is>
          <t>No se pudo acceder al interior del bloque; el inventario erosivo es preliminar a escala de borde/observación externa.</t>
        </is>
      </c>
    </row>
    <row r="66">
      <c r="A66" s="56" t="inlineStr">
        <is>
          <t>F-DT-03</t>
        </is>
      </c>
      <c r="B66" s="56" t="inlineStr">
        <is>
          <t>No se pudo acceder al interior del bloque. Caracterización ecológica preliminar por observación externa y gabinete; inventario florístico y de especies clave por levantar.</t>
        </is>
      </c>
    </row>
    <row r="67">
      <c r="A67" s="57" t="inlineStr">
        <is>
          <t>F-DT-04</t>
        </is>
      </c>
      <c r="B67" s="57" t="inlineStr">
        <is>
          <t>No se pudo acceder al interior del bloque. Matriz de causas e indicadores cuantitativos por completar en levantamiento detallado; síntesis basada en observación externa.</t>
        </is>
      </c>
    </row>
    <row r="68">
      <c r="A68" s="56" t="inlineStr">
        <is>
          <t>F-DT-05</t>
        </is>
      </c>
      <c r="B68" s="56" t="inlineStr">
        <is>
          <t>Sin levantamiento de campo F-DT-05 para el bloque M6B2-1 (acceso limitado al interior). IMPORTANTE: la ficha F-DT-05 del archivo de origen correspondía a OTRO bloque (M7B2 — Salitral, microcuenca C1076-Q9581, fecha 21-05-2026) y NO fue transferida, conforme a la regla de no fabricación. Campos hídricos y de accesibilidad quedan "Por verificar".</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M6B2-1</t>
        </is>
      </c>
    </row>
    <row r="7">
      <c r="A7" s="54" t="inlineStr">
        <is>
          <t>Hechos declarados por fuente</t>
        </is>
      </c>
    </row>
    <row r="8">
      <c r="A8" s="55" t="inlineStr">
        <is>
          <t>Fuente</t>
        </is>
      </c>
      <c r="B8" s="55" t="inlineStr">
        <is>
          <t>Hechos</t>
        </is>
      </c>
    </row>
    <row r="9">
      <c r="A9" s="56" t="inlineStr">
        <is>
          <t>Dato de campo</t>
        </is>
      </c>
      <c r="B9" s="56" t="n">
        <v>50</v>
      </c>
    </row>
    <row r="10">
      <c r="A10" s="57" t="inlineStr">
        <is>
          <t>Gabinete (GIS / teledetección)</t>
        </is>
      </c>
      <c r="B10" s="57" t="n">
        <v>24</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83</v>
      </c>
    </row>
    <row r="31">
      <c r="A31" s="57" t="inlineStr">
        <is>
          <t>COMPLEMENTADO</t>
        </is>
      </c>
      <c r="B31" s="57" t="n">
        <v>3</v>
      </c>
    </row>
    <row r="32">
      <c r="A32" s="56" t="inlineStr">
        <is>
          <t>ACTUALIZADO</t>
        </is>
      </c>
      <c r="B32" s="56" t="n">
        <v>2</v>
      </c>
    </row>
    <row r="33">
      <c r="A33" s="57" t="inlineStr">
        <is>
          <t>DISCREPANTE</t>
        </is>
      </c>
      <c r="B33" s="57" t="n">
        <v>0</v>
      </c>
    </row>
    <row r="34">
      <c r="A34" s="56" t="inlineStr">
        <is>
          <t>PENDIENTE</t>
        </is>
      </c>
      <c r="B34" s="56" t="n">
        <v>26</v>
      </c>
    </row>
    <row r="51">
      <c r="A51" s="54" t="inlineStr">
        <is>
          <t>Cobertura por estrato — campo (%)</t>
        </is>
      </c>
    </row>
    <row r="52">
      <c r="A52" s="55" t="inlineStr">
        <is>
          <t>Estrato</t>
        </is>
      </c>
      <c r="B52" s="55" t="inlineStr">
        <is>
          <t>% del área</t>
        </is>
      </c>
    </row>
    <row r="53">
      <c r="A53" s="56" t="inlineStr">
        <is>
          <t>Dosel</t>
        </is>
      </c>
      <c r="B53" s="61" t="n">
        <v>70</v>
      </c>
    </row>
    <row r="54">
      <c r="A54" s="57" t="inlineStr">
        <is>
          <t>Herbácea</t>
        </is>
      </c>
      <c r="B54" s="62" t="n">
        <v>20</v>
      </c>
    </row>
    <row r="55">
      <c r="A55" s="56" t="inlineStr">
        <is>
          <t>Suelo desnudo</t>
        </is>
      </c>
      <c r="B55" s="61" t="n">
        <v>15</v>
      </c>
    </row>
    <row r="72">
      <c r="A72" s="54" t="inlineStr">
        <is>
          <t>Control de consistencia por calificación</t>
        </is>
      </c>
    </row>
    <row r="73">
      <c r="A73" s="55" t="inlineStr">
        <is>
          <t>Calificación</t>
        </is>
      </c>
      <c r="B73" s="55" t="inlineStr">
        <is>
          <t>Verificaciones</t>
        </is>
      </c>
    </row>
    <row r="74">
      <c r="A74" s="56" t="inlineStr">
        <is>
          <t>SUSTANTIVA</t>
        </is>
      </c>
      <c r="B74" s="56" t="n">
        <v>7</v>
      </c>
    </row>
    <row r="75">
      <c r="A75" s="57" t="inlineStr">
        <is>
          <t>NO SUSTANTIVA</t>
        </is>
      </c>
      <c r="B75" s="57" t="n">
        <v>2</v>
      </c>
    </row>
    <row r="76">
      <c r="A76" s="56" t="inlineStr">
        <is>
          <t>CORREGIDO</t>
        </is>
      </c>
      <c r="B76" s="56" t="n">
        <v>3</v>
      </c>
    </row>
    <row r="77">
      <c r="A77" s="57" t="inlineStr">
        <is>
          <t>CONFORME</t>
        </is>
      </c>
      <c r="B77" s="57" t="n">
        <v>10</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M6B2-1 — IN Piura</dc:title>
  <dc:subject>Diagnóstico Territorial por bloque de intervención</dc:subject>
  <dcterms:created xsi:type="dcterms:W3CDTF">2026-09-08T03:39:54Z</dcterms:created>
  <dcterms:modified xsi:type="dcterms:W3CDTF">2026-09-11T20:22:39Z</dcterms:modified>
</cp:coreProperties>
</file>