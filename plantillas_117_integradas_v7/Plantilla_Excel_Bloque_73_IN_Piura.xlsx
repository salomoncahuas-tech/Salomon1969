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73</t>
        </is>
      </c>
    </row>
    <row r="6" ht="24" customHeight="1">
      <c r="A6" s="4" t="inlineStr">
        <is>
          <t>Diagnóstico Territorial — Plantilla DT Campo Check Validada V5 | Sistema de referencia: UTM WGS 84 Zona 17S (EPSG:32717) · Integrado con la ficha de campo F-DT vigente (Plantilla_DT_Campo_Bloque73_IN_Piura.xlsx) — V7 - resumen V6 + campo F-DT integrado</t>
        </is>
      </c>
    </row>
    <row r="7"/>
    <row r="8" ht="18" customHeight="1">
      <c r="A8" s="5" t="inlineStr">
        <is>
          <t>1. IDENTIFICACIÓN Y LOCALIZACIÓN</t>
        </is>
      </c>
    </row>
    <row r="9">
      <c r="A9" s="6" t="inlineStr">
        <is>
          <t>Código del bloque</t>
        </is>
      </c>
      <c r="B9" s="7" t="inlineStr">
        <is>
          <t>73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Chococa</t>
        </is>
      </c>
      <c r="C13" s="6" t="inlineStr">
        <is>
          <t>Comunidad campesina</t>
        </is>
      </c>
      <c r="D13" s="7" t="inlineStr">
        <is>
          <t>Por verificar con el equipo de diagnóstico social</t>
        </is>
      </c>
      <c r="E13" s="8" t="n"/>
      <c r="F13" s="8" t="n"/>
    </row>
    <row r="14">
      <c r="A14" s="6" t="inlineStr">
        <is>
          <t>Superficie de catálogo (V5/V6), ha</t>
        </is>
      </c>
      <c r="B14" s="7" t="n">
        <v>54.29</v>
      </c>
      <c r="C14" s="6" t="inlineStr">
        <is>
          <t>Fuente de superficie</t>
        </is>
      </c>
      <c r="D14" s="7" t="inlineStr">
        <is>
          <t>Catálogo maestro Bloques V5/V6</t>
        </is>
      </c>
      <c r="E14" s="8" t="n"/>
      <c r="F14" s="8" t="n"/>
    </row>
    <row r="15">
      <c r="A15" s="6" t="inlineStr">
        <is>
          <t>Centroide UTM ESTE (m)</t>
        </is>
      </c>
      <c r="B15" s="7" t="n">
        <v>658547</v>
      </c>
      <c r="C15" s="6" t="inlineStr">
        <is>
          <t>Centroide UTM NORTE (m)</t>
        </is>
      </c>
      <c r="D15" s="7" t="n">
        <v>9395594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1845</v>
      </c>
      <c r="C19" s="6" t="inlineStr">
        <is>
          <t>Altitud máxima (msnm)</t>
        </is>
      </c>
      <c r="D19" s="7" t="n">
        <v>2305</v>
      </c>
      <c r="E19" s="8" t="n"/>
      <c r="F19" s="8" t="n"/>
    </row>
    <row r="20">
      <c r="A20" s="6" t="inlineStr">
        <is>
          <t>Amplitud altitudinal (m)</t>
        </is>
      </c>
      <c r="B20" s="7" t="n">
        <v>460</v>
      </c>
      <c r="C20" s="6" t="inlineStr">
        <is>
          <t>Piso altitudinal dominante</t>
        </is>
      </c>
      <c r="D20" s="7" t="inlineStr">
        <is>
          <t>2000-2500 m (Quechua alta)</t>
        </is>
      </c>
      <c r="E20" s="8" t="n"/>
      <c r="F20" s="8" t="n"/>
    </row>
    <row r="21">
      <c r="A21" s="6" t="inlineStr">
        <is>
          <t>Pendiente promedio (%)</t>
        </is>
      </c>
      <c r="B21" s="7" t="n">
        <v>36.34</v>
      </c>
      <c r="C21" s="6" t="inlineStr">
        <is>
          <t>Pendiente promedio (grados)</t>
        </is>
      </c>
      <c r="D21" s="7" t="n">
        <v>20</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0.555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(88.80 %)</t>
        </is>
      </c>
      <c r="E29" s="8" t="n"/>
      <c r="F29" s="8" t="n"/>
    </row>
    <row r="30">
      <c r="A30" s="6" t="inlineStr">
        <is>
          <t>Superficie clasificada NDVI 2025 (ha)</t>
        </is>
      </c>
      <c r="B30" s="7" t="n">
        <v>54.3</v>
      </c>
      <c r="C30" s="6" t="inlineStr">
        <is>
          <t>Desviación frente al catálogo (%)</t>
        </is>
      </c>
      <c r="D30" s="7" t="n">
        <v>0.02</v>
      </c>
      <c r="E30" s="8" t="n"/>
      <c r="F30" s="8" t="n"/>
    </row>
    <row r="31">
      <c r="A31" s="6" t="inlineStr">
        <is>
          <t>Superficie clasificada MSAVI 2024 (ha)</t>
        </is>
      </c>
      <c r="B31" s="38" t="n">
        <v>54.29</v>
      </c>
      <c r="C31" s="6" t="inlineStr">
        <is>
          <t>Desviación MSAVI frente al catálogo (%)</t>
        </is>
      </c>
      <c r="D31" s="39" t="n">
        <v>0</v>
      </c>
      <c r="E31" s="8" t="n"/>
      <c r="F31" s="8" t="n"/>
    </row>
    <row r="32">
      <c r="A32" s="6" t="inlineStr">
        <is>
          <t>Superficie bajo umbral MSAVI 0.4976 (ha)</t>
        </is>
      </c>
      <c r="B32" s="38" t="n">
        <v>10.28</v>
      </c>
      <c r="C32" s="6" t="inlineStr">
        <is>
          <t>% del bloque bajo umbral (brecha espectral)</t>
        </is>
      </c>
      <c r="D32" s="39" t="n">
        <v>18.94</v>
      </c>
      <c r="E32" s="8" t="n"/>
      <c r="F32" s="8" t="n"/>
    </row>
    <row r="33">
      <c r="A33" s="6" t="inlineStr">
        <is>
          <t>Clase DN dominante (MSAVI 2024)</t>
        </is>
      </c>
      <c r="B33" s="7" t="inlineStr">
        <is>
          <t>DN 4 · 0.4976 - 0.6139 (Vigor moderado)</t>
        </is>
      </c>
      <c r="C33" s="6" t="inlineStr">
        <is>
          <t>N.° de polígonos MSAVI del bloque</t>
        </is>
      </c>
      <c r="D33" s="40" t="n">
        <v>186</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54.29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78</v>
      </c>
      <c r="E38" s="8" t="n"/>
      <c r="F38" s="8" t="n"/>
    </row>
    <row r="39">
      <c r="A39" s="6" t="inlineStr">
        <is>
          <t>Suelo desnudo — campo (%)</t>
        </is>
      </c>
      <c r="B39" s="7" t="n">
        <v>14</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2026-08-01</t>
        </is>
      </c>
      <c r="E44" s="8" t="n"/>
      <c r="F44" s="8" t="n"/>
    </row>
    <row r="45">
      <c r="A45" s="6" t="inlineStr">
        <is>
          <t>Hora de registro</t>
        </is>
      </c>
      <c r="B45" s="7" t="inlineStr">
        <is>
          <t>09:20 - 10:05 h</t>
        </is>
      </c>
      <c r="C45" s="6" t="inlineStr">
        <is>
          <t>Correlativo de ficha</t>
        </is>
      </c>
      <c r="D45" s="7" t="inlineStr">
        <is>
          <t>DT-73-2026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aérea RPAS —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permanente de una ladera montañosa de fuerte pendiente sin prácticas de conservación de suelo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11.1699</v>
      </c>
      <c r="C10" s="19">
        <f>ROUND(B10/$B$15*100,2)</f>
        <v/>
      </c>
      <c r="D10" s="11" t="inlineStr">
        <is>
          <t>Vigor alto</t>
        </is>
      </c>
      <c r="E10" s="11" t="inlineStr">
        <is>
          <t>Sobre umbral</t>
        </is>
      </c>
    </row>
    <row r="11">
      <c r="A11" s="12" t="inlineStr">
        <is>
          <t>0.4976 - 0.6139 · DN 4</t>
        </is>
      </c>
      <c r="B11" s="32" t="n">
        <v>32.8401</v>
      </c>
      <c r="C11" s="31">
        <f>ROUND(B11/$B$15*100,2)</f>
        <v/>
      </c>
      <c r="D11" s="13" t="inlineStr">
        <is>
          <t>Vigor moderado</t>
        </is>
      </c>
      <c r="E11" s="13" t="inlineStr">
        <is>
          <t>Sobre umbral</t>
        </is>
      </c>
    </row>
    <row r="12">
      <c r="A12" s="7" t="inlineStr">
        <is>
          <t>0.3813 - 0.4976 · DN 3</t>
        </is>
      </c>
      <c r="B12" s="18" t="n">
        <v>9.318300000000001</v>
      </c>
      <c r="C12" s="19">
        <f>ROUND(B12/$B$15*100,2)</f>
        <v/>
      </c>
      <c r="D12" s="11" t="inlineStr">
        <is>
          <t>Vigor bajo</t>
        </is>
      </c>
      <c r="E12" s="11" t="inlineStr">
        <is>
          <t>BAJO umbral 0.4976</t>
        </is>
      </c>
    </row>
    <row r="13">
      <c r="A13" s="14" t="inlineStr">
        <is>
          <t>0.2650 - 0.3813 · DN 2</t>
        </is>
      </c>
      <c r="B13" s="20" t="n">
        <v>0.962</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186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54.29</v>
      </c>
      <c r="C18" s="49" t="inlineStr">
        <is>
          <t>—</t>
        </is>
      </c>
      <c r="D18" s="46" t="inlineStr">
        <is>
          <t>Desviación planimétrica frente al catálogo</t>
        </is>
      </c>
      <c r="E18" s="46" t="inlineStr">
        <is>
          <t>+0.00 %</t>
        </is>
      </c>
    </row>
    <row r="19">
      <c r="A19" s="16" t="inlineStr">
        <is>
          <t>MSAVI 2024 — MEDIA DEL BLOQUE</t>
        </is>
      </c>
      <c r="B19" s="17" t="n">
        <v>0.554974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(0.5550)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48.2198</v>
      </c>
      <c r="C25" s="19" t="n">
        <v>88.8</v>
      </c>
      <c r="D25" s="11" t="inlineStr">
        <is>
          <t>Dosel continuo, matorral denso o mosaico agroforestal</t>
        </is>
      </c>
      <c r="E25" s="11" t="inlineStr"/>
    </row>
    <row r="26">
      <c r="A26" s="14" t="inlineStr">
        <is>
          <t>Vegetación mediana</t>
        </is>
      </c>
      <c r="B26" s="20" t="n">
        <v>6.0801</v>
      </c>
      <c r="C26" s="21" t="n">
        <v>11.2</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54.29</v>
      </c>
      <c r="C28" s="25" t="inlineStr">
        <is>
          <t>—</t>
        </is>
      </c>
      <c r="D28" s="25" t="inlineStr">
        <is>
          <t>Desviación planimétrica frente al catálogo</t>
        </is>
      </c>
      <c r="E28" s="25" t="inlineStr">
        <is>
          <t>+0.02 %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78 % frente a un 88.80 % del polígono clasificado como «Vegetación alta» por el NDVI 2025; la observación de campo corresponde a una parcela o recorrido puntual y no es estadísticamente representativa de las 54.290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73</t>
        </is>
      </c>
    </row>
    <row r="6" ht="24" customHeight="1">
      <c r="A6" s="4" t="inlineStr">
        <is>
          <t>Levantamiento del 2026-08-01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658547</v>
      </c>
      <c r="D10" s="26" t="n">
        <v>9395594</v>
      </c>
      <c r="E10" s="11" t="n">
        <v>0</v>
      </c>
      <c r="F10" s="11" t="inlineStr"/>
      <c r="G10" s="11" t="inlineStr">
        <is>
          <t>Coordenada consignada en F-DT-01</t>
        </is>
      </c>
    </row>
    <row r="11">
      <c r="A11" s="14" t="inlineStr">
        <is>
          <t>H-01</t>
        </is>
      </c>
      <c r="B11" s="15" t="inlineStr">
        <is>
          <t>Fuente de agua — Quebrada estacional</t>
        </is>
      </c>
      <c r="C11" s="27" t="n">
        <v>658900</v>
      </c>
      <c r="D11" s="27" t="n">
        <v>9395400</v>
      </c>
      <c r="E11" s="15" t="n">
        <v>402.8</v>
      </c>
      <c r="F11" s="15" t="inlineStr">
        <is>
          <t>Estacional</t>
        </is>
      </c>
      <c r="G11" s="15" t="inlineStr">
        <is>
          <t>Cauce encajonado del fondo</t>
        </is>
      </c>
    </row>
    <row r="12">
      <c r="A12" s="7" t="inlineStr">
        <is>
          <t>H-02</t>
        </is>
      </c>
      <c r="B12" s="11" t="inlineStr">
        <is>
          <t>Fuente de agua — Quebrada estacional</t>
        </is>
      </c>
      <c r="C12" s="26" t="n">
        <v>658050</v>
      </c>
      <c r="D12" s="26" t="n">
        <v>9395450</v>
      </c>
      <c r="E12" s="11" t="n">
        <v>517.4</v>
      </c>
      <c r="F12" s="11" t="inlineStr">
        <is>
          <t>Estacional</t>
        </is>
      </c>
      <c r="G12" s="11" t="inlineStr">
        <is>
          <t>Vaguada del flanco occidental</t>
        </is>
      </c>
    </row>
    <row r="13">
      <c r="A13" s="14" t="inlineStr">
        <is>
          <t>H-03</t>
        </is>
      </c>
      <c r="B13" s="15" t="inlineStr">
        <is>
          <t>Fuente de agua — Canal de riego</t>
        </is>
      </c>
      <c r="C13" s="27" t="n">
        <v>658400</v>
      </c>
      <c r="D13" s="27" t="n">
        <v>9395300</v>
      </c>
      <c r="E13" s="15" t="n">
        <v>328.7</v>
      </c>
      <c r="F13" s="15" t="inlineStr">
        <is>
          <t>Permanente</t>
        </is>
      </c>
      <c r="G13" s="15" t="inlineStr">
        <is>
          <t>Acequia de conducción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658547</v>
      </c>
      <c r="C16" s="6" t="inlineStr">
        <is>
          <t>Centroide del bloque — UTM NORTE (m)</t>
        </is>
      </c>
      <c r="D16" s="7" t="n">
        <v>9395594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4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mediante VUELO DE RPAS (dron) el 01-08-2026. Rango altitudinal 1 845-2 305 msnm (amplitud 460 m): el polígono CABALGA LAS CLASES 1500-2000 m y 2000-2500 m; se consigna la clase dominante en superficie. Pendiente promedio zonal (MDE) 36.34%, LA SEGUNDA MÁS ALTA de los once bloques de la microcuenca C1076-Q9592. Coordenada consignada = CENTROIDE del bloque (catálogo Bloques V5); el punto GPS del operador de dron queda por relevar. REMOCIONES EN MASA ACTIVAS: no se observaron cicatrices frescas durante el vuelo, pero sí escarpes rocosos en cresta, terracetas de reptación y bolonería desprendida en ladera media; el registro «No» corresponde a eventos activos en el momento de la inspección y NO DESCARTA ACTIVIDAD ESTACIONAL.</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 73</t>
        </is>
      </c>
      <c r="B13" s="30" t="n">
        <v>54.29</v>
      </c>
      <c r="C13" s="31" t="n">
        <v>11.28</v>
      </c>
      <c r="D13" s="13" t="inlineStr">
        <is>
          <t>1845 – 2305</t>
        </is>
      </c>
      <c r="E13" s="13" t="n">
        <v>460</v>
      </c>
      <c r="F13" s="13" t="n">
        <v>36.34</v>
      </c>
      <c r="G13" s="32" t="n">
        <v>0.555</v>
      </c>
      <c r="H13" s="31" t="n">
        <v>88.8</v>
      </c>
      <c r="I13" s="3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73 ocupa el puesto 4 de 11 por superficie dentro de la microcuenca C1076-Q9592 (11.28 % de las 481.17 ha preliminares de la microcuenca). Su pendiente promedio (36.34 %, clase «25-50% (Mod. escarpado)») es la 10.ª más baja de 11 y se sitúa por encima del promedio de la microcuenca (29.39 %). Su MSAVI 2024 (0.5550) es el 5.º de 11 y queda por encima del promedio local (0.5435). Amplitud altitudinal del bloque: 460 m (1845–2305 msnm). El cuadro conserva todos los bloques catalogados en la microcuenca, incluidos los descartados en el tamizaje, para referencia del conjunto. Los bloques sin ficha DT figuran con sus parámetros de gabinete. BRECHA ESPECTRAL. El 18.94 % de la superficie del bloque (10.280 ha de 54.290 ha) se sitúa bajo el umbral MSAVI 0.4976, por debajo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73</t>
        </is>
      </c>
    </row>
    <row r="6">
      <c r="A6" s="51" t="inlineStr">
        <is>
          <t>Cruce de la ficha de campo F-DT vigente con la ficha de resumen de gabinete y el catálogo maestro. Integración 2026-09-11 21:26:30.</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«C1076-Q9592».</t>
        </is>
      </c>
      <c r="D9" s="55" t="inlineStr">
        <is>
          <t>CONFORME</t>
        </is>
      </c>
      <c r="E9" s="55" t="inlineStr">
        <is>
          <t>Sin acción.</t>
        </is>
      </c>
    </row>
    <row r="10">
      <c r="A10" s="56" t="inlineStr">
        <is>
          <t>G-02</t>
        </is>
      </c>
      <c r="B10" s="56" t="inlineStr">
        <is>
          <t>UTM del punto de muestreo</t>
        </is>
      </c>
      <c r="C10" s="56" t="inlineStr">
        <is>
          <t>El punto de muestreo declarado dista 0.0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(2075 msnm) cae dentro del rango altitudinal del bloque (1845 - 2305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(54.300 ha) se desvía 0.02 % de la superficie de catálogo (54.29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(54.290 ha) se desvía 0.00 % de la superficie de catálogo (54.29 ha).</t>
        </is>
      </c>
      <c r="D14" s="56" t="inlineStr">
        <is>
          <t>CONFORME</t>
        </is>
      </c>
      <c r="E14" s="56" t="inlineStr">
        <is>
          <t>Sin acción: la segmentación valida la geometría del bloque.</t>
        </is>
      </c>
    </row>
    <row r="15">
      <c r="A15" s="55" t="inlineStr">
        <is>
          <t>G-07</t>
        </is>
      </c>
      <c r="B15" s="55" t="inlineStr">
        <is>
          <t>Brecha espectral MSAVI</t>
        </is>
      </c>
      <c r="C15" s="55" t="inlineStr">
        <is>
          <t>El 18.94 % del bloque queda bajo el umbral 0.4976; superficie de brecha 10.28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54.29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(0.5550)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100.0 % de los campos esperados).</t>
        </is>
      </c>
      <c r="D19" s="55" t="inlineStr">
        <is>
          <t>CONFORME</t>
        </is>
      </c>
      <c r="E19" s="55" t="inlineStr">
        <is>
          <t>Sin acción.</t>
        </is>
      </c>
    </row>
    <row r="20">
      <c r="A20" s="56" t="inlineStr">
        <is>
          <t>F-02</t>
        </is>
      </c>
      <c r="B20" s="56" t="inlineStr">
        <is>
          <t>Cobertura de la integración</t>
        </is>
      </c>
      <c r="C20" s="56" t="inlineStr">
        <is>
          <t>Se declararon 102 de 114 hechos integrados (89.5 %); 12 quedan sin dato en ninguna fuente.</t>
        </is>
      </c>
      <c r="D20" s="56" t="inlineStr">
        <is>
          <t>CONFORME</t>
        </is>
      </c>
      <c r="E20" s="56" t="inlineStr">
        <is>
          <t>Sin acción.</t>
        </is>
      </c>
    </row>
    <row r="21">
      <c r="A21" s="55" t="inlineStr">
        <is>
          <t>H-01</t>
        </is>
      </c>
      <c r="B21" s="55" t="inlineStr">
        <is>
          <t>Cobertura vegetal total</t>
        </is>
      </c>
      <c r="C21" s="55" t="inlineStr">
        <is>
          <t>La ficha DT estima 78 % de cobertura vegetal en campo; el NDVI mediana 2025 clasifica 100.00 % del polígono en clases de vegetación</t>
        </is>
      </c>
      <c r="D21" s="55" t="inlineStr">
        <is>
          <t>NO SUSTANTIVA</t>
        </is>
      </c>
      <c r="E21"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
      <c r="A22" s="56" t="inlineStr">
        <is>
          <t>H-02</t>
        </is>
      </c>
      <c r="B22" s="56" t="inlineStr">
        <is>
          <t>Dimensiones del inventario de cárcavas</t>
        </is>
      </c>
      <c r="C22" s="56" t="inlineStr">
        <is>
          <t>Se registran 0 = no inventariadas rasgos erosivos, pero longitud, profundidad y ancho no fueron medidos instrumentalmente</t>
        </is>
      </c>
      <c r="D22" s="56" t="inlineStr">
        <is>
          <t>NO SUSTANTIVA</t>
        </is>
      </c>
      <c r="E22" s="56" t="inlineStr">
        <is>
          <t>El conteo registrado no debe usarse para calcular densidad de cárcavas por hectárea. Pendiente de levantamiento con GPS submétrico. (Verificación heredada de la ficha de resumen V6.)</t>
        </is>
      </c>
    </row>
    <row r="23">
      <c r="A23" s="55" t="inlineStr">
        <is>
          <t>H-03</t>
        </is>
      </c>
      <c r="B23" s="55" t="inlineStr">
        <is>
          <t>Elenco florístico</t>
        </is>
      </c>
      <c r="C23" s="55" t="inlineStr">
        <is>
          <t>La ficha registra 11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Representatividad del levantamiento</t>
        </is>
      </c>
      <c r="C24" s="56" t="inlineStr">
        <is>
          <t>Ninguna de las estaciones fotográficas georreferenciadas se localiza dentro del polígono del bloque</t>
        </is>
      </c>
      <c r="D24" s="56" t="inlineStr">
        <is>
          <t>SUSTANTIVA</t>
        </is>
      </c>
      <c r="E24" s="56" t="inlineStr">
        <is>
          <t>La verificación documenta el perímetro y la vista panorámica del bloque, no su interior. Los parámetros que exigen recorrido interno se consignan «Por determinar». (Verificación heredada de la ficha de resumen V6.)</t>
        </is>
      </c>
    </row>
    <row r="25">
      <c r="A25" s="55" t="inlineStr">
        <is>
          <t>H-05</t>
        </is>
      </c>
      <c r="B25" s="55" t="inlineStr">
        <is>
          <t>Centro poblado asociado</t>
        </is>
      </c>
      <c r="C25" s="55" t="inlineStr">
        <is>
          <t>La ficha DT declara «Chococa»; el cruce INEI-Bloques V5 identifica 1 centro(s) poblado(s) en el bloque: CHOCOCA</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6">
      <c r="A26" s="56" t="inlineStr">
        <is>
          <t>H-06</t>
        </is>
      </c>
      <c r="B26" s="56" t="inlineStr">
        <is>
          <t>Ficha DT</t>
        </is>
      </c>
      <c r="C26" s="56" t="inlineStr">
        <is>
          <t>La ficha consigna microcuenca C1076-Q9584; el catálogo maestro asigna al bloque 73 la microcuenca C1076-Q9592</t>
        </is>
      </c>
      <c r="D26" s="56" t="inlineStr">
        <is>
          <t>SUSTANTIVA</t>
        </is>
      </c>
      <c r="E26" s="56" t="inlineStr">
        <is>
          <t>Valor por defecto de la plantilla; se conserva el del catálogo (Verificación heredada de la ficha de resumen V6.)</t>
        </is>
      </c>
    </row>
    <row r="27">
      <c r="A27" s="55" t="inlineStr">
        <is>
          <t>H-07</t>
        </is>
      </c>
      <c r="B27" s="55" t="inlineStr">
        <is>
          <t>F-DT-01</t>
        </is>
      </c>
      <c r="C27" s="55" t="inlineStr">
        <is>
          <t>Rango altitudinal 1845-2305 msnm cabalga dos clases altitudinales</t>
        </is>
      </c>
      <c r="D27" s="55" t="inlineStr">
        <is>
          <t>NO SUSTANTIVA</t>
        </is>
      </c>
      <c r="E27" s="55" t="inlineStr">
        <is>
          <t>Se consigna la clase dominante en superficie (Verificación heredada de la ficha de resumen V6.)</t>
        </is>
      </c>
    </row>
    <row r="28">
      <c r="A28" s="56" t="inlineStr">
        <is>
          <t>H-08</t>
        </is>
      </c>
      <c r="B28" s="56" t="inlineStr">
        <is>
          <t>F-DT-02</t>
        </is>
      </c>
      <c r="C28" s="56" t="inlineStr">
        <is>
          <t>0 cárcavas registradas sin inventario ejecutado</t>
        </is>
      </c>
      <c r="D28" s="56" t="inlineStr">
        <is>
          <t>SUSTANTIVA</t>
        </is>
      </c>
      <c r="E28" s="56" t="inlineStr">
        <is>
          <t>Pendiente de ortomosaico y MDS del vuelo del 01-08-2026 (Verificación heredada de la ficha de resumen V6.)</t>
        </is>
      </c>
    </row>
    <row r="29">
      <c r="A29" s="55" t="inlineStr">
        <is>
          <t>H-09</t>
        </is>
      </c>
      <c r="B29" s="55" t="inlineStr">
        <is>
          <t>F-DT-03</t>
        </is>
      </c>
      <c r="C29" s="55" t="inlineStr">
        <is>
          <t>Coordenadas de las especies clave = centroide del bloque, no ubicación individual</t>
        </is>
      </c>
      <c r="D29" s="55" t="inlineStr">
        <is>
          <t>NO SUSTANTIVA</t>
        </is>
      </c>
      <c r="E29" s="55" t="inlineStr">
        <is>
          <t>Declarado en la propia ficha (Verificación heredada de la ficha de resumen V6.)</t>
        </is>
      </c>
    </row>
    <row r="30">
      <c r="A30" s="56" t="inlineStr">
        <is>
          <t>H-10</t>
        </is>
      </c>
      <c r="B30" s="56" t="inlineStr">
        <is>
          <t>F-DT-04</t>
        </is>
      </c>
      <c r="C30" s="56" t="inlineStr">
        <is>
          <t>Divergencia MSAVI 2024 (60.4% en clase moderada) vs. NDVI 2025 (88.3% vegetación alta)</t>
        </is>
      </c>
      <c r="D30" s="56" t="inlineStr">
        <is>
          <t>SUSTANTIVA</t>
        </is>
      </c>
      <c r="E30" s="56" t="inlineStr">
        <is>
          <t>Se adopta el MSAVI como lectura preferente (Verificación heredada de la ficha de resumen V6.)</t>
        </is>
      </c>
    </row>
    <row r="31">
      <c r="A31" s="55" t="inlineStr">
        <is>
          <t>H-11</t>
        </is>
      </c>
      <c r="B31" s="55" t="inlineStr">
        <is>
          <t>F-DT-05</t>
        </is>
      </c>
      <c r="C31" s="55" t="inlineStr">
        <is>
          <t>Interferencia con riego SÍ: acequia de conducción en curva de nivel dentro del bloque</t>
        </is>
      </c>
      <c r="D31" s="55" t="inlineStr">
        <is>
          <t>SUSTANTIVA</t>
        </is>
      </c>
      <c r="E31" s="55" t="inlineStr">
        <is>
          <t>El diseño de zanjas de infiltración debe verificar la no interferencia (Verificación heredada de la ficha de resumen V6.)</t>
        </is>
      </c>
    </row>
    <row r="33">
      <c r="A33" s="57" t="inlineStr">
        <is>
          <t>RESUMEN</t>
        </is>
      </c>
      <c r="B33" s="58" t="inlineStr">
        <is>
          <t>23 verificaciones</t>
        </is>
      </c>
      <c r="C33" s="58" t="inlineStr">
        <is>
          <t>SUSTANTIVA: 7 · NO SUSTANTIVA: 4 · CONFORME: 12</t>
        </is>
      </c>
    </row>
    <row r="35">
      <c r="A35"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73</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658547</t>
        </is>
      </c>
      <c r="D13" s="55" t="inlineStr">
        <is>
          <t>m</t>
        </is>
      </c>
    </row>
    <row r="14">
      <c r="A14" s="56" t="inlineStr">
        <is>
          <t>1. Identificación y localización</t>
        </is>
      </c>
      <c r="B14" s="56" t="inlineStr">
        <is>
          <t>UTM NORTE del punto de muestreo (m)</t>
        </is>
      </c>
      <c r="C14" s="56" t="inlineStr">
        <is>
          <t>9395594</t>
        </is>
      </c>
      <c r="D14" s="56" t="inlineStr">
        <is>
          <t>m</t>
        </is>
      </c>
    </row>
    <row r="15">
      <c r="A15" s="55" t="inlineStr">
        <is>
          <t>2. Parámetros físicos del terreno</t>
        </is>
      </c>
      <c r="B15" s="55" t="inlineStr">
        <is>
          <t>Altitud GPS del punto de muestreo (msnm)</t>
        </is>
      </c>
      <c r="C15" s="55" t="inlineStr">
        <is>
          <t>2075</t>
        </is>
      </c>
      <c r="D15" s="55" t="inlineStr">
        <is>
          <t>msnm</t>
        </is>
      </c>
    </row>
    <row r="16">
      <c r="A16" s="56" t="inlineStr">
        <is>
          <t>2. Parámetros físicos del terreno</t>
        </is>
      </c>
      <c r="B16" s="56" t="inlineStr">
        <is>
          <t>Piso altitudinal del punto de muestreo</t>
        </is>
      </c>
      <c r="C16" s="56" t="inlineStr">
        <is>
          <t>2000-2500 m (Quechua alta)</t>
        </is>
      </c>
      <c r="D16" s="56" t="inlineStr"/>
    </row>
    <row r="17">
      <c r="A17" s="55" t="inlineStr">
        <is>
          <t>2. Parámetros físicos del terreno</t>
        </is>
      </c>
      <c r="B17" s="55" t="inlineStr">
        <is>
          <t>Paisaje dominante descrito en campo</t>
        </is>
      </c>
      <c r="C17" s="55" t="inlineStr">
        <is>
          <t>Ladera de montaña de exposición sur, coronada por cresta con afloramientos rocosos y escarpes subverticales. Mosaico de matorral semidenso, pastizal seco con bolonería superficial, parches de dosel arbóreo en vaguadas húmedas y parcelas agrícolas (plátano, café, maíz) y pastos cultivados en rellanos y fondos de quebrada. Plantaciones de eucalipto y grevilea en el entorno del caserío.</t>
        </is>
      </c>
      <c r="D17" s="55" t="inlineStr"/>
    </row>
    <row r="18">
      <c r="A18" s="56" t="inlineStr">
        <is>
          <t>2. Parámetros físicos del terreno</t>
        </is>
      </c>
      <c r="B18" s="56" t="inlineStr">
        <is>
          <t>Reptación de suelo</t>
        </is>
      </c>
      <c r="C18" s="56" t="inlineStr">
        <is>
          <t>Sí</t>
        </is>
      </c>
      <c r="D18" s="56" t="inlineStr"/>
    </row>
    <row r="19">
      <c r="A19" s="55" t="inlineStr">
        <is>
          <t>2. Parámetros físicos del terreno</t>
        </is>
      </c>
      <c r="B19" s="55" t="inlineStr">
        <is>
          <t>Deslizamientos antiguos</t>
        </is>
      </c>
      <c r="C19" s="55" t="inlineStr">
        <is>
          <t>Sí</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 del bloque afectado por cárcavas</t>
        </is>
      </c>
      <c r="C24" s="56" t="inlineStr">
        <is>
          <t>0</t>
        </is>
      </c>
      <c r="D24" s="56" t="inlineStr">
        <is>
          <t>%</t>
        </is>
      </c>
    </row>
    <row r="25">
      <c r="A25" s="55" t="inlineStr">
        <is>
          <t>4. Suelos y erosión (F-DT-02)</t>
        </is>
      </c>
      <c r="B25" s="55" t="inlineStr">
        <is>
          <t>Patrón de cárcavas</t>
        </is>
      </c>
      <c r="C25" s="55" t="inlineStr">
        <is>
          <t>Aislado</t>
        </is>
      </c>
      <c r="D25" s="55" t="inlineStr"/>
    </row>
    <row r="26">
      <c r="A26" s="56" t="inlineStr">
        <is>
          <t>4. Suelos y erosión (F-DT-02)</t>
        </is>
      </c>
      <c r="B26" s="56" t="inlineStr">
        <is>
          <t>Socavamiento de cauce</t>
        </is>
      </c>
      <c r="C26" s="56" t="inlineStr">
        <is>
          <t>Sí</t>
        </is>
      </c>
      <c r="D26" s="56" t="inlineStr"/>
    </row>
    <row r="27">
      <c r="A27" s="55" t="inlineStr">
        <is>
          <t>5. Ecosistema, cobertura y flora (F-DT-03)</t>
        </is>
      </c>
      <c r="B27" s="55" t="inlineStr">
        <is>
          <t>Cobertura del dosel (%)</t>
        </is>
      </c>
      <c r="C27" s="55" t="inlineStr">
        <is>
          <t>25</t>
        </is>
      </c>
      <c r="D27" s="55" t="inlineStr">
        <is>
          <t>%</t>
        </is>
      </c>
    </row>
    <row r="28">
      <c r="A28" s="56" t="inlineStr">
        <is>
          <t>5. Ecosistema, cobertura y flora (F-DT-03)</t>
        </is>
      </c>
      <c r="B28" s="56" t="inlineStr">
        <is>
          <t>Cobertura arbustiva (%)</t>
        </is>
      </c>
      <c r="C28" s="56" t="inlineStr">
        <is>
          <t>35</t>
        </is>
      </c>
      <c r="D28" s="56" t="inlineStr">
        <is>
          <t>%</t>
        </is>
      </c>
    </row>
    <row r="29">
      <c r="A29" s="55" t="inlineStr">
        <is>
          <t>5. Ecosistema, cobertura y flora (F-DT-03)</t>
        </is>
      </c>
      <c r="B29" s="55" t="inlineStr">
        <is>
          <t>Cobertura herbácea (%)</t>
        </is>
      </c>
      <c r="C29" s="55" t="inlineStr">
        <is>
          <t>18</t>
        </is>
      </c>
      <c r="D29" s="55" t="inlineStr">
        <is>
          <t>%</t>
        </is>
      </c>
    </row>
    <row r="30">
      <c r="A30" s="56" t="inlineStr">
        <is>
          <t>5. Ecosistema, cobertura y flora (F-DT-03)</t>
        </is>
      </c>
      <c r="B30" s="56" t="inlineStr">
        <is>
          <t>Cobertura de hojarasca (%)</t>
        </is>
      </c>
      <c r="C30" s="56" t="inlineStr">
        <is>
          <t>8</t>
        </is>
      </c>
      <c r="D30" s="56" t="inlineStr">
        <is>
          <t>%</t>
        </is>
      </c>
    </row>
    <row r="31">
      <c r="A31" s="55" t="inlineStr">
        <is>
          <t>5. Ecosistema, cobertura y flora (F-DT-03)</t>
        </is>
      </c>
      <c r="B31" s="55" t="inlineStr">
        <is>
          <t>Altura del estrato dominante (m)</t>
        </is>
      </c>
      <c r="C31" s="55" t="inlineStr">
        <is>
          <t>3.5</t>
        </is>
      </c>
      <c r="D31" s="55" t="inlineStr">
        <is>
          <t>m</t>
        </is>
      </c>
    </row>
    <row r="32">
      <c r="A32" s="56" t="inlineStr">
        <is>
          <t>5. Ecosistema, cobertura y flora (F-DT-03)</t>
        </is>
      </c>
      <c r="B32" s="56" t="inlineStr">
        <is>
          <t>Altura máxima registrada (m)</t>
        </is>
      </c>
      <c r="C32" s="56" t="inlineStr">
        <is>
          <t>22</t>
        </is>
      </c>
      <c r="D32" s="56" t="inlineStr">
        <is>
          <t>m</t>
        </is>
      </c>
    </row>
    <row r="33">
      <c r="A33" s="55" t="inlineStr">
        <is>
          <t>5. Ecosistema, cobertura y flora (F-DT-03)</t>
        </is>
      </c>
      <c r="B33" s="55" t="inlineStr">
        <is>
          <t>Presencia de epífitas</t>
        </is>
      </c>
      <c r="C33" s="55" t="inlineStr">
        <is>
          <t>Sí</t>
        </is>
      </c>
      <c r="D33" s="55" t="inlineStr"/>
    </row>
    <row r="34">
      <c r="A34" s="56" t="inlineStr">
        <is>
          <t>5. Ecosistema, cobertura y flora (F-DT-03)</t>
        </is>
      </c>
      <c r="B34" s="56" t="inlineStr">
        <is>
          <t>Fenología dominante</t>
        </is>
      </c>
      <c r="C34" s="56" t="inlineStr">
        <is>
          <t>Vegetativo</t>
        </is>
      </c>
      <c r="D34" s="56" t="inlineStr"/>
    </row>
    <row r="35">
      <c r="A35" s="55" t="inlineStr">
        <is>
          <t>5. Ecosistema, cobertura y flora (F-DT-03)</t>
        </is>
      </c>
      <c r="B35" s="55" t="inlineStr">
        <is>
          <t>Dimensiones de la parcela (m)</t>
        </is>
      </c>
      <c r="C35" s="55" t="inlineStr">
        <is>
          <t>No aplica (sin parcela)</t>
        </is>
      </c>
      <c r="D35" s="55" t="inlineStr"/>
    </row>
    <row r="36">
      <c r="A36" s="56" t="inlineStr">
        <is>
          <t>5. Ecosistema, cobertura y flora (F-DT-03)</t>
        </is>
      </c>
      <c r="B36" s="56" t="inlineStr">
        <is>
          <t>Pendiente de la parcela (%)</t>
        </is>
      </c>
      <c r="C36" s="56" t="inlineStr">
        <is>
          <t>36.34</t>
        </is>
      </c>
      <c r="D36" s="56" t="inlineStr">
        <is>
          <t>%</t>
        </is>
      </c>
    </row>
    <row r="37">
      <c r="A37" s="55" t="inlineStr">
        <is>
          <t>5. Ecosistema, cobertura y flora (F-DT-03)</t>
        </is>
      </c>
      <c r="B37" s="55" t="inlineStr">
        <is>
          <t>Especies clave georreferenciadas</t>
        </is>
      </c>
      <c r="C37" s="55" t="inlineStr">
        <is>
          <t>5</t>
        </is>
      </c>
      <c r="D37" s="55" t="inlineStr"/>
    </row>
    <row r="38">
      <c r="A38" s="56" t="inlineStr">
        <is>
          <t>6. Degradación, causas y urgencia (F-DT-04)</t>
        </is>
      </c>
      <c r="B38" s="56" t="inlineStr">
        <is>
          <t>Causas directas de la degradación</t>
        </is>
      </c>
      <c r="C38" s="56" t="inlineStr">
        <is>
          <t>Sobrepastoreo caprino y vacuno sobre ladera de fuerte pendiente (causa dominante, 35 % del bloque), conversión de matorral a pastos cultivados y a agricultura de secano en rellanos y fondos de quebrada, y erosión natural severa asociada a la litología con afloramientos y a la pendiente de 36.34 %.</t>
        </is>
      </c>
      <c r="D38" s="56" t="inlineStr"/>
    </row>
    <row r="39">
      <c r="A39" s="55" t="inlineStr">
        <is>
          <t>6. Degradación, causas y urgencia (F-DT-04)</t>
        </is>
      </c>
      <c r="B39" s="55" t="inlineStr">
        <is>
          <t>N.° de causas activas en la matriz F-DT-04</t>
        </is>
      </c>
      <c r="C39" s="55" t="inlineStr">
        <is>
          <t>7</t>
        </is>
      </c>
      <c r="D39" s="55" t="inlineStr"/>
    </row>
    <row r="40">
      <c r="A40" s="56" t="inlineStr">
        <is>
          <t>7. Hidrología, acceso y logística (F-DT-05)</t>
        </is>
      </c>
      <c r="B40" s="56" t="inlineStr">
        <is>
          <t>Fuentes de agua inventariadas</t>
        </is>
      </c>
      <c r="C40" s="56" t="inlineStr">
        <is>
          <t>3</t>
        </is>
      </c>
      <c r="D40" s="56" t="inlineStr"/>
    </row>
    <row r="41">
      <c r="A41" s="55" t="inlineStr">
        <is>
          <t>7. Hidrología, acceso y logística (F-DT-05)</t>
        </is>
      </c>
      <c r="B41" s="55" t="inlineStr">
        <is>
          <t>Interferencia con riego</t>
        </is>
      </c>
      <c r="C41" s="55" t="inlineStr">
        <is>
          <t>Sí</t>
        </is>
      </c>
      <c r="D41" s="55" t="inlineStr"/>
    </row>
    <row r="42">
      <c r="A42" s="56" t="inlineStr">
        <is>
          <t>7. Hidrología, acceso y logística (F-DT-05)</t>
        </is>
      </c>
      <c r="B42" s="56" t="inlineStr">
        <is>
          <t>Vía principal de acceso</t>
        </is>
      </c>
      <c r="C42" s="56" t="inlineStr">
        <is>
          <t>Trocha carrozable de acceso al caserío Chococa (código de ruta por verificar con el MTC)</t>
        </is>
      </c>
      <c r="D42" s="56" t="inlineStr"/>
    </row>
    <row r="43">
      <c r="A43" s="55" t="inlineStr">
        <is>
          <t>7. Hidrología, acceso y logística (F-DT-05)</t>
        </is>
      </c>
      <c r="B43" s="55" t="inlineStr">
        <is>
          <t>Tipo de vía del tramo final</t>
        </is>
      </c>
      <c r="C43" s="55" t="inlineStr">
        <is>
          <t>Trocha carrozable</t>
        </is>
      </c>
      <c r="D43" s="55" t="inlineStr"/>
    </row>
    <row r="44">
      <c r="A44" s="56" t="inlineStr">
        <is>
          <t>7. Hidrología, acceso y logística (F-DT-05)</t>
        </is>
      </c>
      <c r="B44" s="56" t="inlineStr">
        <is>
          <t>Transitabilidad en época seca</t>
        </is>
      </c>
      <c r="C44" s="56" t="inlineStr">
        <is>
          <t>Medio</t>
        </is>
      </c>
      <c r="D44" s="56" t="inlineStr"/>
    </row>
    <row r="45">
      <c r="A45" s="55" t="inlineStr">
        <is>
          <t>7. Hidrología, acceso y logística (F-DT-05)</t>
        </is>
      </c>
      <c r="B45" s="55" t="inlineStr">
        <is>
          <t>Transitabilidad en época lluviosa</t>
        </is>
      </c>
      <c r="C45" s="55" t="inlineStr">
        <is>
          <t>Bajo</t>
        </is>
      </c>
      <c r="D45" s="55" t="inlineStr"/>
    </row>
    <row r="46">
      <c r="A46" s="56" t="inlineStr">
        <is>
          <t>7. Hidrología, acceso y logística (F-DT-05)</t>
        </is>
      </c>
      <c r="B46" s="56" t="inlineStr">
        <is>
          <t>Señal celular</t>
        </is>
      </c>
      <c r="C46" s="56" t="inlineStr">
        <is>
          <t>Parcial</t>
        </is>
      </c>
      <c r="D46" s="56" t="inlineStr"/>
    </row>
    <row r="47">
      <c r="A47" s="55" t="inlineStr">
        <is>
          <t>7. Hidrología, acceso y logística (F-DT-05)</t>
        </is>
      </c>
      <c r="B47" s="55" t="inlineStr">
        <is>
          <t>Requiere coordinación con ronda / comunidad</t>
        </is>
      </c>
      <c r="C47" s="55" t="inlineStr">
        <is>
          <t>Sí</t>
        </is>
      </c>
      <c r="D47" s="55" t="inlineStr"/>
    </row>
    <row r="48">
      <c r="A48" s="56" t="inlineStr">
        <is>
          <t>7. Hidrología, acceso y logística (F-DT-05)</t>
        </is>
      </c>
      <c r="B48" s="56" t="inlineStr">
        <is>
          <t>Contacto local de coordinación</t>
        </is>
      </c>
      <c r="C48" s="56" t="inlineStr">
        <is>
          <t>Por identificar nominalmente durante la aplicación de F-DS-03 en Chococa</t>
        </is>
      </c>
      <c r="D48" s="56" t="inlineStr"/>
    </row>
    <row r="50">
      <c r="A50" s="53" t="inlineStr">
        <is>
          <t>C. PROCEDENCIA DE LOS HECHOS DECLARADOS</t>
        </is>
      </c>
    </row>
    <row r="51">
      <c r="A51" s="54" t="inlineStr">
        <is>
          <t>Fuente</t>
        </is>
      </c>
      <c r="B51" s="54" t="inlineStr">
        <is>
          <t>Hechos</t>
        </is>
      </c>
      <c r="C51" s="54" t="inlineStr">
        <is>
          <t>Alcance de la fuente</t>
        </is>
      </c>
    </row>
    <row r="52">
      <c r="A52" s="55" t="inlineStr">
        <is>
          <t>Dato de campo</t>
        </is>
      </c>
      <c r="B52" s="55" t="n">
        <v>67</v>
      </c>
      <c r="C52" s="55" t="inlineStr">
        <is>
          <t>Verificación en campo. Fichas F-DT-01 a F-DT-05 de la Plantilla DT Campo Check Validada V5, suscritas por el evaluador.</t>
        </is>
      </c>
    </row>
    <row r="53">
      <c r="A53" s="56" t="inlineStr">
        <is>
          <t>Gabinete (GIS / teledetección)</t>
        </is>
      </c>
      <c r="B53" s="56" t="n">
        <v>21</v>
      </c>
      <c r="C53" s="56" t="inlineStr">
        <is>
          <t>Gabinete. Estadística zonal sobre el MDE y compuestos Sentinel-2 (NDVI mediana 2025, MSAVI 2024 por clase DN).</t>
        </is>
      </c>
    </row>
    <row r="54">
      <c r="A54" s="55" t="inlineStr">
        <is>
          <t>Fuente oficial</t>
        </is>
      </c>
      <c r="B54" s="55" t="n">
        <v>14</v>
      </c>
      <c r="C54" s="55" t="inlineStr">
        <is>
          <t>Fuente oficial. Catálogo maestro Bloques V5/V6, división política INEI y codificación de microcuencas de la ANA.</t>
        </is>
      </c>
    </row>
    <row r="56">
      <c r="A56" s="53" t="inlineStr">
        <is>
          <t>D. ESTADO DEL CRUCE ENTRE FUENTES</t>
        </is>
      </c>
    </row>
    <row r="57">
      <c r="A57" s="54" t="inlineStr">
        <is>
          <t>Estado</t>
        </is>
      </c>
      <c r="B57" s="54" t="inlineStr">
        <is>
          <t>Hechos</t>
        </is>
      </c>
      <c r="C57" s="54" t="inlineStr">
        <is>
          <t>Significado</t>
        </is>
      </c>
    </row>
    <row r="58">
      <c r="A58" s="55" t="inlineStr">
        <is>
          <t>CONFORME</t>
        </is>
      </c>
      <c r="B58" s="55" t="n">
        <v>102</v>
      </c>
      <c r="C58" s="55" t="inlineStr">
        <is>
          <t>Las dos fuentes declaran lo mismo, o solo la fuente que manda sobre el hecho lo declara.</t>
        </is>
      </c>
    </row>
    <row r="59">
      <c r="A59" s="56" t="inlineStr">
        <is>
          <t>COMPLEMENTADO</t>
        </is>
      </c>
      <c r="B59" s="56" t="n">
        <v>0</v>
      </c>
      <c r="C59" s="56" t="inlineStr">
        <is>
          <t>Solo una de las fuentes lo declara y se adopta ese valor.</t>
        </is>
      </c>
    </row>
    <row r="60">
      <c r="A60" s="55" t="inlineStr">
        <is>
          <t>ACTUALIZADO</t>
        </is>
      </c>
      <c r="B60" s="55" t="n">
        <v>0</v>
      </c>
      <c r="C60" s="55" t="inlineStr">
        <is>
          <t>La verificación de campo vigente corrige lo que traía el libro de resumen.</t>
        </is>
      </c>
    </row>
    <row r="61">
      <c r="A61" s="56" t="inlineStr">
        <is>
          <t>DISCREPANTE</t>
        </is>
      </c>
      <c r="B61" s="56" t="n">
        <v>0</v>
      </c>
      <c r="C61" s="56" t="inlineStr">
        <is>
          <t>Las fuentes se contradicen; prevalece la que manda sobre el hecho y la otra queda declarada.</t>
        </is>
      </c>
    </row>
    <row r="62">
      <c r="A62" s="55" t="inlineStr">
        <is>
          <t>PENDIENTE</t>
        </is>
      </c>
      <c r="B62" s="55" t="n">
        <v>12</v>
      </c>
      <c r="C62"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73</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Eucalipto</t>
        </is>
      </c>
      <c r="C13" s="55" t="inlineStr">
        <is>
          <t>Eucalyptus globulus</t>
        </is>
      </c>
      <c r="D13" s="55" t="inlineStr">
        <is>
          <t>Myrtaceae</t>
        </is>
      </c>
      <c r="E13" s="55" t="inlineStr">
        <is>
          <t>Arbóreo superior (&gt;15 m)</t>
        </is>
      </c>
      <c r="F13" s="55" t="inlineStr">
        <is>
          <t>Introducida</t>
        </is>
      </c>
      <c r="G13" s="55" t="inlineStr">
        <is>
          <t>Frecuente (5-20%)</t>
        </is>
      </c>
      <c r="H13" s="55" t="n"/>
      <c r="I13" s="60" t="n">
        <v>22</v>
      </c>
    </row>
    <row r="14">
      <c r="A14" s="56" t="inlineStr">
        <is>
          <t>2</t>
        </is>
      </c>
      <c r="B14" s="56" t="inlineStr">
        <is>
          <t>Higuerón</t>
        </is>
      </c>
      <c r="C14" s="56" t="inlineStr">
        <is>
          <t>Ficus sp.</t>
        </is>
      </c>
      <c r="D14" s="56" t="inlineStr">
        <is>
          <t>Moraceae</t>
        </is>
      </c>
      <c r="E14" s="56" t="inlineStr">
        <is>
          <t>Arbóreo superior (&gt;15 m)</t>
        </is>
      </c>
      <c r="F14" s="56" t="inlineStr">
        <is>
          <t>Nativa</t>
        </is>
      </c>
      <c r="G14" s="56" t="inlineStr">
        <is>
          <t>Rara (&lt;1%)</t>
        </is>
      </c>
      <c r="H14" s="56" t="n"/>
      <c r="I14" s="61" t="n">
        <v>15</v>
      </c>
    </row>
    <row r="15">
      <c r="A15" s="55" t="inlineStr">
        <is>
          <t>3</t>
        </is>
      </c>
      <c r="B15" s="55" t="inlineStr">
        <is>
          <t>Grevilea</t>
        </is>
      </c>
      <c r="C15" s="55" t="inlineStr">
        <is>
          <t>Grevillea robusta</t>
        </is>
      </c>
      <c r="D15" s="55" t="inlineStr">
        <is>
          <t>Proteaceae</t>
        </is>
      </c>
      <c r="E15" s="55" t="inlineStr">
        <is>
          <t>Arbóreo medio (8-15 m)</t>
        </is>
      </c>
      <c r="F15" s="55" t="inlineStr">
        <is>
          <t>Introducida</t>
        </is>
      </c>
      <c r="G15" s="55" t="inlineStr">
        <is>
          <t>Ocasional (1-5%)</t>
        </is>
      </c>
      <c r="H15" s="55" t="n"/>
      <c r="I15" s="60" t="n">
        <v>12</v>
      </c>
    </row>
    <row r="16">
      <c r="A16" s="56" t="inlineStr">
        <is>
          <t>4</t>
        </is>
      </c>
      <c r="B16" s="56" t="inlineStr">
        <is>
          <t>Pacae</t>
        </is>
      </c>
      <c r="C16" s="56" t="inlineStr">
        <is>
          <t>Inga feuillei</t>
        </is>
      </c>
      <c r="D16" s="56" t="inlineStr">
        <is>
          <t>Fabaceae</t>
        </is>
      </c>
      <c r="E16" s="56" t="inlineStr">
        <is>
          <t>Arbóreo medio (8-15 m)</t>
        </is>
      </c>
      <c r="F16" s="56" t="inlineStr">
        <is>
          <t>Nativa</t>
        </is>
      </c>
      <c r="G16" s="56" t="inlineStr">
        <is>
          <t>Ocasional (1-5%)</t>
        </is>
      </c>
      <c r="H16" s="56" t="n"/>
      <c r="I16" s="61" t="n">
        <v>10</v>
      </c>
    </row>
    <row r="17">
      <c r="A17" s="55" t="inlineStr">
        <is>
          <t>5</t>
        </is>
      </c>
      <c r="B17" s="55" t="inlineStr">
        <is>
          <t>Caña guayaquil / bambú</t>
        </is>
      </c>
      <c r="C17" s="55" t="inlineStr">
        <is>
          <t>Guadua angustifolia</t>
        </is>
      </c>
      <c r="D17" s="55" t="inlineStr">
        <is>
          <t>Poaceae</t>
        </is>
      </c>
      <c r="E17" s="55" t="inlineStr">
        <is>
          <t>Arbóreo medio (8-15 m)</t>
        </is>
      </c>
      <c r="F17" s="55" t="inlineStr">
        <is>
          <t>Nativa</t>
        </is>
      </c>
      <c r="G17" s="55" t="inlineStr">
        <is>
          <t>Ocasional (1-5%)</t>
        </is>
      </c>
      <c r="H17" s="55" t="n"/>
      <c r="I17" s="62" t="n">
        <v>9</v>
      </c>
    </row>
    <row r="18">
      <c r="A18" s="56" t="inlineStr">
        <is>
          <t>6</t>
        </is>
      </c>
      <c r="B18" s="56" t="inlineStr">
        <is>
          <t>Faique</t>
        </is>
      </c>
      <c r="C18" s="56" t="inlineStr">
        <is>
          <t>Vachellia macracantha</t>
        </is>
      </c>
      <c r="D18" s="56" t="inlineStr">
        <is>
          <t>Fabaceae</t>
        </is>
      </c>
      <c r="E18" s="56" t="inlineStr">
        <is>
          <t>Arbóreo bajo (4-8 m)</t>
        </is>
      </c>
      <c r="F18" s="56" t="inlineStr">
        <is>
          <t>Nativa</t>
        </is>
      </c>
      <c r="G18" s="56" t="inlineStr">
        <is>
          <t>Frecuente (5-20%)</t>
        </is>
      </c>
      <c r="H18" s="56" t="n"/>
      <c r="I18" s="63" t="n">
        <v>6</v>
      </c>
    </row>
    <row r="19">
      <c r="A19" s="55" t="inlineStr">
        <is>
          <t>7</t>
        </is>
      </c>
      <c r="B19" s="55" t="inlineStr">
        <is>
          <t>Cactácea columnar</t>
        </is>
      </c>
      <c r="C19" s="55" t="inlineStr">
        <is>
          <t>Armatocereus sp.</t>
        </is>
      </c>
      <c r="D19" s="55" t="inlineStr">
        <is>
          <t>Cactaceae</t>
        </is>
      </c>
      <c r="E19" s="55" t="inlineStr">
        <is>
          <t>Arbustivo alto (1.5-4 m)</t>
        </is>
      </c>
      <c r="F19" s="55" t="inlineStr">
        <is>
          <t>Nativa</t>
        </is>
      </c>
      <c r="G19" s="55" t="inlineStr">
        <is>
          <t>Ocasional (1-5%)</t>
        </is>
      </c>
      <c r="H19" s="55" t="n"/>
      <c r="I19" s="62" t="n">
        <v>3</v>
      </c>
    </row>
    <row r="20">
      <c r="A20" s="56" t="inlineStr">
        <is>
          <t>8</t>
        </is>
      </c>
      <c r="B20" s="56" t="inlineStr">
        <is>
          <t>Plátano (cultivo)</t>
        </is>
      </c>
      <c r="C20" s="56" t="inlineStr">
        <is>
          <t>Musa × paradisiaca</t>
        </is>
      </c>
      <c r="D20" s="56" t="inlineStr">
        <is>
          <t>Musaceae</t>
        </is>
      </c>
      <c r="E20" s="56" t="inlineStr">
        <is>
          <t>Arbustivo alto (1.5-4 m)</t>
        </is>
      </c>
      <c r="F20" s="56" t="inlineStr">
        <is>
          <t>Introducida</t>
        </is>
      </c>
      <c r="G20" s="56" t="inlineStr">
        <is>
          <t>Frecuente (5-20%)</t>
        </is>
      </c>
      <c r="H20" s="56" t="n"/>
      <c r="I20" s="63" t="n">
        <v>3</v>
      </c>
    </row>
    <row r="21">
      <c r="A21" s="55" t="inlineStr">
        <is>
          <t>9</t>
        </is>
      </c>
      <c r="B21" s="55" t="inlineStr">
        <is>
          <t>Café (cultivo)</t>
        </is>
      </c>
      <c r="C21" s="55" t="inlineStr">
        <is>
          <t>Coffea arabica</t>
        </is>
      </c>
      <c r="D21" s="55" t="inlineStr">
        <is>
          <t>Rubiaceae</t>
        </is>
      </c>
      <c r="E21" s="55" t="inlineStr">
        <is>
          <t>Arbustivo alto (1.5-4 m)</t>
        </is>
      </c>
      <c r="F21" s="55" t="inlineStr">
        <is>
          <t>Introducida</t>
        </is>
      </c>
      <c r="G21" s="55" t="inlineStr">
        <is>
          <t>Ocasional (1-5%)</t>
        </is>
      </c>
      <c r="H21" s="55" t="n"/>
      <c r="I21" s="62" t="n">
        <v>2</v>
      </c>
    </row>
    <row r="22">
      <c r="A22" s="56" t="inlineStr">
        <is>
          <t>10</t>
        </is>
      </c>
      <c r="B22" s="56" t="inlineStr">
        <is>
          <t>Maíz (cultivo)</t>
        </is>
      </c>
      <c r="C22" s="56" t="inlineStr">
        <is>
          <t>Zea mays</t>
        </is>
      </c>
      <c r="D22" s="56" t="inlineStr">
        <is>
          <t>Poaceae</t>
        </is>
      </c>
      <c r="E22" s="56" t="inlineStr">
        <is>
          <t>Herbáceo (&lt;0.5 m)</t>
        </is>
      </c>
      <c r="F22" s="56" t="inlineStr">
        <is>
          <t>Introducida</t>
        </is>
      </c>
      <c r="G22" s="56" t="inlineStr">
        <is>
          <t>Ocasional (1-5%)</t>
        </is>
      </c>
      <c r="H22" s="56" t="n"/>
      <c r="I22" s="63" t="n">
        <v>2</v>
      </c>
    </row>
    <row r="23">
      <c r="A23" s="55" t="inlineStr">
        <is>
          <t>11</t>
        </is>
      </c>
      <c r="B23" s="55" t="inlineStr">
        <is>
          <t>Pastos cultivados</t>
        </is>
      </c>
      <c r="C23" s="55" t="inlineStr">
        <is>
          <t>Poaceae (por determinar)</t>
        </is>
      </c>
      <c r="D23" s="55" t="inlineStr">
        <is>
          <t>Poaceae</t>
        </is>
      </c>
      <c r="E23" s="55" t="inlineStr">
        <is>
          <t>Herbáceo (&lt;0.5 m)</t>
        </is>
      </c>
      <c r="F23" s="55" t="inlineStr">
        <is>
          <t>Introducida</t>
        </is>
      </c>
      <c r="G23" s="55" t="inlineStr">
        <is>
          <t>Abundante (20-40%)</t>
        </is>
      </c>
      <c r="H23" s="55" t="n"/>
      <c r="I23" s="62" t="n">
        <v>0.5</v>
      </c>
    </row>
    <row r="25">
      <c r="A25" s="53" t="inlineStr">
        <is>
          <t>F-DT-03 · ESPECIES CLAVE GEORREFERENCIADAS</t>
        </is>
      </c>
    </row>
    <row r="26">
      <c r="A26" s="54" t="inlineStr">
        <is>
          <t>N.o</t>
        </is>
      </c>
      <c r="B26" s="54" t="inlineStr">
        <is>
          <t>Especie</t>
        </is>
      </c>
      <c r="C26" s="54" t="inlineStr">
        <is>
          <t>Categoría</t>
        </is>
      </c>
      <c r="D26" s="54" t="inlineStr">
        <is>
          <t>Estado UICN</t>
        </is>
      </c>
      <c r="E26" s="54" t="inlineStr">
        <is>
          <t>UTM ESTE</t>
        </is>
      </c>
      <c r="F26" s="54" t="inlineStr">
        <is>
          <t>UTM NORTE</t>
        </is>
      </c>
      <c r="G26" s="54" t="inlineStr">
        <is>
          <t>N.° individuos</t>
        </is>
      </c>
      <c r="H26" s="54" t="inlineStr">
        <is>
          <t>Observación</t>
        </is>
      </c>
    </row>
    <row r="27">
      <c r="A27" s="55" t="inlineStr">
        <is>
          <t>1</t>
        </is>
      </c>
      <c r="B27" s="55" t="inlineStr">
        <is>
          <t>Guadua angustifolia (caña guayaquil)</t>
        </is>
      </c>
      <c r="C27" s="55" t="inlineStr">
        <is>
          <t>Indicadora de buen estado</t>
        </is>
      </c>
      <c r="D27" s="55" t="inlineStr">
        <is>
          <t>No aplica</t>
        </is>
      </c>
      <c r="E27" s="60" t="n">
        <v>658547</v>
      </c>
      <c r="F27" s="60" t="n">
        <v>9395594</v>
      </c>
      <c r="G27" s="55" t="n"/>
      <c r="H27" s="55" t="inlineStr">
        <is>
          <t>Restringida a fondos de quebrada con humedad permanente; indicador de freático somero y candidata para revegetación de fajas marginales</t>
        </is>
      </c>
    </row>
    <row r="28">
      <c r="A28" s="56" t="inlineStr">
        <is>
          <t>2</t>
        </is>
      </c>
      <c r="B28" s="56" t="inlineStr">
        <is>
          <t>Ficus sp. (higuerón)</t>
        </is>
      </c>
      <c r="C28" s="56" t="inlineStr">
        <is>
          <t>Indicadora de buen estado</t>
        </is>
      </c>
      <c r="D28" s="56" t="inlineStr">
        <is>
          <t>No aplica</t>
        </is>
      </c>
      <c r="E28" s="61" t="n">
        <v>658547</v>
      </c>
      <c r="F28" s="61" t="n">
        <v>9395594</v>
      </c>
      <c r="G28" s="56" t="n"/>
      <c r="H28" s="56" t="inlineStr">
        <is>
          <t>Individuos aislados de gran porte en vaguadas; relictos del dosel original</t>
        </is>
      </c>
    </row>
    <row r="29">
      <c r="A29" s="55" t="inlineStr">
        <is>
          <t>3</t>
        </is>
      </c>
      <c r="B29" s="55" t="inlineStr">
        <is>
          <t>Vachellia macracantha (faique)</t>
        </is>
      </c>
      <c r="C29" s="55" t="inlineStr">
        <is>
          <t>Clave cultural</t>
        </is>
      </c>
      <c r="D29" s="55" t="inlineStr">
        <is>
          <t>No aplica</t>
        </is>
      </c>
      <c r="E29" s="60" t="n">
        <v>658547</v>
      </c>
      <c r="F29" s="60" t="n">
        <v>9395594</v>
      </c>
      <c r="G29" s="55" t="n"/>
      <c r="H29" s="55" t="inlineStr">
        <is>
          <t>Especie estructurante del estrato arbóreo bajo; leñosa multipropósito de uso local</t>
        </is>
      </c>
    </row>
    <row r="30">
      <c r="A30" s="56" t="inlineStr">
        <is>
          <t>4</t>
        </is>
      </c>
      <c r="B30" s="56" t="inlineStr">
        <is>
          <t>Armatocereus sp. (cactácea columnar)</t>
        </is>
      </c>
      <c r="C30" s="56" t="inlineStr">
        <is>
          <t>Indicadora de perturbación</t>
        </is>
      </c>
      <c r="D30" s="56" t="inlineStr">
        <is>
          <t>No aplica</t>
        </is>
      </c>
      <c r="E30" s="61" t="n">
        <v>658547</v>
      </c>
      <c r="F30" s="61" t="n">
        <v>9395594</v>
      </c>
      <c r="G30" s="56" t="n"/>
      <c r="H30" s="56" t="inlineStr">
        <is>
          <t>Presencia en laderas con suelo somero y cobertura abierta; indicador de aridización edáfica local</t>
        </is>
      </c>
    </row>
    <row r="31">
      <c r="A31" s="55" t="inlineStr">
        <is>
          <t>5</t>
        </is>
      </c>
      <c r="B31" s="55" t="inlineStr">
        <is>
          <t>Eucalyptus globulus</t>
        </is>
      </c>
      <c r="C31" s="55" t="inlineStr">
        <is>
          <t>Indicadora de perturbación</t>
        </is>
      </c>
      <c r="D31" s="55" t="inlineStr">
        <is>
          <t>No aplica</t>
        </is>
      </c>
      <c r="E31" s="60" t="n">
        <v>658547</v>
      </c>
      <c r="F31" s="60" t="n">
        <v>9395594</v>
      </c>
      <c r="G31" s="55" t="n"/>
      <c r="H31" s="55" t="inlineStr">
        <is>
          <t>Plantaciones en el entorno del caserío; competencia hídrica a considerar en el diseño de la revegetación</t>
        </is>
      </c>
    </row>
    <row r="33">
      <c r="A33" s="53" t="inlineStr">
        <is>
          <t>F-DT-04 · MATRIZ DE CAUSAS DE DEGRADACIÓN</t>
        </is>
      </c>
    </row>
    <row r="34">
      <c r="A34" s="54" t="inlineStr">
        <is>
          <t>N.o</t>
        </is>
      </c>
      <c r="B34" s="54" t="inlineStr">
        <is>
          <t>Causa</t>
        </is>
      </c>
      <c r="C34" s="54" t="inlineStr">
        <is>
          <t>Presencia</t>
        </is>
      </c>
      <c r="D34" s="54" t="inlineStr">
        <is>
          <t>Intensidad</t>
        </is>
      </c>
      <c r="E34" s="54" t="inlineStr">
        <is>
          <t>Extensión</t>
        </is>
      </c>
      <c r="F34" s="54" t="inlineStr">
        <is>
          <t>Antigüedad</t>
        </is>
      </c>
      <c r="G34" s="54" t="inlineStr">
        <is>
          <t>Evidencia</t>
        </is>
      </c>
    </row>
    <row r="35">
      <c r="A35" s="55" t="inlineStr">
        <is>
          <t>1</t>
        </is>
      </c>
      <c r="B35" s="55" t="inlineStr">
        <is>
          <t>Sobrepastoreo (caprino/vacuno)</t>
        </is>
      </c>
      <c r="C35" s="55" t="inlineStr">
        <is>
          <t>Sí</t>
        </is>
      </c>
      <c r="D35" s="55" t="inlineStr">
        <is>
          <t>Fuerte</t>
        </is>
      </c>
      <c r="E35" s="55" t="inlineStr">
        <is>
          <t>35</t>
        </is>
      </c>
      <c r="F35" s="55" t="inlineStr">
        <is>
          <t>Más de 15</t>
        </is>
      </c>
      <c r="G35" s="55" t="inlineStr">
        <is>
          <t>Pastizal seco con terracetas y sendas de ganado paralelas a las curvas de nivel en toda la ladera media; suelo compactado y raíces expuestas</t>
        </is>
      </c>
    </row>
    <row r="36">
      <c r="A36" s="56" t="inlineStr">
        <is>
          <t>2</t>
        </is>
      </c>
      <c r="B36" s="56" t="inlineStr">
        <is>
          <t>Tala para leña</t>
        </is>
      </c>
      <c r="C36" s="56" t="inlineStr">
        <is>
          <t>Sí</t>
        </is>
      </c>
      <c r="D36" s="56" t="inlineStr">
        <is>
          <t>Ligera</t>
        </is>
      </c>
      <c r="E36" s="56" t="inlineStr">
        <is>
          <t>5</t>
        </is>
      </c>
      <c r="F36" s="56" t="inlineStr">
        <is>
          <t>Más de 15</t>
        </is>
      </c>
      <c r="G36" s="56" t="inlineStr">
        <is>
          <t>Extracción selectiva de leña de faique y eucalipto en el entorno del caserío; sin frentes de tala abiertos</t>
        </is>
      </c>
    </row>
    <row r="37">
      <c r="A37" s="55" t="inlineStr">
        <is>
          <t>3</t>
        </is>
      </c>
      <c r="B37" s="55" t="inlineStr">
        <is>
          <t>Tala para carbón</t>
        </is>
      </c>
      <c r="C37" s="55" t="inlineStr"/>
      <c r="D37" s="55" t="inlineStr"/>
      <c r="E37" s="55" t="inlineStr"/>
      <c r="F37" s="55" t="inlineStr"/>
      <c r="G37" s="55" t="inlineStr"/>
    </row>
    <row r="38">
      <c r="A38" s="56" t="inlineStr">
        <is>
          <t>4</t>
        </is>
      </c>
      <c r="B38" s="56" t="inlineStr">
        <is>
          <t>Tala para madera</t>
        </is>
      </c>
      <c r="C38" s="56" t="inlineStr"/>
      <c r="D38" s="56" t="inlineStr"/>
      <c r="E38" s="56" t="inlineStr"/>
      <c r="F38" s="56" t="inlineStr"/>
      <c r="G38" s="56" t="inlineStr"/>
    </row>
    <row r="39">
      <c r="A39" s="55" t="inlineStr">
        <is>
          <t>5</t>
        </is>
      </c>
      <c r="B39" s="55" t="inlineStr">
        <is>
          <t>Quema (renovación de pastos)</t>
        </is>
      </c>
      <c r="C39" s="55" t="inlineStr"/>
      <c r="D39" s="55" t="inlineStr"/>
      <c r="E39" s="55" t="inlineStr"/>
      <c r="F39" s="55" t="inlineStr"/>
      <c r="G39" s="55" t="inlineStr"/>
    </row>
    <row r="40">
      <c r="A40" s="56" t="inlineStr">
        <is>
          <t>6</t>
        </is>
      </c>
      <c r="B40" s="56" t="inlineStr">
        <is>
          <t>Quema accidental / Incendio</t>
        </is>
      </c>
      <c r="C40" s="56" t="inlineStr"/>
      <c r="D40" s="56" t="inlineStr"/>
      <c r="E40" s="56" t="inlineStr"/>
      <c r="F40" s="56" t="inlineStr"/>
      <c r="G40" s="56" t="inlineStr"/>
    </row>
    <row r="41">
      <c r="A41" s="55" t="inlineStr">
        <is>
          <t>7</t>
        </is>
      </c>
      <c r="B41" s="55" t="inlineStr">
        <is>
          <t>Cambio de uso a agricultura</t>
        </is>
      </c>
      <c r="C41" s="55" t="inlineStr">
        <is>
          <t>Sí</t>
        </is>
      </c>
      <c r="D41" s="55" t="inlineStr">
        <is>
          <t>Moderada</t>
        </is>
      </c>
      <c r="E41" s="55" t="inlineStr">
        <is>
          <t>20</t>
        </is>
      </c>
      <c r="F41" s="55" t="inlineStr">
        <is>
          <t>Más de 15</t>
        </is>
      </c>
      <c r="G41" s="55" t="inlineStr">
        <is>
          <t>Parcelas de plátano, café y maíz en rellanos, fondos de quebrada y entorno del caserío, sin prácticas de conservación de suelos</t>
        </is>
      </c>
    </row>
    <row r="42">
      <c r="A42" s="56" t="inlineStr">
        <is>
          <t>8</t>
        </is>
      </c>
      <c r="B42" s="56" t="inlineStr">
        <is>
          <t>Cambio de uso a pastoreo</t>
        </is>
      </c>
      <c r="C42" s="56" t="inlineStr">
        <is>
          <t>Sí</t>
        </is>
      </c>
      <c r="D42" s="56" t="inlineStr">
        <is>
          <t>Moderada</t>
        </is>
      </c>
      <c r="E42" s="56" t="inlineStr">
        <is>
          <t>25</t>
        </is>
      </c>
      <c r="F42" s="56" t="inlineStr">
        <is>
          <t>Más de 15</t>
        </is>
      </c>
      <c r="G42" s="56" t="inlineStr">
        <is>
          <t>Conversión de matorral a pastos cultivados en fajas de ladera media y baja, visibles como manchas verdes irrigadas</t>
        </is>
      </c>
    </row>
    <row r="43">
      <c r="A43" s="55" t="inlineStr">
        <is>
          <t>9</t>
        </is>
      </c>
      <c r="B43" s="55" t="inlineStr">
        <is>
          <t>Expansión urbana / vial</t>
        </is>
      </c>
      <c r="C43" s="55" t="inlineStr">
        <is>
          <t>Sí</t>
        </is>
      </c>
      <c r="D43" s="55" t="inlineStr">
        <is>
          <t>Ligera</t>
        </is>
      </c>
      <c r="E43" s="55" t="inlineStr">
        <is>
          <t>4</t>
        </is>
      </c>
      <c r="F43" s="55" t="inlineStr">
        <is>
          <t>5 a 10</t>
        </is>
      </c>
      <c r="G43" s="55" t="inlineStr">
        <is>
          <t>Trocha carrozable y red de caminos de herradura que atraviesan el sector; taludes de corte sin tratamiento y viviendas dispersas</t>
        </is>
      </c>
    </row>
    <row r="44">
      <c r="A44" s="56" t="inlineStr">
        <is>
          <t>10</t>
        </is>
      </c>
      <c r="B44" s="56" t="inlineStr">
        <is>
          <t>Minería informal</t>
        </is>
      </c>
      <c r="C44" s="56" t="inlineStr"/>
      <c r="D44" s="56" t="inlineStr"/>
      <c r="E44" s="56" t="inlineStr"/>
      <c r="F44" s="56" t="inlineStr"/>
      <c r="G44" s="56" t="inlineStr"/>
    </row>
    <row r="45">
      <c r="A45" s="55" t="inlineStr">
        <is>
          <t>11</t>
        </is>
      </c>
      <c r="B45" s="55" t="inlineStr">
        <is>
          <t>Extracción de áridos (cauces)</t>
        </is>
      </c>
      <c r="C45" s="55" t="inlineStr"/>
      <c r="D45" s="55" t="inlineStr"/>
      <c r="E45" s="55" t="inlineStr"/>
      <c r="F45" s="55" t="inlineStr"/>
      <c r="G45" s="55" t="inlineStr"/>
    </row>
    <row r="46">
      <c r="A46" s="56" t="inlineStr">
        <is>
          <t>12</t>
        </is>
      </c>
      <c r="B46" s="56" t="inlineStr">
        <is>
          <t>Especies invasoras</t>
        </is>
      </c>
      <c r="C46" s="56" t="inlineStr"/>
      <c r="D46" s="56" t="inlineStr"/>
      <c r="E46" s="56" t="inlineStr"/>
      <c r="F46" s="56" t="inlineStr"/>
      <c r="G46" s="56" t="inlineStr"/>
    </row>
    <row r="47">
      <c r="A47" s="55" t="inlineStr">
        <is>
          <t>13</t>
        </is>
      </c>
      <c r="B47" s="55" t="inlineStr">
        <is>
          <t>Erosión natural severa</t>
        </is>
      </c>
      <c r="C47" s="55" t="inlineStr">
        <is>
          <t>Sí</t>
        </is>
      </c>
      <c r="D47" s="55" t="inlineStr">
        <is>
          <t>Moderada</t>
        </is>
      </c>
      <c r="E47" s="55" t="inlineStr">
        <is>
          <t>15</t>
        </is>
      </c>
      <c r="F47" s="55" t="inlineStr">
        <is>
          <t>Más de 15</t>
        </is>
      </c>
      <c r="G47" s="55" t="inlineStr">
        <is>
          <t>Afloramientos rocosos y escarpes en cresta, bolonería desprendida en ladera, socavamiento de cauces estacionales</t>
        </is>
      </c>
    </row>
    <row r="48">
      <c r="A48" s="56" t="inlineStr">
        <is>
          <t>14</t>
        </is>
      </c>
      <c r="B48" s="56" t="inlineStr">
        <is>
          <t>Sequía prolongada / CC</t>
        </is>
      </c>
      <c r="C48" s="56" t="inlineStr">
        <is>
          <t>Sí</t>
        </is>
      </c>
      <c r="D48" s="56" t="inlineStr">
        <is>
          <t>Moderada</t>
        </is>
      </c>
      <c r="E48" s="56" t="inlineStr">
        <is>
          <t>100</t>
        </is>
      </c>
      <c r="F48" s="56" t="inlineStr">
        <is>
          <t>Más de 15</t>
        </is>
      </c>
      <c r="G48" s="56" t="inlineStr">
        <is>
          <t>Déficit hídrico proyectado para el ámbito (MPI-ESM1-2HR, SSP5-8.5, 2021-2040); estacionalidad marcada evidenciada por el pastizal agostado en agosto</t>
        </is>
      </c>
    </row>
    <row r="49">
      <c r="A49" s="55" t="inlineStr">
        <is>
          <t>15</t>
        </is>
      </c>
      <c r="B49" s="55" t="inlineStr">
        <is>
          <t>Plagas o enfermedades forestales</t>
        </is>
      </c>
      <c r="C49" s="55" t="inlineStr"/>
      <c r="D49" s="55" t="inlineStr"/>
      <c r="E49" s="55" t="inlineStr"/>
      <c r="F49" s="55" t="inlineStr"/>
      <c r="G49" s="55" t="inlineStr"/>
    </row>
    <row r="50">
      <c r="A50" s="56" t="inlineStr">
        <is>
          <t>16</t>
        </is>
      </c>
      <c r="B50" s="56" t="inlineStr">
        <is>
          <t>Otro</t>
        </is>
      </c>
      <c r="C50" s="56" t="inlineStr"/>
      <c r="D50" s="56" t="inlineStr"/>
      <c r="E50" s="56" t="inlineStr"/>
      <c r="F50" s="56" t="inlineStr"/>
      <c r="G50" s="56" t="inlineStr"/>
    </row>
    <row r="52">
      <c r="A52" s="53" t="inlineStr">
        <is>
          <t>F-DT-04 · INDICADORES CUANTITATIVOS</t>
        </is>
      </c>
    </row>
    <row r="53">
      <c r="A53" s="54" t="inlineStr">
        <is>
          <t>N.o</t>
        </is>
      </c>
      <c r="B53" s="54" t="inlineStr">
        <is>
          <t>Indicador</t>
        </is>
      </c>
      <c r="C53" s="54" t="inlineStr">
        <is>
          <t>Unidad</t>
        </is>
      </c>
      <c r="D53" s="54" t="inlineStr">
        <is>
          <t>Valor</t>
        </is>
      </c>
      <c r="E53" s="54" t="inlineStr">
        <is>
          <t>Fuente</t>
        </is>
      </c>
      <c r="F53" s="54" t="inlineStr">
        <is>
          <t>Umbral</t>
        </is>
      </c>
      <c r="G53" s="54" t="inlineStr">
        <is>
          <t>Nivel</t>
        </is>
      </c>
    </row>
    <row r="54">
      <c r="A54" s="55" t="inlineStr">
        <is>
          <t>1</t>
        </is>
      </c>
      <c r="B54" s="55" t="inlineStr">
        <is>
          <t>Cobertura vegetal total</t>
        </is>
      </c>
      <c r="C54" s="55" t="inlineStr">
        <is>
          <t>%</t>
        </is>
      </c>
      <c r="D54" s="55" t="inlineStr">
        <is>
          <t>78</t>
        </is>
      </c>
      <c r="E54" s="55" t="inlineStr">
        <is>
          <t>Vuelo RPAS 01-08-2026 + NDVI mediana 2025</t>
        </is>
      </c>
      <c r="F54" s="55" t="inlineStr">
        <is>
          <t>&gt;60% bueno; 30-60% medio; &lt;30% malo</t>
        </is>
      </c>
      <c r="G54" s="55" t="inlineStr">
        <is>
          <t>Alto</t>
        </is>
      </c>
    </row>
    <row r="55">
      <c r="A55" s="56" t="inlineStr">
        <is>
          <t>2</t>
        </is>
      </c>
      <c r="B55" s="56" t="inlineStr">
        <is>
          <t>Porcentaje de suelo desnudo</t>
        </is>
      </c>
      <c r="C55" s="56" t="inlineStr">
        <is>
          <t>%</t>
        </is>
      </c>
      <c r="D55" s="56" t="inlineStr">
        <is>
          <t>14</t>
        </is>
      </c>
      <c r="E55" s="56" t="inlineStr">
        <is>
          <t>Estimación fotogramétrica + MSAVI 2024</t>
        </is>
      </c>
      <c r="F55" s="56" t="inlineStr">
        <is>
          <t>&lt;10% bueno; 10-30% medio; &gt;30% malo</t>
        </is>
      </c>
      <c r="G55" s="56" t="inlineStr">
        <is>
          <t>Medio</t>
        </is>
      </c>
    </row>
    <row r="56">
      <c r="A56" s="55" t="inlineStr">
        <is>
          <t>3</t>
        </is>
      </c>
      <c r="B56" s="55" t="inlineStr">
        <is>
          <t>Densidad de cárcavas</t>
        </is>
      </c>
      <c r="C56" s="55" t="inlineStr">
        <is>
          <t>N°/ha</t>
        </is>
      </c>
      <c r="D56" s="55" t="inlineStr">
        <is>
          <t>Por determinar</t>
        </is>
      </c>
      <c r="E56" s="55" t="inlineStr">
        <is>
          <t>Requiere MDS/ortomosaico del vuelo</t>
        </is>
      </c>
      <c r="F56" s="55" t="inlineStr">
        <is>
          <t>0 nulo; 1-3 medio; &gt;3 alto</t>
        </is>
      </c>
      <c r="G56" s="55" t="inlineStr">
        <is>
          <t>Medio</t>
        </is>
      </c>
    </row>
    <row r="57">
      <c r="A57" s="56" t="inlineStr">
        <is>
          <t>4</t>
        </is>
      </c>
      <c r="B57" s="56" t="inlineStr">
        <is>
          <t>Presencia de especies invasoras</t>
        </is>
      </c>
      <c r="C57" s="56" t="inlineStr">
        <is>
          <t>% área</t>
        </is>
      </c>
      <c r="D57" s="56" t="inlineStr">
        <is>
          <t>0</t>
        </is>
      </c>
      <c r="E57" s="56" t="inlineStr">
        <is>
          <t>Sin especies invasoras registradas en el vuelo</t>
        </is>
      </c>
      <c r="F57" s="56" t="inlineStr">
        <is>
          <t>&lt;5% bueno; 5-20% medio; &gt;20% alto</t>
        </is>
      </c>
      <c r="G57" s="56" t="inlineStr">
        <is>
          <t>Bajo</t>
        </is>
      </c>
    </row>
    <row r="58">
      <c r="A58" s="55" t="inlineStr">
        <is>
          <t>5</t>
        </is>
      </c>
      <c r="B58" s="55" t="inlineStr">
        <is>
          <t>Carga ganadera estimada</t>
        </is>
      </c>
      <c r="C58" s="55" t="inlineStr">
        <is>
          <t>UA/ha</t>
        </is>
      </c>
      <c r="D58" s="55" t="inlineStr">
        <is>
          <t>Por determinar</t>
        </is>
      </c>
      <c r="E58" s="55" t="inlineStr">
        <is>
          <t>Depende del diagnóstico social (F-DS-01)</t>
        </is>
      </c>
      <c r="F58" s="55" t="inlineStr">
        <is>
          <t>Según tipo de ecosistema</t>
        </is>
      </c>
      <c r="G58" s="55" t="inlineStr">
        <is>
          <t>Medio</t>
        </is>
      </c>
    </row>
    <row r="59">
      <c r="A59" s="56" t="inlineStr">
        <is>
          <t>6</t>
        </is>
      </c>
      <c r="B59" s="56" t="inlineStr">
        <is>
          <t>Frecuencia de quemas últimos 5 años</t>
        </is>
      </c>
      <c r="C59" s="56" t="inlineStr">
        <is>
          <t>N°</t>
        </is>
      </c>
      <c r="D59" s="56" t="inlineStr">
        <is>
          <t>0</t>
        </is>
      </c>
      <c r="E59" s="56" t="inlineStr">
        <is>
          <t>Sin cicatrices de quema visibles en el vuelo</t>
        </is>
      </c>
      <c r="F59" s="56" t="inlineStr">
        <is>
          <t>0 nulo; 1-2 medio; &gt;2 alto</t>
        </is>
      </c>
      <c r="G59" s="56" t="inlineStr">
        <is>
          <t>Bajo</t>
        </is>
      </c>
    </row>
    <row r="60">
      <c r="A60" s="55" t="inlineStr">
        <is>
          <t>7</t>
        </is>
      </c>
      <c r="B60" s="55" t="inlineStr">
        <is>
          <t>% área con pendiente &gt;50%</t>
        </is>
      </c>
      <c r="C60" s="55" t="inlineStr">
        <is>
          <t>%</t>
        </is>
      </c>
      <c r="D60" s="55" t="inlineStr">
        <is>
          <t>Por determinar</t>
        </is>
      </c>
      <c r="E60" s="55" t="inlineStr">
        <is>
          <t>Requiere estadística zonal de MDE</t>
        </is>
      </c>
      <c r="F60" s="55" t="inlineStr">
        <is>
          <t>Factor de susceptibilidad</t>
        </is>
      </c>
      <c r="G60" s="55" t="inlineStr">
        <is>
          <t>Medio</t>
        </is>
      </c>
    </row>
    <row r="61">
      <c r="A61" s="56" t="inlineStr">
        <is>
          <t>8</t>
        </is>
      </c>
      <c r="B61" s="56" t="inlineStr">
        <is>
          <t>Distancia a vía vecinal más cercana</t>
        </is>
      </c>
      <c r="C61" s="56" t="inlineStr">
        <is>
          <t>m</t>
        </is>
      </c>
      <c r="D61" s="56" t="inlineStr">
        <is>
          <t>0</t>
        </is>
      </c>
      <c r="E61" s="56" t="inlineStr">
        <is>
          <t>Trocha carrozable y caminos internos al bloque</t>
        </is>
      </c>
      <c r="F61" s="56" t="inlineStr">
        <is>
          <t>A menor distancia → mayor presión</t>
        </is>
      </c>
      <c r="G61" s="56" t="inlineStr">
        <is>
          <t>Alto</t>
        </is>
      </c>
    </row>
    <row r="63">
      <c r="A63" s="53" t="inlineStr">
        <is>
          <t>F-DT-05 · FUENTES DE AGUA INVENTARIADAS</t>
        </is>
      </c>
    </row>
    <row r="64">
      <c r="A64" s="54" t="inlineStr">
        <is>
          <t>N.o</t>
        </is>
      </c>
      <c r="B64" s="54" t="inlineStr">
        <is>
          <t>Tipo de fuente</t>
        </is>
      </c>
      <c r="C64" s="54" t="inlineStr">
        <is>
          <t>UTM ESTE</t>
        </is>
      </c>
      <c r="D64" s="54" t="inlineStr">
        <is>
          <t>UTM NORTE</t>
        </is>
      </c>
      <c r="E64" s="54" t="inlineStr">
        <is>
          <t>Régimen</t>
        </is>
      </c>
      <c r="F64" s="54" t="inlineStr">
        <is>
          <t>Calidad</t>
        </is>
      </c>
      <c r="G64" s="54" t="inlineStr">
        <is>
          <t>Distancia (m)</t>
        </is>
      </c>
      <c r="H64" s="54" t="inlineStr">
        <is>
          <t>Uso / observación</t>
        </is>
      </c>
    </row>
    <row r="65">
      <c r="A65" s="55" t="inlineStr">
        <is>
          <t>1</t>
        </is>
      </c>
      <c r="B65" s="55" t="inlineStr">
        <is>
          <t>Quebrada estacional</t>
        </is>
      </c>
      <c r="C65" s="60" t="n">
        <v>658900</v>
      </c>
      <c r="D65" s="60" t="n">
        <v>9395400</v>
      </c>
      <c r="E65" s="55" t="inlineStr">
        <is>
          <t>Estacional (lluvias)</t>
        </is>
      </c>
      <c r="F65" s="55" t="inlineStr">
        <is>
          <t>No evaluable</t>
        </is>
      </c>
      <c r="G65" s="62" t="n">
        <v>0</v>
      </c>
      <c r="H65" s="55" t="inlineStr">
        <is>
          <t>Cauce encajonado del flanco oriental; conduce escorrentía concentrada de la ladera hacia el fondo de valle</t>
        </is>
      </c>
    </row>
    <row r="66">
      <c r="A66" s="56" t="inlineStr">
        <is>
          <t>2</t>
        </is>
      </c>
      <c r="B66" s="56" t="inlineStr">
        <is>
          <t>Quebrada estacional</t>
        </is>
      </c>
      <c r="C66" s="61" t="n">
        <v>658050</v>
      </c>
      <c r="D66" s="61" t="n">
        <v>9395450</v>
      </c>
      <c r="E66" s="56" t="inlineStr">
        <is>
          <t>Estacional (lluvias)</t>
        </is>
      </c>
      <c r="F66" s="56" t="inlineStr">
        <is>
          <t>No evaluable</t>
        </is>
      </c>
      <c r="G66" s="63" t="n">
        <v>0</v>
      </c>
      <c r="H66" s="56" t="inlineStr">
        <is>
          <t>Vaguada del flanco occidental, con dosel arbóreo asociado y presencia de caña guayaquil</t>
        </is>
      </c>
    </row>
    <row r="67">
      <c r="A67" s="55" t="inlineStr">
        <is>
          <t>3</t>
        </is>
      </c>
      <c r="B67" s="55" t="inlineStr">
        <is>
          <t>Canal de riego</t>
        </is>
      </c>
      <c r="C67" s="60" t="n">
        <v>658400</v>
      </c>
      <c r="D67" s="60" t="n">
        <v>9395300</v>
      </c>
      <c r="E67" s="55" t="inlineStr">
        <is>
          <t>Permanente</t>
        </is>
      </c>
      <c r="F67" s="55" t="inlineStr">
        <is>
          <t>No evaluable</t>
        </is>
      </c>
      <c r="G67" s="62" t="n">
        <v>0</v>
      </c>
      <c r="H67" s="55" t="inlineStr">
        <is>
          <t>Acequia de conducción en curva de nivel que abastece los pastos cultivados; visible como faja verde irrigada en el vuelo. Trazo y titularidad por verificar</t>
        </is>
      </c>
    </row>
    <row r="70">
      <c r="A70" s="53" t="inlineStr">
        <is>
          <t>OBSERVACIONES DEL EVALUADOR POR FICHA</t>
        </is>
      </c>
    </row>
    <row r="71">
      <c r="A71" s="54" t="inlineStr">
        <is>
          <t>Ficha</t>
        </is>
      </c>
      <c r="B71" s="54" t="inlineStr">
        <is>
          <t>Observación registrada en campo</t>
        </is>
      </c>
    </row>
    <row r="72">
      <c r="A72" s="55" t="inlineStr">
        <is>
          <t>F-DT-01</t>
        </is>
      </c>
      <c r="B72" s="55" t="inlineStr">
        <is>
          <t>Verificación mediante vuelo de RPAS (dron) el 01-08-2026, responsable Ing. Héctor Salomón Cahuas Miller. Rango altitudinal del bloque 1 845 - 2 305 msnm (amplitud 460 m): el polígono cabalga las clases 1500-2000 m (Quechua media) y 2000-2500 m (Quechua alta); se consigna la clase dominante en superficie. Pendiente promedio zonal (MDE) 36.34 %, la segunda más alta de las once bloques de la microcuenca C1076-Q9592. Coordenada consignada = centroide del bloque (catálogo Bloques V5); el punto GPS del operador de dron queda por relevar. Remociones en masa activas: no se observaron cicatrices frescas durante el vuelo, pero sí escarpes rocosos en cresta, terracetas de reptación y bolonería desprendida en ladera media; el registro "No" corresponde a eventos activos en el momento de la inspección y no descarta actividad estacional.</t>
        </is>
      </c>
    </row>
    <row r="73">
      <c r="A73" s="56" t="inlineStr">
        <is>
          <t>F-DT-02</t>
        </is>
      </c>
      <c r="B73" s="56" t="inlineStr">
        <is>
          <t>INVENTARIO DE CÁRCAVAS NO EJECUTADO EN ESTA VERIFICACIÓN: 0 cárcavas registradas NO equivale a ausencia. El reconocimiento fue aéreo (RPAS) y no se dispone aún del ortomosaico ni del modelo digital de superficie derivados del vuelo del 01-08-2026, insumos necesarios para el inventario georreferenciado y para el cálculo del porcentaje de área con pendiente mayor a 50 %. Procesos erosivos identificados en orden de relevancia: (i) erosión laminar y en surcos incipientes en el pastizal seco de ladera media, con bolonería y afloramientos expuestos en superficie; (ii) reptación superficial evidenciada por terracetas y sendas de ganado paralelas a las curvas de nivel; (iii) socavamiento y encajonamiento de los cauces estacionales del flanco oriental y del fondo de quebrada; (iv) erosión acelerada en taludes de corte de la trocha carrozable de acceso al caserío. No se observaron cárcavas de desarrollo mayor desde el vuelo.</t>
        </is>
      </c>
    </row>
    <row r="74">
      <c r="A74" s="55" t="inlineStr">
        <is>
          <t>F-DT-03</t>
        </is>
      </c>
      <c r="B74" s="55" t="inlineStr">
        <is>
          <t>Registro florístico PRELIMINAR obtenido por fotointerpretación del vuelo de RPAS del 01-08-2026 y observación directa desde el eje de acceso; los binomios científicos requieren confirmación taxonómica mediante colecta botánica del estudio especializado de diagnóstico del ecosistema. Las coordenadas de la sección 5 corresponden al centroide del bloque y no a la ubicación individual de cada especie. Ninguna de las especies registradas figura en categoría de amenaza del D.S. 043-2006-AG; el higuerón (Ficus sp.) y la cactácea columnar (Armatocereus sp.) quedan sujetos a determinación específica. Cinco de las once especies corresponden a cultivos o pastos cultivados, superficie que debe excluirse del área efectiva de intervención en el tamizaje predial. Las alturas se estiman por fotogrametría y no sustituyen medición dasométrica.</t>
        </is>
      </c>
    </row>
    <row r="75">
      <c r="A75" s="56" t="inlineStr">
        <is>
          <t>F-DT-04</t>
        </is>
      </c>
      <c r="B75" s="56" t="inlineStr">
        <is>
          <t>Las causas no consignadas (tala para carbón, tala para madera, quemas, minería informal, extracción de áridos, especies invasoras, plagas forestales) se dejan en blanco por no haberse observado evidencia directa en el vuelo del 01-08-2026; ello NO equivale a ausencia confirmada y su cierre corresponde al diagnóstico social (F-DS-01 y F-DS-03) en el centro poblado Chococa. Contraste de índices: el MSAVI 2024 medio del bloque es 0.5550 y sitúa el 60.4 % de la superficie en la clase 0.4976-0.6139 (cobertura moderada), mientras que el NDVI mediana 2025 asigna el 88.3 % a "vegetación alta"; la divergencia es metodológicamente esperable —el NDVI sobreestima la cobertura efectiva sobre suelos claros y en estación de rebrote— y se adopta el MSAVI como lectura preferente para la clasificación del estado de degradación.</t>
        </is>
      </c>
    </row>
    <row r="76">
      <c r="A76" s="55" t="inlineStr">
        <is>
          <t>F-DT-05</t>
        </is>
      </c>
      <c r="B76" s="55" t="inlineStr">
        <is>
          <t>El bloque se ubica en la cabecera de la microcuenca C1076-Q9592 y opera como ZONA DE ORIGEN del peligro generador de inundaciones (PGI): la intervención actúa sobre la generación de escorrentía, no sobre la zona de impacto aguas abajo. Se confirmó humedad persistente en vaguadas y fondos de quebrada —evidenciada por la presencia de caña guayaquil (Guadua angustifolia), especie indicadora de freático somero— y escorrentía concentrada en los cauces estacionales. Las coordenadas de las fuentes son estimaciones planimétricas sobre la cartografía georreferenciada del bloque y deben relevarse con GPS en la siguiente visita. Se identificó al menos una acequia de conducción en curva de nivel que abastece pastos cultivados, por lo que el diseño de zanjas de infiltración debe verificar previamente la no interferencia con ese sistema. Se recomienda una segunda visita en época de lluvias (enero-marzo) para el inventario georreferenciado de fuentes y la verificación del régimen hídrico.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73</t>
        </is>
      </c>
    </row>
    <row r="7">
      <c r="A7" s="53" t="inlineStr">
        <is>
          <t>Hechos declarados por fuente</t>
        </is>
      </c>
    </row>
    <row r="8">
      <c r="A8" s="54" t="inlineStr">
        <is>
          <t>Fuente</t>
        </is>
      </c>
      <c r="B8" s="54" t="inlineStr">
        <is>
          <t>Hechos</t>
        </is>
      </c>
    </row>
    <row r="9">
      <c r="A9" s="55" t="inlineStr">
        <is>
          <t>Dato de campo</t>
        </is>
      </c>
      <c r="B9" s="55" t="n">
        <v>67</v>
      </c>
    </row>
    <row r="10">
      <c r="A10" s="56" t="inlineStr">
        <is>
          <t>Gabinete (GIS / teledetección)</t>
        </is>
      </c>
      <c r="B10" s="56" t="n">
        <v>21</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102</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12</v>
      </c>
    </row>
    <row r="45">
      <c r="A45" s="53" t="inlineStr">
        <is>
          <t>Cobertura por estrato — campo (%)</t>
        </is>
      </c>
    </row>
    <row r="46">
      <c r="A46" s="54" t="inlineStr">
        <is>
          <t>Estrato</t>
        </is>
      </c>
      <c r="B46" s="54" t="inlineStr">
        <is>
          <t>% del área</t>
        </is>
      </c>
    </row>
    <row r="47">
      <c r="A47" s="55" t="inlineStr">
        <is>
          <t>Dosel</t>
        </is>
      </c>
      <c r="B47" s="60" t="n">
        <v>25</v>
      </c>
    </row>
    <row r="48">
      <c r="A48" s="56" t="inlineStr">
        <is>
          <t>Arbustiva</t>
        </is>
      </c>
      <c r="B48" s="61" t="n">
        <v>35</v>
      </c>
    </row>
    <row r="49">
      <c r="A49" s="55" t="inlineStr">
        <is>
          <t>Herbácea</t>
        </is>
      </c>
      <c r="B49" s="60" t="n">
        <v>18</v>
      </c>
    </row>
    <row r="50">
      <c r="A50" s="56" t="inlineStr">
        <is>
          <t>Hojarasca</t>
        </is>
      </c>
      <c r="B50" s="63" t="n">
        <v>8</v>
      </c>
    </row>
    <row r="51">
      <c r="A51" s="55" t="inlineStr">
        <is>
          <t>Suelo desnudo</t>
        </is>
      </c>
      <c r="B51" s="60" t="n">
        <v>14</v>
      </c>
    </row>
    <row r="64">
      <c r="A64" s="53" t="inlineStr">
        <is>
          <t>Causas activas de degradación (F-DT-04)</t>
        </is>
      </c>
    </row>
    <row r="65">
      <c r="A65" s="54" t="inlineStr">
        <is>
          <t>Causa</t>
        </is>
      </c>
      <c r="B65" s="54" t="inlineStr">
        <is>
          <t>Intensidad (1 ligera - 4 muy fuerte)</t>
        </is>
      </c>
    </row>
    <row r="66">
      <c r="A66" s="55" t="inlineStr">
        <is>
          <t>Sobrepastoreo (caprino/vacuno)</t>
        </is>
      </c>
      <c r="B66" s="55" t="n">
        <v>3</v>
      </c>
    </row>
    <row r="67">
      <c r="A67" s="56" t="inlineStr">
        <is>
          <t>Cambio de uso a agricultura</t>
        </is>
      </c>
      <c r="B67" s="56" t="n">
        <v>2</v>
      </c>
    </row>
    <row r="68">
      <c r="A68" s="55" t="inlineStr">
        <is>
          <t>Cambio de uso a pastoreo</t>
        </is>
      </c>
      <c r="B68" s="55" t="n">
        <v>2</v>
      </c>
    </row>
    <row r="69">
      <c r="A69" s="56" t="inlineStr">
        <is>
          <t>Erosión natural severa</t>
        </is>
      </c>
      <c r="B69" s="56" t="n">
        <v>2</v>
      </c>
    </row>
    <row r="70">
      <c r="A70" s="55" t="inlineStr">
        <is>
          <t>Sequía prolongada / CC</t>
        </is>
      </c>
      <c r="B70" s="55" t="n">
        <v>2</v>
      </c>
    </row>
    <row r="71">
      <c r="A71" s="56" t="inlineStr">
        <is>
          <t>Expansión urbana / vial</t>
        </is>
      </c>
      <c r="B71" s="56" t="n">
        <v>1</v>
      </c>
    </row>
    <row r="72">
      <c r="A72" s="55" t="inlineStr">
        <is>
          <t>Tala para leña</t>
        </is>
      </c>
      <c r="B72" s="55" t="n">
        <v>1</v>
      </c>
    </row>
    <row r="83">
      <c r="A83" s="53" t="inlineStr">
        <is>
          <t>Control de consistencia por calificación</t>
        </is>
      </c>
    </row>
    <row r="84">
      <c r="A84" s="54" t="inlineStr">
        <is>
          <t>Calificación</t>
        </is>
      </c>
      <c r="B84" s="54" t="inlineStr">
        <is>
          <t>Verificaciones</t>
        </is>
      </c>
    </row>
    <row r="85">
      <c r="A85" s="55" t="inlineStr">
        <is>
          <t>SUSTANTIVA</t>
        </is>
      </c>
      <c r="B85" s="55" t="n">
        <v>7</v>
      </c>
    </row>
    <row r="86">
      <c r="A86" s="56" t="inlineStr">
        <is>
          <t>NO SUSTANTIVA</t>
        </is>
      </c>
      <c r="B86" s="56" t="n">
        <v>4</v>
      </c>
    </row>
    <row r="87">
      <c r="A87" s="55" t="inlineStr">
        <is>
          <t>CORREGIDO</t>
        </is>
      </c>
      <c r="B87" s="55" t="n">
        <v>0</v>
      </c>
    </row>
    <row r="88">
      <c r="A88" s="56" t="inlineStr">
        <is>
          <t>CONFORME</t>
        </is>
      </c>
      <c r="B8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73 — IN Piura</dc:title>
  <dc:subject>Diagnóstico Territorial por bloque de intervención</dc:subject>
  <dcterms:created xsi:type="dcterms:W3CDTF">2026-09-08T03:39:57Z</dcterms:created>
  <dcterms:modified xsi:type="dcterms:W3CDTF">2026-09-11T21:26:30Z</dcterms:modified>
</cp:coreProperties>
</file>