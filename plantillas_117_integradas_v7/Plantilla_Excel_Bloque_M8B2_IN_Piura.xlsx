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integración'!B75</f>
            </strRef>
          </tx>
          <spPr>
            <a:ln>
              <a:prstDash val="solid"/>
            </a:ln>
          </spPr>
          <cat>
            <numRef>
              <f>'Gráficos de integración'!$A$76:$A$79</f>
            </numRef>
          </cat>
          <val>
            <numRef>
              <f>'Gráficos de integración'!$B$76:$B$79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M8B2</t>
        </is>
      </c>
    </row>
    <row r="6" ht="24" customHeight="1">
      <c r="A6" s="4" t="inlineStr">
        <is>
          <t>Diagnóstico Territorial — Plantilla DT Campo Check Validada V5 | Sistema de referencia: UTM WGS 84 Zona 17S (EPSG:32717) · Integrado con la ficha de campo F-DT vigente (Plantilla_DT_Campo_Check_Validada_V5_M8B2.xlsx) — V7 - resumen V6 + campo F-DT integrado</t>
        </is>
      </c>
    </row>
    <row r="7"/>
    <row r="8" ht="18" customHeight="1">
      <c r="A8" s="5" t="inlineStr">
        <is>
          <t>1. IDENTIFICACIÓN Y LOCALIZACIÓN</t>
        </is>
      </c>
    </row>
    <row r="9">
      <c r="A9" s="6" t="inlineStr">
        <is>
          <t>Código del bloque</t>
        </is>
      </c>
      <c r="B9" s="7" t="inlineStr">
        <is>
          <t>M8B2</t>
        </is>
      </c>
      <c r="C9" s="6" t="inlineStr">
        <is>
          <t>Microcuenca (catálogo)</t>
        </is>
      </c>
      <c r="D9" s="7" t="inlineStr">
        <is>
          <t>C1096-Q9558</t>
        </is>
      </c>
      <c r="E9" s="8" t="n"/>
      <c r="F9" s="8" t="n"/>
    </row>
    <row r="10">
      <c r="A10" s="6" t="inlineStr">
        <is>
          <t>Zona de planificación</t>
        </is>
      </c>
      <c r="B10" s="7" t="inlineStr">
        <is>
          <t>Z03</t>
        </is>
      </c>
      <c r="C10" s="6" t="inlineStr">
        <is>
          <t>Microcuenca declarada en ficha DT</t>
        </is>
      </c>
      <c r="D10" s="7" t="inlineStr">
        <is>
          <t>C1096-Q9558</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Botijas</t>
        </is>
      </c>
      <c r="C13" s="6" t="inlineStr">
        <is>
          <t>Comunidad campesina</t>
        </is>
      </c>
      <c r="D13" s="7" t="inlineStr">
        <is>
          <t>No aplica (predios de propiedad privada)</t>
        </is>
      </c>
      <c r="E13" s="8" t="n"/>
      <c r="F13" s="8" t="n"/>
    </row>
    <row r="14">
      <c r="A14" s="6" t="inlineStr">
        <is>
          <t>Superficie de catálogo (V5/V6), ha</t>
        </is>
      </c>
      <c r="B14" s="7" t="n">
        <v>35.35</v>
      </c>
      <c r="C14" s="6" t="inlineStr">
        <is>
          <t>Fuente de superficie</t>
        </is>
      </c>
      <c r="D14" s="7" t="inlineStr">
        <is>
          <t>Catálogo maestro Bloques V5/V6</t>
        </is>
      </c>
      <c r="E14" s="8" t="n"/>
      <c r="F14" s="8" t="n"/>
    </row>
    <row r="15">
      <c r="A15" s="6" t="inlineStr">
        <is>
          <t>Centroide UTM ESTE (m)</t>
        </is>
      </c>
      <c r="B15" s="7" t="n">
        <v>617596</v>
      </c>
      <c r="C15" s="6" t="inlineStr">
        <is>
          <t>Centroide UTM NORTE (m)</t>
        </is>
      </c>
      <c r="D15" s="7" t="n">
        <v>9436227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882</v>
      </c>
      <c r="C19" s="6" t="inlineStr">
        <is>
          <t>Altitud máxima (msnm)</t>
        </is>
      </c>
      <c r="D19" s="7" t="n">
        <v>1181</v>
      </c>
      <c r="E19" s="8" t="n"/>
      <c r="F19" s="8" t="n"/>
    </row>
    <row r="20">
      <c r="A20" s="6" t="inlineStr">
        <is>
          <t>Amplitud altitudinal (m)</t>
        </is>
      </c>
      <c r="B20" s="7" t="n">
        <v>299</v>
      </c>
      <c r="C20" s="6" t="inlineStr">
        <is>
          <t>Piso altitudinal dominante</t>
        </is>
      </c>
      <c r="D20" s="7" t="inlineStr">
        <is>
          <t>1000-1500 m (Quechua baja)</t>
        </is>
      </c>
      <c r="E20" s="8" t="n"/>
      <c r="F20" s="8" t="n"/>
    </row>
    <row r="21">
      <c r="A21" s="6" t="inlineStr">
        <is>
          <t>Pendiente promedio (%)</t>
        </is>
      </c>
      <c r="B21" s="7" t="n">
        <v>24.49</v>
      </c>
      <c r="C21" s="6" t="inlineStr">
        <is>
          <t>Pendiente promedio (grados)</t>
        </is>
      </c>
      <c r="D21" s="7" t="n">
        <v>13.8</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0.5305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(59.58 %)</t>
        </is>
      </c>
      <c r="E29" s="8" t="n"/>
      <c r="F29" s="8" t="n"/>
    </row>
    <row r="30">
      <c r="A30" s="6" t="inlineStr">
        <is>
          <t>Superficie clasificada NDVI 2025 (ha)</t>
        </is>
      </c>
      <c r="B30" s="7" t="n">
        <v>35.363</v>
      </c>
      <c r="C30" s="6" t="inlineStr">
        <is>
          <t>Desviación frente al catálogo (%)</t>
        </is>
      </c>
      <c r="D30" s="7" t="n">
        <v>0.04</v>
      </c>
      <c r="E30" s="8" t="n"/>
      <c r="F30" s="8" t="n"/>
    </row>
    <row r="31">
      <c r="A31" s="6" t="inlineStr">
        <is>
          <t>Superficie clasificada MSAVI 2024 (ha)</t>
        </is>
      </c>
      <c r="B31" s="38" t="n">
        <v>35.347</v>
      </c>
      <c r="C31" s="6" t="inlineStr">
        <is>
          <t>Desviación MSAVI frente al catálogo (%)</t>
        </is>
      </c>
      <c r="D31" s="39" t="n">
        <v>-0.01</v>
      </c>
      <c r="E31" s="8" t="n"/>
      <c r="F31" s="8" t="n"/>
    </row>
    <row r="32">
      <c r="A32" s="6" t="inlineStr">
        <is>
          <t>Superficie bajo umbral MSAVI 0.4976 (ha)</t>
        </is>
      </c>
      <c r="B32" s="38" t="n">
        <v>11.037</v>
      </c>
      <c r="C32" s="6" t="inlineStr">
        <is>
          <t>% del bloque bajo umbral (brecha espectral)</t>
        </is>
      </c>
      <c r="D32" s="39" t="n">
        <v>31.22</v>
      </c>
      <c r="E32" s="8" t="n"/>
      <c r="F32" s="8" t="n"/>
    </row>
    <row r="33">
      <c r="A33" s="6" t="inlineStr">
        <is>
          <t>Clase DN dominante (MSAVI 2024)</t>
        </is>
      </c>
      <c r="B33" s="7" t="inlineStr">
        <is>
          <t>DN 4 · 0.4976 - 0.6139 (Vigor moderado)</t>
        </is>
      </c>
      <c r="C33" s="6" t="inlineStr">
        <is>
          <t>N.° de polígonos MSAVI del bloque</t>
        </is>
      </c>
      <c r="D33" s="40" t="n">
        <v>184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50" t="inlineStr">
        <is>
          <t>Tomar del Reporte de Ecosistemas por Bloques (no medida en campo)</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50" t="inlineStr">
        <is>
          <t>No inventariadas</t>
        </is>
      </c>
      <c r="E40" s="8" t="n"/>
      <c r="F40" s="8" t="n"/>
    </row>
    <row r="41">
      <c r="A41" s="6" t="inlineStr">
        <is>
          <t>Elenco florístico (n.° de taxones)</t>
        </is>
      </c>
      <c r="B41" s="7" t="n">
        <v>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(Esp. Infraestructura Verde); Ing. Pedro Talledo Hernández; Ing. Juan Carlos Domínguez Varas</t>
        </is>
      </c>
      <c r="C44" s="6" t="inlineStr">
        <is>
          <t>Fecha de evaluación</t>
        </is>
      </c>
      <c r="D44" s="7" t="inlineStr">
        <is>
          <t>2026-06-16</t>
        </is>
      </c>
      <c r="E44" s="8" t="n"/>
      <c r="F44" s="8" t="n"/>
    </row>
    <row r="45">
      <c r="A45" s="6" t="inlineStr">
        <is>
          <t>Hora de registro</t>
        </is>
      </c>
      <c r="B45" s="50" t="inlineStr">
        <is>
          <t>03:46 h (hora de registro según ficha)</t>
        </is>
      </c>
      <c r="C45" s="6" t="inlineStr">
        <is>
          <t>Correlativo de ficha</t>
        </is>
      </c>
      <c r="D45" s="50" t="inlineStr">
        <is>
          <t>F-DT/M8B2/2026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Sin parcela formal (UTM = punto referencial del bloque)</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50" t="inlineStr">
        <is>
          <t>No consignada en la ficha</t>
        </is>
      </c>
      <c r="C51" s="6" t="inlineStr">
        <is>
          <t>Velocidad de degradación</t>
        </is>
      </c>
      <c r="D51" s="50" t="inlineStr">
        <is>
          <t>Sin registro en ficha</t>
        </is>
      </c>
      <c r="E51" s="8" t="n"/>
      <c r="F51" s="8" t="n"/>
    </row>
    <row r="52">
      <c r="A52" s="6" t="inlineStr">
        <is>
          <t>Reversibilidad técnica</t>
        </is>
      </c>
      <c r="B52" s="50" t="inlineStr">
        <is>
          <t>Sin registro en ficha</t>
        </is>
      </c>
      <c r="C52" s="6" t="inlineStr">
        <is>
          <t>Urgencia de intervención</t>
        </is>
      </c>
      <c r="D52" s="50" t="inlineStr">
        <is>
          <t>Sin registro en ficha</t>
        </is>
      </c>
      <c r="E52" s="8" t="n"/>
      <c r="F52" s="8" t="n"/>
    </row>
    <row r="53">
      <c r="A53" s="6" t="inlineStr">
        <is>
          <t>Urgencia de control de erosión</t>
        </is>
      </c>
      <c r="B53" s="50" t="inlineStr">
        <is>
          <t>Sin registro en ficha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M8B2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5.2208</v>
      </c>
      <c r="C10" s="19">
        <f>ROUND(B10/$B$15*100,2)</f>
        <v/>
      </c>
      <c r="D10" s="11" t="inlineStr">
        <is>
          <t>Vigor alto</t>
        </is>
      </c>
      <c r="E10" s="11" t="inlineStr">
        <is>
          <t>Sobre umbral</t>
        </is>
      </c>
    </row>
    <row r="11">
      <c r="A11" s="12" t="inlineStr">
        <is>
          <t>0.4976 - 0.6139 · DN 4</t>
        </is>
      </c>
      <c r="B11" s="31" t="n">
        <v>19.0898</v>
      </c>
      <c r="C11" s="30">
        <f>ROUND(B11/$B$15*100,2)</f>
        <v/>
      </c>
      <c r="D11" s="13" t="inlineStr">
        <is>
          <t>Vigor moderado</t>
        </is>
      </c>
      <c r="E11" s="13" t="inlineStr">
        <is>
          <t>Sobre umbral</t>
        </is>
      </c>
    </row>
    <row r="12">
      <c r="A12" s="7" t="inlineStr">
        <is>
          <t>0.3813 - 0.4976 · DN 3</t>
        </is>
      </c>
      <c r="B12" s="18" t="n">
        <v>9.363300000000001</v>
      </c>
      <c r="C12" s="19">
        <f>ROUND(B12/$B$15*100,2)</f>
        <v/>
      </c>
      <c r="D12" s="11" t="inlineStr">
        <is>
          <t>Vigor bajo</t>
        </is>
      </c>
      <c r="E12" s="11" t="inlineStr">
        <is>
          <t>BAJO umbral 0.4976</t>
        </is>
      </c>
    </row>
    <row r="13">
      <c r="A13" s="14" t="inlineStr">
        <is>
          <t>0.2650 - 0.3813 · DN 2</t>
        </is>
      </c>
      <c r="B13" s="20" t="n">
        <v>1.6435</v>
      </c>
      <c r="C13" s="21">
        <f>ROUND(B13/$B$15*100,2)</f>
        <v/>
      </c>
      <c r="D13" s="15" t="inlineStr">
        <is>
          <t>Vigor muy bajo</t>
        </is>
      </c>
      <c r="E13" s="15" t="inlineStr">
        <is>
          <t>BAJO umbral 0.4976</t>
        </is>
      </c>
    </row>
    <row r="14">
      <c r="A14" s="7" t="inlineStr">
        <is>
          <t>&lt;= 0.2650 · DN 1</t>
        </is>
      </c>
      <c r="B14" s="18" t="n">
        <v>0.0297</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184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35.35</v>
      </c>
      <c r="C18" s="49" t="inlineStr">
        <is>
          <t>—</t>
        </is>
      </c>
      <c r="D18" s="46" t="inlineStr">
        <is>
          <t>Desviación planimétrica frente al catálogo</t>
        </is>
      </c>
      <c r="E18" s="46" t="inlineStr">
        <is>
          <t>-0.01 %</t>
        </is>
      </c>
    </row>
    <row r="19">
      <c r="A19" s="16" t="inlineStr">
        <is>
          <t>MSAVI 2024 — MEDIA DEL BLOQUE</t>
        </is>
      </c>
      <c r="B19" s="17" t="n">
        <v>0.530453</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184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(0.5305)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21.0687</v>
      </c>
      <c r="C25" s="19" t="n">
        <v>59.58</v>
      </c>
      <c r="D25" s="11" t="inlineStr">
        <is>
          <t>Dosel continuo, matorral denso o mosaico agroforestal</t>
        </is>
      </c>
      <c r="E25" s="11" t="inlineStr"/>
    </row>
    <row r="26">
      <c r="A26" s="14" t="inlineStr">
        <is>
          <t>Vegetación mediana</t>
        </is>
      </c>
      <c r="B26" s="20" t="n">
        <v>11.8842</v>
      </c>
      <c r="C26" s="21" t="n">
        <v>33.61</v>
      </c>
      <c r="D26" s="15" t="inlineStr">
        <is>
          <t>Pastizal cultivado, matorral ralo, parcelas agrícolas</t>
        </is>
      </c>
      <c r="E26" s="15" t="inlineStr"/>
    </row>
    <row r="27">
      <c r="A27" s="7" t="inlineStr">
        <is>
          <t>Vegetación ligera</t>
        </is>
      </c>
      <c r="B27" s="18" t="n">
        <v>2.3609</v>
      </c>
      <c r="C27" s="19" t="n">
        <v>6.68</v>
      </c>
      <c r="D27" s="11" t="inlineStr">
        <is>
          <t>Cobertura discontinua, suelo parcialmente expuesto</t>
        </is>
      </c>
      <c r="E27" s="11" t="inlineStr"/>
    </row>
    <row r="28">
      <c r="A28" s="14" t="inlineStr">
        <is>
          <t>Tierra desnuda</t>
        </is>
      </c>
      <c r="B28" s="20" t="n">
        <v>0.0495</v>
      </c>
      <c r="C28" s="21" t="n">
        <v>0.14</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35.35</v>
      </c>
      <c r="C30" s="25" t="inlineStr">
        <is>
          <t>—</t>
        </is>
      </c>
      <c r="D30" s="25" t="inlineStr">
        <is>
          <t>Desviación planimétrica frente al catálogo</t>
        </is>
      </c>
      <c r="E30" s="25" t="inlineStr">
        <is>
          <t>+0.04 %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M8B2</t>
        </is>
      </c>
    </row>
    <row r="6" ht="24" customHeight="1">
      <c r="A6" s="4" t="inlineStr">
        <is>
          <t>Levantamiento del 2026-06-16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617630</v>
      </c>
      <c r="D10" s="26" t="n">
        <v>9436148</v>
      </c>
      <c r="E10" s="11" t="n">
        <v>86</v>
      </c>
      <c r="F10" s="11" t="inlineStr"/>
      <c r="G10" s="11" t="inlineStr">
        <is>
          <t>Coordenada consignada en F-DT-01</t>
        </is>
      </c>
    </row>
    <row r="11">
      <c r="A11" s="14" t="inlineStr">
        <is>
          <t>H-01</t>
        </is>
      </c>
      <c r="B11" s="15" t="inlineStr">
        <is>
          <t>Fuente de agua — Reservorio / Represa</t>
        </is>
      </c>
      <c r="C11" s="27" t="inlineStr">
        <is>
          <t>Por determinar</t>
        </is>
      </c>
      <c r="D11" s="27" t="inlineStr">
        <is>
          <t>Por determinar</t>
        </is>
      </c>
      <c r="E11" s="15" t="inlineStr"/>
      <c r="F11" s="15" t="inlineStr">
        <is>
          <t>Por determinar</t>
        </is>
      </c>
      <c r="G11" s="15" t="inlineStr">
        <is>
          <t>Caja/reservorio rústico en desuso</t>
        </is>
      </c>
    </row>
    <row r="12">
      <c r="A12" s="7" t="inlineStr">
        <is>
          <t>H-02</t>
        </is>
      </c>
      <c r="B12" s="11" t="inlineStr">
        <is>
          <t>Fuente de agua — Quebrada estacional</t>
        </is>
      </c>
      <c r="C12" s="26" t="inlineStr">
        <is>
          <t>Por determinar</t>
        </is>
      </c>
      <c r="D12" s="26" t="inlineStr">
        <is>
          <t>Por determinar</t>
        </is>
      </c>
      <c r="E12" s="11" t="inlineStr"/>
      <c r="F12" s="11" t="inlineStr">
        <is>
          <t>Estacional</t>
        </is>
      </c>
      <c r="G12" s="11" t="inlineStr">
        <is>
          <t>Quebrada tributaria del río Piura</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617596</v>
      </c>
      <c r="C15" s="6" t="inlineStr">
        <is>
          <t>Centroide del bloque — UTM NORTE (m)</t>
        </is>
      </c>
      <c r="D15" s="7" t="n">
        <v>9436227</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EN CABECERA DE MICROCUENCA tributaria del río Piura; relieve de ladera empinada (PENDIENTE MEDIA 35.5%, MÁXIMA 62.2%). Exposición dominante de laderas SO-NO. Acceso por vía vecinal PI-799. TENENCIA PRIVADA; uso actual pastoreo/ganadería y cultivo de maíz. Verificación de campo 16/06/2026.</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C1096-Q9558 — BLOQUE M8B2</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C1096-Q9558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2</t>
        </is>
      </c>
      <c r="B10" s="28" t="n">
        <v>330.6</v>
      </c>
      <c r="C10" s="19" t="n">
        <v>90.34</v>
      </c>
      <c r="D10" s="11" t="inlineStr">
        <is>
          <t>142 – 406</t>
        </is>
      </c>
      <c r="E10" s="11" t="n">
        <v>264</v>
      </c>
      <c r="F10" s="11" t="n">
        <v>13.27</v>
      </c>
      <c r="G10" s="18" t="n">
        <v>0.3586</v>
      </c>
      <c r="H10" s="19" t="n">
        <v>0.32</v>
      </c>
      <c r="I10" s="19" t="n">
        <v>99.18000000000001</v>
      </c>
    </row>
    <row r="11">
      <c r="A11" s="12" t="inlineStr">
        <is>
          <t>► M8B2</t>
        </is>
      </c>
      <c r="B11" s="29" t="n">
        <v>35.35</v>
      </c>
      <c r="C11" s="30" t="n">
        <v>9.66</v>
      </c>
      <c r="D11" s="13" t="inlineStr">
        <is>
          <t>882 – 1181</t>
        </is>
      </c>
      <c r="E11" s="13" t="n">
        <v>299</v>
      </c>
      <c r="F11" s="13" t="n">
        <v>24.49</v>
      </c>
      <c r="G11" s="31" t="n">
        <v>0.5305</v>
      </c>
      <c r="H11" s="30" t="n">
        <v>59.58</v>
      </c>
      <c r="I11" s="30" t="n">
        <v>31.22</v>
      </c>
    </row>
    <row r="12">
      <c r="A12" s="16" t="inlineStr">
        <is>
          <t>TOTAL / PROMEDIO</t>
        </is>
      </c>
      <c r="B12" s="32">
        <f>SUM(B10:B11)</f>
        <v/>
      </c>
      <c r="C12" s="23">
        <f>SUM(C10:C11)</f>
        <v/>
      </c>
      <c r="D12" s="17" t="inlineStr">
        <is>
          <t>142 – 1181</t>
        </is>
      </c>
      <c r="E12" s="17" t="inlineStr"/>
      <c r="F12" s="17">
        <f>ROUND(AVERAGE(F10:F11),2)</f>
        <v/>
      </c>
      <c r="G12" s="22">
        <f>ROUND(AVERAGE(G10:G11),4)</f>
        <v/>
      </c>
      <c r="H12" s="23">
        <f>ROUND(AVERAGE(H10:H11),2)</f>
        <v/>
      </c>
      <c r="I12" s="23">
        <f>ROUND(AVERAGE(I10:I11),2)</f>
        <v/>
      </c>
    </row>
    <row r="14" ht="84" customHeight="1">
      <c r="A14" s="9" t="inlineStr">
        <is>
          <t>LECTURA INTRAMICROCUENCA. El bloque M8B2 ocupa el puesto 2 de 2 por superficie dentro de la microcuenca C1096-Q9558 (9.66 % de las 365.95 ha preliminares de la microcuenca). Su pendiente promedio (24.49 %, clase «15-25% (Fuert. inclinado)») es la 2.ª más baja de 2 y se sitúa por encima del promedio de la microcuenca (18.88 %). Su MSAVI 2024 (0.5305) es el 1.º de 2 y queda por encima del promedio local (0.4445). Amplitud altitudinal del bloque: 299 m (882–1181 msnm). El cuadro conserva todos los bloques catalogados en la microcuenca, incluidos los descartados en el tamizaje, para referencia del conjunto. Los bloques sin ficha DT figuran con sus parámetros de gabinete. BRECHA ESPECTRAL. El 31.22 % de la superficie del bloque (11.037 ha de 35.347 ha) se sitúa bajo el umbral MSAVI 0.4976, por debajo del promedio local de la microcuenca (65.20 %) calculado sobre los bloques con dato MSAVI disponible.</t>
        </is>
      </c>
      <c r="B14" s="41" t="n"/>
      <c r="C14" s="41" t="n"/>
      <c r="D14" s="41" t="n"/>
      <c r="E14" s="41" t="n"/>
      <c r="F14" s="41" t="n"/>
      <c r="G14" s="41" t="n"/>
      <c r="H14" s="41" t="n"/>
      <c r="I14" s="42"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1" t="n"/>
      <c r="C16" s="41" t="n"/>
      <c r="D16" s="41" t="n"/>
      <c r="E16" s="41" t="n"/>
      <c r="F16" s="41" t="n"/>
      <c r="G16" s="41" t="n"/>
      <c r="H16" s="41" t="n"/>
      <c r="I16" s="42"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M8B2</t>
        </is>
      </c>
    </row>
    <row r="6">
      <c r="A6" s="52" t="inlineStr">
        <is>
          <t>Cruce de la ficha de campo F-DT vigente con la ficha de resumen de gabinete y el catálogo maestro. Integración 2026-09-11 20:22:40.</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«C1096-Q9558».</t>
        </is>
      </c>
      <c r="D9" s="56" t="inlineStr">
        <is>
          <t>CONFORME</t>
        </is>
      </c>
      <c r="E9" s="56" t="inlineStr">
        <is>
          <t>Sin acción.</t>
        </is>
      </c>
    </row>
    <row r="10">
      <c r="A10" s="57" t="inlineStr">
        <is>
          <t>G-02</t>
        </is>
      </c>
      <c r="B10" s="57" t="inlineStr">
        <is>
          <t>UTM del punto de muestreo</t>
        </is>
      </c>
      <c r="C10" s="57" t="inlineStr">
        <is>
          <t>El punto de muestreo declarado dista 86.0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(1050 msnm) cae dentro del rango altitudinal del bloque (882 - 1181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(35.363 ha) se desvía 0.04 % de la superficie de catálogo (35.35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(35.347 ha) se desvía -0.01 % de la superficie de catálogo (35.35 ha).</t>
        </is>
      </c>
      <c r="D14" s="57" t="inlineStr">
        <is>
          <t>CONFORME</t>
        </is>
      </c>
      <c r="E14" s="57" t="inlineStr">
        <is>
          <t>Sin acción: la segmentación valida la geometría del bloque.</t>
        </is>
      </c>
    </row>
    <row r="15">
      <c r="A15" s="56" t="inlineStr">
        <is>
          <t>G-07</t>
        </is>
      </c>
      <c r="B15" s="56" t="inlineStr">
        <is>
          <t>Brecha espectral MSAVI</t>
        </is>
      </c>
      <c r="C15" s="56" t="inlineStr">
        <is>
          <t>El 31.22 % del bloque queda bajo el umbral 0.4976; superficie de brecha 11.04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35.35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(0.5305)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71.4 % de los campos esperados).</t>
        </is>
      </c>
      <c r="D19" s="56" t="inlineStr">
        <is>
          <t>CONFORME</t>
        </is>
      </c>
      <c r="E19" s="56" t="inlineStr">
        <is>
          <t>Sin acción.</t>
        </is>
      </c>
    </row>
    <row r="20">
      <c r="A20" s="57" t="inlineStr">
        <is>
          <t>F-02</t>
        </is>
      </c>
      <c r="B20" s="57" t="inlineStr">
        <is>
          <t>Cobertura de la integración</t>
        </is>
      </c>
      <c r="C20" s="57" t="inlineStr">
        <is>
          <t>Se declararon 84 de 114 hechos integrados (73.7 %); 30 quedan sin dato en ninguna fuente.</t>
        </is>
      </c>
      <c r="D20" s="57" t="inlineStr">
        <is>
          <t>CONFORME</t>
        </is>
      </c>
      <c r="E20" s="57" t="inlineStr">
        <is>
          <t>Sin acción.</t>
        </is>
      </c>
    </row>
    <row r="21">
      <c r="A21" s="56" t="inlineStr">
        <is>
          <t>H-01</t>
        </is>
      </c>
      <c r="B21" s="56" t="inlineStr">
        <is>
          <t>Rango de pendiente dominante</t>
        </is>
      </c>
      <c r="C21" s="56" t="inlineStr">
        <is>
          <t>La ficha DT declara «25-50% (Mod. escarpado)»; la estadística zonal sobre el MDE arroja una pendiente promedio de 24.49 %, que corresponde a la clase «15-25% (Fuert. inclinado)»</t>
        </is>
      </c>
      <c r="D21" s="56" t="inlineStr">
        <is>
          <t>NO SUSTANTIVA</t>
        </is>
      </c>
      <c r="E21"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7" t="inlineStr">
        <is>
          <t>H-02</t>
        </is>
      </c>
      <c r="B22" s="57" t="inlineStr">
        <is>
          <t>Dimensiones del inventario de cárcavas</t>
        </is>
      </c>
      <c r="C22" s="57" t="inlineStr">
        <is>
          <t>Se registran No inventariadas rasgos erosivos, pero longitud, profundidad y ancho no fueron medidos instrumentalmente</t>
        </is>
      </c>
      <c r="D22" s="57" t="inlineStr">
        <is>
          <t>NO SUSTANTIVA</t>
        </is>
      </c>
      <c r="E22" s="57" t="inlineStr">
        <is>
          <t>El conteo registrado no debe usarse para calcular densidad de cárcavas por hectárea. Pendiente de levantamiento con GPS submétrico. (Verificación heredada de la ficha de resumen V6.)</t>
        </is>
      </c>
    </row>
    <row r="23">
      <c r="A23" s="56" t="inlineStr">
        <is>
          <t>H-03</t>
        </is>
      </c>
      <c r="B23" s="56" t="inlineStr">
        <is>
          <t>Elenco florístico</t>
        </is>
      </c>
      <c r="C23" s="56" t="inlineStr">
        <is>
          <t>La ficha registra 9 taxones, por debajo del mínimo de 15 que exige el formato V5</t>
        </is>
      </c>
      <c r="D23" s="56" t="inlineStr">
        <is>
          <t>SUSTANTIVA</t>
        </is>
      </c>
      <c r="E23" s="56" t="inlineStr">
        <is>
          <t>Registro florístico preliminar, sin colecta ni determinación botánica formal. Debe cerrarse con colecta botánica en la siguiente campaña. (Verificación heredada de la ficha de resumen V6.)</t>
        </is>
      </c>
    </row>
    <row r="24">
      <c r="A24" s="57" t="inlineStr">
        <is>
          <t>H-04</t>
        </is>
      </c>
      <c r="B24" s="57" t="inlineStr">
        <is>
          <t>Representatividad del levantamiento</t>
        </is>
      </c>
      <c r="C24" s="57" t="inlineStr">
        <is>
          <t>Ninguna de las estaciones fotográficas georreferenciadas se localiza dentro del polígono del bloque</t>
        </is>
      </c>
      <c r="D24" s="57" t="inlineStr">
        <is>
          <t>SUSTANTIVA</t>
        </is>
      </c>
      <c r="E24" s="57" t="inlineStr">
        <is>
          <t>La verificación documenta el perímetro y la vista panorámica del bloque, no su interior. Los parámetros que exigen recorrido interno se consignan «Por determinar». (Verificación heredada de la ficha de resumen V6.)</t>
        </is>
      </c>
    </row>
    <row r="25">
      <c r="A25" s="56" t="inlineStr">
        <is>
          <t>H-05</t>
        </is>
      </c>
      <c r="B25" s="56" t="inlineStr">
        <is>
          <t>Centro poblado asociado</t>
        </is>
      </c>
      <c r="C25" s="56" t="inlineStr">
        <is>
          <t>La ficha DT declara «Botijas»; el cruce INEI-Bloques V5 identifica 1 centro(s) poblado(s) en el bloque: BOTIJAS</t>
        </is>
      </c>
      <c r="D25" s="56" t="inlineStr">
        <is>
          <t>CONFORME</t>
        </is>
      </c>
      <c r="E25" s="56" t="inlineStr">
        <is>
          <t>Se conserva el registro de campo como referencia y se adopta el listado INEI para el diagnóstico social y el cálculo de población beneficiaria. (Verificación heredada de la ficha de resumen V6.)</t>
        </is>
      </c>
    </row>
    <row r="26">
      <c r="A26" s="57" t="inlineStr">
        <is>
          <t>H-06</t>
        </is>
      </c>
      <c r="B26" s="57" t="inlineStr">
        <is>
          <t>Plan de Ingreso</t>
        </is>
      </c>
      <c r="C26" s="57" t="inlineStr">
        <is>
          <t>Altitud = 0 msnm (captura por defecto del aplicativo)</t>
        </is>
      </c>
      <c r="D26" s="57" t="inlineStr">
        <is>
          <t>CORREGIDO</t>
        </is>
      </c>
      <c r="E26" s="57" t="inlineStr">
        <is>
          <t>Se reemplaza por la altitud GPS de campo (1050 msnm) (Verificación heredada de la ficha de resumen V6.)</t>
        </is>
      </c>
    </row>
    <row r="27">
      <c r="A27" s="56" t="inlineStr">
        <is>
          <t>H-07</t>
        </is>
      </c>
      <c r="B27" s="56" t="inlineStr">
        <is>
          <t>F-DT-02</t>
        </is>
      </c>
      <c r="C27" s="56" t="inlineStr">
        <is>
          <t>Inventario georreferenciado de cárcavas pendiente pese a calificar la erosión como Fuerte</t>
        </is>
      </c>
      <c r="D27" s="56" t="inlineStr">
        <is>
          <t>SUSTANTIVA</t>
        </is>
      </c>
      <c r="E27" s="56" t="inlineStr">
        <is>
          <t>Levantamiento pendiente (Verificación heredada de la ficha de resumen V6.)</t>
        </is>
      </c>
    </row>
    <row r="28">
      <c r="A28" s="57" t="inlineStr">
        <is>
          <t>H-08</t>
        </is>
      </c>
      <c r="B28" s="57" t="inlineStr">
        <is>
          <t>F-DT-03</t>
        </is>
      </c>
      <c r="C28" s="57" t="inlineStr">
        <is>
          <t>Coberturas por estrato, DAP, altura y especies clave sin registrar; superficie de ecosistema no medida</t>
        </is>
      </c>
      <c r="D28" s="57" t="inlineStr">
        <is>
          <t>SUSTANTIVA</t>
        </is>
      </c>
      <c r="E28" s="57" t="inlineStr">
        <is>
          <t>Pendientes del inventario florístico especializado (Verificación heredada de la ficha de resumen V6.)</t>
        </is>
      </c>
    </row>
    <row r="29">
      <c r="A29" s="56" t="inlineStr">
        <is>
          <t>H-09</t>
        </is>
      </c>
      <c r="B29" s="56" t="inlineStr">
        <is>
          <t>F-DT-04</t>
        </is>
      </c>
      <c r="C29" s="56" t="inlineStr">
        <is>
          <t>Solo 2 de los 8 indicadores cuantitativos diligenciados; intensidad, extensión y antigüedad de las causas sin cuantificar</t>
        </is>
      </c>
      <c r="D29" s="56" t="inlineStr">
        <is>
          <t>SUSTANTIVA</t>
        </is>
      </c>
      <c r="E29" s="56" t="inlineStr">
        <is>
          <t>Cuantificación pendiente (Verificación heredada de la ficha de resumen V6.)</t>
        </is>
      </c>
    </row>
    <row r="30">
      <c r="A30" s="57" t="inlineStr">
        <is>
          <t>H-10</t>
        </is>
      </c>
      <c r="B30" s="57" t="inlineStr">
        <is>
          <t>F-DT-05</t>
        </is>
      </c>
      <c r="C30" s="57" t="inlineStr">
        <is>
          <t>Las dos fuentes de agua inventariadas carecen de coordenadas</t>
        </is>
      </c>
      <c r="D30" s="57" t="inlineStr">
        <is>
          <t>NO SUSTANTIVA</t>
        </is>
      </c>
      <c r="E30" s="57" t="inlineStr">
        <is>
          <t>Georreferenciación pendiente (Verificación heredada de la ficha de resumen V6.)</t>
        </is>
      </c>
    </row>
    <row r="32">
      <c r="A32" s="58" t="inlineStr">
        <is>
          <t>RESUMEN</t>
        </is>
      </c>
      <c r="B32" s="59" t="inlineStr">
        <is>
          <t>22 verificaciones</t>
        </is>
      </c>
      <c r="C32" s="59" t="inlineStr">
        <is>
          <t>SUSTANTIVA: 6 · NO SUSTANTIVA: 3 · CORREGIDO: 1 · CONFORME: 12</t>
        </is>
      </c>
    </row>
    <row r="34">
      <c r="A34"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M8B2</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617630</t>
        </is>
      </c>
      <c r="D13" s="56" t="inlineStr">
        <is>
          <t>m</t>
        </is>
      </c>
    </row>
    <row r="14">
      <c r="A14" s="57" t="inlineStr">
        <is>
          <t>1. Identificación y localización</t>
        </is>
      </c>
      <c r="B14" s="57" t="inlineStr">
        <is>
          <t>UTM NORTE del punto de muestreo (m)</t>
        </is>
      </c>
      <c r="C14" s="57" t="inlineStr">
        <is>
          <t>9436148</t>
        </is>
      </c>
      <c r="D14" s="57" t="inlineStr">
        <is>
          <t>m</t>
        </is>
      </c>
    </row>
    <row r="15">
      <c r="A15" s="56" t="inlineStr">
        <is>
          <t>2. Parámetros físicos del terreno</t>
        </is>
      </c>
      <c r="B15" s="56" t="inlineStr">
        <is>
          <t>Altitud GPS del punto de muestreo (msnm)</t>
        </is>
      </c>
      <c r="C15" s="56" t="inlineStr">
        <is>
          <t>1050</t>
        </is>
      </c>
      <c r="D15" s="56" t="inlineStr">
        <is>
          <t>msnm</t>
        </is>
      </c>
    </row>
    <row r="16">
      <c r="A16" s="57" t="inlineStr">
        <is>
          <t>2. Parámetros físicos del terreno</t>
        </is>
      </c>
      <c r="B16" s="57" t="inlineStr">
        <is>
          <t>Piso altitudinal del punto de muestreo</t>
        </is>
      </c>
      <c r="C16" s="57" t="inlineStr">
        <is>
          <t>1000-1500 m (Quechua baja)</t>
        </is>
      </c>
      <c r="D16" s="57" t="inlineStr"/>
    </row>
    <row r="17">
      <c r="A17" s="56" t="inlineStr">
        <is>
          <t>2. Parámetros físicos del terreno</t>
        </is>
      </c>
      <c r="B17" s="56" t="inlineStr">
        <is>
          <t>Paisaje dominante descrito en campo</t>
        </is>
      </c>
      <c r="C17" s="56" t="inlineStr">
        <is>
          <t>Montaña/colina de la vertiente occidental andina; ladera empinada con mosaico de bosque estacionalmente seco y áreas intervenidas para pastoreo y cultivo de maíz.</t>
        </is>
      </c>
      <c r="D17" s="56" t="inlineStr"/>
    </row>
    <row r="18">
      <c r="A18" s="57" t="inlineStr">
        <is>
          <t>2. Parámetros físicos del terreno</t>
        </is>
      </c>
      <c r="B18" s="57" t="inlineStr">
        <is>
          <t>Reptación de suelo</t>
        </is>
      </c>
      <c r="C18" s="57" t="inlineStr">
        <is>
          <t>Sí</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Fuerte (cárcavas incipientes)</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6. Degradación, causas y urgencia (F-DT-04)</t>
        </is>
      </c>
      <c r="B23" s="56" t="inlineStr">
        <is>
          <t>Causas directas de la degradación</t>
        </is>
      </c>
      <c r="C23" s="56" t="inlineStr">
        <is>
          <t>Deforestación y tala selectiva, sobrepastoreo/ganadería extensiva, apertura de trochas y caminos en ladera, y agricultura (maíz) en pendiente.</t>
        </is>
      </c>
      <c r="D23" s="56" t="inlineStr"/>
    </row>
    <row r="24">
      <c r="A24" s="57" t="inlineStr">
        <is>
          <t>6. Degradación, causas y urgencia (F-DT-04)</t>
        </is>
      </c>
      <c r="B24" s="57" t="inlineStr">
        <is>
          <t>N.° de causas activas en la matriz F-DT-04</t>
        </is>
      </c>
      <c r="C24" s="57" t="inlineStr">
        <is>
          <t>5</t>
        </is>
      </c>
      <c r="D24" s="57" t="inlineStr"/>
    </row>
    <row r="25">
      <c r="A25" s="56" t="inlineStr">
        <is>
          <t>7. Hidrología, acceso y logística (F-DT-05)</t>
        </is>
      </c>
      <c r="B25" s="56" t="inlineStr">
        <is>
          <t>Escorrentía concentrada</t>
        </is>
      </c>
      <c r="C25" s="56" t="inlineStr">
        <is>
          <t>Sí</t>
        </is>
      </c>
      <c r="D25" s="56" t="inlineStr"/>
    </row>
    <row r="26">
      <c r="A26" s="57" t="inlineStr">
        <is>
          <t>7. Hidrología, acceso y logística (F-DT-05)</t>
        </is>
      </c>
      <c r="B26" s="57" t="inlineStr">
        <is>
          <t>Fuentes de agua inventariadas</t>
        </is>
      </c>
      <c r="C26" s="57" t="inlineStr">
        <is>
          <t>2</t>
        </is>
      </c>
      <c r="D26" s="57" t="inlineStr"/>
    </row>
    <row r="27">
      <c r="A27" s="56" t="inlineStr">
        <is>
          <t>7. Hidrología, acceso y logística (F-DT-05)</t>
        </is>
      </c>
      <c r="B27" s="56" t="inlineStr">
        <is>
          <t>Interferencia con riego</t>
        </is>
      </c>
      <c r="C27" s="56" t="inlineStr">
        <is>
          <t>No</t>
        </is>
      </c>
      <c r="D27" s="56" t="inlineStr"/>
    </row>
    <row r="28">
      <c r="A28" s="57" t="inlineStr">
        <is>
          <t>7. Hidrología, acceso y logística (F-DT-05)</t>
        </is>
      </c>
      <c r="B28" s="57" t="inlineStr">
        <is>
          <t>Vía principal de acceso</t>
        </is>
      </c>
      <c r="C28" s="57" t="inlineStr">
        <is>
          <t>Vía vecinal PI-799 (trocha carrozable)</t>
        </is>
      </c>
      <c r="D28" s="57" t="inlineStr"/>
    </row>
    <row r="29">
      <c r="A29" s="56" t="inlineStr">
        <is>
          <t>7. Hidrología, acceso y logística (F-DT-05)</t>
        </is>
      </c>
      <c r="B29" s="56" t="inlineStr">
        <is>
          <t>Tipo de vía del tramo final</t>
        </is>
      </c>
      <c r="C29" s="56" t="inlineStr">
        <is>
          <t>Trocha carrozable</t>
        </is>
      </c>
      <c r="D29" s="56" t="inlineStr"/>
    </row>
    <row r="30">
      <c r="A30" s="57" t="inlineStr">
        <is>
          <t>7. Hidrología, acceso y logística (F-DT-05)</t>
        </is>
      </c>
      <c r="B30" s="57" t="inlineStr">
        <is>
          <t>Transitabilidad en época seca</t>
        </is>
      </c>
      <c r="C30" s="57" t="inlineStr">
        <is>
          <t>Medio</t>
        </is>
      </c>
      <c r="D30" s="57" t="inlineStr"/>
    </row>
    <row r="31">
      <c r="A31" s="56" t="inlineStr">
        <is>
          <t>7. Hidrología, acceso y logística (F-DT-05)</t>
        </is>
      </c>
      <c r="B31" s="56" t="inlineStr">
        <is>
          <t>Transitabilidad en época lluviosa</t>
        </is>
      </c>
      <c r="C31" s="56" t="inlineStr">
        <is>
          <t>Bajo</t>
        </is>
      </c>
      <c r="D31" s="56" t="inlineStr"/>
    </row>
    <row r="33">
      <c r="A33" s="54" t="inlineStr">
        <is>
          <t>C. PROCEDENCIA DE LOS HECHOS DECLARADOS</t>
        </is>
      </c>
    </row>
    <row r="34">
      <c r="A34" s="55" t="inlineStr">
        <is>
          <t>Fuente</t>
        </is>
      </c>
      <c r="B34" s="55" t="inlineStr">
        <is>
          <t>Hechos</t>
        </is>
      </c>
      <c r="C34" s="55" t="inlineStr">
        <is>
          <t>Alcance de la fuente</t>
        </is>
      </c>
    </row>
    <row r="35">
      <c r="A35" s="56" t="inlineStr">
        <is>
          <t>Dato de campo</t>
        </is>
      </c>
      <c r="B35" s="56" t="n">
        <v>40</v>
      </c>
      <c r="C35" s="56" t="inlineStr">
        <is>
          <t>Verificación en campo. Fichas F-DT-01 a F-DT-05 de la Plantilla DT Campo Check Validada V5, suscritas por el evaluador.</t>
        </is>
      </c>
    </row>
    <row r="36">
      <c r="A36" s="57" t="inlineStr">
        <is>
          <t>Gabinete (GIS / teledetección)</t>
        </is>
      </c>
      <c r="B36" s="57" t="n">
        <v>30</v>
      </c>
      <c r="C36" s="57" t="inlineStr">
        <is>
          <t>Gabinete. Estadística zonal sobre el MDE y compuestos Sentinel-2 (NDVI mediana 2025, MSAVI 2024 por clase DN).</t>
        </is>
      </c>
    </row>
    <row r="37">
      <c r="A37" s="56" t="inlineStr">
        <is>
          <t>Fuente oficial</t>
        </is>
      </c>
      <c r="B37" s="56" t="n">
        <v>14</v>
      </c>
      <c r="C37" s="56" t="inlineStr">
        <is>
          <t>Fuente oficial. Catálogo maestro Bloques V5/V6, división política INEI y codificación de microcuencas de la ANA.</t>
        </is>
      </c>
    </row>
    <row r="39">
      <c r="A39" s="54" t="inlineStr">
        <is>
          <t>D. ESTADO DEL CRUCE ENTRE FUENTES</t>
        </is>
      </c>
    </row>
    <row r="40">
      <c r="A40" s="55" t="inlineStr">
        <is>
          <t>Estado</t>
        </is>
      </c>
      <c r="B40" s="55" t="inlineStr">
        <is>
          <t>Hechos</t>
        </is>
      </c>
      <c r="C40" s="55" t="inlineStr">
        <is>
          <t>Significado</t>
        </is>
      </c>
    </row>
    <row r="41">
      <c r="A41" s="56" t="inlineStr">
        <is>
          <t>CONFORME</t>
        </is>
      </c>
      <c r="B41" s="56" t="n">
        <v>74</v>
      </c>
      <c r="C41" s="56" t="inlineStr">
        <is>
          <t>Las dos fuentes declaran lo mismo, o solo la fuente que manda sobre el hecho lo declara.</t>
        </is>
      </c>
    </row>
    <row r="42">
      <c r="A42" s="57" t="inlineStr">
        <is>
          <t>COMPLEMENTADO</t>
        </is>
      </c>
      <c r="B42" s="57" t="n">
        <v>10</v>
      </c>
      <c r="C42" s="57" t="inlineStr">
        <is>
          <t>Solo una de las fuentes lo declara y se adopta ese valor.</t>
        </is>
      </c>
    </row>
    <row r="43">
      <c r="A43" s="56" t="inlineStr">
        <is>
          <t>ACTUALIZADO</t>
        </is>
      </c>
      <c r="B43" s="56" t="n">
        <v>0</v>
      </c>
      <c r="C43" s="56" t="inlineStr">
        <is>
          <t>La verificación de campo vigente corrige lo que traía el libro de resumen.</t>
        </is>
      </c>
    </row>
    <row r="44">
      <c r="A44" s="57" t="inlineStr">
        <is>
          <t>DISCREPANTE</t>
        </is>
      </c>
      <c r="B44" s="57" t="n">
        <v>0</v>
      </c>
      <c r="C44" s="57" t="inlineStr">
        <is>
          <t>Las fuentes se contradicen; prevalece la que manda sobre el hecho y la otra queda declarada.</t>
        </is>
      </c>
    </row>
    <row r="45">
      <c r="A45" s="56" t="inlineStr">
        <is>
          <t>PENDIENTE</t>
        </is>
      </c>
      <c r="B45" s="56" t="n">
        <v>30</v>
      </c>
      <c r="C45"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M8B2</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Faique</t>
        </is>
      </c>
      <c r="C13" s="56" t="inlineStr">
        <is>
          <t>Vachellia (Acacia) macracantha</t>
        </is>
      </c>
      <c r="D13" s="56" t="inlineStr">
        <is>
          <t>Fabaceae</t>
        </is>
      </c>
      <c r="E13" s="56" t="inlineStr"/>
      <c r="F13" s="56" t="inlineStr">
        <is>
          <t>Nativa</t>
        </is>
      </c>
      <c r="G13" s="56" t="inlineStr"/>
      <c r="H13" s="56" t="n"/>
      <c r="I13" s="56" t="n"/>
    </row>
    <row r="14">
      <c r="A14" s="57" t="inlineStr">
        <is>
          <t>2</t>
        </is>
      </c>
      <c r="B14" s="57" t="inlineStr">
        <is>
          <t>Pacae / Guabo</t>
        </is>
      </c>
      <c r="C14" s="57" t="inlineStr">
        <is>
          <t>Inga sp.</t>
        </is>
      </c>
      <c r="D14" s="57" t="inlineStr">
        <is>
          <t>Fabaceae</t>
        </is>
      </c>
      <c r="E14" s="57" t="inlineStr"/>
      <c r="F14" s="57" t="inlineStr">
        <is>
          <t>Nativa</t>
        </is>
      </c>
      <c r="G14" s="57" t="inlineStr"/>
      <c r="H14" s="57" t="n"/>
      <c r="I14" s="57" t="n"/>
    </row>
    <row r="15">
      <c r="A15" s="56" t="inlineStr">
        <is>
          <t>3</t>
        </is>
      </c>
      <c r="B15" s="56" t="inlineStr">
        <is>
          <t>Guayacán</t>
        </is>
      </c>
      <c r="C15" s="56" t="inlineStr">
        <is>
          <t>Handroanthus / Tabebuia sp.</t>
        </is>
      </c>
      <c r="D15" s="56" t="inlineStr">
        <is>
          <t>Bignoniaceae</t>
        </is>
      </c>
      <c r="E15" s="56" t="inlineStr"/>
      <c r="F15" s="56" t="inlineStr">
        <is>
          <t>Nativa</t>
        </is>
      </c>
      <c r="G15" s="56" t="inlineStr"/>
      <c r="H15" s="56" t="n"/>
      <c r="I15" s="56" t="n"/>
    </row>
    <row r="16">
      <c r="A16" s="57" t="inlineStr">
        <is>
          <t>4</t>
        </is>
      </c>
      <c r="B16" s="57" t="inlineStr">
        <is>
          <t>Hualtaco</t>
        </is>
      </c>
      <c r="C16" s="57" t="inlineStr">
        <is>
          <t>Loxopterygium huasango</t>
        </is>
      </c>
      <c r="D16" s="57" t="inlineStr">
        <is>
          <t>Anacardiaceae</t>
        </is>
      </c>
      <c r="E16" s="57" t="inlineStr"/>
      <c r="F16" s="57" t="inlineStr">
        <is>
          <t>Nativa</t>
        </is>
      </c>
      <c r="G16" s="57" t="inlineStr"/>
      <c r="H16" s="57" t="n"/>
      <c r="I16" s="57" t="n"/>
    </row>
    <row r="17">
      <c r="A17" s="56" t="inlineStr">
        <is>
          <t>5</t>
        </is>
      </c>
      <c r="B17" s="56" t="inlineStr">
        <is>
          <t>Higuerón</t>
        </is>
      </c>
      <c r="C17" s="56" t="inlineStr">
        <is>
          <t>Ficus sp.</t>
        </is>
      </c>
      <c r="D17" s="56" t="inlineStr">
        <is>
          <t>Moraceae</t>
        </is>
      </c>
      <c r="E17" s="56" t="inlineStr"/>
      <c r="F17" s="56" t="inlineStr">
        <is>
          <t>Nativa</t>
        </is>
      </c>
      <c r="G17" s="56" t="inlineStr"/>
      <c r="H17" s="56" t="n"/>
      <c r="I17" s="56" t="n"/>
    </row>
    <row r="18">
      <c r="A18" s="57" t="inlineStr">
        <is>
          <t>6</t>
        </is>
      </c>
      <c r="B18" s="57" t="inlineStr">
        <is>
          <t>Agave / Penca</t>
        </is>
      </c>
      <c r="C18" s="57" t="inlineStr">
        <is>
          <t>Agave americana</t>
        </is>
      </c>
      <c r="D18" s="57" t="inlineStr">
        <is>
          <t>Asparagaceae</t>
        </is>
      </c>
      <c r="E18" s="57" t="inlineStr"/>
      <c r="F18" s="57" t="inlineStr">
        <is>
          <t>Nativa</t>
        </is>
      </c>
      <c r="G18" s="57" t="inlineStr"/>
      <c r="H18" s="57" t="n"/>
      <c r="I18" s="57" t="n"/>
    </row>
    <row r="19">
      <c r="A19" s="56" t="inlineStr">
        <is>
          <t>7</t>
        </is>
      </c>
      <c r="B19" s="56" t="inlineStr">
        <is>
          <t>Cactáceas</t>
        </is>
      </c>
      <c r="C19" s="56" t="inlineStr">
        <is>
          <t>Cactaceae (familia)</t>
        </is>
      </c>
      <c r="D19" s="56" t="inlineStr">
        <is>
          <t>Cactaceae</t>
        </is>
      </c>
      <c r="E19" s="56" t="inlineStr"/>
      <c r="F19" s="56" t="inlineStr">
        <is>
          <t>Nativa</t>
        </is>
      </c>
      <c r="G19" s="56" t="inlineStr"/>
      <c r="H19" s="56" t="n"/>
      <c r="I19" s="56" t="n"/>
    </row>
    <row r="20">
      <c r="A20" s="57" t="inlineStr">
        <is>
          <t>8</t>
        </is>
      </c>
      <c r="B20" s="57" t="inlineStr">
        <is>
          <t>Pastos cultivados</t>
        </is>
      </c>
      <c r="C20" s="57" t="inlineStr">
        <is>
          <t>Gramíneas (Poaceae)</t>
        </is>
      </c>
      <c r="D20" s="57" t="inlineStr">
        <is>
          <t>Poaceae</t>
        </is>
      </c>
      <c r="E20" s="57" t="inlineStr"/>
      <c r="F20" s="57" t="inlineStr">
        <is>
          <t>Introducida</t>
        </is>
      </c>
      <c r="G20" s="57" t="inlineStr"/>
      <c r="H20" s="57" t="n"/>
      <c r="I20" s="57" t="n"/>
    </row>
    <row r="21">
      <c r="A21" s="56" t="inlineStr">
        <is>
          <t>9</t>
        </is>
      </c>
      <c r="B21" s="56" t="inlineStr">
        <is>
          <t>Maíz</t>
        </is>
      </c>
      <c r="C21" s="56" t="inlineStr">
        <is>
          <t>Zea mays</t>
        </is>
      </c>
      <c r="D21" s="56" t="inlineStr">
        <is>
          <t>Poaceae</t>
        </is>
      </c>
      <c r="E21" s="56" t="inlineStr"/>
      <c r="F21" s="56" t="inlineStr">
        <is>
          <t>Introducida</t>
        </is>
      </c>
      <c r="G21" s="56" t="inlineStr"/>
      <c r="H21" s="56" t="n"/>
      <c r="I21" s="56" t="n"/>
    </row>
    <row r="23">
      <c r="A23" s="54" t="inlineStr">
        <is>
          <t>F-DT-03 · ESPECIES CLAVE GEORREFERENCIADAS</t>
        </is>
      </c>
    </row>
    <row r="24">
      <c r="A24" s="55" t="inlineStr">
        <is>
          <t>N.o</t>
        </is>
      </c>
      <c r="B24" s="55" t="inlineStr">
        <is>
          <t>Especie</t>
        </is>
      </c>
      <c r="C24" s="55" t="inlineStr">
        <is>
          <t>Categoría</t>
        </is>
      </c>
      <c r="D24" s="55" t="inlineStr">
        <is>
          <t>Estado UICN</t>
        </is>
      </c>
      <c r="E24" s="55" t="inlineStr">
        <is>
          <t>UTM ESTE</t>
        </is>
      </c>
      <c r="F24" s="55" t="inlineStr">
        <is>
          <t>UTM NORTE</t>
        </is>
      </c>
      <c r="G24" s="55" t="inlineStr">
        <is>
          <t>N.° individuos</t>
        </is>
      </c>
      <c r="H24" s="55" t="inlineStr">
        <is>
          <t>Observación</t>
        </is>
      </c>
    </row>
    <row r="26">
      <c r="A26" s="54" t="inlineStr">
        <is>
          <t>F-DT-04 · MATRIZ DE CAUSAS DE DEGRADACIÓN</t>
        </is>
      </c>
    </row>
    <row r="27">
      <c r="A27" s="55" t="inlineStr">
        <is>
          <t>N.o</t>
        </is>
      </c>
      <c r="B27" s="55" t="inlineStr">
        <is>
          <t>Causa</t>
        </is>
      </c>
      <c r="C27" s="55" t="inlineStr">
        <is>
          <t>Presencia</t>
        </is>
      </c>
      <c r="D27" s="55" t="inlineStr">
        <is>
          <t>Intensidad</t>
        </is>
      </c>
      <c r="E27" s="55" t="inlineStr">
        <is>
          <t>Extensión</t>
        </is>
      </c>
      <c r="F27" s="55" t="inlineStr">
        <is>
          <t>Antigüedad</t>
        </is>
      </c>
      <c r="G27" s="55" t="inlineStr">
        <is>
          <t>Evidencia</t>
        </is>
      </c>
    </row>
    <row r="28">
      <c r="A28" s="56" t="inlineStr">
        <is>
          <t>1</t>
        </is>
      </c>
      <c r="B28" s="56" t="inlineStr">
        <is>
          <t>Sobrepastoreo (caprino/vacuno)</t>
        </is>
      </c>
      <c r="C28" s="56" t="inlineStr">
        <is>
          <t>Sí</t>
        </is>
      </c>
      <c r="D28" s="56" t="inlineStr"/>
      <c r="E28" s="56" t="inlineStr"/>
      <c r="F28" s="56" t="inlineStr"/>
      <c r="G28" s="56" t="inlineStr">
        <is>
          <t>Pastizales sobrepastoreados con suelo compactado y expuesto; tocones en cimas (Fot. 3).</t>
        </is>
      </c>
    </row>
    <row r="29">
      <c r="A29" s="57" t="inlineStr">
        <is>
          <t>2</t>
        </is>
      </c>
      <c r="B29" s="57" t="inlineStr">
        <is>
          <t>Tala para leña</t>
        </is>
      </c>
      <c r="C29" s="57" t="inlineStr"/>
      <c r="D29" s="57" t="inlineStr"/>
      <c r="E29" s="57" t="inlineStr"/>
      <c r="F29" s="57" t="inlineStr"/>
      <c r="G29" s="57" t="inlineStr"/>
    </row>
    <row r="30">
      <c r="A30" s="56" t="inlineStr">
        <is>
          <t>3</t>
        </is>
      </c>
      <c r="B30" s="56" t="inlineStr">
        <is>
          <t>Tala para carbón</t>
        </is>
      </c>
      <c r="C30" s="56" t="inlineStr"/>
      <c r="D30" s="56" t="inlineStr"/>
      <c r="E30" s="56" t="inlineStr"/>
      <c r="F30" s="56" t="inlineStr"/>
      <c r="G30" s="56" t="inlineStr"/>
    </row>
    <row r="31">
      <c r="A31" s="57" t="inlineStr">
        <is>
          <t>4</t>
        </is>
      </c>
      <c r="B31" s="57" t="inlineStr">
        <is>
          <t>Tala para madera</t>
        </is>
      </c>
      <c r="C31" s="57" t="inlineStr"/>
      <c r="D31" s="57" t="inlineStr"/>
      <c r="E31" s="57" t="inlineStr"/>
      <c r="F31" s="57" t="inlineStr"/>
      <c r="G31" s="57" t="inlineStr"/>
    </row>
    <row r="32">
      <c r="A32" s="56" t="inlineStr">
        <is>
          <t>5</t>
        </is>
      </c>
      <c r="B32" s="56" t="inlineStr">
        <is>
          <t>Quema (renovación de pastos)</t>
        </is>
      </c>
      <c r="C32" s="56" t="inlineStr">
        <is>
          <t>No</t>
        </is>
      </c>
      <c r="D32" s="56" t="inlineStr"/>
      <c r="E32" s="56" t="inlineStr"/>
      <c r="F32" s="56" t="inlineStr"/>
      <c r="G32" s="56" t="inlineStr"/>
    </row>
    <row r="33">
      <c r="A33" s="57" t="inlineStr">
        <is>
          <t>6</t>
        </is>
      </c>
      <c r="B33" s="57" t="inlineStr">
        <is>
          <t>Quema accidental / Incendio</t>
        </is>
      </c>
      <c r="C33" s="57" t="inlineStr">
        <is>
          <t>No</t>
        </is>
      </c>
      <c r="D33" s="57" t="inlineStr"/>
      <c r="E33" s="57" t="inlineStr"/>
      <c r="F33" s="57" t="inlineStr"/>
      <c r="G33" s="57" t="inlineStr"/>
    </row>
    <row r="34">
      <c r="A34" s="56" t="inlineStr">
        <is>
          <t>7</t>
        </is>
      </c>
      <c r="B34" s="56" t="inlineStr">
        <is>
          <t>Cambio de uso a agricultura</t>
        </is>
      </c>
      <c r="C34" s="56" t="inlineStr">
        <is>
          <t>Sí</t>
        </is>
      </c>
      <c r="D34" s="56" t="inlineStr"/>
      <c r="E34" s="56" t="inlineStr"/>
      <c r="F34" s="56" t="inlineStr"/>
      <c r="G34" s="56" t="inlineStr">
        <is>
          <t>Parcelas de maíz habilitadas en ladera (agricultura en pendiente).</t>
        </is>
      </c>
    </row>
    <row r="35">
      <c r="A35" s="57" t="inlineStr">
        <is>
          <t>8</t>
        </is>
      </c>
      <c r="B35" s="57" t="inlineStr">
        <is>
          <t>Cambio de uso a pastoreo</t>
        </is>
      </c>
      <c r="C35" s="57" t="inlineStr">
        <is>
          <t>Sí</t>
        </is>
      </c>
      <c r="D35" s="57" t="inlineStr"/>
      <c r="E35" s="57" t="inlineStr"/>
      <c r="F35" s="57" t="inlineStr"/>
      <c r="G35" s="57" t="inlineStr">
        <is>
          <t>Conversión de cimas a pastizal para uso pecuario extensivo (tocones, Fot. 3).</t>
        </is>
      </c>
    </row>
    <row r="36">
      <c r="A36" s="56" t="inlineStr">
        <is>
          <t>9</t>
        </is>
      </c>
      <c r="B36" s="56" t="inlineStr">
        <is>
          <t>Expansión urbana / vial</t>
        </is>
      </c>
      <c r="C36" s="56" t="inlineStr">
        <is>
          <t>Sí</t>
        </is>
      </c>
      <c r="D36" s="56" t="inlineStr"/>
      <c r="E36" s="56" t="inlineStr"/>
      <c r="F36" s="56" t="inlineStr"/>
      <c r="G36" s="56" t="inlineStr">
        <is>
          <t>Apertura de trochas/caminos en ladera (vía PI-799 y caminos de herradura): interrumpe el drenaje, concentra escorrentía y genera taludes inestables (Fot. 6–11).</t>
        </is>
      </c>
    </row>
    <row r="37">
      <c r="A37" s="57" t="inlineStr">
        <is>
          <t>10</t>
        </is>
      </c>
      <c r="B37" s="57" t="inlineStr">
        <is>
          <t>Minería informal</t>
        </is>
      </c>
      <c r="C37" s="57" t="inlineStr"/>
      <c r="D37" s="57" t="inlineStr"/>
      <c r="E37" s="57" t="inlineStr"/>
      <c r="F37" s="57" t="inlineStr"/>
      <c r="G37" s="57" t="inlineStr"/>
    </row>
    <row r="38">
      <c r="A38" s="56" t="inlineStr">
        <is>
          <t>11</t>
        </is>
      </c>
      <c r="B38" s="56" t="inlineStr">
        <is>
          <t>Extracción de áridos (cauces)</t>
        </is>
      </c>
      <c r="C38" s="56" t="inlineStr"/>
      <c r="D38" s="56" t="inlineStr"/>
      <c r="E38" s="56" t="inlineStr"/>
      <c r="F38" s="56" t="inlineStr"/>
      <c r="G38" s="56" t="inlineStr"/>
    </row>
    <row r="39">
      <c r="A39" s="57" t="inlineStr">
        <is>
          <t>12</t>
        </is>
      </c>
      <c r="B39" s="57" t="inlineStr">
        <is>
          <t>Especies invasoras</t>
        </is>
      </c>
      <c r="C39" s="57" t="inlineStr"/>
      <c r="D39" s="57" t="inlineStr"/>
      <c r="E39" s="57" t="inlineStr"/>
      <c r="F39" s="57" t="inlineStr"/>
      <c r="G39" s="57" t="inlineStr"/>
    </row>
    <row r="40">
      <c r="A40" s="56" t="inlineStr">
        <is>
          <t>13</t>
        </is>
      </c>
      <c r="B40" s="56" t="inlineStr">
        <is>
          <t>Erosión natural severa</t>
        </is>
      </c>
      <c r="C40" s="56" t="inlineStr"/>
      <c r="D40" s="56" t="inlineStr"/>
      <c r="E40" s="56" t="inlineStr"/>
      <c r="F40" s="56" t="inlineStr"/>
      <c r="G40" s="56" t="inlineStr"/>
    </row>
    <row r="41">
      <c r="A41" s="57" t="inlineStr">
        <is>
          <t>14</t>
        </is>
      </c>
      <c r="B41" s="57" t="inlineStr">
        <is>
          <t>Sequía prolongada / CC</t>
        </is>
      </c>
      <c r="C41" s="57" t="inlineStr"/>
      <c r="D41" s="57" t="inlineStr"/>
      <c r="E41" s="57" t="inlineStr"/>
      <c r="F41" s="57" t="inlineStr"/>
      <c r="G41" s="57" t="inlineStr"/>
    </row>
    <row r="42">
      <c r="A42" s="56" t="inlineStr">
        <is>
          <t>15</t>
        </is>
      </c>
      <c r="B42" s="56" t="inlineStr">
        <is>
          <t>Plagas o enfermedades forestales</t>
        </is>
      </c>
      <c r="C42" s="56" t="inlineStr"/>
      <c r="D42" s="56" t="inlineStr"/>
      <c r="E42" s="56" t="inlineStr"/>
      <c r="F42" s="56" t="inlineStr"/>
      <c r="G42" s="56" t="inlineStr"/>
    </row>
    <row r="43">
      <c r="A43" s="57" t="inlineStr">
        <is>
          <t>16</t>
        </is>
      </c>
      <c r="B43" s="57" t="inlineStr">
        <is>
          <t>Otro</t>
        </is>
      </c>
      <c r="C43" s="57" t="inlineStr">
        <is>
          <t>Sí</t>
        </is>
      </c>
      <c r="D43" s="57" t="inlineStr"/>
      <c r="E43" s="57" t="inlineStr"/>
      <c r="F43" s="57" t="inlineStr"/>
      <c r="G43" s="57" t="inlineStr">
        <is>
          <t>Deforestación y tala selectiva en cimas y laderas (tocones visibles, Fot. 3); fin de la tala no especificado en campo.</t>
        </is>
      </c>
    </row>
    <row r="45">
      <c r="A45" s="54" t="inlineStr">
        <is>
          <t>F-DT-04 · INDICADORES CUANTITATIVOS</t>
        </is>
      </c>
    </row>
    <row r="46">
      <c r="A46" s="55" t="inlineStr">
        <is>
          <t>N.o</t>
        </is>
      </c>
      <c r="B46" s="55" t="inlineStr">
        <is>
          <t>Indicador</t>
        </is>
      </c>
      <c r="C46" s="55" t="inlineStr">
        <is>
          <t>Unidad</t>
        </is>
      </c>
      <c r="D46" s="55" t="inlineStr">
        <is>
          <t>Valor</t>
        </is>
      </c>
      <c r="E46" s="55" t="inlineStr">
        <is>
          <t>Fuente</t>
        </is>
      </c>
      <c r="F46" s="55" t="inlineStr">
        <is>
          <t>Umbral</t>
        </is>
      </c>
      <c r="G46" s="55" t="inlineStr">
        <is>
          <t>Nivel</t>
        </is>
      </c>
    </row>
    <row r="47">
      <c r="A47" s="56" t="inlineStr">
        <is>
          <t>1</t>
        </is>
      </c>
      <c r="B47" s="56" t="inlineStr">
        <is>
          <t>Cobertura vegetal total</t>
        </is>
      </c>
      <c r="C47" s="56" t="inlineStr">
        <is>
          <t>%</t>
        </is>
      </c>
      <c r="D47" s="56" t="inlineStr"/>
      <c r="E47" s="56" t="inlineStr"/>
      <c r="F47" s="56" t="inlineStr">
        <is>
          <t>&gt;60% bueno; 30-60% medio; &lt;30% malo</t>
        </is>
      </c>
      <c r="G47" s="56" t="inlineStr"/>
    </row>
    <row r="48">
      <c r="A48" s="57" t="inlineStr">
        <is>
          <t>2</t>
        </is>
      </c>
      <c r="B48" s="57" t="inlineStr">
        <is>
          <t>Porcentaje de suelo desnudo</t>
        </is>
      </c>
      <c r="C48" s="57" t="inlineStr">
        <is>
          <t>%</t>
        </is>
      </c>
      <c r="D48" s="57" t="inlineStr"/>
      <c r="E48" s="57" t="inlineStr"/>
      <c r="F48" s="57" t="inlineStr">
        <is>
          <t>&lt;10% bueno; 10-30% medio; &gt;30% malo</t>
        </is>
      </c>
      <c r="G48" s="57" t="inlineStr"/>
    </row>
    <row r="49">
      <c r="A49" s="56" t="inlineStr">
        <is>
          <t>3</t>
        </is>
      </c>
      <c r="B49" s="56" t="inlineStr">
        <is>
          <t>Densidad de cárcavas</t>
        </is>
      </c>
      <c r="C49" s="56" t="inlineStr">
        <is>
          <t>N°/ha</t>
        </is>
      </c>
      <c r="D49" s="56" t="inlineStr"/>
      <c r="E49" s="56" t="inlineStr"/>
      <c r="F49" s="56" t="inlineStr">
        <is>
          <t>0 nulo; 1-3 medio; &gt;3 alto</t>
        </is>
      </c>
      <c r="G49" s="56" t="inlineStr"/>
    </row>
    <row r="50">
      <c r="A50" s="57" t="inlineStr">
        <is>
          <t>4</t>
        </is>
      </c>
      <c r="B50" s="57" t="inlineStr">
        <is>
          <t>Presencia de especies invasoras</t>
        </is>
      </c>
      <c r="C50" s="57" t="inlineStr">
        <is>
          <t>% área</t>
        </is>
      </c>
      <c r="D50" s="57" t="inlineStr"/>
      <c r="E50" s="57" t="inlineStr"/>
      <c r="F50" s="57" t="inlineStr">
        <is>
          <t>&lt;5% bueno; 5-20% medio; &gt;20% alto</t>
        </is>
      </c>
      <c r="G50" s="57" t="inlineStr"/>
    </row>
    <row r="51">
      <c r="A51" s="56" t="inlineStr">
        <is>
          <t>5</t>
        </is>
      </c>
      <c r="B51" s="56" t="inlineStr">
        <is>
          <t>Carga ganadera estimada</t>
        </is>
      </c>
      <c r="C51" s="56" t="inlineStr">
        <is>
          <t>UA/ha</t>
        </is>
      </c>
      <c r="D51" s="56" t="inlineStr"/>
      <c r="E51" s="56" t="inlineStr"/>
      <c r="F51" s="56" t="inlineStr">
        <is>
          <t>Según tipo de ecosistema</t>
        </is>
      </c>
      <c r="G51" s="56" t="inlineStr"/>
    </row>
    <row r="52">
      <c r="A52" s="57" t="inlineStr">
        <is>
          <t>6</t>
        </is>
      </c>
      <c r="B52" s="57" t="inlineStr">
        <is>
          <t>Frecuencia de quemas últimos 5 años</t>
        </is>
      </c>
      <c r="C52" s="57" t="inlineStr">
        <is>
          <t>N°</t>
        </is>
      </c>
      <c r="D52" s="57" t="inlineStr">
        <is>
          <t>0</t>
        </is>
      </c>
      <c r="E52" s="57" t="inlineStr">
        <is>
          <t>Verificación de campo (sin evidencia de quemas)</t>
        </is>
      </c>
      <c r="F52" s="57" t="inlineStr">
        <is>
          <t>0 nulo; 1-2 medio; &gt;2 alto</t>
        </is>
      </c>
      <c r="G52" s="57" t="inlineStr">
        <is>
          <t>Bajo</t>
        </is>
      </c>
    </row>
    <row r="53">
      <c r="A53" s="56" t="inlineStr">
        <is>
          <t>7</t>
        </is>
      </c>
      <c r="B53" s="56" t="inlineStr">
        <is>
          <t>% área con pendiente &gt;50%</t>
        </is>
      </c>
      <c r="C53" s="56" t="inlineStr">
        <is>
          <t>%</t>
        </is>
      </c>
      <c r="D53" s="56" t="inlineStr"/>
      <c r="E53" s="56" t="inlineStr"/>
      <c r="F53" s="56" t="inlineStr">
        <is>
          <t>Factor de susceptibilidad</t>
        </is>
      </c>
      <c r="G53" s="56" t="inlineStr"/>
    </row>
    <row r="54">
      <c r="A54" s="57" t="inlineStr">
        <is>
          <t>8</t>
        </is>
      </c>
      <c r="B54" s="57" t="inlineStr">
        <is>
          <t>Distancia a vía vecinal más cercana</t>
        </is>
      </c>
      <c r="C54" s="57" t="inlineStr">
        <is>
          <t>m</t>
        </is>
      </c>
      <c r="D54" s="57" t="inlineStr">
        <is>
          <t>0 (vía PI-799 atraviesa el bloque)</t>
        </is>
      </c>
      <c r="E54" s="57" t="inlineStr">
        <is>
          <t>Verificación de campo / cartografía vial</t>
        </is>
      </c>
      <c r="F54" s="57" t="inlineStr">
        <is>
          <t>A menor distancia → mayor presión</t>
        </is>
      </c>
      <c r="G54" s="57" t="inlineStr">
        <is>
          <t>Alto</t>
        </is>
      </c>
    </row>
    <row r="56">
      <c r="A56" s="54" t="inlineStr">
        <is>
          <t>F-DT-05 · FUENTES DE AGUA INVENTARIADAS</t>
        </is>
      </c>
    </row>
    <row r="57">
      <c r="A57" s="55" t="inlineStr">
        <is>
          <t>N.o</t>
        </is>
      </c>
      <c r="B57" s="55" t="inlineStr">
        <is>
          <t>Tipo de fuente</t>
        </is>
      </c>
      <c r="C57" s="55" t="inlineStr">
        <is>
          <t>UTM ESTE</t>
        </is>
      </c>
      <c r="D57" s="55" t="inlineStr">
        <is>
          <t>UTM NORTE</t>
        </is>
      </c>
      <c r="E57" s="55" t="inlineStr">
        <is>
          <t>Régimen</t>
        </is>
      </c>
      <c r="F57" s="55" t="inlineStr">
        <is>
          <t>Calidad</t>
        </is>
      </c>
      <c r="G57" s="55" t="inlineStr">
        <is>
          <t>Distancia (m)</t>
        </is>
      </c>
      <c r="H57" s="55" t="inlineStr">
        <is>
          <t>Uso / observación</t>
        </is>
      </c>
    </row>
    <row r="58">
      <c r="A58" s="56" t="inlineStr">
        <is>
          <t>1</t>
        </is>
      </c>
      <c r="B58" s="56" t="inlineStr">
        <is>
          <t>Reservorio / Represa</t>
        </is>
      </c>
      <c r="C58" s="56" t="n"/>
      <c r="D58" s="56" t="n"/>
      <c r="E58" s="56" t="inlineStr"/>
      <c r="F58" s="56" t="inlineStr"/>
      <c r="G58" s="56" t="n"/>
      <c r="H58" s="56" t="inlineStr">
        <is>
          <t>Caja/reservorio rústico de concreto, en aparente desuso y cubierto por vegetación (Fot. 5). Infraestructura hídrica local (uso doméstico/pecuario). Sin aforo.</t>
        </is>
      </c>
    </row>
    <row r="59">
      <c r="A59" s="57" t="inlineStr">
        <is>
          <t>2</t>
        </is>
      </c>
      <c r="B59" s="57" t="inlineStr">
        <is>
          <t>Quebrada estacional</t>
        </is>
      </c>
      <c r="C59" s="57" t="n"/>
      <c r="D59" s="57" t="n"/>
      <c r="E59" s="57" t="inlineStr"/>
      <c r="F59" s="57" t="inlineStr"/>
      <c r="G59" s="57" t="n"/>
      <c r="H59" s="57" t="inlineStr">
        <is>
          <t>Quebrada tributaria del río Piura hacia la que drena el bloque; régimen y caudal por confirmar (aforo pendiente).</t>
        </is>
      </c>
    </row>
    <row r="62">
      <c r="A62" s="54" t="inlineStr">
        <is>
          <t>OBSERVACIONES DEL EVALUADOR POR FICHA</t>
        </is>
      </c>
    </row>
    <row r="63">
      <c r="A63" s="55" t="inlineStr">
        <is>
          <t>Ficha</t>
        </is>
      </c>
      <c r="B63" s="55" t="inlineStr">
        <is>
          <t>Observación registrada en campo</t>
        </is>
      </c>
    </row>
    <row r="64">
      <c r="A64" s="56" t="inlineStr">
        <is>
          <t>F-DT-01</t>
        </is>
      </c>
      <c r="B64" s="56" t="inlineStr">
        <is>
          <t>Bloque en cabecera de microcuenca tributaria del río Piura; relieve de ladera empinada (pendiente media 35.5 %, máxima 62.2 %). Exposición dominante de laderas SW–NW. Acceso por vía vecinal PI-799. Tenencia privada; uso actual pastoreo/ganadería y cultivo de maíz. Verificación de campo 16/06/2026. Las celdas grises (Provincia, Distrito, Microcuenca, Zona, Área) se autocalculan desde el catálogo de bloques.</t>
        </is>
      </c>
    </row>
    <row r="65">
      <c r="A65" s="57" t="inlineStr">
        <is>
          <t>F-DT-02</t>
        </is>
      </c>
      <c r="B65" s="57" t="inlineStr">
        <is>
          <t>Erosión concentrada en plataforma y taludes de la trocha PI-799: surcos y cárcavas incipientes (Fot. 10) y cicatrices en cortes de talud (Fot. 8 y 9); socavamiento y colapso de banca (Fot. 7 y 11). Erosión laminar en cimas por sobrepastoreo (Fot. 3). Suelos residuales franco-arenosos a franco-arcillosos, profundidad variable, con fragmentos rocosos. Sin análisis de laboratorio en esta etapa (estudio especializado de suelos). Inventario georreferenciado de cárcavas (coordenadas, dimensiones, longitud total y % afectado) pendiente.</t>
        </is>
      </c>
    </row>
    <row r="66">
      <c r="A66" s="56" t="inlineStr">
        <is>
          <t>F-DT-03</t>
        </is>
      </c>
      <c r="B66" s="56" t="inlineStr">
        <is>
          <t>Ecosistema dominante: Bosque estacionalmente seco de colina y montaña (MINAM), en mosaico con Zona agrícola (sector superior) y cobertura intervenida (pastos cultivados, maíz). Vigor MSAVI (Sentinel-2, Piura 2024) mayoritariamente moderado a alto (0.4976–0.6139), con parches densos (&gt;0.6139) y focos degradados (0.2650–0.4976). Superficie por ecosistema: tomar del Reporte de Ecosistemas por Bloques (no medida en campo). Coberturas %, estrato, abundancia, DAP, altura y especies clave/indicadoras: pendientes del inventario florístico especializado. Nombres científicos referenciales (confirmación taxonómica pendiente). UTM = punto referencial del bloque (sin parcela formal).</t>
        </is>
      </c>
    </row>
    <row r="67">
      <c r="A67" s="57" t="inlineStr">
        <is>
          <t>F-DT-04</t>
        </is>
      </c>
      <c r="B67" s="57" t="inlineStr">
        <is>
          <t>Causas de degradación según verificación de campo 16/06/2026: deforestación/tala selectiva, sobrepastoreo, apertura de trochas y agricultura en ladera. Sin evidencia de quemas. Peligros (juicio de experto de campo): PMM medio–alto, EPH moderado–alto, PGI moderado. Intensidad, extensión y antigüedad de las causas, e indicadores cuantitativos (cobertura, suelo desnudo, densidad de cárcavas, carga ganadera), pendientes de gabinete/estudios especializados. Los niveles cualitativos no sustituyen el Peligro Integrado (PI = PMM·0.4 + EPH·0.3 + PGI·0.3) por AHP.</t>
        </is>
      </c>
    </row>
    <row r="68">
      <c r="A68" s="56" t="inlineStr">
        <is>
          <t>F-DT-05</t>
        </is>
      </c>
      <c r="B68" s="56" t="inlineStr">
        <is>
          <t>Recurso hídrico: el bloque drena hacia quebradas tributarias del río Piura; se identificó una caja/reservorio rústico en desuso (Fot. 5). Sin aforos en esta etapa. Accesibilidad por vía vecinal PI-799 (trocha carrozable), factible pero condicionada por erosión de plataforma, surcos, taludes inestables y colapsos de banca (Fot. 6–11); transitabilidad reducida en lluvias; requiere mantenimiento y estabilización de taludes. Coordenadas de fuentes, distancias a captación, señal celular y datos de Ronda Campesina: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M8B2</t>
        </is>
      </c>
    </row>
    <row r="7">
      <c r="A7" s="54" t="inlineStr">
        <is>
          <t>Hechos declarados por fuente</t>
        </is>
      </c>
    </row>
    <row r="8">
      <c r="A8" s="55" t="inlineStr">
        <is>
          <t>Fuente</t>
        </is>
      </c>
      <c r="B8" s="55" t="inlineStr">
        <is>
          <t>Hechos</t>
        </is>
      </c>
    </row>
    <row r="9">
      <c r="A9" s="56" t="inlineStr">
        <is>
          <t>Dato de campo</t>
        </is>
      </c>
      <c r="B9" s="56" t="n">
        <v>40</v>
      </c>
    </row>
    <row r="10">
      <c r="A10" s="57" t="inlineStr">
        <is>
          <t>Gabinete (GIS / teledetección)</t>
        </is>
      </c>
      <c r="B10" s="57" t="n">
        <v>30</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74</v>
      </c>
    </row>
    <row r="31">
      <c r="A31" s="57" t="inlineStr">
        <is>
          <t>COMPLEMENTADO</t>
        </is>
      </c>
      <c r="B31" s="57" t="n">
        <v>10</v>
      </c>
    </row>
    <row r="32">
      <c r="A32" s="56" t="inlineStr">
        <is>
          <t>ACTUALIZADO</t>
        </is>
      </c>
      <c r="B32" s="56" t="n">
        <v>0</v>
      </c>
    </row>
    <row r="33">
      <c r="A33" s="57" t="inlineStr">
        <is>
          <t>DISCREPANTE</t>
        </is>
      </c>
      <c r="B33" s="57" t="n">
        <v>0</v>
      </c>
    </row>
    <row r="34">
      <c r="A34" s="56" t="inlineStr">
        <is>
          <t>PENDIENTE</t>
        </is>
      </c>
      <c r="B34" s="56" t="n">
        <v>30</v>
      </c>
    </row>
    <row r="51">
      <c r="A51" s="54" t="inlineStr">
        <is>
          <t>Causas activas de degradación (F-DT-04)</t>
        </is>
      </c>
    </row>
    <row r="52">
      <c r="A52" s="55" t="inlineStr">
        <is>
          <t>Causa</t>
        </is>
      </c>
      <c r="B52" s="55" t="inlineStr">
        <is>
          <t>Intensidad (1 ligera - 4 muy fuerte)</t>
        </is>
      </c>
    </row>
    <row r="53">
      <c r="A53" s="56" t="inlineStr">
        <is>
          <t>Cambio de uso a agricultura</t>
        </is>
      </c>
      <c r="B53" s="56" t="n">
        <v>1</v>
      </c>
    </row>
    <row r="54">
      <c r="A54" s="57" t="inlineStr">
        <is>
          <t>Cambio de uso a pastoreo</t>
        </is>
      </c>
      <c r="B54" s="57" t="n">
        <v>1</v>
      </c>
    </row>
    <row r="55">
      <c r="A55" s="56" t="inlineStr">
        <is>
          <t>Expansión urbana / vial</t>
        </is>
      </c>
      <c r="B55" s="56" t="n">
        <v>1</v>
      </c>
    </row>
    <row r="56">
      <c r="A56" s="57" t="inlineStr">
        <is>
          <t>Otro</t>
        </is>
      </c>
      <c r="B56" s="57" t="n">
        <v>1</v>
      </c>
    </row>
    <row r="57">
      <c r="A57" s="56" t="inlineStr">
        <is>
          <t>Sobrepastoreo (caprino/vacuno)</t>
        </is>
      </c>
      <c r="B57" s="56" t="n">
        <v>1</v>
      </c>
    </row>
    <row r="74">
      <c r="A74" s="54" t="inlineStr">
        <is>
          <t>Control de consistencia por calificación</t>
        </is>
      </c>
    </row>
    <row r="75">
      <c r="A75" s="55" t="inlineStr">
        <is>
          <t>Calificación</t>
        </is>
      </c>
      <c r="B75" s="55" t="inlineStr">
        <is>
          <t>Verificaciones</t>
        </is>
      </c>
    </row>
    <row r="76">
      <c r="A76" s="56" t="inlineStr">
        <is>
          <t>SUSTANTIVA</t>
        </is>
      </c>
      <c r="B76" s="56" t="n">
        <v>6</v>
      </c>
    </row>
    <row r="77">
      <c r="A77" s="57" t="inlineStr">
        <is>
          <t>NO SUSTANTIVA</t>
        </is>
      </c>
      <c r="B77" s="57" t="n">
        <v>3</v>
      </c>
    </row>
    <row r="78">
      <c r="A78" s="56" t="inlineStr">
        <is>
          <t>CORREGIDO</t>
        </is>
      </c>
      <c r="B78" s="56" t="n">
        <v>1</v>
      </c>
    </row>
    <row r="79">
      <c r="A79" s="57" t="inlineStr">
        <is>
          <t>CONFORME</t>
        </is>
      </c>
      <c r="B79"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M8B2 — IN Piura</dc:title>
  <dc:subject>Diagnóstico Territorial por bloque de intervención</dc:subject>
  <dcterms:created xsi:type="dcterms:W3CDTF">2026-09-08T03:39:53Z</dcterms:created>
  <dcterms:modified xsi:type="dcterms:W3CDTF">2026-09-11T20:22:41Z</dcterms:modified>
</cp:coreProperties>
</file>