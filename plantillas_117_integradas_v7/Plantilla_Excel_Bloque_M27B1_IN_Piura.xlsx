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integración'!$A$76:$A$83</f>
            </numRef>
          </cat>
          <val>
            <numRef>
              <f>'Gráficos de integración'!$B$76:$B$83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integración'!B101</f>
            </strRef>
          </tx>
          <spPr>
            <a:ln>
              <a:prstDash val="solid"/>
            </a:ln>
          </spPr>
          <cat>
            <numRef>
              <f>'Gráficos de integración'!$A$102:$A$105</f>
            </numRef>
          </cat>
          <val>
            <numRef>
              <f>'Gráficos de integración'!$B$102:$B$105</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100</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M27B1</t>
        </is>
      </c>
    </row>
    <row r="6" ht="24" customHeight="1">
      <c r="A6" s="4" t="inlineStr">
        <is>
          <t>Diagnóstico Territorial — Plantilla DT Campo Check Validada V5 | Sistema de referencia: UTM WGS 84 Zona 17S (EPSG:32717) · Integrado con la ficha de campo F-DT vigente (Plantilla_DT_Campo_Check_Validada_V5_M27B1.xlsx) — V7 - resumen V6 + campo F-DT integrado</t>
        </is>
      </c>
    </row>
    <row r="7"/>
    <row r="8" ht="18" customHeight="1">
      <c r="A8" s="5" t="inlineStr">
        <is>
          <t>1. IDENTIFICACIÓN Y LOCALIZACIÓN</t>
        </is>
      </c>
    </row>
    <row r="9">
      <c r="A9" s="6" t="inlineStr">
        <is>
          <t>Código del bloque</t>
        </is>
      </c>
      <c r="B9" s="7" t="inlineStr">
        <is>
          <t>M27B1</t>
        </is>
      </c>
      <c r="C9" s="6" t="inlineStr">
        <is>
          <t>Microcuenca (catálogo)</t>
        </is>
      </c>
      <c r="D9" s="7" t="inlineStr">
        <is>
          <t>C1096-Q9557</t>
        </is>
      </c>
      <c r="E9" s="8" t="n"/>
      <c r="F9" s="8" t="n"/>
    </row>
    <row r="10">
      <c r="A10" s="6" t="inlineStr">
        <is>
          <t>Zona de planificación</t>
        </is>
      </c>
      <c r="B10" s="7" t="inlineStr">
        <is>
          <t>Z01</t>
        </is>
      </c>
      <c r="C10" s="6" t="inlineStr">
        <is>
          <t>Microcuenca declarada en ficha DT</t>
        </is>
      </c>
      <c r="D10" s="7" t="inlineStr">
        <is>
          <t>C1096-Q9557</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Vicús Santa Rosa (133 hab.); entorno: Vicús La Merced, Vicús Linderos, Huasimal</t>
        </is>
      </c>
      <c r="C13" s="6" t="inlineStr">
        <is>
          <t>Comunidad campesina</t>
        </is>
      </c>
      <c r="D13" s="7" t="inlineStr">
        <is>
          <t>Por determinar</t>
        </is>
      </c>
      <c r="E13" s="8" t="n"/>
      <c r="F13" s="8" t="n"/>
    </row>
    <row r="14">
      <c r="A14" s="6" t="inlineStr">
        <is>
          <t>Superficie de catálogo (V5/V6), ha</t>
        </is>
      </c>
      <c r="B14" s="7" t="n">
        <v>448.8</v>
      </c>
      <c r="C14" s="6" t="inlineStr">
        <is>
          <t>Fuente de superficie</t>
        </is>
      </c>
      <c r="D14" s="7" t="inlineStr">
        <is>
          <t>Catálogo maestro Bloques V5/V6</t>
        </is>
      </c>
      <c r="E14" s="8" t="n"/>
      <c r="F14" s="8" t="n"/>
    </row>
    <row r="15">
      <c r="A15" s="6" t="inlineStr">
        <is>
          <t>Centroide UTM ESTE (m)</t>
        </is>
      </c>
      <c r="B15" s="7" t="n">
        <v>593246</v>
      </c>
      <c r="C15" s="6" t="inlineStr">
        <is>
          <t>Centroide UTM NORTE (m)</t>
        </is>
      </c>
      <c r="D15" s="7" t="n">
        <v>9430139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109</v>
      </c>
      <c r="C19" s="6" t="inlineStr">
        <is>
          <t>Altitud máxima (msnm)</t>
        </is>
      </c>
      <c r="D19" s="7" t="n">
        <v>474</v>
      </c>
      <c r="E19" s="8" t="n"/>
      <c r="F19" s="8" t="n"/>
    </row>
    <row r="20">
      <c r="A20" s="6" t="inlineStr">
        <is>
          <t>Amplitud altitudinal (m)</t>
        </is>
      </c>
      <c r="B20" s="7" t="n">
        <v>365</v>
      </c>
      <c r="C20" s="6" t="inlineStr">
        <is>
          <t>Piso altitudinal dominante</t>
        </is>
      </c>
      <c r="D20" s="7" t="inlineStr">
        <is>
          <t>&lt;1000 m (Yunga)</t>
        </is>
      </c>
      <c r="E20" s="8" t="n"/>
      <c r="F20" s="8" t="n"/>
    </row>
    <row r="21">
      <c r="A21" s="6" t="inlineStr">
        <is>
          <t>Pendiente promedio (%)</t>
        </is>
      </c>
      <c r="B21" s="7" t="n">
        <v>17.86</v>
      </c>
      <c r="C21" s="6" t="inlineStr">
        <is>
          <t>Pendiente promedio (grados)</t>
        </is>
      </c>
      <c r="D21" s="7" t="n">
        <v>10.1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0.3632</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(81.56 %)</t>
        </is>
      </c>
      <c r="E29" s="8" t="n"/>
      <c r="F29" s="8" t="n"/>
    </row>
    <row r="30">
      <c r="A30" s="6" t="inlineStr">
        <is>
          <t>Superficie clasificada NDVI 2025 (ha)</t>
        </is>
      </c>
      <c r="B30" s="7" t="n">
        <v>449.066</v>
      </c>
      <c r="C30" s="6" t="inlineStr">
        <is>
          <t>Desviación frente al catálogo (%)</t>
        </is>
      </c>
      <c r="D30" s="7" t="n">
        <v>0.06</v>
      </c>
      <c r="E30" s="8" t="n"/>
      <c r="F30" s="8" t="n"/>
    </row>
    <row r="31">
      <c r="A31" s="6" t="inlineStr">
        <is>
          <t>Superficie clasificada MSAVI 2024 (ha)</t>
        </is>
      </c>
      <c r="B31" s="36" t="n">
        <v>448.804</v>
      </c>
      <c r="C31" s="6" t="inlineStr">
        <is>
          <t>Desviación MSAVI frente al catálogo (%)</t>
        </is>
      </c>
      <c r="D31" s="37" t="n">
        <v>0</v>
      </c>
      <c r="E31" s="8" t="n"/>
      <c r="F31" s="8" t="n"/>
    </row>
    <row r="32">
      <c r="A32" s="6" t="inlineStr">
        <is>
          <t>Superficie bajo umbral MSAVI 0.4976 (ha)</t>
        </is>
      </c>
      <c r="B32" s="36" t="n">
        <v>435.106</v>
      </c>
      <c r="C32" s="6" t="inlineStr">
        <is>
          <t>% del bloque bajo umbral (brecha espectral)</t>
        </is>
      </c>
      <c r="D32" s="37" t="n">
        <v>96.95</v>
      </c>
      <c r="E32" s="8" t="n"/>
      <c r="F32" s="8" t="n"/>
    </row>
    <row r="33">
      <c r="A33" s="6" t="inlineStr">
        <is>
          <t>Clase DN dominante (MSAVI 2024)</t>
        </is>
      </c>
      <c r="B33" s="7" t="inlineStr">
        <is>
          <t>DN 2 · 0.2650 - 0.3813 (Vigor muy bajo)</t>
        </is>
      </c>
      <c r="C33" s="6" t="inlineStr">
        <is>
          <t>N.° de polígonos MSAVI del bloque</t>
        </is>
      </c>
      <c r="D33" s="38" t="n">
        <v>1124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443.83 ha de Bes-cm (Reporte de Ecosistemas por Bloques - MINAM); el bloque suma 448.80 ha, con 4.97 ha de Zona agrícola (Agri, 1.1%)</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70</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12</v>
      </c>
      <c r="C41" s="6" t="inlineStr">
        <is>
          <t>Estado sanitario</t>
        </is>
      </c>
      <c r="D41" s="7" t="inlineStr">
        <is>
          <t>Sano (con daño foliar por insectos y hemiparásita "suelda con suelda"; afectación fitosanitaria POR VERIFICAR)</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2026-07-02</t>
        </is>
      </c>
      <c r="E44" s="8" t="n"/>
      <c r="F44" s="8" t="n"/>
    </row>
    <row r="45">
      <c r="A45" s="6" t="inlineStr">
        <is>
          <t>Hora de registro</t>
        </is>
      </c>
      <c r="B45" s="7" t="inlineStr">
        <is>
          <t>09:43 - 11:57 h (rango del registro fotográfico)</t>
        </is>
      </c>
      <c r="C45" s="6" t="inlineStr">
        <is>
          <t>Correlativo de ficha</t>
        </is>
      </c>
      <c r="D45" s="7" t="inlineStr">
        <is>
          <t>Por determinar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48" t="inlineStr">
        <is>
          <t>Existencia de una demanda comercial sostenida de biomasa leñosa por parte de ladrilleras artesanales instaladas en el entorno inmediato del bloque, sin fuente alternativa de combustible ni fiscalización del aprovechamiento forestal, sobre un bosque seco de propiedad privada sin gestión ni ordenamiento. A ello se suma la dependencia de las poblaciones colindantes (Vicús, Huasimal) de la leña y el pastoreo.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M27B1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0.0396</v>
      </c>
      <c r="C10" s="19">
        <f>ROUND(B10/$B$15*100,2)</f>
        <v/>
      </c>
      <c r="D10" s="11" t="inlineStr">
        <is>
          <t>Vigor alto</t>
        </is>
      </c>
      <c r="E10" s="11" t="inlineStr">
        <is>
          <t>Sobre umbral</t>
        </is>
      </c>
    </row>
    <row r="11">
      <c r="A11" s="12" t="inlineStr">
        <is>
          <t>0.4976 - 0.6139 · DN 4</t>
        </is>
      </c>
      <c r="B11" s="20" t="n">
        <v>13.6586</v>
      </c>
      <c r="C11" s="21">
        <f>ROUND(B11/$B$15*100,2)</f>
        <v/>
      </c>
      <c r="D11" s="13" t="inlineStr">
        <is>
          <t>Vigor moderado</t>
        </is>
      </c>
      <c r="E11" s="13" t="inlineStr">
        <is>
          <t>Sobre umbral</t>
        </is>
      </c>
    </row>
    <row r="12">
      <c r="A12" s="7" t="inlineStr">
        <is>
          <t>0.3813 - 0.4976 · DN 3</t>
        </is>
      </c>
      <c r="B12" s="18" t="n">
        <v>171.4647</v>
      </c>
      <c r="C12" s="19">
        <f>ROUND(B12/$B$15*100,2)</f>
        <v/>
      </c>
      <c r="D12" s="11" t="inlineStr">
        <is>
          <t>Vigor bajo</t>
        </is>
      </c>
      <c r="E12" s="11" t="inlineStr">
        <is>
          <t>BAJO umbral 0.4976</t>
        </is>
      </c>
    </row>
    <row r="13">
      <c r="A13" s="14" t="inlineStr">
        <is>
          <t>0.2650 - 0.3813 · DN 2</t>
        </is>
      </c>
      <c r="B13" s="30" t="n">
        <v>224.662</v>
      </c>
      <c r="C13" s="29">
        <f>ROUND(B13/$B$15*100,2)</f>
        <v/>
      </c>
      <c r="D13" s="15" t="inlineStr">
        <is>
          <t>Vigor muy bajo</t>
        </is>
      </c>
      <c r="E13" s="15" t="inlineStr">
        <is>
          <t>BAJO umbral 0.4976</t>
        </is>
      </c>
    </row>
    <row r="14">
      <c r="A14" s="7" t="inlineStr">
        <is>
          <t>&lt;= 0.2650 · DN 1</t>
        </is>
      </c>
      <c r="B14" s="18" t="n">
        <v>38.9789</v>
      </c>
      <c r="C14" s="19">
        <f>ROUND(B14/$B$15*100,2)</f>
        <v/>
      </c>
      <c r="D14" s="11" t="inlineStr">
        <is>
          <t>Suelo desnudo / no vegetal</t>
        </is>
      </c>
      <c r="E14" s="11" t="inlineStr">
        <is>
          <t>BAJO umbral 0.4976</t>
        </is>
      </c>
    </row>
    <row r="15" ht="30" customHeight="1">
      <c r="A15" s="41" t="inlineStr">
        <is>
          <t>TOTAL CLASIFICADO MSAVI 2024</t>
        </is>
      </c>
      <c r="B15" s="42">
        <f>SUM(B10:B14)</f>
        <v/>
      </c>
      <c r="C15" s="43">
        <f>SUM(C10:C14)</f>
        <v/>
      </c>
      <c r="D15" s="41" t="inlineStr">
        <is>
          <t>Suma de la distribución areal · 1 124 polígonos</t>
        </is>
      </c>
      <c r="E15" s="41" t="inlineStr">
        <is>
          <t>—</t>
        </is>
      </c>
    </row>
    <row r="16" ht="30" customHeight="1">
      <c r="A16" s="44" t="inlineStr">
        <is>
          <t>Superficie SOBRE umbral 0.4976 (ha)</t>
        </is>
      </c>
      <c r="B16" s="45">
        <f>SUM(B10:B11)</f>
        <v/>
      </c>
      <c r="C16" s="46">
        <f>ROUND(B16/B15*100,2)</f>
        <v/>
      </c>
      <c r="D16" s="44" t="inlineStr">
        <is>
          <t>Vigor alto y moderado (DN 4 y DN 5)</t>
        </is>
      </c>
      <c r="E16" s="44" t="inlineStr">
        <is>
          <t>Sobre umbral 0.4976</t>
        </is>
      </c>
    </row>
    <row r="17" ht="30" customHeight="1">
      <c r="A17" s="44" t="inlineStr">
        <is>
          <t>Superficie BAJO umbral 0.4976 (ha) — brecha</t>
        </is>
      </c>
      <c r="B17" s="45">
        <f>SUM(B12:B14)</f>
        <v/>
      </c>
      <c r="C17" s="46">
        <f>ROUND(B17/B15*100,2)</f>
        <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448.8</v>
      </c>
      <c r="C18" s="47" t="inlineStr">
        <is>
          <t>—</t>
        </is>
      </c>
      <c r="D18" s="44" t="inlineStr">
        <is>
          <t>Desviación planimétrica frente al catálogo</t>
        </is>
      </c>
      <c r="E18" s="44" t="inlineStr">
        <is>
          <t>+0.00 %</t>
        </is>
      </c>
    </row>
    <row r="19">
      <c r="A19" s="16" t="inlineStr">
        <is>
          <t>MSAVI 2024 — MEDIA DEL BLOQUE</t>
        </is>
      </c>
      <c r="B19" s="17" t="n">
        <v>0.363228</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1 124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(0.3632) se conserva del catálogo maestro y es dato oficial; la fila resaltada indica la clase en la que cae dicha media. Los totales y porcentajes se calculan con fórmulas sobre las filas del cuadro.</t>
        </is>
      </c>
      <c r="B21" s="39" t="n"/>
      <c r="C21" s="39" t="n"/>
      <c r="D21" s="39" t="n"/>
      <c r="E21" s="40"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11.933</v>
      </c>
      <c r="C25" s="19" t="n">
        <v>2.66</v>
      </c>
      <c r="D25" s="11" t="inlineStr">
        <is>
          <t>Pastizal cultivado, matorral ralo, parcelas agrícolas</t>
        </is>
      </c>
      <c r="E25" s="11" t="inlineStr"/>
    </row>
    <row r="26">
      <c r="A26" s="12" t="inlineStr">
        <is>
          <t>Vegetación ligera</t>
        </is>
      </c>
      <c r="B26" s="20" t="n">
        <v>366.2395</v>
      </c>
      <c r="C26" s="21" t="n">
        <v>81.56</v>
      </c>
      <c r="D26" s="13" t="inlineStr">
        <is>
          <t>Cobertura discontinua, suelo parcialmente expuesto</t>
        </is>
      </c>
      <c r="E26" s="13" t="inlineStr"/>
    </row>
    <row r="27">
      <c r="A27" s="7" t="inlineStr">
        <is>
          <t>Tierra desnuda</t>
        </is>
      </c>
      <c r="B27" s="18" t="n">
        <v>70.8937</v>
      </c>
      <c r="C27" s="19" t="n">
        <v>15.79</v>
      </c>
      <c r="D27" s="11" t="inlineStr">
        <is>
          <t>Suelo desnudo, afloramientos, plataformas y taludes</t>
        </is>
      </c>
      <c r="E27" s="11" t="inlineStr"/>
    </row>
    <row r="28">
      <c r="A28" s="16" t="inlineStr">
        <is>
          <t>TOTAL CLASIFICADO</t>
        </is>
      </c>
      <c r="B28" s="22">
        <f>SUM(B25:B27)</f>
        <v/>
      </c>
      <c r="C28" s="23">
        <f>SUM(C25:C27)</f>
        <v/>
      </c>
      <c r="D28" s="17" t="inlineStr"/>
      <c r="E28" s="17" t="inlineStr"/>
    </row>
    <row r="29">
      <c r="A29" s="24" t="inlineStr">
        <is>
          <t>Superficie de catálogo (V5/V6)</t>
        </is>
      </c>
      <c r="B29" s="25" t="n">
        <v>448.8</v>
      </c>
      <c r="C29" s="25" t="inlineStr">
        <is>
          <t>—</t>
        </is>
      </c>
      <c r="D29" s="25" t="inlineStr">
        <is>
          <t>Desviación planimétrica frente al catálogo</t>
        </is>
      </c>
      <c r="E29" s="25" t="inlineStr">
        <is>
          <t>+0.06 %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0.00 % del polígono clasificado como «Vegetación alta» por el NDVI 2025; la observación de campo corresponde a una parcela o recorrido puntual y no es estadísticamente representativa de las 448.800 ha del bloque.</t>
        </is>
      </c>
      <c r="B31" s="39" t="n"/>
      <c r="C31" s="39" t="n"/>
      <c r="D31" s="39" t="n"/>
      <c r="E31" s="40"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M27B1</t>
        </is>
      </c>
    </row>
    <row r="6" ht="24" customHeight="1">
      <c r="A6" s="4" t="inlineStr">
        <is>
          <t>Levantamiento del 2026-07-02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593952</v>
      </c>
      <c r="D10" s="26" t="n">
        <v>9428843</v>
      </c>
      <c r="E10" s="11" t="n">
        <v>1475.8</v>
      </c>
      <c r="F10" s="11" t="inlineStr"/>
      <c r="G10" s="11" t="inlineStr">
        <is>
          <t>Coordenada consignada en F-DT-01</t>
        </is>
      </c>
    </row>
    <row r="11">
      <c r="A11" s="12" t="inlineStr">
        <is>
          <t>H-01</t>
        </is>
      </c>
      <c r="B11" s="13" t="inlineStr">
        <is>
          <t>Fuente de agua — 1</t>
        </is>
      </c>
      <c r="C11" s="27" t="inlineStr">
        <is>
          <t>Quebrada estacional</t>
        </is>
      </c>
      <c r="D11" s="27" t="n">
        <v>594053</v>
      </c>
      <c r="E11" s="13" t="inlineStr"/>
      <c r="F11" s="13" t="n">
        <v>9428772</v>
      </c>
      <c r="G11" s="13" t="inlineStr"/>
    </row>
    <row r="12">
      <c r="A12" s="7" t="inlineStr">
        <is>
          <t>B-01</t>
        </is>
      </c>
      <c r="B12" s="11" t="inlineStr">
        <is>
          <t>Especie clave — Hualtaco (Loxopterygium huasango)</t>
        </is>
      </c>
      <c r="C12" s="26" t="inlineStr">
        <is>
          <t>593669</t>
        </is>
      </c>
      <c r="D12" s="26" t="inlineStr">
        <is>
          <t>9428929</t>
        </is>
      </c>
      <c r="E12" s="11" t="n">
        <v>1281.8</v>
      </c>
      <c r="F12" s="11" t="inlineStr">
        <is>
          <t>Amenazada (D.S. 043-2006-AG)</t>
        </is>
      </c>
      <c r="G12" s="11" t="inlineStr">
        <is>
          <t>CR - En Peligro Crítico</t>
        </is>
      </c>
    </row>
    <row r="13">
      <c r="A13" s="12" t="inlineStr">
        <is>
          <t>B-02</t>
        </is>
      </c>
      <c r="B13" s="13" t="inlineStr">
        <is>
          <t>Especie clave — Palo Santo (Bursera graveolens)</t>
        </is>
      </c>
      <c r="C13" s="27" t="inlineStr">
        <is>
          <t>593669</t>
        </is>
      </c>
      <c r="D13" s="27" t="inlineStr">
        <is>
          <t>9428926</t>
        </is>
      </c>
      <c r="E13" s="13" t="n">
        <v>1284.6</v>
      </c>
      <c r="F13" s="13" t="inlineStr">
        <is>
          <t>Amenazada (D.S. 043-2006-AG)</t>
        </is>
      </c>
      <c r="G13" s="13" t="inlineStr">
        <is>
          <t>CR - En Peligro Crítico</t>
        </is>
      </c>
    </row>
    <row r="14">
      <c r="A14" s="7" t="inlineStr">
        <is>
          <t>B-03</t>
        </is>
      </c>
      <c r="B14" s="11" t="inlineStr">
        <is>
          <t>Especie clave — Sapote (Colicodendron scabridum)</t>
        </is>
      </c>
      <c r="C14" s="26" t="inlineStr">
        <is>
          <t>593836</t>
        </is>
      </c>
      <c r="D14" s="26" t="inlineStr">
        <is>
          <t>9428846</t>
        </is>
      </c>
      <c r="E14" s="11" t="n">
        <v>1421.2</v>
      </c>
      <c r="F14" s="11" t="inlineStr">
        <is>
          <t>Amenazada (D.S. 043-2006-AG)</t>
        </is>
      </c>
      <c r="G14" s="11" t="inlineStr">
        <is>
          <t>CR - En Peligro Crítico</t>
        </is>
      </c>
    </row>
    <row r="15">
      <c r="A15" s="12" t="inlineStr">
        <is>
          <t>B-07</t>
        </is>
      </c>
      <c r="B15" s="13" t="inlineStr">
        <is>
          <t>Especie clave — Suelda con suelda (Psittacanthus sp.)</t>
        </is>
      </c>
      <c r="C15" s="27" t="inlineStr">
        <is>
          <t>594074</t>
        </is>
      </c>
      <c r="D15" s="27" t="inlineStr">
        <is>
          <t>9428782</t>
        </is>
      </c>
      <c r="E15" s="13" t="n">
        <v>1589.7</v>
      </c>
      <c r="F15" s="13" t="inlineStr">
        <is>
          <t>Indicadora de perturbación</t>
        </is>
      </c>
      <c r="G15" s="13" t="inlineStr">
        <is>
          <t>NE - No Evaluado</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593246</v>
      </c>
      <c r="C18" s="6" t="inlineStr">
        <is>
          <t>Centroide del bloque — UTM NORTE (m)</t>
        </is>
      </c>
      <c r="D18" s="7" t="n">
        <v>9430139</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6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Recorrido de reconocimiento por el flanco oriental del bloque (02/07/2026). Punto de muestreo 593 952 E / 9 428 843 N (foto panorámica 10:01 h, azimut 293° NW); centroide del catálogo Bloques_V5: 593 246 E / 9 430 139 N. Forma del terreno, posición fisiográfica y exposición clasificadas por JUICIO EXPERTO a partir de imagen satelital, perfil de elevación y azimut fotográfico; requieren confirmación con DEM. Afloramientos rocosos y pedregosidad superficial abundantes. Coordenadas validadas en UTM WGS84 17S (E 593 560-594 279; N 9 428 765-9 430 798). HALLAZGO ADICIONAL (12:03 h): ladrilleras artesanales colindantes al sector norte — batería de hornos de adobe/ladrillo (593 766 E / 9 431 513 N), horno con cámara de combustión (593 777 E / 9 431 490 N) y acopio de ladrillo cocido con TROZAS DE MADERA CORTADA como combustible (593 841 E / 9 431 490 N); su ubicación dentro o fuera del polígono queda POR VERIFICAR con el shapefile oficial.</t>
        </is>
      </c>
      <c r="B21" s="39" t="n"/>
      <c r="C21" s="39" t="n"/>
      <c r="D21" s="39" t="n"/>
      <c r="E21" s="39" t="n"/>
      <c r="F21" s="39" t="n"/>
      <c r="G21" s="40"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C1096-Q9557 — BLOQUE M27B1</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C1096-Q9557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M27B1</t>
        </is>
      </c>
      <c r="B10" s="28" t="n">
        <v>448.8</v>
      </c>
      <c r="C10" s="29" t="n">
        <v>100</v>
      </c>
      <c r="D10" s="15" t="inlineStr">
        <is>
          <t>109 – 474</t>
        </is>
      </c>
      <c r="E10" s="15" t="n">
        <v>365</v>
      </c>
      <c r="F10" s="15" t="n">
        <v>17.86</v>
      </c>
      <c r="G10" s="30" t="n">
        <v>0.3632</v>
      </c>
      <c r="H10" s="29" t="n">
        <v>0</v>
      </c>
      <c r="I10" s="29" t="n">
        <v>96.95</v>
      </c>
    </row>
    <row r="11">
      <c r="A11" s="16" t="inlineStr">
        <is>
          <t>TOTAL / PROMEDIO</t>
        </is>
      </c>
      <c r="B11" s="31">
        <f>SUM(B10:B10)</f>
        <v/>
      </c>
      <c r="C11" s="23">
        <f>SUM(C10:C10)</f>
        <v/>
      </c>
      <c r="D11" s="17" t="inlineStr">
        <is>
          <t>109 – 474</t>
        </is>
      </c>
      <c r="E11" s="17" t="inlineStr"/>
      <c r="F11" s="17">
        <f>ROUND(AVERAGE(F10:F10),2)</f>
        <v/>
      </c>
      <c r="G11" s="22">
        <f>ROUND(AVERAGE(G10:G10),4)</f>
        <v/>
      </c>
      <c r="H11" s="23">
        <f>ROUND(AVERAGE(H10:H10),2)</f>
        <v/>
      </c>
      <c r="I11" s="23">
        <f>ROUND(AVERAGE(I10:I10),2)</f>
        <v/>
      </c>
    </row>
    <row r="13" ht="84" customHeight="1">
      <c r="A13" s="9" t="inlineStr">
        <is>
          <t>LECTURA INTRAMICROCUENCA. El bloque M27B1 ocupa el puesto 1 de 1 por superficie dentro de la microcuenca C1096-Q9557 (100.00 % de las 448.80 ha preliminares de la microcuenca). Su pendiente promedio (17.86 %, clase «15-25% (Fuert. inclinado)») es la 1.ª más baja de 1 y se sitúa por encima del promedio de la microcuenca (17.86 %). Su MSAVI 2024 (0.3632) es el 1.º de 1 y queda por debajo del promedio local (0.3632). Amplitud altitudinal del bloque: 365 m (109–474 msnm). El cuadro conserva todos los bloques catalogados en la microcuenca, incluidos los descartados en el tamizaje, para referencia del conjunto. Los bloques sin ficha DT figuran con sus parámetros de gabinete. BRECHA ESPECTRAL. El 96.95 % de la superficie del bloque (435.106 ha de 448.804 ha) se sitúa bajo el umbral MSAVI 0.4976, igual al promedio local de la microcuenca (96.95 %) calculado sobre los bloques con dato MSAVI disponible.</t>
        </is>
      </c>
      <c r="B13" s="39" t="n"/>
      <c r="C13" s="39" t="n"/>
      <c r="D13" s="39" t="n"/>
      <c r="E13" s="39" t="n"/>
      <c r="F13" s="39" t="n"/>
      <c r="G13" s="39" t="n"/>
      <c r="H13" s="39" t="n"/>
      <c r="I13" s="40" t="n"/>
    </row>
    <row r="15" ht="60" customHeight="1">
      <c r="A15"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5" s="39" t="n"/>
      <c r="C15" s="39" t="n"/>
      <c r="D15" s="39" t="n"/>
      <c r="E15" s="39" t="n"/>
      <c r="F15" s="39" t="n"/>
      <c r="G15" s="39" t="n"/>
      <c r="H15" s="39" t="n"/>
      <c r="I15" s="40" t="n"/>
    </row>
  </sheetData>
  <mergeCells count="9">
    <mergeCell ref="A15:I15"/>
    <mergeCell ref="A2:I2"/>
    <mergeCell ref="A5:I5"/>
    <mergeCell ref="A13:I13"/>
    <mergeCell ref="A1:I1"/>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CONTROL DE CONSISTENCIA — BLOQUE M27B1</t>
        </is>
      </c>
    </row>
    <row r="6">
      <c r="A6" s="50" t="inlineStr">
        <is>
          <t>Cruce de la ficha de campo F-DT vigente con la ficha de resumen de gabinete y el catálogo maestro. Integración 2026-09-11 20:22:36.</t>
        </is>
      </c>
    </row>
    <row r="7">
      <c r="A7" s="52" t="inlineStr">
        <is>
          <t>DISCREPANCIAS Y VERIFICACIONES</t>
        </is>
      </c>
    </row>
    <row r="8">
      <c r="A8" s="53" t="inlineStr">
        <is>
          <t>Cod.</t>
        </is>
      </c>
      <c r="B8" s="53" t="inlineStr">
        <is>
          <t>Campo afectado</t>
        </is>
      </c>
      <c r="C8" s="53" t="inlineStr">
        <is>
          <t>Discrepancia observada</t>
        </is>
      </c>
      <c r="D8" s="53" t="inlineStr">
        <is>
          <t>Calificación</t>
        </is>
      </c>
      <c r="E8" s="53" t="inlineStr">
        <is>
          <t>Tratamiento adoptado</t>
        </is>
      </c>
    </row>
    <row r="9">
      <c r="A9" s="54" t="inlineStr">
        <is>
          <t>G-01</t>
        </is>
      </c>
      <c r="B9" s="54" t="inlineStr">
        <is>
          <t>Código de microcuenca</t>
        </is>
      </c>
      <c r="C9" s="54" t="inlineStr">
        <is>
          <t>Ficha DT y catálogo maestro coinciden en «C1096-Q9557».</t>
        </is>
      </c>
      <c r="D9" s="54" t="inlineStr">
        <is>
          <t>CONFORME</t>
        </is>
      </c>
      <c r="E9" s="54" t="inlineStr">
        <is>
          <t>Sin acción.</t>
        </is>
      </c>
    </row>
    <row r="10">
      <c r="A10" s="55" t="inlineStr">
        <is>
          <t>G-02</t>
        </is>
      </c>
      <c r="B10" s="55" t="inlineStr">
        <is>
          <t>UTM del punto de muestreo</t>
        </is>
      </c>
      <c r="C10" s="55" t="inlineStr">
        <is>
          <t>El punto de muestreo declarado dista 1475.8 m del centroide, dentro del radio de control.</t>
        </is>
      </c>
      <c r="D10" s="55" t="inlineStr">
        <is>
          <t>CONFORME</t>
        </is>
      </c>
      <c r="E10" s="55" t="inlineStr">
        <is>
          <t>Sin acción.</t>
        </is>
      </c>
    </row>
    <row r="11">
      <c r="A11" s="54" t="inlineStr">
        <is>
          <t>G-03</t>
        </is>
      </c>
      <c r="B11" s="54" t="inlineStr">
        <is>
          <t>Sistema de referencia UTM 17S</t>
        </is>
      </c>
      <c r="C11" s="54" t="inlineStr">
        <is>
          <t>Verificación de rango para EPSG:32717: Conforme.</t>
        </is>
      </c>
      <c r="D11" s="54" t="inlineStr">
        <is>
          <t>CONFORME</t>
        </is>
      </c>
      <c r="E11" s="54" t="inlineStr">
        <is>
          <t>Sin acción.</t>
        </is>
      </c>
    </row>
    <row r="12">
      <c r="A12" s="55" t="inlineStr">
        <is>
          <t>G-04</t>
        </is>
      </c>
      <c r="B12" s="55" t="inlineStr">
        <is>
          <t>Altitud del punto de muestreo</t>
        </is>
      </c>
      <c r="C12" s="55" t="inlineStr">
        <is>
          <t>No es posible contrastar la altitud GPS con el rango altitudinal del bloque: falta uno de los dos datos.</t>
        </is>
      </c>
      <c r="D12" s="55" t="inlineStr">
        <is>
          <t>NO SUSTANTIVA</t>
        </is>
      </c>
      <c r="E12" s="55" t="inlineStr">
        <is>
          <t>Se completa con la lectura GPS de F-DT-01 o con la estadística zonal del MDE.</t>
        </is>
      </c>
    </row>
    <row r="13">
      <c r="A13" s="54" t="inlineStr">
        <is>
          <t>G-05</t>
        </is>
      </c>
      <c r="B13" s="54" t="inlineStr">
        <is>
          <t>Superficie NDVI vs. catálogo</t>
        </is>
      </c>
      <c r="C13" s="54" t="inlineStr">
        <is>
          <t>La superficie clasificada por el NDVI mediana 2025 (449.066 ha) se desvía 0.06 % de la superficie de catálogo (448.80 ha).</t>
        </is>
      </c>
      <c r="D13" s="54" t="inlineStr">
        <is>
          <t>CONFORME</t>
        </is>
      </c>
      <c r="E13" s="54" t="inlineStr">
        <is>
          <t>Sin acción: la segmentación valida la geometría del bloque.</t>
        </is>
      </c>
    </row>
    <row r="14">
      <c r="A14" s="55" t="inlineStr">
        <is>
          <t>G-06</t>
        </is>
      </c>
      <c r="B14" s="55" t="inlineStr">
        <is>
          <t>Superficie MSAVI vs. catálogo</t>
        </is>
      </c>
      <c r="C14" s="55" t="inlineStr">
        <is>
          <t>La superficie clasificada por el MSAVI 2024 (448.804 ha) se desvía 0.00 % de la superficie de catálogo (448.80 ha).</t>
        </is>
      </c>
      <c r="D14" s="55" t="inlineStr">
        <is>
          <t>CONFORME</t>
        </is>
      </c>
      <c r="E14" s="55" t="inlineStr">
        <is>
          <t>Sin acción: la segmentación valida la geometría del bloque.</t>
        </is>
      </c>
    </row>
    <row r="15">
      <c r="A15" s="54" t="inlineStr">
        <is>
          <t>G-07</t>
        </is>
      </c>
      <c r="B15" s="54" t="inlineStr">
        <is>
          <t>Brecha espectral MSAVI</t>
        </is>
      </c>
      <c r="C15" s="54" t="inlineStr">
        <is>
          <t>El 96.95 % del bloque queda bajo el umbral 0.4976; superficie de brecha 435.11 ha.</t>
        </is>
      </c>
      <c r="D15" s="54" t="inlineStr">
        <is>
          <t>CONFORME</t>
        </is>
      </c>
      <c r="E15" s="54" t="inlineStr">
        <is>
          <t>Sin acción: alimenta el indicador de brecha del proyecto.</t>
        </is>
      </c>
    </row>
    <row r="16">
      <c r="A16" s="55" t="inlineStr">
        <is>
          <t>G-08</t>
        </is>
      </c>
      <c r="B16" s="55" t="inlineStr">
        <is>
          <t>Distribución areal MSAVI 2024</t>
        </is>
      </c>
      <c r="C16" s="55" t="inlineStr">
        <is>
          <t>La hoja de cobertura declara 5 clases DN con superficie, 448.80 ha clasificadas en total.</t>
        </is>
      </c>
      <c r="D16" s="55" t="inlineStr">
        <is>
          <t>CONFORME</t>
        </is>
      </c>
      <c r="E16" s="55" t="inlineStr">
        <is>
          <t>Sin acción: procede de la estadística zonal del raster MSAVI 2024 clasificado.</t>
        </is>
      </c>
    </row>
    <row r="17">
      <c r="A17" s="54" t="inlineStr">
        <is>
          <t>G-09</t>
        </is>
      </c>
      <c r="B17" s="54" t="inlineStr">
        <is>
          <t>Media MSAVI vs. clase DN dominante</t>
        </is>
      </c>
      <c r="C17" s="54" t="inlineStr">
        <is>
          <t>La media del bloque (0.3632) cae en la clase «0.2650 - 0.3813 (Vigor muy bajo)» y la clase DN dominante por superficie es «DN 2 · 0.2650 - 0.3813 (Vigor muy bajo)».</t>
        </is>
      </c>
      <c r="D17" s="54" t="inlineStr">
        <is>
          <t>CONFORME</t>
        </is>
      </c>
      <c r="E17" s="54" t="inlineStr">
        <is>
          <t>Sin acción: media y clase dominante son coherentes.</t>
        </is>
      </c>
    </row>
    <row r="18">
      <c r="A18" s="55" t="inlineStr">
        <is>
          <t>G-10</t>
        </is>
      </c>
      <c r="B18" s="55" t="inlineStr">
        <is>
          <t>Peligro integrado (MCA-AHP)</t>
        </is>
      </c>
      <c r="C18" s="55" t="inlineStr">
        <is>
          <t>El nivel de peligro integrado no está disponible en los insumos de este entregable.</t>
        </is>
      </c>
      <c r="D18" s="55" t="inlineStr">
        <is>
          <t>SUSTANTIVA</t>
        </is>
      </c>
      <c r="E18" s="55" t="inlineStr">
        <is>
          <t>Debe tomarse del modelamiento de mesolocalización (MCA-AHP de PMM, EPH y PGI) antes de cerrar el perfil.</t>
        </is>
      </c>
    </row>
    <row r="19">
      <c r="A19" s="54" t="inlineStr">
        <is>
          <t>I-01</t>
        </is>
      </c>
      <c r="B19" s="54" t="inlineStr">
        <is>
          <t>Causa subyacente principal</t>
        </is>
      </c>
      <c r="C19" s="54" t="inlineStr">
        <is>
          <t>El libro de resumen V6 consignaba «Existencia de una demanda comercial sostenida de biomasa leñosa por parte de las ladrilleras artesanales instaladas en el entorno del bloque»; la ficha de campo vigente declara «Existencia de una demanda comercial sostenida de biomasa leñosa por parte de ladrilleras artesanales instaladas en el entorno inmediato del…».</t>
        </is>
      </c>
      <c r="D19" s="54" t="inlineStr">
        <is>
          <t>CORREGIDO</t>
        </is>
      </c>
      <c r="E19" s="54" t="inlineStr">
        <is>
          <t>Se adopta el valor de campo por ser la fuente que manda sobre el dato y la más reciente. El valor anterior queda declarado para trazabilidad.</t>
        </is>
      </c>
    </row>
    <row r="20">
      <c r="A20" s="55" t="inlineStr">
        <is>
          <t>F-01</t>
        </is>
      </c>
      <c r="B20" s="55" t="inlineStr">
        <is>
          <t>Fichas F-DT levantadas</t>
        </is>
      </c>
      <c r="C20" s="55" t="inlineStr">
        <is>
          <t>La plantilla de campo trae las cinco fichas F-DT-01 a F-DT-05 (completitud 92.9 % de los campos esperados).</t>
        </is>
      </c>
      <c r="D20" s="55" t="inlineStr">
        <is>
          <t>CONFORME</t>
        </is>
      </c>
      <c r="E20" s="55" t="inlineStr">
        <is>
          <t>Sin acción.</t>
        </is>
      </c>
    </row>
    <row r="21">
      <c r="A21" s="54" t="inlineStr">
        <is>
          <t>F-02</t>
        </is>
      </c>
      <c r="B21" s="54" t="inlineStr">
        <is>
          <t>Cobertura de la integración</t>
        </is>
      </c>
      <c r="C21" s="54" t="inlineStr">
        <is>
          <t>Se declararon 95 de 114 hechos integrados (83.3 %); 19 quedan sin dato en ninguna fuente.</t>
        </is>
      </c>
      <c r="D21" s="54" t="inlineStr">
        <is>
          <t>CONFORME</t>
        </is>
      </c>
      <c r="E21" s="54" t="inlineStr">
        <is>
          <t>Sin acción.</t>
        </is>
      </c>
    </row>
    <row r="22">
      <c r="A22" s="55" t="inlineStr">
        <is>
          <t>H-01</t>
        </is>
      </c>
      <c r="B22" s="55" t="inlineStr">
        <is>
          <t>Rango de pendiente dominante</t>
        </is>
      </c>
      <c r="C22" s="55" t="inlineStr">
        <is>
          <t>La ficha DT declara «25-50% (Mod. escarpado)»; la estadística zonal sobre el MDE arroja una pendiente promedio de 17.86 %, que corresponde a la clase «15-25% (Fuert. inclinado)»</t>
        </is>
      </c>
      <c r="D22" s="55" t="inlineStr">
        <is>
          <t>NO SUSTANTIVA</t>
        </is>
      </c>
      <c r="E22"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
      <c r="A23" s="54" t="inlineStr">
        <is>
          <t>H-02</t>
        </is>
      </c>
      <c r="B23" s="54" t="inlineStr">
        <is>
          <t>Elenco florístico</t>
        </is>
      </c>
      <c r="C23" s="54" t="inlineStr">
        <is>
          <t>La ficha registra 12 taxones, por debajo del mínimo de 15 que exige el formato V5</t>
        </is>
      </c>
      <c r="D23" s="54" t="inlineStr">
        <is>
          <t>SUSTANTIVA</t>
        </is>
      </c>
      <c r="E23" s="54" t="inlineStr">
        <is>
          <t>Registro florístico preliminar, sin colecta ni determinación botánica formal. Debe cerrarse con colecta botánica en la siguiente campaña. (Verificación heredada de la ficha de resumen V6.)</t>
        </is>
      </c>
    </row>
    <row r="24">
      <c r="A24" s="55" t="inlineStr">
        <is>
          <t>H-03</t>
        </is>
      </c>
      <c r="B24" s="55" t="inlineStr">
        <is>
          <t>Representatividad del levantamiento</t>
        </is>
      </c>
      <c r="C24" s="55" t="inlineStr">
        <is>
          <t>Ninguna de las estaciones fotográficas georreferenciadas se localiza dentro del polígono del bloque</t>
        </is>
      </c>
      <c r="D24" s="55" t="inlineStr">
        <is>
          <t>SUSTANTIVA</t>
        </is>
      </c>
      <c r="E24" s="55" t="inlineStr">
        <is>
          <t>La verificación documenta el perímetro y la vista panorámica del bloque, no su interior. Los parámetros que exigen recorrido interno se consignan «Por determinar». (Verificación heredada de la ficha de resumen V6.)</t>
        </is>
      </c>
    </row>
    <row r="25">
      <c r="A25" s="54" t="inlineStr">
        <is>
          <t>H-04</t>
        </is>
      </c>
      <c r="B25" s="54" t="inlineStr">
        <is>
          <t>Centro poblado asociado</t>
        </is>
      </c>
      <c r="C25" s="54" t="inlineStr">
        <is>
          <t>La ficha DT declara «Vicús Santa Rosa (133 hab.); entorno: Vicús La Merced, Vicús Linderos, Huasimal»; el cruce INEI-Bloques V5 identifica 5 centro(s) poblado(s) en el bloque: HUASIMAL, VICUS LA MERCED, VICUS LINDEROS, VICUS SANTA ROSA</t>
        </is>
      </c>
      <c r="D25" s="54" t="inlineStr">
        <is>
          <t>CONFORME</t>
        </is>
      </c>
      <c r="E25" s="54" t="inlineStr">
        <is>
          <t>Se conserva el registro de campo como referencia y se adopta el listado INEI para el diagnóstico social y el cálculo de población beneficiaria. (Verificación heredada de la ficha de resumen V6.)</t>
        </is>
      </c>
    </row>
    <row r="26">
      <c r="A26" s="55" t="inlineStr">
        <is>
          <t>H-05</t>
        </is>
      </c>
      <c r="B26" s="55" t="inlineStr">
        <is>
          <t>F-DT-01</t>
        </is>
      </c>
      <c r="C26" s="55" t="inlineStr">
        <is>
          <t>Altitud GPS no registrada por la aplicación de campo</t>
        </is>
      </c>
      <c r="D26" s="55" t="inlineStr">
        <is>
          <t>SUSTANTIVA</t>
        </is>
      </c>
      <c r="E26" s="55" t="inlineStr">
        <is>
          <t>Se deja POR DETERMINAR; el perfil 111-385 msnm proviene de Google Earth y se declara como tal (Verificación heredada de la ficha de resumen V6.)</t>
        </is>
      </c>
    </row>
    <row r="27">
      <c r="A27" s="54" t="inlineStr">
        <is>
          <t>H-06</t>
        </is>
      </c>
      <c r="B27" s="54" t="inlineStr">
        <is>
          <t>F-DT-03</t>
        </is>
      </c>
      <c r="C27" s="54" t="inlineStr">
        <is>
          <t>Lista florística preliminar de 12 registros frente al mínimo de 15 del formato</t>
        </is>
      </c>
      <c r="D27" s="54" t="inlineStr">
        <is>
          <t>NO SUSTANTIVA</t>
        </is>
      </c>
      <c r="E27" s="54" t="inlineStr">
        <is>
          <t>Se declara como reconocimiento preliminar (Verificación heredada de la ficha de resumen V6.)</t>
        </is>
      </c>
    </row>
    <row r="28">
      <c r="A28" s="55" t="inlineStr">
        <is>
          <t>H-07</t>
        </is>
      </c>
      <c r="B28" s="55" t="inlineStr">
        <is>
          <t>F-DT-04</t>
        </is>
      </c>
      <c r="C28" s="55" t="inlineStr">
        <is>
          <t>Extensión y antigüedad de las 16 causas no levantadas</t>
        </is>
      </c>
      <c r="D28" s="55" t="inlineStr">
        <is>
          <t>NO SUSTANTIVA</t>
        </is>
      </c>
      <c r="E28" s="55" t="inlineStr">
        <is>
          <t>POR DETERMINAR; no se estiman por principio de no fabricación (Verificación heredada de la ficha de resumen V6.)</t>
        </is>
      </c>
    </row>
    <row r="29">
      <c r="A29" s="54" t="inlineStr">
        <is>
          <t>H-08</t>
        </is>
      </c>
      <c r="B29" s="54" t="inlineStr">
        <is>
          <t>F-DT-05</t>
        </is>
      </c>
      <c r="C29" s="54" t="inlineStr">
        <is>
          <t>Cerco de propiedad privada en el lindero norte</t>
        </is>
      </c>
      <c r="D29" s="54" t="inlineStr">
        <is>
          <t>SUSTANTIVA</t>
        </is>
      </c>
      <c r="E29" s="54" t="inlineStr">
        <is>
          <t>La aceptación de los titulares prediales queda POR VERIFICAR (Paso 6 del AdR-CCC territorial) (Verificación heredada de la ficha de resumen V6.)</t>
        </is>
      </c>
    </row>
    <row r="31">
      <c r="A31" s="56" t="inlineStr">
        <is>
          <t>RESUMEN</t>
        </is>
      </c>
      <c r="B31" s="57" t="inlineStr">
        <is>
          <t>21 verificaciones</t>
        </is>
      </c>
      <c r="C31" s="57" t="inlineStr">
        <is>
          <t>SUSTANTIVA: 5 · NO SUSTANTIVA: 4 · CORREGIDO: 1 · CONFORME: 11</t>
        </is>
      </c>
    </row>
    <row r="33">
      <c r="A33" s="58"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INTEGRACIÓN DE LA FICHA DE CAMPO — BLOQUE M27B1</t>
        </is>
      </c>
    </row>
    <row r="7">
      <c r="A7" s="52" t="inlineStr">
        <is>
          <t>A. HECHOS ACTUALIZADOS POR LA VERIFICACIÓN DE CAMPO</t>
        </is>
      </c>
    </row>
    <row r="8">
      <c r="A8" s="53" t="inlineStr">
        <is>
          <t>Sección</t>
        </is>
      </c>
      <c r="B8" s="53" t="inlineStr">
        <is>
          <t>Hecho</t>
        </is>
      </c>
      <c r="C8" s="53" t="inlineStr">
        <is>
          <t>Valor en la ficha V6</t>
        </is>
      </c>
      <c r="D8" s="53" t="inlineStr">
        <is>
          <t>Valor de campo vigente</t>
        </is>
      </c>
      <c r="E8" s="53" t="inlineStr">
        <is>
          <t>Fuente que manda</t>
        </is>
      </c>
    </row>
    <row r="9">
      <c r="A9" s="54" t="inlineStr">
        <is>
          <t>6. Degradación, causas y urgencia (F-DT-04)</t>
        </is>
      </c>
      <c r="B9" s="54" t="inlineStr">
        <is>
          <t>Causa subyacente principal</t>
        </is>
      </c>
      <c r="C9" s="54" t="inlineStr">
        <is>
          <t>Existencia de una demanda comercial sostenida de biomasa leñosa por parte de las ladrilleras artesanales instaladas en el entorno del bloque</t>
        </is>
      </c>
      <c r="D9" s="54" t="inlineStr">
        <is>
          <t>Existencia de una demanda comercial sostenida de biomasa leñosa por parte de ladrilleras artesanales instaladas en el entorno inmediato del bloque, sin fuente alternativa de combustible ni fiscalización del aprovechamiento forestal, sobre un bosque seco de propiedad privada sin gestión ni ordenamiento. A ello se suma la dependencia de las poblaciones colindantes (Vicús, Huasimal) de la leña y el pastoreo.</t>
        </is>
      </c>
      <c r="E9" s="54" t="inlineStr">
        <is>
          <t>Dato de campo</t>
        </is>
      </c>
    </row>
    <row r="11">
      <c r="A11" s="52" t="inlineStr">
        <is>
          <t>B. HECHOS APORTADOS ÚNICAMENTE POR LA FICHA DE CAMPO</t>
        </is>
      </c>
    </row>
    <row r="12">
      <c r="A12" s="53" t="inlineStr">
        <is>
          <t>Sección</t>
        </is>
      </c>
      <c r="B12" s="53" t="inlineStr">
        <is>
          <t>Hecho</t>
        </is>
      </c>
      <c r="C12" s="53" t="inlineStr">
        <is>
          <t>Valor</t>
        </is>
      </c>
      <c r="D12" s="53" t="inlineStr">
        <is>
          <t>Unidad</t>
        </is>
      </c>
    </row>
    <row r="13">
      <c r="A13" s="54" t="inlineStr">
        <is>
          <t>1. Identificación y localización</t>
        </is>
      </c>
      <c r="B13" s="54" t="inlineStr">
        <is>
          <t>UTM ESTE del punto de muestreo (m)</t>
        </is>
      </c>
      <c r="C13" s="54" t="inlineStr">
        <is>
          <t>593952</t>
        </is>
      </c>
      <c r="D13" s="54" t="inlineStr">
        <is>
          <t>m</t>
        </is>
      </c>
    </row>
    <row r="14">
      <c r="A14" s="55" t="inlineStr">
        <is>
          <t>1. Identificación y localización</t>
        </is>
      </c>
      <c r="B14" s="55" t="inlineStr">
        <is>
          <t>UTM NORTE del punto de muestreo (m)</t>
        </is>
      </c>
      <c r="C14" s="55" t="inlineStr">
        <is>
          <t>9428843</t>
        </is>
      </c>
      <c r="D14" s="55" t="inlineStr">
        <is>
          <t>m</t>
        </is>
      </c>
    </row>
    <row r="15">
      <c r="A15" s="54" t="inlineStr">
        <is>
          <t>2. Parámetros físicos del terreno</t>
        </is>
      </c>
      <c r="B15" s="54" t="inlineStr">
        <is>
          <t>Piso altitudinal del punto de muestreo</t>
        </is>
      </c>
      <c r="C15" s="54" t="inlineStr">
        <is>
          <t>&lt;1000 m (Yunga)</t>
        </is>
      </c>
      <c r="D15" s="54" t="inlineStr"/>
    </row>
    <row r="16">
      <c r="A16" s="55" t="inlineStr">
        <is>
          <t>2. Parámetros físicos del terreno</t>
        </is>
      </c>
      <c r="B16" s="55" t="inlineStr">
        <is>
          <t>Paisaje dominante descrito en campo</t>
        </is>
      </c>
      <c r="C16" s="55" t="inlineStr">
        <is>
          <t>Colina aislada de bosque estacionalmente seco con matorral denso y árboles emergentes dispersos (palo santo, hualtaco, sapote, faique, algarrobo) y cactáceas columnares; disectada por quebradas estacionales de lecho pedregoso. Entorno de mosaico agropecuario y CC.PP. (Vicús, Huasimal) hacia el E y NE.</t>
        </is>
      </c>
      <c r="D16" s="55" t="inlineStr"/>
    </row>
    <row r="17">
      <c r="A17" s="54" t="inlineStr">
        <is>
          <t>2. Parámetros físicos del terreno</t>
        </is>
      </c>
      <c r="B17" s="54" t="inlineStr">
        <is>
          <t>Reptación de suelo</t>
        </is>
      </c>
      <c r="C17" s="54" t="inlineStr">
        <is>
          <t>No</t>
        </is>
      </c>
      <c r="D17" s="54" t="inlineStr"/>
    </row>
    <row r="18">
      <c r="A18" s="55" t="inlineStr">
        <is>
          <t>2. Parámetros físicos del terreno</t>
        </is>
      </c>
      <c r="B18" s="55" t="inlineStr">
        <is>
          <t>Deslizamientos antiguos</t>
        </is>
      </c>
      <c r="C18" s="55" t="inlineStr">
        <is>
          <t>No</t>
        </is>
      </c>
      <c r="D18" s="55" t="inlineStr"/>
    </row>
    <row r="19">
      <c r="A19" s="54" t="inlineStr">
        <is>
          <t>4. Suelos y erosión (F-DT-02)</t>
        </is>
      </c>
      <c r="B19" s="54" t="inlineStr">
        <is>
          <t>Nivel de erosión - síntesis de campo</t>
        </is>
      </c>
      <c r="C19" s="54" t="inlineStr">
        <is>
          <t>Ligera (laminar)</t>
        </is>
      </c>
      <c r="D19" s="54" t="inlineStr"/>
    </row>
    <row r="20">
      <c r="A20" s="55" t="inlineStr">
        <is>
          <t>4. Suelos y erosión (F-DT-02)</t>
        </is>
      </c>
      <c r="B20" s="55" t="inlineStr">
        <is>
          <t>Sellamiento / costra superficial</t>
        </is>
      </c>
      <c r="C20" s="55" t="inlineStr">
        <is>
          <t>No</t>
        </is>
      </c>
      <c r="D20" s="55" t="inlineStr"/>
    </row>
    <row r="21">
      <c r="A21" s="54" t="inlineStr">
        <is>
          <t>4. Suelos y erosión (F-DT-02)</t>
        </is>
      </c>
      <c r="B21" s="54" t="inlineStr">
        <is>
          <t>Compactación por pisoteo</t>
        </is>
      </c>
      <c r="C21" s="54" t="inlineStr">
        <is>
          <t>No</t>
        </is>
      </c>
      <c r="D21" s="54" t="inlineStr"/>
    </row>
    <row r="22">
      <c r="A22" s="55" t="inlineStr">
        <is>
          <t>4. Suelos y erosión (F-DT-02)</t>
        </is>
      </c>
      <c r="B22" s="55" t="inlineStr">
        <is>
          <t>Raíces expuestas</t>
        </is>
      </c>
      <c r="C22" s="55" t="inlineStr">
        <is>
          <t>Sí</t>
        </is>
      </c>
      <c r="D22" s="55" t="inlineStr"/>
    </row>
    <row r="23">
      <c r="A23" s="54" t="inlineStr">
        <is>
          <t>4. Suelos y erosión (F-DT-02)</t>
        </is>
      </c>
      <c r="B23" s="54" t="inlineStr">
        <is>
          <t>Longitud total de cárcavas (m)</t>
        </is>
      </c>
      <c r="C23" s="54" t="inlineStr">
        <is>
          <t>0</t>
        </is>
      </c>
      <c r="D23" s="54" t="inlineStr">
        <is>
          <t>m</t>
        </is>
      </c>
    </row>
    <row r="24">
      <c r="A24" s="55" t="inlineStr">
        <is>
          <t>4. Suelos y erosión (F-DT-02)</t>
        </is>
      </c>
      <c r="B24" s="55" t="inlineStr">
        <is>
          <t>% del bloque afectado por cárcavas</t>
        </is>
      </c>
      <c r="C24" s="55" t="inlineStr">
        <is>
          <t>0</t>
        </is>
      </c>
      <c r="D24" s="55" t="inlineStr">
        <is>
          <t>%</t>
        </is>
      </c>
    </row>
    <row r="25">
      <c r="A25" s="54" t="inlineStr">
        <is>
          <t>4. Suelos y erosión (F-DT-02)</t>
        </is>
      </c>
      <c r="B25" s="54" t="inlineStr">
        <is>
          <t>Erosión laminar (% del bloque)</t>
        </is>
      </c>
      <c r="C25" s="54" t="inlineStr">
        <is>
          <t>15</t>
        </is>
      </c>
      <c r="D25" s="54" t="inlineStr">
        <is>
          <t>%</t>
        </is>
      </c>
    </row>
    <row r="26">
      <c r="A26" s="55" t="inlineStr">
        <is>
          <t>4. Suelos y erosión (F-DT-02)</t>
        </is>
      </c>
      <c r="B26" s="55" t="inlineStr">
        <is>
          <t>Socavamiento de cauce</t>
        </is>
      </c>
      <c r="C26" s="55" t="inlineStr">
        <is>
          <t>Sí</t>
        </is>
      </c>
      <c r="D26" s="55" t="inlineStr"/>
    </row>
    <row r="27">
      <c r="A27" s="54" t="inlineStr">
        <is>
          <t>5. Ecosistema, cobertura y flora (F-DT-03)</t>
        </is>
      </c>
      <c r="B27" s="54" t="inlineStr">
        <is>
          <t>Cobertura del dosel (%)</t>
        </is>
      </c>
      <c r="C27" s="54" t="inlineStr">
        <is>
          <t>20</t>
        </is>
      </c>
      <c r="D27" s="54" t="inlineStr">
        <is>
          <t>%</t>
        </is>
      </c>
    </row>
    <row r="28">
      <c r="A28" s="55" t="inlineStr">
        <is>
          <t>5. Ecosistema, cobertura y flora (F-DT-03)</t>
        </is>
      </c>
      <c r="B28" s="55" t="inlineStr">
        <is>
          <t>Cobertura arbustiva (%)</t>
        </is>
      </c>
      <c r="C28" s="55" t="inlineStr">
        <is>
          <t>55</t>
        </is>
      </c>
      <c r="D28" s="55" t="inlineStr">
        <is>
          <t>%</t>
        </is>
      </c>
    </row>
    <row r="29">
      <c r="A29" s="54" t="inlineStr">
        <is>
          <t>5. Ecosistema, cobertura y flora (F-DT-03)</t>
        </is>
      </c>
      <c r="B29" s="54" t="inlineStr">
        <is>
          <t>Cobertura herbácea (%)</t>
        </is>
      </c>
      <c r="C29" s="54" t="inlineStr">
        <is>
          <t>25</t>
        </is>
      </c>
      <c r="D29" s="54" t="inlineStr">
        <is>
          <t>%</t>
        </is>
      </c>
    </row>
    <row r="30">
      <c r="A30" s="55" t="inlineStr">
        <is>
          <t>5. Ecosistema, cobertura y flora (F-DT-03)</t>
        </is>
      </c>
      <c r="B30" s="55" t="inlineStr">
        <is>
          <t>Cobertura de hojarasca (%)</t>
        </is>
      </c>
      <c r="C30" s="55" t="inlineStr">
        <is>
          <t>40</t>
        </is>
      </c>
      <c r="D30" s="55" t="inlineStr">
        <is>
          <t>%</t>
        </is>
      </c>
    </row>
    <row r="31">
      <c r="A31" s="54" t="inlineStr">
        <is>
          <t>5. Ecosistema, cobertura y flora (F-DT-03)</t>
        </is>
      </c>
      <c r="B31" s="54" t="inlineStr">
        <is>
          <t>Presencia de epífitas</t>
        </is>
      </c>
      <c r="C31" s="54" t="inlineStr">
        <is>
          <t>Sí</t>
        </is>
      </c>
      <c r="D31" s="54" t="inlineStr"/>
    </row>
    <row r="32">
      <c r="A32" s="55" t="inlineStr">
        <is>
          <t>5. Ecosistema, cobertura y flora (F-DT-03)</t>
        </is>
      </c>
      <c r="B32" s="55" t="inlineStr">
        <is>
          <t>Fenología dominante</t>
        </is>
      </c>
      <c r="C32" s="55" t="inlineStr">
        <is>
          <t>Caducifolio (hojas caídas)</t>
        </is>
      </c>
      <c r="D32" s="55" t="inlineStr"/>
    </row>
    <row r="33">
      <c r="A33" s="54" t="inlineStr">
        <is>
          <t>5. Ecosistema, cobertura y flora (F-DT-03)</t>
        </is>
      </c>
      <c r="B33" s="54" t="inlineStr">
        <is>
          <t>Especies clave georreferenciadas</t>
        </is>
      </c>
      <c r="C33" s="54" t="inlineStr">
        <is>
          <t>8</t>
        </is>
      </c>
      <c r="D33" s="54" t="inlineStr"/>
    </row>
    <row r="34">
      <c r="A34" s="55" t="inlineStr">
        <is>
          <t>6. Degradación, causas y urgencia (F-DT-04)</t>
        </is>
      </c>
      <c r="B34" s="55" t="inlineStr">
        <is>
          <t>Causas directas de la degradación</t>
        </is>
      </c>
      <c r="C34" s="55" t="inlineStr">
        <is>
          <t>(1) Tala de especies leñosas para leña, impulsada por la demanda de las LADRILLERAS ARTESANALES colindantes (trozas acopiadas verificadas) y complementada por el autoconsumo local (tocones verificados); (2) pastoreo caprino extensivo sobre el estrato arbustivo; (3) estrés hídrico estacional / cambio climático; (4) presión por expansión vial y proximidad de CC.PP. colindantes; (5) erosión natural por escorrentía concentrada en quebradas; (6) afectación fitosanitaria (hemiparasitismo y daño foliar por insectos).</t>
        </is>
      </c>
      <c r="D34" s="55" t="inlineStr"/>
    </row>
    <row r="35">
      <c r="A35" s="54" t="inlineStr">
        <is>
          <t>6. Degradación, causas y urgencia (F-DT-04)</t>
        </is>
      </c>
      <c r="B35" s="54" t="inlineStr">
        <is>
          <t>N.° de causas activas en la matriz F-DT-04</t>
        </is>
      </c>
      <c r="C35" s="54" t="inlineStr">
        <is>
          <t>8</t>
        </is>
      </c>
      <c r="D35" s="54" t="inlineStr"/>
    </row>
    <row r="36">
      <c r="A36" s="55" t="inlineStr">
        <is>
          <t>7. Hidrología, acceso y logística (F-DT-05)</t>
        </is>
      </c>
      <c r="B36" s="55" t="inlineStr">
        <is>
          <t>Escorrentía concentrada</t>
        </is>
      </c>
      <c r="C36" s="55" t="inlineStr">
        <is>
          <t>Sí</t>
        </is>
      </c>
      <c r="D36" s="55" t="inlineStr"/>
    </row>
    <row r="37">
      <c r="A37" s="54" t="inlineStr">
        <is>
          <t>7. Hidrología, acceso y logística (F-DT-05)</t>
        </is>
      </c>
      <c r="B37" s="54" t="inlineStr">
        <is>
          <t>Fuentes de agua inventariadas</t>
        </is>
      </c>
      <c r="C37" s="54" t="inlineStr">
        <is>
          <t>1</t>
        </is>
      </c>
      <c r="D37" s="54" t="inlineStr"/>
    </row>
    <row r="38">
      <c r="A38" s="55" t="inlineStr">
        <is>
          <t>7. Hidrología, acceso y logística (F-DT-05)</t>
        </is>
      </c>
      <c r="B38" s="55" t="inlineStr">
        <is>
          <t>Interferencia con riego</t>
        </is>
      </c>
      <c r="C38" s="55" t="inlineStr">
        <is>
          <t>No</t>
        </is>
      </c>
      <c r="D38" s="55" t="inlineStr"/>
    </row>
    <row r="39">
      <c r="A39" s="54" t="inlineStr">
        <is>
          <t>7. Hidrología, acceso y logística (F-DT-05)</t>
        </is>
      </c>
      <c r="B39" s="54" t="inlineStr">
        <is>
          <t>Vía principal de acceso</t>
        </is>
      </c>
      <c r="C39" s="54" t="inlineStr">
        <is>
          <t>PE-1N (Panamericana Norte, asfaltada) y PI-108; desvío por trocha carrozable hacia los CC.PP. de Vicús</t>
        </is>
      </c>
      <c r="D39" s="54" t="inlineStr"/>
    </row>
    <row r="40">
      <c r="A40" s="55" t="inlineStr">
        <is>
          <t>7. Hidrología, acceso y logística (F-DT-05)</t>
        </is>
      </c>
      <c r="B40" s="55" t="inlineStr">
        <is>
          <t>Tipo de vía del tramo final</t>
        </is>
      </c>
      <c r="C40" s="55" t="inlineStr">
        <is>
          <t>Camino de herradura</t>
        </is>
      </c>
      <c r="D40" s="55" t="inlineStr"/>
    </row>
    <row r="41">
      <c r="A41" s="54" t="inlineStr">
        <is>
          <t>7. Hidrología, acceso y logística (F-DT-05)</t>
        </is>
      </c>
      <c r="B41" s="54" t="inlineStr">
        <is>
          <t>Transitabilidad en época seca</t>
        </is>
      </c>
      <c r="C41" s="54" t="inlineStr">
        <is>
          <t>Alto</t>
        </is>
      </c>
      <c r="D41" s="54" t="inlineStr"/>
    </row>
    <row r="42">
      <c r="A42" s="55" t="inlineStr">
        <is>
          <t>7. Hidrología, acceso y logística (F-DT-05)</t>
        </is>
      </c>
      <c r="B42" s="55" t="inlineStr">
        <is>
          <t>Transitabilidad en época lluviosa</t>
        </is>
      </c>
      <c r="C42" s="55" t="inlineStr">
        <is>
          <t>Medio</t>
        </is>
      </c>
      <c r="D42" s="55" t="inlineStr"/>
    </row>
    <row r="43">
      <c r="A43" s="54" t="inlineStr">
        <is>
          <t>7. Hidrología, acceso y logística (F-DT-05)</t>
        </is>
      </c>
      <c r="B43" s="54" t="inlineStr">
        <is>
          <t>Requiere coordinación con ronda / comunidad</t>
        </is>
      </c>
      <c r="C43" s="54" t="inlineStr">
        <is>
          <t>No</t>
        </is>
      </c>
      <c r="D43" s="54" t="inlineStr"/>
    </row>
    <row r="45">
      <c r="A45" s="52" t="inlineStr">
        <is>
          <t>C. PROCEDENCIA DE LOS HECHOS DECLARADOS</t>
        </is>
      </c>
    </row>
    <row r="46">
      <c r="A46" s="53" t="inlineStr">
        <is>
          <t>Fuente</t>
        </is>
      </c>
      <c r="B46" s="53" t="inlineStr">
        <is>
          <t>Hechos</t>
        </is>
      </c>
      <c r="C46" s="53" t="inlineStr">
        <is>
          <t>Alcance de la fuente</t>
        </is>
      </c>
    </row>
    <row r="47">
      <c r="A47" s="54" t="inlineStr">
        <is>
          <t>Dato de campo</t>
        </is>
      </c>
      <c r="B47" s="54" t="n">
        <v>59</v>
      </c>
      <c r="C47" s="54" t="inlineStr">
        <is>
          <t>Verificación en campo. Fichas F-DT-01 a F-DT-05 de la Plantilla DT Campo Check Validada V5, suscritas por el evaluador.</t>
        </is>
      </c>
    </row>
    <row r="48">
      <c r="A48" s="55" t="inlineStr">
        <is>
          <t>Gabinete (GIS / teledetección)</t>
        </is>
      </c>
      <c r="B48" s="55" t="n">
        <v>22</v>
      </c>
      <c r="C48" s="55" t="inlineStr">
        <is>
          <t>Gabinete. Estadística zonal sobre el MDE y compuestos Sentinel-2 (NDVI mediana 2025, MSAVI 2024 por clase DN).</t>
        </is>
      </c>
    </row>
    <row r="49">
      <c r="A49" s="54" t="inlineStr">
        <is>
          <t>Fuente oficial</t>
        </is>
      </c>
      <c r="B49" s="54" t="n">
        <v>14</v>
      </c>
      <c r="C49" s="54" t="inlineStr">
        <is>
          <t>Fuente oficial. Catálogo maestro Bloques V5/V6, división política INEI y codificación de microcuencas de la ANA.</t>
        </is>
      </c>
    </row>
    <row r="51">
      <c r="A51" s="52" t="inlineStr">
        <is>
          <t>D. ESTADO DEL CRUCE ENTRE FUENTES</t>
        </is>
      </c>
    </row>
    <row r="52">
      <c r="A52" s="53" t="inlineStr">
        <is>
          <t>Estado</t>
        </is>
      </c>
      <c r="B52" s="53" t="inlineStr">
        <is>
          <t>Hechos</t>
        </is>
      </c>
      <c r="C52" s="53" t="inlineStr">
        <is>
          <t>Significado</t>
        </is>
      </c>
    </row>
    <row r="53">
      <c r="A53" s="54" t="inlineStr">
        <is>
          <t>CONFORME</t>
        </is>
      </c>
      <c r="B53" s="54" t="n">
        <v>94</v>
      </c>
      <c r="C53" s="54" t="inlineStr">
        <is>
          <t>Las dos fuentes declaran lo mismo, o solo la fuente que manda sobre el hecho lo declara.</t>
        </is>
      </c>
    </row>
    <row r="54">
      <c r="A54" s="55" t="inlineStr">
        <is>
          <t>COMPLEMENTADO</t>
        </is>
      </c>
      <c r="B54" s="55" t="n">
        <v>0</v>
      </c>
      <c r="C54" s="55" t="inlineStr">
        <is>
          <t>Solo una de las fuentes lo declara y se adopta ese valor.</t>
        </is>
      </c>
    </row>
    <row r="55">
      <c r="A55" s="54" t="inlineStr">
        <is>
          <t>ACTUALIZADO</t>
        </is>
      </c>
      <c r="B55" s="54" t="n">
        <v>1</v>
      </c>
      <c r="C55" s="54" t="inlineStr">
        <is>
          <t>La verificación de campo vigente corrige lo que traía el libro de resumen.</t>
        </is>
      </c>
    </row>
    <row r="56">
      <c r="A56" s="55" t="inlineStr">
        <is>
          <t>DISCREPANTE</t>
        </is>
      </c>
      <c r="B56" s="55" t="n">
        <v>0</v>
      </c>
      <c r="C56" s="55" t="inlineStr">
        <is>
          <t>Las fuentes se contradicen; prevalece la que manda sobre el hecho y la otra queda declarada.</t>
        </is>
      </c>
    </row>
    <row r="57">
      <c r="A57" s="54" t="inlineStr">
        <is>
          <t>PENDIENTE</t>
        </is>
      </c>
      <c r="B57" s="54" t="n">
        <v>19</v>
      </c>
      <c r="C57" s="54"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REGISTRO DE CAMPO F-DT-01 A F-DT-05 — BLOQUE M27B1</t>
        </is>
      </c>
    </row>
    <row r="7">
      <c r="A7" s="52" t="inlineStr">
        <is>
          <t>F-DT-02 · INVENTARIO DE CÁRCAVAS</t>
        </is>
      </c>
    </row>
    <row r="8">
      <c r="A8" s="53" t="inlineStr">
        <is>
          <t>Código</t>
        </is>
      </c>
      <c r="B8" s="53" t="inlineStr">
        <is>
          <t>Tipo</t>
        </is>
      </c>
      <c r="C8" s="53" t="inlineStr">
        <is>
          <t>UTM E ini.</t>
        </is>
      </c>
      <c r="D8" s="53" t="inlineStr">
        <is>
          <t>UTM N ini.</t>
        </is>
      </c>
      <c r="E8" s="53" t="inlineStr">
        <is>
          <t>Longitud (m)</t>
        </is>
      </c>
      <c r="F8" s="53" t="inlineStr">
        <is>
          <t>Prof. (m)</t>
        </is>
      </c>
      <c r="G8" s="53" t="inlineStr">
        <is>
          <t>Ancho (m)</t>
        </is>
      </c>
      <c r="H8" s="53" t="inlineStr">
        <is>
          <t>Estado</t>
        </is>
      </c>
      <c r="I8" s="53" t="inlineStr">
        <is>
          <t>Causa</t>
        </is>
      </c>
    </row>
    <row r="9">
      <c r="A9" s="54" t="inlineStr">
        <is>
          <t>Sin cárcavas inventariadas en el tramo verificado</t>
        </is>
      </c>
      <c r="B9" s="54" t="inlineStr"/>
      <c r="C9" s="54" t="inlineStr"/>
      <c r="D9" s="54" t="inlineStr"/>
      <c r="E9" s="54" t="inlineStr"/>
      <c r="F9" s="54" t="inlineStr"/>
      <c r="G9" s="54" t="inlineStr"/>
      <c r="H9" s="54" t="inlineStr"/>
      <c r="I9" s="54" t="inlineStr"/>
    </row>
    <row r="11">
      <c r="A11" s="52" t="inlineStr">
        <is>
          <t>F-DT-03 · ELENCO FLORÍSTICO</t>
        </is>
      </c>
    </row>
    <row r="12">
      <c r="A12" s="53" t="inlineStr">
        <is>
          <t>N.o</t>
        </is>
      </c>
      <c r="B12" s="53" t="inlineStr">
        <is>
          <t>Nombre común</t>
        </is>
      </c>
      <c r="C12" s="53" t="inlineStr">
        <is>
          <t>Nombre científico</t>
        </is>
      </c>
      <c r="D12" s="53" t="inlineStr">
        <is>
          <t>Familia</t>
        </is>
      </c>
      <c r="E12" s="53" t="inlineStr">
        <is>
          <t>Estrato</t>
        </is>
      </c>
      <c r="F12" s="53" t="inlineStr">
        <is>
          <t>Origen</t>
        </is>
      </c>
      <c r="G12" s="53" t="inlineStr">
        <is>
          <t>Abundancia</t>
        </is>
      </c>
      <c r="H12" s="53" t="inlineStr">
        <is>
          <t>DAP (cm)</t>
        </is>
      </c>
      <c r="I12" s="53" t="inlineStr">
        <is>
          <t>Altura (m)</t>
        </is>
      </c>
    </row>
    <row r="13">
      <c r="A13" s="54" t="inlineStr">
        <is>
          <t>1</t>
        </is>
      </c>
      <c r="B13" s="54" t="inlineStr">
        <is>
          <t>Palo Santo</t>
        </is>
      </c>
      <c r="C13" s="54" t="inlineStr">
        <is>
          <t>Bursera graveolens</t>
        </is>
      </c>
      <c r="D13" s="54" t="inlineStr">
        <is>
          <t>Burseraceae</t>
        </is>
      </c>
      <c r="E13" s="54" t="inlineStr">
        <is>
          <t>Arbóreo bajo (4-8 m)</t>
        </is>
      </c>
      <c r="F13" s="54" t="inlineStr">
        <is>
          <t>Nativa</t>
        </is>
      </c>
      <c r="G13" s="54" t="inlineStr">
        <is>
          <t>Frecuente (5-20%)</t>
        </is>
      </c>
      <c r="H13" s="54" t="n"/>
      <c r="I13" s="54" t="n"/>
    </row>
    <row r="14">
      <c r="A14" s="55" t="inlineStr">
        <is>
          <t>2</t>
        </is>
      </c>
      <c r="B14" s="55" t="inlineStr">
        <is>
          <t>Hualtaco</t>
        </is>
      </c>
      <c r="C14" s="55" t="inlineStr">
        <is>
          <t>Loxopterygium huasango</t>
        </is>
      </c>
      <c r="D14" s="55" t="inlineStr">
        <is>
          <t>Anacardiaceae</t>
        </is>
      </c>
      <c r="E14" s="55" t="inlineStr">
        <is>
          <t>Arbóreo bajo (4-8 m)</t>
        </is>
      </c>
      <c r="F14" s="55" t="inlineStr">
        <is>
          <t>Nativa</t>
        </is>
      </c>
      <c r="G14" s="55" t="inlineStr">
        <is>
          <t>Ocasional (1-5%)</t>
        </is>
      </c>
      <c r="H14" s="55" t="n"/>
      <c r="I14" s="55" t="n"/>
    </row>
    <row r="15">
      <c r="A15" s="54" t="inlineStr">
        <is>
          <t>3</t>
        </is>
      </c>
      <c r="B15" s="54" t="inlineStr">
        <is>
          <t>Sapote</t>
        </is>
      </c>
      <c r="C15" s="54" t="inlineStr">
        <is>
          <t>Colicodendron scabridum</t>
        </is>
      </c>
      <c r="D15" s="54" t="inlineStr">
        <is>
          <t>Capparaceae</t>
        </is>
      </c>
      <c r="E15" s="54" t="inlineStr">
        <is>
          <t>Arbóreo bajo (4-8 m)</t>
        </is>
      </c>
      <c r="F15" s="54" t="inlineStr">
        <is>
          <t>Nativa</t>
        </is>
      </c>
      <c r="G15" s="54" t="inlineStr">
        <is>
          <t>Ocasional (1-5%)</t>
        </is>
      </c>
      <c r="H15" s="54" t="n"/>
      <c r="I15" s="54" t="n"/>
    </row>
    <row r="16">
      <c r="A16" s="55" t="inlineStr">
        <is>
          <t>4</t>
        </is>
      </c>
      <c r="B16" s="55" t="inlineStr">
        <is>
          <t>Faique</t>
        </is>
      </c>
      <c r="C16" s="55" t="inlineStr">
        <is>
          <t>Vachellia macracantha</t>
        </is>
      </c>
      <c r="D16" s="55" t="inlineStr">
        <is>
          <t>Fabaceae</t>
        </is>
      </c>
      <c r="E16" s="55" t="inlineStr">
        <is>
          <t>Arbóreo bajo (4-8 m)</t>
        </is>
      </c>
      <c r="F16" s="55" t="inlineStr">
        <is>
          <t>Nativa</t>
        </is>
      </c>
      <c r="G16" s="55" t="inlineStr">
        <is>
          <t>Frecuente (5-20%)</t>
        </is>
      </c>
      <c r="H16" s="55" t="n"/>
      <c r="I16" s="55" t="n"/>
    </row>
    <row r="17">
      <c r="A17" s="54" t="inlineStr">
        <is>
          <t>5</t>
        </is>
      </c>
      <c r="B17" s="54" t="inlineStr">
        <is>
          <t>Algarrobo</t>
        </is>
      </c>
      <c r="C17" s="54" t="inlineStr">
        <is>
          <t>Prosopis pallida</t>
        </is>
      </c>
      <c r="D17" s="54" t="inlineStr">
        <is>
          <t>Fabaceae</t>
        </is>
      </c>
      <c r="E17" s="54" t="inlineStr">
        <is>
          <t>Arbóreo bajo (4-8 m)</t>
        </is>
      </c>
      <c r="F17" s="54" t="inlineStr">
        <is>
          <t>Nativa</t>
        </is>
      </c>
      <c r="G17" s="54" t="inlineStr">
        <is>
          <t>Ocasional (1-5%)</t>
        </is>
      </c>
      <c r="H17" s="54" t="n"/>
      <c r="I17" s="54" t="n"/>
    </row>
    <row r="18">
      <c r="A18" s="55" t="inlineStr">
        <is>
          <t>6</t>
        </is>
      </c>
      <c r="B18" s="55" t="inlineStr">
        <is>
          <t>Overo</t>
        </is>
      </c>
      <c r="C18" s="55" t="inlineStr">
        <is>
          <t>Cordia lutea</t>
        </is>
      </c>
      <c r="D18" s="55" t="inlineStr">
        <is>
          <t>Boraginaceae</t>
        </is>
      </c>
      <c r="E18" s="55" t="inlineStr">
        <is>
          <t>Arbustivo alto (1.5-4 m)</t>
        </is>
      </c>
      <c r="F18" s="55" t="inlineStr">
        <is>
          <t>Nativa</t>
        </is>
      </c>
      <c r="G18" s="55" t="inlineStr">
        <is>
          <t>Frecuente (5-20%)</t>
        </is>
      </c>
      <c r="H18" s="55" t="n"/>
      <c r="I18" s="55" t="n"/>
    </row>
    <row r="19">
      <c r="A19" s="54" t="inlineStr">
        <is>
          <t>7</t>
        </is>
      </c>
      <c r="B19" s="54" t="inlineStr">
        <is>
          <t>Cactácea columnar</t>
        </is>
      </c>
      <c r="C19" s="54" t="inlineStr">
        <is>
          <t>Cactaceae (indet.)</t>
        </is>
      </c>
      <c r="D19" s="54" t="inlineStr">
        <is>
          <t>Cactaceae</t>
        </is>
      </c>
      <c r="E19" s="54" t="inlineStr">
        <is>
          <t>Arbustivo alto (1.5-4 m)</t>
        </is>
      </c>
      <c r="F19" s="54" t="inlineStr">
        <is>
          <t>Nativa</t>
        </is>
      </c>
      <c r="G19" s="54" t="inlineStr">
        <is>
          <t>Ocasional (1-5%)</t>
        </is>
      </c>
      <c r="H19" s="54" t="n"/>
      <c r="I19" s="54" t="n"/>
    </row>
    <row r="20">
      <c r="A20" s="55" t="inlineStr">
        <is>
          <t>8</t>
        </is>
      </c>
      <c r="B20" s="55" t="inlineStr">
        <is>
          <t>Suelda con suelda (hemiparásita)</t>
        </is>
      </c>
      <c r="C20" s="55" t="inlineStr">
        <is>
          <t>Psittacanthus sp. (indet.)</t>
        </is>
      </c>
      <c r="D20" s="55" t="inlineStr">
        <is>
          <t>Loranthaceae</t>
        </is>
      </c>
      <c r="E20" s="55" t="inlineStr">
        <is>
          <t>Epífito</t>
        </is>
      </c>
      <c r="F20" s="55" t="inlineStr">
        <is>
          <t>Nativa</t>
        </is>
      </c>
      <c r="G20" s="55" t="inlineStr">
        <is>
          <t>Ocasional (1-5%)</t>
        </is>
      </c>
      <c r="H20" s="55" t="n"/>
      <c r="I20" s="55" t="n"/>
    </row>
    <row r="21">
      <c r="A21" s="54" t="inlineStr">
        <is>
          <t>9</t>
        </is>
      </c>
      <c r="B21" s="54" t="inlineStr">
        <is>
          <t>Bromelias epífitas</t>
        </is>
      </c>
      <c r="C21" s="54" t="inlineStr">
        <is>
          <t>Bromeliaceae (indet.)</t>
        </is>
      </c>
      <c r="D21" s="54" t="inlineStr">
        <is>
          <t>Bromeliaceae</t>
        </is>
      </c>
      <c r="E21" s="54" t="inlineStr">
        <is>
          <t>Epífito</t>
        </is>
      </c>
      <c r="F21" s="54" t="inlineStr">
        <is>
          <t>Nativa</t>
        </is>
      </c>
      <c r="G21" s="54" t="inlineStr">
        <is>
          <t>Rara (&lt;1%)</t>
        </is>
      </c>
      <c r="H21" s="54" t="n"/>
      <c r="I21" s="54" t="n"/>
    </row>
    <row r="22">
      <c r="A22" s="55" t="inlineStr">
        <is>
          <t>10</t>
        </is>
      </c>
      <c r="B22" s="55" t="inlineStr">
        <is>
          <t>Herbáceas estacionales</t>
        </is>
      </c>
      <c r="C22" s="55" t="inlineStr">
        <is>
          <t>Indet.</t>
        </is>
      </c>
      <c r="D22" s="55" t="inlineStr">
        <is>
          <t>Indet.</t>
        </is>
      </c>
      <c r="E22" s="55" t="inlineStr">
        <is>
          <t>Herbáceo (&lt;0.5 m)</t>
        </is>
      </c>
      <c r="F22" s="55" t="inlineStr">
        <is>
          <t>Nativa</t>
        </is>
      </c>
      <c r="G22" s="55" t="inlineStr">
        <is>
          <t>Abundante (20-40%)</t>
        </is>
      </c>
      <c r="H22" s="55" t="n"/>
      <c r="I22" s="55" t="n"/>
    </row>
    <row r="23">
      <c r="A23" s="54" t="inlineStr">
        <is>
          <t>11</t>
        </is>
      </c>
      <c r="B23" s="54" t="inlineStr">
        <is>
          <t>Matorral arbustivo nativo (indet.)</t>
        </is>
      </c>
      <c r="C23" s="54" t="inlineStr">
        <is>
          <t>Indet.</t>
        </is>
      </c>
      <c r="D23" s="54" t="inlineStr">
        <is>
          <t>Indet.</t>
        </is>
      </c>
      <c r="E23" s="54" t="inlineStr">
        <is>
          <t>Arbustivo bajo (0.5-1.5 m)</t>
        </is>
      </c>
      <c r="F23" s="54" t="inlineStr">
        <is>
          <t>Nativa</t>
        </is>
      </c>
      <c r="G23" s="54" t="inlineStr">
        <is>
          <t>Dominante (&gt;40%)</t>
        </is>
      </c>
      <c r="H23" s="54" t="n"/>
      <c r="I23" s="54" t="n"/>
    </row>
    <row r="24">
      <c r="A24" s="55" t="inlineStr">
        <is>
          <t>12</t>
        </is>
      </c>
      <c r="B24" s="55" t="inlineStr">
        <is>
          <t>Gramíneas estacionales</t>
        </is>
      </c>
      <c r="C24" s="55" t="inlineStr">
        <is>
          <t>Poaceae (indet.)</t>
        </is>
      </c>
      <c r="D24" s="55" t="inlineStr">
        <is>
          <t>Poaceae</t>
        </is>
      </c>
      <c r="E24" s="55" t="inlineStr">
        <is>
          <t>Herbáceo (&lt;0.5 m)</t>
        </is>
      </c>
      <c r="F24" s="55" t="inlineStr">
        <is>
          <t>Nativa</t>
        </is>
      </c>
      <c r="G24" s="55" t="inlineStr">
        <is>
          <t>Frecuente (5-20%)</t>
        </is>
      </c>
      <c r="H24" s="55" t="n"/>
      <c r="I24" s="55" t="n"/>
    </row>
    <row r="26">
      <c r="A26" s="52" t="inlineStr">
        <is>
          <t>F-DT-03 · ESPECIES CLAVE GEORREFERENCIADAS</t>
        </is>
      </c>
    </row>
    <row r="27">
      <c r="A27" s="53" t="inlineStr">
        <is>
          <t>N.o</t>
        </is>
      </c>
      <c r="B27" s="53" t="inlineStr">
        <is>
          <t>Especie</t>
        </is>
      </c>
      <c r="C27" s="53" t="inlineStr">
        <is>
          <t>Categoría</t>
        </is>
      </c>
      <c r="D27" s="53" t="inlineStr">
        <is>
          <t>Estado UICN</t>
        </is>
      </c>
      <c r="E27" s="53" t="inlineStr">
        <is>
          <t>UTM ESTE</t>
        </is>
      </c>
      <c r="F27" s="53" t="inlineStr">
        <is>
          <t>UTM NORTE</t>
        </is>
      </c>
      <c r="G27" s="53" t="inlineStr">
        <is>
          <t>N.° individuos</t>
        </is>
      </c>
      <c r="H27" s="53" t="inlineStr">
        <is>
          <t>Observación</t>
        </is>
      </c>
    </row>
    <row r="28">
      <c r="A28" s="54" t="inlineStr">
        <is>
          <t>1</t>
        </is>
      </c>
      <c r="B28" s="54" t="inlineStr">
        <is>
          <t>Hualtaco (Loxopterygium huasango)</t>
        </is>
      </c>
      <c r="C28" s="54" t="inlineStr">
        <is>
          <t>Amenazada (D.S. 043-2006-AG)</t>
        </is>
      </c>
      <c r="D28" s="54" t="inlineStr">
        <is>
          <t>CR — En Peligro Crítico</t>
        </is>
      </c>
      <c r="E28" s="59" t="n">
        <v>593669</v>
      </c>
      <c r="F28" s="59" t="n">
        <v>9428929</v>
      </c>
      <c r="G28" s="54" t="n"/>
      <c r="H28" s="54" t="inlineStr">
        <is>
          <t>D.S. 043-2006-AG: En Peligro Crítico. Individuo con rótulo de campo "Hualtaco"; determinación botánica formal por confirmar.</t>
        </is>
      </c>
    </row>
    <row r="29">
      <c r="A29" s="55" t="inlineStr">
        <is>
          <t>2</t>
        </is>
      </c>
      <c r="B29" s="55" t="inlineStr">
        <is>
          <t>Palo Santo (Bursera graveolens)</t>
        </is>
      </c>
      <c r="C29" s="55" t="inlineStr">
        <is>
          <t>Amenazada (D.S. 043-2006-AG)</t>
        </is>
      </c>
      <c r="D29" s="55" t="inlineStr">
        <is>
          <t>CR — En Peligro Crítico</t>
        </is>
      </c>
      <c r="E29" s="60" t="n">
        <v>593669</v>
      </c>
      <c r="F29" s="60" t="n">
        <v>9428926</v>
      </c>
      <c r="G29" s="55" t="n"/>
      <c r="H29" s="55" t="inlineStr">
        <is>
          <t>D.S. 043-2006-AG: En Peligro Crítico. Individuo con rótulo de campo "Palo Santo"; determinación por confirmar.</t>
        </is>
      </c>
    </row>
    <row r="30">
      <c r="A30" s="54" t="inlineStr">
        <is>
          <t>3</t>
        </is>
      </c>
      <c r="B30" s="54" t="inlineStr">
        <is>
          <t>Sapote (Colicodendron scabridum)</t>
        </is>
      </c>
      <c r="C30" s="54" t="inlineStr">
        <is>
          <t>Amenazada (D.S. 043-2006-AG)</t>
        </is>
      </c>
      <c r="D30" s="54" t="inlineStr">
        <is>
          <t>CR — En Peligro Crítico</t>
        </is>
      </c>
      <c r="E30" s="59" t="n">
        <v>593836</v>
      </c>
      <c r="F30" s="59" t="n">
        <v>9428846</v>
      </c>
      <c r="G30" s="54" t="n"/>
      <c r="H30" s="54" t="inlineStr">
        <is>
          <t>D.S. 043-2006-AG: En Peligro Crítico. Individuo con rótulo de campo "Sapote"; determinación por confirmar.</t>
        </is>
      </c>
    </row>
    <row r="31">
      <c r="A31" s="55" t="inlineStr">
        <is>
          <t>4</t>
        </is>
      </c>
      <c r="B31" s="55" t="inlineStr">
        <is>
          <t>Algarrobo (Prosopis pallida)</t>
        </is>
      </c>
      <c r="C31" s="55" t="inlineStr">
        <is>
          <t>Amenazada (D.S. 043-2006-AG)</t>
        </is>
      </c>
      <c r="D31" s="55" t="inlineStr">
        <is>
          <t>VU — Vulnerable</t>
        </is>
      </c>
      <c r="E31" s="55" t="n"/>
      <c r="F31" s="55" t="n"/>
      <c r="G31" s="55" t="n"/>
      <c r="H31" s="55" t="inlineStr">
        <is>
          <t>D.S. 043-2006-AG: Vulnerable. Reportado por la brigada; ubicación puntual y n° de individuos por determinar.</t>
        </is>
      </c>
    </row>
    <row r="32">
      <c r="A32" s="54" t="inlineStr">
        <is>
          <t>5</t>
        </is>
      </c>
      <c r="B32" s="54" t="inlineStr">
        <is>
          <t>Faique (Vachellia macracantha)</t>
        </is>
      </c>
      <c r="C32" s="54" t="inlineStr">
        <is>
          <t>Amenazada (D.S. 043-2006-AG)</t>
        </is>
      </c>
      <c r="D32" s="54" t="inlineStr">
        <is>
          <t>NT — Casi Amenazado</t>
        </is>
      </c>
      <c r="E32" s="54" t="n"/>
      <c r="F32" s="54" t="n"/>
      <c r="G32" s="54" t="n"/>
      <c r="H32" s="54" t="inlineStr">
        <is>
          <t>D.S. 043-2006-AG: Casi Amenazado. Reportado por la brigada; ubicación puntual por determinar.</t>
        </is>
      </c>
    </row>
    <row r="33">
      <c r="A33" s="55" t="inlineStr">
        <is>
          <t>6</t>
        </is>
      </c>
      <c r="B33" s="55" t="inlineStr">
        <is>
          <t>Overo (Cordia lutea)</t>
        </is>
      </c>
      <c r="C33" s="55" t="inlineStr">
        <is>
          <t>Indicadora de buen estado</t>
        </is>
      </c>
      <c r="D33" s="55" t="inlineStr">
        <is>
          <t>NE — No Evaluado</t>
        </is>
      </c>
      <c r="E33" s="55" t="n"/>
      <c r="F33" s="55" t="n"/>
      <c r="G33" s="55" t="n"/>
      <c r="H33" s="55" t="inlineStr">
        <is>
          <t>Nativa característica del bosque seco; reportada por la brigada.</t>
        </is>
      </c>
    </row>
    <row r="34">
      <c r="A34" s="54" t="inlineStr">
        <is>
          <t>7</t>
        </is>
      </c>
      <c r="B34" s="54" t="inlineStr">
        <is>
          <t>Suelda con suelda (Psittacanthus sp.)</t>
        </is>
      </c>
      <c r="C34" s="54" t="inlineStr">
        <is>
          <t>Indicadora de perturbación</t>
        </is>
      </c>
      <c r="D34" s="54" t="inlineStr">
        <is>
          <t>NE — No Evaluado</t>
        </is>
      </c>
      <c r="E34" s="59" t="n">
        <v>594074</v>
      </c>
      <c r="F34" s="59" t="n">
        <v>9428782</v>
      </c>
      <c r="G34" s="54" t="n"/>
      <c r="H34" s="54" t="inlineStr">
        <is>
          <t>Hemiparásita (Loranthaceae) sobre hospederos leñosos; indicador de estrés del arbolado. Género por confirmar.</t>
        </is>
      </c>
    </row>
    <row r="35">
      <c r="A35" s="55" t="inlineStr">
        <is>
          <t>8</t>
        </is>
      </c>
      <c r="B35" s="55" t="inlineStr">
        <is>
          <t>Bromelias epífitas (Bromeliaceae)</t>
        </is>
      </c>
      <c r="C35" s="55" t="inlineStr">
        <is>
          <t>Indicadora de buen estado</t>
        </is>
      </c>
      <c r="D35" s="55" t="inlineStr">
        <is>
          <t>NE — No Evaluado</t>
        </is>
      </c>
      <c r="E35" s="55" t="n"/>
      <c r="F35" s="55" t="n"/>
      <c r="G35" s="55" t="n"/>
      <c r="H35" s="55" t="inlineStr">
        <is>
          <t>Reportadas por la brigada; indicadoras de humedad atmosférica. Determinación por confirmar.</t>
        </is>
      </c>
    </row>
    <row r="37">
      <c r="A37" s="52" t="inlineStr">
        <is>
          <t>F-DT-04 · MATRIZ DE CAUSAS DE DEGRADACIÓN</t>
        </is>
      </c>
    </row>
    <row r="38">
      <c r="A38" s="53" t="inlineStr">
        <is>
          <t>N.o</t>
        </is>
      </c>
      <c r="B38" s="53" t="inlineStr">
        <is>
          <t>Causa</t>
        </is>
      </c>
      <c r="C38" s="53" t="inlineStr">
        <is>
          <t>Presencia</t>
        </is>
      </c>
      <c r="D38" s="53" t="inlineStr">
        <is>
          <t>Intensidad</t>
        </is>
      </c>
      <c r="E38" s="53" t="inlineStr">
        <is>
          <t>Extensión</t>
        </is>
      </c>
      <c r="F38" s="53" t="inlineStr">
        <is>
          <t>Antigüedad</t>
        </is>
      </c>
      <c r="G38" s="53" t="inlineStr">
        <is>
          <t>Evidencia</t>
        </is>
      </c>
    </row>
    <row r="39">
      <c r="A39" s="54" t="inlineStr">
        <is>
          <t>1</t>
        </is>
      </c>
      <c r="B39" s="54" t="inlineStr">
        <is>
          <t>Sobrepastoreo (caprino/vacuno)</t>
        </is>
      </c>
      <c r="C39" s="54" t="inlineStr">
        <is>
          <t>Sí</t>
        </is>
      </c>
      <c r="D39" s="54" t="inlineStr">
        <is>
          <t>Ligera</t>
        </is>
      </c>
      <c r="E39" s="54" t="inlineStr"/>
      <c r="F39" s="54" t="inlineStr"/>
      <c r="G39" s="54" t="inlineStr">
        <is>
          <t>Sendas y ramoneo en estrato arbustivo; sin ganado observado durante la visita. Carga ganadera y extensión: por verificar.</t>
        </is>
      </c>
    </row>
    <row r="40">
      <c r="A40" s="55" t="inlineStr">
        <is>
          <t>2</t>
        </is>
      </c>
      <c r="B40" s="55" t="inlineStr">
        <is>
          <t>Tala para leña</t>
        </is>
      </c>
      <c r="C40" s="55" t="inlineStr">
        <is>
          <t>Sí</t>
        </is>
      </c>
      <c r="D40" s="55" t="inlineStr">
        <is>
          <t>Fuerte</t>
        </is>
      </c>
      <c r="E40" s="55" t="inlineStr"/>
      <c r="F40" s="55" t="inlineStr"/>
      <c r="G40" s="55" t="inlineStr">
        <is>
          <t>Tocones de corte en el interior del bloque (594 078 E / 9 428 776 N) Y trozas de madera cortada acopiadas como combustible en ladrilleras artesanales colindantes (593 841 E / 9 431 490 N). Demanda comercial, no de autoconsumo. Volumen, procedencia y especies aprovechadas: por verificar.</t>
        </is>
      </c>
    </row>
    <row r="41">
      <c r="A41" s="54" t="inlineStr">
        <is>
          <t>3</t>
        </is>
      </c>
      <c r="B41" s="54" t="inlineStr">
        <is>
          <t>Tala para carbón</t>
        </is>
      </c>
      <c r="C41" s="54" t="inlineStr">
        <is>
          <t>No</t>
        </is>
      </c>
      <c r="D41" s="54" t="inlineStr"/>
      <c r="E41" s="54" t="inlineStr"/>
      <c r="F41" s="54" t="inlineStr"/>
      <c r="G41" s="54" t="inlineStr">
        <is>
          <t>Sin evidencia directa (hornos o carboneras) en el recorrido; por verificar.</t>
        </is>
      </c>
    </row>
    <row r="42">
      <c r="A42" s="55" t="inlineStr">
        <is>
          <t>4</t>
        </is>
      </c>
      <c r="B42" s="55" t="inlineStr">
        <is>
          <t>Tala para madera</t>
        </is>
      </c>
      <c r="C42" s="55" t="inlineStr">
        <is>
          <t>No</t>
        </is>
      </c>
      <c r="D42" s="55" t="inlineStr"/>
      <c r="E42" s="55" t="inlineStr"/>
      <c r="F42" s="55" t="inlineStr"/>
      <c r="G42" s="55" t="inlineStr">
        <is>
          <t>Sin evidencia directa de aprovechamiento maderable en el recorrido; por verificar.</t>
        </is>
      </c>
    </row>
    <row r="43">
      <c r="A43" s="54" t="inlineStr">
        <is>
          <t>5</t>
        </is>
      </c>
      <c r="B43" s="54" t="inlineStr">
        <is>
          <t>Quema (renovación de pastos)</t>
        </is>
      </c>
      <c r="C43" s="54" t="inlineStr">
        <is>
          <t>No</t>
        </is>
      </c>
      <c r="D43" s="54" t="inlineStr"/>
      <c r="E43" s="54" t="inlineStr"/>
      <c r="F43" s="54" t="inlineStr"/>
      <c r="G43" s="54" t="inlineStr">
        <is>
          <t>Sin evidencia de quema de pastos en el área recorrida.</t>
        </is>
      </c>
    </row>
    <row r="44">
      <c r="A44" s="55" t="inlineStr">
        <is>
          <t>6</t>
        </is>
      </c>
      <c r="B44" s="55" t="inlineStr">
        <is>
          <t>Quema accidental / Incendio</t>
        </is>
      </c>
      <c r="C44" s="55" t="inlineStr">
        <is>
          <t>No</t>
        </is>
      </c>
      <c r="D44" s="55" t="inlineStr"/>
      <c r="E44" s="55" t="inlineStr"/>
      <c r="F44" s="55" t="inlineStr"/>
      <c r="G44" s="55" t="inlineStr">
        <is>
          <t>Sin evidencia de incendios recientes en el área recorrida.</t>
        </is>
      </c>
    </row>
    <row r="45">
      <c r="A45" s="54" t="inlineStr">
        <is>
          <t>7</t>
        </is>
      </c>
      <c r="B45" s="54" t="inlineStr">
        <is>
          <t>Cambio de uso a agricultura</t>
        </is>
      </c>
      <c r="C45" s="54" t="inlineStr">
        <is>
          <t>Sí</t>
        </is>
      </c>
      <c r="D45" s="54" t="inlineStr">
        <is>
          <t>Ligera</t>
        </is>
      </c>
      <c r="E45" s="54" t="inlineStr">
        <is>
          <t>1</t>
        </is>
      </c>
      <c r="F45" s="54" t="inlineStr"/>
      <c r="G45" s="54" t="inlineStr">
        <is>
          <t>Zona agrícola: 4,97 ha (1,1 % del bloque) según Reporte de Ecosistemas por Bloques (MINAM).</t>
        </is>
      </c>
    </row>
    <row r="46">
      <c r="A46" s="55" t="inlineStr">
        <is>
          <t>8</t>
        </is>
      </c>
      <c r="B46" s="55" t="inlineStr">
        <is>
          <t>Cambio de uso a pastoreo</t>
        </is>
      </c>
      <c r="C46" s="55" t="inlineStr">
        <is>
          <t>No</t>
        </is>
      </c>
      <c r="D46" s="55" t="inlineStr"/>
      <c r="E46" s="55" t="inlineStr"/>
      <c r="F46" s="55" t="inlineStr"/>
      <c r="G46" s="55" t="inlineStr">
        <is>
          <t>Sin evidencia de conversión a pastos cultivados en el área recorrida.</t>
        </is>
      </c>
    </row>
    <row r="47">
      <c r="A47" s="54" t="inlineStr">
        <is>
          <t>9</t>
        </is>
      </c>
      <c r="B47" s="54" t="inlineStr">
        <is>
          <t>Expansión urbana / vial</t>
        </is>
      </c>
      <c r="C47" s="54" t="inlineStr">
        <is>
          <t>Sí</t>
        </is>
      </c>
      <c r="D47" s="54" t="inlineStr">
        <is>
          <t>Ligera</t>
        </is>
      </c>
      <c r="E47" s="54" t="inlineStr"/>
      <c r="F47" s="54" t="inlineStr"/>
      <c r="G47" s="54" t="inlineStr">
        <is>
          <t>Vías PE-1N y PI-108 y trocha bordean el bloque; CC.PP. Vicús Santa Rosa, Vicús La Merced, Vicús Linderos y Huasimal colindantes; cerco de propiedad privada en el lindero (594 279 E / 9 430 798 N).</t>
        </is>
      </c>
    </row>
    <row r="48">
      <c r="A48" s="55" t="inlineStr">
        <is>
          <t>10</t>
        </is>
      </c>
      <c r="B48" s="55" t="inlineStr">
        <is>
          <t>Minería informal</t>
        </is>
      </c>
      <c r="C48" s="55" t="inlineStr">
        <is>
          <t>No</t>
        </is>
      </c>
      <c r="D48" s="55" t="inlineStr"/>
      <c r="E48" s="55" t="inlineStr"/>
      <c r="F48" s="55" t="inlineStr"/>
      <c r="G48" s="55" t="inlineStr">
        <is>
          <t>Sin evidencia; bloque sin concesiones mineras activas (filtro de exclusión aplicado en mesolocalización).</t>
        </is>
      </c>
    </row>
    <row r="49">
      <c r="A49" s="54" t="inlineStr">
        <is>
          <t>11</t>
        </is>
      </c>
      <c r="B49" s="54" t="inlineStr">
        <is>
          <t>Extracción de áridos (cauces)</t>
        </is>
      </c>
      <c r="C49" s="54" t="inlineStr">
        <is>
          <t>No</t>
        </is>
      </c>
      <c r="D49" s="54" t="inlineStr"/>
      <c r="E49" s="54" t="inlineStr"/>
      <c r="F49" s="54" t="inlineStr"/>
      <c r="G49" s="54" t="inlineStr">
        <is>
          <t>Sin evidencia de extracción de áridos en cauces. Se observan excavaciones de suelo/arcilla y acopio de agregados asociados a las ladrilleras colindantes (ver causa 16 "Otro"); por verificar.</t>
        </is>
      </c>
    </row>
    <row r="50">
      <c r="A50" s="55" t="inlineStr">
        <is>
          <t>12</t>
        </is>
      </c>
      <c r="B50" s="55" t="inlineStr">
        <is>
          <t>Especies invasoras</t>
        </is>
      </c>
      <c r="C50" s="55" t="inlineStr">
        <is>
          <t>No</t>
        </is>
      </c>
      <c r="D50" s="55" t="inlineStr"/>
      <c r="E50" s="55" t="inlineStr"/>
      <c r="F50" s="55" t="inlineStr"/>
      <c r="G50" s="55" t="inlineStr">
        <is>
          <t>No se observaron especies exóticas ni invasoras en el área recorrida.</t>
        </is>
      </c>
    </row>
    <row r="51">
      <c r="A51" s="54" t="inlineStr">
        <is>
          <t>13</t>
        </is>
      </c>
      <c r="B51" s="54" t="inlineStr">
        <is>
          <t>Erosión natural severa</t>
        </is>
      </c>
      <c r="C51" s="54" t="inlineStr">
        <is>
          <t>Sí</t>
        </is>
      </c>
      <c r="D51" s="54" t="inlineStr">
        <is>
          <t>Ligera</t>
        </is>
      </c>
      <c r="E51" s="54" t="inlineStr"/>
      <c r="F51" s="54" t="inlineStr"/>
      <c r="G51" s="54" t="inlineStr">
        <is>
          <t>Escorrentía concentrada y socavamiento en quebrada estacional de lecho pedregoso; raíces expuestas y pedregosidad superficial.</t>
        </is>
      </c>
    </row>
    <row r="52">
      <c r="A52" s="55" t="inlineStr">
        <is>
          <t>14</t>
        </is>
      </c>
      <c r="B52" s="55" t="inlineStr">
        <is>
          <t>Sequía prolongada / CC</t>
        </is>
      </c>
      <c r="C52" s="55" t="inlineStr">
        <is>
          <t>Sí</t>
        </is>
      </c>
      <c r="D52" s="55" t="inlineStr">
        <is>
          <t>Moderada</t>
        </is>
      </c>
      <c r="E52" s="55" t="inlineStr"/>
      <c r="F52" s="55" t="inlineStr"/>
      <c r="G52" s="55" t="inlineStr">
        <is>
          <t>Estrés hídrico estacional evidente (defoliación, herbáceas secas); MSAVI 2024 = 0,363. Tendencia de degradación (TAU/NDVI multitemporal) por confirmar.</t>
        </is>
      </c>
    </row>
    <row r="53">
      <c r="A53" s="54" t="inlineStr">
        <is>
          <t>15</t>
        </is>
      </c>
      <c r="B53" s="54" t="inlineStr">
        <is>
          <t>Plagas o enfermedades forestales</t>
        </is>
      </c>
      <c r="C53" s="54" t="inlineStr">
        <is>
          <t>Sí</t>
        </is>
      </c>
      <c r="D53" s="54" t="inlineStr">
        <is>
          <t>Ligera</t>
        </is>
      </c>
      <c r="E53" s="54" t="inlineStr"/>
      <c r="F53" s="54" t="inlineStr"/>
      <c r="G53" s="54" t="inlineStr">
        <is>
          <t>Daño foliar por insectos y hemiparásita "suelda con suelda" (Psittacanthus sp.) sobre hospederos leñosos. Incidencia por verificar.</t>
        </is>
      </c>
    </row>
    <row r="54">
      <c r="A54" s="55" t="inlineStr">
        <is>
          <t>16</t>
        </is>
      </c>
      <c r="B54" s="55" t="inlineStr">
        <is>
          <t>Otro</t>
        </is>
      </c>
      <c r="C54" s="55" t="inlineStr">
        <is>
          <t>Sí</t>
        </is>
      </c>
      <c r="D54" s="55" t="inlineStr">
        <is>
          <t>Fuerte</t>
        </is>
      </c>
      <c r="E54" s="55" t="inlineStr"/>
      <c r="F54" s="55" t="inlineStr"/>
      <c r="G54" s="55" t="inlineStr">
        <is>
          <t>LADRILLERAS ARTESANALES COLINDANTES (demanda de leña para la cocción de ladrillo). Ladrilleras artesanales colindantes al sector norte del bloque: batería de hornos de adobe/ladrillo (593 766 E / 9 431 513 N, 12:03 h), horno con cámara de combustión (593 777 E / 9 431 490 N) y acopio de ladrillo cocido con TROZAS DE MADERA CORTADA como combustible (593 841 E / 9 431 490 N). Constituyen un motor extractivo comercial de biomasa leñosa sobre el bosque seco. N° de hornos, volumen de producción, consumo de leña, formalización y ubicación respecto del polígono: POR VERIFICAR.</t>
        </is>
      </c>
    </row>
    <row r="56">
      <c r="A56" s="52" t="inlineStr">
        <is>
          <t>F-DT-04 · INDICADORES CUANTITATIVOS</t>
        </is>
      </c>
    </row>
    <row r="57">
      <c r="A57" s="53" t="inlineStr">
        <is>
          <t>N.o</t>
        </is>
      </c>
      <c r="B57" s="53" t="inlineStr">
        <is>
          <t>Indicador</t>
        </is>
      </c>
      <c r="C57" s="53" t="inlineStr">
        <is>
          <t>Unidad</t>
        </is>
      </c>
      <c r="D57" s="53" t="inlineStr">
        <is>
          <t>Valor</t>
        </is>
      </c>
      <c r="E57" s="53" t="inlineStr">
        <is>
          <t>Fuente</t>
        </is>
      </c>
      <c r="F57" s="53" t="inlineStr">
        <is>
          <t>Umbral</t>
        </is>
      </c>
      <c r="G57" s="53" t="inlineStr">
        <is>
          <t>Nivel</t>
        </is>
      </c>
    </row>
    <row r="58">
      <c r="A58" s="54" t="inlineStr">
        <is>
          <t>1</t>
        </is>
      </c>
      <c r="B58" s="54" t="inlineStr">
        <is>
          <t>Cobertura vegetal total</t>
        </is>
      </c>
      <c r="C58" s="54" t="inlineStr">
        <is>
          <t>%</t>
        </is>
      </c>
      <c r="D58" s="54" t="inlineStr">
        <is>
          <t>70</t>
        </is>
      </c>
      <c r="E58" s="54" t="inlineStr">
        <is>
          <t>Estimación ocular de campo + MSAVI 2024 (Sentinel-2, 10 m)</t>
        </is>
      </c>
      <c r="F58" s="54" t="inlineStr">
        <is>
          <t>&gt;60% bueno; 30-60% medio; &lt;30% malo</t>
        </is>
      </c>
      <c r="G58" s="54" t="inlineStr">
        <is>
          <t>Alto</t>
        </is>
      </c>
    </row>
    <row r="59">
      <c r="A59" s="55" t="inlineStr">
        <is>
          <t>2</t>
        </is>
      </c>
      <c r="B59" s="55" t="inlineStr">
        <is>
          <t>Porcentaje de suelo desnudo</t>
        </is>
      </c>
      <c r="C59" s="55" t="inlineStr">
        <is>
          <t>%</t>
        </is>
      </c>
      <c r="D59" s="55" t="inlineStr">
        <is>
          <t>15</t>
        </is>
      </c>
      <c r="E59" s="55" t="inlineStr">
        <is>
          <t>Estimación ocular de campo</t>
        </is>
      </c>
      <c r="F59" s="55" t="inlineStr">
        <is>
          <t>&lt;10% bueno; 10-30% medio; &gt;30% malo</t>
        </is>
      </c>
      <c r="G59" s="55" t="inlineStr">
        <is>
          <t>Medio</t>
        </is>
      </c>
    </row>
    <row r="60">
      <c r="A60" s="54" t="inlineStr">
        <is>
          <t>3</t>
        </is>
      </c>
      <c r="B60" s="54" t="inlineStr">
        <is>
          <t>Densidad de cárcavas</t>
        </is>
      </c>
      <c r="C60" s="54" t="inlineStr">
        <is>
          <t>N°/ha</t>
        </is>
      </c>
      <c r="D60" s="54" t="inlineStr">
        <is>
          <t>0</t>
        </is>
      </c>
      <c r="E60" s="54" t="inlineStr">
        <is>
          <t>Reconocimiento de campo 02/07/2026 (sin cárcavas registradas)</t>
        </is>
      </c>
      <c r="F60" s="54" t="inlineStr">
        <is>
          <t>0 nulo; 1-3 medio; &gt;3 alto</t>
        </is>
      </c>
      <c r="G60" s="54" t="inlineStr">
        <is>
          <t>Bajo</t>
        </is>
      </c>
    </row>
    <row r="61">
      <c r="A61" s="55" t="inlineStr">
        <is>
          <t>4</t>
        </is>
      </c>
      <c r="B61" s="55" t="inlineStr">
        <is>
          <t>Presencia de especies invasoras</t>
        </is>
      </c>
      <c r="C61" s="55" t="inlineStr">
        <is>
          <t>% área</t>
        </is>
      </c>
      <c r="D61" s="55" t="inlineStr">
        <is>
          <t>0</t>
        </is>
      </c>
      <c r="E61" s="55" t="inlineStr">
        <is>
          <t>Estimación ocular de campo (sin exóticas observadas)</t>
        </is>
      </c>
      <c r="F61" s="55" t="inlineStr">
        <is>
          <t>&lt;5% bueno; 5-20% medio; &gt;20% alto</t>
        </is>
      </c>
      <c r="G61" s="55" t="inlineStr">
        <is>
          <t>Bajo</t>
        </is>
      </c>
    </row>
    <row r="62">
      <c r="A62" s="54" t="inlineStr">
        <is>
          <t>5</t>
        </is>
      </c>
      <c r="B62" s="54" t="inlineStr">
        <is>
          <t>Carga ganadera estimada</t>
        </is>
      </c>
      <c r="C62" s="54" t="inlineStr">
        <is>
          <t>UA/ha</t>
        </is>
      </c>
      <c r="D62" s="54" t="inlineStr"/>
      <c r="E62" s="54" t="inlineStr">
        <is>
          <t>Por determinar — requiere censo pecuario / entrevista comunal</t>
        </is>
      </c>
      <c r="F62" s="54" t="inlineStr">
        <is>
          <t>Según tipo de ecosistema</t>
        </is>
      </c>
      <c r="G62" s="54" t="inlineStr"/>
    </row>
    <row r="63">
      <c r="A63" s="55" t="inlineStr">
        <is>
          <t>6</t>
        </is>
      </c>
      <c r="B63" s="55" t="inlineStr">
        <is>
          <t>Frecuencia de quemas últimos 5 años</t>
        </is>
      </c>
      <c r="C63" s="55" t="inlineStr">
        <is>
          <t>N°</t>
        </is>
      </c>
      <c r="D63" s="55" t="inlineStr"/>
      <c r="E63" s="55" t="inlineStr">
        <is>
          <t>Por determinar — requiere serie de focos de calor / entrevista comunal</t>
        </is>
      </c>
      <c r="F63" s="55" t="inlineStr">
        <is>
          <t>0 nulo; 1-2 medio; &gt;2 alto</t>
        </is>
      </c>
      <c r="G63" s="55" t="inlineStr"/>
    </row>
    <row r="64">
      <c r="A64" s="54" t="inlineStr">
        <is>
          <t>7</t>
        </is>
      </c>
      <c r="B64" s="54" t="inlineStr">
        <is>
          <t>% área con pendiente &gt;50%</t>
        </is>
      </c>
      <c r="C64" s="54" t="inlineStr">
        <is>
          <t>%</t>
        </is>
      </c>
      <c r="D64" s="54" t="inlineStr"/>
      <c r="E64" s="54" t="inlineStr">
        <is>
          <t>Por determinar — requiere cálculo con DEM (perfil de referencia: pendiente media 27,0 %, máxima 47,2 %)</t>
        </is>
      </c>
      <c r="F64" s="54" t="inlineStr">
        <is>
          <t>Factor de susceptibilidad</t>
        </is>
      </c>
      <c r="G64" s="54" t="inlineStr"/>
    </row>
    <row r="65">
      <c r="A65" s="55" t="inlineStr">
        <is>
          <t>8</t>
        </is>
      </c>
      <c r="B65" s="55" t="inlineStr">
        <is>
          <t>Distancia a vía vecinal más cercana</t>
        </is>
      </c>
      <c r="C65" s="55" t="inlineStr">
        <is>
          <t>m</t>
        </is>
      </c>
      <c r="D65" s="55" t="inlineStr">
        <is>
          <t>0</t>
        </is>
      </c>
      <c r="E65" s="55" t="inlineStr">
        <is>
          <t>Google Earth + red vial MTC: PE-1N / PI-108 y trocha bordean el bloque</t>
        </is>
      </c>
      <c r="F65" s="55" t="inlineStr">
        <is>
          <t>A menor distancia → mayor presión</t>
        </is>
      </c>
      <c r="G65" s="55" t="inlineStr">
        <is>
          <t>Alto</t>
        </is>
      </c>
    </row>
    <row r="67">
      <c r="A67" s="52" t="inlineStr">
        <is>
          <t>F-DT-05 · FUENTES DE AGUA INVENTARIADAS</t>
        </is>
      </c>
    </row>
    <row r="68">
      <c r="A68" s="53" t="inlineStr">
        <is>
          <t>N.o</t>
        </is>
      </c>
      <c r="B68" s="53" t="inlineStr">
        <is>
          <t>Tipo de fuente</t>
        </is>
      </c>
      <c r="C68" s="53" t="inlineStr">
        <is>
          <t>UTM ESTE</t>
        </is>
      </c>
      <c r="D68" s="53" t="inlineStr">
        <is>
          <t>UTM NORTE</t>
        </is>
      </c>
      <c r="E68" s="53" t="inlineStr">
        <is>
          <t>Régimen</t>
        </is>
      </c>
      <c r="F68" s="53" t="inlineStr">
        <is>
          <t>Calidad</t>
        </is>
      </c>
      <c r="G68" s="53" t="inlineStr">
        <is>
          <t>Distancia (m)</t>
        </is>
      </c>
      <c r="H68" s="53" t="inlineStr">
        <is>
          <t>Uso / observación</t>
        </is>
      </c>
    </row>
    <row r="69">
      <c r="A69" s="54" t="inlineStr">
        <is>
          <t>1</t>
        </is>
      </c>
      <c r="B69" s="54" t="inlineStr">
        <is>
          <t>Quebrada estacional</t>
        </is>
      </c>
      <c r="C69" s="59" t="n">
        <v>594053</v>
      </c>
      <c r="D69" s="59" t="n">
        <v>9428772</v>
      </c>
      <c r="E69" s="54" t="inlineStr">
        <is>
          <t>Estacional (lluvias)</t>
        </is>
      </c>
      <c r="F69" s="54" t="inlineStr">
        <is>
          <t>No evaluable</t>
        </is>
      </c>
      <c r="G69" s="61" t="n">
        <v>0</v>
      </c>
      <c r="H69" s="54" t="inlineStr">
        <is>
          <t>Dentro del bloque. Cauce seco al momento de la visita (11:24 h); lecho pedregoso con evidencia de arrastre de material grueso y socavamiento. Sin uso observado.</t>
        </is>
      </c>
    </row>
    <row r="72">
      <c r="A72" s="52" t="inlineStr">
        <is>
          <t>OBSERVACIONES DEL EVALUADOR POR FICHA</t>
        </is>
      </c>
    </row>
    <row r="73">
      <c r="A73" s="53" t="inlineStr">
        <is>
          <t>Ficha</t>
        </is>
      </c>
      <c r="B73" s="53" t="inlineStr">
        <is>
          <t>Observación registrada en campo</t>
        </is>
      </c>
    </row>
    <row r="74">
      <c r="A74" s="54" t="inlineStr">
        <is>
          <t>F-DT-01</t>
        </is>
      </c>
      <c r="B74" s="54" t="inlineStr">
        <is>
          <t>Verificación de campo del 02/07/2026 (recorrido de reconocimiento, flanco oriental del bloque). ALTITUD GPS: la aplicación de campo no registró msnm; el perfil de elevación de Google Earth sobre el recorrido (1 km) arroja cotas de 111–385 msnm, desnivel 274 m, pendiente media 27,0 % y máxima 47,2 % — la altitud puntual del punto de muestreo queda POR DETERMINAR con DEM. PUNTO DE MUESTREO: 593 952 E / 9 428 843 N (foto panorámica de las 10:01 h, azimut 293° NW). CENTROIDE DEL BLOQUE (catálogo Bloques_V5): 593 246 E / 9 430 139 N. FORMA DEL TERRENO, POSICIÓN Y EXPOSICIÓN: clasificación por juicio experto a partir de imagen satelital, perfil de elevación y azimut de las fotografías (cámara orientada al O–NW, ladera que desciende al E hacia el valle del río Piura); requiere confirmación con DEM. No se observaron remociones en masa activas, escarpes activos, reptación ni deslizamientos antiguos en el área recorrida. Afloramientos rocosos y pedregosidad superficial abundantes. Coordenadas UTM WGS84 Zona 17S (validadas: E 593 560–594 279; N 9 428 765–9 430 798). HALLAZGO ADICIONAL (registro de las 12:03 h): Ladrilleras artesanales colindantes al sector norte del bloque: batería de hornos de adobe/ladrillo (593 766 E / 9 431 513 N, 12:03 h), horno con cámara de combustión (593 777 E / 9 431 490 N) y acopio de ladrillo cocido con TROZAS DE MADERA CORTADA como combustible (593 841 E / 9 431 490 N). La ubicación exacta de los hornos respecto del polígono del bloque (dentro o fuera del límite) queda POR VERIFICAR con el shapefile oficial; se registran como colindantes/perimetrales.</t>
        </is>
      </c>
    </row>
    <row r="75">
      <c r="A75" s="55" t="inlineStr">
        <is>
          <t>F-DT-02</t>
        </is>
      </c>
      <c r="B75" s="55" t="inlineStr">
        <is>
          <t>No se registraron cárcavas ni surcos activos durante el recorrido de reconocimiento (N° = 0); en consecuencia, la longitud total, el % de bloque afectado y el patrón de cárcavas no aplican / quedan en cero. La erosión predominante es LAMINAR LIGERA, atenuada por la cobertura de hojarasca del bosque seco caducifolio (foto 593 560 E / 9 428 894 N, 10:51 h). SOCAVAMIENTO DE CAUCE: SÍ — quebrada estacional con lecho pedregoso y evidencia de arrastre de material grueso (594 053 E / 9 428 772 N, 11:24 h, azimut 297° NW). Se observan raíces expuestas y pedregosidad superficial asociadas a escorrentía concentrada. La compactación por pisoteo se marca "No" por ausencia de ganado y de huellas claras durante la visita; la presión ganadera caprina del sector queda POR VERIFICAR. La erosión laminar (15 %) es ESTIMACIÓN OCULAR. Dimensiones instrumentales de surcos/cárcavas, longitud acumulada y densidad por hectárea quedan pendientes de levantamiento por el especialista de Infraestructura Marrón. Nivel de erosión: clasificación por JUICIO EXPERTO, sujeta a revisión.</t>
        </is>
      </c>
    </row>
    <row r="76">
      <c r="A76" s="54" t="inlineStr">
        <is>
          <t>F-DT-04</t>
        </is>
      </c>
      <c r="B76" s="54" t="inlineStr">
        <is>
          <t>Extensión (% del bloque) y antigüedad (años) de las causas quedan POR DETERMINAR: no se levantaron en el reconocimiento y no se estiman para no fabricar datos. Los indicadores 5 (carga ganadera), 6 (frecuencia de quemas) y 7 (% área con pendiente &gt;50 %) quedan POR DETERMINAR y deben cuantificarse en gabinete (DEM) y con información comunal. Las presencias marcadas "No" corresponden a ausencia de evidencia en el área recorrida, no a ausencia comprobada en la totalidad de las 448,80 ha del bloque. Velocidad, reversibilidad y urgencia: valoraciones por JUICIO EXPERTO sujetas a revisión. ACTUALIZACIÓN: la verificación de ladrilleras artesanales colindantes con trozas de madera acopiadas como combustible eleva la valoración de la causa "Tala para leña" de Moderada a FUERTE y la URGENCIA DE INTERVENCIÓN de Media a ALTA (juicio experto), al tratarse de una extracción comercial y no de subsistencia. La velocidad de degradación se mantiene en "Moderada" a falta de evidencia multitemporal; debe reevaluarse con la serie NDVI/TAU. N° de hornos, consumo anual de leña, especies aprovechadas, formalización y ubicación de las ladrilleras respecto del polígono del bloque quedan POR VERIFICAR.</t>
        </is>
      </c>
    </row>
    <row r="77">
      <c r="A77" s="55" t="inlineStr">
        <is>
          <t>F-DT-05</t>
        </is>
      </c>
      <c r="B77" s="55" t="inlineStr">
        <is>
          <t>Se registró una (1) fuente de agua: quebrada estacional dentro del bloque (594 053 E / 9 428 772 N). El régimen "Estacional (lluvias)" y la ausencia de manantiales son observaciones de una visita en época seca; requieren verificación en época húmeda. Calidad aparente: NO EVALUABLE (cauce seco). Distancia a la captación poblacional más cercana y nombre de la JASS: POR DETERMINAR. Tiempos de viaje desde la capital distrital (Chulucanas) y provincial, señal y operador celular y disponibilidad de alojamiento NO SE REGISTRARON en campo y se dejan en blanco (no se estiman). RONDA CAMPESINA: se marca "No" por no haberse requerido autorización durante el recorrido; el contacto y la eventual exigencia formal quedan POR VERIFICAR. El bloque presenta cerco de propiedad privada en su lindero norte (594 279 E / 9 430 798 N, 11:57 h): la aceptación de los titulares prediales queda POR VERIFICAR (Paso 6 del AdR-CCC territorial). El bloque es zona de origen y recarga de la microcuenca C1096-Q9557. ACCESO Y USO DE LA VÍA: la trocha carrozable del sector norte es utilizada por las ladrilleras artesanales colindantes (593 766–593 841 E / 9 431 490–9 431 513 N) para el transporte de ladrillo y de leña, lo que facilita el acceso al bloque pero incrementa la presión extractiva sobre el bosque seco.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44" customWidth="1" min="1" max="1"/>
    <col width="18" customWidth="1" min="2" max="2"/>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GRÁFICOS DE LA INTEGRACIÓN — BLOQUE M27B1</t>
        </is>
      </c>
    </row>
    <row r="7">
      <c r="A7" s="52" t="inlineStr">
        <is>
          <t>Hechos declarados por fuente</t>
        </is>
      </c>
    </row>
    <row r="8">
      <c r="A8" s="53" t="inlineStr">
        <is>
          <t>Fuente</t>
        </is>
      </c>
      <c r="B8" s="53" t="inlineStr">
        <is>
          <t>Hechos</t>
        </is>
      </c>
    </row>
    <row r="9">
      <c r="A9" s="54" t="inlineStr">
        <is>
          <t>Dato de campo</t>
        </is>
      </c>
      <c r="B9" s="54" t="n">
        <v>59</v>
      </c>
    </row>
    <row r="10">
      <c r="A10" s="55" t="inlineStr">
        <is>
          <t>Gabinete (GIS / teledetección)</t>
        </is>
      </c>
      <c r="B10" s="55" t="n">
        <v>22</v>
      </c>
    </row>
    <row r="11">
      <c r="A11" s="54" t="inlineStr">
        <is>
          <t>Fuente oficial</t>
        </is>
      </c>
      <c r="B11" s="54" t="n">
        <v>14</v>
      </c>
    </row>
    <row r="28">
      <c r="A28" s="52" t="inlineStr">
        <is>
          <t>Estado del cruce entre fuentes</t>
        </is>
      </c>
    </row>
    <row r="29">
      <c r="A29" s="53" t="inlineStr">
        <is>
          <t>Estado</t>
        </is>
      </c>
      <c r="B29" s="53" t="inlineStr">
        <is>
          <t>Hechos</t>
        </is>
      </c>
    </row>
    <row r="30">
      <c r="A30" s="54" t="inlineStr">
        <is>
          <t>CONFORME</t>
        </is>
      </c>
      <c r="B30" s="54" t="n">
        <v>94</v>
      </c>
    </row>
    <row r="31">
      <c r="A31" s="55" t="inlineStr">
        <is>
          <t>COMPLEMENTADO</t>
        </is>
      </c>
      <c r="B31" s="55" t="n">
        <v>0</v>
      </c>
    </row>
    <row r="32">
      <c r="A32" s="54" t="inlineStr">
        <is>
          <t>ACTUALIZADO</t>
        </is>
      </c>
      <c r="B32" s="54" t="n">
        <v>1</v>
      </c>
    </row>
    <row r="33">
      <c r="A33" s="55" t="inlineStr">
        <is>
          <t>DISCREPANTE</t>
        </is>
      </c>
      <c r="B33" s="55" t="n">
        <v>0</v>
      </c>
    </row>
    <row r="34">
      <c r="A34" s="54" t="inlineStr">
        <is>
          <t>PENDIENTE</t>
        </is>
      </c>
      <c r="B34" s="54" t="n">
        <v>19</v>
      </c>
    </row>
    <row r="51">
      <c r="A51" s="52" t="inlineStr">
        <is>
          <t>Cobertura por estrato — campo (%)</t>
        </is>
      </c>
    </row>
    <row r="52">
      <c r="A52" s="53" t="inlineStr">
        <is>
          <t>Estrato</t>
        </is>
      </c>
      <c r="B52" s="53" t="inlineStr">
        <is>
          <t>% del área</t>
        </is>
      </c>
    </row>
    <row r="53">
      <c r="A53" s="54" t="inlineStr">
        <is>
          <t>Dosel</t>
        </is>
      </c>
      <c r="B53" s="59" t="n">
        <v>20</v>
      </c>
    </row>
    <row r="54">
      <c r="A54" s="55" t="inlineStr">
        <is>
          <t>Arbustiva</t>
        </is>
      </c>
      <c r="B54" s="60" t="n">
        <v>55</v>
      </c>
    </row>
    <row r="55">
      <c r="A55" s="54" t="inlineStr">
        <is>
          <t>Herbácea</t>
        </is>
      </c>
      <c r="B55" s="59" t="n">
        <v>25</v>
      </c>
    </row>
    <row r="56">
      <c r="A56" s="55" t="inlineStr">
        <is>
          <t>Hojarasca</t>
        </is>
      </c>
      <c r="B56" s="60" t="n">
        <v>40</v>
      </c>
    </row>
    <row r="57">
      <c r="A57" s="54" t="inlineStr">
        <is>
          <t>Suelo desnudo</t>
        </is>
      </c>
      <c r="B57" s="59" t="n">
        <v>15</v>
      </c>
    </row>
    <row r="74">
      <c r="A74" s="52" t="inlineStr">
        <is>
          <t>Causas activas de degradación (F-DT-04)</t>
        </is>
      </c>
    </row>
    <row r="75">
      <c r="A75" s="53" t="inlineStr">
        <is>
          <t>Causa</t>
        </is>
      </c>
      <c r="B75" s="53" t="inlineStr">
        <is>
          <t>Intensidad (1 ligera - 4 muy fuerte)</t>
        </is>
      </c>
    </row>
    <row r="76">
      <c r="A76" s="54" t="inlineStr">
        <is>
          <t>Otro</t>
        </is>
      </c>
      <c r="B76" s="54" t="n">
        <v>3</v>
      </c>
    </row>
    <row r="77">
      <c r="A77" s="55" t="inlineStr">
        <is>
          <t>Tala para leña</t>
        </is>
      </c>
      <c r="B77" s="55" t="n">
        <v>3</v>
      </c>
    </row>
    <row r="78">
      <c r="A78" s="54" t="inlineStr">
        <is>
          <t>Sequía prolongada / CC</t>
        </is>
      </c>
      <c r="B78" s="54" t="n">
        <v>2</v>
      </c>
    </row>
    <row r="79">
      <c r="A79" s="55" t="inlineStr">
        <is>
          <t>Cambio de uso a agricultura</t>
        </is>
      </c>
      <c r="B79" s="55" t="n">
        <v>1</v>
      </c>
    </row>
    <row r="80">
      <c r="A80" s="54" t="inlineStr">
        <is>
          <t>Erosión natural severa</t>
        </is>
      </c>
      <c r="B80" s="54" t="n">
        <v>1</v>
      </c>
    </row>
    <row r="81">
      <c r="A81" s="55" t="inlineStr">
        <is>
          <t>Expansión urbana / vial</t>
        </is>
      </c>
      <c r="B81" s="55" t="n">
        <v>1</v>
      </c>
    </row>
    <row r="82">
      <c r="A82" s="54" t="inlineStr">
        <is>
          <t>Plagas o enfermedades forestales</t>
        </is>
      </c>
      <c r="B82" s="54" t="n">
        <v>1</v>
      </c>
    </row>
    <row r="83">
      <c r="A83" s="55" t="inlineStr">
        <is>
          <t>Sobrepastoreo (caprino/vacuno)</t>
        </is>
      </c>
      <c r="B83" s="55" t="n">
        <v>1</v>
      </c>
    </row>
    <row r="100">
      <c r="A100" s="52" t="inlineStr">
        <is>
          <t>Control de consistencia por calificación</t>
        </is>
      </c>
    </row>
    <row r="101">
      <c r="A101" s="53" t="inlineStr">
        <is>
          <t>Calificación</t>
        </is>
      </c>
      <c r="B101" s="53" t="inlineStr">
        <is>
          <t>Verificaciones</t>
        </is>
      </c>
    </row>
    <row r="102">
      <c r="A102" s="54" t="inlineStr">
        <is>
          <t>SUSTANTIVA</t>
        </is>
      </c>
      <c r="B102" s="54" t="n">
        <v>5</v>
      </c>
    </row>
    <row r="103">
      <c r="A103" s="55" t="inlineStr">
        <is>
          <t>NO SUSTANTIVA</t>
        </is>
      </c>
      <c r="B103" s="55" t="n">
        <v>4</v>
      </c>
    </row>
    <row r="104">
      <c r="A104" s="54" t="inlineStr">
        <is>
          <t>CORREGIDO</t>
        </is>
      </c>
      <c r="B104" s="54" t="n">
        <v>1</v>
      </c>
    </row>
    <row r="105">
      <c r="A105" s="55" t="inlineStr">
        <is>
          <t>CONFORME</t>
        </is>
      </c>
      <c r="B105" s="55"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M27B1 — IN Piura</dc:title>
  <dc:subject>Diagnóstico Territorial por bloque de intervención</dc:subject>
  <dcterms:created xsi:type="dcterms:W3CDTF">2026-09-08T03:39:58Z</dcterms:created>
  <dcterms:modified xsi:type="dcterms:W3CDTF">2026-09-11T20:22:37Z</dcterms:modified>
</cp:coreProperties>
</file>