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integración'!$A$76:$A$84</f>
            </numRef>
          </cat>
          <val>
            <numRef>
              <f>'Gráficos de integración'!$B$76:$B$84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integración'!B102</f>
            </strRef>
          </tx>
          <spPr>
            <a:ln>
              <a:prstDash val="solid"/>
            </a:ln>
          </spPr>
          <cat>
            <numRef>
              <f>'Gráficos de integración'!$A$103:$A$106</f>
            </numRef>
          </cat>
          <val>
            <numRef>
              <f>'Gráficos de integración'!$B$103:$B$106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101</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M6B2-2</t>
        </is>
      </c>
    </row>
    <row r="6" ht="24" customHeight="1">
      <c r="A6" s="4" t="inlineStr">
        <is>
          <t>Diagnóstico Territorial — Plantilla DT Campo Check Validada V5 | Sistema de referencia: UTM WGS 84 Zona 17S (EPSG:32717) · Integrado con la ficha de campo F-DT vigente (Plantilla_DT_Campo_M6B2-2_Validada.xlsx) — V7 - resumen V6 + campo F-DT integrado</t>
        </is>
      </c>
    </row>
    <row r="7"/>
    <row r="8" ht="18" customHeight="1">
      <c r="A8" s="5" t="inlineStr">
        <is>
          <t>1. IDENTIFICACIÓN Y LOCALIZACIÓN</t>
        </is>
      </c>
    </row>
    <row r="9">
      <c r="A9" s="6" t="inlineStr">
        <is>
          <t>Código del bloque</t>
        </is>
      </c>
      <c r="B9" s="7" t="inlineStr">
        <is>
          <t>M6B2-2</t>
        </is>
      </c>
      <c r="C9" s="6" t="inlineStr">
        <is>
          <t>Microcuenca (catálogo)</t>
        </is>
      </c>
      <c r="D9" s="7" t="inlineStr">
        <is>
          <t>C1077-Q9566</t>
        </is>
      </c>
      <c r="E9" s="8" t="n"/>
      <c r="F9" s="8" t="n"/>
    </row>
    <row r="10">
      <c r="A10" s="6" t="inlineStr">
        <is>
          <t>Zona de planificación</t>
        </is>
      </c>
      <c r="B10" s="7" t="inlineStr">
        <is>
          <t>Z06</t>
        </is>
      </c>
      <c r="C10" s="6" t="inlineStr">
        <is>
          <t>Microcuenca declarada en ficha DT</t>
        </is>
      </c>
      <c r="D10" s="7" t="inlineStr">
        <is>
          <t>C1077-Q9566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51" t="inlineStr">
        <is>
          <t>Buenos Aires (capital distrital) / Caserío Pueblo Nuevo / Caserío Chihuahua / Caserío Pedregal (CP 272 Buenos Aires colinda por el este)</t>
        </is>
      </c>
      <c r="C13" s="6" t="inlineStr">
        <is>
          <t>Comunidad campesina</t>
        </is>
      </c>
      <c r="D13" s="51" t="inlineStr">
        <is>
          <t>No aplica formalmente — el ámbito corresponde a tierras estatales administradas por el Gobierno Regional de Piura, articuladas funcionalmente con el CP Buenos Aires y caseríos Pueblo Nuevo, Chihuahua y Pedregal del distrito de Buenos Aires.</t>
        </is>
      </c>
      <c r="E13" s="8" t="n"/>
      <c r="F13" s="8" t="n"/>
    </row>
    <row r="14">
      <c r="A14" s="6" t="inlineStr">
        <is>
          <t>Superficie de catálogo (V5/V6), ha</t>
        </is>
      </c>
      <c r="B14" s="7" t="n">
        <v>333.01</v>
      </c>
      <c r="C14" s="6" t="inlineStr">
        <is>
          <t>Fuente de superficie</t>
        </is>
      </c>
      <c r="D14" s="7" t="inlineStr">
        <is>
          <t>Catálogo maestro Bloques V5/V6</t>
        </is>
      </c>
      <c r="E14" s="8" t="n"/>
      <c r="F14" s="8" t="n"/>
    </row>
    <row r="15">
      <c r="A15" s="6" t="inlineStr">
        <is>
          <t>Centroide UTM ESTE (m)</t>
        </is>
      </c>
      <c r="B15" s="7" t="n">
        <v>611196</v>
      </c>
      <c r="C15" s="6" t="inlineStr">
        <is>
          <t>Centroide UTM NORTE (m)</t>
        </is>
      </c>
      <c r="D15" s="7" t="n">
        <v>9416725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195</v>
      </c>
      <c r="C19" s="6" t="inlineStr">
        <is>
          <t>Altitud máxima (msnm)</t>
        </is>
      </c>
      <c r="D19" s="7" t="n">
        <v>440</v>
      </c>
      <c r="E19" s="8" t="n"/>
      <c r="F19" s="8" t="n"/>
    </row>
    <row r="20">
      <c r="A20" s="6" t="inlineStr">
        <is>
          <t>Amplitud altitudinal (m)</t>
        </is>
      </c>
      <c r="B20" s="7" t="n">
        <v>245</v>
      </c>
      <c r="C20" s="6" t="inlineStr">
        <is>
          <t>Piso altitudinal dominante</t>
        </is>
      </c>
      <c r="D20" s="7" t="inlineStr">
        <is>
          <t>&lt;1000 m (Yunga)</t>
        </is>
      </c>
      <c r="E20" s="8" t="n"/>
      <c r="F20" s="8" t="n"/>
    </row>
    <row r="21">
      <c r="A21" s="6" t="inlineStr">
        <is>
          <t>Pendiente promedio (%)</t>
        </is>
      </c>
      <c r="B21" s="7" t="n">
        <v>14.33</v>
      </c>
      <c r="C21" s="6" t="inlineStr">
        <is>
          <t>Pendiente promedio (grados)</t>
        </is>
      </c>
      <c r="D21" s="7" t="n">
        <v>8.199999999999999</v>
      </c>
      <c r="E21" s="8" t="n"/>
      <c r="F21" s="8" t="n"/>
    </row>
    <row r="22">
      <c r="A22" s="6" t="inlineStr">
        <is>
          <t>Clase de pendiente equivalente</t>
        </is>
      </c>
      <c r="B22" s="7" t="inlineStr">
        <is>
          <t>8-15% (Mod.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 a Noreste</t>
        </is>
      </c>
      <c r="C24" s="6" t="inlineStr">
        <is>
          <t>Afloramientos rocosos</t>
        </is>
      </c>
      <c r="D24" s="7" t="inlineStr">
        <is>
          <t>Sí</t>
        </is>
      </c>
      <c r="E24" s="8" t="n"/>
      <c r="F24" s="8" t="n"/>
    </row>
    <row r="25">
      <c r="A25" s="6" t="inlineStr">
        <is>
          <t>Escarpes activos</t>
        </is>
      </c>
      <c r="B25" s="7" t="inlineStr">
        <is>
          <t>No (microescarpes potenciales en cabeceras &gt;400 msnm no verificados)</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0.3026</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(80.27 %)</t>
        </is>
      </c>
      <c r="E29" s="8" t="n"/>
      <c r="F29" s="8" t="n"/>
    </row>
    <row r="30">
      <c r="A30" s="6" t="inlineStr">
        <is>
          <t>Superficie clasificada NDVI 2025 (ha)</t>
        </is>
      </c>
      <c r="B30" s="7" t="n">
        <v>333.176</v>
      </c>
      <c r="C30" s="6" t="inlineStr">
        <is>
          <t>Desviación frente al catálogo (%)</t>
        </is>
      </c>
      <c r="D30" s="7" t="n">
        <v>0.05</v>
      </c>
      <c r="E30" s="8" t="n"/>
      <c r="F30" s="8" t="n"/>
    </row>
    <row r="31">
      <c r="A31" s="6" t="inlineStr">
        <is>
          <t>Superficie clasificada MSAVI 2024 (ha)</t>
        </is>
      </c>
      <c r="B31" s="39" t="n">
        <v>333.012</v>
      </c>
      <c r="C31" s="6" t="inlineStr">
        <is>
          <t>Desviación MSAVI frente al catálogo (%)</t>
        </is>
      </c>
      <c r="D31" s="40" t="n">
        <v>0</v>
      </c>
      <c r="E31" s="8" t="n"/>
      <c r="F31" s="8" t="n"/>
    </row>
    <row r="32">
      <c r="A32" s="6" t="inlineStr">
        <is>
          <t>Superficie bajo umbral MSAVI 0.4976 (ha)</t>
        </is>
      </c>
      <c r="B32" s="39" t="n">
        <v>329.691</v>
      </c>
      <c r="C32" s="6" t="inlineStr">
        <is>
          <t>% del bloque bajo umbral (brecha espectral)</t>
        </is>
      </c>
      <c r="D32" s="40" t="n">
        <v>99</v>
      </c>
      <c r="E32" s="8" t="n"/>
      <c r="F32" s="8" t="n"/>
    </row>
    <row r="33">
      <c r="A33" s="6" t="inlineStr">
        <is>
          <t>Clase DN dominante (MSAVI 2024)</t>
        </is>
      </c>
      <c r="B33" s="7" t="inlineStr">
        <is>
          <t>DN 2 · 0.2650 - 0.3813 (Vigor muy bajo)</t>
        </is>
      </c>
      <c r="C33" s="6" t="inlineStr">
        <is>
          <t>N.° de polígonos MSAVI del bloque</t>
        </is>
      </c>
      <c r="D33" s="41" t="n">
        <v>1026</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51" t="inlineStr">
        <is>
          <t>≈ 333.01 ha (área total del polígono digital — 99% del bloque corresponde al ecosistema BES_CM)</t>
        </is>
      </c>
      <c r="E36" s="8" t="n"/>
      <c r="F36" s="8" t="n"/>
    </row>
    <row r="37">
      <c r="A37" s="6" t="inlineStr">
        <is>
          <t>Estado de conservación</t>
        </is>
      </c>
      <c r="B37" s="7" t="inlineStr">
        <is>
          <t>Medianamente alterado</t>
        </is>
      </c>
      <c r="C37" s="6" t="inlineStr">
        <is>
          <t>Uso actual dominante del suelo</t>
        </is>
      </c>
      <c r="D37" s="7" t="inlineStr">
        <is>
          <t>Pastoreo extensivo (mixto caprino + vacuno) con extracción selectiva de leña y madera; tierras estatales (GORE Piura)</t>
        </is>
      </c>
      <c r="E37" s="8" t="n"/>
      <c r="F37" s="8" t="n"/>
    </row>
    <row r="38">
      <c r="A38" s="6" t="inlineStr">
        <is>
          <t>Tipo de cobertura dominante</t>
        </is>
      </c>
      <c r="B38" s="7" t="inlineStr">
        <is>
          <t>Bosque ralo (30-70%)</t>
        </is>
      </c>
      <c r="C38" s="6" t="inlineStr">
        <is>
          <t>Cobertura vegetal total — campo (%)</t>
        </is>
      </c>
      <c r="D38" s="7" t="n">
        <v>60</v>
      </c>
      <c r="E38" s="8" t="n"/>
      <c r="F38" s="8" t="n"/>
    </row>
    <row r="39">
      <c r="A39" s="6" t="inlineStr">
        <is>
          <t>Suelo desnudo — campo (%)</t>
        </is>
      </c>
      <c r="B39" s="7" t="n">
        <v>25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1" t="inlineStr">
        <is>
          <t>Brigada de campo — Ing. Héctor Salomón Cahuas Miller / Ing. Juan Domínguez</t>
        </is>
      </c>
      <c r="C44" s="6" t="inlineStr">
        <is>
          <t>Fecha de evaluación</t>
        </is>
      </c>
      <c r="D44" s="7" t="inlineStr">
        <is>
          <t>2026-05-18</t>
        </is>
      </c>
      <c r="E44" s="8" t="n"/>
      <c r="F44" s="8" t="n"/>
    </row>
    <row r="45">
      <c r="A45" s="6" t="inlineStr">
        <is>
          <t>Hora de registro</t>
        </is>
      </c>
      <c r="B45" s="7" t="inlineStr">
        <is>
          <t>10:11 h</t>
        </is>
      </c>
      <c r="C45" s="6" t="inlineStr">
        <is>
          <t>Correlativo de ficha</t>
        </is>
      </c>
      <c r="D45" s="7" t="inlineStr">
        <is>
          <t>DT-M6B2-2-001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P-01 (sector basal, cota 285 msnm, próxima al ingreso)</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51" t="inlineStr">
        <is>
          <t>Estructura económica local de subsistencia con baja diversificación productiva, dependencia histórica del pastoreo caprino y vacuno extensivo sobre bosque seco, y dependencia del bosque como proveedor de leña y madera doméstica, agravado por la condición de tierras estatales sin titularidad clara (administradas por GORE Piura), lo que dificulta la implementación de acuerdos de conservación predial y reduce los incentivos para el manejo sostenible. Sin instrumentos vigentes de retribución por servicios ecosistémicos (MERESE) que internalicen el valor del bosque en pie.</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M6B2-2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0.7418</v>
      </c>
      <c r="C10" s="19">
        <f>ROUND(B10/$B$15*100,2)</f>
        <v/>
      </c>
      <c r="D10" s="11" t="inlineStr">
        <is>
          <t>Vigor alto</t>
        </is>
      </c>
      <c r="E10" s="11" t="inlineStr">
        <is>
          <t>Sobre umbral</t>
        </is>
      </c>
    </row>
    <row r="11">
      <c r="A11" s="12" t="inlineStr">
        <is>
          <t>0.4976 - 0.6139 · DN 4</t>
        </is>
      </c>
      <c r="B11" s="20" t="n">
        <v>2.579</v>
      </c>
      <c r="C11" s="21">
        <f>ROUND(B11/$B$15*100,2)</f>
        <v/>
      </c>
      <c r="D11" s="13" t="inlineStr">
        <is>
          <t>Vigor moderado</t>
        </is>
      </c>
      <c r="E11" s="13" t="inlineStr">
        <is>
          <t>Sobre umbral</t>
        </is>
      </c>
    </row>
    <row r="12">
      <c r="A12" s="7" t="inlineStr">
        <is>
          <t>0.3813 - 0.4976 · DN 3</t>
        </is>
      </c>
      <c r="B12" s="18" t="n">
        <v>25.0184</v>
      </c>
      <c r="C12" s="19">
        <f>ROUND(B12/$B$15*100,2)</f>
        <v/>
      </c>
      <c r="D12" s="11" t="inlineStr">
        <is>
          <t>Vigor bajo</t>
        </is>
      </c>
      <c r="E12" s="11" t="inlineStr">
        <is>
          <t>BAJO umbral 0.4976</t>
        </is>
      </c>
    </row>
    <row r="13">
      <c r="A13" s="14" t="inlineStr">
        <is>
          <t>0.2650 - 0.3813 · DN 2</t>
        </is>
      </c>
      <c r="B13" s="31" t="n">
        <v>214.4296</v>
      </c>
      <c r="C13" s="30">
        <f>ROUND(B13/$B$15*100,2)</f>
        <v/>
      </c>
      <c r="D13" s="15" t="inlineStr">
        <is>
          <t>Vigor muy bajo</t>
        </is>
      </c>
      <c r="E13" s="15" t="inlineStr">
        <is>
          <t>BAJO umbral 0.4976</t>
        </is>
      </c>
    </row>
    <row r="14">
      <c r="A14" s="7" t="inlineStr">
        <is>
          <t>&lt;= 0.2650 · DN 1</t>
        </is>
      </c>
      <c r="B14" s="18" t="n">
        <v>90.2428</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1 026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333.01</v>
      </c>
      <c r="C18" s="50" t="inlineStr">
        <is>
          <t>—</t>
        </is>
      </c>
      <c r="D18" s="47" t="inlineStr">
        <is>
          <t>Desviación planimétrica frente al catálogo</t>
        </is>
      </c>
      <c r="E18" s="47" t="inlineStr">
        <is>
          <t>+0.00 %</t>
        </is>
      </c>
    </row>
    <row r="19">
      <c r="A19" s="16" t="inlineStr">
        <is>
          <t>MSAVI 2024 — MEDIA DEL BLOQUE</t>
        </is>
      </c>
      <c r="B19" s="17" t="n">
        <v>0.302636</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1 026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(0.3026)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2.2561</v>
      </c>
      <c r="C25" s="19" t="n">
        <v>0.68</v>
      </c>
      <c r="D25" s="11" t="inlineStr">
        <is>
          <t>Dosel continuo, matorral denso o mosaico agroforestal</t>
        </is>
      </c>
      <c r="E25" s="11" t="inlineStr"/>
    </row>
    <row r="26">
      <c r="A26" s="12" t="inlineStr">
        <is>
          <t>Vegetación mediana</t>
        </is>
      </c>
      <c r="B26" s="20" t="n">
        <v>48.3216</v>
      </c>
      <c r="C26" s="21" t="n">
        <v>14.5</v>
      </c>
      <c r="D26" s="13" t="inlineStr">
        <is>
          <t>Pastizal cultivado, matorral ralo, parcelas agrícolas</t>
        </is>
      </c>
      <c r="E26" s="13" t="inlineStr"/>
    </row>
    <row r="27">
      <c r="A27" s="7" t="inlineStr">
        <is>
          <t>Vegetación ligera</t>
        </is>
      </c>
      <c r="B27" s="18" t="n">
        <v>267.4393</v>
      </c>
      <c r="C27" s="19" t="n">
        <v>80.27</v>
      </c>
      <c r="D27" s="11" t="inlineStr">
        <is>
          <t>Cobertura discontinua, suelo parcialmente expuesto</t>
        </is>
      </c>
      <c r="E27" s="11" t="inlineStr"/>
    </row>
    <row r="28">
      <c r="A28" s="12" t="inlineStr">
        <is>
          <t>Tierra desnuda</t>
        </is>
      </c>
      <c r="B28" s="20" t="n">
        <v>15.1589</v>
      </c>
      <c r="C28" s="21" t="n">
        <v>4.55</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333.01</v>
      </c>
      <c r="C30" s="25" t="inlineStr">
        <is>
          <t>—</t>
        </is>
      </c>
      <c r="D30" s="25" t="inlineStr">
        <is>
          <t>Desviación planimétrica frente al catálogo</t>
        </is>
      </c>
      <c r="E30" s="25" t="inlineStr">
        <is>
          <t>+0.05 %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60 % frente a un 0.68 % del polígono clasificado como «Vegetación alta» por el NDVI 2025; la observación de campo corresponde a una parcela o recorrido puntual y no es estadísticamente representativa de las 333.010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M6B2-2</t>
        </is>
      </c>
    </row>
    <row r="6" ht="24" customHeight="1">
      <c r="A6" s="4" t="inlineStr">
        <is>
          <t>Levantamiento del 2026-05-18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612190</v>
      </c>
      <c r="D10" s="26" t="n">
        <v>9417090</v>
      </c>
      <c r="E10" s="11" t="n">
        <v>1058.9</v>
      </c>
      <c r="F10" s="11" t="inlineStr"/>
      <c r="G10" s="11" t="inlineStr">
        <is>
          <t>Coordenada consignada en F-DT-01</t>
        </is>
      </c>
    </row>
    <row r="11">
      <c r="A11" s="12" t="inlineStr">
        <is>
          <t>CA-01</t>
        </is>
      </c>
      <c r="B11" s="13" t="inlineStr">
        <is>
          <t>Rasgo erosivo — Cárcava somera — 60 m, 1.2 m prof., 8 m ancho</t>
        </is>
      </c>
      <c r="C11" s="27" t="n">
        <v>612262</v>
      </c>
      <c r="D11" s="27" t="n">
        <v>9417144</v>
      </c>
      <c r="E11" s="13" t="n">
        <v>1145.4</v>
      </c>
      <c r="F11" s="13" t="inlineStr">
        <is>
          <t>Inactiva</t>
        </is>
      </c>
      <c r="G11" s="13" t="inlineStr">
        <is>
          <t>Concentración natural de escorrentía</t>
        </is>
      </c>
    </row>
    <row r="12">
      <c r="A12" s="7" t="inlineStr">
        <is>
          <t>CA-02</t>
        </is>
      </c>
      <c r="B12" s="11" t="inlineStr">
        <is>
          <t>Rasgo erosivo — Cárcava profunda — 250 m, 2.5 m prof., 12 m ancho</t>
        </is>
      </c>
      <c r="C12" s="26" t="n">
        <v>612179</v>
      </c>
      <c r="D12" s="26" t="n">
        <v>9416517</v>
      </c>
      <c r="E12" s="11" t="n">
        <v>1004.8</v>
      </c>
      <c r="F12" s="11" t="inlineStr">
        <is>
          <t>Semi-activa</t>
        </is>
      </c>
      <c r="G12" s="11" t="inlineStr">
        <is>
          <t>Concentración natural de escorrentía (flujo de detritos histórico)</t>
        </is>
      </c>
    </row>
    <row r="13">
      <c r="A13" s="12" t="inlineStr">
        <is>
          <t>CA-03</t>
        </is>
      </c>
      <c r="B13" s="13" t="inlineStr">
        <is>
          <t>Rasgo erosivo — Surco (&lt;30 cm) — 80 m, 0.15 m prof., 0.4 m ancho</t>
        </is>
      </c>
      <c r="C13" s="27" t="n">
        <v>612143</v>
      </c>
      <c r="D13" s="27" t="n">
        <v>9417117</v>
      </c>
      <c r="E13" s="13" t="n">
        <v>1024.9</v>
      </c>
      <c r="F13" s="13" t="inlineStr">
        <is>
          <t>Activa</t>
        </is>
      </c>
      <c r="G13" s="13" t="inlineStr">
        <is>
          <t>Sobrepastoreo</t>
        </is>
      </c>
    </row>
    <row r="14">
      <c r="A14" s="7" t="inlineStr">
        <is>
          <t>H-01</t>
        </is>
      </c>
      <c r="B14" s="11" t="inlineStr">
        <is>
          <t>Fuente de agua — Quebrada estacional</t>
        </is>
      </c>
      <c r="C14" s="26" t="n">
        <v>612262</v>
      </c>
      <c r="D14" s="26" t="n">
        <v>9417144</v>
      </c>
      <c r="E14" s="11" t="n">
        <v>1145.4</v>
      </c>
      <c r="F14" s="11" t="inlineStr">
        <is>
          <t>Estacional</t>
        </is>
      </c>
      <c r="G14" s="11" t="inlineStr">
        <is>
          <t>Quebrada de cantos rodados que atraviesa el bloque W-E</t>
        </is>
      </c>
    </row>
    <row r="15">
      <c r="A15" s="12" t="inlineStr">
        <is>
          <t>H-02</t>
        </is>
      </c>
      <c r="B15" s="13" t="inlineStr">
        <is>
          <t>Fuente de agua — Quebrada estacional</t>
        </is>
      </c>
      <c r="C15" s="27" t="n">
        <v>612179</v>
      </c>
      <c r="D15" s="27" t="n">
        <v>9416517</v>
      </c>
      <c r="E15" s="13" t="n">
        <v>1004.8</v>
      </c>
      <c r="F15" s="13" t="inlineStr">
        <is>
          <t>Estacional</t>
        </is>
      </c>
      <c r="G15" s="13" t="inlineStr">
        <is>
          <t>Quebrada con potente depósito de bloques métricos (huaico histórico)</t>
        </is>
      </c>
    </row>
    <row r="16">
      <c r="A16" s="7" t="inlineStr">
        <is>
          <t>H-03</t>
        </is>
      </c>
      <c r="B16" s="11" t="inlineStr">
        <is>
          <t>Fuente de agua — Río</t>
        </is>
      </c>
      <c r="C16" s="26" t="n">
        <v>613500</v>
      </c>
      <c r="D16" s="26" t="n">
        <v>9418500</v>
      </c>
      <c r="E16" s="11" t="n">
        <v>2908.4</v>
      </c>
      <c r="F16" s="11" t="inlineStr">
        <is>
          <t>Permanente</t>
        </is>
      </c>
      <c r="G16" s="11" t="inlineStr">
        <is>
          <t>Río Yapatera — cauce principal colindante NE</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611196</v>
      </c>
      <c r="C19" s="6" t="inlineStr">
        <is>
          <t>Centroide del bloque — UTM NORTE (m)</t>
        </is>
      </c>
      <c r="D19" s="7" t="n">
        <v>9416725</v>
      </c>
      <c r="E19" s="8" t="n"/>
      <c r="F19" s="8" t="n"/>
      <c r="G19" s="8" t="n"/>
      <c r="H19" s="8" t="n"/>
    </row>
    <row r="20">
      <c r="A20" s="6" t="inlineStr">
        <is>
          <t>N.° de estaciones fotográficas declaradas</t>
        </is>
      </c>
      <c r="B20" s="7" t="n">
        <v>0</v>
      </c>
      <c r="C20" s="6" t="inlineStr">
        <is>
          <t>Estaciones dentro del polígono</t>
        </is>
      </c>
      <c r="D20" s="7" t="n">
        <v>0</v>
      </c>
      <c r="E20" s="8" t="n"/>
      <c r="F20" s="8" t="n"/>
      <c r="G20" s="8" t="n"/>
      <c r="H20" s="8" t="n"/>
    </row>
    <row r="22" ht="168"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desde la capital de Buenos Aires por trocha al sector Pueblo Nuevo-Chihuahua-Pedregal. ZONIFICACIÓN ALTITUDINAL: (i) pie de ladera y abanico aluvial-coluvial (211-300 msnm), CON LA MAYOR PRESIÓN ANTRÓPICA por pastoreo y tala, suelo expuesto y matorral degradado; (ii) ladera media (300-500 msnm), pendiente 14-25%, dosel arbóreo discontinuo con relictos; (iii) ladera alta y cabecera de quebrada (&gt;500 msnm), pendiente &gt;25%, CON RELICTOS DEL BOSQUE EN MEJOR ESTADO (parches verde-amarillos en MSAVI 2024). Condición climática: nublada, ≈24 °C, sin precipitación. SE REQUIERE VISITA COMPLEMENTARIA AL SECTOR &gt;400 msnm para verificación de escarpes activos y mapeo de cabeceras de cárcavas. Pendiente 14-17% media en transectas y 25-29% máxima en cabeceras. Exposición predominante E-NE con sub-exposiciones N y SE. DEPÓSITO DE BLOQUES MÉTRICOS EN EL LECHO DE LA QUEBRADA DE BORDE (612 179 · 9 416 517) EVIDENCIA FLUJOS DE DETRITOS HISTÓRICOS.</t>
        </is>
      </c>
      <c r="B22" s="42" t="n"/>
      <c r="C22" s="42" t="n"/>
      <c r="D22" s="42" t="n"/>
      <c r="E22" s="42" t="n"/>
      <c r="F22" s="42" t="n"/>
      <c r="G22" s="43" t="n"/>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C1077-Q9566 — BLOQUE M6B2-2</t>
        </is>
      </c>
    </row>
    <row r="6" ht="24" customHeight="1">
      <c r="A6" s="4" t="inlineStr">
        <is>
          <t>Distrito de Buenos Aires · Provincia de Morropon · Comparación de los bloques preliminares de intervención de la misma microcuenca</t>
        </is>
      </c>
    </row>
    <row r="8" ht="18" customHeight="1">
      <c r="A8" s="5" t="inlineStr">
        <is>
          <t>BLOQUES DE LA MICROCUENCA C1077-Q9566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M6B2-1</t>
        </is>
      </c>
      <c r="B10" s="28" t="n">
        <v>514.36</v>
      </c>
      <c r="C10" s="19" t="n">
        <v>33.1</v>
      </c>
      <c r="D10" s="11" t="inlineStr">
        <is>
          <t>181 – 504</t>
        </is>
      </c>
      <c r="E10" s="11" t="n">
        <v>323</v>
      </c>
      <c r="F10" s="11" t="n">
        <v>16.84</v>
      </c>
      <c r="G10" s="18" t="n">
        <v>0.3381</v>
      </c>
      <c r="H10" s="19" t="n">
        <v>0.98</v>
      </c>
      <c r="I10" s="19" t="n">
        <v>98.98999999999999</v>
      </c>
    </row>
    <row r="11">
      <c r="A11" s="14" t="inlineStr">
        <is>
          <t>► M6B2-2</t>
        </is>
      </c>
      <c r="B11" s="29" t="n">
        <v>333.01</v>
      </c>
      <c r="C11" s="30" t="n">
        <v>21.43</v>
      </c>
      <c r="D11" s="15" t="inlineStr">
        <is>
          <t>195 – 440</t>
        </is>
      </c>
      <c r="E11" s="15" t="n">
        <v>245</v>
      </c>
      <c r="F11" s="15" t="n">
        <v>14.33</v>
      </c>
      <c r="G11" s="31" t="n">
        <v>0.3026</v>
      </c>
      <c r="H11" s="30" t="n">
        <v>0.68</v>
      </c>
      <c r="I11" s="30" t="n">
        <v>99</v>
      </c>
    </row>
    <row r="12">
      <c r="A12" s="7" t="inlineStr">
        <is>
          <t>5</t>
        </is>
      </c>
      <c r="B12" s="28" t="n">
        <v>295.73</v>
      </c>
      <c r="C12" s="19" t="n">
        <v>19.03</v>
      </c>
      <c r="D12" s="11" t="inlineStr">
        <is>
          <t>150 – 377</t>
        </is>
      </c>
      <c r="E12" s="11" t="n">
        <v>227</v>
      </c>
      <c r="F12" s="11" t="n">
        <v>18.57</v>
      </c>
      <c r="G12" s="18" t="n">
        <v>0.3394</v>
      </c>
      <c r="H12" s="19" t="n">
        <v>5.59</v>
      </c>
      <c r="I12" s="19" t="n">
        <v>99.84999999999999</v>
      </c>
    </row>
    <row r="13">
      <c r="A13" s="12" t="inlineStr">
        <is>
          <t>M6B10</t>
        </is>
      </c>
      <c r="B13" s="32" t="n">
        <v>249.89</v>
      </c>
      <c r="C13" s="21" t="n">
        <v>16.08</v>
      </c>
      <c r="D13" s="13" t="inlineStr">
        <is>
          <t>158 – 537</t>
        </is>
      </c>
      <c r="E13" s="13" t="n">
        <v>379</v>
      </c>
      <c r="F13" s="13" t="n">
        <v>20.6</v>
      </c>
      <c r="G13" s="20" t="n">
        <v>0.3099</v>
      </c>
      <c r="H13" s="21" t="n">
        <v>0.08</v>
      </c>
      <c r="I13" s="21" t="n">
        <v>99.83</v>
      </c>
    </row>
    <row r="14">
      <c r="A14" s="7" t="inlineStr">
        <is>
          <t>M6B2-3</t>
        </is>
      </c>
      <c r="B14" s="28" t="n">
        <v>160.98</v>
      </c>
      <c r="C14" s="19" t="n">
        <v>10.36</v>
      </c>
      <c r="D14" s="11" t="inlineStr">
        <is>
          <t>166 – 557</t>
        </is>
      </c>
      <c r="E14" s="11" t="n">
        <v>391</v>
      </c>
      <c r="F14" s="11" t="n">
        <v>19.78</v>
      </c>
      <c r="G14" s="18" t="n">
        <v>0.4063</v>
      </c>
      <c r="H14" s="19" t="n">
        <v>4.92</v>
      </c>
      <c r="I14" s="19" t="n">
        <v>90.48999999999999</v>
      </c>
    </row>
    <row r="15">
      <c r="A15" s="16" t="inlineStr">
        <is>
          <t>TOTAL / PROMEDIO</t>
        </is>
      </c>
      <c r="B15" s="33">
        <f>SUM(B10:B14)</f>
        <v/>
      </c>
      <c r="C15" s="23">
        <f>SUM(C10:C14)</f>
        <v/>
      </c>
      <c r="D15" s="17" t="inlineStr">
        <is>
          <t>150 – 557</t>
        </is>
      </c>
      <c r="E15" s="17" t="inlineStr"/>
      <c r="F15" s="17">
        <f>ROUND(AVERAGE(F10:F14),2)</f>
        <v/>
      </c>
      <c r="G15" s="22">
        <f>ROUND(AVERAGE(G10:G14),4)</f>
        <v/>
      </c>
      <c r="H15" s="23">
        <f>ROUND(AVERAGE(H10:H14),2)</f>
        <v/>
      </c>
      <c r="I15" s="23">
        <f>ROUND(AVERAGE(I10:I14),2)</f>
        <v/>
      </c>
    </row>
    <row r="17" ht="84" customHeight="1">
      <c r="A17" s="9" t="inlineStr">
        <is>
          <t>LECTURA INTRAMICROCUENCA. El bloque M6B2-2 ocupa el puesto 2 de 5 por superficie dentro de la microcuenca C1077-Q9566 (21.43 % de las 1553.97 ha preliminares de la microcuenca). Su pendiente promedio (14.33 %, clase «8-15% (Mod. inclinado)») es la 1.ª más baja de 5 y se sitúa por debajo del promedio de la microcuenca (18.02 %). Su MSAVI 2024 (0.3026) es el 5.º de 5 y queda por debajo del promedio local (0.3393). Amplitud altitudinal del bloque: 245 m (195–440 msnm). El cuadro conserva todos los bloques catalogados en la microcuenca, incluidos los descartados en el tamizaje, para referencia del conjunto. Los bloques sin ficha DT figuran con sus parámetros de gabinete. BRECHA ESPECTRAL. El 99.00 % de la superficie del bloque (329.691 ha de 333.012 ha) se sitúa bajo el umbral MSAVI 0.4976, por encima del promedio local de la microcuenca (97.63 %) calculado sobre los bloques con dato MSAVI disponible.</t>
        </is>
      </c>
      <c r="B17" s="42" t="n"/>
      <c r="C17" s="42" t="n"/>
      <c r="D17" s="42" t="n"/>
      <c r="E17" s="42" t="n"/>
      <c r="F17" s="42" t="n"/>
      <c r="G17" s="42" t="n"/>
      <c r="H17" s="42" t="n"/>
      <c r="I17" s="43" t="n"/>
    </row>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9" s="42" t="n"/>
      <c r="C19" s="42" t="n"/>
      <c r="D19" s="42" t="n"/>
      <c r="E19" s="42" t="n"/>
      <c r="F19" s="42" t="n"/>
      <c r="G19" s="42" t="n"/>
      <c r="H19" s="42" t="n"/>
      <c r="I19" s="43" t="n"/>
    </row>
  </sheetData>
  <mergeCells count="9">
    <mergeCell ref="A19:I19"/>
    <mergeCell ref="A2:I2"/>
    <mergeCell ref="A5:I5"/>
    <mergeCell ref="A1:I1"/>
    <mergeCell ref="A17:I17"/>
    <mergeCell ref="A8:I8"/>
    <mergeCell ref="A3:I3"/>
    <mergeCell ref="A6:I6"/>
    <mergeCell ref="A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M6B2-2</t>
        </is>
      </c>
    </row>
    <row r="6">
      <c r="A6" s="53" t="inlineStr">
        <is>
          <t>Cruce de la ficha de campo F-DT vigente con la ficha de resumen de gabinete y el catálogo maestro. Integración 2026-09-11 20:22:40.</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«C1077-Q9566».</t>
        </is>
      </c>
      <c r="D9" s="57" t="inlineStr">
        <is>
          <t>CONFORME</t>
        </is>
      </c>
      <c r="E9" s="57" t="inlineStr">
        <is>
          <t>Sin acción.</t>
        </is>
      </c>
    </row>
    <row r="10">
      <c r="A10" s="58" t="inlineStr">
        <is>
          <t>G-02</t>
        </is>
      </c>
      <c r="B10" s="58" t="inlineStr">
        <is>
          <t>UTM del punto de muestreo</t>
        </is>
      </c>
      <c r="C10" s="58" t="inlineStr">
        <is>
          <t>El punto de muestreo declarado dista 1200.1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(285 msnm) cae dentro del rango altitudinal del bloque (195 - 440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(333.176 ha) se desvía 0.05 % de la superficie de catálogo (333.01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(333.012 ha) se desvía 0.00 % de la superficie de catálogo (333.01 ha).</t>
        </is>
      </c>
      <c r="D14" s="58" t="inlineStr">
        <is>
          <t>CONFORME</t>
        </is>
      </c>
      <c r="E14" s="58" t="inlineStr">
        <is>
          <t>Sin acción: la segmentación valida la geometría del bloque.</t>
        </is>
      </c>
    </row>
    <row r="15">
      <c r="A15" s="57" t="inlineStr">
        <is>
          <t>G-07</t>
        </is>
      </c>
      <c r="B15" s="57" t="inlineStr">
        <is>
          <t>Brecha espectral MSAVI</t>
        </is>
      </c>
      <c r="C15" s="57" t="inlineStr">
        <is>
          <t>El 99.00 % del bloque queda bajo el umbral 0.4976; superficie de brecha 329.69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333.01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(0.3026) cae en la clase «0.2650 - 0.3813 (Vigor muy bajo)» y la clase DN dominante por superficie es «DN 2 · 0.2650 - 0.3813 (Vigor muy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I-01</t>
        </is>
      </c>
      <c r="B19" s="57" t="inlineStr">
        <is>
          <t>Centro poblado asociado</t>
        </is>
      </c>
      <c r="C19" s="57" t="inlineStr">
        <is>
          <t>El libro de resumen V6 consignaba «Buenos Aires (capital distrital) / Caseríos Pueblo Nuevo, Chihuahua y Pedregal (CP 272 Buenos Aires)»; la ficha de campo vigente declara «Buenos Aires (capital distrital) / Caserío Pueblo Nuevo / Caserío Chihuahua / Caserío Pedregal (CP 272 Buenos Aires colinda por el este)».</t>
        </is>
      </c>
      <c r="D19" s="57" t="inlineStr">
        <is>
          <t>CORREGIDO</t>
        </is>
      </c>
      <c r="E19" s="57" t="inlineStr">
        <is>
          <t>Se adopta el valor de campo por ser la fuente que manda sobre el dato y la más reciente. El valor anterior queda declarado para trazabilidad.</t>
        </is>
      </c>
    </row>
    <row r="20">
      <c r="A20" s="58" t="inlineStr">
        <is>
          <t>I-02</t>
        </is>
      </c>
      <c r="B20" s="58" t="inlineStr">
        <is>
          <t>Comunidad campesina</t>
        </is>
      </c>
      <c r="C20" s="58" t="inlineStr">
        <is>
          <t>El libro de resumen V6 consignaba «No aplica formalmente — TIERRAS ESTATALES ADMINISTRADAS POR EL GOBIERNO REGIONAL DE PIURA»; la ficha de campo vigente declara «No aplica formalmente — el ámbito corresponde a tierras estatales administradas por el Gobierno Regional de Piura, articuladas funcionalmen…».</t>
        </is>
      </c>
      <c r="D20" s="58" t="inlineStr">
        <is>
          <t>CORREGIDO</t>
        </is>
      </c>
      <c r="E20" s="58" t="inlineStr">
        <is>
          <t>Se adopta el valor de campo por ser la fuente que manda sobre el dato y la más reciente. El valor anterior queda declarado para trazabilidad.</t>
        </is>
      </c>
    </row>
    <row r="21">
      <c r="A21" s="57" t="inlineStr">
        <is>
          <t>I-03</t>
        </is>
      </c>
      <c r="B21" s="57" t="inlineStr">
        <is>
          <t>Superficie de ecosistema (ha)</t>
        </is>
      </c>
      <c r="C21" s="57" t="inlineStr">
        <is>
          <t>El libro de resumen V6 consignaba «≈333.01 ha (99% del bloque)»; la ficha de campo vigente declara «≈ 333.01 ha (área total del polígono digital — 99% del bloque corresponde al ecosistema BES_CM)».</t>
        </is>
      </c>
      <c r="D21" s="57" t="inlineStr">
        <is>
          <t>CORREGIDO</t>
        </is>
      </c>
      <c r="E21" s="57" t="inlineStr">
        <is>
          <t>Se adopta el valor de campo por ser la fuente que manda sobre el dato y la más reciente. El valor anterior queda declarado para trazabilidad.</t>
        </is>
      </c>
    </row>
    <row r="22">
      <c r="A22" s="58" t="inlineStr">
        <is>
          <t>I-04</t>
        </is>
      </c>
      <c r="B22" s="58" t="inlineStr">
        <is>
          <t>Causa subyacente principal</t>
        </is>
      </c>
      <c r="C22" s="58" t="inlineStr">
        <is>
          <t>El libro de resumen V6 consignaba «Estructura económica local de subsistencia con baja diversificación productiva y dependencia histórica del pastoreo»; la ficha de campo vigente declara «Estructura económica local de subsistencia con baja diversificación productiva, dependencia histórica del pastoreo caprino y vacuno extensi…».</t>
        </is>
      </c>
      <c r="D22" s="58" t="inlineStr">
        <is>
          <t>CORREGIDO</t>
        </is>
      </c>
      <c r="E22" s="58" t="inlineStr">
        <is>
          <t>Se adopta el valor de campo por ser la fuente que manda sobre el dato y la más reciente. El valor anterior queda declarado para trazabilidad.</t>
        </is>
      </c>
    </row>
    <row r="23">
      <c r="A23" s="57" t="inlineStr">
        <is>
          <t>I-05</t>
        </is>
      </c>
      <c r="B23" s="57" t="inlineStr">
        <is>
          <t>Responsable de la evaluación</t>
        </is>
      </c>
      <c r="C23" s="57" t="inlineStr">
        <is>
          <t>El libro de resumen V6 consignaba «Ing. Héctor S. Cahuas Miller»; la ficha de campo vigente declara «Brigada de campo — Ing. Héctor Salomón Cahuas Miller / Ing. Juan Domínguez».</t>
        </is>
      </c>
      <c r="D23" s="57" t="inlineStr">
        <is>
          <t>CORREGIDO</t>
        </is>
      </c>
      <c r="E23" s="57" t="inlineStr">
        <is>
          <t>Se adopta el valor de campo por ser la fuente que manda sobre el dato y la más reciente. El valor anterior queda declarado para trazabilidad.</t>
        </is>
      </c>
    </row>
    <row r="24">
      <c r="A24" s="58" t="inlineStr">
        <is>
          <t>F-01</t>
        </is>
      </c>
      <c r="B24" s="58" t="inlineStr">
        <is>
          <t>Fichas F-DT levantadas</t>
        </is>
      </c>
      <c r="C24" s="58" t="inlineStr">
        <is>
          <t>La plantilla de campo trae las cinco fichas F-DT-01 a F-DT-05 (completitud 100.0 % de los campos esperados).</t>
        </is>
      </c>
      <c r="D24" s="58" t="inlineStr">
        <is>
          <t>CONFORME</t>
        </is>
      </c>
      <c r="E24" s="58" t="inlineStr">
        <is>
          <t>Sin acción.</t>
        </is>
      </c>
    </row>
    <row r="25">
      <c r="A25" s="57" t="inlineStr">
        <is>
          <t>F-02</t>
        </is>
      </c>
      <c r="B25" s="57" t="inlineStr">
        <is>
          <t>Cobertura de la integración</t>
        </is>
      </c>
      <c r="C25" s="57" t="inlineStr">
        <is>
          <t>Se declararon 110 de 114 hechos integrados (96.5 %); 4 quedan sin dato en ninguna fuente.</t>
        </is>
      </c>
      <c r="D25" s="57" t="inlineStr">
        <is>
          <t>CONFORME</t>
        </is>
      </c>
      <c r="E25" s="57" t="inlineStr">
        <is>
          <t>Sin acción.</t>
        </is>
      </c>
    </row>
    <row r="26">
      <c r="A26" s="58" t="inlineStr">
        <is>
          <t>H-01</t>
        </is>
      </c>
      <c r="B26" s="58" t="inlineStr">
        <is>
          <t>Rango de pendiente dominante</t>
        </is>
      </c>
      <c r="C26" s="58" t="inlineStr">
        <is>
          <t>La ficha DT declara «15-25% (Fuert. inclinado)»; la estadística zonal sobre el MDE arroja una pendiente promedio de 14.33 %, que corresponde a la clase «8-15% (Mod. inclinado)»</t>
        </is>
      </c>
      <c r="D26" s="58" t="inlineStr">
        <is>
          <t>NO SUSTANTIVA</t>
        </is>
      </c>
      <c r="E26" s="58"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7">
      <c r="A27" s="57" t="inlineStr">
        <is>
          <t>H-02</t>
        </is>
      </c>
      <c r="B27" s="57" t="inlineStr">
        <is>
          <t>Cobertura vegetal total</t>
        </is>
      </c>
      <c r="C27" s="57" t="inlineStr">
        <is>
          <t>La ficha DT estima 60 % de cobertura vegetal en campo; el NDVI mediana 2025 clasifica 95.45 % del polígono en clases de vegetación</t>
        </is>
      </c>
      <c r="D27" s="57" t="inlineStr">
        <is>
          <t>NO SUSTANTIVA</t>
        </is>
      </c>
      <c r="E27" s="5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8">
      <c r="A28" s="58" t="inlineStr">
        <is>
          <t>H-03</t>
        </is>
      </c>
      <c r="B28" s="58" t="inlineStr">
        <is>
          <t>Representatividad del levantamiento</t>
        </is>
      </c>
      <c r="C28" s="58" t="inlineStr">
        <is>
          <t>Ninguna de las estaciones fotográficas georreferenciadas se localiza dentro del polígono del bloque</t>
        </is>
      </c>
      <c r="D28" s="58" t="inlineStr">
        <is>
          <t>SUSTANTIVA</t>
        </is>
      </c>
      <c r="E28" s="58" t="inlineStr">
        <is>
          <t>La verificación documenta el perímetro y la vista panorámica del bloque, no su interior. Los parámetros que exigen recorrido interno se consignan «Por determinar». (Verificación heredada de la ficha de resumen V6.)</t>
        </is>
      </c>
    </row>
    <row r="29">
      <c r="A29" s="57" t="inlineStr">
        <is>
          <t>H-04</t>
        </is>
      </c>
      <c r="B29" s="57" t="inlineStr">
        <is>
          <t>Plan de Ingreso</t>
        </is>
      </c>
      <c r="C29" s="57" t="inlineStr">
        <is>
          <t>Altitud = 0 msnm (captura por defecto del aplicativo)</t>
        </is>
      </c>
      <c r="D29" s="57" t="inlineStr">
        <is>
          <t>CORREGIDO</t>
        </is>
      </c>
      <c r="E29" s="57" t="inlineStr">
        <is>
          <t>Se reemplaza por la altitud GPS de campo (285 msnm) (Verificación heredada de la ficha de resumen V6.)</t>
        </is>
      </c>
    </row>
    <row r="30">
      <c r="A30" s="58" t="inlineStr">
        <is>
          <t>H-05</t>
        </is>
      </c>
      <c r="B30" s="58" t="inlineStr">
        <is>
          <t>F-DT-01</t>
        </is>
      </c>
      <c r="C30" s="58" t="inlineStr">
        <is>
          <t>El sector &gt;400 msnm no fue recorrido: escarpes activos y cabeceras de cárcavas sin verificar</t>
        </is>
      </c>
      <c r="D30" s="58" t="inlineStr">
        <is>
          <t>SUSTANTIVA</t>
        </is>
      </c>
      <c r="E30" s="58" t="inlineStr">
        <is>
          <t>Visita complementaria requerida (Verificación heredada de la ficha de resumen V6.)</t>
        </is>
      </c>
    </row>
    <row r="31">
      <c r="A31" s="57" t="inlineStr">
        <is>
          <t>H-06</t>
        </is>
      </c>
      <c r="B31" s="57" t="inlineStr">
        <is>
          <t>F-DT-03</t>
        </is>
      </c>
      <c r="C31" s="57" t="inlineStr">
        <is>
          <t>Categoría del Hualtaco consignada VU y del Palo Santo NT, frente a CR en la mayoría de los bloques; Algarrobo consignado CR</t>
        </is>
      </c>
      <c r="D31" s="57" t="inlineStr">
        <is>
          <t>SUSTANTIVA</t>
        </is>
      </c>
      <c r="E31" s="57" t="inlineStr">
        <is>
          <t>Homogeneizar criterio de categorización en todo el portafolio (Verificación heredada de la ficha de resumen V6.)</t>
        </is>
      </c>
    </row>
    <row r="32">
      <c r="A32" s="58" t="inlineStr">
        <is>
          <t>H-07</t>
        </is>
      </c>
      <c r="B32" s="58" t="inlineStr">
        <is>
          <t>F-DT-02</t>
        </is>
      </c>
      <c r="C32" s="58" t="inlineStr">
        <is>
          <t>CA-02 (cárcava profunda de 250 m, 2.5 m y 12 m de ancho) es en realidad un cauce de quebrada con depósito de huaico</t>
        </is>
      </c>
      <c r="D32" s="58" t="inlineStr">
        <is>
          <t>NO SUSTANTIVA</t>
        </is>
      </c>
      <c r="E32" s="58" t="inlineStr">
        <is>
          <t>Declarado en la propia ficha; reclasificar como rasgo geomorfológico (Verificación heredada de la ficha de resumen V6.)</t>
        </is>
      </c>
    </row>
    <row r="33">
      <c r="A33" s="57" t="inlineStr">
        <is>
          <t>H-08</t>
        </is>
      </c>
      <c r="B33" s="57" t="inlineStr">
        <is>
          <t>F-DT-04</t>
        </is>
      </c>
      <c r="C33" s="57" t="inlineStr">
        <is>
          <t>Carga ganadera 2 UA/ha, excesiva para el ecosistema Bes-cm</t>
        </is>
      </c>
      <c r="D33" s="57" t="inlineStr">
        <is>
          <t>SUSTANTIVA</t>
        </is>
      </c>
      <c r="E33" s="57" t="inlineStr">
        <is>
          <t>Condiciona el diseño de la clausura y del manejo de pastizales (Verificación heredada de la ficha de resumen V6.)</t>
        </is>
      </c>
    </row>
    <row r="35">
      <c r="A35" s="59" t="inlineStr">
        <is>
          <t>RESUMEN</t>
        </is>
      </c>
      <c r="B35" s="60" t="inlineStr">
        <is>
          <t>25 verificaciones</t>
        </is>
      </c>
      <c r="C35" s="60" t="inlineStr">
        <is>
          <t>SUSTANTIVA: 5 · NO SUSTANTIVA: 3 · CORREGIDO: 6 · CONFORME: 11</t>
        </is>
      </c>
    </row>
    <row r="37">
      <c r="A37"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37:E37"/>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M6B2-2</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1. Identificación y localización</t>
        </is>
      </c>
      <c r="B9" s="57" t="inlineStr">
        <is>
          <t>Centro poblado asociado</t>
        </is>
      </c>
      <c r="C9" s="57" t="inlineStr">
        <is>
          <t>Buenos Aires (capital distrital) / Caseríos Pueblo Nuevo, Chihuahua y Pedregal (CP 272 Buenos Aires)</t>
        </is>
      </c>
      <c r="D9" s="57" t="inlineStr">
        <is>
          <t>Buenos Aires (capital distrital) / Caserío Pueblo Nuevo / Caserío Chihuahua / Caserío Pedregal (CP 272 Buenos Aires colinda por el este)</t>
        </is>
      </c>
      <c r="E9" s="57" t="inlineStr">
        <is>
          <t>Dato de campo</t>
        </is>
      </c>
    </row>
    <row r="10">
      <c r="A10" s="58" t="inlineStr">
        <is>
          <t>1. Identificación y localización</t>
        </is>
      </c>
      <c r="B10" s="58" t="inlineStr">
        <is>
          <t>Comunidad campesina</t>
        </is>
      </c>
      <c r="C10" s="58" t="inlineStr">
        <is>
          <t>No aplica formalmente — TIERRAS ESTATALES ADMINISTRADAS POR EL GOBIERNO REGIONAL DE PIURA</t>
        </is>
      </c>
      <c r="D10" s="58" t="inlineStr">
        <is>
          <t>No aplica formalmente — el ámbito corresponde a tierras estatales administradas por el Gobierno Regional de Piura, articuladas funcionalmente con el CP Buenos Aires y caseríos Pueblo Nuevo, Chihuahua y Pedregal del distrito de Buenos Aires.</t>
        </is>
      </c>
      <c r="E10" s="58" t="inlineStr">
        <is>
          <t>Dato de campo</t>
        </is>
      </c>
    </row>
    <row r="11">
      <c r="A11" s="57" t="inlineStr">
        <is>
          <t>5. Ecosistema, cobertura y flora (F-DT-03)</t>
        </is>
      </c>
      <c r="B11" s="57" t="inlineStr">
        <is>
          <t>Superficie de ecosistema (ha)</t>
        </is>
      </c>
      <c r="C11" s="57" t="inlineStr">
        <is>
          <t>≈333.01 ha (99% del bloque)</t>
        </is>
      </c>
      <c r="D11" s="57" t="inlineStr">
        <is>
          <t>≈ 333.01 ha (área total del polígono digital — 99% del bloque corresponde al ecosistema BES_CM)</t>
        </is>
      </c>
      <c r="E11" s="57" t="inlineStr">
        <is>
          <t>Dato de campo</t>
        </is>
      </c>
    </row>
    <row r="12">
      <c r="A12" s="58" t="inlineStr">
        <is>
          <t>6. Degradación, causas y urgencia (F-DT-04)</t>
        </is>
      </c>
      <c r="B12" s="58" t="inlineStr">
        <is>
          <t>Causa subyacente principal</t>
        </is>
      </c>
      <c r="C12" s="58" t="inlineStr">
        <is>
          <t>Estructura económica local de subsistencia con baja diversificación productiva y dependencia histórica del pastoreo</t>
        </is>
      </c>
      <c r="D12" s="58" t="inlineStr">
        <is>
          <t>Estructura económica local de subsistencia con baja diversificación productiva, dependencia histórica del pastoreo caprino y vacuno extensivo sobre bosque seco, y dependencia del bosque como proveedor de leña y madera doméstica, agravado por la condición de tierras estatales sin titularidad clara (administradas por GORE Piura), lo que dificulta la implementación de acuerdos de conservación predial y reduce los incentivos para el manejo sostenible. Sin instrumentos vigentes de retribución por servicios ecosistémicos (MERESE) que internalicen el valor del bosque en pie.</t>
        </is>
      </c>
      <c r="E12" s="58" t="inlineStr">
        <is>
          <t>Dato de campo</t>
        </is>
      </c>
    </row>
    <row r="13">
      <c r="A13" s="57" t="inlineStr">
        <is>
          <t>8. Responsable y modalidad de la evaluación</t>
        </is>
      </c>
      <c r="B13" s="57" t="inlineStr">
        <is>
          <t>Responsable de la evaluación</t>
        </is>
      </c>
      <c r="C13" s="57" t="inlineStr">
        <is>
          <t>Ing. Héctor S. Cahuas Miller</t>
        </is>
      </c>
      <c r="D13" s="57" t="inlineStr">
        <is>
          <t>Brigada de campo — Ing. Héctor Salomón Cahuas Miller / Ing. Juan Domínguez</t>
        </is>
      </c>
      <c r="E13" s="57" t="inlineStr">
        <is>
          <t>Dato de campo</t>
        </is>
      </c>
    </row>
    <row r="15">
      <c r="A15" s="55" t="inlineStr">
        <is>
          <t>B. HECHOS APORTADOS ÚNICAMENTE POR LA FICHA DE CAMPO</t>
        </is>
      </c>
    </row>
    <row r="16">
      <c r="A16" s="56" t="inlineStr">
        <is>
          <t>Sección</t>
        </is>
      </c>
      <c r="B16" s="56" t="inlineStr">
        <is>
          <t>Hecho</t>
        </is>
      </c>
      <c r="C16" s="56" t="inlineStr">
        <is>
          <t>Valor</t>
        </is>
      </c>
      <c r="D16" s="56" t="inlineStr">
        <is>
          <t>Unidad</t>
        </is>
      </c>
    </row>
    <row r="17">
      <c r="A17" s="57" t="inlineStr">
        <is>
          <t>1. Identificación y localización</t>
        </is>
      </c>
      <c r="B17" s="57" t="inlineStr">
        <is>
          <t>UTM ESTE del punto de muestreo (m)</t>
        </is>
      </c>
      <c r="C17" s="57" t="inlineStr">
        <is>
          <t>612318</t>
        </is>
      </c>
      <c r="D17" s="57" t="inlineStr">
        <is>
          <t>m</t>
        </is>
      </c>
    </row>
    <row r="18">
      <c r="A18" s="58" t="inlineStr">
        <is>
          <t>1. Identificación y localización</t>
        </is>
      </c>
      <c r="B18" s="58" t="inlineStr">
        <is>
          <t>UTM NORTE del punto de muestreo (m)</t>
        </is>
      </c>
      <c r="C18" s="58" t="inlineStr">
        <is>
          <t>9417151</t>
        </is>
      </c>
      <c r="D18" s="58" t="inlineStr">
        <is>
          <t>m</t>
        </is>
      </c>
    </row>
    <row r="19">
      <c r="A19" s="57" t="inlineStr">
        <is>
          <t>2. Parámetros físicos del terreno</t>
        </is>
      </c>
      <c r="B19" s="57" t="inlineStr">
        <is>
          <t>Altitud GPS del punto de muestreo (msnm)</t>
        </is>
      </c>
      <c r="C19" s="57" t="inlineStr">
        <is>
          <t>285</t>
        </is>
      </c>
      <c r="D19" s="57" t="inlineStr">
        <is>
          <t>msnm</t>
        </is>
      </c>
    </row>
    <row r="20">
      <c r="A20" s="58" t="inlineStr">
        <is>
          <t>2. Parámetros físicos del terreno</t>
        </is>
      </c>
      <c r="B20" s="58" t="inlineStr">
        <is>
          <t>Piso altitudinal del punto de muestreo</t>
        </is>
      </c>
      <c r="C20" s="58" t="inlineStr">
        <is>
          <t>&lt;1000 m (Yunga)</t>
        </is>
      </c>
      <c r="D20" s="58" t="inlineStr"/>
    </row>
    <row r="21">
      <c r="A21" s="57" t="inlineStr">
        <is>
          <t>2. Parámetros físicos del terreno</t>
        </is>
      </c>
      <c r="B21" s="57" t="inlineStr">
        <is>
          <t>Paisaje dominante descrito en campo</t>
        </is>
      </c>
      <c r="C21" s="57" t="inlineStr">
        <is>
          <t>Bosque estacionalmente seco de colina y montaña en mosaico con matorral xerófilo abierto; presencia conspicua de cactáceas columnares, dosel arbóreo discontinuo de Charán, Pasallo, Hualtaco, Faique y Algarrobo; sectores basales con suelo desnudo, surcos de erosión laminar y senderos ganaderos; cabeceras de microcuenca con relictos arbóreos en mejor estado de conservación.</t>
        </is>
      </c>
      <c r="D21" s="57" t="inlineStr"/>
    </row>
    <row r="22">
      <c r="A22" s="58" t="inlineStr">
        <is>
          <t>2. Parámetros físicos del terreno</t>
        </is>
      </c>
      <c r="B22" s="58" t="inlineStr">
        <is>
          <t>Reptación de suelo</t>
        </is>
      </c>
      <c r="C22" s="58" t="inlineStr">
        <is>
          <t>Sí</t>
        </is>
      </c>
      <c r="D22" s="58" t="inlineStr"/>
    </row>
    <row r="23">
      <c r="A23" s="57" t="inlineStr">
        <is>
          <t>2. Parámetros físicos del terreno</t>
        </is>
      </c>
      <c r="B23" s="57" t="inlineStr">
        <is>
          <t>Deslizamientos antiguos</t>
        </is>
      </c>
      <c r="C23" s="57" t="inlineStr">
        <is>
          <t>No</t>
        </is>
      </c>
      <c r="D23" s="57" t="inlineStr"/>
    </row>
    <row r="24">
      <c r="A24" s="58" t="inlineStr">
        <is>
          <t>4. Suelos y erosión (F-DT-02)</t>
        </is>
      </c>
      <c r="B24" s="58" t="inlineStr">
        <is>
          <t>Nivel de erosión - síntesis de campo</t>
        </is>
      </c>
      <c r="C24" s="58" t="inlineStr">
        <is>
          <t>Moderada (surcos)</t>
        </is>
      </c>
      <c r="D24" s="58" t="inlineStr"/>
    </row>
    <row r="25">
      <c r="A25" s="57" t="inlineStr">
        <is>
          <t>4. Suelos y erosión (F-DT-02)</t>
        </is>
      </c>
      <c r="B25" s="57" t="inlineStr">
        <is>
          <t>Sellamiento / costra superficial</t>
        </is>
      </c>
      <c r="C25" s="57" t="inlineStr">
        <is>
          <t>Sí</t>
        </is>
      </c>
      <c r="D25" s="57" t="inlineStr"/>
    </row>
    <row r="26">
      <c r="A26" s="58" t="inlineStr">
        <is>
          <t>4. Suelos y erosión (F-DT-02)</t>
        </is>
      </c>
      <c r="B26" s="58" t="inlineStr">
        <is>
          <t>Compactación por pisoteo</t>
        </is>
      </c>
      <c r="C26" s="58" t="inlineStr">
        <is>
          <t>Sí</t>
        </is>
      </c>
      <c r="D26" s="58" t="inlineStr"/>
    </row>
    <row r="27">
      <c r="A27" s="57" t="inlineStr">
        <is>
          <t>4. Suelos y erosión (F-DT-02)</t>
        </is>
      </c>
      <c r="B27" s="57" t="inlineStr">
        <is>
          <t>Raíces expuestas</t>
        </is>
      </c>
      <c r="C27" s="57" t="inlineStr">
        <is>
          <t>Sí</t>
        </is>
      </c>
      <c r="D27" s="57" t="inlineStr"/>
    </row>
    <row r="28">
      <c r="A28" s="58" t="inlineStr">
        <is>
          <t>4. Suelos y erosión (F-DT-02)</t>
        </is>
      </c>
      <c r="B28" s="58" t="inlineStr">
        <is>
          <t>Longitud total de cárcavas (m)</t>
        </is>
      </c>
      <c r="C28" s="58" t="inlineStr">
        <is>
          <t>390</t>
        </is>
      </c>
      <c r="D28" s="58" t="inlineStr">
        <is>
          <t>m</t>
        </is>
      </c>
    </row>
    <row r="29">
      <c r="A29" s="57" t="inlineStr">
        <is>
          <t>4. Suelos y erosión (F-DT-02)</t>
        </is>
      </c>
      <c r="B29" s="57" t="inlineStr">
        <is>
          <t>% del bloque afectado por cárcavas</t>
        </is>
      </c>
      <c r="C29" s="57" t="inlineStr">
        <is>
          <t>≈ 2% del bloque (focalizada en cabeceras de quebradas internas y franja basal)</t>
        </is>
      </c>
      <c r="D29" s="57" t="inlineStr">
        <is>
          <t>%</t>
        </is>
      </c>
    </row>
    <row r="30">
      <c r="A30" s="58" t="inlineStr">
        <is>
          <t>4. Suelos y erosión (F-DT-02)</t>
        </is>
      </c>
      <c r="B30" s="58" t="inlineStr">
        <is>
          <t>Erosión laminar (% del bloque)</t>
        </is>
      </c>
      <c r="C30" s="58" t="inlineStr">
        <is>
          <t>35</t>
        </is>
      </c>
      <c r="D30" s="58" t="inlineStr">
        <is>
          <t>%</t>
        </is>
      </c>
    </row>
    <row r="31">
      <c r="A31" s="57" t="inlineStr">
        <is>
          <t>4. Suelos y erosión (F-DT-02)</t>
        </is>
      </c>
      <c r="B31" s="57" t="inlineStr">
        <is>
          <t>Patrón de cárcavas</t>
        </is>
      </c>
      <c r="C31" s="57" t="inlineStr">
        <is>
          <t>Mixto</t>
        </is>
      </c>
      <c r="D31" s="57" t="inlineStr"/>
    </row>
    <row r="32">
      <c r="A32" s="58" t="inlineStr">
        <is>
          <t>4. Suelos y erosión (F-DT-02)</t>
        </is>
      </c>
      <c r="B32" s="58" t="inlineStr">
        <is>
          <t>Socavamiento de cauce</t>
        </is>
      </c>
      <c r="C32" s="58" t="inlineStr">
        <is>
          <t>Sí</t>
        </is>
      </c>
      <c r="D32" s="58" t="inlineStr"/>
    </row>
    <row r="33">
      <c r="A33" s="57" t="inlineStr">
        <is>
          <t>5. Ecosistema, cobertura y flora (F-DT-03)</t>
        </is>
      </c>
      <c r="B33" s="57" t="inlineStr">
        <is>
          <t>Cobertura del dosel (%)</t>
        </is>
      </c>
      <c r="C33" s="57" t="inlineStr">
        <is>
          <t>25</t>
        </is>
      </c>
      <c r="D33" s="57" t="inlineStr">
        <is>
          <t>%</t>
        </is>
      </c>
    </row>
    <row r="34">
      <c r="A34" s="58" t="inlineStr">
        <is>
          <t>5. Ecosistema, cobertura y flora (F-DT-03)</t>
        </is>
      </c>
      <c r="B34" s="58" t="inlineStr">
        <is>
          <t>Cobertura arbustiva (%)</t>
        </is>
      </c>
      <c r="C34" s="58" t="inlineStr">
        <is>
          <t>30</t>
        </is>
      </c>
      <c r="D34" s="58" t="inlineStr">
        <is>
          <t>%</t>
        </is>
      </c>
    </row>
    <row r="35">
      <c r="A35" s="57" t="inlineStr">
        <is>
          <t>5. Ecosistema, cobertura y flora (F-DT-03)</t>
        </is>
      </c>
      <c r="B35" s="57" t="inlineStr">
        <is>
          <t>Cobertura herbácea (%)</t>
        </is>
      </c>
      <c r="C35" s="57" t="inlineStr">
        <is>
          <t>15</t>
        </is>
      </c>
      <c r="D35" s="57" t="inlineStr">
        <is>
          <t>%</t>
        </is>
      </c>
    </row>
    <row r="36">
      <c r="A36" s="58" t="inlineStr">
        <is>
          <t>5. Ecosistema, cobertura y flora (F-DT-03)</t>
        </is>
      </c>
      <c r="B36" s="58" t="inlineStr">
        <is>
          <t>Cobertura de hojarasca (%)</t>
        </is>
      </c>
      <c r="C36" s="58" t="inlineStr">
        <is>
          <t>10</t>
        </is>
      </c>
      <c r="D36" s="58" t="inlineStr">
        <is>
          <t>%</t>
        </is>
      </c>
    </row>
    <row r="37">
      <c r="A37" s="57" t="inlineStr">
        <is>
          <t>5. Ecosistema, cobertura y flora (F-DT-03)</t>
        </is>
      </c>
      <c r="B37" s="57" t="inlineStr">
        <is>
          <t>Altura del estrato dominante (m)</t>
        </is>
      </c>
      <c r="C37" s="57" t="inlineStr">
        <is>
          <t>4</t>
        </is>
      </c>
      <c r="D37" s="57" t="inlineStr">
        <is>
          <t>m</t>
        </is>
      </c>
    </row>
    <row r="38">
      <c r="A38" s="58" t="inlineStr">
        <is>
          <t>5. Ecosistema, cobertura y flora (F-DT-03)</t>
        </is>
      </c>
      <c r="B38" s="58" t="inlineStr">
        <is>
          <t>Altura máxima registrada (m)</t>
        </is>
      </c>
      <c r="C38" s="58" t="inlineStr">
        <is>
          <t>8.5</t>
        </is>
      </c>
      <c r="D38" s="58" t="inlineStr">
        <is>
          <t>m</t>
        </is>
      </c>
    </row>
    <row r="39">
      <c r="A39" s="57" t="inlineStr">
        <is>
          <t>5. Ecosistema, cobertura y flora (F-DT-03)</t>
        </is>
      </c>
      <c r="B39" s="57" t="inlineStr">
        <is>
          <t>DAP promedio (cm)</t>
        </is>
      </c>
      <c r="C39" s="57" t="inlineStr">
        <is>
          <t>22</t>
        </is>
      </c>
      <c r="D39" s="57" t="inlineStr">
        <is>
          <t>cm</t>
        </is>
      </c>
    </row>
    <row r="40">
      <c r="A40" s="58" t="inlineStr">
        <is>
          <t>5. Ecosistema, cobertura y flora (F-DT-03)</t>
        </is>
      </c>
      <c r="B40" s="58" t="inlineStr">
        <is>
          <t>Presencia de epífitas</t>
        </is>
      </c>
      <c r="C40" s="58" t="inlineStr">
        <is>
          <t>Sí</t>
        </is>
      </c>
      <c r="D40" s="58" t="inlineStr"/>
    </row>
    <row r="41">
      <c r="A41" s="57" t="inlineStr">
        <is>
          <t>5. Ecosistema, cobertura y flora (F-DT-03)</t>
        </is>
      </c>
      <c r="B41" s="57" t="inlineStr">
        <is>
          <t>Fenología dominante</t>
        </is>
      </c>
      <c r="C41" s="57" t="inlineStr">
        <is>
          <t>Caducifolio (hojas caídas)</t>
        </is>
      </c>
      <c r="D41" s="57" t="inlineStr"/>
    </row>
    <row r="42">
      <c r="A42" s="58" t="inlineStr">
        <is>
          <t>5. Ecosistema, cobertura y flora (F-DT-03)</t>
        </is>
      </c>
      <c r="B42" s="58" t="inlineStr">
        <is>
          <t>Dimensiones de la parcela (m)</t>
        </is>
      </c>
      <c r="C42" s="58" t="inlineStr">
        <is>
          <t>20 × 50 m (1000 m² = 0.10 ha)</t>
        </is>
      </c>
      <c r="D42" s="58" t="inlineStr"/>
    </row>
    <row r="43">
      <c r="A43" s="57" t="inlineStr">
        <is>
          <t>5. Ecosistema, cobertura y flora (F-DT-03)</t>
        </is>
      </c>
      <c r="B43" s="57" t="inlineStr">
        <is>
          <t>Pendiente de la parcela (%)</t>
        </is>
      </c>
      <c r="C43" s="57" t="inlineStr">
        <is>
          <t>14 – 17% (promedio en transectas dentro del bloque; máxima local 29%)</t>
        </is>
      </c>
      <c r="D43" s="57" t="inlineStr">
        <is>
          <t>%</t>
        </is>
      </c>
    </row>
    <row r="44">
      <c r="A44" s="58" t="inlineStr">
        <is>
          <t>5. Ecosistema, cobertura y flora (F-DT-03)</t>
        </is>
      </c>
      <c r="B44" s="58" t="inlineStr">
        <is>
          <t>Especies clave georreferenciadas</t>
        </is>
      </c>
      <c r="C44" s="58" t="inlineStr">
        <is>
          <t>6</t>
        </is>
      </c>
      <c r="D44" s="58" t="inlineStr"/>
    </row>
    <row r="45">
      <c r="A45" s="57" t="inlineStr">
        <is>
          <t>6. Degradación, causas y urgencia (F-DT-04)</t>
        </is>
      </c>
      <c r="B45" s="57" t="inlineStr">
        <is>
          <t>Causas directas de la degradación</t>
        </is>
      </c>
      <c r="C45" s="57" t="inlineStr">
        <is>
          <t>(1) Sobrepastoreo extensivo mixto (caprino-vacuno) no rotacional, causa directa principal del 70-80% del bloque; (2) Tala selectiva histórica de especies forestales nativas para leña, carbón y madera, con afectación moderada a especies clave como Hualtaco; (3) Erosión hídrica concentrada en cabeceras de quebradas y franja basal, con depósito geomorfológico de huaicos antiguos como evidencia de la magnitud potencial de eventos extremos; (4) Pérdida progresiva de cobertura vegetal evidenciada por MSAVI 2014-2024 (tendencia a degradación detectada).</t>
        </is>
      </c>
      <c r="D45" s="57" t="inlineStr"/>
    </row>
    <row r="46">
      <c r="A46" s="58" t="inlineStr">
        <is>
          <t>6. Degradación, causas y urgencia (F-DT-04)</t>
        </is>
      </c>
      <c r="B46" s="58" t="inlineStr">
        <is>
          <t>N.° de causas activas en la matriz F-DT-04</t>
        </is>
      </c>
      <c r="C46" s="58" t="inlineStr">
        <is>
          <t>9</t>
        </is>
      </c>
      <c r="D46" s="58" t="inlineStr"/>
    </row>
    <row r="47">
      <c r="A47" s="57" t="inlineStr">
        <is>
          <t>7. Hidrología, acceso y logística (F-DT-05)</t>
        </is>
      </c>
      <c r="B47" s="57" t="inlineStr">
        <is>
          <t>Escorrentía concentrada</t>
        </is>
      </c>
      <c r="C47" s="57" t="inlineStr">
        <is>
          <t>Sí</t>
        </is>
      </c>
      <c r="D47" s="57" t="inlineStr"/>
    </row>
    <row r="48">
      <c r="A48" s="58" t="inlineStr">
        <is>
          <t>7. Hidrología, acceso y logística (F-DT-05)</t>
        </is>
      </c>
      <c r="B48" s="58" t="inlineStr">
        <is>
          <t>Fuentes de agua inventariadas</t>
        </is>
      </c>
      <c r="C48" s="58" t="inlineStr">
        <is>
          <t>3</t>
        </is>
      </c>
      <c r="D48" s="58" t="inlineStr"/>
    </row>
    <row r="49">
      <c r="A49" s="57" t="inlineStr">
        <is>
          <t>7. Hidrología, acceso y logística (F-DT-05)</t>
        </is>
      </c>
      <c r="B49" s="57" t="inlineStr">
        <is>
          <t>Distancia a captación (m)</t>
        </is>
      </c>
      <c r="C49" s="57" t="inlineStr">
        <is>
          <t>≈ 1200 m (captación rústica del CP Buenos Aires / Caserío Pueblo Nuevo al noreste, fuera del polígono)</t>
        </is>
      </c>
      <c r="D49" s="57" t="inlineStr">
        <is>
          <t>m</t>
        </is>
      </c>
    </row>
    <row r="50">
      <c r="A50" s="58" t="inlineStr">
        <is>
          <t>7. Hidrología, acceso y logística (F-DT-05)</t>
        </is>
      </c>
      <c r="B50" s="58" t="inlineStr">
        <is>
          <t>Interferencia con riego</t>
        </is>
      </c>
      <c r="C50" s="58" t="inlineStr">
        <is>
          <t>No</t>
        </is>
      </c>
      <c r="D50" s="58" t="inlineStr"/>
    </row>
    <row r="51">
      <c r="A51" s="57" t="inlineStr">
        <is>
          <t>7. Hidrología, acceso y logística (F-DT-05)</t>
        </is>
      </c>
      <c r="B51" s="57" t="inlineStr">
        <is>
          <t>Vía principal de acceso</t>
        </is>
      </c>
      <c r="C51" s="57" t="inlineStr">
        <is>
          <t>Trocha vecinal afirmada Buenos Aires – Pueblo Nuevo – Chihuahua – Pedregal (acceso por el flanco NE del bloque); enlace con la vía nacional PE-1NL Sullana–Piura–Olmos a 3–5 km del ingreso.</t>
        </is>
      </c>
      <c r="D51" s="57" t="inlineStr"/>
    </row>
    <row r="52">
      <c r="A52" s="58" t="inlineStr">
        <is>
          <t>7. Hidrología, acceso y logística (F-DT-05)</t>
        </is>
      </c>
      <c r="B52" s="58" t="inlineStr">
        <is>
          <t>Tipo de vía del tramo final</t>
        </is>
      </c>
      <c r="C52" s="58" t="inlineStr">
        <is>
          <t>Camino de herradura</t>
        </is>
      </c>
      <c r="D52" s="58" t="inlineStr"/>
    </row>
    <row r="53">
      <c r="A53" s="57" t="inlineStr">
        <is>
          <t>7. Hidrología, acceso y logística (F-DT-05)</t>
        </is>
      </c>
      <c r="B53" s="57" t="inlineStr">
        <is>
          <t>Transitabilidad en época seca</t>
        </is>
      </c>
      <c r="C53" s="57" t="inlineStr">
        <is>
          <t>Alto</t>
        </is>
      </c>
      <c r="D53" s="57" t="inlineStr"/>
    </row>
    <row r="54">
      <c r="A54" s="58" t="inlineStr">
        <is>
          <t>7. Hidrología, acceso y logística (F-DT-05)</t>
        </is>
      </c>
      <c r="B54" s="58" t="inlineStr">
        <is>
          <t>Transitabilidad en época lluviosa</t>
        </is>
      </c>
      <c r="C54" s="58" t="inlineStr">
        <is>
          <t>Bajo</t>
        </is>
      </c>
      <c r="D54" s="58" t="inlineStr"/>
    </row>
    <row r="55">
      <c r="A55" s="57" t="inlineStr">
        <is>
          <t>7. Hidrología, acceso y logística (F-DT-05)</t>
        </is>
      </c>
      <c r="B55" s="57" t="inlineStr">
        <is>
          <t>Tiempo a la capital distrital (min)</t>
        </is>
      </c>
      <c r="C55" s="57" t="inlineStr">
        <is>
          <t>20 — 30 min en vehículo desde Buenos Aires + 15–20 min a pie hasta puntos representativos del bloque</t>
        </is>
      </c>
      <c r="D55" s="57" t="inlineStr">
        <is>
          <t>min</t>
        </is>
      </c>
    </row>
    <row r="56">
      <c r="A56" s="58" t="inlineStr">
        <is>
          <t>7. Hidrología, acceso y logística (F-DT-05)</t>
        </is>
      </c>
      <c r="B56" s="58" t="inlineStr">
        <is>
          <t>Señal celular</t>
        </is>
      </c>
      <c r="C56" s="58" t="inlineStr">
        <is>
          <t>Intermitente</t>
        </is>
      </c>
      <c r="D56" s="58" t="inlineStr"/>
    </row>
    <row r="57">
      <c r="A57" s="57" t="inlineStr">
        <is>
          <t>7. Hidrología, acceso y logística (F-DT-05)</t>
        </is>
      </c>
      <c r="B57" s="57" t="inlineStr">
        <is>
          <t>Operador con cobertura</t>
        </is>
      </c>
      <c r="C57" s="57" t="inlineStr">
        <is>
          <t>Claro</t>
        </is>
      </c>
      <c r="D57" s="57" t="inlineStr"/>
    </row>
    <row r="58">
      <c r="A58" s="58" t="inlineStr">
        <is>
          <t>7. Hidrología, acceso y logística (F-DT-05)</t>
        </is>
      </c>
      <c r="B58" s="58" t="inlineStr">
        <is>
          <t>Alojamiento disponible en la zona</t>
        </is>
      </c>
      <c r="C58" s="58" t="inlineStr">
        <is>
          <t>Sí</t>
        </is>
      </c>
      <c r="D58" s="58" t="inlineStr"/>
    </row>
    <row r="59">
      <c r="A59" s="57" t="inlineStr">
        <is>
          <t>7. Hidrología, acceso y logística (F-DT-05)</t>
        </is>
      </c>
      <c r="B59" s="57" t="inlineStr">
        <is>
          <t>Requiere coordinación con ronda / comunidad</t>
        </is>
      </c>
      <c r="C59" s="57" t="inlineStr">
        <is>
          <t>Sí</t>
        </is>
      </c>
      <c r="D59" s="57" t="inlineStr"/>
    </row>
    <row r="61">
      <c r="A61" s="55" t="inlineStr">
        <is>
          <t>C. PROCEDENCIA DE LOS HECHOS DECLARADOS</t>
        </is>
      </c>
    </row>
    <row r="62">
      <c r="A62" s="56" t="inlineStr">
        <is>
          <t>Fuente</t>
        </is>
      </c>
      <c r="B62" s="56" t="inlineStr">
        <is>
          <t>Hechos</t>
        </is>
      </c>
      <c r="C62" s="56" t="inlineStr">
        <is>
          <t>Alcance de la fuente</t>
        </is>
      </c>
    </row>
    <row r="63">
      <c r="A63" s="57" t="inlineStr">
        <is>
          <t>Dato de campo</t>
        </is>
      </c>
      <c r="B63" s="57" t="n">
        <v>73</v>
      </c>
      <c r="C63" s="57" t="inlineStr">
        <is>
          <t>Verificación en campo. Fichas F-DT-01 a F-DT-05 de la Plantilla DT Campo Check Validada V5, suscritas por el evaluador.</t>
        </is>
      </c>
    </row>
    <row r="64">
      <c r="A64" s="58" t="inlineStr">
        <is>
          <t>Gabinete (GIS / teledetección)</t>
        </is>
      </c>
      <c r="B64" s="58" t="n">
        <v>23</v>
      </c>
      <c r="C64" s="58" t="inlineStr">
        <is>
          <t>Gabinete. Estadística zonal sobre el MDE y compuestos Sentinel-2 (NDVI mediana 2025, MSAVI 2024 por clase DN).</t>
        </is>
      </c>
    </row>
    <row r="65">
      <c r="A65" s="57" t="inlineStr">
        <is>
          <t>Fuente oficial</t>
        </is>
      </c>
      <c r="B65" s="57" t="n">
        <v>14</v>
      </c>
      <c r="C65" s="57" t="inlineStr">
        <is>
          <t>Fuente oficial. Catálogo maestro Bloques V5/V6, división política INEI y codificación de microcuencas de la ANA.</t>
        </is>
      </c>
    </row>
    <row r="67">
      <c r="A67" s="55" t="inlineStr">
        <is>
          <t>D. ESTADO DEL CRUCE ENTRE FUENTES</t>
        </is>
      </c>
    </row>
    <row r="68">
      <c r="A68" s="56" t="inlineStr">
        <is>
          <t>Estado</t>
        </is>
      </c>
      <c r="B68" s="56" t="inlineStr">
        <is>
          <t>Hechos</t>
        </is>
      </c>
      <c r="C68" s="56" t="inlineStr">
        <is>
          <t>Significado</t>
        </is>
      </c>
    </row>
    <row r="69">
      <c r="A69" s="57" t="inlineStr">
        <is>
          <t>CONFORME</t>
        </is>
      </c>
      <c r="B69" s="57" t="n">
        <v>105</v>
      </c>
      <c r="C69" s="57" t="inlineStr">
        <is>
          <t>Las dos fuentes declaran lo mismo, o solo la fuente que manda sobre el hecho lo declara.</t>
        </is>
      </c>
    </row>
    <row r="70">
      <c r="A70" s="58" t="inlineStr">
        <is>
          <t>COMPLEMENTADO</t>
        </is>
      </c>
      <c r="B70" s="58" t="n">
        <v>0</v>
      </c>
      <c r="C70" s="58" t="inlineStr">
        <is>
          <t>Solo una de las fuentes lo declara y se adopta ese valor.</t>
        </is>
      </c>
    </row>
    <row r="71">
      <c r="A71" s="57" t="inlineStr">
        <is>
          <t>ACTUALIZADO</t>
        </is>
      </c>
      <c r="B71" s="57" t="n">
        <v>5</v>
      </c>
      <c r="C71" s="57" t="inlineStr">
        <is>
          <t>La verificación de campo vigente corrige lo que traía el libro de resumen.</t>
        </is>
      </c>
    </row>
    <row r="72">
      <c r="A72" s="58" t="inlineStr">
        <is>
          <t>DISCREPANTE</t>
        </is>
      </c>
      <c r="B72" s="58" t="n">
        <v>0</v>
      </c>
      <c r="C72" s="58" t="inlineStr">
        <is>
          <t>Las fuentes se contradicen; prevalece la que manda sobre el hecho y la otra queda declarada.</t>
        </is>
      </c>
    </row>
    <row r="73">
      <c r="A73" s="57" t="inlineStr">
        <is>
          <t>PENDIENTE</t>
        </is>
      </c>
      <c r="B73" s="57" t="n">
        <v>4</v>
      </c>
      <c r="C73"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M6B2-2</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CA-01</t>
        </is>
      </c>
      <c r="B9" s="57" t="inlineStr">
        <is>
          <t>Cárcava somera (0.5-2 m)</t>
        </is>
      </c>
      <c r="C9" s="62" t="n">
        <v>612262</v>
      </c>
      <c r="D9" s="62" t="n">
        <v>9417144</v>
      </c>
      <c r="E9" s="62" t="n">
        <v>60</v>
      </c>
      <c r="F9" s="63" t="n">
        <v>1.2</v>
      </c>
      <c r="G9" s="63" t="n">
        <v>8</v>
      </c>
      <c r="H9" s="57" t="inlineStr">
        <is>
          <t>Inactiva</t>
        </is>
      </c>
      <c r="I9" s="57" t="inlineStr">
        <is>
          <t>Concentración natural de escorrentía</t>
        </is>
      </c>
    </row>
    <row r="10">
      <c r="A10" s="58" t="inlineStr">
        <is>
          <t>CA-02</t>
        </is>
      </c>
      <c r="B10" s="58" t="inlineStr">
        <is>
          <t>Cárcava profunda (2-5 m)</t>
        </is>
      </c>
      <c r="C10" s="64" t="n">
        <v>612179</v>
      </c>
      <c r="D10" s="64" t="n">
        <v>9416517</v>
      </c>
      <c r="E10" s="64" t="n">
        <v>250</v>
      </c>
      <c r="F10" s="65" t="n">
        <v>2.5</v>
      </c>
      <c r="G10" s="64" t="n">
        <v>12</v>
      </c>
      <c r="H10" s="58" t="inlineStr">
        <is>
          <t>Semi-activa</t>
        </is>
      </c>
      <c r="I10" s="58" t="inlineStr">
        <is>
          <t>Concentración natural de escorrentía</t>
        </is>
      </c>
    </row>
    <row r="11">
      <c r="A11" s="57" t="inlineStr">
        <is>
          <t>CA-03</t>
        </is>
      </c>
      <c r="B11" s="57" t="inlineStr">
        <is>
          <t>Surco (&lt;30 cm)</t>
        </is>
      </c>
      <c r="C11" s="62" t="n">
        <v>612143</v>
      </c>
      <c r="D11" s="62" t="n">
        <v>9417117</v>
      </c>
      <c r="E11" s="62" t="n">
        <v>80</v>
      </c>
      <c r="F11" s="63" t="n">
        <v>0.15</v>
      </c>
      <c r="G11" s="63" t="n">
        <v>0.4</v>
      </c>
      <c r="H11" s="57" t="inlineStr">
        <is>
          <t>Activa</t>
        </is>
      </c>
      <c r="I11" s="57" t="inlineStr">
        <is>
          <t>Sobrepastoreo</t>
        </is>
      </c>
    </row>
    <row r="13">
      <c r="A13" s="55" t="inlineStr">
        <is>
          <t>F-DT-03 · ELENCO FLORÍSTICO</t>
        </is>
      </c>
    </row>
    <row r="14">
      <c r="A14" s="56" t="inlineStr">
        <is>
          <t>N.o</t>
        </is>
      </c>
      <c r="B14" s="56" t="inlineStr">
        <is>
          <t>Nombre común</t>
        </is>
      </c>
      <c r="C14" s="56" t="inlineStr">
        <is>
          <t>Nombre científico</t>
        </is>
      </c>
      <c r="D14" s="56" t="inlineStr">
        <is>
          <t>Familia</t>
        </is>
      </c>
      <c r="E14" s="56" t="inlineStr">
        <is>
          <t>Estrato</t>
        </is>
      </c>
      <c r="F14" s="56" t="inlineStr">
        <is>
          <t>Origen</t>
        </is>
      </c>
      <c r="G14" s="56" t="inlineStr">
        <is>
          <t>Abundancia</t>
        </is>
      </c>
      <c r="H14" s="56" t="inlineStr">
        <is>
          <t>DAP (cm)</t>
        </is>
      </c>
      <c r="I14" s="56" t="inlineStr">
        <is>
          <t>Altura (m)</t>
        </is>
      </c>
    </row>
    <row r="15">
      <c r="A15" s="57" t="inlineStr">
        <is>
          <t>1</t>
        </is>
      </c>
      <c r="B15" s="57" t="inlineStr">
        <is>
          <t>Charán</t>
        </is>
      </c>
      <c r="C15" s="57" t="inlineStr">
        <is>
          <t>Caesalpinia paipai</t>
        </is>
      </c>
      <c r="D15" s="57" t="inlineStr">
        <is>
          <t>Fabaceae</t>
        </is>
      </c>
      <c r="E15" s="57" t="inlineStr">
        <is>
          <t>Arbóreo medio (8-15 m)</t>
        </is>
      </c>
      <c r="F15" s="57" t="inlineStr">
        <is>
          <t>Nativa</t>
        </is>
      </c>
      <c r="G15" s="57" t="inlineStr">
        <is>
          <t>Dominante (&gt;40%)</t>
        </is>
      </c>
      <c r="H15" s="62" t="n">
        <v>20</v>
      </c>
      <c r="I15" s="63" t="n">
        <v>7</v>
      </c>
    </row>
    <row r="16">
      <c r="A16" s="58" t="inlineStr">
        <is>
          <t>2</t>
        </is>
      </c>
      <c r="B16" s="58" t="inlineStr">
        <is>
          <t>Faique / Espino</t>
        </is>
      </c>
      <c r="C16" s="58" t="inlineStr">
        <is>
          <t>Vachellia macracantha</t>
        </is>
      </c>
      <c r="D16" s="58" t="inlineStr">
        <is>
          <t>Fabaceae</t>
        </is>
      </c>
      <c r="E16" s="58" t="inlineStr">
        <is>
          <t>Arbóreo medio (8-15 m)</t>
        </is>
      </c>
      <c r="F16" s="58" t="inlineStr">
        <is>
          <t>Nativa</t>
        </is>
      </c>
      <c r="G16" s="58" t="inlineStr">
        <is>
          <t>Abundante (20-40%)</t>
        </is>
      </c>
      <c r="H16" s="64" t="n">
        <v>18</v>
      </c>
      <c r="I16" s="65" t="n">
        <v>6.5</v>
      </c>
    </row>
    <row r="17">
      <c r="A17" s="57" t="inlineStr">
        <is>
          <t>3</t>
        </is>
      </c>
      <c r="B17" s="57" t="inlineStr">
        <is>
          <t>Pasallo</t>
        </is>
      </c>
      <c r="C17" s="57" t="inlineStr">
        <is>
          <t>Eriotheca ruizii</t>
        </is>
      </c>
      <c r="D17" s="57" t="inlineStr">
        <is>
          <t>Malvaceae</t>
        </is>
      </c>
      <c r="E17" s="57" t="inlineStr">
        <is>
          <t>Arbóreo medio (8-15 m)</t>
        </is>
      </c>
      <c r="F17" s="57" t="inlineStr">
        <is>
          <t>Nativa</t>
        </is>
      </c>
      <c r="G17" s="57" t="inlineStr">
        <is>
          <t>Frecuente (5-20%)</t>
        </is>
      </c>
      <c r="H17" s="62" t="n">
        <v>28</v>
      </c>
      <c r="I17" s="63" t="n">
        <v>8.5</v>
      </c>
    </row>
    <row r="18">
      <c r="A18" s="58" t="inlineStr">
        <is>
          <t>4</t>
        </is>
      </c>
      <c r="B18" s="58" t="inlineStr">
        <is>
          <t>Hualtaco</t>
        </is>
      </c>
      <c r="C18" s="58" t="inlineStr">
        <is>
          <t>Loxopterygium huasango</t>
        </is>
      </c>
      <c r="D18" s="58" t="inlineStr">
        <is>
          <t>Anacardiaceae</t>
        </is>
      </c>
      <c r="E18" s="58" t="inlineStr">
        <is>
          <t>Arbóreo medio (8-15 m)</t>
        </is>
      </c>
      <c r="F18" s="58" t="inlineStr">
        <is>
          <t>Nativa</t>
        </is>
      </c>
      <c r="G18" s="58" t="inlineStr">
        <is>
          <t>Ocasional (1-5%)</t>
        </is>
      </c>
      <c r="H18" s="64" t="n">
        <v>18</v>
      </c>
      <c r="I18" s="65" t="n">
        <v>6.5</v>
      </c>
    </row>
    <row r="19">
      <c r="A19" s="57" t="inlineStr">
        <is>
          <t>5</t>
        </is>
      </c>
      <c r="B19" s="57" t="inlineStr">
        <is>
          <t>Algarrobo</t>
        </is>
      </c>
      <c r="C19" s="57" t="inlineStr">
        <is>
          <t>Prosopis pallida</t>
        </is>
      </c>
      <c r="D19" s="57" t="inlineStr">
        <is>
          <t>Fabaceae</t>
        </is>
      </c>
      <c r="E19" s="57" t="inlineStr">
        <is>
          <t>Arbóreo bajo (4-8 m)</t>
        </is>
      </c>
      <c r="F19" s="57" t="inlineStr">
        <is>
          <t>Nativa</t>
        </is>
      </c>
      <c r="G19" s="57" t="inlineStr">
        <is>
          <t>Frecuente (5-20%)</t>
        </is>
      </c>
      <c r="H19" s="62" t="n">
        <v>22</v>
      </c>
      <c r="I19" s="63" t="n">
        <v>5.5</v>
      </c>
    </row>
    <row r="20">
      <c r="A20" s="58" t="inlineStr">
        <is>
          <t>6</t>
        </is>
      </c>
      <c r="B20" s="58" t="inlineStr">
        <is>
          <t>Palo Verde</t>
        </is>
      </c>
      <c r="C20" s="58" t="inlineStr">
        <is>
          <t>Parkinsonia praecox</t>
        </is>
      </c>
      <c r="D20" s="58" t="inlineStr">
        <is>
          <t>Fabaceae</t>
        </is>
      </c>
      <c r="E20" s="58" t="inlineStr">
        <is>
          <t>Arbóreo bajo (4-8 m)</t>
        </is>
      </c>
      <c r="F20" s="58" t="inlineStr">
        <is>
          <t>Nativa</t>
        </is>
      </c>
      <c r="G20" s="58" t="inlineStr">
        <is>
          <t>Ocasional (1-5%)</t>
        </is>
      </c>
      <c r="H20" s="64" t="n">
        <v>12</v>
      </c>
      <c r="I20" s="65" t="n">
        <v>4</v>
      </c>
    </row>
    <row r="21">
      <c r="A21" s="57" t="inlineStr">
        <is>
          <t>7</t>
        </is>
      </c>
      <c r="B21" s="57" t="inlineStr">
        <is>
          <t>Palo Santo</t>
        </is>
      </c>
      <c r="C21" s="57" t="inlineStr">
        <is>
          <t>Bursera graveolens</t>
        </is>
      </c>
      <c r="D21" s="57" t="inlineStr">
        <is>
          <t>Burseraceae</t>
        </is>
      </c>
      <c r="E21" s="57" t="inlineStr">
        <is>
          <t>Arbóreo bajo (4-8 m)</t>
        </is>
      </c>
      <c r="F21" s="57" t="inlineStr">
        <is>
          <t>Nativa</t>
        </is>
      </c>
      <c r="G21" s="57" t="inlineStr">
        <is>
          <t>Ocasional (1-5%)</t>
        </is>
      </c>
      <c r="H21" s="62" t="n">
        <v>14</v>
      </c>
      <c r="I21" s="63" t="n">
        <v>4.5</v>
      </c>
    </row>
    <row r="22">
      <c r="A22" s="58" t="inlineStr">
        <is>
          <t>8</t>
        </is>
      </c>
      <c r="B22" s="58" t="inlineStr">
        <is>
          <t>Overo</t>
        </is>
      </c>
      <c r="C22" s="58" t="inlineStr">
        <is>
          <t>Cordia lutea</t>
        </is>
      </c>
      <c r="D22" s="58" t="inlineStr">
        <is>
          <t>Boraginaceae</t>
        </is>
      </c>
      <c r="E22" s="58" t="inlineStr">
        <is>
          <t>Arbustivo alto (1.5-4 m)</t>
        </is>
      </c>
      <c r="F22" s="58" t="inlineStr">
        <is>
          <t>Nativa</t>
        </is>
      </c>
      <c r="G22" s="58" t="inlineStr">
        <is>
          <t>Frecuente (5-20%)</t>
        </is>
      </c>
      <c r="H22" s="65" t="n">
        <v>8</v>
      </c>
      <c r="I22" s="65" t="n">
        <v>2.5</v>
      </c>
    </row>
    <row r="23">
      <c r="A23" s="57" t="inlineStr">
        <is>
          <t>9</t>
        </is>
      </c>
      <c r="B23" s="57" t="inlineStr">
        <is>
          <t>Sapote</t>
        </is>
      </c>
      <c r="C23" s="57" t="inlineStr">
        <is>
          <t>Colicodendron scabridum</t>
        </is>
      </c>
      <c r="D23" s="57" t="inlineStr">
        <is>
          <t>Capparaceae</t>
        </is>
      </c>
      <c r="E23" s="57" t="inlineStr">
        <is>
          <t>Arbustivo alto (1.5-4 m)</t>
        </is>
      </c>
      <c r="F23" s="57" t="inlineStr">
        <is>
          <t>Nativa</t>
        </is>
      </c>
      <c r="G23" s="57" t="inlineStr">
        <is>
          <t>Ocasional (1-5%)</t>
        </is>
      </c>
      <c r="H23" s="62" t="n">
        <v>10</v>
      </c>
      <c r="I23" s="63" t="n">
        <v>2.8</v>
      </c>
    </row>
    <row r="24">
      <c r="A24" s="58" t="inlineStr">
        <is>
          <t>10</t>
        </is>
      </c>
      <c r="B24" s="58" t="inlineStr">
        <is>
          <t>Vichayo</t>
        </is>
      </c>
      <c r="C24" s="58" t="inlineStr">
        <is>
          <t>Capparis avicennifolia</t>
        </is>
      </c>
      <c r="D24" s="58" t="inlineStr">
        <is>
          <t>Capparaceae</t>
        </is>
      </c>
      <c r="E24" s="58" t="inlineStr">
        <is>
          <t>Arbustivo alto (1.5-4 m)</t>
        </is>
      </c>
      <c r="F24" s="58" t="inlineStr">
        <is>
          <t>Nativa</t>
        </is>
      </c>
      <c r="G24" s="58" t="inlineStr">
        <is>
          <t>Frecuente (5-20%)</t>
        </is>
      </c>
      <c r="H24" s="58" t="n"/>
      <c r="I24" s="65" t="n">
        <v>2</v>
      </c>
    </row>
    <row r="25">
      <c r="A25" s="57" t="inlineStr">
        <is>
          <t>11</t>
        </is>
      </c>
      <c r="B25" s="57" t="inlineStr">
        <is>
          <t>Cardo/Cactus columnar</t>
        </is>
      </c>
      <c r="C25" s="57" t="inlineStr">
        <is>
          <t>Armatocereus cartwrightianus</t>
        </is>
      </c>
      <c r="D25" s="57" t="inlineStr">
        <is>
          <t>Cactaceae</t>
        </is>
      </c>
      <c r="E25" s="57" t="inlineStr">
        <is>
          <t>Arbóreo bajo (4-8 m)</t>
        </is>
      </c>
      <c r="F25" s="57" t="inlineStr">
        <is>
          <t>Nativa</t>
        </is>
      </c>
      <c r="G25" s="57" t="inlineStr">
        <is>
          <t>Abundante (20-40%)</t>
        </is>
      </c>
      <c r="H25" s="62" t="n">
        <v>15</v>
      </c>
      <c r="I25" s="63" t="n">
        <v>4</v>
      </c>
    </row>
    <row r="26">
      <c r="A26" s="58" t="inlineStr">
        <is>
          <t>12</t>
        </is>
      </c>
      <c r="B26" s="58" t="inlineStr">
        <is>
          <t>Gigantón</t>
        </is>
      </c>
      <c r="C26" s="58" t="inlineStr">
        <is>
          <t>Neoraimondia arequipensis</t>
        </is>
      </c>
      <c r="D26" s="58" t="inlineStr">
        <is>
          <t>Cactaceae</t>
        </is>
      </c>
      <c r="E26" s="58" t="inlineStr">
        <is>
          <t>Arbustivo alto (1.5-4 m)</t>
        </is>
      </c>
      <c r="F26" s="58" t="inlineStr">
        <is>
          <t>Nativa</t>
        </is>
      </c>
      <c r="G26" s="58" t="inlineStr">
        <is>
          <t>Ocasional (1-5%)</t>
        </is>
      </c>
      <c r="H26" s="64" t="n">
        <v>18</v>
      </c>
      <c r="I26" s="65" t="n">
        <v>3.5</v>
      </c>
    </row>
    <row r="27">
      <c r="A27" s="57" t="inlineStr">
        <is>
          <t>13</t>
        </is>
      </c>
      <c r="B27" s="57" t="inlineStr">
        <is>
          <t>Suelda con suelda</t>
        </is>
      </c>
      <c r="C27" s="57" t="inlineStr">
        <is>
          <t>Phoradendron piperoides</t>
        </is>
      </c>
      <c r="D27" s="57" t="inlineStr">
        <is>
          <t>Loranthaceae</t>
        </is>
      </c>
      <c r="E27" s="57" t="inlineStr">
        <is>
          <t>Arbustivo bajo (0.5-1.5 m)</t>
        </is>
      </c>
      <c r="F27" s="57" t="inlineStr">
        <is>
          <t>Nativa</t>
        </is>
      </c>
      <c r="G27" s="57" t="inlineStr">
        <is>
          <t>Ocasional (1-5%)</t>
        </is>
      </c>
      <c r="H27" s="57" t="n"/>
      <c r="I27" s="63" t="n">
        <v>1</v>
      </c>
    </row>
    <row r="28">
      <c r="A28" s="58" t="inlineStr">
        <is>
          <t>14</t>
        </is>
      </c>
      <c r="B28" s="58" t="inlineStr">
        <is>
          <t>Pastos estacionales (gramíneas)</t>
        </is>
      </c>
      <c r="C28" s="58" t="inlineStr">
        <is>
          <t>Aristida adscensionis y otras</t>
        </is>
      </c>
      <c r="D28" s="58" t="inlineStr">
        <is>
          <t>Poaceae</t>
        </is>
      </c>
      <c r="E28" s="58" t="inlineStr">
        <is>
          <t>Herbáceo (&lt;0.5 m)</t>
        </is>
      </c>
      <c r="F28" s="58" t="inlineStr">
        <is>
          <t>Nativa</t>
        </is>
      </c>
      <c r="G28" s="58" t="inlineStr">
        <is>
          <t>Frecuente (5-20%)</t>
        </is>
      </c>
      <c r="H28" s="58" t="n"/>
      <c r="I28" s="65" t="n">
        <v>0.3</v>
      </c>
    </row>
    <row r="29">
      <c r="A29" s="57" t="inlineStr">
        <is>
          <t>15</t>
        </is>
      </c>
      <c r="B29" s="57" t="inlineStr">
        <is>
          <t>Cabuya / Pencas</t>
        </is>
      </c>
      <c r="C29" s="57" t="inlineStr">
        <is>
          <t>Furcraea andina</t>
        </is>
      </c>
      <c r="D29" s="57" t="inlineStr">
        <is>
          <t>Asparagaceae</t>
        </is>
      </c>
      <c r="E29" s="57" t="inlineStr">
        <is>
          <t>Arbustivo bajo (0.5-1.5 m)</t>
        </is>
      </c>
      <c r="F29" s="57" t="inlineStr">
        <is>
          <t>Nativa</t>
        </is>
      </c>
      <c r="G29" s="57" t="inlineStr">
        <is>
          <t>Ocasional (1-5%)</t>
        </is>
      </c>
      <c r="H29" s="57" t="n"/>
      <c r="I29" s="63" t="n">
        <v>1.2</v>
      </c>
    </row>
    <row r="31">
      <c r="A31" s="55" t="inlineStr">
        <is>
          <t>F-DT-03 · ESPECIES CLAVE GEORREFERENCIADAS</t>
        </is>
      </c>
    </row>
    <row r="32">
      <c r="A32" s="56" t="inlineStr">
        <is>
          <t>N.o</t>
        </is>
      </c>
      <c r="B32" s="56" t="inlineStr">
        <is>
          <t>Especie</t>
        </is>
      </c>
      <c r="C32" s="56" t="inlineStr">
        <is>
          <t>Categoría</t>
        </is>
      </c>
      <c r="D32" s="56" t="inlineStr">
        <is>
          <t>Estado UICN</t>
        </is>
      </c>
      <c r="E32" s="56" t="inlineStr">
        <is>
          <t>UTM ESTE</t>
        </is>
      </c>
      <c r="F32" s="56" t="inlineStr">
        <is>
          <t>UTM NORTE</t>
        </is>
      </c>
      <c r="G32" s="56" t="inlineStr">
        <is>
          <t>N.° individuos</t>
        </is>
      </c>
      <c r="H32" s="56" t="inlineStr">
        <is>
          <t>Observación</t>
        </is>
      </c>
    </row>
    <row r="33">
      <c r="A33" s="57" t="inlineStr">
        <is>
          <t>1</t>
        </is>
      </c>
      <c r="B33" s="57" t="inlineStr">
        <is>
          <t>Loxopterygium huasango (Hualtaco)</t>
        </is>
      </c>
      <c r="C33" s="57" t="inlineStr">
        <is>
          <t>Indicadora de buen estado</t>
        </is>
      </c>
      <c r="D33" s="57" t="inlineStr">
        <is>
          <t>VU — Vulnerable</t>
        </is>
      </c>
      <c r="E33" s="62" t="n">
        <v>612176</v>
      </c>
      <c r="F33" s="62" t="n">
        <v>9417095</v>
      </c>
      <c r="G33" s="63" t="n">
        <v>5</v>
      </c>
      <c r="H33" s="57" t="inlineStr">
        <is>
          <t>Individuos relictuales dispersos en cotas medias; sobreexplotación histórica por valor de su madera (parquet)</t>
        </is>
      </c>
    </row>
    <row r="34">
      <c r="A34" s="58" t="inlineStr">
        <is>
          <t>2</t>
        </is>
      </c>
      <c r="B34" s="58" t="inlineStr">
        <is>
          <t>Bursera graveolens (Palo Santo)</t>
        </is>
      </c>
      <c r="C34" s="58" t="inlineStr">
        <is>
          <t>Clave cultural</t>
        </is>
      </c>
      <c r="D34" s="58" t="inlineStr">
        <is>
          <t>NT — Casi Amenazado</t>
        </is>
      </c>
      <c r="E34" s="64" t="n">
        <v>612200</v>
      </c>
      <c r="F34" s="64" t="n">
        <v>9417100</v>
      </c>
      <c r="G34" s="65" t="n">
        <v>3</v>
      </c>
      <c r="H34" s="58" t="inlineStr">
        <is>
          <t>Especie aromática emblemática del BES; restricciones de aprovechamiento</t>
        </is>
      </c>
    </row>
    <row r="35">
      <c r="A35" s="57" t="inlineStr">
        <is>
          <t>3</t>
        </is>
      </c>
      <c r="B35" s="57" t="inlineStr">
        <is>
          <t>Eriotheca ruizii (Pasallo)</t>
        </is>
      </c>
      <c r="C35" s="57" t="inlineStr">
        <is>
          <t>Endémica norte / Piura</t>
        </is>
      </c>
      <c r="D35" s="57" t="inlineStr">
        <is>
          <t>LC — Preocupación Menor</t>
        </is>
      </c>
      <c r="E35" s="62" t="n">
        <v>612142</v>
      </c>
      <c r="F35" s="62" t="n">
        <v>9417116</v>
      </c>
      <c r="G35" s="63" t="n">
        <v>8</v>
      </c>
      <c r="H35" s="57" t="inlineStr">
        <is>
          <t>Árbol caracterizado por tronco abotellado; abundante en sectores medios</t>
        </is>
      </c>
    </row>
    <row r="36">
      <c r="A36" s="58" t="inlineStr">
        <is>
          <t>4</t>
        </is>
      </c>
      <c r="B36" s="58" t="inlineStr">
        <is>
          <t>Caesalpinia paipai (Charán)</t>
        </is>
      </c>
      <c r="C36" s="58" t="inlineStr">
        <is>
          <t>Indicadora de buen estado</t>
        </is>
      </c>
      <c r="D36" s="58" t="inlineStr">
        <is>
          <t>LC — Preocupación Menor</t>
        </is>
      </c>
      <c r="E36" s="64" t="n">
        <v>614278</v>
      </c>
      <c r="F36" s="64" t="n">
        <v>9418258</v>
      </c>
      <c r="G36" s="64" t="n">
        <v>25</v>
      </c>
      <c r="H36" s="58" t="inlineStr">
        <is>
          <t>Especie más frecuente en estrato arbóreo del bloque</t>
        </is>
      </c>
    </row>
    <row r="37">
      <c r="A37" s="57" t="inlineStr">
        <is>
          <t>5</t>
        </is>
      </c>
      <c r="B37" s="57" t="inlineStr">
        <is>
          <t>Prosopis pallida (Algarrobo)</t>
        </is>
      </c>
      <c r="C37" s="57" t="inlineStr">
        <is>
          <t>Clave cultural</t>
        </is>
      </c>
      <c r="D37" s="57" t="inlineStr">
        <is>
          <t>CR — En Peligro Crítico</t>
        </is>
      </c>
      <c r="E37" s="62" t="n">
        <v>611988</v>
      </c>
      <c r="F37" s="62" t="n">
        <v>9417065</v>
      </c>
      <c r="G37" s="63" t="n">
        <v>6</v>
      </c>
      <c r="H37" s="57" t="inlineStr">
        <is>
          <t>Latizales en regeneración mezclados con Faique; importante para apicultura local</t>
        </is>
      </c>
    </row>
    <row r="38">
      <c r="A38" s="58" t="inlineStr">
        <is>
          <t>6</t>
        </is>
      </c>
      <c r="B38" s="58" t="inlineStr">
        <is>
          <t>Armatocereus cartwrightianus</t>
        </is>
      </c>
      <c r="C38" s="58" t="inlineStr">
        <is>
          <t>Indicadora de perturbación</t>
        </is>
      </c>
      <c r="D38" s="58" t="inlineStr">
        <is>
          <t>LC — Preocupación Menor</t>
        </is>
      </c>
      <c r="E38" s="64" t="n">
        <v>612121</v>
      </c>
      <c r="F38" s="64" t="n">
        <v>9417115</v>
      </c>
      <c r="G38" s="64" t="n">
        <v>10</v>
      </c>
      <c r="H38" s="58" t="inlineStr">
        <is>
          <t>Bien distribuida en laderas con suelo expuesto</t>
        </is>
      </c>
    </row>
    <row r="40">
      <c r="A40" s="55" t="inlineStr">
        <is>
          <t>F-DT-04 · MATRIZ DE CAUSAS DE DEGRADACIÓN</t>
        </is>
      </c>
    </row>
    <row r="41">
      <c r="A41" s="56" t="inlineStr">
        <is>
          <t>N.o</t>
        </is>
      </c>
      <c r="B41" s="56" t="inlineStr">
        <is>
          <t>Causa</t>
        </is>
      </c>
      <c r="C41" s="56" t="inlineStr">
        <is>
          <t>Presencia</t>
        </is>
      </c>
      <c r="D41" s="56" t="inlineStr">
        <is>
          <t>Intensidad</t>
        </is>
      </c>
      <c r="E41" s="56" t="inlineStr">
        <is>
          <t>Extensión</t>
        </is>
      </c>
      <c r="F41" s="56" t="inlineStr">
        <is>
          <t>Antigüedad</t>
        </is>
      </c>
      <c r="G41" s="56" t="inlineStr">
        <is>
          <t>Evidencia</t>
        </is>
      </c>
    </row>
    <row r="42">
      <c r="A42" s="57" t="inlineStr">
        <is>
          <t>1</t>
        </is>
      </c>
      <c r="B42" s="57" t="inlineStr">
        <is>
          <t>Sobrepastoreo (caprino/vacuno)</t>
        </is>
      </c>
      <c r="C42" s="57" t="inlineStr">
        <is>
          <t>Sí</t>
        </is>
      </c>
      <c r="D42" s="57" t="inlineStr">
        <is>
          <t>Fuerte</t>
        </is>
      </c>
      <c r="E42" s="57" t="inlineStr">
        <is>
          <t>80</t>
        </is>
      </c>
      <c r="F42" s="57" t="inlineStr">
        <is>
          <t>&gt;20</t>
        </is>
      </c>
      <c r="G42" s="57" t="inlineStr">
        <is>
          <t>Pisoteo y compactación por ganado caprino y vacuno observados al ingreso al bloque (Foto 1, UTM 612318/9417151); cría libre con pastoreo no rotacional; corral asociado en sector basal del CP Buenos Aires. Sin cercos perimetrales del bloque.</t>
        </is>
      </c>
    </row>
    <row r="43">
      <c r="A43" s="58" t="inlineStr">
        <is>
          <t>2</t>
        </is>
      </c>
      <c r="B43" s="58" t="inlineStr">
        <is>
          <t>Tala para leña</t>
        </is>
      </c>
      <c r="C43" s="58" t="inlineStr">
        <is>
          <t>Sí</t>
        </is>
      </c>
      <c r="D43" s="58" t="inlineStr">
        <is>
          <t>Moderada</t>
        </is>
      </c>
      <c r="E43" s="58" t="inlineStr">
        <is>
          <t>50</t>
        </is>
      </c>
      <c r="F43" s="58" t="inlineStr">
        <is>
          <t>&gt;20</t>
        </is>
      </c>
      <c r="G43" s="58" t="inlineStr">
        <is>
          <t>Múltiples tocones de árboles talados observados en sectores accesibles (Fotos 7 y 9); cortes recientes y antiguos; extracción para leña doméstica y venta local.</t>
        </is>
      </c>
    </row>
    <row r="44">
      <c r="A44" s="57" t="inlineStr">
        <is>
          <t>3</t>
        </is>
      </c>
      <c r="B44" s="57" t="inlineStr">
        <is>
          <t>Tala para carbón</t>
        </is>
      </c>
      <c r="C44" s="57" t="inlineStr">
        <is>
          <t>Sí</t>
        </is>
      </c>
      <c r="D44" s="57" t="inlineStr">
        <is>
          <t>Ligera</t>
        </is>
      </c>
      <c r="E44" s="57" t="inlineStr">
        <is>
          <t>15</t>
        </is>
      </c>
      <c r="F44" s="57" t="inlineStr">
        <is>
          <t>&gt;10</t>
        </is>
      </c>
      <c r="G44" s="57" t="inlineStr">
        <is>
          <t>Evidencias indirectas (huellas de hornos artesanales reportadas por pobladores en visitas previas); requiere verificación con población local en fase social.</t>
        </is>
      </c>
    </row>
    <row r="45">
      <c r="A45" s="58" t="inlineStr">
        <is>
          <t>4</t>
        </is>
      </c>
      <c r="B45" s="58" t="inlineStr">
        <is>
          <t>Tala para madera</t>
        </is>
      </c>
      <c r="C45" s="58" t="inlineStr">
        <is>
          <t>Sí</t>
        </is>
      </c>
      <c r="D45" s="58" t="inlineStr">
        <is>
          <t>Ligera</t>
        </is>
      </c>
      <c r="E45" s="58" t="inlineStr">
        <is>
          <t>10</t>
        </is>
      </c>
      <c r="F45" s="58" t="inlineStr">
        <is>
          <t>&gt;15</t>
        </is>
      </c>
      <c r="G45" s="58" t="inlineStr">
        <is>
          <t>Tocones con diámetros mayores (&gt;25 cm) en sectores accesibles, presumiblemente Pasallo y Hualtaco para uso local; volumen extraído bajo a moderado.</t>
        </is>
      </c>
    </row>
    <row r="46">
      <c r="A46" s="57" t="inlineStr">
        <is>
          <t>5</t>
        </is>
      </c>
      <c r="B46" s="57" t="inlineStr">
        <is>
          <t>Quema (renovación de pastos)</t>
        </is>
      </c>
      <c r="C46" s="57" t="inlineStr">
        <is>
          <t>No</t>
        </is>
      </c>
      <c r="D46" s="57" t="inlineStr">
        <is>
          <t>Nula</t>
        </is>
      </c>
      <c r="E46" s="57" t="inlineStr">
        <is>
          <t>0</t>
        </is>
      </c>
      <c r="F46" s="57" t="inlineStr">
        <is>
          <t>—</t>
        </is>
      </c>
      <c r="G46" s="57" t="inlineStr">
        <is>
          <t>No se observaron cicatrices recientes de quema durante el recorrido del 18-05-2026.</t>
        </is>
      </c>
    </row>
    <row r="47">
      <c r="A47" s="58" t="inlineStr">
        <is>
          <t>6</t>
        </is>
      </c>
      <c r="B47" s="58" t="inlineStr">
        <is>
          <t>Quema accidental / Incendio</t>
        </is>
      </c>
      <c r="C47" s="58" t="inlineStr">
        <is>
          <t>Sí</t>
        </is>
      </c>
      <c r="D47" s="58" t="inlineStr">
        <is>
          <t>Ligera</t>
        </is>
      </c>
      <c r="E47" s="58" t="inlineStr">
        <is>
          <t>5</t>
        </is>
      </c>
      <c r="F47" s="58" t="inlineStr">
        <is>
          <t>&gt;5</t>
        </is>
      </c>
      <c r="G47" s="58" t="inlineStr">
        <is>
          <t>Indicios indirectos: troncos chamuscados aislados; no se observó pasivo extenso. Requiere consulta MODIS Burned Area.</t>
        </is>
      </c>
    </row>
    <row r="48">
      <c r="A48" s="57" t="inlineStr">
        <is>
          <t>7</t>
        </is>
      </c>
      <c r="B48" s="57" t="inlineStr">
        <is>
          <t>Cambio de uso a agricultura</t>
        </is>
      </c>
      <c r="C48" s="57" t="inlineStr">
        <is>
          <t>No</t>
        </is>
      </c>
      <c r="D48" s="57" t="inlineStr">
        <is>
          <t>Nula</t>
        </is>
      </c>
      <c r="E48" s="57" t="inlineStr">
        <is>
          <t>0</t>
        </is>
      </c>
      <c r="F48" s="57" t="inlineStr">
        <is>
          <t>—</t>
        </is>
      </c>
      <c r="G48" s="57" t="inlineStr">
        <is>
          <t>Sin evidencias de conversión a agricultura dentro del polígono (filtro aplicado en mesolocalización).</t>
        </is>
      </c>
    </row>
    <row r="49">
      <c r="A49" s="58" t="inlineStr">
        <is>
          <t>8</t>
        </is>
      </c>
      <c r="B49" s="58" t="inlineStr">
        <is>
          <t>Cambio de uso a pastoreo</t>
        </is>
      </c>
      <c r="C49" s="58" t="inlineStr">
        <is>
          <t>Sí</t>
        </is>
      </c>
      <c r="D49" s="58" t="inlineStr">
        <is>
          <t>Fuerte</t>
        </is>
      </c>
      <c r="E49" s="58" t="inlineStr">
        <is>
          <t>70</t>
        </is>
      </c>
      <c r="F49" s="58" t="inlineStr">
        <is>
          <t>&gt;20</t>
        </is>
      </c>
      <c r="G49" s="58" t="inlineStr">
        <is>
          <t>Pastoreo extensivo mixto (caprino + vacuno) no rotacional como uso histórico dominante; ausencia de cercos, rotación o manejo silvopastoril (Foto 16: matorral degradado por pastoreo y tala).</t>
        </is>
      </c>
    </row>
    <row r="50">
      <c r="A50" s="57" t="inlineStr">
        <is>
          <t>9</t>
        </is>
      </c>
      <c r="B50" s="57" t="inlineStr">
        <is>
          <t>Expansión urbana / vial</t>
        </is>
      </c>
      <c r="C50" s="57" t="inlineStr">
        <is>
          <t>No</t>
        </is>
      </c>
      <c r="D50" s="57" t="inlineStr">
        <is>
          <t>Nula</t>
        </is>
      </c>
      <c r="E50" s="57" t="inlineStr">
        <is>
          <t>0</t>
        </is>
      </c>
      <c r="F50" s="57" t="inlineStr">
        <is>
          <t>—</t>
        </is>
      </c>
      <c r="G50" s="57" t="inlineStr">
        <is>
          <t>La trocha de acceso desde Buenos Aires colinda con el bloque pero no lo intercepta significativamente. Sin evidencias de expansión urbana.</t>
        </is>
      </c>
    </row>
    <row r="51">
      <c r="A51" s="58" t="inlineStr">
        <is>
          <t>10</t>
        </is>
      </c>
      <c r="B51" s="58" t="inlineStr">
        <is>
          <t>Minería informal</t>
        </is>
      </c>
      <c r="C51" s="58" t="inlineStr">
        <is>
          <t>No</t>
        </is>
      </c>
      <c r="D51" s="58" t="inlineStr">
        <is>
          <t>Nula</t>
        </is>
      </c>
      <c r="E51" s="58" t="inlineStr">
        <is>
          <t>0</t>
        </is>
      </c>
      <c r="F51" s="58" t="inlineStr">
        <is>
          <t>—</t>
        </is>
      </c>
      <c r="G51" s="58" t="inlineStr">
        <is>
          <t>Sin denuncios mineros activos vigentes según consulta GEOCATMIN/INGEMMET al ámbito (filtro de exclusión aplicado en mesolocalización).</t>
        </is>
      </c>
    </row>
    <row r="52">
      <c r="A52" s="57" t="inlineStr">
        <is>
          <t>11</t>
        </is>
      </c>
      <c r="B52" s="57" t="inlineStr">
        <is>
          <t>Extracción de áridos (cauces)</t>
        </is>
      </c>
      <c r="C52" s="57" t="inlineStr">
        <is>
          <t>No</t>
        </is>
      </c>
      <c r="D52" s="57" t="inlineStr">
        <is>
          <t>Nula</t>
        </is>
      </c>
      <c r="E52" s="57" t="inlineStr">
        <is>
          <t>0</t>
        </is>
      </c>
      <c r="F52" s="57" t="inlineStr">
        <is>
          <t>—</t>
        </is>
      </c>
      <c r="G52" s="57" t="inlineStr">
        <is>
          <t>Sin evidencia de extracción de áridos dentro del bloque al momento de la visita; el lecho de la quebrada CA-02 podría ser objeto de extracciones futuras y debe ser monitoreado.</t>
        </is>
      </c>
    </row>
    <row r="53">
      <c r="A53" s="58" t="inlineStr">
        <is>
          <t>12</t>
        </is>
      </c>
      <c r="B53" s="58" t="inlineStr">
        <is>
          <t>Especies invasoras</t>
        </is>
      </c>
      <c r="C53" s="58" t="inlineStr">
        <is>
          <t>No</t>
        </is>
      </c>
      <c r="D53" s="58" t="inlineStr">
        <is>
          <t>Nula</t>
        </is>
      </c>
      <c r="E53" s="58" t="inlineStr">
        <is>
          <t>0</t>
        </is>
      </c>
      <c r="F53" s="58" t="inlineStr">
        <is>
          <t>—</t>
        </is>
      </c>
      <c r="G53" s="58" t="inlineStr">
        <is>
          <t>Sin presencia evidente de especies invasoras leñosas; verificación pendiente con muestreo florístico más detallado.</t>
        </is>
      </c>
    </row>
    <row r="54">
      <c r="A54" s="57" t="inlineStr">
        <is>
          <t>13</t>
        </is>
      </c>
      <c r="B54" s="57" t="inlineStr">
        <is>
          <t>Erosión natural severa</t>
        </is>
      </c>
      <c r="C54" s="57" t="inlineStr">
        <is>
          <t>Sí</t>
        </is>
      </c>
      <c r="D54" s="57" t="inlineStr">
        <is>
          <t>Moderada</t>
        </is>
      </c>
      <c r="E54" s="57" t="inlineStr">
        <is>
          <t>35</t>
        </is>
      </c>
      <c r="F54" s="57" t="inlineStr">
        <is>
          <t>&gt;50</t>
        </is>
      </c>
      <c r="G54" s="57" t="inlineStr">
        <is>
          <t>Erosión laminar y surcos asociados a pendientes moderadas a fuertes (14–29%) y litología parcialmente meteorizada; depósitos de huaicos antiguos en lecho de quebrada CA-02 (Foto 14).</t>
        </is>
      </c>
    </row>
    <row r="55">
      <c r="A55" s="58" t="inlineStr">
        <is>
          <t>14</t>
        </is>
      </c>
      <c r="B55" s="58" t="inlineStr">
        <is>
          <t>Sequía prolongada / CC</t>
        </is>
      </c>
      <c r="C55" s="58" t="inlineStr">
        <is>
          <t>Sí</t>
        </is>
      </c>
      <c r="D55" s="58" t="inlineStr">
        <is>
          <t>Fuerte</t>
        </is>
      </c>
      <c r="E55" s="58" t="inlineStr">
        <is>
          <t>100</t>
        </is>
      </c>
      <c r="F55" s="58" t="inlineStr">
        <is>
          <t>Tendencia 2014-2024</t>
        </is>
      </c>
      <c r="G55" s="58" t="inlineStr">
        <is>
          <t>Imagen MSAVI 2024 (Sentinel-2) muestra ~75% del bloque con valores ≤0.3813 (cobertura baja a muy baja); tendencia a degradación detectada en serie temporal; estrés hídrico por sequía prolongada de impacto crónico.</t>
        </is>
      </c>
    </row>
    <row r="56">
      <c r="A56" s="57" t="inlineStr">
        <is>
          <t>15</t>
        </is>
      </c>
      <c r="B56" s="57" t="inlineStr">
        <is>
          <t>Plagas o enfermedades forestales</t>
        </is>
      </c>
      <c r="C56" s="57" t="inlineStr">
        <is>
          <t>No</t>
        </is>
      </c>
      <c r="D56" s="57" t="inlineStr">
        <is>
          <t>Nula</t>
        </is>
      </c>
      <c r="E56" s="57" t="inlineStr">
        <is>
          <t>0</t>
        </is>
      </c>
      <c r="F56" s="57" t="inlineStr">
        <is>
          <t>—</t>
        </is>
      </c>
      <c r="G56" s="57" t="inlineStr">
        <is>
          <t>Sin observación de plagas o enfermedades extensivas en el dosel arbóreo; presencia esporádica de muérdagos sin afectación generalizada.</t>
        </is>
      </c>
    </row>
    <row r="57">
      <c r="A57" s="58" t="inlineStr">
        <is>
          <t>16</t>
        </is>
      </c>
      <c r="B57" s="58" t="inlineStr">
        <is>
          <t>Otro</t>
        </is>
      </c>
      <c r="C57" s="58" t="inlineStr">
        <is>
          <t>Sí</t>
        </is>
      </c>
      <c r="D57" s="58" t="inlineStr">
        <is>
          <t>Moderada</t>
        </is>
      </c>
      <c r="E57" s="58" t="inlineStr">
        <is>
          <t>20</t>
        </is>
      </c>
      <c r="F57" s="58" t="inlineStr">
        <is>
          <t>&gt;10</t>
        </is>
      </c>
      <c r="G57" s="58" t="inlineStr">
        <is>
          <t>Otro — Fragmentación del ecosistema por trocha de acceso al sector noreste; pérdida de conectividad ecológica con relictos de M6B2-1 y M6B2-3 colindantes.</t>
        </is>
      </c>
    </row>
    <row r="59">
      <c r="A59" s="55" t="inlineStr">
        <is>
          <t>F-DT-04 · INDICADORES CUANTITATIVOS</t>
        </is>
      </c>
    </row>
    <row r="60">
      <c r="A60" s="56" t="inlineStr">
        <is>
          <t>N.o</t>
        </is>
      </c>
      <c r="B60" s="56" t="inlineStr">
        <is>
          <t>Indicador</t>
        </is>
      </c>
      <c r="C60" s="56" t="inlineStr">
        <is>
          <t>Unidad</t>
        </is>
      </c>
      <c r="D60" s="56" t="inlineStr">
        <is>
          <t>Valor</t>
        </is>
      </c>
      <c r="E60" s="56" t="inlineStr">
        <is>
          <t>Fuente</t>
        </is>
      </c>
      <c r="F60" s="56" t="inlineStr">
        <is>
          <t>Umbral</t>
        </is>
      </c>
      <c r="G60" s="56" t="inlineStr">
        <is>
          <t>Nivel</t>
        </is>
      </c>
    </row>
    <row r="61">
      <c r="A61" s="57" t="inlineStr">
        <is>
          <t>1</t>
        </is>
      </c>
      <c r="B61" s="57" t="inlineStr">
        <is>
          <t>Cobertura vegetal total</t>
        </is>
      </c>
      <c r="C61" s="57" t="inlineStr">
        <is>
          <t>%</t>
        </is>
      </c>
      <c r="D61" s="57" t="inlineStr">
        <is>
          <t>60</t>
        </is>
      </c>
      <c r="E61" s="57" t="inlineStr">
        <is>
          <t>Verificación de campo 18-05-2026 + interpretación MSAVI 2024 (cobertura mixta predominante 0.265–0.381)</t>
        </is>
      </c>
      <c r="F61" s="57" t="inlineStr">
        <is>
          <t>&gt;60% bueno; 30-60% medio; &lt;30% malo</t>
        </is>
      </c>
      <c r="G61" s="57" t="inlineStr">
        <is>
          <t>Medio</t>
        </is>
      </c>
    </row>
    <row r="62">
      <c r="A62" s="58" t="inlineStr">
        <is>
          <t>2</t>
        </is>
      </c>
      <c r="B62" s="58" t="inlineStr">
        <is>
          <t>Porcentaje de suelo desnudo</t>
        </is>
      </c>
      <c r="C62" s="58" t="inlineStr">
        <is>
          <t>%</t>
        </is>
      </c>
      <c r="D62" s="58" t="inlineStr">
        <is>
          <t>25</t>
        </is>
      </c>
      <c r="E62" s="58" t="inlineStr">
        <is>
          <t>Observación directa parcela P-01 (sector basal) + MSAVI 2024 valores ≤0.265</t>
        </is>
      </c>
      <c r="F62" s="58" t="inlineStr">
        <is>
          <t>&lt;10% bueno; 10-30% medio; &gt;30% malo</t>
        </is>
      </c>
      <c r="G62" s="58" t="inlineStr">
        <is>
          <t>Medio</t>
        </is>
      </c>
    </row>
    <row r="63">
      <c r="A63" s="57" t="inlineStr">
        <is>
          <t>3</t>
        </is>
      </c>
      <c r="B63" s="57" t="inlineStr">
        <is>
          <t>Densidad de cárcavas</t>
        </is>
      </c>
      <c r="C63" s="57" t="inlineStr">
        <is>
          <t>N°/ha</t>
        </is>
      </c>
      <c r="D63" s="57" t="inlineStr">
        <is>
          <t>0.9</t>
        </is>
      </c>
      <c r="E63" s="57" t="inlineStr">
        <is>
          <t>Inventario rápido jornada 18-05-2026 (CA-01, CA-02 y CA-03)</t>
        </is>
      </c>
      <c r="F63" s="57" t="inlineStr">
        <is>
          <t>0 nulo; 1-3 medio; &gt;3 alto</t>
        </is>
      </c>
      <c r="G63" s="57" t="inlineStr">
        <is>
          <t>Bajo</t>
        </is>
      </c>
    </row>
    <row r="64">
      <c r="A64" s="58" t="inlineStr">
        <is>
          <t>4</t>
        </is>
      </c>
      <c r="B64" s="58" t="inlineStr">
        <is>
          <t>Presencia de especies invasoras</t>
        </is>
      </c>
      <c r="C64" s="58" t="inlineStr">
        <is>
          <t>% área</t>
        </is>
      </c>
      <c r="D64" s="58" t="inlineStr">
        <is>
          <t>2</t>
        </is>
      </c>
      <c r="E64" s="58" t="inlineStr">
        <is>
          <t>Observación directa — sin invasoras leñosas detectadas; herbáceas anuales menores no identificadas</t>
        </is>
      </c>
      <c r="F64" s="58" t="inlineStr">
        <is>
          <t>&lt;5% bueno; 5-20% medio; &gt;20% alto</t>
        </is>
      </c>
      <c r="G64" s="58" t="inlineStr">
        <is>
          <t>Bajo</t>
        </is>
      </c>
    </row>
    <row r="65">
      <c r="A65" s="57" t="inlineStr">
        <is>
          <t>5</t>
        </is>
      </c>
      <c r="B65" s="57" t="inlineStr">
        <is>
          <t>Carga ganadera estimada</t>
        </is>
      </c>
      <c r="C65" s="57" t="inlineStr">
        <is>
          <t>UA/ha</t>
        </is>
      </c>
      <c r="D65" s="57" t="inlineStr">
        <is>
          <t>2</t>
        </is>
      </c>
      <c r="E65" s="57" t="inlineStr">
        <is>
          <t>Estimación cualitativa — pastoreo mixto caprino-vacuno observado (Foto 1, Foto 16); carga estimada según huellas, fecas y senderos</t>
        </is>
      </c>
      <c r="F65" s="57" t="inlineStr">
        <is>
          <t>Según tipo de ecosistema</t>
        </is>
      </c>
      <c r="G65" s="57" t="inlineStr">
        <is>
          <t>Alto</t>
        </is>
      </c>
    </row>
    <row r="66">
      <c r="A66" s="58" t="inlineStr">
        <is>
          <t>6</t>
        </is>
      </c>
      <c r="B66" s="58" t="inlineStr">
        <is>
          <t>Frecuencia de quemas últimos 5 años</t>
        </is>
      </c>
      <c r="C66" s="58" t="inlineStr">
        <is>
          <t>N°</t>
        </is>
      </c>
      <c r="D66" s="58" t="inlineStr">
        <is>
          <t>0</t>
        </is>
      </c>
      <c r="E66" s="58" t="inlineStr">
        <is>
          <t>Consulta MODIS Burned Area (NASA FIRMS) + observación de campo — sin pasivo extenso</t>
        </is>
      </c>
      <c r="F66" s="58" t="inlineStr">
        <is>
          <t>0 nulo; 1-2 medio; &gt;2 alto</t>
        </is>
      </c>
      <c r="G66" s="58" t="inlineStr">
        <is>
          <t>Bajo</t>
        </is>
      </c>
    </row>
    <row r="67">
      <c r="A67" s="57" t="inlineStr">
        <is>
          <t>7</t>
        </is>
      </c>
      <c r="B67" s="57" t="inlineStr">
        <is>
          <t>% área con pendiente &gt;50%</t>
        </is>
      </c>
      <c r="C67" s="57" t="inlineStr">
        <is>
          <t>%</t>
        </is>
      </c>
      <c r="D67" s="57" t="inlineStr">
        <is>
          <t>28</t>
        </is>
      </c>
      <c r="E67" s="57" t="inlineStr">
        <is>
          <t>DEM 12.5 m (ALOS PALSAR) — análisis GIS</t>
        </is>
      </c>
      <c r="F67" s="57" t="inlineStr">
        <is>
          <t>Factor de susceptibilidad</t>
        </is>
      </c>
      <c r="G67" s="57" t="inlineStr">
        <is>
          <t>Alto</t>
        </is>
      </c>
    </row>
    <row r="68">
      <c r="A68" s="58" t="inlineStr">
        <is>
          <t>8</t>
        </is>
      </c>
      <c r="B68" s="58" t="inlineStr">
        <is>
          <t>Distancia a vía vecinal más cercana</t>
        </is>
      </c>
      <c r="C68" s="58" t="inlineStr">
        <is>
          <t>m</t>
        </is>
      </c>
      <c r="D68" s="58" t="inlineStr">
        <is>
          <t>250</t>
        </is>
      </c>
      <c r="E68" s="58" t="inlineStr">
        <is>
          <t>Medición GIS — trocha de acceso Buenos Aires–Pueblo Nuevo–Pedregal colinda con borde NE del bloque</t>
        </is>
      </c>
      <c r="F68" s="58" t="inlineStr">
        <is>
          <t>A menor distancia → mayor presión</t>
        </is>
      </c>
      <c r="G68" s="58" t="inlineStr">
        <is>
          <t>Alto</t>
        </is>
      </c>
    </row>
    <row r="70">
      <c r="A70" s="55" t="inlineStr">
        <is>
          <t>F-DT-05 · FUENTES DE AGUA INVENTARIADAS</t>
        </is>
      </c>
    </row>
    <row r="71">
      <c r="A71" s="56" t="inlineStr">
        <is>
          <t>N.o</t>
        </is>
      </c>
      <c r="B71" s="56" t="inlineStr">
        <is>
          <t>Tipo de fuente</t>
        </is>
      </c>
      <c r="C71" s="56" t="inlineStr">
        <is>
          <t>UTM ESTE</t>
        </is>
      </c>
      <c r="D71" s="56" t="inlineStr">
        <is>
          <t>UTM NORTE</t>
        </is>
      </c>
      <c r="E71" s="56" t="inlineStr">
        <is>
          <t>Régimen</t>
        </is>
      </c>
      <c r="F71" s="56" t="inlineStr">
        <is>
          <t>Calidad</t>
        </is>
      </c>
      <c r="G71" s="56" t="inlineStr">
        <is>
          <t>Distancia (m)</t>
        </is>
      </c>
      <c r="H71" s="56" t="inlineStr">
        <is>
          <t>Uso / observación</t>
        </is>
      </c>
    </row>
    <row r="72">
      <c r="A72" s="57" t="inlineStr">
        <is>
          <t>FA-01</t>
        </is>
      </c>
      <c r="B72" s="57" t="inlineStr">
        <is>
          <t>Quebrada estacional</t>
        </is>
      </c>
      <c r="C72" s="62" t="n">
        <v>612262</v>
      </c>
      <c r="D72" s="62" t="n">
        <v>9417144</v>
      </c>
      <c r="E72" s="57" t="inlineStr">
        <is>
          <t>Estacional (lluvias)</t>
        </is>
      </c>
      <c r="F72" s="57" t="inlineStr">
        <is>
          <t>No evaluable</t>
        </is>
      </c>
      <c r="G72" s="63" t="n">
        <v>0</v>
      </c>
      <c r="H72" s="57" t="inlineStr">
        <is>
          <t>Quebrada de cantos rodados que atraviesa el bloque de W a E (Foto 3); sin actividad superficial al momento de la visita; aloja vegetación higrófila refugio (Faique en floración, Foto 4)</t>
        </is>
      </c>
    </row>
    <row r="73">
      <c r="A73" s="58" t="inlineStr">
        <is>
          <t>FA-02</t>
        </is>
      </c>
      <c r="B73" s="58" t="inlineStr">
        <is>
          <t>Quebrada estacional</t>
        </is>
      </c>
      <c r="C73" s="64" t="n">
        <v>612179</v>
      </c>
      <c r="D73" s="64" t="n">
        <v>9416517</v>
      </c>
      <c r="E73" s="58" t="inlineStr">
        <is>
          <t>Estacional (lluvias)</t>
        </is>
      </c>
      <c r="F73" s="58" t="inlineStr">
        <is>
          <t>No evaluable</t>
        </is>
      </c>
      <c r="G73" s="58" t="n"/>
      <c r="H73" s="58" t="inlineStr">
        <is>
          <t>Quebrada con potente depósito de bloques métricos (Foto 14); evidencia geomorfológica de huaicos históricos; convergencia hacia el valle de Buenos Aires</t>
        </is>
      </c>
    </row>
    <row r="74">
      <c r="A74" s="57" t="inlineStr">
        <is>
          <t>FA-03</t>
        </is>
      </c>
      <c r="B74" s="57" t="inlineStr">
        <is>
          <t>Río</t>
        </is>
      </c>
      <c r="C74" s="62" t="n">
        <v>613500</v>
      </c>
      <c r="D74" s="62" t="n">
        <v>9418500</v>
      </c>
      <c r="E74" s="57" t="inlineStr">
        <is>
          <t>Permanente</t>
        </is>
      </c>
      <c r="F74" s="57" t="inlineStr">
        <is>
          <t>No evaluable</t>
        </is>
      </c>
      <c r="G74" s="62" t="n">
        <v>1500</v>
      </c>
      <c r="H74" s="57" t="inlineStr">
        <is>
          <t>Cauce principal del río Yapatera al norte del bloque; tributario del río Piura; presencia de áreas agropecuarias en el valle aluvial</t>
        </is>
      </c>
    </row>
    <row r="77">
      <c r="A77" s="55" t="inlineStr">
        <is>
          <t>OBSERVACIONES DEL EVALUADOR POR FICHA</t>
        </is>
      </c>
    </row>
    <row r="78">
      <c r="A78" s="56" t="inlineStr">
        <is>
          <t>Ficha</t>
        </is>
      </c>
      <c r="B78" s="56" t="inlineStr">
        <is>
          <t>Observación registrada en campo</t>
        </is>
      </c>
    </row>
    <row r="79">
      <c r="A79" s="57" t="inlineStr">
        <is>
          <t>F-DT-01</t>
        </is>
      </c>
      <c r="B79" s="57" t="inlineStr">
        <is>
          <t>OBSERVACIONES: El acceso al bloque se efectuó desde la capital del distrito de Buenos Aires siguiendo trocha de acceso al sector Pueblo Nuevo–Chihuahua–Pedregal. El bloque se inscribe en la microcuenca C1077-Q9566 (cuenca del río Yapatera/río Piura), con altitudes entre 211 y 800+ msnm. La fisiografía del bloque presenta una clara zonificación altitudinal: (i) pie de ladera y abanico aluvial-coluvial (cota 211–300 msnm), donde se concentra la mayor presión antrópica por pastoreo y tala, con suelo expuesto y matorral degradado; (ii) ladera media (300–500 msnm), de pendiente moderada a fuerte (14–25%), con dosel arbóreo discontinuo y presencia de relictos arbóreos; (iii) ladera alta y cabecera de quebrada (&gt;500 msnm), de pendiente fuerte a muy fuerte (&gt;25%), con relictos del bosque en mejor estado de conservación (parches verde-amarillos en imagen MSAVI 2024). La condición climática durante la visita fue nublada, con temperatura aprox. 24 °C, sin precipitación. Se requiere visita complementaria al sector &gt;400 msnm para verificación de escarpes activos y mapeo de cabeceras de cárcavas. NOTA DE TRANSFERENCIA — detalle de campo de los campos con desplegable (resumen literal): Forma del terreno: laderas de colina y montaña baja con interfluvios redondeados a subagudos, configuración convexo-rectilínea con disecciones profundas (clasificado como Colinoso). Pendiente: 14–17% media en transectas y 25–29% máxima en cabeceras (clase dominante 15–25%, fuertemente inclinado). Posición fisiográfica: ladera media a alta del flanco occidental andino, transición piedemonte–montaña baja. Exposición: predominantemente Este a Noreste, con sub-exposiciones N y SE. Rango altitudinal: 211 a 800+ msnm (desnivel ≥590 m). Escarpes activos: no se registraron escarpes activos de gran magnitud en el sector basal/medio recorrido (250–300 msnm); microescarpes potenciales en cabeceras (&gt;400 msnm) no alcanzados — verificación complementaria pendiente (registrado como 'No' a nivel de bloque). Reptación: evidencias incipientes en laderas &gt;25% con cobertura discontinua (terracetas de pisoteo). Deslizamientos antiguos: sin cicatrices nítidas en el tramo recorrido, pero depósito de bloques métricos en el lecho de la quebrada de borde (UTM 612179/9416517) evidencia flujos de detritos históricos.</t>
        </is>
      </c>
    </row>
    <row r="80">
      <c r="A80" s="58" t="inlineStr">
        <is>
          <t>F-DT-03</t>
        </is>
      </c>
      <c r="B80" s="58" t="inlineStr">
        <is>
          <t>OBSERVACIONES: El bloque corresponde íntegramente al ecosistema Bosque Estacionalmente Seco de Colina y Montaña (BES_CM) según el Mapa Nacional de Ecosistemas del MINAM (2019). El estado de conservación es heterogéneo en función del gradiente altitudinal: la franja basal y media (211–500 msnm) muestra evidencias de degradación moderada por pastoreo extensivo (caprino y vacuno), tala selectiva (tocones observados en Foto 7 y Foto 9) y erosión hídrica superficial, mientras que la franja alta (&gt;500 msnm, no recorrida en esta jornada) preserva relictos arbóreos en mejor estado de conservación, observables como parches verde-amarillos en la imagen MSAVI 2024 (Banda 1). La cobertura vegetal total estimada para el conjunto del bloque (60%) ubica al ecosistema en condición REGULAR según los umbrales del Anexo 2 AdR-CCC (60–80% = regular; &gt;80% = bueno; &lt;60% = malo), lo cual es coherente con la asignación de este bloque al proceso de restauración (no a proyectos de protección). Las especies forestales más representativas observadas (Charán, Faique, Pasallo, Hualtaco, Algarrobo, Palo Verde, Palo Santo y cactáceas columnares) son nativas y propias del piso ecológico, confirmando la viabilidad de un programa de recuperación asistida basado en especies del propio ecosistema. NOTA DE TRANSFERENCIA — detalle de campo de los campos con desplegable: Estado de conservación: degradado a regenerándose en mosaico — basal (211–300 msnm) &lt;40% cobertura; medio (300–500 msnm) 50–70%; cabeceras (&gt;500 msnm) 60–80% (clasificado Medianamente alterado). Uso dominante: pastoreo extensivo mixto caprino+vacuno con extracción selectiva de leña y madera; tierras estatales (GORE Piura). Regeneración: moderada (plántulas/latizales de Faique, Algarrobo, Charán y Hualtaco) — clase Regular. Estado sanitario: regular, con defoliación estacional (Pasallo en reposo) y muérdagos esporádicos, sin plagas/enfermedades extensivas (registrado Sano). Fenología: mosaico — caducifolias en reposo, perennifolias con foliación (Faique en floración), cactáceas vegetativas (dominante Caducifolio). Cobertura dominante: arbóreo-arbustivo abierto a semicerrado, cobertura total ~60% (clase Bosque ralo 30–70%). Categorías de abundancia originales: Charán 'muy abundante'; Faique y cactus columnar 'abundante'; Hualtaco/Palo Verde/Sapote/Gigantón 'escaso'; Palo Santo, Suelda con suelda y Cabuya 'localizada'.</t>
        </is>
      </c>
    </row>
    <row r="81">
      <c r="A81" s="57" t="inlineStr">
        <is>
          <t>F-DT-04</t>
        </is>
      </c>
      <c r="B81" s="57" t="inlineStr">
        <is>
          <t>OBSERVACIONES: El bloque M6B2-2 presenta un patrón de degradación característico de los bosques secos del piedemonte occidental de Piura: sobrepastoreo extensivo crónico como factor antrópico dominante, en sinergia con la tala selectiva y la presión climática creciente (sequías prolongadas y eventos extremos de precipitación tipo FEN). La condición de tierras estatales sin titularidad consolidada constituye, paradójicamente, tanto una oportunidad (no requiere negociación predial individual para la implementación) como un riesgo (déficit de gobernanza territorial que facilita el aprovechamiento extractivo no regulado). El proyecto deberá articular su intervención con el GORE Piura como entidad administradora y con los caseríos Pueblo Nuevo, Chihuahua y Pedregal del CP 272 Buenos Aires, como población usuaria histórica del recurso. NOTA DE TRANSFERENCIA — matiz de campos con desplegable: Quema renovación de pastos, cambio de uso a agricultura, minería informal, extracción de áridos, especies invasoras y plagas: registradas como 'No' por no identificarse en la visita (algunas con verificación de gabinete pendiente). Expansión urbana/vial: 'no significativa' (trocha colinda pero no intercepta) — registrada como 'No'. Quema accidental: indicios puntuales (troncos chamuscados aislados) — registrada como 'Sí' intensidad Ligera. Indicadores: cobertura vegetal 60% (Regular→Medio); densidad de cárcavas 0.9 N/ha (Bajo-Medio→Bajo); % pendiente &gt;50% = 28% (Medio-Alto→Alto); carga ganadera ~2 UA/ha, excesiva para BES-cm (Alto). Velocidad de degradación: lenta-moderada, crónica de varias décadas (registrada Lenta). Reversibilidad: reversible mediante intervención activa, con núcleos relictuales fuente de semilla (registrada Parcialmente reversible).</t>
        </is>
      </c>
    </row>
    <row r="82">
      <c r="A82" s="58" t="inlineStr">
        <is>
          <t>F-DT-05</t>
        </is>
      </c>
      <c r="B82" s="58" t="inlineStr">
        <is>
          <t>OBSERVACIONES: El bloque M6B2-2 presenta una excelente accesibilidad logística por su proximidad al CP capital distrital Buenos Aires y a la vía nacional PE-1NL, lo que lo convierte en uno de los bloques operativamente más viables del cluster Morropón. El tiempo de desplazamiento desde Chulucanas (capital provincial) no supera los 90 minutos en vehículo, y la trocha de acceso es transitable durante la mayor parte del año. La principal restricción logística es la transitabilidad en temporada de lluvias (dic-mar), que se compensa programando jornadas intensivas en temporada seca (abr-nov). No existen fuentes de agua superficial activas dentro del polígono durante el estiaje, lo cual tiene implicancias directas para el diseño del programa de revegetación: deberá considerarse el establecimiento de pequeños sistemas de captación y almacenamiento temporal de agua de lluvia (microreservorios o cosechas) para el riego de establecimiento durante el primer año de plantaciones. La condición de tierras estatales demanda un protocolo de coordinación social con la triada GORE Piura – MD Buenos Aires – Rondas Campesinas locales antes del despliegue operativo. NOTA DE TRANSFERENCIA — detalle de fuentes y accesibilidad: FA-01: quebrada estacional que atraviesa el bloque W-E (cantos rodados, sin flujo en visita), régimen estacional, calidad no evaluable (sin agua). FA-02: cauce de quebrada con depósito de bloques métricos que bordea el bloque por el S/SE, activo en eventos extremos (huaico histórico), régimen estacional, no evaluable. FA-03: río Yapatera/cauce colindante NE a ~1500 m, permanente con caudal estacional, calidad no evaluada en campo. Régimen hídrico FA-02 originalmente descrito como 'sin flujo, activo en eventos extremos'. Acceso: vehicular desde Buenos Aires hasta Pueblo Nuevo/Pedregal por trocha vecinal afirmada + 15–20 min a pie (Vehicular + caminata &lt;30 min); vía final = trocha peatonal sobre ladera (Camino de herradura). Transitabilidad: buena en seca (Alto), regular a deficiente en lluvias con riesgo de cortes (Bajo). Señal celular: buena en CP, intermitente al interior del bloque (Intermitente); multioperador con predominio Claro en zonas altas.</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M6B2-2</t>
        </is>
      </c>
    </row>
    <row r="7">
      <c r="A7" s="55" t="inlineStr">
        <is>
          <t>Hechos declarados por fuente</t>
        </is>
      </c>
    </row>
    <row r="8">
      <c r="A8" s="56" t="inlineStr">
        <is>
          <t>Fuente</t>
        </is>
      </c>
      <c r="B8" s="56" t="inlineStr">
        <is>
          <t>Hechos</t>
        </is>
      </c>
    </row>
    <row r="9">
      <c r="A9" s="57" t="inlineStr">
        <is>
          <t>Dato de campo</t>
        </is>
      </c>
      <c r="B9" s="57" t="n">
        <v>73</v>
      </c>
    </row>
    <row r="10">
      <c r="A10" s="58" t="inlineStr">
        <is>
          <t>Gabinete (GIS / teledetección)</t>
        </is>
      </c>
      <c r="B10" s="58" t="n">
        <v>23</v>
      </c>
    </row>
    <row r="11">
      <c r="A11" s="57" t="inlineStr">
        <is>
          <t>Fuente oficial</t>
        </is>
      </c>
      <c r="B11" s="57" t="n">
        <v>14</v>
      </c>
    </row>
    <row r="28">
      <c r="A28" s="55" t="inlineStr">
        <is>
          <t>Estado del cruce entre fuentes</t>
        </is>
      </c>
    </row>
    <row r="29">
      <c r="A29" s="56" t="inlineStr">
        <is>
          <t>Estado</t>
        </is>
      </c>
      <c r="B29" s="56" t="inlineStr">
        <is>
          <t>Hechos</t>
        </is>
      </c>
    </row>
    <row r="30">
      <c r="A30" s="57" t="inlineStr">
        <is>
          <t>CONFORME</t>
        </is>
      </c>
      <c r="B30" s="57" t="n">
        <v>105</v>
      </c>
    </row>
    <row r="31">
      <c r="A31" s="58" t="inlineStr">
        <is>
          <t>COMPLEMENTADO</t>
        </is>
      </c>
      <c r="B31" s="58" t="n">
        <v>0</v>
      </c>
    </row>
    <row r="32">
      <c r="A32" s="57" t="inlineStr">
        <is>
          <t>ACTUALIZADO</t>
        </is>
      </c>
      <c r="B32" s="57" t="n">
        <v>5</v>
      </c>
    </row>
    <row r="33">
      <c r="A33" s="58" t="inlineStr">
        <is>
          <t>DISCREPANTE</t>
        </is>
      </c>
      <c r="B33" s="58" t="n">
        <v>0</v>
      </c>
    </row>
    <row r="34">
      <c r="A34" s="57" t="inlineStr">
        <is>
          <t>PENDIENTE</t>
        </is>
      </c>
      <c r="B34" s="57" t="n">
        <v>4</v>
      </c>
    </row>
    <row r="51">
      <c r="A51" s="55" t="inlineStr">
        <is>
          <t>Cobertura por estrato — campo (%)</t>
        </is>
      </c>
    </row>
    <row r="52">
      <c r="A52" s="56" t="inlineStr">
        <is>
          <t>Estrato</t>
        </is>
      </c>
      <c r="B52" s="56" t="inlineStr">
        <is>
          <t>% del área</t>
        </is>
      </c>
    </row>
    <row r="53">
      <c r="A53" s="57" t="inlineStr">
        <is>
          <t>Dosel</t>
        </is>
      </c>
      <c r="B53" s="62" t="n">
        <v>25</v>
      </c>
    </row>
    <row r="54">
      <c r="A54" s="58" t="inlineStr">
        <is>
          <t>Arbustiva</t>
        </is>
      </c>
      <c r="B54" s="64" t="n">
        <v>30</v>
      </c>
    </row>
    <row r="55">
      <c r="A55" s="57" t="inlineStr">
        <is>
          <t>Herbácea</t>
        </is>
      </c>
      <c r="B55" s="62" t="n">
        <v>15</v>
      </c>
    </row>
    <row r="56">
      <c r="A56" s="58" t="inlineStr">
        <is>
          <t>Hojarasca</t>
        </is>
      </c>
      <c r="B56" s="64" t="n">
        <v>10</v>
      </c>
    </row>
    <row r="57">
      <c r="A57" s="57" t="inlineStr">
        <is>
          <t>Suelo desnudo</t>
        </is>
      </c>
      <c r="B57" s="62" t="n">
        <v>25</v>
      </c>
    </row>
    <row r="74">
      <c r="A74" s="55" t="inlineStr">
        <is>
          <t>Causas activas de degradación (F-DT-04)</t>
        </is>
      </c>
    </row>
    <row r="75">
      <c r="A75" s="56" t="inlineStr">
        <is>
          <t>Causa</t>
        </is>
      </c>
      <c r="B75" s="56" t="inlineStr">
        <is>
          <t>Intensidad (1 ligera - 4 muy fuerte)</t>
        </is>
      </c>
    </row>
    <row r="76">
      <c r="A76" s="57" t="inlineStr">
        <is>
          <t>Cambio de uso a pastoreo</t>
        </is>
      </c>
      <c r="B76" s="57" t="n">
        <v>3</v>
      </c>
    </row>
    <row r="77">
      <c r="A77" s="58" t="inlineStr">
        <is>
          <t>Sequía prolongada / CC</t>
        </is>
      </c>
      <c r="B77" s="58" t="n">
        <v>3</v>
      </c>
    </row>
    <row r="78">
      <c r="A78" s="57" t="inlineStr">
        <is>
          <t>Sobrepastoreo (caprino/vacuno)</t>
        </is>
      </c>
      <c r="B78" s="57" t="n">
        <v>3</v>
      </c>
    </row>
    <row r="79">
      <c r="A79" s="58" t="inlineStr">
        <is>
          <t>Erosión natural severa</t>
        </is>
      </c>
      <c r="B79" s="58" t="n">
        <v>2</v>
      </c>
    </row>
    <row r="80">
      <c r="A80" s="57" t="inlineStr">
        <is>
          <t>Otro</t>
        </is>
      </c>
      <c r="B80" s="57" t="n">
        <v>2</v>
      </c>
    </row>
    <row r="81">
      <c r="A81" s="58" t="inlineStr">
        <is>
          <t>Tala para leña</t>
        </is>
      </c>
      <c r="B81" s="58" t="n">
        <v>2</v>
      </c>
    </row>
    <row r="82">
      <c r="A82" s="57" t="inlineStr">
        <is>
          <t>Quema accidental / Incendio</t>
        </is>
      </c>
      <c r="B82" s="57" t="n">
        <v>1</v>
      </c>
    </row>
    <row r="83">
      <c r="A83" s="58" t="inlineStr">
        <is>
          <t>Tala para carbón</t>
        </is>
      </c>
      <c r="B83" s="58" t="n">
        <v>1</v>
      </c>
    </row>
    <row r="84">
      <c r="A84" s="57" t="inlineStr">
        <is>
          <t>Tala para madera</t>
        </is>
      </c>
      <c r="B84" s="57" t="n">
        <v>1</v>
      </c>
    </row>
    <row r="101">
      <c r="A101" s="55" t="inlineStr">
        <is>
          <t>Control de consistencia por calificación</t>
        </is>
      </c>
    </row>
    <row r="102">
      <c r="A102" s="56" t="inlineStr">
        <is>
          <t>Calificación</t>
        </is>
      </c>
      <c r="B102" s="56" t="inlineStr">
        <is>
          <t>Verificaciones</t>
        </is>
      </c>
    </row>
    <row r="103">
      <c r="A103" s="57" t="inlineStr">
        <is>
          <t>SUSTANTIVA</t>
        </is>
      </c>
      <c r="B103" s="57" t="n">
        <v>5</v>
      </c>
    </row>
    <row r="104">
      <c r="A104" s="58" t="inlineStr">
        <is>
          <t>NO SUSTANTIVA</t>
        </is>
      </c>
      <c r="B104" s="58" t="n">
        <v>3</v>
      </c>
    </row>
    <row r="105">
      <c r="A105" s="57" t="inlineStr">
        <is>
          <t>CORREGIDO</t>
        </is>
      </c>
      <c r="B105" s="57" t="n">
        <v>6</v>
      </c>
    </row>
    <row r="106">
      <c r="A106" s="58" t="inlineStr">
        <is>
          <t>CONFORME</t>
        </is>
      </c>
      <c r="B106" s="58"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M6B2-2 — IN Piura</dc:title>
  <dc:subject>Diagnóstico Territorial por bloque de intervención</dc:subject>
  <dcterms:created xsi:type="dcterms:W3CDTF">2026-09-08T03:39:54Z</dcterms:created>
  <dcterms:modified xsi:type="dcterms:W3CDTF">2026-09-11T20:22:40Z</dcterms:modified>
</cp:coreProperties>
</file>