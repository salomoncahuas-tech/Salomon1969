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M9B1</t>
        </is>
      </c>
    </row>
    <row r="6" ht="24" customHeight="1">
      <c r="A6" s="4" t="inlineStr">
        <is>
          <t>Diagnóstico Territorial — Plantilla DT Campo Check Validada V5 | Sistema de referencia: UTM WGS 84 Zona 17S (EPSG:32717) · Integrado con la ficha de campo F-DT vigente (FDT_M9B1_IN_Piura.xlsx) — V7 - resumen V6 + campo F-DT integrado</t>
        </is>
      </c>
    </row>
    <row r="7"/>
    <row r="8" ht="18" customHeight="1">
      <c r="A8" s="5" t="inlineStr">
        <is>
          <t>1. IDENTIFICACIÓN Y LOCALIZACIÓN</t>
        </is>
      </c>
    </row>
    <row r="9">
      <c r="A9" s="6" t="inlineStr">
        <is>
          <t>Código del bloque</t>
        </is>
      </c>
      <c r="B9" s="7" t="inlineStr">
        <is>
          <t>M9B1</t>
        </is>
      </c>
      <c r="C9" s="6" t="inlineStr">
        <is>
          <t>Microcuenca (catálogo)</t>
        </is>
      </c>
      <c r="D9" s="7" t="inlineStr">
        <is>
          <t>C1096-Q9545</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La Peña</t>
        </is>
      </c>
      <c r="C13" s="6" t="inlineStr">
        <is>
          <t>Comunidad campesina</t>
        </is>
      </c>
      <c r="D13" s="7" t="inlineStr">
        <is>
          <t>María Ángela Alvarado de Zeta (según ficha DT); el F-DS-02 declara que NO pertenecen a ninguna comunidad campesina</t>
        </is>
      </c>
      <c r="E13" s="8" t="n"/>
      <c r="F13" s="8" t="n"/>
    </row>
    <row r="14">
      <c r="A14" s="6" t="inlineStr">
        <is>
          <t>Superficie de catálogo (V5/V6), ha</t>
        </is>
      </c>
      <c r="B14" s="7" t="n">
        <v>355.36</v>
      </c>
      <c r="C14" s="6" t="inlineStr">
        <is>
          <t>Fuente de superficie</t>
        </is>
      </c>
      <c r="D14" s="7" t="inlineStr">
        <is>
          <t>Catálogo maestro Bloques V5/V6</t>
        </is>
      </c>
      <c r="E14" s="8" t="n"/>
      <c r="F14" s="8" t="n"/>
    </row>
    <row r="15">
      <c r="A15" s="6" t="inlineStr">
        <is>
          <t>Centroide UTM ESTE (m)</t>
        </is>
      </c>
      <c r="B15" s="7" t="n">
        <v>595552</v>
      </c>
      <c r="C15" s="6" t="inlineStr">
        <is>
          <t>Centroide UTM NORTE (m)</t>
        </is>
      </c>
      <c r="D15" s="7" t="n">
        <v>9451222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147</v>
      </c>
      <c r="C19" s="6" t="inlineStr">
        <is>
          <t>Altitud máxima (msnm)</t>
        </is>
      </c>
      <c r="D19" s="7" t="n">
        <v>265</v>
      </c>
      <c r="E19" s="8" t="n"/>
      <c r="F19" s="8" t="n"/>
    </row>
    <row r="20">
      <c r="A20" s="6" t="inlineStr">
        <is>
          <t>Amplitud altitudinal (m)</t>
        </is>
      </c>
      <c r="B20" s="7" t="n">
        <v>118</v>
      </c>
      <c r="C20" s="6" t="inlineStr">
        <is>
          <t>Piso altitudinal dominante</t>
        </is>
      </c>
      <c r="D20" s="7" t="inlineStr">
        <is>
          <t>&lt;1000 m (Yunga)</t>
        </is>
      </c>
      <c r="E20" s="8" t="n"/>
      <c r="F20" s="8" t="n"/>
    </row>
    <row r="21">
      <c r="A21" s="6" t="inlineStr">
        <is>
          <t>Pendiente promedio (%)</t>
        </is>
      </c>
      <c r="B21" s="7" t="n">
        <v>10.17</v>
      </c>
      <c r="C21" s="6" t="inlineStr">
        <is>
          <t>Pendiente promedio (grados)</t>
        </is>
      </c>
      <c r="D21" s="7" t="n">
        <v>5.8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(78.10 %)</t>
        </is>
      </c>
      <c r="E29" s="8" t="n"/>
      <c r="F29" s="8" t="n"/>
    </row>
    <row r="30">
      <c r="A30" s="6" t="inlineStr">
        <is>
          <t>Superficie clasificada NDVI 2025 (ha)</t>
        </is>
      </c>
      <c r="B30" s="7" t="n">
        <v>355.568</v>
      </c>
      <c r="C30" s="6" t="inlineStr">
        <is>
          <t>Desviación frente al catálogo (%)</t>
        </is>
      </c>
      <c r="D30" s="7" t="n">
        <v>0.06</v>
      </c>
      <c r="E30" s="8" t="n"/>
      <c r="F30" s="8" t="n"/>
    </row>
    <row r="31">
      <c r="A31" s="6" t="inlineStr">
        <is>
          <t>Superficie clasificada MSAVI 2024 (ha)</t>
        </is>
      </c>
      <c r="B31" s="37" t="n">
        <v>355.364</v>
      </c>
      <c r="C31" s="6" t="inlineStr">
        <is>
          <t>Desviación MSAVI frente al catálogo (%)</t>
        </is>
      </c>
      <c r="D31" s="38" t="n">
        <v>0</v>
      </c>
      <c r="E31" s="8" t="n"/>
      <c r="F31" s="8" t="n"/>
    </row>
    <row r="32">
      <c r="A32" s="6" t="inlineStr">
        <is>
          <t>Superficie bajo umbral MSAVI 0.4976 (ha)</t>
        </is>
      </c>
      <c r="B32" s="37" t="n">
        <v>352.983</v>
      </c>
      <c r="C32" s="6" t="inlineStr">
        <is>
          <t>% del bloque bajo umbral (brecha espectral)</t>
        </is>
      </c>
      <c r="D32" s="38" t="n">
        <v>99.33</v>
      </c>
      <c r="E32" s="8" t="n"/>
      <c r="F32" s="8" t="n"/>
    </row>
    <row r="33">
      <c r="A33" s="6" t="inlineStr">
        <is>
          <t>Clase DN dominante (MSAVI 2024)</t>
        </is>
      </c>
      <c r="B33" s="7" t="inlineStr">
        <is>
          <t>DN 2 · 0.2650 - 0.3813 (Vigor muy bajo)</t>
        </is>
      </c>
      <c r="C33" s="6" t="inlineStr">
        <is>
          <t>N.° de polígonos MSAVI del bloque</t>
        </is>
      </c>
      <c r="D33" s="39" t="n">
        <v>1031</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320 ha (de 355.36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90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49" t="inlineStr">
        <is>
          <t>FICHA F-DT-02 SIN CONTENIDO. Evidencia narrativa de F-DT-01: erosión laminar y eólica por pastoreo</t>
        </is>
      </c>
      <c r="C40" s="6" t="inlineStr">
        <is>
          <t>N.° de cárcavas registradas</t>
        </is>
      </c>
      <c r="D40" s="49" t="inlineStr">
        <is>
          <t>No inventariadas (F-DT-02 sin contenido)</t>
        </is>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Juan Carlos Domínguez Varas</t>
        </is>
      </c>
      <c r="C44" s="6" t="inlineStr">
        <is>
          <t>Fecha de evaluación</t>
        </is>
      </c>
      <c r="D44" s="7" t="inlineStr">
        <is>
          <t>2026-07-03</t>
        </is>
      </c>
      <c r="E44" s="8" t="n"/>
      <c r="F44" s="8" t="n"/>
    </row>
    <row r="45">
      <c r="A45" s="6" t="inlineStr">
        <is>
          <t>Hora de registro</t>
        </is>
      </c>
      <c r="B45" s="7" t="inlineStr">
        <is>
          <t>09:55 h</t>
        </is>
      </c>
      <c r="C45" s="6" t="inlineStr">
        <is>
          <t>Correlativo de ficha</t>
        </is>
      </c>
      <c r="D45" s="49"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9" t="inlineStr">
        <is>
          <t>No consignada en la ficha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Por determinar</t>
        </is>
      </c>
      <c r="C53" s="6" t="inlineStr">
        <is>
          <t>Zona de recarga hídrica</t>
        </is>
      </c>
      <c r="D53" s="49"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M9B1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0.2329</v>
      </c>
      <c r="C10" s="19">
        <f>ROUND(B10/$B$15*100,2)</f>
        <v/>
      </c>
      <c r="D10" s="11" t="inlineStr">
        <is>
          <t>Vigor alto</t>
        </is>
      </c>
      <c r="E10" s="11" t="inlineStr">
        <is>
          <t>Sobre umbral</t>
        </is>
      </c>
    </row>
    <row r="11">
      <c r="A11" s="12" t="inlineStr">
        <is>
          <t>0.4976 - 0.6139 · DN 4</t>
        </is>
      </c>
      <c r="B11" s="20" t="n">
        <v>2.148</v>
      </c>
      <c r="C11" s="21">
        <f>ROUND(B11/$B$15*100,2)</f>
        <v/>
      </c>
      <c r="D11" s="13" t="inlineStr">
        <is>
          <t>Vigor moderado</t>
        </is>
      </c>
      <c r="E11" s="13" t="inlineStr">
        <is>
          <t>Sobre umbral</t>
        </is>
      </c>
    </row>
    <row r="12">
      <c r="A12" s="7" t="inlineStr">
        <is>
          <t>0.3813 - 0.4976 · DN 3</t>
        </is>
      </c>
      <c r="B12" s="18" t="n">
        <v>42.6009</v>
      </c>
      <c r="C12" s="19">
        <f>ROUND(B12/$B$15*100,2)</f>
        <v/>
      </c>
      <c r="D12" s="11" t="inlineStr">
        <is>
          <t>Vigor bajo</t>
        </is>
      </c>
      <c r="E12" s="11" t="inlineStr">
        <is>
          <t>BAJO umbral 0.4976</t>
        </is>
      </c>
    </row>
    <row r="13">
      <c r="A13" s="14" t="inlineStr">
        <is>
          <t>0.2650 - 0.3813 · DN 2</t>
        </is>
      </c>
      <c r="B13" s="30" t="n">
        <v>232.6345</v>
      </c>
      <c r="C13" s="29">
        <f>ROUND(B13/$B$15*100,2)</f>
        <v/>
      </c>
      <c r="D13" s="15" t="inlineStr">
        <is>
          <t>Vigor muy bajo</t>
        </is>
      </c>
      <c r="E13" s="15" t="inlineStr">
        <is>
          <t>BAJO umbral 0.4976</t>
        </is>
      </c>
    </row>
    <row r="14">
      <c r="A14" s="7" t="inlineStr">
        <is>
          <t>&lt;= 0.2650 · DN 1</t>
        </is>
      </c>
      <c r="B14" s="18" t="n">
        <v>77.7475</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1 031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355.36</v>
      </c>
      <c r="C18" s="48" t="inlineStr">
        <is>
          <t>—</t>
        </is>
      </c>
      <c r="D18" s="45" t="inlineStr">
        <is>
          <t>Desviación planimétrica frente al catálogo</t>
        </is>
      </c>
      <c r="E18" s="45" t="inlineStr">
        <is>
          <t>+0.00 %</t>
        </is>
      </c>
    </row>
    <row r="19">
      <c r="A19" s="16" t="inlineStr">
        <is>
          <t>MSAVI 2024 — MEDIA DEL BLOQUE</t>
        </is>
      </c>
      <c r="B19" s="17" t="n">
        <v>0.314312</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1 031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(0.3143)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0.5237000000000001</v>
      </c>
      <c r="C25" s="19" t="n">
        <v>0.15</v>
      </c>
      <c r="D25" s="11" t="inlineStr">
        <is>
          <t>Dosel continuo, matorral denso o mosaico agroforestal</t>
        </is>
      </c>
      <c r="E25" s="11" t="inlineStr"/>
    </row>
    <row r="26">
      <c r="A26" s="12" t="inlineStr">
        <is>
          <t>Vegetación mediana</t>
        </is>
      </c>
      <c r="B26" s="20" t="n">
        <v>28.9887</v>
      </c>
      <c r="C26" s="21" t="n">
        <v>8.15</v>
      </c>
      <c r="D26" s="13" t="inlineStr">
        <is>
          <t>Pastizal cultivado, matorral ralo, parcelas agrícolas</t>
        </is>
      </c>
      <c r="E26" s="13" t="inlineStr"/>
    </row>
    <row r="27">
      <c r="A27" s="7" t="inlineStr">
        <is>
          <t>Vegetación ligera</t>
        </is>
      </c>
      <c r="B27" s="18" t="n">
        <v>277.6993</v>
      </c>
      <c r="C27" s="19" t="n">
        <v>78.09999999999999</v>
      </c>
      <c r="D27" s="11" t="inlineStr">
        <is>
          <t>Cobertura discontinua, suelo parcialmente expuesto</t>
        </is>
      </c>
      <c r="E27" s="11" t="inlineStr"/>
    </row>
    <row r="28">
      <c r="A28" s="12" t="inlineStr">
        <is>
          <t>Tierra desnuda</t>
        </is>
      </c>
      <c r="B28" s="20" t="n">
        <v>48.356</v>
      </c>
      <c r="C28" s="21" t="n">
        <v>13.6</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355.36</v>
      </c>
      <c r="C30" s="25" t="inlineStr">
        <is>
          <t>—</t>
        </is>
      </c>
      <c r="D30" s="25" t="inlineStr">
        <is>
          <t>Desviación planimétrica frente al catálogo</t>
        </is>
      </c>
      <c r="E30" s="25" t="inlineStr">
        <is>
          <t>+0.06 %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0.15 % del polígono clasificado como «Vegetación alta» por el NDVI 2025; la observación de campo corresponde a una parcela o recorrido puntual y no es estadísticamente representativa de las 355.360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M9B1</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76381.5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595552</v>
      </c>
      <c r="C13" s="6" t="inlineStr">
        <is>
          <t>Centroide del bloque — UTM NORTE (m)</t>
        </is>
      </c>
      <c r="D13" s="7" t="n">
        <v>9451222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está conformado por un conjunto de LADERAS DE COLINA BAJA, con pendientes inferiores al 30% y altitud media ≈250 msnm. Debido a su extensión (355.36 ha) y a la accidentada topografía, el área presenta DIVERSAS QUEBRADAS QUE CANALIZAN EL AGUA DE LLUVIA HACIA EL SECTOR DEL CCPP: el flujo atraviesa la vía afirmada mediante BADENES, continúa por parcelas de cultivo y desemboca en la quebrada principal (colector). En las zonas de pendiente se observan piedras de tamaño pequeño a mediano. NO SE DETECTARON SURCOS SIGNIFICATIVOS NI CÁRCAVAS en formación evidente. En el interior se evidenció EROSIÓN LAMINAR Y EÓLICA causada por el pastoreo de ganado vacuno y caprino. Se evidenciaron CAMINOS DE HERRADURA marcados dejados por el tránsito de personas y ganado, que contribuyen a la erosión. ATENCIÓN: el UTM del punto de registro (645 575 · 9 393 500) es el valor por defecto de la plantilla; el centroide de catálogo es 595 552 · 9 451 220 (≈70 km de diferencia).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M9B1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t>
        </is>
      </c>
      <c r="B10" s="27" t="n">
        <v>459.29</v>
      </c>
      <c r="C10" s="19" t="n">
        <v>56.38</v>
      </c>
      <c r="D10" s="11" t="inlineStr">
        <is>
          <t>951 – 2173</t>
        </is>
      </c>
      <c r="E10" s="11" t="n">
        <v>1222</v>
      </c>
      <c r="F10" s="11" t="n">
        <v>29.52</v>
      </c>
      <c r="G10" s="18" t="n">
        <v>0.5677</v>
      </c>
      <c r="H10" s="19" t="n">
        <v>57.21</v>
      </c>
      <c r="I10" s="19" t="n">
        <v>29.06</v>
      </c>
    </row>
    <row r="11">
      <c r="A11" s="14" t="inlineStr">
        <is>
          <t>► M9B1</t>
        </is>
      </c>
      <c r="B11" s="28" t="n">
        <v>355.36</v>
      </c>
      <c r="C11" s="29" t="n">
        <v>43.62</v>
      </c>
      <c r="D11" s="15" t="inlineStr">
        <is>
          <t>147 – 265</t>
        </is>
      </c>
      <c r="E11" s="15" t="n">
        <v>118</v>
      </c>
      <c r="F11" s="15" t="n">
        <v>10.17</v>
      </c>
      <c r="G11" s="30" t="n">
        <v>0.3143</v>
      </c>
      <c r="H11" s="29" t="n">
        <v>0.15</v>
      </c>
      <c r="I11" s="29" t="n">
        <v>99.33</v>
      </c>
    </row>
    <row r="12">
      <c r="A12" s="16" t="inlineStr">
        <is>
          <t>TOTAL / PROMEDIO</t>
        </is>
      </c>
      <c r="B12" s="31">
        <f>SUM(B10:B11)</f>
        <v/>
      </c>
      <c r="C12" s="23">
        <f>SUM(C10:C11)</f>
        <v/>
      </c>
      <c r="D12" s="17" t="inlineStr">
        <is>
          <t>147 – 2173</t>
        </is>
      </c>
      <c r="E12" s="17" t="inlineStr"/>
      <c r="F12" s="17">
        <f>ROUND(AVERAGE(F10:F11),2)</f>
        <v/>
      </c>
      <c r="G12" s="22">
        <f>ROUND(AVERAGE(G10:G11),4)</f>
        <v/>
      </c>
      <c r="H12" s="23">
        <f>ROUND(AVERAGE(H10:H11),2)</f>
        <v/>
      </c>
      <c r="I12" s="23">
        <f>ROUND(AVERAGE(I10:I11),2)</f>
        <v/>
      </c>
    </row>
    <row r="14" ht="84" customHeight="1">
      <c r="A14" s="9" t="inlineStr">
        <is>
          <t>LECTURA INTRAMICROCUENCA. El bloque M9B1 ocupa el puesto 2 de 2 por superficie dentro de la microcuenca C1096-Q9545 (43.62 % de las 814.65 ha preliminares de la microcuenca). Su pendiente promedio (10.17 %, clase «8-15% (Mod. inclinado)») es la 1.ª más baja de 2 y se sitúa por debajo del promedio de la microcuenca (19.84 %). Su MSAVI 2024 (0.3143) es el 2.º de 2 y queda por debajo del promedio local (0.4410). Amplitud altitudinal del bloque: 118 m (147–265 msnm). El cuadro conserva todos los bloques catalogados en la microcuenca, incluidos los descartados en el tamizaje, para referencia del conjunto. Los bloques sin ficha DT figuran con sus parámetros de gabinete. BRECHA ESPECTRAL. El 99.33 % de la superficie del bloque (352.983 ha de 355.364 ha) se sitúa bajo el umbral MSAVI 0.4976, por encima del promedio local de la microcuenca (64.20 %)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M9B1</t>
        </is>
      </c>
    </row>
    <row r="6">
      <c r="A6" s="51" t="inlineStr">
        <is>
          <t>Cruce de la ficha de campo F-DT vigente con la ficha de resumen de gabinete y el catálogo maestro. Integración 2026-09-11 21:26:39.</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«C1096-Q9545».</t>
        </is>
      </c>
      <c r="D9" s="55" t="inlineStr">
        <is>
          <t>CONFORME</t>
        </is>
      </c>
      <c r="E9" s="55" t="inlineStr">
        <is>
          <t>Sin acción.</t>
        </is>
      </c>
    </row>
    <row r="10">
      <c r="A10" s="56" t="inlineStr">
        <is>
          <t>G-02</t>
        </is>
      </c>
      <c r="B10" s="56" t="inlineStr">
        <is>
          <t>UTM del punto de muestreo</t>
        </is>
      </c>
      <c r="C10" s="56" t="inlineStr">
        <is>
          <t>No es posible contrastar el punto de muestreo con el centroide: falta una de las dos coordenadas.</t>
        </is>
      </c>
      <c r="D10" s="56" t="inlineStr">
        <is>
          <t>SUSTANTIVA</t>
        </is>
      </c>
      <c r="E10" s="56" t="inlineStr">
        <is>
          <t>Debe consignarse la coordenada del punto de muestreo en F-DT-01.</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(254 msnm) cae dentro del rango altitudinal del bloque (147 - 265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(355.568 ha) se desvía 0.06 % de la superficie de catálogo (355.36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(355.364 ha) se desvía 0.00 % de la superficie de catálogo (355.36 ha).</t>
        </is>
      </c>
      <c r="D14" s="56" t="inlineStr">
        <is>
          <t>CONFORME</t>
        </is>
      </c>
      <c r="E14" s="56" t="inlineStr">
        <is>
          <t>Sin acción: la segmentación valida la geometría del bloque.</t>
        </is>
      </c>
    </row>
    <row r="15">
      <c r="A15" s="55" t="inlineStr">
        <is>
          <t>G-07</t>
        </is>
      </c>
      <c r="B15" s="55" t="inlineStr">
        <is>
          <t>Brecha espectral MSAVI</t>
        </is>
      </c>
      <c r="C15" s="55" t="inlineStr">
        <is>
          <t>El 99.33 % del bloque queda bajo el umbral 0.4976; superficie de brecha 352.98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355.36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(0.3143)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Responsable de la evaluación</t>
        </is>
      </c>
      <c r="C19" s="55" t="inlineStr">
        <is>
          <t>El libro de resumen V6 consignaba «Juan Domínguez»; la ficha de campo vigente declara «Ing. Juan Carlos Domínguez Varas».</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Correlativo de ficha</t>
        </is>
      </c>
      <c r="C20" s="56" t="inlineStr">
        <is>
          <t>El libro de resumen V6 consignaba «Sin registro en ficha»; la ficha de campo vigente declara «1».</t>
        </is>
      </c>
      <c r="D20" s="56" t="inlineStr">
        <is>
          <t>CORREGIDO</t>
        </is>
      </c>
      <c r="E20" s="56" t="inlineStr">
        <is>
          <t>Se adopta el valor de campo por ser la fuente que manda sobre el dato y la más reciente. El valor anterior queda declarado para trazabilidad.</t>
        </is>
      </c>
    </row>
    <row r="21">
      <c r="A21" s="55" t="inlineStr">
        <is>
          <t>F-01</t>
        </is>
      </c>
      <c r="B21" s="55" t="inlineStr">
        <is>
          <t>Fichas F-DT levantadas</t>
        </is>
      </c>
      <c r="C21" s="55" t="inlineStr">
        <is>
          <t>La plantilla de campo trae las cinco fichas F-DT-01 a F-DT-05 (completitud 78.6 % de los campos esperados).</t>
        </is>
      </c>
      <c r="D21" s="55" t="inlineStr">
        <is>
          <t>CONFORME</t>
        </is>
      </c>
      <c r="E21" s="55" t="inlineStr">
        <is>
          <t>Sin acción.</t>
        </is>
      </c>
    </row>
    <row r="22">
      <c r="A22" s="56" t="inlineStr">
        <is>
          <t>F-02</t>
        </is>
      </c>
      <c r="B22" s="56" t="inlineStr">
        <is>
          <t>Cobertura de la integración</t>
        </is>
      </c>
      <c r="C22" s="56" t="inlineStr">
        <is>
          <t>Se declararon 92 de 114 hechos integrados (80.7 %); 22 quedan sin dato en ninguna fuente.</t>
        </is>
      </c>
      <c r="D22" s="56" t="inlineStr">
        <is>
          <t>CONFORME</t>
        </is>
      </c>
      <c r="E22" s="56" t="inlineStr">
        <is>
          <t>Sin acción.</t>
        </is>
      </c>
    </row>
    <row r="23">
      <c r="A23" s="55" t="inlineStr">
        <is>
          <t>H-01</t>
        </is>
      </c>
      <c r="B23" s="55" t="inlineStr">
        <is>
          <t>Rango de pendiente dominante</t>
        </is>
      </c>
      <c r="C23" s="55" t="inlineStr">
        <is>
          <t>La ficha DT declara «15-25% (Fuert. inclinado)»; la estadística zonal sobre el MDE arroja una pendiente promedio de 10.17 %, que corresponde a la clase «8-15% (Mod. inclinado)»</t>
        </is>
      </c>
      <c r="D23" s="55" t="inlineStr">
        <is>
          <t>NO SUSTANTIVA</t>
        </is>
      </c>
      <c r="E23"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6" t="inlineStr">
        <is>
          <t>H-02</t>
        </is>
      </c>
      <c r="B24" s="56" t="inlineStr">
        <is>
          <t>Dimensiones del inventario de cárcavas</t>
        </is>
      </c>
      <c r="C24" s="56" t="inlineStr">
        <is>
          <t>Se registran No inventariadas (F-DT-02 sin contenido) rasgos erosivos, pero longitud, profundidad y ancho no fueron medidos instrumentalmente</t>
        </is>
      </c>
      <c r="D24" s="56" t="inlineStr">
        <is>
          <t>NO SUSTANTIVA</t>
        </is>
      </c>
      <c r="E24" s="56" t="inlineStr">
        <is>
          <t>El conteo registrado no debe usarse para calcular densidad de cárcavas por hectárea. Pendiente de levantamiento con GPS submétrico. (Verificación heredada de la ficha de resumen V6.)</t>
        </is>
      </c>
    </row>
    <row r="25">
      <c r="A25" s="55" t="inlineStr">
        <is>
          <t>H-03</t>
        </is>
      </c>
      <c r="B25" s="55" t="inlineStr">
        <is>
          <t>Elenco florístico</t>
        </is>
      </c>
      <c r="C25" s="55" t="inlineStr">
        <is>
          <t>La ficha registra 9 taxones, por debajo del mínimo de 15 que exige el formato V5</t>
        </is>
      </c>
      <c r="D25" s="55" t="inlineStr">
        <is>
          <t>SUSTANTIVA</t>
        </is>
      </c>
      <c r="E25" s="55" t="inlineStr">
        <is>
          <t>Registro florístico preliminar, sin colecta ni determinación botánica formal. Debe cerrarse con colecta botánica en la siguiente campaña. (Verificación heredada de la ficha de resumen V6.)</t>
        </is>
      </c>
    </row>
    <row r="26">
      <c r="A26" s="56" t="inlineStr">
        <is>
          <t>H-04</t>
        </is>
      </c>
      <c r="B26" s="56" t="inlineStr">
        <is>
          <t>Representatividad del levantamiento</t>
        </is>
      </c>
      <c r="C26" s="56" t="inlineStr">
        <is>
          <t>Ninguna de las estaciones fotográficas georreferenciadas se localiza dentro del polígono del bloque</t>
        </is>
      </c>
      <c r="D26" s="56" t="inlineStr">
        <is>
          <t>SUSTANTIVA</t>
        </is>
      </c>
      <c r="E26" s="56" t="inlineStr">
        <is>
          <t>La verificación documenta el perímetro y la vista panorámica del bloque, no su interior. Los parámetros que exigen recorrido interno se consignan «Por determinar». (Verificación heredada de la ficha de resumen V6.)</t>
        </is>
      </c>
    </row>
    <row r="27">
      <c r="A27" s="55" t="inlineStr">
        <is>
          <t>H-05</t>
        </is>
      </c>
      <c r="B27" s="55" t="inlineStr">
        <is>
          <t>Centro poblado asociado</t>
        </is>
      </c>
      <c r="C27" s="55" t="inlineStr">
        <is>
          <t>La ficha DT declara «La Peña»; el cruce INEI-Bloques V5 identifica 1 centro(s) poblado(s) en el bloque: LA PEÑA</t>
        </is>
      </c>
      <c r="D27" s="55" t="inlineStr">
        <is>
          <t>CONFORME</t>
        </is>
      </c>
      <c r="E27" s="55" t="inlineStr">
        <is>
          <t>Se conserva el registro de campo como referencia y se adopta el listado INEI para el diagnóstico social y el cálculo de población beneficiaria. (Verificación heredada de la ficha de resumen V6.)</t>
        </is>
      </c>
    </row>
    <row r="28">
      <c r="A28" s="56" t="inlineStr">
        <is>
          <t>H-06</t>
        </is>
      </c>
      <c r="B28" s="56" t="inlineStr">
        <is>
          <t>Ficha DT</t>
        </is>
      </c>
      <c r="C28" s="56" t="inlineStr">
        <is>
          <t>La ficha consigna microcuenca C1076-Q9584; el catálogo maestro asigna a M9B1 la microcuenca C1096-Q9545</t>
        </is>
      </c>
      <c r="D28" s="56" t="inlineStr">
        <is>
          <t>SUSTANTIVA</t>
        </is>
      </c>
      <c r="E28" s="56" t="inlineStr">
        <is>
          <t>Valor por defecto de la plantilla; se conserva el del catálogo (Verificación heredada de la ficha de resumen V6.)</t>
        </is>
      </c>
    </row>
    <row r="29">
      <c r="A29" s="55" t="inlineStr">
        <is>
          <t>H-07</t>
        </is>
      </c>
      <c r="B29" s="55" t="inlineStr">
        <is>
          <t>Plan de Ingreso</t>
        </is>
      </c>
      <c r="C29" s="55" t="inlineStr">
        <is>
          <t>Altitud = 0 msnm (captura por defecto del aplicativo)</t>
        </is>
      </c>
      <c r="D29" s="55" t="inlineStr">
        <is>
          <t>CORREGIDO</t>
        </is>
      </c>
      <c r="E29" s="55" t="inlineStr">
        <is>
          <t>Se reemplaza por la altitud GPS de campo (254 msnm) (Verificación heredada de la ficha de resumen V6.)</t>
        </is>
      </c>
    </row>
    <row r="30">
      <c r="A30" s="56" t="inlineStr">
        <is>
          <t>H-08</t>
        </is>
      </c>
      <c r="B30" s="56" t="inlineStr">
        <is>
          <t>F-DT-02</t>
        </is>
      </c>
      <c r="C30" s="56" t="inlineStr">
        <is>
          <t>Sección SIN CONTENIDO en el documento de origen</t>
        </is>
      </c>
      <c r="D30" s="56" t="inlineStr">
        <is>
          <t>SUSTANTIVA</t>
        </is>
      </c>
      <c r="E30" s="56" t="inlineStr">
        <is>
          <t>Levantamiento de suelo y procesos erosivos pendiente en su totalidad (Verificación heredada de la ficha de resumen V6.)</t>
        </is>
      </c>
    </row>
    <row r="31">
      <c r="A31" s="55" t="inlineStr">
        <is>
          <t>H-09</t>
        </is>
      </c>
      <c r="B31" s="55" t="inlineStr">
        <is>
          <t>F-DT-03</t>
        </is>
      </c>
      <c r="C31" s="55" t="inlineStr">
        <is>
          <t>La tabla florística (9 taxones) no consigna nombre científico ni familia</t>
        </is>
      </c>
      <c r="D31" s="55" t="inlineStr">
        <is>
          <t>SUSTANTIVA</t>
        </is>
      </c>
      <c r="E31" s="55" t="inlineStr">
        <is>
          <t>Determinación botánica pendiente (Verificación heredada de la ficha de resumen V6.)</t>
        </is>
      </c>
    </row>
    <row r="32">
      <c r="A32" s="56" t="inlineStr">
        <is>
          <t>H-10</t>
        </is>
      </c>
      <c r="B32" s="56" t="inlineStr">
        <is>
          <t>F-DT-04</t>
        </is>
      </c>
      <c r="C32" s="56" t="inlineStr">
        <is>
          <t>Densidad de cárcavas 1 N.°/ha pese a declararse que no se detectaron cárcavas y a no existir inventario</t>
        </is>
      </c>
      <c r="D32" s="56" t="inlineStr">
        <is>
          <t>SUSTANTIVA</t>
        </is>
      </c>
      <c r="E32" s="56" t="inlineStr">
        <is>
          <t>Inconsistencia interna a resolver (Verificación heredada de la ficha de resumen V6.)</t>
        </is>
      </c>
    </row>
    <row r="33">
      <c r="A33" s="55" t="inlineStr">
        <is>
          <t>H-11</t>
        </is>
      </c>
      <c r="B33" s="55" t="inlineStr">
        <is>
          <t>F-DT-05</t>
        </is>
      </c>
      <c r="C33" s="55" t="inlineStr">
        <is>
          <t>Inventario de fuentes vacío pese a describirse diversas quebradas que canalizan agua hacia el CCPP</t>
        </is>
      </c>
      <c r="D33" s="55" t="inlineStr">
        <is>
          <t>SUSTANTIVA</t>
        </is>
      </c>
      <c r="E33" s="55" t="inlineStr">
        <is>
          <t>Levantamiento pendiente (Verificación heredada de la ficha de resumen V6.)</t>
        </is>
      </c>
    </row>
    <row r="34">
      <c r="A34" s="56" t="inlineStr">
        <is>
          <t>H-12</t>
        </is>
      </c>
      <c r="B34" s="56" t="inlineStr">
        <is>
          <t>F-DS-01 / F-DS-02</t>
        </is>
      </c>
      <c r="C34" s="56" t="inlineStr">
        <is>
          <t>Contradicción: F-DS-01 declara Comunidad Campesina reconocida con título; F-DS-02 declara que no pertenecen a ninguna comunidad campesina</t>
        </is>
      </c>
      <c r="D34" s="56" t="inlineStr">
        <is>
          <t>SUSTANTIVA</t>
        </is>
      </c>
      <c r="E34" s="56" t="inlineStr">
        <is>
          <t>Condiciona el tamizaje predial y la estrategia de gobernanza: resolver antes del Expediente de Liberación de Áreas (Verificación heredada de la ficha de resumen V6.)</t>
        </is>
      </c>
    </row>
    <row r="36">
      <c r="A36" s="57" t="inlineStr">
        <is>
          <t>RESUMEN</t>
        </is>
      </c>
      <c r="B36" s="58" t="inlineStr">
        <is>
          <t>26 verificaciones</t>
        </is>
      </c>
      <c r="C36" s="58" t="inlineStr">
        <is>
          <t>SUSTANTIVA: 10 · NO SUSTANTIVA: 2 · CORREGIDO: 3 · CONFORME: 11</t>
        </is>
      </c>
    </row>
    <row r="38">
      <c r="A38"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38:E38"/>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M9B1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8. Responsable y modalidad de la evaluación</t>
        </is>
      </c>
      <c r="B9" s="55" t="inlineStr">
        <is>
          <t>Responsable de la evaluación</t>
        </is>
      </c>
      <c r="C9" s="55" t="inlineStr">
        <is>
          <t>Juan Domínguez</t>
        </is>
      </c>
      <c r="D9" s="55" t="inlineStr">
        <is>
          <t>Ing. Juan Carlos Domínguez Varas</t>
        </is>
      </c>
      <c r="E9" s="55" t="inlineStr">
        <is>
          <t>Dato de campo</t>
        </is>
      </c>
    </row>
    <row r="10">
      <c r="A10" s="56" t="inlineStr">
        <is>
          <t>8. Responsable y modalidad de la evaluación</t>
        </is>
      </c>
      <c r="B10" s="56" t="inlineStr">
        <is>
          <t>Correlativo de ficha</t>
        </is>
      </c>
      <c r="C10" s="56" t="inlineStr">
        <is>
          <t>Sin registro en ficha</t>
        </is>
      </c>
      <c r="D10" s="56" t="inlineStr">
        <is>
          <t>1</t>
        </is>
      </c>
      <c r="E10" s="56" t="inlineStr">
        <is>
          <t>Dato de campo</t>
        </is>
      </c>
    </row>
    <row r="12">
      <c r="A12" s="53" t="inlineStr">
        <is>
          <t>B. HECHOS APORTADOS ÚNICAMENTE POR LA FICHA DE CAMPO</t>
        </is>
      </c>
    </row>
    <row r="13">
      <c r="A13" s="54" t="inlineStr">
        <is>
          <t>Sección</t>
        </is>
      </c>
      <c r="B13" s="54" t="inlineStr">
        <is>
          <t>Hecho</t>
        </is>
      </c>
      <c r="C13" s="54" t="inlineStr">
        <is>
          <t>Valor</t>
        </is>
      </c>
      <c r="D13" s="54" t="inlineStr">
        <is>
          <t>Unidad</t>
        </is>
      </c>
    </row>
    <row r="14">
      <c r="A14" s="55" t="inlineStr">
        <is>
          <t>2. Parámetros físicos del terreno</t>
        </is>
      </c>
      <c r="B14" s="55" t="inlineStr">
        <is>
          <t>Altitud GPS del punto de muestreo (msnm)</t>
        </is>
      </c>
      <c r="C14" s="55" t="inlineStr">
        <is>
          <t>254</t>
        </is>
      </c>
      <c r="D14" s="55" t="inlineStr">
        <is>
          <t>msnm</t>
        </is>
      </c>
    </row>
    <row r="15">
      <c r="A15" s="56" t="inlineStr">
        <is>
          <t>2. Parámetros físicos del terreno</t>
        </is>
      </c>
      <c r="B15" s="56" t="inlineStr">
        <is>
          <t>Piso altitudinal del punto de muestreo</t>
        </is>
      </c>
      <c r="C15" s="56" t="inlineStr">
        <is>
          <t>&lt;1000 m (Yunga)</t>
        </is>
      </c>
      <c r="D15" s="56" t="inlineStr"/>
    </row>
    <row r="16">
      <c r="A16" s="55" t="inlineStr">
        <is>
          <t>2. Parámetros físicos del terreno</t>
        </is>
      </c>
      <c r="B16" s="55" t="inlineStr">
        <is>
          <t>Paisaje dominante descrito en campo</t>
        </is>
      </c>
      <c r="C16" s="55" t="inlineStr">
        <is>
          <t>Sistema de laderas convexo-cóncavas tributarias de la quebrada Q9545 (microcuenca C1096), con altitudes de 150 a 225 msnm y desniveles internos. Paisaje de colina media, dominado por bosque estacionalmente seco de colina y montaña.</t>
        </is>
      </c>
      <c r="D16" s="55" t="inlineStr"/>
    </row>
    <row r="17">
      <c r="A17" s="56" t="inlineStr">
        <is>
          <t>2. Parámetros físicos del terreno</t>
        </is>
      </c>
      <c r="B17" s="56" t="inlineStr">
        <is>
          <t>Reptación de suelo</t>
        </is>
      </c>
      <c r="C17" s="56" t="inlineStr">
        <is>
          <t>No</t>
        </is>
      </c>
      <c r="D17" s="56" t="inlineStr"/>
    </row>
    <row r="18">
      <c r="A18" s="55" t="inlineStr">
        <is>
          <t>2. Parámetros físicos del terreno</t>
        </is>
      </c>
      <c r="B18" s="55" t="inlineStr">
        <is>
          <t>Deslizamientos antiguos</t>
        </is>
      </c>
      <c r="C18" s="55" t="inlineStr">
        <is>
          <t>No</t>
        </is>
      </c>
      <c r="D18" s="55" t="inlineStr"/>
    </row>
    <row r="19">
      <c r="A19" s="56" t="inlineStr">
        <is>
          <t>5. Ecosistema, cobertura y flora (F-DT-03)</t>
        </is>
      </c>
      <c r="B19" s="56" t="inlineStr">
        <is>
          <t>Cobertura del dosel (%)</t>
        </is>
      </c>
      <c r="C19" s="56" t="inlineStr">
        <is>
          <t>90</t>
        </is>
      </c>
      <c r="D19" s="56" t="inlineStr">
        <is>
          <t>%</t>
        </is>
      </c>
    </row>
    <row r="20">
      <c r="A20" s="55" t="inlineStr">
        <is>
          <t>5. Ecosistema, cobertura y flora (F-DT-03)</t>
        </is>
      </c>
      <c r="B20" s="55" t="inlineStr">
        <is>
          <t>Cobertura arbustiva (%)</t>
        </is>
      </c>
      <c r="C20" s="55" t="inlineStr">
        <is>
          <t>15</t>
        </is>
      </c>
      <c r="D20" s="55" t="inlineStr">
        <is>
          <t>%</t>
        </is>
      </c>
    </row>
    <row r="21">
      <c r="A21" s="56" t="inlineStr">
        <is>
          <t>5. Ecosistema, cobertura y flora (F-DT-03)</t>
        </is>
      </c>
      <c r="B21" s="56" t="inlineStr">
        <is>
          <t>Cobertura herbácea (%)</t>
        </is>
      </c>
      <c r="C21" s="56" t="inlineStr">
        <is>
          <t>10</t>
        </is>
      </c>
      <c r="D21" s="56" t="inlineStr">
        <is>
          <t>%</t>
        </is>
      </c>
    </row>
    <row r="22">
      <c r="A22" s="55" t="inlineStr">
        <is>
          <t>5. Ecosistema, cobertura y flora (F-DT-03)</t>
        </is>
      </c>
      <c r="B22" s="55" t="inlineStr">
        <is>
          <t>Cobertura de hojarasca (%)</t>
        </is>
      </c>
      <c r="C22" s="55" t="inlineStr">
        <is>
          <t>5</t>
        </is>
      </c>
      <c r="D22" s="55" t="inlineStr">
        <is>
          <t>%</t>
        </is>
      </c>
    </row>
    <row r="23">
      <c r="A23" s="56" t="inlineStr">
        <is>
          <t>5. Ecosistema, cobertura y flora (F-DT-03)</t>
        </is>
      </c>
      <c r="B23" s="56" t="inlineStr">
        <is>
          <t>Altura del estrato dominante (m)</t>
        </is>
      </c>
      <c r="C23" s="56" t="inlineStr">
        <is>
          <t>7</t>
        </is>
      </c>
      <c r="D23" s="56" t="inlineStr">
        <is>
          <t>m</t>
        </is>
      </c>
    </row>
    <row r="24">
      <c r="A24" s="55" t="inlineStr">
        <is>
          <t>5. Ecosistema, cobertura y flora (F-DT-03)</t>
        </is>
      </c>
      <c r="B24" s="55" t="inlineStr">
        <is>
          <t>Altura máxima registrada (m)</t>
        </is>
      </c>
      <c r="C24" s="55" t="inlineStr">
        <is>
          <t>10</t>
        </is>
      </c>
      <c r="D24" s="55" t="inlineStr">
        <is>
          <t>m</t>
        </is>
      </c>
    </row>
    <row r="25">
      <c r="A25" s="56" t="inlineStr">
        <is>
          <t>5. Ecosistema, cobertura y flora (F-DT-03)</t>
        </is>
      </c>
      <c r="B25" s="56" t="inlineStr">
        <is>
          <t>DAP promedio (cm)</t>
        </is>
      </c>
      <c r="C25" s="56" t="inlineStr">
        <is>
          <t>30</t>
        </is>
      </c>
      <c r="D25" s="56" t="inlineStr">
        <is>
          <t>cm</t>
        </is>
      </c>
    </row>
    <row r="26">
      <c r="A26" s="55" t="inlineStr">
        <is>
          <t>5. Ecosistema, cobertura y flora (F-DT-03)</t>
        </is>
      </c>
      <c r="B26" s="55" t="inlineStr">
        <is>
          <t>Presencia de epífitas</t>
        </is>
      </c>
      <c r="C26" s="55" t="inlineStr">
        <is>
          <t>No</t>
        </is>
      </c>
      <c r="D26" s="55" t="inlineStr"/>
    </row>
    <row r="27">
      <c r="A27" s="56" t="inlineStr">
        <is>
          <t>5. Ecosistema, cobertura y flora (F-DT-03)</t>
        </is>
      </c>
      <c r="B27" s="56" t="inlineStr">
        <is>
          <t>Fenología dominante</t>
        </is>
      </c>
      <c r="C27" s="56" t="inlineStr">
        <is>
          <t>Vegetativo</t>
        </is>
      </c>
      <c r="D27" s="56" t="inlineStr"/>
    </row>
    <row r="28">
      <c r="A28" s="55" t="inlineStr">
        <is>
          <t>5. Ecosistema, cobertura y flora (F-DT-03)</t>
        </is>
      </c>
      <c r="B28" s="55" t="inlineStr">
        <is>
          <t>Pendiente de la parcela (%)</t>
        </is>
      </c>
      <c r="C28" s="55" t="inlineStr">
        <is>
          <t>10.17</t>
        </is>
      </c>
      <c r="D28" s="55" t="inlineStr">
        <is>
          <t>%</t>
        </is>
      </c>
    </row>
    <row r="29">
      <c r="A29" s="56" t="inlineStr">
        <is>
          <t>5. Ecosistema, cobertura y flora (F-DT-03)</t>
        </is>
      </c>
      <c r="B29" s="56" t="inlineStr">
        <is>
          <t>Especies clave georreferenciadas</t>
        </is>
      </c>
      <c r="C29" s="56" t="inlineStr">
        <is>
          <t>3</t>
        </is>
      </c>
      <c r="D29" s="56" t="inlineStr"/>
    </row>
    <row r="30">
      <c r="A30" s="55" t="inlineStr">
        <is>
          <t>6. Degradación, causas y urgencia (F-DT-04)</t>
        </is>
      </c>
      <c r="B30" s="55" t="inlineStr">
        <is>
          <t>Causas directas de la degradación</t>
        </is>
      </c>
      <c r="C30" s="55" t="inlineStr">
        <is>
          <t>La degradación del ecosistema se debe principalmente a las actividades de pastoreo de ganado vacuno y caprino y a la extracción de leña para uso doméstico.</t>
        </is>
      </c>
      <c r="D30" s="55" t="inlineStr"/>
    </row>
    <row r="31">
      <c r="A31" s="56" t="inlineStr">
        <is>
          <t>6. Degradación, causas y urgencia (F-DT-04)</t>
        </is>
      </c>
      <c r="B31" s="56" t="inlineStr">
        <is>
          <t>N.° de causas activas en la matriz F-DT-04</t>
        </is>
      </c>
      <c r="C31" s="56" t="inlineStr">
        <is>
          <t>3</t>
        </is>
      </c>
      <c r="D31" s="56" t="inlineStr"/>
    </row>
    <row r="32">
      <c r="A32" s="55" t="inlineStr">
        <is>
          <t>7. Hidrología, acceso y logística (F-DT-05)</t>
        </is>
      </c>
      <c r="B32" s="55" t="inlineStr">
        <is>
          <t>Vía principal de acceso</t>
        </is>
      </c>
      <c r="C32" s="55" t="inlineStr">
        <is>
          <t>Vía departamental / vecinal afirmada Chulucanas – La Peña, y trocha carrozable final</t>
        </is>
      </c>
      <c r="D32" s="55" t="inlineStr"/>
    </row>
    <row r="33">
      <c r="A33" s="56" t="inlineStr">
        <is>
          <t>7. Hidrología, acceso y logística (F-DT-05)</t>
        </is>
      </c>
      <c r="B33" s="56" t="inlineStr">
        <is>
          <t>Tipo de vía del tramo final</t>
        </is>
      </c>
      <c r="C33" s="56" t="inlineStr">
        <is>
          <t>Trocha carrozable</t>
        </is>
      </c>
      <c r="D33" s="56" t="inlineStr"/>
    </row>
    <row r="34">
      <c r="A34" s="55" t="inlineStr">
        <is>
          <t>7. Hidrología, acceso y logística (F-DT-05)</t>
        </is>
      </c>
      <c r="B34" s="55" t="inlineStr">
        <is>
          <t>Transitabilidad en época seca</t>
        </is>
      </c>
      <c r="C34" s="55" t="inlineStr">
        <is>
          <t>Alto</t>
        </is>
      </c>
      <c r="D34" s="55" t="inlineStr"/>
    </row>
    <row r="35">
      <c r="A35" s="56" t="inlineStr">
        <is>
          <t>7. Hidrología, acceso y logística (F-DT-05)</t>
        </is>
      </c>
      <c r="B35" s="56" t="inlineStr">
        <is>
          <t>Transitabilidad en época lluviosa</t>
        </is>
      </c>
      <c r="C35" s="56" t="inlineStr">
        <is>
          <t>Medio</t>
        </is>
      </c>
      <c r="D35" s="56" t="inlineStr"/>
    </row>
    <row r="36">
      <c r="A36" s="55" t="inlineStr">
        <is>
          <t>7. Hidrología, acceso y logística (F-DT-05)</t>
        </is>
      </c>
      <c r="B36" s="55" t="inlineStr">
        <is>
          <t>Tiempo a la capital distrital (min)</t>
        </is>
      </c>
      <c r="C36" s="55" t="inlineStr">
        <is>
          <t>20</t>
        </is>
      </c>
      <c r="D36" s="55" t="inlineStr">
        <is>
          <t>min</t>
        </is>
      </c>
    </row>
    <row r="37">
      <c r="A37" s="56" t="inlineStr">
        <is>
          <t>7. Hidrología, acceso y logística (F-DT-05)</t>
        </is>
      </c>
      <c r="B37" s="56" t="inlineStr">
        <is>
          <t>Señal celular</t>
        </is>
      </c>
      <c r="C37" s="56" t="inlineStr">
        <is>
          <t>Parcial</t>
        </is>
      </c>
      <c r="D37" s="56" t="inlineStr"/>
    </row>
    <row r="38">
      <c r="A38" s="55" t="inlineStr">
        <is>
          <t>7. Hidrología, acceso y logística (F-DT-05)</t>
        </is>
      </c>
      <c r="B38" s="55" t="inlineStr">
        <is>
          <t>Operador con cobertura</t>
        </is>
      </c>
      <c r="C38" s="55" t="inlineStr">
        <is>
          <t>Bitel</t>
        </is>
      </c>
      <c r="D38" s="55" t="inlineStr"/>
    </row>
    <row r="39">
      <c r="A39" s="56" t="inlineStr">
        <is>
          <t>7. Hidrología, acceso y logística (F-DT-05)</t>
        </is>
      </c>
      <c r="B39" s="56" t="inlineStr">
        <is>
          <t>Alojamiento disponible en la zona</t>
        </is>
      </c>
      <c r="C39" s="56" t="inlineStr">
        <is>
          <t>No</t>
        </is>
      </c>
      <c r="D39" s="56" t="inlineStr"/>
    </row>
    <row r="41">
      <c r="A41" s="53" t="inlineStr">
        <is>
          <t>C. PROCEDENCIA DE LOS HECHOS DECLARADOS</t>
        </is>
      </c>
    </row>
    <row r="42">
      <c r="A42" s="54" t="inlineStr">
        <is>
          <t>Fuente</t>
        </is>
      </c>
      <c r="B42" s="54" t="inlineStr">
        <is>
          <t>Hechos</t>
        </is>
      </c>
      <c r="C42" s="54" t="inlineStr">
        <is>
          <t>Alcance de la fuente</t>
        </is>
      </c>
    </row>
    <row r="43">
      <c r="A43" s="55" t="inlineStr">
        <is>
          <t>Dato de campo</t>
        </is>
      </c>
      <c r="B43" s="55" t="n">
        <v>50</v>
      </c>
      <c r="C43" s="55" t="inlineStr">
        <is>
          <t>Verificación en campo. Fichas F-DT-01 a F-DT-05 de la Plantilla DT Campo Check Validada V5, suscritas por el evaluador.</t>
        </is>
      </c>
    </row>
    <row r="44">
      <c r="A44" s="56" t="inlineStr">
        <is>
          <t>Gabinete (GIS / teledetección)</t>
        </is>
      </c>
      <c r="B44" s="56" t="n">
        <v>28</v>
      </c>
      <c r="C44" s="56" t="inlineStr">
        <is>
          <t>Gabinete. Estadística zonal sobre el MDE y compuestos Sentinel-2 (NDVI mediana 2025, MSAVI 2024 por clase DN).</t>
        </is>
      </c>
    </row>
    <row r="45">
      <c r="A45" s="55" t="inlineStr">
        <is>
          <t>Fuente oficial</t>
        </is>
      </c>
      <c r="B45" s="55" t="n">
        <v>14</v>
      </c>
      <c r="C45" s="55" t="inlineStr">
        <is>
          <t>Fuente oficial. Catálogo maestro Bloques V5/V6, división política INEI y codificación de microcuencas de la ANA.</t>
        </is>
      </c>
    </row>
    <row r="47">
      <c r="A47" s="53" t="inlineStr">
        <is>
          <t>D. ESTADO DEL CRUCE ENTRE FUENTES</t>
        </is>
      </c>
    </row>
    <row r="48">
      <c r="A48" s="54" t="inlineStr">
        <is>
          <t>Estado</t>
        </is>
      </c>
      <c r="B48" s="54" t="inlineStr">
        <is>
          <t>Hechos</t>
        </is>
      </c>
      <c r="C48" s="54" t="inlineStr">
        <is>
          <t>Significado</t>
        </is>
      </c>
    </row>
    <row r="49">
      <c r="A49" s="55" t="inlineStr">
        <is>
          <t>CONFORME</t>
        </is>
      </c>
      <c r="B49" s="55" t="n">
        <v>85</v>
      </c>
      <c r="C49" s="55" t="inlineStr">
        <is>
          <t>Las dos fuentes declaran lo mismo, o solo la fuente que manda sobre el hecho lo declara.</t>
        </is>
      </c>
    </row>
    <row r="50">
      <c r="A50" s="56" t="inlineStr">
        <is>
          <t>COMPLEMENTADO</t>
        </is>
      </c>
      <c r="B50" s="56" t="n">
        <v>5</v>
      </c>
      <c r="C50" s="56" t="inlineStr">
        <is>
          <t>Solo una de las fuentes lo declara y se adopta ese valor.</t>
        </is>
      </c>
    </row>
    <row r="51">
      <c r="A51" s="55" t="inlineStr">
        <is>
          <t>ACTUALIZADO</t>
        </is>
      </c>
      <c r="B51" s="55" t="n">
        <v>2</v>
      </c>
      <c r="C51" s="55" t="inlineStr">
        <is>
          <t>La verificación de campo vigente corrige lo que traía el libro de resumen.</t>
        </is>
      </c>
    </row>
    <row r="52">
      <c r="A52" s="56" t="inlineStr">
        <is>
          <t>DISCREPANTE</t>
        </is>
      </c>
      <c r="B52" s="56" t="n">
        <v>0</v>
      </c>
      <c r="C52" s="56" t="inlineStr">
        <is>
          <t>Las fuentes se contradicen; prevalece la que manda sobre el hecho y la otra queda declarada.</t>
        </is>
      </c>
    </row>
    <row r="53">
      <c r="A53" s="55" t="inlineStr">
        <is>
          <t>PENDIENTE</t>
        </is>
      </c>
      <c r="B53" s="55" t="n">
        <v>22</v>
      </c>
      <c r="C5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M9B1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Ocasional (1-5%)</t>
        </is>
      </c>
      <c r="H13" s="60" t="n">
        <v>20</v>
      </c>
      <c r="I13" s="61" t="n">
        <v>5</v>
      </c>
    </row>
    <row r="14">
      <c r="A14" s="56" t="inlineStr">
        <is>
          <t>2</t>
        </is>
      </c>
      <c r="B14" s="56" t="inlineStr">
        <is>
          <t>Algarrobo</t>
        </is>
      </c>
      <c r="C14" s="56" t="inlineStr">
        <is>
          <t>Neltuma pallida</t>
        </is>
      </c>
      <c r="D14" s="56" t="inlineStr">
        <is>
          <t>Fabaceae</t>
        </is>
      </c>
      <c r="E14" s="56" t="inlineStr">
        <is>
          <t>Arbóreo bajo (4-8 m)</t>
        </is>
      </c>
      <c r="F14" s="56" t="inlineStr">
        <is>
          <t>Nativa</t>
        </is>
      </c>
      <c r="G14" s="56" t="inlineStr">
        <is>
          <t>Rara (&lt;1%)</t>
        </is>
      </c>
      <c r="H14" s="62" t="n">
        <v>30</v>
      </c>
      <c r="I14" s="63" t="n">
        <v>8</v>
      </c>
    </row>
    <row r="15">
      <c r="A15" s="55" t="inlineStr">
        <is>
          <t>3</t>
        </is>
      </c>
      <c r="B15" s="55" t="inlineStr">
        <is>
          <t>Palo santo</t>
        </is>
      </c>
      <c r="C15" s="55" t="inlineStr">
        <is>
          <t>Bursera graveolens</t>
        </is>
      </c>
      <c r="D15" s="55" t="inlineStr">
        <is>
          <t>Burseraceae</t>
        </is>
      </c>
      <c r="E15" s="55" t="inlineStr">
        <is>
          <t>Arbóreo bajo (4-8 m)</t>
        </is>
      </c>
      <c r="F15" s="55" t="inlineStr">
        <is>
          <t>Nativa</t>
        </is>
      </c>
      <c r="G15" s="55" t="inlineStr">
        <is>
          <t>Ocasional (1-5%)</t>
        </is>
      </c>
      <c r="H15" s="60" t="n">
        <v>25</v>
      </c>
      <c r="I15" s="61" t="n">
        <v>7</v>
      </c>
    </row>
    <row r="16">
      <c r="A16" s="56" t="inlineStr">
        <is>
          <t>4</t>
        </is>
      </c>
      <c r="B16" s="56" t="inlineStr">
        <is>
          <t>Pasallo</t>
        </is>
      </c>
      <c r="C16" s="56" t="inlineStr">
        <is>
          <t>Eriotheca ruizii</t>
        </is>
      </c>
      <c r="D16" s="56" t="inlineStr">
        <is>
          <t>Malvaceae</t>
        </is>
      </c>
      <c r="E16" s="56" t="inlineStr">
        <is>
          <t>Arbóreo bajo (4-8 m)</t>
        </is>
      </c>
      <c r="F16" s="56" t="inlineStr">
        <is>
          <t>Nativa</t>
        </is>
      </c>
      <c r="G16" s="56" t="inlineStr">
        <is>
          <t>Ocasional (1-5%)</t>
        </is>
      </c>
      <c r="H16" s="62" t="n">
        <v>30</v>
      </c>
      <c r="I16" s="63" t="n">
        <v>6</v>
      </c>
    </row>
    <row r="17">
      <c r="A17" s="55" t="inlineStr">
        <is>
          <t>5</t>
        </is>
      </c>
      <c r="B17" s="55" t="inlineStr">
        <is>
          <t>Hualtaco</t>
        </is>
      </c>
      <c r="C17" s="55" t="inlineStr">
        <is>
          <t>Loxopterygium huasango</t>
        </is>
      </c>
      <c r="D17" s="55" t="inlineStr">
        <is>
          <t>Anacardiaceae</t>
        </is>
      </c>
      <c r="E17" s="55" t="inlineStr">
        <is>
          <t>Arbóreo bajo (4-8 m)</t>
        </is>
      </c>
      <c r="F17" s="55" t="inlineStr">
        <is>
          <t>Nativa</t>
        </is>
      </c>
      <c r="G17" s="55" t="inlineStr">
        <is>
          <t>Ocasional (1-5%)</t>
        </is>
      </c>
      <c r="H17" s="60" t="n">
        <v>30</v>
      </c>
      <c r="I17" s="61" t="n">
        <v>8</v>
      </c>
    </row>
    <row r="18">
      <c r="A18" s="56" t="inlineStr">
        <is>
          <t>6</t>
        </is>
      </c>
      <c r="B18" s="56" t="inlineStr">
        <is>
          <t>Charán</t>
        </is>
      </c>
      <c r="C18" s="56" t="inlineStr">
        <is>
          <t>Caesalpinia paipai</t>
        </is>
      </c>
      <c r="D18" s="56" t="inlineStr">
        <is>
          <t>Fabaceae</t>
        </is>
      </c>
      <c r="E18" s="56" t="inlineStr">
        <is>
          <t>Arbóreo bajo (4-8 m)</t>
        </is>
      </c>
      <c r="F18" s="56" t="inlineStr">
        <is>
          <t>Nativa</t>
        </is>
      </c>
      <c r="G18" s="56" t="inlineStr">
        <is>
          <t>Ocasional (1-5%)</t>
        </is>
      </c>
      <c r="H18" s="62" t="n">
        <v>20</v>
      </c>
      <c r="I18" s="63" t="n">
        <v>5</v>
      </c>
    </row>
    <row r="19">
      <c r="A19" s="55" t="inlineStr">
        <is>
          <t>7</t>
        </is>
      </c>
      <c r="B19" s="55" t="inlineStr">
        <is>
          <t>Overo</t>
        </is>
      </c>
      <c r="C19" s="55" t="inlineStr">
        <is>
          <t>Cordia lutea</t>
        </is>
      </c>
      <c r="D19" s="55" t="inlineStr">
        <is>
          <t>Boraginaceae</t>
        </is>
      </c>
      <c r="E19" s="55" t="inlineStr">
        <is>
          <t>Arbustivo alto (1.5-4 m)</t>
        </is>
      </c>
      <c r="F19" s="55" t="inlineStr">
        <is>
          <t>Nativa</t>
        </is>
      </c>
      <c r="G19" s="55" t="inlineStr">
        <is>
          <t>Frecuente (5-20%)</t>
        </is>
      </c>
      <c r="H19" s="60" t="n">
        <v>15</v>
      </c>
      <c r="I19" s="61" t="n">
        <v>4</v>
      </c>
    </row>
    <row r="20">
      <c r="A20" s="56" t="inlineStr">
        <is>
          <t>8</t>
        </is>
      </c>
      <c r="B20" s="56" t="inlineStr">
        <is>
          <t>Chilca</t>
        </is>
      </c>
      <c r="C20" s="56" t="inlineStr">
        <is>
          <t>Baccharis salicifolia</t>
        </is>
      </c>
      <c r="D20" s="56" t="inlineStr">
        <is>
          <t>Asteraceae</t>
        </is>
      </c>
      <c r="E20" s="56" t="inlineStr">
        <is>
          <t>Arbustivo bajo (0.5-1.5 m)</t>
        </is>
      </c>
      <c r="F20" s="56" t="inlineStr">
        <is>
          <t>Nativa</t>
        </is>
      </c>
      <c r="G20" s="56" t="inlineStr">
        <is>
          <t>Frecuente (5-20%)</t>
        </is>
      </c>
      <c r="H20" s="63" t="n">
        <v>5</v>
      </c>
      <c r="I20" s="63" t="n">
        <v>2</v>
      </c>
    </row>
    <row r="21">
      <c r="A21" s="55" t="inlineStr">
        <is>
          <t>9</t>
        </is>
      </c>
      <c r="B21" s="55" t="inlineStr">
        <is>
          <t>Cardo</t>
        </is>
      </c>
      <c r="C21" s="55" t="inlineStr">
        <is>
          <t>Armatocereus cartwrightianus</t>
        </is>
      </c>
      <c r="D21" s="55" t="inlineStr">
        <is>
          <t>Cactaceae</t>
        </is>
      </c>
      <c r="E21" s="55" t="inlineStr">
        <is>
          <t>Arbustivo alto (1.5-4 m)</t>
        </is>
      </c>
      <c r="F21" s="55" t="inlineStr">
        <is>
          <t>Nativa</t>
        </is>
      </c>
      <c r="G21" s="55" t="inlineStr">
        <is>
          <t>Rara (&lt;1%)</t>
        </is>
      </c>
      <c r="H21" s="60" t="n">
        <v>10</v>
      </c>
      <c r="I21" s="61" t="n">
        <v>4</v>
      </c>
    </row>
    <row r="23">
      <c r="A23" s="53" t="inlineStr">
        <is>
          <t>F-DT-03 · ESPECIES CLAVE GEORREFERENCIADAS</t>
        </is>
      </c>
    </row>
    <row r="24">
      <c r="A24" s="54" t="inlineStr">
        <is>
          <t>N.o</t>
        </is>
      </c>
      <c r="B24" s="54" t="inlineStr">
        <is>
          <t>Especie</t>
        </is>
      </c>
      <c r="C24" s="54" t="inlineStr">
        <is>
          <t>Categoría</t>
        </is>
      </c>
      <c r="D24" s="54" t="inlineStr">
        <is>
          <t>Estado UICN</t>
        </is>
      </c>
      <c r="E24" s="54" t="inlineStr">
        <is>
          <t>UTM ESTE</t>
        </is>
      </c>
      <c r="F24" s="54" t="inlineStr">
        <is>
          <t>UTM NORTE</t>
        </is>
      </c>
      <c r="G24" s="54" t="inlineStr">
        <is>
          <t>N.° individuos</t>
        </is>
      </c>
      <c r="H24" s="54" t="inlineStr">
        <is>
          <t>Observación</t>
        </is>
      </c>
    </row>
    <row r="25">
      <c r="A25" s="55" t="inlineStr">
        <is>
          <t>1</t>
        </is>
      </c>
      <c r="B25" s="55" t="inlineStr">
        <is>
          <t>Hualtaco (Loxopterygium huasango)</t>
        </is>
      </c>
      <c r="C25" s="55" t="inlineStr">
        <is>
          <t>Amenazada (D.S. 043-2006-AG)</t>
        </is>
      </c>
      <c r="D25" s="55" t="inlineStr">
        <is>
          <t>VU — Vulnerable</t>
        </is>
      </c>
      <c r="E25" s="55" t="n"/>
      <c r="F25" s="55" t="n"/>
      <c r="G25" s="55" t="n"/>
      <c r="H25" s="55" t="inlineStr">
        <is>
          <t>Relictos arbóreos dispersos; fuente potencial de germoplasma.</t>
        </is>
      </c>
    </row>
    <row r="26">
      <c r="A26" s="56" t="inlineStr">
        <is>
          <t>2</t>
        </is>
      </c>
      <c r="B26" s="56" t="inlineStr">
        <is>
          <t>Palo santo (Bursera graveolens)</t>
        </is>
      </c>
      <c r="C26" s="56" t="inlineStr">
        <is>
          <t>Amenazada (D.S. 043-2006-AG)</t>
        </is>
      </c>
      <c r="D26" s="56" t="inlineStr">
        <is>
          <t>NT — Casi Amenazado</t>
        </is>
      </c>
      <c r="E26" s="56" t="n"/>
      <c r="F26" s="56" t="n"/>
      <c r="G26" s="56" t="n"/>
      <c r="H26" s="56" t="inlineStr">
        <is>
          <t>Individuos dispersos en ladera; presión por extracción selectiva.</t>
        </is>
      </c>
    </row>
    <row r="27">
      <c r="A27" s="55" t="inlineStr">
        <is>
          <t>3</t>
        </is>
      </c>
      <c r="B27" s="55" t="inlineStr">
        <is>
          <t>Algarrobo (Neltuma pallida)</t>
        </is>
      </c>
      <c r="C27" s="55" t="inlineStr">
        <is>
          <t>Clave cultural</t>
        </is>
      </c>
      <c r="D27" s="55" t="inlineStr">
        <is>
          <t>No aplica</t>
        </is>
      </c>
      <c r="E27" s="55" t="n"/>
      <c r="F27" s="55" t="n"/>
      <c r="G27" s="55" t="n"/>
      <c r="H27" s="55" t="inlineStr">
        <is>
          <t>Abundancia rara en el bloque; especie clave para restauración.</t>
        </is>
      </c>
    </row>
    <row r="29">
      <c r="A29" s="53" t="inlineStr">
        <is>
          <t>F-DT-04 · MATRIZ DE CAUSAS DE DEGRADACIÓN</t>
        </is>
      </c>
    </row>
    <row r="30">
      <c r="A30" s="54" t="inlineStr">
        <is>
          <t>N.o</t>
        </is>
      </c>
      <c r="B30" s="54" t="inlineStr">
        <is>
          <t>Causa</t>
        </is>
      </c>
      <c r="C30" s="54" t="inlineStr">
        <is>
          <t>Presencia</t>
        </is>
      </c>
      <c r="D30" s="54" t="inlineStr">
        <is>
          <t>Intensidad</t>
        </is>
      </c>
      <c r="E30" s="54" t="inlineStr">
        <is>
          <t>Extensión</t>
        </is>
      </c>
      <c r="F30" s="54" t="inlineStr">
        <is>
          <t>Antigüedad</t>
        </is>
      </c>
      <c r="G30" s="54" t="inlineStr">
        <is>
          <t>Evidencia</t>
        </is>
      </c>
    </row>
    <row r="31">
      <c r="A31" s="55" t="inlineStr">
        <is>
          <t>1</t>
        </is>
      </c>
      <c r="B31" s="55" t="inlineStr">
        <is>
          <t>Sobrepastoreo (caprino/vacuno)</t>
        </is>
      </c>
      <c r="C31" s="55" t="inlineStr">
        <is>
          <t>Sí</t>
        </is>
      </c>
      <c r="D31" s="55" t="inlineStr">
        <is>
          <t>Moderada</t>
        </is>
      </c>
      <c r="E31" s="55" t="inlineStr">
        <is>
          <t>60</t>
        </is>
      </c>
      <c r="F31" s="55" t="inlineStr">
        <is>
          <t>30</t>
        </is>
      </c>
      <c r="G31" s="55" t="inlineStr">
        <is>
          <t>Se observó presencia de ganado vacuno y caprino.</t>
        </is>
      </c>
    </row>
    <row r="32">
      <c r="A32" s="56" t="inlineStr">
        <is>
          <t>2</t>
        </is>
      </c>
      <c r="B32" s="56" t="inlineStr">
        <is>
          <t>Tala para leña</t>
        </is>
      </c>
      <c r="C32" s="56" t="inlineStr">
        <is>
          <t>Sí</t>
        </is>
      </c>
      <c r="D32" s="56" t="inlineStr">
        <is>
          <t>Moderada</t>
        </is>
      </c>
      <c r="E32" s="56" t="inlineStr">
        <is>
          <t>30</t>
        </is>
      </c>
      <c r="F32" s="56" t="inlineStr">
        <is>
          <t>30</t>
        </is>
      </c>
      <c r="G32" s="56" t="inlineStr">
        <is>
          <t>Se observó leña apilada.</t>
        </is>
      </c>
    </row>
    <row r="33">
      <c r="A33" s="55" t="inlineStr">
        <is>
          <t>3</t>
        </is>
      </c>
      <c r="B33" s="55" t="inlineStr">
        <is>
          <t>Tala para carbón</t>
        </is>
      </c>
      <c r="C33" s="55" t="inlineStr"/>
      <c r="D33" s="55" t="inlineStr"/>
      <c r="E33" s="55" t="inlineStr"/>
      <c r="F33" s="55" t="inlineStr"/>
      <c r="G33" s="55" t="inlineStr"/>
    </row>
    <row r="34">
      <c r="A34" s="56" t="inlineStr">
        <is>
          <t>4</t>
        </is>
      </c>
      <c r="B34" s="56" t="inlineStr">
        <is>
          <t>Tala para madera</t>
        </is>
      </c>
      <c r="C34" s="56" t="inlineStr"/>
      <c r="D34" s="56" t="inlineStr"/>
      <c r="E34" s="56" t="inlineStr"/>
      <c r="F34" s="56" t="inlineStr"/>
      <c r="G34" s="56" t="inlineStr"/>
    </row>
    <row r="35">
      <c r="A35" s="55" t="inlineStr">
        <is>
          <t>5</t>
        </is>
      </c>
      <c r="B35" s="55" t="inlineStr">
        <is>
          <t>Quema (renovación de pastos)</t>
        </is>
      </c>
      <c r="C35" s="55" t="inlineStr"/>
      <c r="D35" s="55" t="inlineStr"/>
      <c r="E35" s="55" t="inlineStr"/>
      <c r="F35" s="55" t="inlineStr"/>
      <c r="G35" s="55" t="inlineStr"/>
    </row>
    <row r="36">
      <c r="A36" s="56" t="inlineStr">
        <is>
          <t>6</t>
        </is>
      </c>
      <c r="B36" s="56" t="inlineStr">
        <is>
          <t>Quema accidental / Incendio</t>
        </is>
      </c>
      <c r="C36" s="56" t="inlineStr"/>
      <c r="D36" s="56" t="inlineStr"/>
      <c r="E36" s="56" t="inlineStr"/>
      <c r="F36" s="56" t="inlineStr"/>
      <c r="G36" s="56" t="inlineStr"/>
    </row>
    <row r="37">
      <c r="A37" s="55" t="inlineStr">
        <is>
          <t>7</t>
        </is>
      </c>
      <c r="B37" s="55" t="inlineStr">
        <is>
          <t>Cambio de uso a agricultura</t>
        </is>
      </c>
      <c r="C37" s="55" t="inlineStr"/>
      <c r="D37" s="55" t="inlineStr"/>
      <c r="E37" s="55" t="inlineStr"/>
      <c r="F37" s="55" t="inlineStr"/>
      <c r="G37" s="55" t="inlineStr"/>
    </row>
    <row r="38">
      <c r="A38" s="56" t="inlineStr">
        <is>
          <t>8</t>
        </is>
      </c>
      <c r="B38" s="56" t="inlineStr">
        <is>
          <t>Cambio de uso a pastoreo</t>
        </is>
      </c>
      <c r="C38" s="56" t="inlineStr">
        <is>
          <t>Sí</t>
        </is>
      </c>
      <c r="D38" s="56" t="inlineStr">
        <is>
          <t>Moderada</t>
        </is>
      </c>
      <c r="E38" s="56" t="inlineStr">
        <is>
          <t>60</t>
        </is>
      </c>
      <c r="F38" s="56" t="inlineStr">
        <is>
          <t>30</t>
        </is>
      </c>
      <c r="G38" s="56" t="inlineStr">
        <is>
          <t>Se observó presencia de ganado en pastoreo.</t>
        </is>
      </c>
    </row>
    <row r="39">
      <c r="A39" s="55" t="inlineStr">
        <is>
          <t>9</t>
        </is>
      </c>
      <c r="B39" s="55" t="inlineStr">
        <is>
          <t>Expansión urbana / vial</t>
        </is>
      </c>
      <c r="C39" s="55" t="inlineStr"/>
      <c r="D39" s="55" t="inlineStr"/>
      <c r="E39" s="55" t="inlineStr"/>
      <c r="F39" s="55" t="inlineStr"/>
      <c r="G39" s="55" t="inlineStr"/>
    </row>
    <row r="40">
      <c r="A40" s="56" t="inlineStr">
        <is>
          <t>10</t>
        </is>
      </c>
      <c r="B40" s="56" t="inlineStr">
        <is>
          <t>Minería informal</t>
        </is>
      </c>
      <c r="C40" s="56" t="inlineStr"/>
      <c r="D40" s="56" t="inlineStr"/>
      <c r="E40" s="56" t="inlineStr"/>
      <c r="F40" s="56" t="inlineStr"/>
      <c r="G40" s="56" t="inlineStr"/>
    </row>
    <row r="41">
      <c r="A41" s="55" t="inlineStr">
        <is>
          <t>11</t>
        </is>
      </c>
      <c r="B41" s="55" t="inlineStr">
        <is>
          <t>Extracción de áridos (cauces)</t>
        </is>
      </c>
      <c r="C41" s="55" t="inlineStr"/>
      <c r="D41" s="55" t="inlineStr"/>
      <c r="E41" s="55" t="inlineStr"/>
      <c r="F41" s="55" t="inlineStr"/>
      <c r="G41" s="55" t="inlineStr"/>
    </row>
    <row r="42">
      <c r="A42" s="56" t="inlineStr">
        <is>
          <t>12</t>
        </is>
      </c>
      <c r="B42" s="56" t="inlineStr">
        <is>
          <t>Especies invasoras</t>
        </is>
      </c>
      <c r="C42" s="56" t="inlineStr"/>
      <c r="D42" s="56" t="inlineStr"/>
      <c r="E42" s="56" t="inlineStr"/>
      <c r="F42" s="56" t="inlineStr"/>
      <c r="G42" s="56" t="inlineStr"/>
    </row>
    <row r="43">
      <c r="A43" s="55" t="inlineStr">
        <is>
          <t>13</t>
        </is>
      </c>
      <c r="B43" s="55" t="inlineStr">
        <is>
          <t>Erosión natural severa</t>
        </is>
      </c>
      <c r="C43" s="55" t="inlineStr"/>
      <c r="D43" s="55" t="inlineStr"/>
      <c r="E43" s="55" t="inlineStr"/>
      <c r="F43" s="55" t="inlineStr"/>
      <c r="G43" s="55" t="inlineStr"/>
    </row>
    <row r="44">
      <c r="A44" s="56" t="inlineStr">
        <is>
          <t>14</t>
        </is>
      </c>
      <c r="B44" s="56" t="inlineStr">
        <is>
          <t>Sequía prolongada / CC</t>
        </is>
      </c>
      <c r="C44" s="56" t="inlineStr"/>
      <c r="D44" s="56" t="inlineStr"/>
      <c r="E44" s="56" t="inlineStr"/>
      <c r="F44" s="56" t="inlineStr"/>
      <c r="G44" s="56" t="inlineStr"/>
    </row>
    <row r="45">
      <c r="A45" s="55" t="inlineStr">
        <is>
          <t>15</t>
        </is>
      </c>
      <c r="B45" s="55" t="inlineStr">
        <is>
          <t>Plagas o enfermedades forestales</t>
        </is>
      </c>
      <c r="C45" s="55" t="inlineStr"/>
      <c r="D45" s="55" t="inlineStr"/>
      <c r="E45" s="55" t="inlineStr"/>
      <c r="F45" s="55" t="inlineStr"/>
      <c r="G45" s="55" t="inlineStr"/>
    </row>
    <row r="46">
      <c r="A46" s="56" t="inlineStr">
        <is>
          <t>16</t>
        </is>
      </c>
      <c r="B46" s="56" t="inlineStr">
        <is>
          <t>Otro</t>
        </is>
      </c>
      <c r="C46" s="56" t="inlineStr"/>
      <c r="D46" s="56" t="inlineStr"/>
      <c r="E46" s="56" t="inlineStr"/>
      <c r="F46" s="56" t="inlineStr"/>
      <c r="G46" s="56" t="inlineStr"/>
    </row>
    <row r="48">
      <c r="A48" s="53" t="inlineStr">
        <is>
          <t>F-DT-04 · INDICADORES CUANTITATIVOS</t>
        </is>
      </c>
    </row>
    <row r="49">
      <c r="A49" s="54" t="inlineStr">
        <is>
          <t>N.o</t>
        </is>
      </c>
      <c r="B49" s="54" t="inlineStr">
        <is>
          <t>Indicador</t>
        </is>
      </c>
      <c r="C49" s="54" t="inlineStr">
        <is>
          <t>Unidad</t>
        </is>
      </c>
      <c r="D49" s="54" t="inlineStr">
        <is>
          <t>Valor</t>
        </is>
      </c>
      <c r="E49" s="54" t="inlineStr">
        <is>
          <t>Fuente</t>
        </is>
      </c>
      <c r="F49" s="54" t="inlineStr">
        <is>
          <t>Umbral</t>
        </is>
      </c>
      <c r="G49" s="54" t="inlineStr">
        <is>
          <t>Nivel</t>
        </is>
      </c>
    </row>
    <row r="50">
      <c r="A50" s="55" t="inlineStr">
        <is>
          <t>1</t>
        </is>
      </c>
      <c r="B50" s="55" t="inlineStr">
        <is>
          <t>Cobertura vegetal total</t>
        </is>
      </c>
      <c r="C50" s="55" t="inlineStr">
        <is>
          <t>%</t>
        </is>
      </c>
      <c r="D50" s="55" t="inlineStr">
        <is>
          <t>90</t>
        </is>
      </c>
      <c r="E50" s="55" t="inlineStr">
        <is>
          <t>Estimación visual de campo</t>
        </is>
      </c>
      <c r="F50" s="55" t="inlineStr">
        <is>
          <t>&gt;60% bueno; 30-60% medio; &lt;30% malo</t>
        </is>
      </c>
      <c r="G50" s="55" t="inlineStr">
        <is>
          <t>Alto</t>
        </is>
      </c>
    </row>
    <row r="51">
      <c r="A51" s="56" t="inlineStr">
        <is>
          <t>2</t>
        </is>
      </c>
      <c r="B51" s="56" t="inlineStr">
        <is>
          <t>Porcentaje de suelo desnudo</t>
        </is>
      </c>
      <c r="C51" s="56" t="inlineStr">
        <is>
          <t>%</t>
        </is>
      </c>
      <c r="D51" s="56" t="inlineStr">
        <is>
          <t>5</t>
        </is>
      </c>
      <c r="E51" s="56" t="inlineStr">
        <is>
          <t>Estimación visual de campo</t>
        </is>
      </c>
      <c r="F51" s="56" t="inlineStr">
        <is>
          <t>&lt;10% bueno; 10-30% medio; &gt;30% malo</t>
        </is>
      </c>
      <c r="G51" s="56" t="inlineStr">
        <is>
          <t>Bajo</t>
        </is>
      </c>
    </row>
    <row r="52">
      <c r="A52" s="55" t="inlineStr">
        <is>
          <t>3</t>
        </is>
      </c>
      <c r="B52" s="55" t="inlineStr">
        <is>
          <t>Densidad de cárcavas</t>
        </is>
      </c>
      <c r="C52" s="55" t="inlineStr">
        <is>
          <t>N°/ha</t>
        </is>
      </c>
      <c r="D52" s="55" t="inlineStr">
        <is>
          <t>1</t>
        </is>
      </c>
      <c r="E52" s="55" t="inlineStr">
        <is>
          <t>Estimación visual de campo</t>
        </is>
      </c>
      <c r="F52" s="55" t="inlineStr">
        <is>
          <t>0 nulo; 1-3 medio; &gt;3 alto</t>
        </is>
      </c>
      <c r="G52" s="55" t="inlineStr">
        <is>
          <t>Bajo</t>
        </is>
      </c>
    </row>
    <row r="53">
      <c r="A53" s="56" t="inlineStr">
        <is>
          <t>4</t>
        </is>
      </c>
      <c r="B53" s="56" t="inlineStr">
        <is>
          <t>Presencia de especies invasoras</t>
        </is>
      </c>
      <c r="C53" s="56" t="inlineStr">
        <is>
          <t>% área</t>
        </is>
      </c>
      <c r="D53" s="56" t="inlineStr">
        <is>
          <t>0</t>
        </is>
      </c>
      <c r="E53" s="56" t="inlineStr">
        <is>
          <t>Estimación visual de campo</t>
        </is>
      </c>
      <c r="F53" s="56" t="inlineStr">
        <is>
          <t>&lt;5% bueno; 5-20% medio; &gt;20% alto</t>
        </is>
      </c>
      <c r="G53" s="56" t="inlineStr">
        <is>
          <t>Bajo</t>
        </is>
      </c>
    </row>
    <row r="54">
      <c r="A54" s="55" t="inlineStr">
        <is>
          <t>5</t>
        </is>
      </c>
      <c r="B54" s="55" t="inlineStr">
        <is>
          <t>Carga ganadera estimada</t>
        </is>
      </c>
      <c r="C54" s="55" t="inlineStr">
        <is>
          <t>UA/ha</t>
        </is>
      </c>
      <c r="D54" s="55" t="inlineStr">
        <is>
          <t>3</t>
        </is>
      </c>
      <c r="E54" s="55" t="inlineStr">
        <is>
          <t>Estimación visual de campo</t>
        </is>
      </c>
      <c r="F54" s="55" t="inlineStr">
        <is>
          <t>Según tipo de ecosistema</t>
        </is>
      </c>
      <c r="G54" s="55" t="inlineStr">
        <is>
          <t>Medio</t>
        </is>
      </c>
    </row>
    <row r="55">
      <c r="A55" s="56" t="inlineStr">
        <is>
          <t>6</t>
        </is>
      </c>
      <c r="B55" s="56" t="inlineStr">
        <is>
          <t>Frecuencia de quemas últimos 5 años</t>
        </is>
      </c>
      <c r="C55" s="56" t="inlineStr">
        <is>
          <t>N°</t>
        </is>
      </c>
      <c r="D55" s="56" t="inlineStr">
        <is>
          <t>1</t>
        </is>
      </c>
      <c r="E55" s="56" t="inlineStr">
        <is>
          <t>Estimación visual de campo</t>
        </is>
      </c>
      <c r="F55" s="56" t="inlineStr">
        <is>
          <t>0 nulo; 1-2 medio; &gt;2 alto</t>
        </is>
      </c>
      <c r="G55" s="56" t="inlineStr">
        <is>
          <t>Medio</t>
        </is>
      </c>
    </row>
    <row r="56">
      <c r="A56" s="55" t="inlineStr">
        <is>
          <t>7</t>
        </is>
      </c>
      <c r="B56" s="55" t="inlineStr">
        <is>
          <t>% área con pendiente &gt;50%</t>
        </is>
      </c>
      <c r="C56" s="55" t="inlineStr">
        <is>
          <t>%</t>
        </is>
      </c>
      <c r="D56" s="55" t="inlineStr">
        <is>
          <t>10</t>
        </is>
      </c>
      <c r="E56" s="55" t="inlineStr">
        <is>
          <t>Estimación visual de campo</t>
        </is>
      </c>
      <c r="F56" s="55" t="inlineStr">
        <is>
          <t>Factor de susceptibilidad</t>
        </is>
      </c>
      <c r="G56" s="55" t="inlineStr">
        <is>
          <t>Bajo</t>
        </is>
      </c>
    </row>
    <row r="57">
      <c r="A57" s="56" t="inlineStr">
        <is>
          <t>8</t>
        </is>
      </c>
      <c r="B57" s="56" t="inlineStr">
        <is>
          <t>Distancia a vía vecinal más cercana</t>
        </is>
      </c>
      <c r="C57" s="56" t="inlineStr">
        <is>
          <t>m</t>
        </is>
      </c>
      <c r="D57" s="56" t="inlineStr">
        <is>
          <t>180</t>
        </is>
      </c>
      <c r="E57" s="56" t="inlineStr">
        <is>
          <t>Estimación visual de campo</t>
        </is>
      </c>
      <c r="F57" s="56" t="inlineStr">
        <is>
          <t>A menor distancia → mayor presión</t>
        </is>
      </c>
      <c r="G57" s="56" t="inlineStr">
        <is>
          <t>Alto</t>
        </is>
      </c>
    </row>
    <row r="59">
      <c r="A59" s="53" t="inlineStr">
        <is>
          <t>F-DT-05 · FUENTES DE AGUA INVENTARIADAS</t>
        </is>
      </c>
    </row>
    <row r="60">
      <c r="A60" s="54" t="inlineStr">
        <is>
          <t>N.o</t>
        </is>
      </c>
      <c r="B60" s="54" t="inlineStr">
        <is>
          <t>Tipo de fuente</t>
        </is>
      </c>
      <c r="C60" s="54" t="inlineStr">
        <is>
          <t>UTM ESTE</t>
        </is>
      </c>
      <c r="D60" s="54" t="inlineStr">
        <is>
          <t>UTM NORTE</t>
        </is>
      </c>
      <c r="E60" s="54" t="inlineStr">
        <is>
          <t>Régimen</t>
        </is>
      </c>
      <c r="F60" s="54" t="inlineStr">
        <is>
          <t>Calidad</t>
        </is>
      </c>
      <c r="G60" s="54" t="inlineStr">
        <is>
          <t>Distancia (m)</t>
        </is>
      </c>
      <c r="H60" s="54" t="inlineStr">
        <is>
          <t>Uso / observación</t>
        </is>
      </c>
    </row>
    <row r="63">
      <c r="A63" s="53" t="inlineStr">
        <is>
          <t>OBSERVACIONES DEL EVALUADOR POR FICHA</t>
        </is>
      </c>
    </row>
    <row r="64">
      <c r="A64" s="54" t="inlineStr">
        <is>
          <t>Ficha</t>
        </is>
      </c>
      <c r="B64" s="54" t="inlineStr">
        <is>
          <t>Observación registrada en campo</t>
        </is>
      </c>
    </row>
    <row r="65">
      <c r="A65" s="55" t="inlineStr">
        <is>
          <t>F-DT-01</t>
        </is>
      </c>
      <c r="B65" s="55" t="inlineStr">
        <is>
          <t>Registro de campo (03-07-2026): el bloque está conformado por un conjunto de laderas de colina baja, con pendientes inferiores al 30% y altitud media aproximada de 250 msnm. Por su extensión y topografía accidentada, el área presenta diversas quebradas que canalizan el agua de lluvia hacia el sector del centro poblado; el flujo atraviesa la vía afirmada mediante badenes, continúa por parcelas de cultivo y desemboca en la quebrada colectora principal. En las zonas de pendiente se observa presencia de piedras de tamaño pequeño a mediano; no se detectaron surcos significativos ni cárcavas en formación evidente. Se evidenció erosión laminar y eólica causada por el pastoreo de ganado vacuno y caprino. Asimismo, se observaron caminos de herradura marcados por el tránsito de personas y ganado, que contribuyen a la erosión del suelo. || GABINETE (DEM): rango altitudinal 147–265 msnm; pendiente promedio del bloque 10.17% (clase 8–15%, moderadamente inclinado). || INCONSISTENCIAS DETECTADAS: (1) las coordenadas UTM del punto de muestreo consignadas en el aplicativo (E 645,575 / N 9,393,500) se ubican a ~78 km del ámbito del bloque (centroide E 595,552 / N 9,451,222) y coinciden con las registradas para M17B4; NO SE CONSIGNAN, POR VERIFICAR con el GPS de brigada. (2) La microcuenca registrada en la sección DT (C1076-Q9584) difiere de la del bloque según catálogo (C1096-Q9545). (3) El rango de pendiente dominante de campo (15–25%) es superior a la pendiente media DEM (10.17%); se conserva el valor de campo por corresponder al recorrido efectivo. || PARÁMETROS GEOESPACIALES DEL BLOQUE (gabinete): rango altitudinal 147–265 msnm; pendiente promedio 10.17%; MSAVI medio 2024 = 0.3143; área 355.36 ha; microcuenca C1096-Q9545; zona Z01; centroide E 595,552 / N 9,451,222 (UTM WGS84 17S).</t>
        </is>
      </c>
    </row>
    <row r="66">
      <c r="A66" s="56" t="inlineStr">
        <is>
          <t>F-DT-02</t>
        </is>
      </c>
      <c r="B66" s="56" t="inlineStr">
        <is>
          <t>FICHA F-DT-02 NO REGISTRADA EN CAMPO. Los campos de procesos erosivos se dejan vacíos para no introducir valores no verificados. Evidencia disponible en otras fichas: F-DT-01 consigna erosión laminar y eólica asociada a pastoreo y caminos de herradura, sin surcos significativos ni cárcavas en formación evidente; F-DT-04 registra densidad de cárcavas de 1 N°/ha (nivel Bajo) y 10% del área con pendiente &gt;50%. PENDIENTE: levantamiento de F-DT-02 e inventario georreferenciado de cárcavas en la siguiente salida de campo.</t>
        </is>
      </c>
    </row>
    <row r="67">
      <c r="A67" s="55" t="inlineStr">
        <is>
          <t>F-DT-04</t>
        </is>
      </c>
      <c r="B67" s="55" t="inlineStr">
        <is>
          <t>Recomendación de campo: redelimitar el bloque priorizando las áreas próximas al centro poblado y desestimando las áreas de la parte alta de la colina, donde el ecosistema se encuentra conservado. || OBSERVACIÓN TÉCNICA: el indicador 1 (cobertura vegetal total 90%) fue calificado con nivel 'Alto'; según el umbral de la propia ficha (&gt;60% = bueno) correspondería nivel 'Bajo' de degradación. Se consigna el valor tal como fue registrado en campo y se solicita revisión del criterio de calificación. || MSAVI medio 2024 del bloque: 0.3143 (el segundo más bajo de los cinco bloques analizados), consistente con una condición de cobertura rala y presión de pastoreo.</t>
        </is>
      </c>
    </row>
    <row r="68">
      <c r="A68" s="56" t="inlineStr">
        <is>
          <t>F-DT-05</t>
        </is>
      </c>
      <c r="B68" s="56" t="inlineStr">
        <is>
          <t>No se registró inventario de fuentes de agua en campo. F-DT-01 consigna que el bloque presenta diversas quebradas que canalizan el agua de lluvia hacia el sector del centro poblado, atravesando la vía afirmada mediante badenes: indicio de ESCORRENTÍA CONCENTRADA ESTACIONAL, no formalizado en F-DT-05. || El diagnóstico social F-DS-01 (09-07-2026, Leslie Carrión Lastra) registra para el CP La Peña sistema de agua potable tipo JASS con cobertura 100%; el nombre y la ubicación de la captación NO fueron consignados. || POR VERIFICAR EN CAMPO: inventario georreferenciado de manantiales y quebradas, condición de zona de recarga, distancia y nombre de la captación poblacional (JASS), interferencia con obras de riego y requerimiento de autorización de Ronda Campesina.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M9B1</t>
        </is>
      </c>
    </row>
    <row r="7">
      <c r="A7" s="53" t="inlineStr">
        <is>
          <t>Hechos declarados por fuente</t>
        </is>
      </c>
    </row>
    <row r="8">
      <c r="A8" s="54" t="inlineStr">
        <is>
          <t>Fuente</t>
        </is>
      </c>
      <c r="B8" s="54" t="inlineStr">
        <is>
          <t>Hechos</t>
        </is>
      </c>
    </row>
    <row r="9">
      <c r="A9" s="55" t="inlineStr">
        <is>
          <t>Dato de campo</t>
        </is>
      </c>
      <c r="B9" s="55" t="n">
        <v>50</v>
      </c>
    </row>
    <row r="10">
      <c r="A10" s="56" t="inlineStr">
        <is>
          <t>Gabinete (GIS / teledetección)</t>
        </is>
      </c>
      <c r="B10" s="56" t="n">
        <v>28</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85</v>
      </c>
    </row>
    <row r="29">
      <c r="A29" s="56" t="inlineStr">
        <is>
          <t>COMPLEMENTADO</t>
        </is>
      </c>
      <c r="B29" s="56" t="n">
        <v>5</v>
      </c>
    </row>
    <row r="30">
      <c r="A30" s="55" t="inlineStr">
        <is>
          <t>ACTUALIZADO</t>
        </is>
      </c>
      <c r="B30" s="55" t="n">
        <v>2</v>
      </c>
    </row>
    <row r="31">
      <c r="A31" s="56" t="inlineStr">
        <is>
          <t>DISCREPANTE</t>
        </is>
      </c>
      <c r="B31" s="56" t="n">
        <v>0</v>
      </c>
    </row>
    <row r="32">
      <c r="A32" s="55" t="inlineStr">
        <is>
          <t>PENDIENTE</t>
        </is>
      </c>
      <c r="B32" s="55" t="n">
        <v>22</v>
      </c>
    </row>
    <row r="45">
      <c r="A45" s="53" t="inlineStr">
        <is>
          <t>Cobertura por estrato — campo (%)</t>
        </is>
      </c>
    </row>
    <row r="46">
      <c r="A46" s="54" t="inlineStr">
        <is>
          <t>Estrato</t>
        </is>
      </c>
      <c r="B46" s="54" t="inlineStr">
        <is>
          <t>% del área</t>
        </is>
      </c>
    </row>
    <row r="47">
      <c r="A47" s="55" t="inlineStr">
        <is>
          <t>Dosel</t>
        </is>
      </c>
      <c r="B47" s="60" t="n">
        <v>90</v>
      </c>
    </row>
    <row r="48">
      <c r="A48" s="56" t="inlineStr">
        <is>
          <t>Arbustiva</t>
        </is>
      </c>
      <c r="B48" s="62" t="n">
        <v>15</v>
      </c>
    </row>
    <row r="49">
      <c r="A49" s="55" t="inlineStr">
        <is>
          <t>Herbácea</t>
        </is>
      </c>
      <c r="B49" s="60" t="n">
        <v>10</v>
      </c>
    </row>
    <row r="50">
      <c r="A50" s="56" t="inlineStr">
        <is>
          <t>Hojarasca</t>
        </is>
      </c>
      <c r="B50" s="63" t="n">
        <v>5</v>
      </c>
    </row>
    <row r="51">
      <c r="A51" s="55" t="inlineStr">
        <is>
          <t>Suelo desnudo</t>
        </is>
      </c>
      <c r="B51" s="60" t="n">
        <v>10</v>
      </c>
    </row>
    <row r="64">
      <c r="A64" s="53" t="inlineStr">
        <is>
          <t>Causas activas de degradación (F-DT-04)</t>
        </is>
      </c>
    </row>
    <row r="65">
      <c r="A65" s="54" t="inlineStr">
        <is>
          <t>Causa</t>
        </is>
      </c>
      <c r="B65" s="54" t="inlineStr">
        <is>
          <t>Intensidad (1 ligera - 4 muy fuerte)</t>
        </is>
      </c>
    </row>
    <row r="66">
      <c r="A66" s="55" t="inlineStr">
        <is>
          <t>Cambio de uso a pastoreo</t>
        </is>
      </c>
      <c r="B66" s="55" t="n">
        <v>2</v>
      </c>
    </row>
    <row r="67">
      <c r="A67" s="56" t="inlineStr">
        <is>
          <t>Sobrepastoreo (caprino/vacuno)</t>
        </is>
      </c>
      <c r="B67" s="56" t="n">
        <v>2</v>
      </c>
    </row>
    <row r="68">
      <c r="A68" s="55" t="inlineStr">
        <is>
          <t>Tala para leña</t>
        </is>
      </c>
      <c r="B68" s="55" t="n">
        <v>2</v>
      </c>
    </row>
    <row r="83">
      <c r="A83" s="53" t="inlineStr">
        <is>
          <t>Control de consistencia por calificación</t>
        </is>
      </c>
    </row>
    <row r="84">
      <c r="A84" s="54" t="inlineStr">
        <is>
          <t>Calificación</t>
        </is>
      </c>
      <c r="B84" s="54" t="inlineStr">
        <is>
          <t>Verificaciones</t>
        </is>
      </c>
    </row>
    <row r="85">
      <c r="A85" s="55" t="inlineStr">
        <is>
          <t>SUSTANTIVA</t>
        </is>
      </c>
      <c r="B85" s="55" t="n">
        <v>10</v>
      </c>
    </row>
    <row r="86">
      <c r="A86" s="56" t="inlineStr">
        <is>
          <t>NO SUSTANTIVA</t>
        </is>
      </c>
      <c r="B86" s="56" t="n">
        <v>2</v>
      </c>
    </row>
    <row r="87">
      <c r="A87" s="55" t="inlineStr">
        <is>
          <t>CORREGIDO</t>
        </is>
      </c>
      <c r="B87" s="55" t="n">
        <v>3</v>
      </c>
    </row>
    <row r="88">
      <c r="A88" s="56" t="inlineStr">
        <is>
          <t>CONFORME</t>
        </is>
      </c>
      <c r="B88"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M9B1 — IN Piura</dc:title>
  <dc:subject>Diagnóstico Territorial por bloque de intervención</dc:subject>
  <dcterms:created xsi:type="dcterms:W3CDTF">2026-09-08T03:39:59Z</dcterms:created>
  <dcterms:modified xsi:type="dcterms:W3CDTF">2026-09-11T21:26:39Z</dcterms:modified>
</cp:coreProperties>
</file>