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 name="Integración de campo" sheetId="6" state="visible" r:id="rId6"/>
    <sheet name="Registro de campo F-DT" sheetId="7" state="visible" r:id="rId7"/>
    <sheet name="Gráficos de integración" sheetId="8" state="visible" r:id="rId8"/>
  </sheets>
  <definedNames/>
  <calcPr calcId="124519" fullCalcOnLoad="1"/>
</workbook>
</file>

<file path=xl/styles.xml><?xml version="1.0" encoding="utf-8"?>
<styleSheet xmlns="http://schemas.openxmlformats.org/spreadsheetml/2006/main">
  <numFmts count="3">
    <numFmt numFmtId="164" formatCode="0.0000"/>
    <numFmt numFmtId="165" formatCode="0.000"/>
    <numFmt numFmtId="166" formatCode="#,##0.0000"/>
  </numFmts>
  <fonts count="14">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
      <name val="Arial"/>
      <b val="1"/>
      <color rgb="001B4D2E"/>
      <sz val="9"/>
    </font>
    <font>
      <name val="Arial"/>
      <i val="1"/>
      <sz val="8"/>
    </font>
    <font>
      <name val="Arial"/>
      <b val="1"/>
      <color rgb="00FFFFFF"/>
      <sz val="12"/>
    </font>
    <font>
      <name val="Arial"/>
      <b val="1"/>
      <color rgb="001B4F72"/>
      <sz val="10"/>
    </font>
    <font>
      <name val="Arial"/>
      <i val="1"/>
      <sz val="7.5"/>
    </font>
  </fonts>
  <fills count="10">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F8CBAD"/>
      </patternFill>
    </fill>
    <fill>
      <patternFill patternType="solid">
        <fgColor rgb="00D9E1F2"/>
      </patternFill>
    </fill>
    <fill>
      <patternFill patternType="solid">
        <fgColor rgb="00C6E0B4"/>
      </patternFill>
    </fill>
  </fills>
  <borders count="8">
    <border>
      <left/>
      <right/>
      <top/>
      <bottom/>
      <diagonal/>
    </border>
    <border>
      <left style="thin">
        <color rgb="009C9C9C"/>
      </left>
      <right style="thin">
        <color rgb="009C9C9C"/>
      </right>
      <top style="thin">
        <color rgb="009C9C9C"/>
      </top>
      <bottom style="thin">
        <color rgb="009C9C9C"/>
      </bottom>
    </border>
    <border>
      <left/>
      <right/>
      <top style="thin">
        <color rgb="009C9C9C"/>
      </top>
      <bottom/>
      <diagonal/>
    </border>
    <border>
      <left/>
      <right style="thin">
        <color rgb="009C9C9C"/>
      </right>
      <top style="thin">
        <color rgb="009C9C9C"/>
      </top>
      <bottom/>
      <diagonal/>
    </border>
    <border>
      <left/>
      <right/>
      <top style="thin">
        <color rgb="009C9C9C"/>
      </top>
      <bottom style="thin">
        <color rgb="009C9C9C"/>
      </bottom>
      <diagonal/>
    </border>
    <border>
      <left/>
      <right style="thin">
        <color rgb="009C9C9C"/>
      </right>
      <top style="thin">
        <color rgb="009C9C9C"/>
      </top>
      <bottom style="thin">
        <color rgb="009C9C9C"/>
      </bottom>
      <diagonal/>
    </border>
    <border>
      <left style="thin">
        <color rgb="00B7C4BA"/>
      </left>
      <right style="thin">
        <color rgb="00B7C4BA"/>
      </right>
      <top style="thin">
        <color rgb="00B7C4BA"/>
      </top>
      <bottom style="thin">
        <color rgb="00B7C4BA"/>
      </bottom>
    </border>
    <border>
      <left style="thin">
        <color rgb="00BFBFBF"/>
      </left>
      <right style="thin">
        <color rgb="00BFBFBF"/>
      </right>
      <top style="thin">
        <color rgb="00BFBFBF"/>
      </top>
      <bottom style="thin">
        <color rgb="00BFBFBF"/>
      </bottom>
    </border>
  </borders>
  <cellStyleXfs count="1">
    <xf numFmtId="0" fontId="0" fillId="0" borderId="0"/>
  </cellStyleXfs>
  <cellXfs count="64">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165" fontId="6" fillId="0"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0" fontId="5" fillId="9" borderId="1" applyAlignment="1" pivotButton="0" quotePrefix="0" xfId="0">
      <alignment horizontal="center" vertical="center" wrapText="1"/>
    </xf>
    <xf numFmtId="165" fontId="6" fillId="0" borderId="1" applyAlignment="1" pivotButton="0" quotePrefix="0" xfId="0">
      <alignment horizontal="left" vertical="center" wrapText="1" indent="1"/>
    </xf>
    <xf numFmtId="2" fontId="6" fillId="0" borderId="1" applyAlignment="1" pivotButton="0" quotePrefix="0" xfId="0">
      <alignment horizontal="left" vertical="center" wrapText="1" indent="1"/>
    </xf>
    <xf numFmtId="1" fontId="6" fillId="0" borderId="1" applyAlignment="1" pivotButton="0" quotePrefix="0" xfId="0">
      <alignment horizontal="left" vertical="center" wrapText="1" indent="1"/>
    </xf>
    <xf numFmtId="0" fontId="0" fillId="0" borderId="4" pivotButton="0" quotePrefix="0" xfId="0"/>
    <xf numFmtId="0" fontId="0" fillId="0" borderId="5" pivotButton="0" quotePrefix="0" xfId="0"/>
    <xf numFmtId="0" fontId="5" fillId="4" borderId="6" applyAlignment="1" pivotButton="0" quotePrefix="0" xfId="0">
      <alignment horizontal="left" vertical="center" wrapText="1"/>
    </xf>
    <xf numFmtId="164" fontId="5" fillId="4" borderId="6" applyAlignment="1" pivotButton="0" quotePrefix="0" xfId="0">
      <alignment horizontal="center" vertical="center" wrapText="1"/>
    </xf>
    <xf numFmtId="2" fontId="5" fillId="4" borderId="6" applyAlignment="1" pivotButton="0" quotePrefix="0" xfId="0">
      <alignment horizontal="center" vertical="center" wrapText="1"/>
    </xf>
    <xf numFmtId="0" fontId="6" fillId="0" borderId="6" applyAlignment="1" pivotButton="0" quotePrefix="0" xfId="0">
      <alignment horizontal="left" vertical="center" wrapText="1"/>
    </xf>
    <xf numFmtId="164" fontId="6" fillId="0" borderId="6" applyAlignment="1" pivotButton="0" quotePrefix="0" xfId="0">
      <alignment horizontal="center" vertical="center" wrapText="1"/>
    </xf>
    <xf numFmtId="2" fontId="6" fillId="0" borderId="6" applyAlignment="1" pivotButton="0" quotePrefix="0" xfId="0">
      <alignment horizontal="center" vertical="center" wrapText="1"/>
    </xf>
    <xf numFmtId="0" fontId="6" fillId="0" borderId="6" applyAlignment="1" pivotButton="0" quotePrefix="0" xfId="0">
      <alignment horizontal="center" vertical="center" wrapText="1"/>
    </xf>
    <xf numFmtId="0" fontId="6" fillId="0" borderId="1" applyAlignment="1" pivotButton="0" quotePrefix="0" xfId="0">
      <alignment vertical="top" wrapText="1"/>
    </xf>
    <xf numFmtId="0" fontId="9" fillId="0" borderId="0" pivotButton="0" quotePrefix="0" xfId="0"/>
    <xf numFmtId="0" fontId="10" fillId="0" borderId="0" pivotButton="0" quotePrefix="0" xfId="0"/>
    <xf numFmtId="0" fontId="11" fillId="2" borderId="0" applyAlignment="1" pivotButton="0" quotePrefix="0" xfId="0">
      <alignment horizontal="center" vertical="center"/>
    </xf>
    <xf numFmtId="0" fontId="12" fillId="0" borderId="0" pivotButton="0" quotePrefix="0" xfId="0"/>
    <xf numFmtId="0" fontId="8" fillId="2" borderId="7" applyAlignment="1" pivotButton="0" quotePrefix="0" xfId="0">
      <alignment horizontal="center" wrapText="1"/>
    </xf>
    <xf numFmtId="0" fontId="6" fillId="0" borderId="7" pivotButton="0" quotePrefix="0" xfId="0"/>
    <xf numFmtId="0" fontId="6" fillId="5" borderId="7" pivotButton="0" quotePrefix="0" xfId="0"/>
    <xf numFmtId="0" fontId="5" fillId="0" borderId="0" pivotButton="0" quotePrefix="0" xfId="0"/>
    <xf numFmtId="0" fontId="6" fillId="0" borderId="0" pivotButton="0" quotePrefix="0" xfId="0"/>
    <xf numFmtId="0" fontId="13" fillId="0" borderId="0" applyAlignment="1" pivotButton="0" quotePrefix="0" xfId="0">
      <alignment vertical="top" wrapText="1"/>
    </xf>
    <xf numFmtId="4" fontId="6" fillId="0" borderId="7" pivotButton="0" quotePrefix="0" xfId="0"/>
    <xf numFmtId="166" fontId="6" fillId="0" borderId="7" pivotButton="0" quotePrefix="0" xfId="0"/>
    <xf numFmtId="4" fontId="6" fillId="5" borderId="7" pivotButton="0" quotePrefix="0" xfId="0"/>
    <xf numFmtId="166" fontId="6" fillId="5" borderId="7"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harts/chart1.xml><?xml version="1.0" encoding="utf-8"?>
<chartSpace xmlns:a="http://schemas.openxmlformats.org/drawingml/2006/main" xmlns="http://schemas.openxmlformats.org/drawingml/2006/chart">
  <chart>
    <title>
      <tx>
        <rich>
          <a:bodyPr/>
          <a:p>
            <a:pPr>
              <a:defRPr/>
            </a:pPr>
            <a:r>
              <a:t>Procedencia de los hechos declarados</a:t>
            </a:r>
          </a:p>
        </rich>
      </tx>
    </title>
    <plotArea>
      <pieChart>
        <varyColors val="1"/>
        <ser>
          <idx val="0"/>
          <order val="0"/>
          <tx>
            <strRef>
              <f>'Gráficos de integración'!B8</f>
            </strRef>
          </tx>
          <spPr>
            <a:ln>
              <a:prstDash val="solid"/>
            </a:ln>
          </spPr>
          <cat>
            <numRef>
              <f>'Gráficos de integración'!$A$9:$A$11</f>
            </numRef>
          </cat>
          <val>
            <numRef>
              <f>'Gráficos de integración'!$B$9:$B$11</f>
            </numRef>
          </val>
        </ser>
        <firstSliceAng val="0"/>
      </pieChart>
    </plotArea>
    <legend>
      <legendPos val="r"/>
    </legend>
    <plotVisOnly val="1"/>
    <dispBlanksAs val="gap"/>
  </chart>
</chartSpace>
</file>

<file path=xl/charts/chart2.xml><?xml version="1.0" encoding="utf-8"?>
<chartSpace xmlns:a="http://schemas.openxmlformats.org/drawingml/2006/main" xmlns="http://schemas.openxmlformats.org/drawingml/2006/chart">
  <style val="10"/>
  <chart>
    <title>
      <tx>
        <rich>
          <a:bodyPr/>
          <a:p>
            <a:pPr>
              <a:defRPr/>
            </a:pPr>
            <a:r>
              <a:t>Estado del cruce entre fuentes</a:t>
            </a:r>
          </a:p>
        </rich>
      </tx>
    </title>
    <plotArea>
      <barChart>
        <barDir val="col"/>
        <grouping val="clustered"/>
        <ser>
          <idx val="0"/>
          <order val="0"/>
          <tx>
            <strRef>
              <f>'Gráficos de integración'!B29</f>
            </strRef>
          </tx>
          <spPr>
            <a:ln>
              <a:prstDash val="solid"/>
            </a:ln>
          </spPr>
          <cat>
            <numRef>
              <f>'Gráficos de integración'!$A$30:$A$34</f>
            </numRef>
          </cat>
          <val>
            <numRef>
              <f>'Gráficos de integración'!$B$30:$B$34</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Hechos</a:t>
                </a:r>
              </a:p>
            </rich>
          </tx>
        </title>
        <majorTickMark val="none"/>
        <minorTickMark val="none"/>
        <crossAx val="10"/>
      </valAx>
    </plotArea>
    <plotVisOnly val="1"/>
    <dispBlanksAs val="gap"/>
  </chart>
</chartSpace>
</file>

<file path=xl/charts/chart3.xml><?xml version="1.0" encoding="utf-8"?>
<chartSpace xmlns:a="http://schemas.openxmlformats.org/drawingml/2006/main" xmlns="http://schemas.openxmlformats.org/drawingml/2006/chart">
  <style val="10"/>
  <chart>
    <title>
      <tx>
        <rich>
          <a:bodyPr/>
          <a:p>
            <a:pPr>
              <a:defRPr/>
            </a:pPr>
            <a:r>
              <a:t>Cobertura por estrato (%)</a:t>
            </a:r>
          </a:p>
        </rich>
      </tx>
    </title>
    <plotArea>
      <barChart>
        <barDir val="col"/>
        <grouping val="clustered"/>
        <ser>
          <idx val="0"/>
          <order val="0"/>
          <tx>
            <strRef>
              <f>'Gráficos de integración'!B52</f>
            </strRef>
          </tx>
          <spPr>
            <a:ln>
              <a:prstDash val="solid"/>
            </a:ln>
          </spPr>
          <cat>
            <numRef>
              <f>'Gráficos de integración'!$A$53:$A$57</f>
            </numRef>
          </cat>
          <val>
            <numRef>
              <f>'Gráficos de integración'!$B$53:$B$57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a:t>
                </a:r>
              </a:p>
            </rich>
          </tx>
        </title>
        <majorTickMark val="none"/>
        <minorTickMark val="none"/>
        <crossAx val="10"/>
      </valAx>
    </plotArea>
    <plotVisOnly val="1"/>
    <dispBlanksAs val="gap"/>
  </chart>
</chartSpace>
</file>

<file path=xl/charts/chart4.xml><?xml version="1.0" encoding="utf-8"?>
<chartSpace xmlns:a="http://schemas.openxmlformats.org/drawingml/2006/main" xmlns="http://schemas.openxmlformats.org/drawingml/2006/chart">
  <style val="10"/>
  <chart>
    <title>
      <tx>
        <rich>
          <a:bodyPr/>
          <a:p>
            <a:pPr>
              <a:defRPr/>
            </a:pPr>
            <a:r>
              <a:t>Causas activas por intensidad</a:t>
            </a:r>
          </a:p>
        </rich>
      </tx>
    </title>
    <plotArea>
      <barChart>
        <barDir val="col"/>
        <grouping val="clustered"/>
        <ser>
          <idx val="0"/>
          <order val="0"/>
          <tx>
            <strRef>
              <f>'Gráficos de integración'!B75</f>
            </strRef>
          </tx>
          <spPr>
            <a:ln>
              <a:prstDash val="solid"/>
            </a:ln>
          </spPr>
          <cat>
            <numRef>
              <f>'Gráficos de integración'!$A$76:$A$78</f>
            </numRef>
          </cat>
          <val>
            <numRef>
              <f>'Gráficos de integración'!$B$76:$B$78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Intensidad</a:t>
                </a:r>
              </a:p>
            </rich>
          </tx>
        </title>
        <majorTickMark val="none"/>
        <minorTickMark val="none"/>
        <crossAx val="10"/>
      </valAx>
    </plotArea>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Control de consistencia</a:t>
            </a:r>
          </a:p>
        </rich>
      </tx>
    </title>
    <plotArea>
      <pieChart>
        <varyColors val="1"/>
        <ser>
          <idx val="0"/>
          <order val="0"/>
          <tx>
            <strRef>
              <f>'Gráficos de integración'!B96</f>
            </strRef>
          </tx>
          <spPr>
            <a:ln>
              <a:prstDash val="solid"/>
            </a:ln>
          </spPr>
          <cat>
            <numRef>
              <f>'Gráficos de integración'!$A$97:$A$100</f>
            </numRef>
          </cat>
          <val>
            <numRef>
              <f>'Gráficos de integración'!$B$97:$B$100</f>
            </numRef>
          </val>
        </ser>
        <firstSliceAng val="0"/>
      </pieChart>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7</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oneCellAnchor>
    <from>
      <col>3</col>
      <colOff>0</colOff>
      <row>28</row>
      <rowOff>0</rowOff>
    </from>
    <ext cx="5760000" cy="2880000"/>
    <graphicFrame>
      <nvGraphicFramePr>
        <cNvPr id="2" name="Chart 2"/>
        <cNvGraphicFramePr/>
      </nvGraphicFramePr>
      <xfrm/>
      <a:graphic>
        <a:graphicData uri="http://schemas.openxmlformats.org/drawingml/2006/chart">
          <c:chart r:id="rId2"/>
        </a:graphicData>
      </a:graphic>
    </graphicFrame>
    <clientData/>
  </oneCellAnchor>
  <oneCellAnchor>
    <from>
      <col>3</col>
      <colOff>0</colOff>
      <row>51</row>
      <rowOff>0</rowOff>
    </from>
    <ext cx="5760000" cy="2880000"/>
    <graphicFrame>
      <nvGraphicFramePr>
        <cNvPr id="3" name="Chart 3"/>
        <cNvGraphicFramePr/>
      </nvGraphicFramePr>
      <xfrm/>
      <a:graphic>
        <a:graphicData uri="http://schemas.openxmlformats.org/drawingml/2006/chart">
          <c:chart r:id="rId3"/>
        </a:graphicData>
      </a:graphic>
    </graphicFrame>
    <clientData/>
  </oneCellAnchor>
  <oneCellAnchor>
    <from>
      <col>3</col>
      <colOff>0</colOff>
      <row>74</row>
      <rowOff>0</rowOff>
    </from>
    <ext cx="5760000" cy="2880000"/>
    <graphicFrame>
      <nvGraphicFramePr>
        <cNvPr id="4" name="Chart 4"/>
        <cNvGraphicFramePr/>
      </nvGraphicFramePr>
      <xfrm/>
      <a:graphic>
        <a:graphicData uri="http://schemas.openxmlformats.org/drawingml/2006/chart">
          <c:chart r:id="rId4"/>
        </a:graphicData>
      </a:graphic>
    </graphicFrame>
    <clientData/>
  </oneCellAnchor>
  <oneCellAnchor>
    <from>
      <col>3</col>
      <colOff>0</colOff>
      <row>95</row>
      <rowOff>0</rowOff>
    </from>
    <ext cx="4320000" cy="2880000"/>
    <graphicFrame>
      <nvGraphicFramePr>
        <cNvPr id="5" name="Chart 5"/>
        <cNvGraphicFramePr/>
      </nvGraphicFramePr>
      <xfrm/>
      <a:graphic>
        <a:graphicData uri="http://schemas.openxmlformats.org/drawingml/2006/chart">
          <c:chart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8.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F57"/>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M9B1</t>
        </is>
      </c>
    </row>
    <row r="6" ht="24" customHeight="1">
      <c r="A6" s="4" t="inlineStr">
        <is>
          <t>Diagnóstico Territorial — Plantilla DT Campo Check Validada V5 | Sistema de referencia: UTM WGS 84 Zona 17S (EPSG:32717) · Integrado con la ficha de campo F-DT vigente (FDT_M9B1_IN_Piura.xlsx) — V7 - resumen V6 + campo F-DT integrado</t>
        </is>
      </c>
    </row>
    <row r="7"/>
    <row r="8" ht="18" customHeight="1">
      <c r="A8" s="5" t="inlineStr">
        <is>
          <t>1. IDENTIFICACIÓN Y LOCALIZACIÓN</t>
        </is>
      </c>
    </row>
    <row r="9">
      <c r="A9" s="6" t="inlineStr">
        <is>
          <t>Código del bloque</t>
        </is>
      </c>
      <c r="B9" s="7" t="inlineStr">
        <is>
          <t>M9B1</t>
        </is>
      </c>
      <c r="C9" s="6" t="inlineStr">
        <is>
          <t>Microcuenca (catálogo)</t>
        </is>
      </c>
      <c r="D9" s="7" t="inlineStr">
        <is>
          <t>C1096-Q9545</t>
        </is>
      </c>
      <c r="E9" s="8" t="n"/>
      <c r="F9" s="8" t="n"/>
    </row>
    <row r="10">
      <c r="A10" s="6" t="inlineStr">
        <is>
          <t>Zona de planificación</t>
        </is>
      </c>
      <c r="B10" s="7" t="inlineStr">
        <is>
          <t>Z01</t>
        </is>
      </c>
      <c r="C10" s="6" t="inlineStr">
        <is>
          <t>Microcuenca declarada en ficha DT</t>
        </is>
      </c>
      <c r="D10" s="7" t="inlineStr">
        <is>
          <t>C1076-Q9584 (según ficha — valor por defecto de plantilla; catálogo: C1096-Q9545)</t>
        </is>
      </c>
      <c r="E10" s="8" t="n"/>
      <c r="F10" s="8" t="n"/>
    </row>
    <row r="11">
      <c r="A11" s="6" t="inlineStr">
        <is>
          <t>Departamento</t>
        </is>
      </c>
      <c r="B11" s="7" t="inlineStr">
        <is>
          <t>Piura</t>
        </is>
      </c>
      <c r="C11" s="6" t="inlineStr">
        <is>
          <t>Provincia</t>
        </is>
      </c>
      <c r="D11" s="7" t="inlineStr">
        <is>
          <t>Morropon</t>
        </is>
      </c>
      <c r="E11" s="8" t="n"/>
      <c r="F11" s="8" t="n"/>
    </row>
    <row r="12">
      <c r="A12" s="6" t="inlineStr">
        <is>
          <t>Distrito</t>
        </is>
      </c>
      <c r="B12" s="7" t="inlineStr">
        <is>
          <t>Chulucanas</t>
        </is>
      </c>
      <c r="C12" s="6" t="inlineStr">
        <is>
          <t>Capital distrital</t>
        </is>
      </c>
      <c r="D12" s="7" t="inlineStr">
        <is>
          <t>Chulucanas</t>
        </is>
      </c>
      <c r="E12" s="8" t="n"/>
      <c r="F12" s="8" t="n"/>
    </row>
    <row r="13">
      <c r="A13" s="6" t="inlineStr">
        <is>
          <t>Centro poblado asociado</t>
        </is>
      </c>
      <c r="B13" s="7" t="inlineStr">
        <is>
          <t>La Peña</t>
        </is>
      </c>
      <c r="C13" s="6" t="inlineStr">
        <is>
          <t>Comunidad campesina</t>
        </is>
      </c>
      <c r="D13" s="7" t="inlineStr">
        <is>
          <t>María Ángela Alvarado de Zeta (según ficha DT); el F-DS-02 declara que NO pertenecen a ninguna comunidad campesina</t>
        </is>
      </c>
      <c r="E13" s="8" t="n"/>
      <c r="F13" s="8" t="n"/>
    </row>
    <row r="14">
      <c r="A14" s="6" t="inlineStr">
        <is>
          <t>Superficie de catálogo (V5/V6), ha</t>
        </is>
      </c>
      <c r="B14" s="7" t="n">
        <v>355.36</v>
      </c>
      <c r="C14" s="6" t="inlineStr">
        <is>
          <t>Fuente de superficie</t>
        </is>
      </c>
      <c r="D14" s="7" t="inlineStr">
        <is>
          <t>Catálogo maestro Bloques V5/V6</t>
        </is>
      </c>
      <c r="E14" s="8" t="n"/>
      <c r="F14" s="8" t="n"/>
    </row>
    <row r="15">
      <c r="A15" s="6" t="inlineStr">
        <is>
          <t>Centroide UTM ESTE (m)</t>
        </is>
      </c>
      <c r="B15" s="7" t="n">
        <v>595552</v>
      </c>
      <c r="C15" s="6" t="inlineStr">
        <is>
          <t>Centroide UTM NORTE (m)</t>
        </is>
      </c>
      <c r="D15" s="7" t="n">
        <v>9451222</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7"/>
    <row r="18" ht="18" customHeight="1">
      <c r="A18" s="5" t="inlineStr">
        <is>
          <t>2. PARÁMETROS FÍSICOS (ESTADÍSTICA ZONAL SOBRE MDE)</t>
        </is>
      </c>
    </row>
    <row r="19">
      <c r="A19" s="6" t="inlineStr">
        <is>
          <t>Altitud mínima (msnm)</t>
        </is>
      </c>
      <c r="B19" s="7" t="n">
        <v>147</v>
      </c>
      <c r="C19" s="6" t="inlineStr">
        <is>
          <t>Altitud máxima (msnm)</t>
        </is>
      </c>
      <c r="D19" s="7" t="n">
        <v>265</v>
      </c>
      <c r="E19" s="8" t="n"/>
      <c r="F19" s="8" t="n"/>
    </row>
    <row r="20">
      <c r="A20" s="6" t="inlineStr">
        <is>
          <t>Amplitud altitudinal (m)</t>
        </is>
      </c>
      <c r="B20" s="7" t="n">
        <v>118</v>
      </c>
      <c r="C20" s="6" t="inlineStr">
        <is>
          <t>Piso altitudinal dominante</t>
        </is>
      </c>
      <c r="D20" s="7" t="inlineStr">
        <is>
          <t>&lt;1000 m (Yunga)</t>
        </is>
      </c>
      <c r="E20" s="8" t="n"/>
      <c r="F20" s="8" t="n"/>
    </row>
    <row r="21">
      <c r="A21" s="6" t="inlineStr">
        <is>
          <t>Pendiente promedio (%)</t>
        </is>
      </c>
      <c r="B21" s="7" t="n">
        <v>10.17</v>
      </c>
      <c r="C21" s="6" t="inlineStr">
        <is>
          <t>Pendiente promedio (grados)</t>
        </is>
      </c>
      <c r="D21" s="7" t="n">
        <v>5.8</v>
      </c>
      <c r="E21" s="8" t="n"/>
      <c r="F21" s="8" t="n"/>
    </row>
    <row r="22">
      <c r="A22" s="6" t="inlineStr">
        <is>
          <t>Clase de pendiente equivalente</t>
        </is>
      </c>
      <c r="B22" s="7" t="inlineStr">
        <is>
          <t>8-15% (Mod. inclinado)</t>
        </is>
      </c>
      <c r="C22" s="6" t="inlineStr">
        <is>
          <t>Rango de pendiente declarado en campo</t>
        </is>
      </c>
      <c r="D22" s="7" t="inlineStr">
        <is>
          <t>15-25% (Fuert. inclinado)</t>
        </is>
      </c>
      <c r="E22" s="8" t="n"/>
      <c r="F22" s="8" t="n"/>
    </row>
    <row r="23">
      <c r="A23" s="6" t="inlineStr">
        <is>
          <t>Forma predominante del terreno</t>
        </is>
      </c>
      <c r="B23" s="7" t="inlineStr">
        <is>
          <t>Colinoso</t>
        </is>
      </c>
      <c r="C23" s="6" t="inlineStr">
        <is>
          <t>Posición fisiográfica</t>
        </is>
      </c>
      <c r="D23" s="7" t="inlineStr">
        <is>
          <t>Ladera baja</t>
        </is>
      </c>
      <c r="E23" s="8" t="n"/>
      <c r="F23" s="8" t="n"/>
    </row>
    <row r="24">
      <c r="A24" s="6" t="inlineStr">
        <is>
          <t>Exposición / orientación</t>
        </is>
      </c>
      <c r="B24" s="7" t="inlineStr">
        <is>
          <t>Noreste</t>
        </is>
      </c>
      <c r="C24" s="6" t="inlineStr">
        <is>
          <t>Afloramientos rocosos</t>
        </is>
      </c>
      <c r="D24" s="7" t="inlineStr">
        <is>
          <t>Sí</t>
        </is>
      </c>
      <c r="E24" s="8" t="n"/>
      <c r="F24" s="8" t="n"/>
    </row>
    <row r="25">
      <c r="A25" s="6" t="inlineStr">
        <is>
          <t>Escarpes activos</t>
        </is>
      </c>
      <c r="B25" s="7" t="inlineStr">
        <is>
          <t>No</t>
        </is>
      </c>
      <c r="C25" s="6" t="inlineStr">
        <is>
          <t>Remociones en masa activas</t>
        </is>
      </c>
      <c r="D25" s="7" t="inlineStr">
        <is>
          <t>No</t>
        </is>
      </c>
      <c r="E25" s="8" t="n"/>
      <c r="F25" s="8" t="n"/>
    </row>
    <row r="26"/>
    <row r="27" ht="18" customHeight="1">
      <c r="A27" s="5" t="inlineStr">
        <is>
          <t>3. ÍNDICES DE VEGETACIÓN (SENTINEL-2)</t>
        </is>
      </c>
    </row>
    <row r="28">
      <c r="A28" s="6" t="inlineStr">
        <is>
          <t>MSAVI 2024 — media del bloque</t>
        </is>
      </c>
      <c r="B28" s="7" t="n">
        <v>0.3143</v>
      </c>
      <c r="C28" s="6" t="inlineStr">
        <is>
          <t>MSAVI 2024 — clase de la media</t>
        </is>
      </c>
      <c r="D28" s="7" t="inlineStr">
        <is>
          <t>0.2650 - 0.3813 (Vigor muy bajo)</t>
        </is>
      </c>
      <c r="E28" s="8" t="n"/>
      <c r="F28" s="8" t="n"/>
    </row>
    <row r="29">
      <c r="A29" s="6" t="inlineStr">
        <is>
          <t>Condición frente al umbral 0.4976</t>
        </is>
      </c>
      <c r="B29" s="7" t="inlineStr">
        <is>
          <t>BAJO umbral 0.4976</t>
        </is>
      </c>
      <c r="C29" s="6" t="inlineStr">
        <is>
          <t>NDVI mediana 2025 — clase modal</t>
        </is>
      </c>
      <c r="D29" s="7" t="inlineStr">
        <is>
          <t>Vegetación ligera (78.10 %)</t>
        </is>
      </c>
      <c r="E29" s="8" t="n"/>
      <c r="F29" s="8" t="n"/>
    </row>
    <row r="30">
      <c r="A30" s="6" t="inlineStr">
        <is>
          <t>Superficie clasificada NDVI 2025 (ha)</t>
        </is>
      </c>
      <c r="B30" s="7" t="n">
        <v>355.568</v>
      </c>
      <c r="C30" s="6" t="inlineStr">
        <is>
          <t>Desviación frente al catálogo (%)</t>
        </is>
      </c>
      <c r="D30" s="7" t="n">
        <v>0.06</v>
      </c>
      <c r="E30" s="8" t="n"/>
      <c r="F30" s="8" t="n"/>
    </row>
    <row r="31">
      <c r="A31" s="6" t="inlineStr">
        <is>
          <t>Superficie clasificada MSAVI 2024 (ha)</t>
        </is>
      </c>
      <c r="B31" s="37" t="n">
        <v>355.364</v>
      </c>
      <c r="C31" s="6" t="inlineStr">
        <is>
          <t>Desviación MSAVI frente al catálogo (%)</t>
        </is>
      </c>
      <c r="D31" s="38" t="n">
        <v>0</v>
      </c>
      <c r="E31" s="8" t="n"/>
      <c r="F31" s="8" t="n"/>
    </row>
    <row r="32">
      <c r="A32" s="6" t="inlineStr">
        <is>
          <t>Superficie bajo umbral MSAVI 0.4976 (ha)</t>
        </is>
      </c>
      <c r="B32" s="37" t="n">
        <v>352.983</v>
      </c>
      <c r="C32" s="6" t="inlineStr">
        <is>
          <t>% del bloque bajo umbral (brecha espectral)</t>
        </is>
      </c>
      <c r="D32" s="38" t="n">
        <v>99.33</v>
      </c>
      <c r="E32" s="8" t="n"/>
      <c r="F32" s="8" t="n"/>
    </row>
    <row r="33">
      <c r="A33" s="6" t="inlineStr">
        <is>
          <t>Clase DN dominante (MSAVI 2024)</t>
        </is>
      </c>
      <c r="B33" s="7" t="inlineStr">
        <is>
          <t>DN 2 · 0.2650 - 0.3813 (Vigor muy bajo)</t>
        </is>
      </c>
      <c r="C33" s="6" t="inlineStr">
        <is>
          <t>N.° de polígonos MSAVI del bloque</t>
        </is>
      </c>
      <c r="D33" s="39" t="n">
        <v>1031</v>
      </c>
      <c r="E33" s="8" t="n"/>
      <c r="F33" s="8" t="n"/>
    </row>
    <row r="34"/>
    <row r="35" ht="18" customHeight="1">
      <c r="A35" s="5" t="inlineStr">
        <is>
          <t>4. ECOSISTEMA Y ESTADO DE CONSERVACIÓN</t>
        </is>
      </c>
    </row>
    <row r="36">
      <c r="A36" s="6" t="inlineStr">
        <is>
          <t>Tipo de ecosistema (UP)</t>
        </is>
      </c>
      <c r="B36" s="7" t="inlineStr">
        <is>
          <t>Bosque Estacionalmente Seco de Colina y Montaña (Bes-cm)</t>
        </is>
      </c>
      <c r="C36" s="6" t="inlineStr">
        <is>
          <t>Superficie de ecosistema (ha)</t>
        </is>
      </c>
      <c r="D36" s="7" t="inlineStr">
        <is>
          <t>320 ha (de 355.36 ha del bloque)</t>
        </is>
      </c>
      <c r="E36" s="8" t="n"/>
      <c r="F36" s="8" t="n"/>
    </row>
    <row r="37">
      <c r="A37" s="6" t="inlineStr">
        <is>
          <t>Estado de conservación</t>
        </is>
      </c>
      <c r="B37" s="7" t="inlineStr">
        <is>
          <t>Medianamente alterado</t>
        </is>
      </c>
      <c r="C37" s="6" t="inlineStr">
        <is>
          <t>Uso actual dominante del suelo</t>
        </is>
      </c>
      <c r="D37" s="7" t="inlineStr">
        <is>
          <t>Pastoreo extensivo</t>
        </is>
      </c>
      <c r="E37" s="8" t="n"/>
      <c r="F37" s="8" t="n"/>
    </row>
    <row r="38">
      <c r="A38" s="6" t="inlineStr">
        <is>
          <t>Tipo de cobertura dominante</t>
        </is>
      </c>
      <c r="B38" s="7" t="inlineStr">
        <is>
          <t>Bosque ralo (30-70%)</t>
        </is>
      </c>
      <c r="C38" s="6" t="inlineStr">
        <is>
          <t>Cobertura vegetal total — campo (%)</t>
        </is>
      </c>
      <c r="D38" s="7" t="n">
        <v>90</v>
      </c>
      <c r="E38" s="8" t="n"/>
      <c r="F38" s="8" t="n"/>
    </row>
    <row r="39">
      <c r="A39" s="6" t="inlineStr">
        <is>
          <t>Suelo desnudo — campo (%)</t>
        </is>
      </c>
      <c r="B39" s="7" t="n">
        <v>10</v>
      </c>
      <c r="C39" s="6" t="inlineStr">
        <is>
          <t>Regeneración natural</t>
        </is>
      </c>
      <c r="D39" s="7" t="inlineStr">
        <is>
          <t>Regular (10-50 pl./100m²)</t>
        </is>
      </c>
      <c r="E39" s="8" t="n"/>
      <c r="F39" s="8" t="n"/>
    </row>
    <row r="40">
      <c r="A40" s="6" t="inlineStr">
        <is>
          <t>Nivel general de erosión</t>
        </is>
      </c>
      <c r="B40" s="49" t="inlineStr">
        <is>
          <t>FICHA F-DT-02 SIN CONTENIDO. Evidencia narrativa de F-DT-01: erosión laminar y eólica por pastoreo</t>
        </is>
      </c>
      <c r="C40" s="6" t="inlineStr">
        <is>
          <t>N.° de cárcavas registradas</t>
        </is>
      </c>
      <c r="D40" s="49" t="inlineStr">
        <is>
          <t>No inventariadas (F-DT-02 sin contenido)</t>
        </is>
      </c>
      <c r="E40" s="8" t="n"/>
      <c r="F40" s="8" t="n"/>
    </row>
    <row r="41">
      <c r="A41" s="6" t="inlineStr">
        <is>
          <t>Elenco florístico (n.° de taxones)</t>
        </is>
      </c>
      <c r="B41" s="7" t="n">
        <v>9</v>
      </c>
      <c r="C41" s="6" t="inlineStr">
        <is>
          <t>Estado sanitario</t>
        </is>
      </c>
      <c r="D41" s="7" t="inlineStr">
        <is>
          <t>Sano</t>
        </is>
      </c>
      <c r="E41" s="8" t="n"/>
      <c r="F41" s="8" t="n"/>
    </row>
    <row r="42"/>
    <row r="43" ht="18" customHeight="1">
      <c r="A43" s="5" t="inlineStr">
        <is>
          <t>5. RESPONSABLE Y MODALIDAD DE LA EVALUACIÓN</t>
        </is>
      </c>
    </row>
    <row r="44">
      <c r="A44" s="6" t="inlineStr">
        <is>
          <t>Responsable de la evaluación</t>
        </is>
      </c>
      <c r="B44" s="49" t="inlineStr">
        <is>
          <t>Ing. Juan Carlos Domínguez Varas</t>
        </is>
      </c>
      <c r="C44" s="6" t="inlineStr">
        <is>
          <t>Fecha de evaluación</t>
        </is>
      </c>
      <c r="D44" s="7" t="inlineStr">
        <is>
          <t>2026-07-03</t>
        </is>
      </c>
      <c r="E44" s="8" t="n"/>
      <c r="F44" s="8" t="n"/>
    </row>
    <row r="45">
      <c r="A45" s="6" t="inlineStr">
        <is>
          <t>Hora de registro</t>
        </is>
      </c>
      <c r="B45" s="7" t="inlineStr">
        <is>
          <t>09:55 h</t>
        </is>
      </c>
      <c r="C45" s="6" t="inlineStr">
        <is>
          <t>Correlativo de ficha</t>
        </is>
      </c>
      <c r="D45" s="49" t="inlineStr">
        <is>
          <t>1</t>
        </is>
      </c>
      <c r="E45" s="8" t="n"/>
      <c r="F45" s="8" t="n"/>
    </row>
    <row r="46">
      <c r="A46" s="6" t="inlineStr">
        <is>
          <t>Entidad</t>
        </is>
      </c>
      <c r="B46" s="7" t="inlineStr">
        <is>
          <t>ANIN - DIME - SESDI</t>
        </is>
      </c>
      <c r="C46" s="6" t="inlineStr">
        <is>
          <t>Fase del estudio</t>
        </is>
      </c>
      <c r="D46" s="7" t="inlineStr">
        <is>
          <t>Preinversión (Perfil) · Invierte.pe</t>
        </is>
      </c>
      <c r="E46" s="8" t="n"/>
      <c r="F46" s="8" t="n"/>
    </row>
    <row r="47">
      <c r="A47" s="6" t="inlineStr">
        <is>
          <t>Instrumento aplicado</t>
        </is>
      </c>
      <c r="B47" s="7" t="inlineStr">
        <is>
          <t>Fichas F-DT-01 a F-DT-05 (Plantilla V5)</t>
        </is>
      </c>
      <c r="C47" s="6" t="inlineStr">
        <is>
          <t>Parcela de muestreo</t>
        </is>
      </c>
      <c r="D47" s="49" t="inlineStr">
        <is>
          <t>Sin registro en ficha</t>
        </is>
      </c>
      <c r="E47" s="8" t="n"/>
      <c r="F47" s="8" t="n"/>
    </row>
    <row r="48">
      <c r="A48" s="6" t="inlineStr">
        <is>
          <t>Estaciones fotográficas georreferenciadas</t>
        </is>
      </c>
      <c r="B48" s="7" t="n">
        <v>0</v>
      </c>
      <c r="C48" s="6" t="inlineStr">
        <is>
          <t>Modalidad de acceso</t>
        </is>
      </c>
      <c r="D48" s="7" t="inlineStr">
        <is>
          <t>Vehicular + caminata &lt;30 min</t>
        </is>
      </c>
      <c r="E48" s="8" t="n"/>
      <c r="F48" s="8" t="n"/>
    </row>
    <row r="49"/>
    <row r="50" ht="18" customHeight="1">
      <c r="A50" s="5" t="inlineStr">
        <is>
          <t>6. SÍNTESIS PARA LA GESTIÓN DEL RIESGO EN CONTEXTO DE CAMBIO CLIMÁTICO</t>
        </is>
      </c>
    </row>
    <row r="51">
      <c r="A51" s="6" t="inlineStr">
        <is>
          <t>Causa subyacente principal</t>
        </is>
      </c>
      <c r="B51" s="49" t="inlineStr">
        <is>
          <t>No consignada en la ficha</t>
        </is>
      </c>
      <c r="C51" s="6" t="inlineStr">
        <is>
          <t>Velocidad de degradación</t>
        </is>
      </c>
      <c r="D51" s="7" t="inlineStr">
        <is>
          <t>Moderada</t>
        </is>
      </c>
      <c r="E51" s="8" t="n"/>
      <c r="F51" s="8" t="n"/>
    </row>
    <row r="52">
      <c r="A52" s="6" t="inlineStr">
        <is>
          <t>Reversibilidad técnica</t>
        </is>
      </c>
      <c r="B52" s="7" t="inlineStr">
        <is>
          <t>Parcialmente reversible</t>
        </is>
      </c>
      <c r="C52" s="6" t="inlineStr">
        <is>
          <t>Urgencia de intervención</t>
        </is>
      </c>
      <c r="D52" s="7" t="inlineStr">
        <is>
          <t>Media</t>
        </is>
      </c>
      <c r="E52" s="8" t="n"/>
      <c r="F52" s="8" t="n"/>
    </row>
    <row r="53">
      <c r="A53" s="6" t="inlineStr">
        <is>
          <t>Urgencia de control de erosión</t>
        </is>
      </c>
      <c r="B53" s="7" t="inlineStr">
        <is>
          <t>Por determinar</t>
        </is>
      </c>
      <c r="C53" s="6" t="inlineStr">
        <is>
          <t>Zona de recarga hídrica</t>
        </is>
      </c>
      <c r="D53" s="49" t="inlineStr">
        <is>
          <t>Sin registro en ficha</t>
        </is>
      </c>
      <c r="E53" s="8" t="n"/>
      <c r="F53" s="8" t="n"/>
    </row>
    <row r="54">
      <c r="A54" s="6" t="inlineStr">
        <is>
          <t>Peligro integrado preliminar (MCA-AHP)</t>
        </is>
      </c>
      <c r="B54" s="7" t="inlineStr">
        <is>
          <t>No disponible en los insumos; debe tomarse del modelamiento de mesolocalización</t>
        </is>
      </c>
      <c r="C54" s="6" t="inlineStr">
        <is>
          <t>Prioridad de intervención</t>
        </is>
      </c>
      <c r="D54" s="7" t="inlineStr">
        <is>
          <t>Por definir en mesolocalización</t>
        </is>
      </c>
      <c r="E54" s="8" t="n"/>
      <c r="F54" s="8" t="n"/>
    </row>
    <row r="55">
      <c r="A55" s="6" t="inlineStr">
        <is>
          <t>Estado de verificación de campo</t>
        </is>
      </c>
      <c r="B55" s="7" t="inlineStr">
        <is>
          <t>VERIFICADO</t>
        </is>
      </c>
      <c r="C55" s="6" t="inlineStr">
        <is>
          <t>Marco del indicador de brecha</t>
        </is>
      </c>
      <c r="D55" s="7" t="inlineStr">
        <is>
          <t>R.M. N.° 00213-2024-MINAM</t>
        </is>
      </c>
      <c r="E55" s="8" t="n"/>
      <c r="F55" s="8" t="n"/>
    </row>
    <row r="56"/>
    <row r="57" ht="72" customHeight="1">
      <c r="A57"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 La distribución areal por clase de MSAVI 2024 procede de la estadística zonal del ráster MSAVI clasificado (AREAS_MSAVI_BLOQUES_V6_REV_HSCM) y se detalla en la hoja «Cobertura MSAVI-NDVI»; la equivalencia entre el valor de clase DN y los umbrales del proyecto se declara en la nota metodológica de esa hoja.</t>
        </is>
      </c>
      <c r="B57" s="40" t="n"/>
      <c r="C57" s="40" t="n"/>
      <c r="D57" s="40" t="n"/>
      <c r="E57" s="40" t="n"/>
      <c r="F57" s="41" t="n"/>
    </row>
  </sheetData>
  <mergeCells count="13">
    <mergeCell ref="A2:F2"/>
    <mergeCell ref="A43:F43"/>
    <mergeCell ref="A1:F1"/>
    <mergeCell ref="A5:F5"/>
    <mergeCell ref="A27:F27"/>
    <mergeCell ref="A8:F8"/>
    <mergeCell ref="A6:F6"/>
    <mergeCell ref="A50:F50"/>
    <mergeCell ref="A35:F35"/>
    <mergeCell ref="A18:F18"/>
    <mergeCell ref="A3:F3"/>
    <mergeCell ref="A4:F4"/>
    <mergeCell ref="A57:F5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2"/>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M9B1</t>
        </is>
      </c>
    </row>
    <row r="6" ht="24" customHeight="1">
      <c r="A6" s="4" t="inlineStr">
        <is>
          <t>MSAVI 2024 y NDVI mediana 2025 (Sentinel-2, mosaico Piura) · Umbral de brecha del proyecto: MSAVI = 0.4976</t>
        </is>
      </c>
    </row>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 · DN 5</t>
        </is>
      </c>
      <c r="B10" s="18" t="n">
        <v>0.2329</v>
      </c>
      <c r="C10" s="19">
        <f>ROUND(B10/$B$15*100,2)</f>
        <v/>
      </c>
      <c r="D10" s="11" t="inlineStr">
        <is>
          <t>Vigor alto</t>
        </is>
      </c>
      <c r="E10" s="11" t="inlineStr">
        <is>
          <t>Sobre umbral</t>
        </is>
      </c>
    </row>
    <row r="11">
      <c r="A11" s="12" t="inlineStr">
        <is>
          <t>0.4976 - 0.6139 · DN 4</t>
        </is>
      </c>
      <c r="B11" s="20" t="n">
        <v>2.148</v>
      </c>
      <c r="C11" s="21">
        <f>ROUND(B11/$B$15*100,2)</f>
        <v/>
      </c>
      <c r="D11" s="13" t="inlineStr">
        <is>
          <t>Vigor moderado</t>
        </is>
      </c>
      <c r="E11" s="13" t="inlineStr">
        <is>
          <t>Sobre umbral</t>
        </is>
      </c>
    </row>
    <row r="12">
      <c r="A12" s="7" t="inlineStr">
        <is>
          <t>0.3813 - 0.4976 · DN 3</t>
        </is>
      </c>
      <c r="B12" s="18" t="n">
        <v>42.6009</v>
      </c>
      <c r="C12" s="19">
        <f>ROUND(B12/$B$15*100,2)</f>
        <v/>
      </c>
      <c r="D12" s="11" t="inlineStr">
        <is>
          <t>Vigor bajo</t>
        </is>
      </c>
      <c r="E12" s="11" t="inlineStr">
        <is>
          <t>BAJO umbral 0.4976</t>
        </is>
      </c>
    </row>
    <row r="13">
      <c r="A13" s="14" t="inlineStr">
        <is>
          <t>0.2650 - 0.3813 · DN 2</t>
        </is>
      </c>
      <c r="B13" s="30" t="n">
        <v>232.6345</v>
      </c>
      <c r="C13" s="29">
        <f>ROUND(B13/$B$15*100,2)</f>
        <v/>
      </c>
      <c r="D13" s="15" t="inlineStr">
        <is>
          <t>Vigor muy bajo</t>
        </is>
      </c>
      <c r="E13" s="15" t="inlineStr">
        <is>
          <t>BAJO umbral 0.4976</t>
        </is>
      </c>
    </row>
    <row r="14">
      <c r="A14" s="7" t="inlineStr">
        <is>
          <t>&lt;= 0.2650 · DN 1</t>
        </is>
      </c>
      <c r="B14" s="18" t="n">
        <v>77.7475</v>
      </c>
      <c r="C14" s="19">
        <f>ROUND(B14/$B$15*100,2)</f>
        <v/>
      </c>
      <c r="D14" s="11" t="inlineStr">
        <is>
          <t>Suelo desnudo / no vegetal</t>
        </is>
      </c>
      <c r="E14" s="11" t="inlineStr">
        <is>
          <t>BAJO umbral 0.4976</t>
        </is>
      </c>
    </row>
    <row r="15" ht="30" customHeight="1">
      <c r="A15" s="42" t="inlineStr">
        <is>
          <t>TOTAL CLASIFICADO MSAVI 2024</t>
        </is>
      </c>
      <c r="B15" s="43">
        <f>SUM(B10:B14)</f>
        <v/>
      </c>
      <c r="C15" s="44">
        <f>SUM(C10:C14)</f>
        <v/>
      </c>
      <c r="D15" s="42" t="inlineStr">
        <is>
          <t>Suma de la distribución areal · 1 031 polígonos</t>
        </is>
      </c>
      <c r="E15" s="42" t="inlineStr">
        <is>
          <t>—</t>
        </is>
      </c>
    </row>
    <row r="16" ht="30" customHeight="1">
      <c r="A16" s="45" t="inlineStr">
        <is>
          <t>Superficie SOBRE umbral 0.4976 (ha)</t>
        </is>
      </c>
      <c r="B16" s="46">
        <f>SUM(B10:B11)</f>
        <v/>
      </c>
      <c r="C16" s="47">
        <f>ROUND(B16/B15*100,2)</f>
        <v/>
      </c>
      <c r="D16" s="45" t="inlineStr">
        <is>
          <t>Vigor alto y moderado (DN 4 y DN 5)</t>
        </is>
      </c>
      <c r="E16" s="45" t="inlineStr">
        <is>
          <t>Sobre umbral 0.4976</t>
        </is>
      </c>
    </row>
    <row r="17" ht="30" customHeight="1">
      <c r="A17" s="45" t="inlineStr">
        <is>
          <t>Superficie BAJO umbral 0.4976 (ha) — brecha</t>
        </is>
      </c>
      <c r="B17" s="46">
        <f>SUM(B12:B14)</f>
        <v/>
      </c>
      <c r="C17" s="47">
        <f>ROUND(B17/B15*100,2)</f>
        <v/>
      </c>
      <c r="D17" s="45" t="inlineStr">
        <is>
          <t>Vigor bajo, muy bajo y suelo desnudo (DN 1 a DN 3)</t>
        </is>
      </c>
      <c r="E17" s="45" t="inlineStr">
        <is>
          <t>Base para el indicador de brecha (R.M. N.° 00213-2024-MINAM)</t>
        </is>
      </c>
    </row>
    <row r="18" ht="30" customHeight="1">
      <c r="A18" s="45" t="inlineStr">
        <is>
          <t>Superficie de catálogo (V5/V6) — contraste MSAVI</t>
        </is>
      </c>
      <c r="B18" s="46" t="n">
        <v>355.36</v>
      </c>
      <c r="C18" s="48" t="inlineStr">
        <is>
          <t>—</t>
        </is>
      </c>
      <c r="D18" s="45" t="inlineStr">
        <is>
          <t>Desviación planimétrica frente al catálogo</t>
        </is>
      </c>
      <c r="E18" s="45" t="inlineStr">
        <is>
          <t>+0.00 %</t>
        </is>
      </c>
    </row>
    <row r="19">
      <c r="A19" s="16" t="inlineStr">
        <is>
          <t>MSAVI 2024 — MEDIA DEL BLOQUE</t>
        </is>
      </c>
      <c r="B19" s="17" t="n">
        <v>0.314312</v>
      </c>
      <c r="C19" s="17" t="inlineStr">
        <is>
          <t>—</t>
        </is>
      </c>
      <c r="D19" s="17" t="inlineStr">
        <is>
          <t>Vigor muy bajo · clase 0.2650 - 0.3813</t>
        </is>
      </c>
      <c r="E19" s="17" t="inlineStr">
        <is>
          <t>BAJO umbral 0.4976</t>
        </is>
      </c>
    </row>
    <row r="21" ht="72" customHeight="1">
      <c r="A21" s="9" t="inlineStr">
        <is>
          <t>NOTA METODOLÓGICA. La distribución areal por clase de MSAVI 2024 procede de la estadística zonal por polígono del ráster MSAVI clasificado (archivo AREAS_MSAVI_BLOQUES_V6_REV_HSCM.xlsx, hojas «Datos_Detalle» y «Resumen_por_Bloque»): 1 031 polígonos agregados para este bloque, con superficies obtenidas como Area_m2 / 10 000. El archivo fuente no documenta la semántica del valor de clase DN; la equivalencia DN 1 = clase inferior … DN 5 = clase superior se estableció por contraste con la media MSAVI 2024 del catálogo maestro de los 117 bloques (coeficiente de correlación 0.9965 y error absoluto medio 0.0091 al reconstruir la media con los puntos medios de clase; el orden inverso arroja correlación negativa), y debe ser confirmada por el especialista SIG del proyecto. La media del bloque (0.3143) se conserva del catálogo maestro y es dato oficial; la fila resaltada indica la clase en la que cae dicha media. Los totales y porcentajes se calculan con fórmulas sobre las filas del cuadro.</t>
        </is>
      </c>
      <c r="B21" s="40" t="n"/>
      <c r="C21" s="40" t="n"/>
      <c r="D21" s="40" t="n"/>
      <c r="E21" s="41" t="n"/>
    </row>
    <row r="23" ht="18" customHeight="1">
      <c r="A23" s="5" t="inlineStr">
        <is>
          <t>B. NDVI MEDIANA 2025 — DISTRIBUCIÓN AREAL (ESTADÍSTICA ZONAL)</t>
        </is>
      </c>
    </row>
    <row r="24" ht="28" customHeight="1">
      <c r="A24" s="10" t="inlineStr">
        <is>
          <t>Clase NDVI</t>
        </is>
      </c>
      <c r="B24" s="10" t="inlineStr">
        <is>
          <t>Superficie (ha)</t>
        </is>
      </c>
      <c r="C24" s="10" t="inlineStr">
        <is>
          <t>% del área clasificada</t>
        </is>
      </c>
      <c r="D24" s="10" t="inlineStr">
        <is>
          <t>Interpretación</t>
        </is>
      </c>
      <c r="E24" s="10" t="inlineStr">
        <is>
          <t>Observación</t>
        </is>
      </c>
    </row>
    <row r="25">
      <c r="A25" s="7" t="inlineStr">
        <is>
          <t>Vegetación alta</t>
        </is>
      </c>
      <c r="B25" s="18" t="n">
        <v>0.5237000000000001</v>
      </c>
      <c r="C25" s="19" t="n">
        <v>0.15</v>
      </c>
      <c r="D25" s="11" t="inlineStr">
        <is>
          <t>Dosel continuo, matorral denso o mosaico agroforestal</t>
        </is>
      </c>
      <c r="E25" s="11" t="inlineStr"/>
    </row>
    <row r="26">
      <c r="A26" s="12" t="inlineStr">
        <is>
          <t>Vegetación mediana</t>
        </is>
      </c>
      <c r="B26" s="20" t="n">
        <v>28.9887</v>
      </c>
      <c r="C26" s="21" t="n">
        <v>8.15</v>
      </c>
      <c r="D26" s="13" t="inlineStr">
        <is>
          <t>Pastizal cultivado, matorral ralo, parcelas agrícolas</t>
        </is>
      </c>
      <c r="E26" s="13" t="inlineStr"/>
    </row>
    <row r="27">
      <c r="A27" s="7" t="inlineStr">
        <is>
          <t>Vegetación ligera</t>
        </is>
      </c>
      <c r="B27" s="18" t="n">
        <v>277.6993</v>
      </c>
      <c r="C27" s="19" t="n">
        <v>78.09999999999999</v>
      </c>
      <c r="D27" s="11" t="inlineStr">
        <is>
          <t>Cobertura discontinua, suelo parcialmente expuesto</t>
        </is>
      </c>
      <c r="E27" s="11" t="inlineStr"/>
    </row>
    <row r="28">
      <c r="A28" s="12" t="inlineStr">
        <is>
          <t>Tierra desnuda</t>
        </is>
      </c>
      <c r="B28" s="20" t="n">
        <v>48.356</v>
      </c>
      <c r="C28" s="21" t="n">
        <v>13.6</v>
      </c>
      <c r="D28" s="13" t="inlineStr">
        <is>
          <t>Suelo desnudo, afloramientos, plataformas y taludes</t>
        </is>
      </c>
      <c r="E28" s="13" t="inlineStr"/>
    </row>
    <row r="29">
      <c r="A29" s="16" t="inlineStr">
        <is>
          <t>TOTAL CLASIFICADO</t>
        </is>
      </c>
      <c r="B29" s="22">
        <f>SUM(B25:B28)</f>
        <v/>
      </c>
      <c r="C29" s="23">
        <f>SUM(C25:C28)</f>
        <v/>
      </c>
      <c r="D29" s="17" t="inlineStr"/>
      <c r="E29" s="17" t="inlineStr"/>
    </row>
    <row r="30">
      <c r="A30" s="24" t="inlineStr">
        <is>
          <t>Superficie de catálogo (V5/V6)</t>
        </is>
      </c>
      <c r="B30" s="25" t="n">
        <v>355.36</v>
      </c>
      <c r="C30" s="25" t="inlineStr">
        <is>
          <t>—</t>
        </is>
      </c>
      <c r="D30" s="25" t="inlineStr">
        <is>
          <t>Desviación planimétrica frente al catálogo</t>
        </is>
      </c>
      <c r="E30" s="25" t="inlineStr">
        <is>
          <t>+0.06 %</t>
        </is>
      </c>
    </row>
    <row r="32" ht="108" customHeight="1">
      <c r="A32"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90 % frente a un 0.15 % del polígono clasificado como «Vegetación alta» por el NDVI 2025; la observación de campo corresponde a una parcela o recorrido puntual y no es estadísticamente representativa de las 355.360 ha del bloque.</t>
        </is>
      </c>
      <c r="B32" s="40" t="n"/>
      <c r="C32" s="40" t="n"/>
      <c r="D32" s="40" t="n"/>
      <c r="E32" s="41" t="n"/>
    </row>
  </sheetData>
  <mergeCells count="10">
    <mergeCell ref="A21:E21"/>
    <mergeCell ref="A4:E4"/>
    <mergeCell ref="A2:E2"/>
    <mergeCell ref="A1:E1"/>
    <mergeCell ref="A23:E23"/>
    <mergeCell ref="A32:E32"/>
    <mergeCell ref="A5:E5"/>
    <mergeCell ref="A8:E8"/>
    <mergeCell ref="A6:E6"/>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6"/>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M9B1</t>
        </is>
      </c>
    </row>
    <row r="6" ht="24" customHeight="1">
      <c r="A6" s="4" t="inlineStr">
        <is>
          <t>Levantamiento del 2026-07-03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645575</v>
      </c>
      <c r="D10" s="26" t="n">
        <v>9393500</v>
      </c>
      <c r="E10" s="11" t="n">
        <v>76381.5</v>
      </c>
      <c r="F10" s="11" t="inlineStr"/>
      <c r="G10" s="11" t="inlineStr">
        <is>
          <t>Coordenada consignada en F-DT-01</t>
        </is>
      </c>
    </row>
    <row r="11">
      <c r="A11" s="16" t="inlineStr">
        <is>
          <t>TOTAL: 1 puntos</t>
        </is>
      </c>
      <c r="B11" s="17" t="inlineStr"/>
      <c r="C11" s="17" t="inlineStr"/>
      <c r="D11" s="17" t="inlineStr"/>
      <c r="E11" s="17" t="inlineStr"/>
      <c r="F11" s="17" t="inlineStr"/>
      <c r="G11" s="17" t="inlineStr"/>
    </row>
    <row r="13">
      <c r="A13" s="6" t="inlineStr">
        <is>
          <t>Centroide del bloque — UTM ESTE (m)</t>
        </is>
      </c>
      <c r="B13" s="7" t="n">
        <v>595552</v>
      </c>
      <c r="C13" s="6" t="inlineStr">
        <is>
          <t>Centroide del bloque — UTM NORTE (m)</t>
        </is>
      </c>
      <c r="D13" s="7" t="n">
        <v>9451222</v>
      </c>
      <c r="E13" s="8" t="n"/>
      <c r="F13" s="8" t="n"/>
      <c r="G13" s="8" t="n"/>
      <c r="H13" s="8" t="n"/>
    </row>
    <row r="14">
      <c r="A14" s="6" t="inlineStr">
        <is>
          <t>N.° de estaciones fotográficas declaradas</t>
        </is>
      </c>
      <c r="B14" s="7" t="n">
        <v>0</v>
      </c>
      <c r="C14" s="6" t="inlineStr">
        <is>
          <t>Estaciones dentro del polígono</t>
        </is>
      </c>
      <c r="D14" s="7" t="n">
        <v>0</v>
      </c>
      <c r="E14" s="8" t="n"/>
      <c r="F14" s="8" t="n"/>
      <c r="G14" s="8" t="n"/>
      <c r="H14" s="8" t="n"/>
    </row>
    <row r="16" ht="168" customHeight="1">
      <c r="A16"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El bloque está conformado por un conjunto de LADERAS DE COLINA BAJA, con pendientes inferiores al 30% y altitud media ≈250 msnm. Debido a su extensión (355.36 ha) y a la accidentada topografía, el área presenta DIVERSAS QUEBRADAS QUE CANALIZAN EL AGUA DE LLUVIA HACIA EL SECTOR DEL CCPP: el flujo atraviesa la vía afirmada mediante BADENES, continúa por parcelas de cultivo y desemboca en la quebrada principal (colector). En las zonas de pendiente se observan piedras de tamaño pequeño a mediano. NO SE DETECTARON SURCOS SIGNIFICATIVOS NI CÁRCAVAS en formación evidente. En el interior se evidenció EROSIÓN LAMINAR Y EÓLICA causada por el pastoreo de ganado vacuno y caprino. Se evidenciaron CAMINOS DE HERRADURA marcados dejados por el tránsito de personas y ganado, que contribuyen a la erosión. ATENCIÓN: el UTM del punto de registro (645 575 · 9 393 500) es el valor por defecto de la plantilla; el centroide de catálogo es 595 552 · 9 451 220 (≈70 km de diferencia).</t>
        </is>
      </c>
      <c r="B16" s="40" t="n"/>
      <c r="C16" s="40" t="n"/>
      <c r="D16" s="40" t="n"/>
      <c r="E16" s="40" t="n"/>
      <c r="F16" s="40" t="n"/>
      <c r="G16" s="41" t="n"/>
    </row>
  </sheetData>
  <mergeCells count="8">
    <mergeCell ref="A1:G1"/>
    <mergeCell ref="A8:G8"/>
    <mergeCell ref="A3:G3"/>
    <mergeCell ref="A6:G6"/>
    <mergeCell ref="A4:G4"/>
    <mergeCell ref="A2:G2"/>
    <mergeCell ref="A16:G16"/>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6"/>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 width="22" customWidth="1" min="9" max="9"/>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C1096-Q9545 — BLOQUE M9B1</t>
        </is>
      </c>
    </row>
    <row r="6" ht="24" customHeight="1">
      <c r="A6" s="4" t="inlineStr">
        <is>
          <t>Distrito de Chulucanas · Provincia de Morropon · Comparación de los bloques preliminares de intervención de la misma microcuenca</t>
        </is>
      </c>
    </row>
    <row r="8" ht="18" customHeight="1">
      <c r="A8" s="5" t="inlineStr">
        <is>
          <t>BLOQUES DE LA MICROCUENCA C1096-Q9545</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c r="I9" s="10" t="inlineStr">
        <is>
          <t>MSAVI — % bajo umbral 0.4976</t>
        </is>
      </c>
    </row>
    <row r="10">
      <c r="A10" s="7" t="inlineStr">
        <is>
          <t>3</t>
        </is>
      </c>
      <c r="B10" s="27" t="n">
        <v>459.29</v>
      </c>
      <c r="C10" s="19" t="n">
        <v>56.38</v>
      </c>
      <c r="D10" s="11" t="inlineStr">
        <is>
          <t>951 – 2173</t>
        </is>
      </c>
      <c r="E10" s="11" t="n">
        <v>1222</v>
      </c>
      <c r="F10" s="11" t="n">
        <v>29.52</v>
      </c>
      <c r="G10" s="18" t="n">
        <v>0.5677</v>
      </c>
      <c r="H10" s="19" t="n">
        <v>57.21</v>
      </c>
      <c r="I10" s="19" t="n">
        <v>29.06</v>
      </c>
    </row>
    <row r="11">
      <c r="A11" s="14" t="inlineStr">
        <is>
          <t>► M9B1</t>
        </is>
      </c>
      <c r="B11" s="28" t="n">
        <v>355.36</v>
      </c>
      <c r="C11" s="29" t="n">
        <v>43.62</v>
      </c>
      <c r="D11" s="15" t="inlineStr">
        <is>
          <t>147 – 265</t>
        </is>
      </c>
      <c r="E11" s="15" t="n">
        <v>118</v>
      </c>
      <c r="F11" s="15" t="n">
        <v>10.17</v>
      </c>
      <c r="G11" s="30" t="n">
        <v>0.3143</v>
      </c>
      <c r="H11" s="29" t="n">
        <v>0.15</v>
      </c>
      <c r="I11" s="29" t="n">
        <v>99.33</v>
      </c>
    </row>
    <row r="12">
      <c r="A12" s="16" t="inlineStr">
        <is>
          <t>TOTAL / PROMEDIO</t>
        </is>
      </c>
      <c r="B12" s="31">
        <f>SUM(B10:B11)</f>
        <v/>
      </c>
      <c r="C12" s="23">
        <f>SUM(C10:C11)</f>
        <v/>
      </c>
      <c r="D12" s="17" t="inlineStr">
        <is>
          <t>147 – 2173</t>
        </is>
      </c>
      <c r="E12" s="17" t="inlineStr"/>
      <c r="F12" s="17">
        <f>ROUND(AVERAGE(F10:F11),2)</f>
        <v/>
      </c>
      <c r="G12" s="22">
        <f>ROUND(AVERAGE(G10:G11),4)</f>
        <v/>
      </c>
      <c r="H12" s="23">
        <f>ROUND(AVERAGE(H10:H11),2)</f>
        <v/>
      </c>
      <c r="I12" s="23">
        <f>ROUND(AVERAGE(I10:I11),2)</f>
        <v/>
      </c>
    </row>
    <row r="14" ht="84" customHeight="1">
      <c r="A14" s="9" t="inlineStr">
        <is>
          <t>LECTURA INTRAMICROCUENCA. El bloque M9B1 ocupa el puesto 2 de 2 por superficie dentro de la microcuenca C1096-Q9545 (43.62 % de las 814.65 ha preliminares de la microcuenca). Su pendiente promedio (10.17 %, clase «8-15% (Mod. inclinado)») es la 1.ª más baja de 2 y se sitúa por debajo del promedio de la microcuenca (19.84 %). Su MSAVI 2024 (0.3143) es el 2.º de 2 y queda por debajo del promedio local (0.4410). Amplitud altitudinal del bloque: 118 m (147–265 msnm). El cuadro conserva todos los bloques catalogados en la microcuenca, incluidos los descartados en el tamizaje, para referencia del conjunto. Los bloques sin ficha DT figuran con sus parámetros de gabinete. BRECHA ESPECTRAL. El 99.33 % de la superficie del bloque (352.983 ha de 355.364 ha) se sitúa bajo el umbral MSAVI 0.4976, por encima del promedio local de la microcuenca (64.20 %) calculado sobre los bloques con dato MSAVI disponible.</t>
        </is>
      </c>
      <c r="B14" s="40" t="n"/>
      <c r="C14" s="40" t="n"/>
      <c r="D14" s="40" t="n"/>
      <c r="E14" s="40" t="n"/>
      <c r="F14" s="40" t="n"/>
      <c r="G14" s="40" t="n"/>
      <c r="H14" s="40" t="n"/>
      <c r="I14" s="41" t="n"/>
    </row>
    <row r="16" ht="60" customHeight="1">
      <c r="A16"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 El porcentaje bajo el umbral MSAVI 0.4976 procede de la estadística zonal del ráster MSAVI 2024 clasificado (AREAS_MSAVI_BLOQUES_V6_REV_HSCM) y corresponde a la suma de las clases DN 1 a DN 3 sobre la superficie clasificada de cada bloque; «s/d» indica bloques del catálogo sin cobertura en ese archivo.</t>
        </is>
      </c>
      <c r="B16" s="40" t="n"/>
      <c r="C16" s="40" t="n"/>
      <c r="D16" s="40" t="n"/>
      <c r="E16" s="40" t="n"/>
      <c r="F16" s="40" t="n"/>
      <c r="G16" s="40" t="n"/>
      <c r="H16" s="40" t="n"/>
      <c r="I16" s="41" t="n"/>
    </row>
  </sheetData>
  <mergeCells count="9">
    <mergeCell ref="A2:I2"/>
    <mergeCell ref="A5:I5"/>
    <mergeCell ref="A14:I14"/>
    <mergeCell ref="A1:I1"/>
    <mergeCell ref="A8:I8"/>
    <mergeCell ref="A3:I3"/>
    <mergeCell ref="A6:I6"/>
    <mergeCell ref="A4:I4"/>
    <mergeCell ref="A16:I1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8"/>
  <sheetViews>
    <sheetView workbookViewId="0">
      <pane ySplit="8" topLeftCell="A9" activePane="bottomLeft" state="frozen"/>
      <selection pane="bottomLeft" activeCell="A1" sqref="A1"/>
    </sheetView>
  </sheetViews>
  <sheetFormatPr baseColWidth="8" defaultRowHeight="15"/>
  <cols>
    <col width="8" customWidth="1" min="1" max="1"/>
    <col width="30" customWidth="1" min="2" max="2"/>
    <col width="62" customWidth="1" min="3" max="3"/>
    <col width="16" customWidth="1" min="4" max="4"/>
    <col width="62" customWidth="1" min="5" max="5"/>
  </cols>
  <sheetData>
    <row r="1">
      <c r="A1" s="50" t="inlineStr">
        <is>
          <t>AUTORIDAD NACIONAL DE INFRAESTRUCTURA - ANIN</t>
        </is>
      </c>
    </row>
    <row r="2">
      <c r="A2" s="50" t="inlineStr">
        <is>
          <t>DIRECCION DE INTERVENCIONES MULTISECTORIALES Y DE EMERGENCIA - DIME</t>
        </is>
      </c>
    </row>
    <row r="3">
      <c r="A3" s="50" t="inlineStr">
        <is>
          <t>SUBDIRECCION DE ESTUDIOS DE INVERSION - SESDI</t>
        </is>
      </c>
    </row>
    <row r="4">
      <c r="A4" s="51" t="inlineStr">
        <is>
          <t>PROYECTO IN PIURA | CUI 2669244 | Recuperacion del servicio de regulacion de riesgos naturales y de ecosistemas degradados - Cuenca Alta del Rio Piura</t>
        </is>
      </c>
    </row>
    <row r="5" ht="22" customHeight="1">
      <c r="A5" s="52" t="inlineStr">
        <is>
          <t>CONTROL DE CONSISTENCIA — BLOQUE M9B1</t>
        </is>
      </c>
    </row>
    <row r="6">
      <c r="A6" s="51" t="inlineStr">
        <is>
          <t>Cruce de la ficha de campo F-DT vigente con la ficha de resumen de gabinete y el catálogo maestro. Integración 2026-09-11 20:22:41.</t>
        </is>
      </c>
    </row>
    <row r="7">
      <c r="A7" s="53" t="inlineStr">
        <is>
          <t>DISCREPANCIAS Y VERIFICACIONES</t>
        </is>
      </c>
    </row>
    <row r="8">
      <c r="A8" s="54" t="inlineStr">
        <is>
          <t>Cod.</t>
        </is>
      </c>
      <c r="B8" s="54" t="inlineStr">
        <is>
          <t>Campo afectado</t>
        </is>
      </c>
      <c r="C8" s="54" t="inlineStr">
        <is>
          <t>Discrepancia observada</t>
        </is>
      </c>
      <c r="D8" s="54" t="inlineStr">
        <is>
          <t>Calificación</t>
        </is>
      </c>
      <c r="E8" s="54" t="inlineStr">
        <is>
          <t>Tratamiento adoptado</t>
        </is>
      </c>
    </row>
    <row r="9">
      <c r="A9" s="55" t="inlineStr">
        <is>
          <t>G-01</t>
        </is>
      </c>
      <c r="B9" s="55" t="inlineStr">
        <is>
          <t>Código de microcuenca</t>
        </is>
      </c>
      <c r="C9" s="55" t="inlineStr">
        <is>
          <t>Ficha DT y catálogo maestro coinciden en «C1096-Q9545».</t>
        </is>
      </c>
      <c r="D9" s="55" t="inlineStr">
        <is>
          <t>CONFORME</t>
        </is>
      </c>
      <c r="E9" s="55" t="inlineStr">
        <is>
          <t>Sin acción.</t>
        </is>
      </c>
    </row>
    <row r="10">
      <c r="A10" s="56" t="inlineStr">
        <is>
          <t>G-02</t>
        </is>
      </c>
      <c r="B10" s="56" t="inlineStr">
        <is>
          <t>UTM del punto de muestreo</t>
        </is>
      </c>
      <c r="C10" s="56" t="inlineStr">
        <is>
          <t>No es posible contrastar el punto de muestreo con el centroide: falta una de las dos coordenadas.</t>
        </is>
      </c>
      <c r="D10" s="56" t="inlineStr">
        <is>
          <t>SUSTANTIVA</t>
        </is>
      </c>
      <c r="E10" s="56" t="inlineStr">
        <is>
          <t>Debe consignarse la coordenada del punto de muestreo en F-DT-01.</t>
        </is>
      </c>
    </row>
    <row r="11">
      <c r="A11" s="55" t="inlineStr">
        <is>
          <t>G-03</t>
        </is>
      </c>
      <c r="B11" s="55" t="inlineStr">
        <is>
          <t>Sistema de referencia UTM 17S</t>
        </is>
      </c>
      <c r="C11" s="55" t="inlineStr">
        <is>
          <t>Verificación de rango para EPSG:32717: Conforme.</t>
        </is>
      </c>
      <c r="D11" s="55" t="inlineStr">
        <is>
          <t>CONFORME</t>
        </is>
      </c>
      <c r="E11" s="55" t="inlineStr">
        <is>
          <t>Sin acción.</t>
        </is>
      </c>
    </row>
    <row r="12">
      <c r="A12" s="56" t="inlineStr">
        <is>
          <t>G-04</t>
        </is>
      </c>
      <c r="B12" s="56" t="inlineStr">
        <is>
          <t>Altitud del punto de muestreo</t>
        </is>
      </c>
      <c r="C12" s="56" t="inlineStr">
        <is>
          <t>La altitud GPS (254 msnm) cae dentro del rango altitudinal del bloque (147 - 265 msnm).</t>
        </is>
      </c>
      <c r="D12" s="56" t="inlineStr">
        <is>
          <t>CONFORME</t>
        </is>
      </c>
      <c r="E12" s="56" t="inlineStr">
        <is>
          <t>Sin acción.</t>
        </is>
      </c>
    </row>
    <row r="13">
      <c r="A13" s="55" t="inlineStr">
        <is>
          <t>G-05</t>
        </is>
      </c>
      <c r="B13" s="55" t="inlineStr">
        <is>
          <t>Superficie NDVI vs. catálogo</t>
        </is>
      </c>
      <c r="C13" s="55" t="inlineStr">
        <is>
          <t>La superficie clasificada por el NDVI mediana 2025 (355.568 ha) se desvía 0.06 % de la superficie de catálogo (355.36 ha).</t>
        </is>
      </c>
      <c r="D13" s="55" t="inlineStr">
        <is>
          <t>CONFORME</t>
        </is>
      </c>
      <c r="E13" s="55" t="inlineStr">
        <is>
          <t>Sin acción: la segmentación valida la geometría del bloque.</t>
        </is>
      </c>
    </row>
    <row r="14">
      <c r="A14" s="56" t="inlineStr">
        <is>
          <t>G-06</t>
        </is>
      </c>
      <c r="B14" s="56" t="inlineStr">
        <is>
          <t>Superficie MSAVI vs. catálogo</t>
        </is>
      </c>
      <c r="C14" s="56" t="inlineStr">
        <is>
          <t>La superficie clasificada por el MSAVI 2024 (355.364 ha) se desvía 0.00 % de la superficie de catálogo (355.36 ha).</t>
        </is>
      </c>
      <c r="D14" s="56" t="inlineStr">
        <is>
          <t>CONFORME</t>
        </is>
      </c>
      <c r="E14" s="56" t="inlineStr">
        <is>
          <t>Sin acción: la segmentación valida la geometría del bloque.</t>
        </is>
      </c>
    </row>
    <row r="15">
      <c r="A15" s="55" t="inlineStr">
        <is>
          <t>G-07</t>
        </is>
      </c>
      <c r="B15" s="55" t="inlineStr">
        <is>
          <t>Brecha espectral MSAVI</t>
        </is>
      </c>
      <c r="C15" s="55" t="inlineStr">
        <is>
          <t>El 99.33 % del bloque queda bajo el umbral 0.4976; superficie de brecha 352.98 ha.</t>
        </is>
      </c>
      <c r="D15" s="55" t="inlineStr">
        <is>
          <t>CONFORME</t>
        </is>
      </c>
      <c r="E15" s="55" t="inlineStr">
        <is>
          <t>Sin acción: alimenta el indicador de brecha del proyecto.</t>
        </is>
      </c>
    </row>
    <row r="16">
      <c r="A16" s="56" t="inlineStr">
        <is>
          <t>G-08</t>
        </is>
      </c>
      <c r="B16" s="56" t="inlineStr">
        <is>
          <t>Distribución areal MSAVI 2024</t>
        </is>
      </c>
      <c r="C16" s="56" t="inlineStr">
        <is>
          <t>La hoja de cobertura declara 5 clases DN con superficie, 355.36 ha clasificadas en total.</t>
        </is>
      </c>
      <c r="D16" s="56" t="inlineStr">
        <is>
          <t>CONFORME</t>
        </is>
      </c>
      <c r="E16" s="56" t="inlineStr">
        <is>
          <t>Sin acción: procede de la estadística zonal del raster MSAVI 2024 clasificado.</t>
        </is>
      </c>
    </row>
    <row r="17">
      <c r="A17" s="55" t="inlineStr">
        <is>
          <t>G-09</t>
        </is>
      </c>
      <c r="B17" s="55" t="inlineStr">
        <is>
          <t>Media MSAVI vs. clase DN dominante</t>
        </is>
      </c>
      <c r="C17" s="55" t="inlineStr">
        <is>
          <t>La media del bloque (0.3143) cae en la clase «0.2650 - 0.3813 (Vigor muy bajo)» y la clase DN dominante por superficie es «DN 2 · 0.2650 - 0.3813 (Vigor muy bajo)».</t>
        </is>
      </c>
      <c r="D17" s="55" t="inlineStr">
        <is>
          <t>CONFORME</t>
        </is>
      </c>
      <c r="E17" s="55" t="inlineStr">
        <is>
          <t>Sin acción: media y clase dominante son coherentes.</t>
        </is>
      </c>
    </row>
    <row r="18">
      <c r="A18" s="56" t="inlineStr">
        <is>
          <t>G-10</t>
        </is>
      </c>
      <c r="B18" s="56" t="inlineStr">
        <is>
          <t>Peligro integrado (MCA-AHP)</t>
        </is>
      </c>
      <c r="C18" s="56" t="inlineStr">
        <is>
          <t>El nivel de peligro integrado no está disponible en los insumos de este entregable.</t>
        </is>
      </c>
      <c r="D18" s="56" t="inlineStr">
        <is>
          <t>SUSTANTIVA</t>
        </is>
      </c>
      <c r="E18" s="56" t="inlineStr">
        <is>
          <t>Debe tomarse del modelamiento de mesolocalización (MCA-AHP de PMM, EPH y PGI) antes de cerrar el perfil.</t>
        </is>
      </c>
    </row>
    <row r="19">
      <c r="A19" s="55" t="inlineStr">
        <is>
          <t>I-01</t>
        </is>
      </c>
      <c r="B19" s="55" t="inlineStr">
        <is>
          <t>Responsable de la evaluación</t>
        </is>
      </c>
      <c r="C19" s="55" t="inlineStr">
        <is>
          <t>El libro de resumen V6 consignaba «Juan Domínguez»; la ficha de campo vigente declara «Ing. Juan Carlos Domínguez Varas».</t>
        </is>
      </c>
      <c r="D19" s="55" t="inlineStr">
        <is>
          <t>CORREGIDO</t>
        </is>
      </c>
      <c r="E19" s="55" t="inlineStr">
        <is>
          <t>Se adopta el valor de campo por ser la fuente que manda sobre el dato y la más reciente. El valor anterior queda declarado para trazabilidad.</t>
        </is>
      </c>
    </row>
    <row r="20">
      <c r="A20" s="56" t="inlineStr">
        <is>
          <t>I-02</t>
        </is>
      </c>
      <c r="B20" s="56" t="inlineStr">
        <is>
          <t>Correlativo de ficha</t>
        </is>
      </c>
      <c r="C20" s="56" t="inlineStr">
        <is>
          <t>El libro de resumen V6 consignaba «Sin registro en ficha»; la ficha de campo vigente declara «1».</t>
        </is>
      </c>
      <c r="D20" s="56" t="inlineStr">
        <is>
          <t>CORREGIDO</t>
        </is>
      </c>
      <c r="E20" s="56" t="inlineStr">
        <is>
          <t>Se adopta el valor de campo por ser la fuente que manda sobre el dato y la más reciente. El valor anterior queda declarado para trazabilidad.</t>
        </is>
      </c>
    </row>
    <row r="21">
      <c r="A21" s="55" t="inlineStr">
        <is>
          <t>F-01</t>
        </is>
      </c>
      <c r="B21" s="55" t="inlineStr">
        <is>
          <t>Fichas F-DT levantadas</t>
        </is>
      </c>
      <c r="C21" s="55" t="inlineStr">
        <is>
          <t>La plantilla de campo trae las cinco fichas F-DT-01 a F-DT-05 (completitud 78.6 % de los campos esperados).</t>
        </is>
      </c>
      <c r="D21" s="55" t="inlineStr">
        <is>
          <t>CONFORME</t>
        </is>
      </c>
      <c r="E21" s="55" t="inlineStr">
        <is>
          <t>Sin acción.</t>
        </is>
      </c>
    </row>
    <row r="22">
      <c r="A22" s="56" t="inlineStr">
        <is>
          <t>F-02</t>
        </is>
      </c>
      <c r="B22" s="56" t="inlineStr">
        <is>
          <t>Cobertura de la integración</t>
        </is>
      </c>
      <c r="C22" s="56" t="inlineStr">
        <is>
          <t>Se declararon 92 de 114 hechos integrados (80.7 %); 22 quedan sin dato en ninguna fuente.</t>
        </is>
      </c>
      <c r="D22" s="56" t="inlineStr">
        <is>
          <t>CONFORME</t>
        </is>
      </c>
      <c r="E22" s="56" t="inlineStr">
        <is>
          <t>Sin acción.</t>
        </is>
      </c>
    </row>
    <row r="23">
      <c r="A23" s="55" t="inlineStr">
        <is>
          <t>H-01</t>
        </is>
      </c>
      <c r="B23" s="55" t="inlineStr">
        <is>
          <t>Rango de pendiente dominante</t>
        </is>
      </c>
      <c r="C23" s="55" t="inlineStr">
        <is>
          <t>La ficha DT declara «15-25% (Fuert. inclinado)»; la estadística zonal sobre el MDE arroja una pendiente promedio de 10.17 %, que corresponde a la clase «8-15% (Mod. inclinado)»</t>
        </is>
      </c>
      <c r="D23" s="55" t="inlineStr">
        <is>
          <t>NO SUSTANTIVA</t>
        </is>
      </c>
      <c r="E23" s="55" t="inlineStr">
        <is>
          <t>Se conserva el registro de campo como observación de sector y se adopta el valor del MDE para el cálculo intramicrocuenca. La divergencia es esperable: el dato de campo es puntual y el del MDE es promedio del polígono. (Verificación heredada de la ficha de resumen V6.)</t>
        </is>
      </c>
    </row>
    <row r="24">
      <c r="A24" s="56" t="inlineStr">
        <is>
          <t>H-02</t>
        </is>
      </c>
      <c r="B24" s="56" t="inlineStr">
        <is>
          <t>Dimensiones del inventario de cárcavas</t>
        </is>
      </c>
      <c r="C24" s="56" t="inlineStr">
        <is>
          <t>Se registran No inventariadas (F-DT-02 sin contenido) rasgos erosivos, pero longitud, profundidad y ancho no fueron medidos instrumentalmente</t>
        </is>
      </c>
      <c r="D24" s="56" t="inlineStr">
        <is>
          <t>NO SUSTANTIVA</t>
        </is>
      </c>
      <c r="E24" s="56" t="inlineStr">
        <is>
          <t>El conteo registrado no debe usarse para calcular densidad de cárcavas por hectárea. Pendiente de levantamiento con GPS submétrico. (Verificación heredada de la ficha de resumen V6.)</t>
        </is>
      </c>
    </row>
    <row r="25">
      <c r="A25" s="55" t="inlineStr">
        <is>
          <t>H-03</t>
        </is>
      </c>
      <c r="B25" s="55" t="inlineStr">
        <is>
          <t>Elenco florístico</t>
        </is>
      </c>
      <c r="C25" s="55" t="inlineStr">
        <is>
          <t>La ficha registra 9 taxones, por debajo del mínimo de 15 que exige el formato V5</t>
        </is>
      </c>
      <c r="D25" s="55" t="inlineStr">
        <is>
          <t>SUSTANTIVA</t>
        </is>
      </c>
      <c r="E25" s="55" t="inlineStr">
        <is>
          <t>Registro florístico preliminar, sin colecta ni determinación botánica formal. Debe cerrarse con colecta botánica en la siguiente campaña. (Verificación heredada de la ficha de resumen V6.)</t>
        </is>
      </c>
    </row>
    <row r="26">
      <c r="A26" s="56" t="inlineStr">
        <is>
          <t>H-04</t>
        </is>
      </c>
      <c r="B26" s="56" t="inlineStr">
        <is>
          <t>Representatividad del levantamiento</t>
        </is>
      </c>
      <c r="C26" s="56" t="inlineStr">
        <is>
          <t>Ninguna de las estaciones fotográficas georreferenciadas se localiza dentro del polígono del bloque</t>
        </is>
      </c>
      <c r="D26" s="56" t="inlineStr">
        <is>
          <t>SUSTANTIVA</t>
        </is>
      </c>
      <c r="E26" s="56" t="inlineStr">
        <is>
          <t>La verificación documenta el perímetro y la vista panorámica del bloque, no su interior. Los parámetros que exigen recorrido interno se consignan «Por determinar». (Verificación heredada de la ficha de resumen V6.)</t>
        </is>
      </c>
    </row>
    <row r="27">
      <c r="A27" s="55" t="inlineStr">
        <is>
          <t>H-05</t>
        </is>
      </c>
      <c r="B27" s="55" t="inlineStr">
        <is>
          <t>Centro poblado asociado</t>
        </is>
      </c>
      <c r="C27" s="55" t="inlineStr">
        <is>
          <t>La ficha DT declara «La Peña»; el cruce INEI-Bloques V5 identifica 1 centro(s) poblado(s) en el bloque: LA PEÑA</t>
        </is>
      </c>
      <c r="D27" s="55" t="inlineStr">
        <is>
          <t>CONFORME</t>
        </is>
      </c>
      <c r="E27" s="55" t="inlineStr">
        <is>
          <t>Se conserva el registro de campo como referencia y se adopta el listado INEI para el diagnóstico social y el cálculo de población beneficiaria. (Verificación heredada de la ficha de resumen V6.)</t>
        </is>
      </c>
    </row>
    <row r="28">
      <c r="A28" s="56" t="inlineStr">
        <is>
          <t>H-06</t>
        </is>
      </c>
      <c r="B28" s="56" t="inlineStr">
        <is>
          <t>Ficha DT</t>
        </is>
      </c>
      <c r="C28" s="56" t="inlineStr">
        <is>
          <t>La ficha consigna microcuenca C1076-Q9584; el catálogo maestro asigna a M9B1 la microcuenca C1096-Q9545</t>
        </is>
      </c>
      <c r="D28" s="56" t="inlineStr">
        <is>
          <t>SUSTANTIVA</t>
        </is>
      </c>
      <c r="E28" s="56" t="inlineStr">
        <is>
          <t>Valor por defecto de la plantilla; se conserva el del catálogo (Verificación heredada de la ficha de resumen V6.)</t>
        </is>
      </c>
    </row>
    <row r="29">
      <c r="A29" s="55" t="inlineStr">
        <is>
          <t>H-07</t>
        </is>
      </c>
      <c r="B29" s="55" t="inlineStr">
        <is>
          <t>Plan de Ingreso</t>
        </is>
      </c>
      <c r="C29" s="55" t="inlineStr">
        <is>
          <t>Altitud = 0 msnm (captura por defecto del aplicativo)</t>
        </is>
      </c>
      <c r="D29" s="55" t="inlineStr">
        <is>
          <t>CORREGIDO</t>
        </is>
      </c>
      <c r="E29" s="55" t="inlineStr">
        <is>
          <t>Se reemplaza por la altitud GPS de campo (254 msnm) (Verificación heredada de la ficha de resumen V6.)</t>
        </is>
      </c>
    </row>
    <row r="30">
      <c r="A30" s="56" t="inlineStr">
        <is>
          <t>H-08</t>
        </is>
      </c>
      <c r="B30" s="56" t="inlineStr">
        <is>
          <t>F-DT-02</t>
        </is>
      </c>
      <c r="C30" s="56" t="inlineStr">
        <is>
          <t>Sección SIN CONTENIDO en el documento de origen</t>
        </is>
      </c>
      <c r="D30" s="56" t="inlineStr">
        <is>
          <t>SUSTANTIVA</t>
        </is>
      </c>
      <c r="E30" s="56" t="inlineStr">
        <is>
          <t>Levantamiento de suelo y procesos erosivos pendiente en su totalidad (Verificación heredada de la ficha de resumen V6.)</t>
        </is>
      </c>
    </row>
    <row r="31">
      <c r="A31" s="55" t="inlineStr">
        <is>
          <t>H-09</t>
        </is>
      </c>
      <c r="B31" s="55" t="inlineStr">
        <is>
          <t>F-DT-03</t>
        </is>
      </c>
      <c r="C31" s="55" t="inlineStr">
        <is>
          <t>La tabla florística (9 taxones) no consigna nombre científico ni familia</t>
        </is>
      </c>
      <c r="D31" s="55" t="inlineStr">
        <is>
          <t>SUSTANTIVA</t>
        </is>
      </c>
      <c r="E31" s="55" t="inlineStr">
        <is>
          <t>Determinación botánica pendiente (Verificación heredada de la ficha de resumen V6.)</t>
        </is>
      </c>
    </row>
    <row r="32">
      <c r="A32" s="56" t="inlineStr">
        <is>
          <t>H-10</t>
        </is>
      </c>
      <c r="B32" s="56" t="inlineStr">
        <is>
          <t>F-DT-04</t>
        </is>
      </c>
      <c r="C32" s="56" t="inlineStr">
        <is>
          <t>Densidad de cárcavas 1 N.°/ha pese a declararse que no se detectaron cárcavas y a no existir inventario</t>
        </is>
      </c>
      <c r="D32" s="56" t="inlineStr">
        <is>
          <t>SUSTANTIVA</t>
        </is>
      </c>
      <c r="E32" s="56" t="inlineStr">
        <is>
          <t>Inconsistencia interna a resolver (Verificación heredada de la ficha de resumen V6.)</t>
        </is>
      </c>
    </row>
    <row r="33">
      <c r="A33" s="55" t="inlineStr">
        <is>
          <t>H-11</t>
        </is>
      </c>
      <c r="B33" s="55" t="inlineStr">
        <is>
          <t>F-DT-05</t>
        </is>
      </c>
      <c r="C33" s="55" t="inlineStr">
        <is>
          <t>Inventario de fuentes vacío pese a describirse diversas quebradas que canalizan agua hacia el CCPP</t>
        </is>
      </c>
      <c r="D33" s="55" t="inlineStr">
        <is>
          <t>SUSTANTIVA</t>
        </is>
      </c>
      <c r="E33" s="55" t="inlineStr">
        <is>
          <t>Levantamiento pendiente (Verificación heredada de la ficha de resumen V6.)</t>
        </is>
      </c>
    </row>
    <row r="34">
      <c r="A34" s="56" t="inlineStr">
        <is>
          <t>H-12</t>
        </is>
      </c>
      <c r="B34" s="56" t="inlineStr">
        <is>
          <t>F-DS-01 / F-DS-02</t>
        </is>
      </c>
      <c r="C34" s="56" t="inlineStr">
        <is>
          <t>Contradicción: F-DS-01 declara Comunidad Campesina reconocida con título; F-DS-02 declara que no pertenecen a ninguna comunidad campesina</t>
        </is>
      </c>
      <c r="D34" s="56" t="inlineStr">
        <is>
          <t>SUSTANTIVA</t>
        </is>
      </c>
      <c r="E34" s="56" t="inlineStr">
        <is>
          <t>Condiciona el tamizaje predial y la estrategia de gobernanza: resolver antes del Expediente de Liberación de Áreas (Verificación heredada de la ficha de resumen V6.)</t>
        </is>
      </c>
    </row>
    <row r="36">
      <c r="A36" s="57" t="inlineStr">
        <is>
          <t>RESUMEN</t>
        </is>
      </c>
      <c r="B36" s="58" t="inlineStr">
        <is>
          <t>26 verificaciones</t>
        </is>
      </c>
      <c r="C36" s="58" t="inlineStr">
        <is>
          <t>SUSTANTIVA: 10 · NO SUSTANTIVA: 2 · CORREGIDO: 3 · CONFORME: 11</t>
        </is>
      </c>
    </row>
    <row r="38">
      <c r="A38" s="59" t="inlineStr">
        <is>
          <t>NOTA METODOLÓGICA. Este control se genera del cruce automático entre la plantilla DT de campo vigente (fichas F-DT-01 a F-DT-05) y la ficha de resumen de gabinete. Cada hecho territorial se declara una sola vez, con la fuente que manda sobre el: campo para lo observado en terreno, gabinete para lo derivado del MDE y de los compuestos Sentinel-2, y fuente oficial para el catálogo maestro de bloques, la división política INEI y la codificación de microcuencas de la ANA. Ningún valor ausente se estima: lo que ninguna fuente declara se consigna como pendiente. Sistema de referencia UTM WGS 84 Zona 17S (EPSG:32717).</t>
        </is>
      </c>
    </row>
  </sheetData>
  <mergeCells count="7">
    <mergeCell ref="A4:E4"/>
    <mergeCell ref="A38:E38"/>
    <mergeCell ref="A2:E2"/>
    <mergeCell ref="A1:E1"/>
    <mergeCell ref="A5:E5"/>
    <mergeCell ref="A6:E6"/>
    <mergeCell ref="A3:E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53"/>
  <sheetViews>
    <sheetView workbookViewId="0">
      <selection activeCell="A1" sqref="A1"/>
    </sheetView>
  </sheetViews>
  <sheetFormatPr baseColWidth="8" defaultRowHeight="15"/>
  <cols>
    <col width="34" customWidth="1" min="1" max="1"/>
    <col width="38" customWidth="1" min="2" max="2"/>
    <col width="44" customWidth="1" min="3" max="3"/>
    <col width="44" customWidth="1" min="4" max="4"/>
    <col width="24" customWidth="1" min="5" max="5"/>
    <col width="18" customWidth="1" min="6" max="6"/>
  </cols>
  <sheetData>
    <row r="1">
      <c r="A1" s="50" t="inlineStr">
        <is>
          <t>AUTORIDAD NACIONAL DE INFRAESTRUCTURA - ANIN</t>
        </is>
      </c>
    </row>
    <row r="2">
      <c r="A2" s="50" t="inlineStr">
        <is>
          <t>DIRECCION DE INTERVENCIONES MULTISECTORIALES Y DE EMERGENCIA - DIME</t>
        </is>
      </c>
    </row>
    <row r="3">
      <c r="A3" s="50" t="inlineStr">
        <is>
          <t>SUBDIRECCION DE ESTUDIOS DE INVERSION - SESDI</t>
        </is>
      </c>
    </row>
    <row r="4">
      <c r="A4" s="51" t="inlineStr">
        <is>
          <t>PROYECTO IN PIURA | CUI 2669244 | Recuperacion del servicio de regulacion de riesgos naturales y de ecosistemas degradados - Cuenca Alta del Rio Piura</t>
        </is>
      </c>
    </row>
    <row r="5" ht="22" customHeight="1">
      <c r="A5" s="52" t="inlineStr">
        <is>
          <t>INTEGRACIÓN DE LA FICHA DE CAMPO — BLOQUE M9B1</t>
        </is>
      </c>
    </row>
    <row r="7">
      <c r="A7" s="53" t="inlineStr">
        <is>
          <t>A. HECHOS ACTUALIZADOS POR LA VERIFICACIÓN DE CAMPO</t>
        </is>
      </c>
    </row>
    <row r="8">
      <c r="A8" s="54" t="inlineStr">
        <is>
          <t>Sección</t>
        </is>
      </c>
      <c r="B8" s="54" t="inlineStr">
        <is>
          <t>Hecho</t>
        </is>
      </c>
      <c r="C8" s="54" t="inlineStr">
        <is>
          <t>Valor en la ficha V6</t>
        </is>
      </c>
      <c r="D8" s="54" t="inlineStr">
        <is>
          <t>Valor de campo vigente</t>
        </is>
      </c>
      <c r="E8" s="54" t="inlineStr">
        <is>
          <t>Fuente que manda</t>
        </is>
      </c>
    </row>
    <row r="9">
      <c r="A9" s="55" t="inlineStr">
        <is>
          <t>8. Responsable y modalidad de la evaluación</t>
        </is>
      </c>
      <c r="B9" s="55" t="inlineStr">
        <is>
          <t>Responsable de la evaluación</t>
        </is>
      </c>
      <c r="C9" s="55" t="inlineStr">
        <is>
          <t>Juan Domínguez</t>
        </is>
      </c>
      <c r="D9" s="55" t="inlineStr">
        <is>
          <t>Ing. Juan Carlos Domínguez Varas</t>
        </is>
      </c>
      <c r="E9" s="55" t="inlineStr">
        <is>
          <t>Dato de campo</t>
        </is>
      </c>
    </row>
    <row r="10">
      <c r="A10" s="56" t="inlineStr">
        <is>
          <t>8. Responsable y modalidad de la evaluación</t>
        </is>
      </c>
      <c r="B10" s="56" t="inlineStr">
        <is>
          <t>Correlativo de ficha</t>
        </is>
      </c>
      <c r="C10" s="56" t="inlineStr">
        <is>
          <t>Sin registro en ficha</t>
        </is>
      </c>
      <c r="D10" s="56" t="inlineStr">
        <is>
          <t>1</t>
        </is>
      </c>
      <c r="E10" s="56" t="inlineStr">
        <is>
          <t>Dato de campo</t>
        </is>
      </c>
    </row>
    <row r="12">
      <c r="A12" s="53" t="inlineStr">
        <is>
          <t>B. HECHOS APORTADOS ÚNICAMENTE POR LA FICHA DE CAMPO</t>
        </is>
      </c>
    </row>
    <row r="13">
      <c r="A13" s="54" t="inlineStr">
        <is>
          <t>Sección</t>
        </is>
      </c>
      <c r="B13" s="54" t="inlineStr">
        <is>
          <t>Hecho</t>
        </is>
      </c>
      <c r="C13" s="54" t="inlineStr">
        <is>
          <t>Valor</t>
        </is>
      </c>
      <c r="D13" s="54" t="inlineStr">
        <is>
          <t>Unidad</t>
        </is>
      </c>
    </row>
    <row r="14">
      <c r="A14" s="55" t="inlineStr">
        <is>
          <t>2. Parámetros físicos del terreno</t>
        </is>
      </c>
      <c r="B14" s="55" t="inlineStr">
        <is>
          <t>Altitud GPS del punto de muestreo (msnm)</t>
        </is>
      </c>
      <c r="C14" s="55" t="inlineStr">
        <is>
          <t>254</t>
        </is>
      </c>
      <c r="D14" s="55" t="inlineStr">
        <is>
          <t>msnm</t>
        </is>
      </c>
    </row>
    <row r="15">
      <c r="A15" s="56" t="inlineStr">
        <is>
          <t>2. Parámetros físicos del terreno</t>
        </is>
      </c>
      <c r="B15" s="56" t="inlineStr">
        <is>
          <t>Piso altitudinal del punto de muestreo</t>
        </is>
      </c>
      <c r="C15" s="56" t="inlineStr">
        <is>
          <t>&lt;1000 m (Yunga)</t>
        </is>
      </c>
      <c r="D15" s="56" t="inlineStr"/>
    </row>
    <row r="16">
      <c r="A16" s="55" t="inlineStr">
        <is>
          <t>2. Parámetros físicos del terreno</t>
        </is>
      </c>
      <c r="B16" s="55" t="inlineStr">
        <is>
          <t>Paisaje dominante descrito en campo</t>
        </is>
      </c>
      <c r="C16" s="55" t="inlineStr">
        <is>
          <t>Sistema de laderas convexo-cóncavas tributarias de la quebrada Q9545 (microcuenca C1096), con altitudes de 150 a 225 msnm y desniveles internos. Paisaje de colina media, dominado por bosque estacionalmente seco de colina y montaña.</t>
        </is>
      </c>
      <c r="D16" s="55" t="inlineStr"/>
    </row>
    <row r="17">
      <c r="A17" s="56" t="inlineStr">
        <is>
          <t>2. Parámetros físicos del terreno</t>
        </is>
      </c>
      <c r="B17" s="56" t="inlineStr">
        <is>
          <t>Reptación de suelo</t>
        </is>
      </c>
      <c r="C17" s="56" t="inlineStr">
        <is>
          <t>No</t>
        </is>
      </c>
      <c r="D17" s="56" t="inlineStr"/>
    </row>
    <row r="18">
      <c r="A18" s="55" t="inlineStr">
        <is>
          <t>2. Parámetros físicos del terreno</t>
        </is>
      </c>
      <c r="B18" s="55" t="inlineStr">
        <is>
          <t>Deslizamientos antiguos</t>
        </is>
      </c>
      <c r="C18" s="55" t="inlineStr">
        <is>
          <t>No</t>
        </is>
      </c>
      <c r="D18" s="55" t="inlineStr"/>
    </row>
    <row r="19">
      <c r="A19" s="56" t="inlineStr">
        <is>
          <t>5. Ecosistema, cobertura y flora (F-DT-03)</t>
        </is>
      </c>
      <c r="B19" s="56" t="inlineStr">
        <is>
          <t>Cobertura del dosel (%)</t>
        </is>
      </c>
      <c r="C19" s="56" t="inlineStr">
        <is>
          <t>90</t>
        </is>
      </c>
      <c r="D19" s="56" t="inlineStr">
        <is>
          <t>%</t>
        </is>
      </c>
    </row>
    <row r="20">
      <c r="A20" s="55" t="inlineStr">
        <is>
          <t>5. Ecosistema, cobertura y flora (F-DT-03)</t>
        </is>
      </c>
      <c r="B20" s="55" t="inlineStr">
        <is>
          <t>Cobertura arbustiva (%)</t>
        </is>
      </c>
      <c r="C20" s="55" t="inlineStr">
        <is>
          <t>15</t>
        </is>
      </c>
      <c r="D20" s="55" t="inlineStr">
        <is>
          <t>%</t>
        </is>
      </c>
    </row>
    <row r="21">
      <c r="A21" s="56" t="inlineStr">
        <is>
          <t>5. Ecosistema, cobertura y flora (F-DT-03)</t>
        </is>
      </c>
      <c r="B21" s="56" t="inlineStr">
        <is>
          <t>Cobertura herbácea (%)</t>
        </is>
      </c>
      <c r="C21" s="56" t="inlineStr">
        <is>
          <t>10</t>
        </is>
      </c>
      <c r="D21" s="56" t="inlineStr">
        <is>
          <t>%</t>
        </is>
      </c>
    </row>
    <row r="22">
      <c r="A22" s="55" t="inlineStr">
        <is>
          <t>5. Ecosistema, cobertura y flora (F-DT-03)</t>
        </is>
      </c>
      <c r="B22" s="55" t="inlineStr">
        <is>
          <t>Cobertura de hojarasca (%)</t>
        </is>
      </c>
      <c r="C22" s="55" t="inlineStr">
        <is>
          <t>5</t>
        </is>
      </c>
      <c r="D22" s="55" t="inlineStr">
        <is>
          <t>%</t>
        </is>
      </c>
    </row>
    <row r="23">
      <c r="A23" s="56" t="inlineStr">
        <is>
          <t>5. Ecosistema, cobertura y flora (F-DT-03)</t>
        </is>
      </c>
      <c r="B23" s="56" t="inlineStr">
        <is>
          <t>Altura del estrato dominante (m)</t>
        </is>
      </c>
      <c r="C23" s="56" t="inlineStr">
        <is>
          <t>7</t>
        </is>
      </c>
      <c r="D23" s="56" t="inlineStr">
        <is>
          <t>m</t>
        </is>
      </c>
    </row>
    <row r="24">
      <c r="A24" s="55" t="inlineStr">
        <is>
          <t>5. Ecosistema, cobertura y flora (F-DT-03)</t>
        </is>
      </c>
      <c r="B24" s="55" t="inlineStr">
        <is>
          <t>Altura máxima registrada (m)</t>
        </is>
      </c>
      <c r="C24" s="55" t="inlineStr">
        <is>
          <t>10</t>
        </is>
      </c>
      <c r="D24" s="55" t="inlineStr">
        <is>
          <t>m</t>
        </is>
      </c>
    </row>
    <row r="25">
      <c r="A25" s="56" t="inlineStr">
        <is>
          <t>5. Ecosistema, cobertura y flora (F-DT-03)</t>
        </is>
      </c>
      <c r="B25" s="56" t="inlineStr">
        <is>
          <t>DAP promedio (cm)</t>
        </is>
      </c>
      <c r="C25" s="56" t="inlineStr">
        <is>
          <t>30</t>
        </is>
      </c>
      <c r="D25" s="56" t="inlineStr">
        <is>
          <t>cm</t>
        </is>
      </c>
    </row>
    <row r="26">
      <c r="A26" s="55" t="inlineStr">
        <is>
          <t>5. Ecosistema, cobertura y flora (F-DT-03)</t>
        </is>
      </c>
      <c r="B26" s="55" t="inlineStr">
        <is>
          <t>Presencia de epífitas</t>
        </is>
      </c>
      <c r="C26" s="55" t="inlineStr">
        <is>
          <t>No</t>
        </is>
      </c>
      <c r="D26" s="55" t="inlineStr"/>
    </row>
    <row r="27">
      <c r="A27" s="56" t="inlineStr">
        <is>
          <t>5. Ecosistema, cobertura y flora (F-DT-03)</t>
        </is>
      </c>
      <c r="B27" s="56" t="inlineStr">
        <is>
          <t>Fenología dominante</t>
        </is>
      </c>
      <c r="C27" s="56" t="inlineStr">
        <is>
          <t>Vegetativo</t>
        </is>
      </c>
      <c r="D27" s="56" t="inlineStr"/>
    </row>
    <row r="28">
      <c r="A28" s="55" t="inlineStr">
        <is>
          <t>5. Ecosistema, cobertura y flora (F-DT-03)</t>
        </is>
      </c>
      <c r="B28" s="55" t="inlineStr">
        <is>
          <t>Pendiente de la parcela (%)</t>
        </is>
      </c>
      <c r="C28" s="55" t="inlineStr">
        <is>
          <t>10.17</t>
        </is>
      </c>
      <c r="D28" s="55" t="inlineStr">
        <is>
          <t>%</t>
        </is>
      </c>
    </row>
    <row r="29">
      <c r="A29" s="56" t="inlineStr">
        <is>
          <t>5. Ecosistema, cobertura y flora (F-DT-03)</t>
        </is>
      </c>
      <c r="B29" s="56" t="inlineStr">
        <is>
          <t>Especies clave georreferenciadas</t>
        </is>
      </c>
      <c r="C29" s="56" t="inlineStr">
        <is>
          <t>3</t>
        </is>
      </c>
      <c r="D29" s="56" t="inlineStr"/>
    </row>
    <row r="30">
      <c r="A30" s="55" t="inlineStr">
        <is>
          <t>6. Degradación, causas y urgencia (F-DT-04)</t>
        </is>
      </c>
      <c r="B30" s="55" t="inlineStr">
        <is>
          <t>Causas directas de la degradación</t>
        </is>
      </c>
      <c r="C30" s="55" t="inlineStr">
        <is>
          <t>La degradación del ecosistema se debe principalmente a las actividades de pastoreo de ganado vacuno y caprino y a la extracción de leña para uso doméstico.</t>
        </is>
      </c>
      <c r="D30" s="55" t="inlineStr"/>
    </row>
    <row r="31">
      <c r="A31" s="56" t="inlineStr">
        <is>
          <t>6. Degradación, causas y urgencia (F-DT-04)</t>
        </is>
      </c>
      <c r="B31" s="56" t="inlineStr">
        <is>
          <t>N.° de causas activas en la matriz F-DT-04</t>
        </is>
      </c>
      <c r="C31" s="56" t="inlineStr">
        <is>
          <t>3</t>
        </is>
      </c>
      <c r="D31" s="56" t="inlineStr"/>
    </row>
    <row r="32">
      <c r="A32" s="55" t="inlineStr">
        <is>
          <t>7. Hidrología, acceso y logística (F-DT-05)</t>
        </is>
      </c>
      <c r="B32" s="55" t="inlineStr">
        <is>
          <t>Vía principal de acceso</t>
        </is>
      </c>
      <c r="C32" s="55" t="inlineStr">
        <is>
          <t>Vía departamental / vecinal afirmada Chulucanas – La Peña, y trocha carrozable final</t>
        </is>
      </c>
      <c r="D32" s="55" t="inlineStr"/>
    </row>
    <row r="33">
      <c r="A33" s="56" t="inlineStr">
        <is>
          <t>7. Hidrología, acceso y logística (F-DT-05)</t>
        </is>
      </c>
      <c r="B33" s="56" t="inlineStr">
        <is>
          <t>Tipo de vía del tramo final</t>
        </is>
      </c>
      <c r="C33" s="56" t="inlineStr">
        <is>
          <t>Trocha carrozable</t>
        </is>
      </c>
      <c r="D33" s="56" t="inlineStr"/>
    </row>
    <row r="34">
      <c r="A34" s="55" t="inlineStr">
        <is>
          <t>7. Hidrología, acceso y logística (F-DT-05)</t>
        </is>
      </c>
      <c r="B34" s="55" t="inlineStr">
        <is>
          <t>Transitabilidad en época seca</t>
        </is>
      </c>
      <c r="C34" s="55" t="inlineStr">
        <is>
          <t>Alto</t>
        </is>
      </c>
      <c r="D34" s="55" t="inlineStr"/>
    </row>
    <row r="35">
      <c r="A35" s="56" t="inlineStr">
        <is>
          <t>7. Hidrología, acceso y logística (F-DT-05)</t>
        </is>
      </c>
      <c r="B35" s="56" t="inlineStr">
        <is>
          <t>Transitabilidad en época lluviosa</t>
        </is>
      </c>
      <c r="C35" s="56" t="inlineStr">
        <is>
          <t>Medio</t>
        </is>
      </c>
      <c r="D35" s="56" t="inlineStr"/>
    </row>
    <row r="36">
      <c r="A36" s="55" t="inlineStr">
        <is>
          <t>7. Hidrología, acceso y logística (F-DT-05)</t>
        </is>
      </c>
      <c r="B36" s="55" t="inlineStr">
        <is>
          <t>Tiempo a la capital distrital (min)</t>
        </is>
      </c>
      <c r="C36" s="55" t="inlineStr">
        <is>
          <t>20</t>
        </is>
      </c>
      <c r="D36" s="55" t="inlineStr">
        <is>
          <t>min</t>
        </is>
      </c>
    </row>
    <row r="37">
      <c r="A37" s="56" t="inlineStr">
        <is>
          <t>7. Hidrología, acceso y logística (F-DT-05)</t>
        </is>
      </c>
      <c r="B37" s="56" t="inlineStr">
        <is>
          <t>Señal celular</t>
        </is>
      </c>
      <c r="C37" s="56" t="inlineStr">
        <is>
          <t>Parcial</t>
        </is>
      </c>
      <c r="D37" s="56" t="inlineStr"/>
    </row>
    <row r="38">
      <c r="A38" s="55" t="inlineStr">
        <is>
          <t>7. Hidrología, acceso y logística (F-DT-05)</t>
        </is>
      </c>
      <c r="B38" s="55" t="inlineStr">
        <is>
          <t>Operador con cobertura</t>
        </is>
      </c>
      <c r="C38" s="55" t="inlineStr">
        <is>
          <t>Bitel</t>
        </is>
      </c>
      <c r="D38" s="55" t="inlineStr"/>
    </row>
    <row r="39">
      <c r="A39" s="56" t="inlineStr">
        <is>
          <t>7. Hidrología, acceso y logística (F-DT-05)</t>
        </is>
      </c>
      <c r="B39" s="56" t="inlineStr">
        <is>
          <t>Alojamiento disponible en la zona</t>
        </is>
      </c>
      <c r="C39" s="56" t="inlineStr">
        <is>
          <t>No</t>
        </is>
      </c>
      <c r="D39" s="56" t="inlineStr"/>
    </row>
    <row r="41">
      <c r="A41" s="53" t="inlineStr">
        <is>
          <t>C. PROCEDENCIA DE LOS HECHOS DECLARADOS</t>
        </is>
      </c>
    </row>
    <row r="42">
      <c r="A42" s="54" t="inlineStr">
        <is>
          <t>Fuente</t>
        </is>
      </c>
      <c r="B42" s="54" t="inlineStr">
        <is>
          <t>Hechos</t>
        </is>
      </c>
      <c r="C42" s="54" t="inlineStr">
        <is>
          <t>Alcance de la fuente</t>
        </is>
      </c>
    </row>
    <row r="43">
      <c r="A43" s="55" t="inlineStr">
        <is>
          <t>Dato de campo</t>
        </is>
      </c>
      <c r="B43" s="55" t="n">
        <v>50</v>
      </c>
      <c r="C43" s="55" t="inlineStr">
        <is>
          <t>Verificación en campo. Fichas F-DT-01 a F-DT-05 de la Plantilla DT Campo Check Validada V5, suscritas por el evaluador.</t>
        </is>
      </c>
    </row>
    <row r="44">
      <c r="A44" s="56" t="inlineStr">
        <is>
          <t>Gabinete (GIS / teledetección)</t>
        </is>
      </c>
      <c r="B44" s="56" t="n">
        <v>28</v>
      </c>
      <c r="C44" s="56" t="inlineStr">
        <is>
          <t>Gabinete. Estadística zonal sobre el MDE y compuestos Sentinel-2 (NDVI mediana 2025, MSAVI 2024 por clase DN).</t>
        </is>
      </c>
    </row>
    <row r="45">
      <c r="A45" s="55" t="inlineStr">
        <is>
          <t>Fuente oficial</t>
        </is>
      </c>
      <c r="B45" s="55" t="n">
        <v>14</v>
      </c>
      <c r="C45" s="55" t="inlineStr">
        <is>
          <t>Fuente oficial. Catálogo maestro Bloques V5/V6, división política INEI y codificación de microcuencas de la ANA.</t>
        </is>
      </c>
    </row>
    <row r="47">
      <c r="A47" s="53" t="inlineStr">
        <is>
          <t>D. ESTADO DEL CRUCE ENTRE FUENTES</t>
        </is>
      </c>
    </row>
    <row r="48">
      <c r="A48" s="54" t="inlineStr">
        <is>
          <t>Estado</t>
        </is>
      </c>
      <c r="B48" s="54" t="inlineStr">
        <is>
          <t>Hechos</t>
        </is>
      </c>
      <c r="C48" s="54" t="inlineStr">
        <is>
          <t>Significado</t>
        </is>
      </c>
    </row>
    <row r="49">
      <c r="A49" s="55" t="inlineStr">
        <is>
          <t>CONFORME</t>
        </is>
      </c>
      <c r="B49" s="55" t="n">
        <v>85</v>
      </c>
      <c r="C49" s="55" t="inlineStr">
        <is>
          <t>Las dos fuentes declaran lo mismo, o solo la fuente que manda sobre el hecho lo declara.</t>
        </is>
      </c>
    </row>
    <row r="50">
      <c r="A50" s="56" t="inlineStr">
        <is>
          <t>COMPLEMENTADO</t>
        </is>
      </c>
      <c r="B50" s="56" t="n">
        <v>5</v>
      </c>
      <c r="C50" s="56" t="inlineStr">
        <is>
          <t>Solo una de las fuentes lo declara y se adopta ese valor.</t>
        </is>
      </c>
    </row>
    <row r="51">
      <c r="A51" s="55" t="inlineStr">
        <is>
          <t>ACTUALIZADO</t>
        </is>
      </c>
      <c r="B51" s="55" t="n">
        <v>2</v>
      </c>
      <c r="C51" s="55" t="inlineStr">
        <is>
          <t>La verificación de campo vigente corrige lo que traía el libro de resumen.</t>
        </is>
      </c>
    </row>
    <row r="52">
      <c r="A52" s="56" t="inlineStr">
        <is>
          <t>DISCREPANTE</t>
        </is>
      </c>
      <c r="B52" s="56" t="n">
        <v>0</v>
      </c>
      <c r="C52" s="56" t="inlineStr">
        <is>
          <t>Las fuentes se contradicen; prevalece la que manda sobre el hecho y la otra queda declarada.</t>
        </is>
      </c>
    </row>
    <row r="53">
      <c r="A53" s="55" t="inlineStr">
        <is>
          <t>PENDIENTE</t>
        </is>
      </c>
      <c r="B53" s="55" t="n">
        <v>22</v>
      </c>
      <c r="C53" s="55" t="inlineStr">
        <is>
          <t>Ninguna fuente lo declara; no se estima valor alguno.</t>
        </is>
      </c>
    </row>
  </sheetData>
  <mergeCells count="5">
    <mergeCell ref="A2:F2"/>
    <mergeCell ref="A1:F1"/>
    <mergeCell ref="A5:F5"/>
    <mergeCell ref="A4:F4"/>
    <mergeCell ref="A3:F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68"/>
  <sheetViews>
    <sheetView workbookViewId="0">
      <selection activeCell="A1" sqref="A1"/>
    </sheetView>
  </sheetViews>
  <sheetFormatPr baseColWidth="8" defaultRowHeight="15"/>
  <cols>
    <col width="8" customWidth="1" min="1" max="1"/>
    <col width="30" customWidth="1" min="2" max="2"/>
    <col width="30" customWidth="1" min="3" max="3"/>
    <col width="22" customWidth="1" min="4" max="4"/>
    <col width="20" customWidth="1" min="5" max="5"/>
    <col width="16" customWidth="1" min="6" max="6"/>
    <col width="16" customWidth="1" min="7" max="7"/>
    <col width="20" customWidth="1" min="8" max="8"/>
    <col width="34" customWidth="1" min="9" max="9"/>
  </cols>
  <sheetData>
    <row r="1">
      <c r="A1" s="50" t="inlineStr">
        <is>
          <t>AUTORIDAD NACIONAL DE INFRAESTRUCTURA - ANIN</t>
        </is>
      </c>
    </row>
    <row r="2">
      <c r="A2" s="50" t="inlineStr">
        <is>
          <t>DIRECCION DE INTERVENCIONES MULTISECTORIALES Y DE EMERGENCIA - DIME</t>
        </is>
      </c>
    </row>
    <row r="3">
      <c r="A3" s="50" t="inlineStr">
        <is>
          <t>SUBDIRECCION DE ESTUDIOS DE INVERSION - SESDI</t>
        </is>
      </c>
    </row>
    <row r="4">
      <c r="A4" s="51" t="inlineStr">
        <is>
          <t>PROYECTO IN PIURA | CUI 2669244 | Recuperacion del servicio de regulacion de riesgos naturales y de ecosistemas degradados - Cuenca Alta del Rio Piura</t>
        </is>
      </c>
    </row>
    <row r="5" ht="22" customHeight="1">
      <c r="A5" s="52" t="inlineStr">
        <is>
          <t>REGISTRO DE CAMPO F-DT-01 A F-DT-05 — BLOQUE M9B1</t>
        </is>
      </c>
    </row>
    <row r="7">
      <c r="A7" s="53" t="inlineStr">
        <is>
          <t>F-DT-02 · INVENTARIO DE CÁRCAVAS</t>
        </is>
      </c>
    </row>
    <row r="8">
      <c r="A8" s="54" t="inlineStr">
        <is>
          <t>Código</t>
        </is>
      </c>
      <c r="B8" s="54" t="inlineStr">
        <is>
          <t>Tipo</t>
        </is>
      </c>
      <c r="C8" s="54" t="inlineStr">
        <is>
          <t>UTM E ini.</t>
        </is>
      </c>
      <c r="D8" s="54" t="inlineStr">
        <is>
          <t>UTM N ini.</t>
        </is>
      </c>
      <c r="E8" s="54" t="inlineStr">
        <is>
          <t>Longitud (m)</t>
        </is>
      </c>
      <c r="F8" s="54" t="inlineStr">
        <is>
          <t>Prof. (m)</t>
        </is>
      </c>
      <c r="G8" s="54" t="inlineStr">
        <is>
          <t>Ancho (m)</t>
        </is>
      </c>
      <c r="H8" s="54" t="inlineStr">
        <is>
          <t>Estado</t>
        </is>
      </c>
      <c r="I8" s="54" t="inlineStr">
        <is>
          <t>Causa</t>
        </is>
      </c>
    </row>
    <row r="9">
      <c r="A9" s="55" t="inlineStr">
        <is>
          <t>Sin cárcavas inventariadas en el tramo verificado</t>
        </is>
      </c>
      <c r="B9" s="55" t="inlineStr"/>
      <c r="C9" s="55" t="inlineStr"/>
      <c r="D9" s="55" t="inlineStr"/>
      <c r="E9" s="55" t="inlineStr"/>
      <c r="F9" s="55" t="inlineStr"/>
      <c r="G9" s="55" t="inlineStr"/>
      <c r="H9" s="55" t="inlineStr"/>
      <c r="I9" s="55" t="inlineStr"/>
    </row>
    <row r="11">
      <c r="A11" s="53" t="inlineStr">
        <is>
          <t>F-DT-03 · ELENCO FLORÍSTICO</t>
        </is>
      </c>
    </row>
    <row r="12">
      <c r="A12" s="54" t="inlineStr">
        <is>
          <t>N.o</t>
        </is>
      </c>
      <c r="B12" s="54" t="inlineStr">
        <is>
          <t>Nombre común</t>
        </is>
      </c>
      <c r="C12" s="54" t="inlineStr">
        <is>
          <t>Nombre científico</t>
        </is>
      </c>
      <c r="D12" s="54" t="inlineStr">
        <is>
          <t>Familia</t>
        </is>
      </c>
      <c r="E12" s="54" t="inlineStr">
        <is>
          <t>Estrato</t>
        </is>
      </c>
      <c r="F12" s="54" t="inlineStr">
        <is>
          <t>Origen</t>
        </is>
      </c>
      <c r="G12" s="54" t="inlineStr">
        <is>
          <t>Abundancia</t>
        </is>
      </c>
      <c r="H12" s="54" t="inlineStr">
        <is>
          <t>DAP (cm)</t>
        </is>
      </c>
      <c r="I12" s="54" t="inlineStr">
        <is>
          <t>Altura (m)</t>
        </is>
      </c>
    </row>
    <row r="13">
      <c r="A13" s="55" t="inlineStr">
        <is>
          <t>1</t>
        </is>
      </c>
      <c r="B13" s="55" t="inlineStr">
        <is>
          <t>Faique</t>
        </is>
      </c>
      <c r="C13" s="55" t="inlineStr">
        <is>
          <t>Vachellia macracantha</t>
        </is>
      </c>
      <c r="D13" s="55" t="inlineStr">
        <is>
          <t>Fabaceae</t>
        </is>
      </c>
      <c r="E13" s="55" t="inlineStr">
        <is>
          <t>Arbóreo bajo (4-8 m)</t>
        </is>
      </c>
      <c r="F13" s="55" t="inlineStr">
        <is>
          <t>Nativa</t>
        </is>
      </c>
      <c r="G13" s="55" t="inlineStr">
        <is>
          <t>Ocasional (1-5%)</t>
        </is>
      </c>
      <c r="H13" s="60" t="n">
        <v>20</v>
      </c>
      <c r="I13" s="61" t="n">
        <v>5</v>
      </c>
    </row>
    <row r="14">
      <c r="A14" s="56" t="inlineStr">
        <is>
          <t>2</t>
        </is>
      </c>
      <c r="B14" s="56" t="inlineStr">
        <is>
          <t>Algarrobo</t>
        </is>
      </c>
      <c r="C14" s="56" t="inlineStr">
        <is>
          <t>Neltuma pallida</t>
        </is>
      </c>
      <c r="D14" s="56" t="inlineStr">
        <is>
          <t>Fabaceae</t>
        </is>
      </c>
      <c r="E14" s="56" t="inlineStr">
        <is>
          <t>Arbóreo bajo (4-8 m)</t>
        </is>
      </c>
      <c r="F14" s="56" t="inlineStr">
        <is>
          <t>Nativa</t>
        </is>
      </c>
      <c r="G14" s="56" t="inlineStr">
        <is>
          <t>Rara (&lt;1%)</t>
        </is>
      </c>
      <c r="H14" s="62" t="n">
        <v>30</v>
      </c>
      <c r="I14" s="63" t="n">
        <v>8</v>
      </c>
    </row>
    <row r="15">
      <c r="A15" s="55" t="inlineStr">
        <is>
          <t>3</t>
        </is>
      </c>
      <c r="B15" s="55" t="inlineStr">
        <is>
          <t>Palo santo</t>
        </is>
      </c>
      <c r="C15" s="55" t="inlineStr">
        <is>
          <t>Bursera graveolens</t>
        </is>
      </c>
      <c r="D15" s="55" t="inlineStr">
        <is>
          <t>Burseraceae</t>
        </is>
      </c>
      <c r="E15" s="55" t="inlineStr">
        <is>
          <t>Arbóreo bajo (4-8 m)</t>
        </is>
      </c>
      <c r="F15" s="55" t="inlineStr">
        <is>
          <t>Nativa</t>
        </is>
      </c>
      <c r="G15" s="55" t="inlineStr">
        <is>
          <t>Ocasional (1-5%)</t>
        </is>
      </c>
      <c r="H15" s="60" t="n">
        <v>25</v>
      </c>
      <c r="I15" s="61" t="n">
        <v>7</v>
      </c>
    </row>
    <row r="16">
      <c r="A16" s="56" t="inlineStr">
        <is>
          <t>4</t>
        </is>
      </c>
      <c r="B16" s="56" t="inlineStr">
        <is>
          <t>Pasallo</t>
        </is>
      </c>
      <c r="C16" s="56" t="inlineStr">
        <is>
          <t>Eriotheca ruizii</t>
        </is>
      </c>
      <c r="D16" s="56" t="inlineStr">
        <is>
          <t>Malvaceae</t>
        </is>
      </c>
      <c r="E16" s="56" t="inlineStr">
        <is>
          <t>Arbóreo bajo (4-8 m)</t>
        </is>
      </c>
      <c r="F16" s="56" t="inlineStr">
        <is>
          <t>Nativa</t>
        </is>
      </c>
      <c r="G16" s="56" t="inlineStr">
        <is>
          <t>Ocasional (1-5%)</t>
        </is>
      </c>
      <c r="H16" s="62" t="n">
        <v>30</v>
      </c>
      <c r="I16" s="63" t="n">
        <v>6</v>
      </c>
    </row>
    <row r="17">
      <c r="A17" s="55" t="inlineStr">
        <is>
          <t>5</t>
        </is>
      </c>
      <c r="B17" s="55" t="inlineStr">
        <is>
          <t>Hualtaco</t>
        </is>
      </c>
      <c r="C17" s="55" t="inlineStr">
        <is>
          <t>Loxopterygium huasango</t>
        </is>
      </c>
      <c r="D17" s="55" t="inlineStr">
        <is>
          <t>Anacardiaceae</t>
        </is>
      </c>
      <c r="E17" s="55" t="inlineStr">
        <is>
          <t>Arbóreo bajo (4-8 m)</t>
        </is>
      </c>
      <c r="F17" s="55" t="inlineStr">
        <is>
          <t>Nativa</t>
        </is>
      </c>
      <c r="G17" s="55" t="inlineStr">
        <is>
          <t>Ocasional (1-5%)</t>
        </is>
      </c>
      <c r="H17" s="60" t="n">
        <v>30</v>
      </c>
      <c r="I17" s="61" t="n">
        <v>8</v>
      </c>
    </row>
    <row r="18">
      <c r="A18" s="56" t="inlineStr">
        <is>
          <t>6</t>
        </is>
      </c>
      <c r="B18" s="56" t="inlineStr">
        <is>
          <t>Charán</t>
        </is>
      </c>
      <c r="C18" s="56" t="inlineStr">
        <is>
          <t>Caesalpinia paipai</t>
        </is>
      </c>
      <c r="D18" s="56" t="inlineStr">
        <is>
          <t>Fabaceae</t>
        </is>
      </c>
      <c r="E18" s="56" t="inlineStr">
        <is>
          <t>Arbóreo bajo (4-8 m)</t>
        </is>
      </c>
      <c r="F18" s="56" t="inlineStr">
        <is>
          <t>Nativa</t>
        </is>
      </c>
      <c r="G18" s="56" t="inlineStr">
        <is>
          <t>Ocasional (1-5%)</t>
        </is>
      </c>
      <c r="H18" s="62" t="n">
        <v>20</v>
      </c>
      <c r="I18" s="63" t="n">
        <v>5</v>
      </c>
    </row>
    <row r="19">
      <c r="A19" s="55" t="inlineStr">
        <is>
          <t>7</t>
        </is>
      </c>
      <c r="B19" s="55" t="inlineStr">
        <is>
          <t>Overo</t>
        </is>
      </c>
      <c r="C19" s="55" t="inlineStr">
        <is>
          <t>Cordia lutea</t>
        </is>
      </c>
      <c r="D19" s="55" t="inlineStr">
        <is>
          <t>Boraginaceae</t>
        </is>
      </c>
      <c r="E19" s="55" t="inlineStr">
        <is>
          <t>Arbustivo alto (1.5-4 m)</t>
        </is>
      </c>
      <c r="F19" s="55" t="inlineStr">
        <is>
          <t>Nativa</t>
        </is>
      </c>
      <c r="G19" s="55" t="inlineStr">
        <is>
          <t>Frecuente (5-20%)</t>
        </is>
      </c>
      <c r="H19" s="60" t="n">
        <v>15</v>
      </c>
      <c r="I19" s="61" t="n">
        <v>4</v>
      </c>
    </row>
    <row r="20">
      <c r="A20" s="56" t="inlineStr">
        <is>
          <t>8</t>
        </is>
      </c>
      <c r="B20" s="56" t="inlineStr">
        <is>
          <t>Chilca</t>
        </is>
      </c>
      <c r="C20" s="56" t="inlineStr">
        <is>
          <t>Baccharis salicifolia</t>
        </is>
      </c>
      <c r="D20" s="56" t="inlineStr">
        <is>
          <t>Asteraceae</t>
        </is>
      </c>
      <c r="E20" s="56" t="inlineStr">
        <is>
          <t>Arbustivo bajo (0.5-1.5 m)</t>
        </is>
      </c>
      <c r="F20" s="56" t="inlineStr">
        <is>
          <t>Nativa</t>
        </is>
      </c>
      <c r="G20" s="56" t="inlineStr">
        <is>
          <t>Frecuente (5-20%)</t>
        </is>
      </c>
      <c r="H20" s="63" t="n">
        <v>5</v>
      </c>
      <c r="I20" s="63" t="n">
        <v>2</v>
      </c>
    </row>
    <row r="21">
      <c r="A21" s="55" t="inlineStr">
        <is>
          <t>9</t>
        </is>
      </c>
      <c r="B21" s="55" t="inlineStr">
        <is>
          <t>Cardo</t>
        </is>
      </c>
      <c r="C21" s="55" t="inlineStr">
        <is>
          <t>Armatocereus cartwrightianus</t>
        </is>
      </c>
      <c r="D21" s="55" t="inlineStr">
        <is>
          <t>Cactaceae</t>
        </is>
      </c>
      <c r="E21" s="55" t="inlineStr">
        <is>
          <t>Arbustivo alto (1.5-4 m)</t>
        </is>
      </c>
      <c r="F21" s="55" t="inlineStr">
        <is>
          <t>Nativa</t>
        </is>
      </c>
      <c r="G21" s="55" t="inlineStr">
        <is>
          <t>Rara (&lt;1%)</t>
        </is>
      </c>
      <c r="H21" s="60" t="n">
        <v>10</v>
      </c>
      <c r="I21" s="61" t="n">
        <v>4</v>
      </c>
    </row>
    <row r="23">
      <c r="A23" s="53" t="inlineStr">
        <is>
          <t>F-DT-03 · ESPECIES CLAVE GEORREFERENCIADAS</t>
        </is>
      </c>
    </row>
    <row r="24">
      <c r="A24" s="54" t="inlineStr">
        <is>
          <t>N.o</t>
        </is>
      </c>
      <c r="B24" s="54" t="inlineStr">
        <is>
          <t>Especie</t>
        </is>
      </c>
      <c r="C24" s="54" t="inlineStr">
        <is>
          <t>Categoría</t>
        </is>
      </c>
      <c r="D24" s="54" t="inlineStr">
        <is>
          <t>Estado UICN</t>
        </is>
      </c>
      <c r="E24" s="54" t="inlineStr">
        <is>
          <t>UTM ESTE</t>
        </is>
      </c>
      <c r="F24" s="54" t="inlineStr">
        <is>
          <t>UTM NORTE</t>
        </is>
      </c>
      <c r="G24" s="54" t="inlineStr">
        <is>
          <t>N.° individuos</t>
        </is>
      </c>
      <c r="H24" s="54" t="inlineStr">
        <is>
          <t>Observación</t>
        </is>
      </c>
    </row>
    <row r="25">
      <c r="A25" s="55" t="inlineStr">
        <is>
          <t>1</t>
        </is>
      </c>
      <c r="B25" s="55" t="inlineStr">
        <is>
          <t>Hualtaco (Loxopterygium huasango)</t>
        </is>
      </c>
      <c r="C25" s="55" t="inlineStr">
        <is>
          <t>Amenazada (D.S. 043-2006-AG)</t>
        </is>
      </c>
      <c r="D25" s="55" t="inlineStr">
        <is>
          <t>VU — Vulnerable</t>
        </is>
      </c>
      <c r="E25" s="55" t="n"/>
      <c r="F25" s="55" t="n"/>
      <c r="G25" s="55" t="n"/>
      <c r="H25" s="55" t="inlineStr">
        <is>
          <t>Relictos arbóreos dispersos; fuente potencial de germoplasma.</t>
        </is>
      </c>
    </row>
    <row r="26">
      <c r="A26" s="56" t="inlineStr">
        <is>
          <t>2</t>
        </is>
      </c>
      <c r="B26" s="56" t="inlineStr">
        <is>
          <t>Palo santo (Bursera graveolens)</t>
        </is>
      </c>
      <c r="C26" s="56" t="inlineStr">
        <is>
          <t>Amenazada (D.S. 043-2006-AG)</t>
        </is>
      </c>
      <c r="D26" s="56" t="inlineStr">
        <is>
          <t>NT — Casi Amenazado</t>
        </is>
      </c>
      <c r="E26" s="56" t="n"/>
      <c r="F26" s="56" t="n"/>
      <c r="G26" s="56" t="n"/>
      <c r="H26" s="56" t="inlineStr">
        <is>
          <t>Individuos dispersos en ladera; presión por extracción selectiva.</t>
        </is>
      </c>
    </row>
    <row r="27">
      <c r="A27" s="55" t="inlineStr">
        <is>
          <t>3</t>
        </is>
      </c>
      <c r="B27" s="55" t="inlineStr">
        <is>
          <t>Algarrobo (Neltuma pallida)</t>
        </is>
      </c>
      <c r="C27" s="55" t="inlineStr">
        <is>
          <t>Clave cultural</t>
        </is>
      </c>
      <c r="D27" s="55" t="inlineStr">
        <is>
          <t>No aplica</t>
        </is>
      </c>
      <c r="E27" s="55" t="n"/>
      <c r="F27" s="55" t="n"/>
      <c r="G27" s="55" t="n"/>
      <c r="H27" s="55" t="inlineStr">
        <is>
          <t>Abundancia rara en el bloque; especie clave para restauración.</t>
        </is>
      </c>
    </row>
    <row r="29">
      <c r="A29" s="53" t="inlineStr">
        <is>
          <t>F-DT-04 · MATRIZ DE CAUSAS DE DEGRADACIÓN</t>
        </is>
      </c>
    </row>
    <row r="30">
      <c r="A30" s="54" t="inlineStr">
        <is>
          <t>N.o</t>
        </is>
      </c>
      <c r="B30" s="54" t="inlineStr">
        <is>
          <t>Causa</t>
        </is>
      </c>
      <c r="C30" s="54" t="inlineStr">
        <is>
          <t>Presencia</t>
        </is>
      </c>
      <c r="D30" s="54" t="inlineStr">
        <is>
          <t>Intensidad</t>
        </is>
      </c>
      <c r="E30" s="54" t="inlineStr">
        <is>
          <t>Extensión</t>
        </is>
      </c>
      <c r="F30" s="54" t="inlineStr">
        <is>
          <t>Antigüedad</t>
        </is>
      </c>
      <c r="G30" s="54" t="inlineStr">
        <is>
          <t>Evidencia</t>
        </is>
      </c>
    </row>
    <row r="31">
      <c r="A31" s="55" t="inlineStr">
        <is>
          <t>1</t>
        </is>
      </c>
      <c r="B31" s="55" t="inlineStr">
        <is>
          <t>Sobrepastoreo (caprino/vacuno)</t>
        </is>
      </c>
      <c r="C31" s="55" t="inlineStr">
        <is>
          <t>Sí</t>
        </is>
      </c>
      <c r="D31" s="55" t="inlineStr">
        <is>
          <t>Moderada</t>
        </is>
      </c>
      <c r="E31" s="55" t="inlineStr">
        <is>
          <t>60</t>
        </is>
      </c>
      <c r="F31" s="55" t="inlineStr">
        <is>
          <t>30</t>
        </is>
      </c>
      <c r="G31" s="55" t="inlineStr">
        <is>
          <t>Se observó presencia de ganado vacuno y caprino.</t>
        </is>
      </c>
    </row>
    <row r="32">
      <c r="A32" s="56" t="inlineStr">
        <is>
          <t>2</t>
        </is>
      </c>
      <c r="B32" s="56" t="inlineStr">
        <is>
          <t>Tala para leña</t>
        </is>
      </c>
      <c r="C32" s="56" t="inlineStr">
        <is>
          <t>Sí</t>
        </is>
      </c>
      <c r="D32" s="56" t="inlineStr">
        <is>
          <t>Moderada</t>
        </is>
      </c>
      <c r="E32" s="56" t="inlineStr">
        <is>
          <t>30</t>
        </is>
      </c>
      <c r="F32" s="56" t="inlineStr">
        <is>
          <t>30</t>
        </is>
      </c>
      <c r="G32" s="56" t="inlineStr">
        <is>
          <t>Se observó leña apilada.</t>
        </is>
      </c>
    </row>
    <row r="33">
      <c r="A33" s="55" t="inlineStr">
        <is>
          <t>3</t>
        </is>
      </c>
      <c r="B33" s="55" t="inlineStr">
        <is>
          <t>Tala para carbón</t>
        </is>
      </c>
      <c r="C33" s="55" t="inlineStr"/>
      <c r="D33" s="55" t="inlineStr"/>
      <c r="E33" s="55" t="inlineStr"/>
      <c r="F33" s="55" t="inlineStr"/>
      <c r="G33" s="55" t="inlineStr"/>
    </row>
    <row r="34">
      <c r="A34" s="56" t="inlineStr">
        <is>
          <t>4</t>
        </is>
      </c>
      <c r="B34" s="56" t="inlineStr">
        <is>
          <t>Tala para madera</t>
        </is>
      </c>
      <c r="C34" s="56" t="inlineStr"/>
      <c r="D34" s="56" t="inlineStr"/>
      <c r="E34" s="56" t="inlineStr"/>
      <c r="F34" s="56" t="inlineStr"/>
      <c r="G34" s="56" t="inlineStr"/>
    </row>
    <row r="35">
      <c r="A35" s="55" t="inlineStr">
        <is>
          <t>5</t>
        </is>
      </c>
      <c r="B35" s="55" t="inlineStr">
        <is>
          <t>Quema (renovación de pastos)</t>
        </is>
      </c>
      <c r="C35" s="55" t="inlineStr"/>
      <c r="D35" s="55" t="inlineStr"/>
      <c r="E35" s="55" t="inlineStr"/>
      <c r="F35" s="55" t="inlineStr"/>
      <c r="G35" s="55" t="inlineStr"/>
    </row>
    <row r="36">
      <c r="A36" s="56" t="inlineStr">
        <is>
          <t>6</t>
        </is>
      </c>
      <c r="B36" s="56" t="inlineStr">
        <is>
          <t>Quema accidental / Incendio</t>
        </is>
      </c>
      <c r="C36" s="56" t="inlineStr"/>
      <c r="D36" s="56" t="inlineStr"/>
      <c r="E36" s="56" t="inlineStr"/>
      <c r="F36" s="56" t="inlineStr"/>
      <c r="G36" s="56" t="inlineStr"/>
    </row>
    <row r="37">
      <c r="A37" s="55" t="inlineStr">
        <is>
          <t>7</t>
        </is>
      </c>
      <c r="B37" s="55" t="inlineStr">
        <is>
          <t>Cambio de uso a agricultura</t>
        </is>
      </c>
      <c r="C37" s="55" t="inlineStr"/>
      <c r="D37" s="55" t="inlineStr"/>
      <c r="E37" s="55" t="inlineStr"/>
      <c r="F37" s="55" t="inlineStr"/>
      <c r="G37" s="55" t="inlineStr"/>
    </row>
    <row r="38">
      <c r="A38" s="56" t="inlineStr">
        <is>
          <t>8</t>
        </is>
      </c>
      <c r="B38" s="56" t="inlineStr">
        <is>
          <t>Cambio de uso a pastoreo</t>
        </is>
      </c>
      <c r="C38" s="56" t="inlineStr">
        <is>
          <t>Sí</t>
        </is>
      </c>
      <c r="D38" s="56" t="inlineStr">
        <is>
          <t>Moderada</t>
        </is>
      </c>
      <c r="E38" s="56" t="inlineStr">
        <is>
          <t>60</t>
        </is>
      </c>
      <c r="F38" s="56" t="inlineStr">
        <is>
          <t>30</t>
        </is>
      </c>
      <c r="G38" s="56" t="inlineStr">
        <is>
          <t>Se observó presencia de ganado en pastoreo.</t>
        </is>
      </c>
    </row>
    <row r="39">
      <c r="A39" s="55" t="inlineStr">
        <is>
          <t>9</t>
        </is>
      </c>
      <c r="B39" s="55" t="inlineStr">
        <is>
          <t>Expansión urbana / vial</t>
        </is>
      </c>
      <c r="C39" s="55" t="inlineStr"/>
      <c r="D39" s="55" t="inlineStr"/>
      <c r="E39" s="55" t="inlineStr"/>
      <c r="F39" s="55" t="inlineStr"/>
      <c r="G39" s="55" t="inlineStr"/>
    </row>
    <row r="40">
      <c r="A40" s="56" t="inlineStr">
        <is>
          <t>10</t>
        </is>
      </c>
      <c r="B40" s="56" t="inlineStr">
        <is>
          <t>Minería informal</t>
        </is>
      </c>
      <c r="C40" s="56" t="inlineStr"/>
      <c r="D40" s="56" t="inlineStr"/>
      <c r="E40" s="56" t="inlineStr"/>
      <c r="F40" s="56" t="inlineStr"/>
      <c r="G40" s="56" t="inlineStr"/>
    </row>
    <row r="41">
      <c r="A41" s="55" t="inlineStr">
        <is>
          <t>11</t>
        </is>
      </c>
      <c r="B41" s="55" t="inlineStr">
        <is>
          <t>Extracción de áridos (cauces)</t>
        </is>
      </c>
      <c r="C41" s="55" t="inlineStr"/>
      <c r="D41" s="55" t="inlineStr"/>
      <c r="E41" s="55" t="inlineStr"/>
      <c r="F41" s="55" t="inlineStr"/>
      <c r="G41" s="55" t="inlineStr"/>
    </row>
    <row r="42">
      <c r="A42" s="56" t="inlineStr">
        <is>
          <t>12</t>
        </is>
      </c>
      <c r="B42" s="56" t="inlineStr">
        <is>
          <t>Especies invasoras</t>
        </is>
      </c>
      <c r="C42" s="56" t="inlineStr"/>
      <c r="D42" s="56" t="inlineStr"/>
      <c r="E42" s="56" t="inlineStr"/>
      <c r="F42" s="56" t="inlineStr"/>
      <c r="G42" s="56" t="inlineStr"/>
    </row>
    <row r="43">
      <c r="A43" s="55" t="inlineStr">
        <is>
          <t>13</t>
        </is>
      </c>
      <c r="B43" s="55" t="inlineStr">
        <is>
          <t>Erosión natural severa</t>
        </is>
      </c>
      <c r="C43" s="55" t="inlineStr"/>
      <c r="D43" s="55" t="inlineStr"/>
      <c r="E43" s="55" t="inlineStr"/>
      <c r="F43" s="55" t="inlineStr"/>
      <c r="G43" s="55" t="inlineStr"/>
    </row>
    <row r="44">
      <c r="A44" s="56" t="inlineStr">
        <is>
          <t>14</t>
        </is>
      </c>
      <c r="B44" s="56" t="inlineStr">
        <is>
          <t>Sequía prolongada / CC</t>
        </is>
      </c>
      <c r="C44" s="56" t="inlineStr"/>
      <c r="D44" s="56" t="inlineStr"/>
      <c r="E44" s="56" t="inlineStr"/>
      <c r="F44" s="56" t="inlineStr"/>
      <c r="G44" s="56" t="inlineStr"/>
    </row>
    <row r="45">
      <c r="A45" s="55" t="inlineStr">
        <is>
          <t>15</t>
        </is>
      </c>
      <c r="B45" s="55" t="inlineStr">
        <is>
          <t>Plagas o enfermedades forestales</t>
        </is>
      </c>
      <c r="C45" s="55" t="inlineStr"/>
      <c r="D45" s="55" t="inlineStr"/>
      <c r="E45" s="55" t="inlineStr"/>
      <c r="F45" s="55" t="inlineStr"/>
      <c r="G45" s="55" t="inlineStr"/>
    </row>
    <row r="46">
      <c r="A46" s="56" t="inlineStr">
        <is>
          <t>16</t>
        </is>
      </c>
      <c r="B46" s="56" t="inlineStr">
        <is>
          <t>Otro</t>
        </is>
      </c>
      <c r="C46" s="56" t="inlineStr"/>
      <c r="D46" s="56" t="inlineStr"/>
      <c r="E46" s="56" t="inlineStr"/>
      <c r="F46" s="56" t="inlineStr"/>
      <c r="G46" s="56" t="inlineStr"/>
    </row>
    <row r="48">
      <c r="A48" s="53" t="inlineStr">
        <is>
          <t>F-DT-04 · INDICADORES CUANTITATIVOS</t>
        </is>
      </c>
    </row>
    <row r="49">
      <c r="A49" s="54" t="inlineStr">
        <is>
          <t>N.o</t>
        </is>
      </c>
      <c r="B49" s="54" t="inlineStr">
        <is>
          <t>Indicador</t>
        </is>
      </c>
      <c r="C49" s="54" t="inlineStr">
        <is>
          <t>Unidad</t>
        </is>
      </c>
      <c r="D49" s="54" t="inlineStr">
        <is>
          <t>Valor</t>
        </is>
      </c>
      <c r="E49" s="54" t="inlineStr">
        <is>
          <t>Fuente</t>
        </is>
      </c>
      <c r="F49" s="54" t="inlineStr">
        <is>
          <t>Umbral</t>
        </is>
      </c>
      <c r="G49" s="54" t="inlineStr">
        <is>
          <t>Nivel</t>
        </is>
      </c>
    </row>
    <row r="50">
      <c r="A50" s="55" t="inlineStr">
        <is>
          <t>1</t>
        </is>
      </c>
      <c r="B50" s="55" t="inlineStr">
        <is>
          <t>Cobertura vegetal total</t>
        </is>
      </c>
      <c r="C50" s="55" t="inlineStr">
        <is>
          <t>%</t>
        </is>
      </c>
      <c r="D50" s="55" t="inlineStr">
        <is>
          <t>90</t>
        </is>
      </c>
      <c r="E50" s="55" t="inlineStr">
        <is>
          <t>Estimación visual de campo</t>
        </is>
      </c>
      <c r="F50" s="55" t="inlineStr">
        <is>
          <t>&gt;60% bueno; 30-60% medio; &lt;30% malo</t>
        </is>
      </c>
      <c r="G50" s="55" t="inlineStr">
        <is>
          <t>Alto</t>
        </is>
      </c>
    </row>
    <row r="51">
      <c r="A51" s="56" t="inlineStr">
        <is>
          <t>2</t>
        </is>
      </c>
      <c r="B51" s="56" t="inlineStr">
        <is>
          <t>Porcentaje de suelo desnudo</t>
        </is>
      </c>
      <c r="C51" s="56" t="inlineStr">
        <is>
          <t>%</t>
        </is>
      </c>
      <c r="D51" s="56" t="inlineStr">
        <is>
          <t>5</t>
        </is>
      </c>
      <c r="E51" s="56" t="inlineStr">
        <is>
          <t>Estimación visual de campo</t>
        </is>
      </c>
      <c r="F51" s="56" t="inlineStr">
        <is>
          <t>&lt;10% bueno; 10-30% medio; &gt;30% malo</t>
        </is>
      </c>
      <c r="G51" s="56" t="inlineStr">
        <is>
          <t>Bajo</t>
        </is>
      </c>
    </row>
    <row r="52">
      <c r="A52" s="55" t="inlineStr">
        <is>
          <t>3</t>
        </is>
      </c>
      <c r="B52" s="55" t="inlineStr">
        <is>
          <t>Densidad de cárcavas</t>
        </is>
      </c>
      <c r="C52" s="55" t="inlineStr">
        <is>
          <t>N°/ha</t>
        </is>
      </c>
      <c r="D52" s="55" t="inlineStr">
        <is>
          <t>1</t>
        </is>
      </c>
      <c r="E52" s="55" t="inlineStr">
        <is>
          <t>Estimación visual de campo</t>
        </is>
      </c>
      <c r="F52" s="55" t="inlineStr">
        <is>
          <t>0 nulo; 1-3 medio; &gt;3 alto</t>
        </is>
      </c>
      <c r="G52" s="55" t="inlineStr">
        <is>
          <t>Bajo</t>
        </is>
      </c>
    </row>
    <row r="53">
      <c r="A53" s="56" t="inlineStr">
        <is>
          <t>4</t>
        </is>
      </c>
      <c r="B53" s="56" t="inlineStr">
        <is>
          <t>Presencia de especies invasoras</t>
        </is>
      </c>
      <c r="C53" s="56" t="inlineStr">
        <is>
          <t>% área</t>
        </is>
      </c>
      <c r="D53" s="56" t="inlineStr">
        <is>
          <t>0</t>
        </is>
      </c>
      <c r="E53" s="56" t="inlineStr">
        <is>
          <t>Estimación visual de campo</t>
        </is>
      </c>
      <c r="F53" s="56" t="inlineStr">
        <is>
          <t>&lt;5% bueno; 5-20% medio; &gt;20% alto</t>
        </is>
      </c>
      <c r="G53" s="56" t="inlineStr">
        <is>
          <t>Bajo</t>
        </is>
      </c>
    </row>
    <row r="54">
      <c r="A54" s="55" t="inlineStr">
        <is>
          <t>5</t>
        </is>
      </c>
      <c r="B54" s="55" t="inlineStr">
        <is>
          <t>Carga ganadera estimada</t>
        </is>
      </c>
      <c r="C54" s="55" t="inlineStr">
        <is>
          <t>UA/ha</t>
        </is>
      </c>
      <c r="D54" s="55" t="inlineStr">
        <is>
          <t>3</t>
        </is>
      </c>
      <c r="E54" s="55" t="inlineStr">
        <is>
          <t>Estimación visual de campo</t>
        </is>
      </c>
      <c r="F54" s="55" t="inlineStr">
        <is>
          <t>Según tipo de ecosistema</t>
        </is>
      </c>
      <c r="G54" s="55" t="inlineStr">
        <is>
          <t>Medio</t>
        </is>
      </c>
    </row>
    <row r="55">
      <c r="A55" s="56" t="inlineStr">
        <is>
          <t>6</t>
        </is>
      </c>
      <c r="B55" s="56" t="inlineStr">
        <is>
          <t>Frecuencia de quemas últimos 5 años</t>
        </is>
      </c>
      <c r="C55" s="56" t="inlineStr">
        <is>
          <t>N°</t>
        </is>
      </c>
      <c r="D55" s="56" t="inlineStr">
        <is>
          <t>1</t>
        </is>
      </c>
      <c r="E55" s="56" t="inlineStr">
        <is>
          <t>Estimación visual de campo</t>
        </is>
      </c>
      <c r="F55" s="56" t="inlineStr">
        <is>
          <t>0 nulo; 1-2 medio; &gt;2 alto</t>
        </is>
      </c>
      <c r="G55" s="56" t="inlineStr">
        <is>
          <t>Medio</t>
        </is>
      </c>
    </row>
    <row r="56">
      <c r="A56" s="55" t="inlineStr">
        <is>
          <t>7</t>
        </is>
      </c>
      <c r="B56" s="55" t="inlineStr">
        <is>
          <t>% área con pendiente &gt;50%</t>
        </is>
      </c>
      <c r="C56" s="55" t="inlineStr">
        <is>
          <t>%</t>
        </is>
      </c>
      <c r="D56" s="55" t="inlineStr">
        <is>
          <t>10</t>
        </is>
      </c>
      <c r="E56" s="55" t="inlineStr">
        <is>
          <t>Estimación visual de campo</t>
        </is>
      </c>
      <c r="F56" s="55" t="inlineStr">
        <is>
          <t>Factor de susceptibilidad</t>
        </is>
      </c>
      <c r="G56" s="55" t="inlineStr">
        <is>
          <t>Bajo</t>
        </is>
      </c>
    </row>
    <row r="57">
      <c r="A57" s="56" t="inlineStr">
        <is>
          <t>8</t>
        </is>
      </c>
      <c r="B57" s="56" t="inlineStr">
        <is>
          <t>Distancia a vía vecinal más cercana</t>
        </is>
      </c>
      <c r="C57" s="56" t="inlineStr">
        <is>
          <t>m</t>
        </is>
      </c>
      <c r="D57" s="56" t="inlineStr">
        <is>
          <t>180</t>
        </is>
      </c>
      <c r="E57" s="56" t="inlineStr">
        <is>
          <t>Estimación visual de campo</t>
        </is>
      </c>
      <c r="F57" s="56" t="inlineStr">
        <is>
          <t>A menor distancia → mayor presión</t>
        </is>
      </c>
      <c r="G57" s="56" t="inlineStr">
        <is>
          <t>Alto</t>
        </is>
      </c>
    </row>
    <row r="59">
      <c r="A59" s="53" t="inlineStr">
        <is>
          <t>F-DT-05 · FUENTES DE AGUA INVENTARIADAS</t>
        </is>
      </c>
    </row>
    <row r="60">
      <c r="A60" s="54" t="inlineStr">
        <is>
          <t>N.o</t>
        </is>
      </c>
      <c r="B60" s="54" t="inlineStr">
        <is>
          <t>Tipo de fuente</t>
        </is>
      </c>
      <c r="C60" s="54" t="inlineStr">
        <is>
          <t>UTM ESTE</t>
        </is>
      </c>
      <c r="D60" s="54" t="inlineStr">
        <is>
          <t>UTM NORTE</t>
        </is>
      </c>
      <c r="E60" s="54" t="inlineStr">
        <is>
          <t>Régimen</t>
        </is>
      </c>
      <c r="F60" s="54" t="inlineStr">
        <is>
          <t>Calidad</t>
        </is>
      </c>
      <c r="G60" s="54" t="inlineStr">
        <is>
          <t>Distancia (m)</t>
        </is>
      </c>
      <c r="H60" s="54" t="inlineStr">
        <is>
          <t>Uso / observación</t>
        </is>
      </c>
    </row>
    <row r="63">
      <c r="A63" s="53" t="inlineStr">
        <is>
          <t>OBSERVACIONES DEL EVALUADOR POR FICHA</t>
        </is>
      </c>
    </row>
    <row r="64">
      <c r="A64" s="54" t="inlineStr">
        <is>
          <t>Ficha</t>
        </is>
      </c>
      <c r="B64" s="54" t="inlineStr">
        <is>
          <t>Observación registrada en campo</t>
        </is>
      </c>
    </row>
    <row r="65">
      <c r="A65" s="55" t="inlineStr">
        <is>
          <t>F-DT-01</t>
        </is>
      </c>
      <c r="B65" s="55" t="inlineStr">
        <is>
          <t>Registro de campo (03-07-2026): el bloque está conformado por un conjunto de laderas de colina baja, con pendientes inferiores al 30% y altitud media aproximada de 250 msnm. Por su extensión y topografía accidentada, el área presenta diversas quebradas que canalizan el agua de lluvia hacia el sector del centro poblado; el flujo atraviesa la vía afirmada mediante badenes, continúa por parcelas de cultivo y desemboca en la quebrada colectora principal. En las zonas de pendiente se observa presencia de piedras de tamaño pequeño a mediano; no se detectaron surcos significativos ni cárcavas en formación evidente. Se evidenció erosión laminar y eólica causada por el pastoreo de ganado vacuno y caprino. Asimismo, se observaron caminos de herradura marcados por el tránsito de personas y ganado, que contribuyen a la erosión del suelo. || GABINETE (DEM): rango altitudinal 147–265 msnm; pendiente promedio del bloque 10.17% (clase 8–15%, moderadamente inclinado). || INCONSISTENCIAS DETECTADAS: (1) las coordenadas UTM del punto de muestreo consignadas en el aplicativo (E 645,575 / N 9,393,500) se ubican a ~78 km del ámbito del bloque (centroide E 595,552 / N 9,451,222) y coinciden con las registradas para M17B4; NO SE CONSIGNAN, POR VERIFICAR con el GPS de brigada. (2) La microcuenca registrada en la sección DT (C1076-Q9584) difiere de la del bloque según catálogo (C1096-Q9545). (3) El rango de pendiente dominante de campo (15–25%) es superior a la pendiente media DEM (10.17%); se conserva el valor de campo por corresponder al recorrido efectivo. || PARÁMETROS GEOESPACIALES DEL BLOQUE (gabinete): rango altitudinal 147–265 msnm; pendiente promedio 10.17%; MSAVI medio 2024 = 0.3143; área 355.36 ha; microcuenca C1096-Q9545; zona Z01; centroide E 595,552 / N 9,451,222 (UTM WGS84 17S).</t>
        </is>
      </c>
    </row>
    <row r="66">
      <c r="A66" s="56" t="inlineStr">
        <is>
          <t>F-DT-02</t>
        </is>
      </c>
      <c r="B66" s="56" t="inlineStr">
        <is>
          <t>FICHA F-DT-02 NO REGISTRADA EN CAMPO. Los campos de procesos erosivos se dejan vacíos para no introducir valores no verificados. Evidencia disponible en otras fichas: F-DT-01 consigna erosión laminar y eólica asociada a pastoreo y caminos de herradura, sin surcos significativos ni cárcavas en formación evidente; F-DT-04 registra densidad de cárcavas de 1 N°/ha (nivel Bajo) y 10% del área con pendiente &gt;50%. PENDIENTE: levantamiento de F-DT-02 e inventario georreferenciado de cárcavas en la siguiente salida de campo.</t>
        </is>
      </c>
    </row>
    <row r="67">
      <c r="A67" s="55" t="inlineStr">
        <is>
          <t>F-DT-04</t>
        </is>
      </c>
      <c r="B67" s="55" t="inlineStr">
        <is>
          <t>Recomendación de campo: redelimitar el bloque priorizando las áreas próximas al centro poblado y desestimando las áreas de la parte alta de la colina, donde el ecosistema se encuentra conservado. || OBSERVACIÓN TÉCNICA: el indicador 1 (cobertura vegetal total 90%) fue calificado con nivel 'Alto'; según el umbral de la propia ficha (&gt;60% = bueno) correspondería nivel 'Bajo' de degradación. Se consigna el valor tal como fue registrado en campo y se solicita revisión del criterio de calificación. || MSAVI medio 2024 del bloque: 0.3143 (el segundo más bajo de los cinco bloques analizados), consistente con una condición de cobertura rala y presión de pastoreo.</t>
        </is>
      </c>
    </row>
    <row r="68">
      <c r="A68" s="56" t="inlineStr">
        <is>
          <t>F-DT-05</t>
        </is>
      </c>
      <c r="B68" s="56" t="inlineStr">
        <is>
          <t>No se registró inventario de fuentes de agua en campo. F-DT-01 consigna que el bloque presenta diversas quebradas que canalizan el agua de lluvia hacia el sector del centro poblado, atravesando la vía afirmada mediante badenes: indicio de ESCORRENTÍA CONCENTRADA ESTACIONAL, no formalizado en F-DT-05. || El diagnóstico social F-DS-01 (09-07-2026, Leslie Carrión Lastra) registra para el CP La Peña sistema de agua potable tipo JASS con cobertura 100%; el nombre y la ubicación de la captación NO fueron consignados. || POR VERIFICAR EN CAMPO: inventario georreferenciado de manantiales y quebradas, condición de zona de recarga, distancia y nombre de la captación poblacional (JASS), interferencia con obras de riego y requerimiento de autorización de Ronda Campesina.</t>
        </is>
      </c>
    </row>
  </sheetData>
  <mergeCells count="5">
    <mergeCell ref="A2:I2"/>
    <mergeCell ref="A5:I5"/>
    <mergeCell ref="A1:I1"/>
    <mergeCell ref="A3:I3"/>
    <mergeCell ref="A4:I4"/>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5"/>
  <cols>
    <col width="44" customWidth="1" min="1" max="1"/>
    <col width="18" customWidth="1" min="2" max="2"/>
  </cols>
  <sheetData>
    <row r="1">
      <c r="A1" s="50" t="inlineStr">
        <is>
          <t>AUTORIDAD NACIONAL DE INFRAESTRUCTURA - ANIN</t>
        </is>
      </c>
    </row>
    <row r="2">
      <c r="A2" s="50" t="inlineStr">
        <is>
          <t>DIRECCION DE INTERVENCIONES MULTISECTORIALES Y DE EMERGENCIA - DIME</t>
        </is>
      </c>
    </row>
    <row r="3">
      <c r="A3" s="50" t="inlineStr">
        <is>
          <t>SUBDIRECCION DE ESTUDIOS DE INVERSION - SESDI</t>
        </is>
      </c>
    </row>
    <row r="4">
      <c r="A4" s="51" t="inlineStr">
        <is>
          <t>PROYECTO IN PIURA | CUI 2669244 | Recuperacion del servicio de regulacion de riesgos naturales y de ecosistemas degradados - Cuenca Alta del Rio Piura</t>
        </is>
      </c>
    </row>
    <row r="5" ht="22" customHeight="1">
      <c r="A5" s="52" t="inlineStr">
        <is>
          <t>GRÁFICOS DE LA INTEGRACIÓN — BLOQUE M9B1</t>
        </is>
      </c>
    </row>
    <row r="7">
      <c r="A7" s="53" t="inlineStr">
        <is>
          <t>Hechos declarados por fuente</t>
        </is>
      </c>
    </row>
    <row r="8">
      <c r="A8" s="54" t="inlineStr">
        <is>
          <t>Fuente</t>
        </is>
      </c>
      <c r="B8" s="54" t="inlineStr">
        <is>
          <t>Hechos</t>
        </is>
      </c>
    </row>
    <row r="9">
      <c r="A9" s="55" t="inlineStr">
        <is>
          <t>Dato de campo</t>
        </is>
      </c>
      <c r="B9" s="55" t="n">
        <v>50</v>
      </c>
    </row>
    <row r="10">
      <c r="A10" s="56" t="inlineStr">
        <is>
          <t>Gabinete (GIS / teledetección)</t>
        </is>
      </c>
      <c r="B10" s="56" t="n">
        <v>28</v>
      </c>
    </row>
    <row r="11">
      <c r="A11" s="55" t="inlineStr">
        <is>
          <t>Fuente oficial</t>
        </is>
      </c>
      <c r="B11" s="55" t="n">
        <v>14</v>
      </c>
    </row>
    <row r="28">
      <c r="A28" s="53" t="inlineStr">
        <is>
          <t>Estado del cruce entre fuentes</t>
        </is>
      </c>
    </row>
    <row r="29">
      <c r="A29" s="54" t="inlineStr">
        <is>
          <t>Estado</t>
        </is>
      </c>
      <c r="B29" s="54" t="inlineStr">
        <is>
          <t>Hechos</t>
        </is>
      </c>
    </row>
    <row r="30">
      <c r="A30" s="55" t="inlineStr">
        <is>
          <t>CONFORME</t>
        </is>
      </c>
      <c r="B30" s="55" t="n">
        <v>85</v>
      </c>
    </row>
    <row r="31">
      <c r="A31" s="56" t="inlineStr">
        <is>
          <t>COMPLEMENTADO</t>
        </is>
      </c>
      <c r="B31" s="56" t="n">
        <v>5</v>
      </c>
    </row>
    <row r="32">
      <c r="A32" s="55" t="inlineStr">
        <is>
          <t>ACTUALIZADO</t>
        </is>
      </c>
      <c r="B32" s="55" t="n">
        <v>2</v>
      </c>
    </row>
    <row r="33">
      <c r="A33" s="56" t="inlineStr">
        <is>
          <t>DISCREPANTE</t>
        </is>
      </c>
      <c r="B33" s="56" t="n">
        <v>0</v>
      </c>
    </row>
    <row r="34">
      <c r="A34" s="55" t="inlineStr">
        <is>
          <t>PENDIENTE</t>
        </is>
      </c>
      <c r="B34" s="55" t="n">
        <v>22</v>
      </c>
    </row>
    <row r="51">
      <c r="A51" s="53" t="inlineStr">
        <is>
          <t>Cobertura por estrato — campo (%)</t>
        </is>
      </c>
    </row>
    <row r="52">
      <c r="A52" s="54" t="inlineStr">
        <is>
          <t>Estrato</t>
        </is>
      </c>
      <c r="B52" s="54" t="inlineStr">
        <is>
          <t>% del área</t>
        </is>
      </c>
    </row>
    <row r="53">
      <c r="A53" s="55" t="inlineStr">
        <is>
          <t>Dosel</t>
        </is>
      </c>
      <c r="B53" s="60" t="n">
        <v>90</v>
      </c>
    </row>
    <row r="54">
      <c r="A54" s="56" t="inlineStr">
        <is>
          <t>Arbustiva</t>
        </is>
      </c>
      <c r="B54" s="62" t="n">
        <v>15</v>
      </c>
    </row>
    <row r="55">
      <c r="A55" s="55" t="inlineStr">
        <is>
          <t>Herbácea</t>
        </is>
      </c>
      <c r="B55" s="60" t="n">
        <v>10</v>
      </c>
    </row>
    <row r="56">
      <c r="A56" s="56" t="inlineStr">
        <is>
          <t>Hojarasca</t>
        </is>
      </c>
      <c r="B56" s="63" t="n">
        <v>5</v>
      </c>
    </row>
    <row r="57">
      <c r="A57" s="55" t="inlineStr">
        <is>
          <t>Suelo desnudo</t>
        </is>
      </c>
      <c r="B57" s="60" t="n">
        <v>10</v>
      </c>
    </row>
    <row r="74">
      <c r="A74" s="53" t="inlineStr">
        <is>
          <t>Causas activas de degradación (F-DT-04)</t>
        </is>
      </c>
    </row>
    <row r="75">
      <c r="A75" s="54" t="inlineStr">
        <is>
          <t>Causa</t>
        </is>
      </c>
      <c r="B75" s="54" t="inlineStr">
        <is>
          <t>Intensidad (1 ligera - 4 muy fuerte)</t>
        </is>
      </c>
    </row>
    <row r="76">
      <c r="A76" s="55" t="inlineStr">
        <is>
          <t>Cambio de uso a pastoreo</t>
        </is>
      </c>
      <c r="B76" s="55" t="n">
        <v>2</v>
      </c>
    </row>
    <row r="77">
      <c r="A77" s="56" t="inlineStr">
        <is>
          <t>Sobrepastoreo (caprino/vacuno)</t>
        </is>
      </c>
      <c r="B77" s="56" t="n">
        <v>2</v>
      </c>
    </row>
    <row r="78">
      <c r="A78" s="55" t="inlineStr">
        <is>
          <t>Tala para leña</t>
        </is>
      </c>
      <c r="B78" s="55" t="n">
        <v>2</v>
      </c>
    </row>
    <row r="95">
      <c r="A95" s="53" t="inlineStr">
        <is>
          <t>Control de consistencia por calificación</t>
        </is>
      </c>
    </row>
    <row r="96">
      <c r="A96" s="54" t="inlineStr">
        <is>
          <t>Calificación</t>
        </is>
      </c>
      <c r="B96" s="54" t="inlineStr">
        <is>
          <t>Verificaciones</t>
        </is>
      </c>
    </row>
    <row r="97">
      <c r="A97" s="55" t="inlineStr">
        <is>
          <t>SUSTANTIVA</t>
        </is>
      </c>
      <c r="B97" s="55" t="n">
        <v>10</v>
      </c>
    </row>
    <row r="98">
      <c r="A98" s="56" t="inlineStr">
        <is>
          <t>NO SUSTANTIVA</t>
        </is>
      </c>
      <c r="B98" s="56" t="n">
        <v>2</v>
      </c>
    </row>
    <row r="99">
      <c r="A99" s="55" t="inlineStr">
        <is>
          <t>CORREGIDO</t>
        </is>
      </c>
      <c r="B99" s="55" t="n">
        <v>3</v>
      </c>
    </row>
    <row r="100">
      <c r="A100" s="56" t="inlineStr">
        <is>
          <t>CONFORME</t>
        </is>
      </c>
      <c r="B100" s="56" t="n">
        <v>11</v>
      </c>
    </row>
  </sheetData>
  <mergeCells count="5">
    <mergeCell ref="A1:H1"/>
    <mergeCell ref="A4:H4"/>
    <mergeCell ref="A3:H3"/>
    <mergeCell ref="A2:H2"/>
    <mergeCell ref="A5:H5"/>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M9B1 — IN Piura</dc:title>
  <dc:subject>Diagnóstico Territorial por bloque de intervención</dc:subject>
  <dcterms:created xsi:type="dcterms:W3CDTF">2026-09-08T03:39:59Z</dcterms:created>
  <dcterms:modified xsi:type="dcterms:W3CDTF">2026-09-11T20:22:41Z</dcterms:modified>
</cp:coreProperties>
</file>