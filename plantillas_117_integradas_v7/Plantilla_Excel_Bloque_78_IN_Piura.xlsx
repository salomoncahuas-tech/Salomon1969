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78</t>
        </is>
      </c>
    </row>
    <row r="6" ht="24" customHeight="1">
      <c r="A6" s="4" t="inlineStr">
        <is>
          <t>Diagnóstico Territorial — Plantilla DT Campo Check Validada V5 | Sistema de referencia: UTM WGS 84 Zona 17S (EPSG:32717) · Integrado con la ficha de campo F-DT vigente (Plantilla_DT_Campo_Bloque78_V5.xlsx) — V7 - resumen V6 + campo F-DT integrado</t>
        </is>
      </c>
    </row>
    <row r="7"/>
    <row r="8" ht="18" customHeight="1">
      <c r="A8" s="5" t="inlineStr">
        <is>
          <t>1. IDENTIFICACIÓN Y LOCALIZACIÓN</t>
        </is>
      </c>
    </row>
    <row r="9">
      <c r="A9" s="6" t="inlineStr">
        <is>
          <t>Código del bloque</t>
        </is>
      </c>
      <c r="B9" s="7" t="inlineStr">
        <is>
          <t>78</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Tasajeras</t>
        </is>
      </c>
      <c r="C13" s="6" t="inlineStr">
        <is>
          <t>Comunidad campesina</t>
        </is>
      </c>
      <c r="D13" s="7" t="inlineStr">
        <is>
          <t>No aplica (predios de propiedad privada)</t>
        </is>
      </c>
      <c r="E13" s="8" t="n"/>
      <c r="F13" s="8" t="n"/>
    </row>
    <row r="14">
      <c r="A14" s="6" t="inlineStr">
        <is>
          <t>Superficie de catálogo (V5/V6), ha</t>
        </is>
      </c>
      <c r="B14" s="7" t="n">
        <v>35.1</v>
      </c>
      <c r="C14" s="6" t="inlineStr">
        <is>
          <t>Fuente de superficie</t>
        </is>
      </c>
      <c r="D14" s="7" t="inlineStr">
        <is>
          <t>Catálogo maestro Bloques V5/V6</t>
        </is>
      </c>
      <c r="E14" s="8" t="n"/>
      <c r="F14" s="8" t="n"/>
    </row>
    <row r="15">
      <c r="A15" s="6" t="inlineStr">
        <is>
          <t>Centroide UTM ESTE (m)</t>
        </is>
      </c>
      <c r="B15" s="7" t="n">
        <v>619630</v>
      </c>
      <c r="C15" s="6" t="inlineStr">
        <is>
          <t>Centroide UTM NORTE (m)</t>
        </is>
      </c>
      <c r="D15" s="7" t="n">
        <v>9440043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1908</v>
      </c>
      <c r="C19" s="6" t="inlineStr">
        <is>
          <t>Altitud máxima (msnm)</t>
        </is>
      </c>
      <c r="D19" s="7" t="n">
        <v>2236</v>
      </c>
      <c r="E19" s="8" t="n"/>
      <c r="F19" s="8" t="n"/>
    </row>
    <row r="20">
      <c r="A20" s="6" t="inlineStr">
        <is>
          <t>Amplitud altitudinal (m)</t>
        </is>
      </c>
      <c r="B20" s="7" t="n">
        <v>328</v>
      </c>
      <c r="C20" s="6" t="inlineStr">
        <is>
          <t>Piso altitudinal dominante</t>
        </is>
      </c>
      <c r="D20" s="7" t="inlineStr">
        <is>
          <t>2000-2500 m (Quechua alta)</t>
        </is>
      </c>
      <c r="E20" s="8" t="n"/>
      <c r="F20" s="8" t="n"/>
    </row>
    <row r="21">
      <c r="A21" s="6" t="inlineStr">
        <is>
          <t>Pendiente promedio (%)</t>
        </is>
      </c>
      <c r="B21" s="7" t="n">
        <v>30.64</v>
      </c>
      <c r="C21" s="6" t="inlineStr">
        <is>
          <t>Pendiente promedio (grados)</t>
        </is>
      </c>
      <c r="D21" s="7" t="n">
        <v>17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0.7074</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(89.33 %)</t>
        </is>
      </c>
      <c r="E29" s="8" t="n"/>
      <c r="F29" s="8" t="n"/>
    </row>
    <row r="30">
      <c r="A30" s="6" t="inlineStr">
        <is>
          <t>Superficie clasificada NDVI 2025 (ha)</t>
        </is>
      </c>
      <c r="B30" s="7" t="n">
        <v>35.116</v>
      </c>
      <c r="C30" s="6" t="inlineStr">
        <is>
          <t>Desviación frente al catálogo (%)</t>
        </is>
      </c>
      <c r="D30" s="7" t="n">
        <v>0.04</v>
      </c>
      <c r="E30" s="8" t="n"/>
      <c r="F30" s="8" t="n"/>
    </row>
    <row r="31">
      <c r="A31" s="6" t="inlineStr">
        <is>
          <t>Superficie clasificada MSAVI 2024 (ha)</t>
        </is>
      </c>
      <c r="B31" s="39" t="n">
        <v>35.1</v>
      </c>
      <c r="C31" s="6" t="inlineStr">
        <is>
          <t>Desviación MSAVI frente al catálogo (%)</t>
        </is>
      </c>
      <c r="D31" s="40" t="n">
        <v>0</v>
      </c>
      <c r="E31" s="8" t="n"/>
      <c r="F31" s="8" t="n"/>
    </row>
    <row r="32">
      <c r="A32" s="6" t="inlineStr">
        <is>
          <t>Superficie bajo umbral MSAVI 0.4976 (ha)</t>
        </is>
      </c>
      <c r="B32" s="39" t="n">
        <v>0.62</v>
      </c>
      <c r="C32" s="6" t="inlineStr">
        <is>
          <t>% del bloque bajo umbral (brecha espectral)</t>
        </is>
      </c>
      <c r="D32" s="40" t="n">
        <v>1.77</v>
      </c>
      <c r="E32" s="8" t="n"/>
      <c r="F32" s="8" t="n"/>
    </row>
    <row r="33">
      <c r="A33" s="6" t="inlineStr">
        <is>
          <t>Clase DN dominante (MSAVI 2024)</t>
        </is>
      </c>
      <c r="B33" s="7" t="inlineStr">
        <is>
          <t>DN 5 · &gt; 0.6139 (Vigor alto)</t>
        </is>
      </c>
      <c r="C33" s="6" t="inlineStr">
        <is>
          <t>N.° de polígonos MSAVI del bloque</t>
        </is>
      </c>
      <c r="D33" s="41" t="n">
        <v>44</v>
      </c>
      <c r="E33" s="8" t="n"/>
      <c r="F33" s="8" t="n"/>
    </row>
    <row r="34"/>
    <row r="35" ht="18" customHeight="1">
      <c r="A35" s="5" t="inlineStr">
        <is>
          <t>4. ECOSISTEMA Y ESTADO DE CONSERVACIÓN</t>
        </is>
      </c>
    </row>
    <row r="36">
      <c r="A36" s="6" t="inlineStr">
        <is>
          <t>Tipo de ecosistema (UP)</t>
        </is>
      </c>
      <c r="B36" s="7" t="inlineStr">
        <is>
          <t>Matorral Andino húmedo (con mosaico de zona agrícola, según Intersecc_BloquesV4_Ecosistemas)</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inlineStr">
        <is>
          <t>Por determinar</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1" t="inlineStr">
        <is>
          <t>Ing. H.S. Cahuas M.; Ing. P. Talledo H.; Ing. J.C. Domínguez V.</t>
        </is>
      </c>
      <c r="C44" s="6" t="inlineStr">
        <is>
          <t>Fecha de evaluación</t>
        </is>
      </c>
      <c r="D44" s="7" t="inlineStr">
        <is>
          <t>2026-06-17</t>
        </is>
      </c>
      <c r="E44" s="8" t="n"/>
      <c r="F44" s="8" t="n"/>
    </row>
    <row r="45">
      <c r="A45" s="6" t="inlineStr">
        <is>
          <t>Hora de registro</t>
        </is>
      </c>
      <c r="B45" s="51" t="inlineStr">
        <is>
          <t>11:10 a.m. – 12:07 p.m.</t>
        </is>
      </c>
      <c r="C45" s="6" t="inlineStr">
        <is>
          <t>Correlativo de ficha</t>
        </is>
      </c>
      <c r="D45" s="7" t="inlineStr">
        <is>
          <t>DT-78-01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Reconocimiento por transecto (recorrido GPS Garmin 66sr); sin parcela fija establecida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de subsistencia sobre laderas de fuerte pendiente, sin prácticas de conservación de suelos</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29.6353</v>
      </c>
      <c r="C10" s="31">
        <f>ROUND(B10/$B$15*100,2)</f>
        <v/>
      </c>
      <c r="D10" s="12" t="inlineStr">
        <is>
          <t>Vigor alto</t>
        </is>
      </c>
      <c r="E10" s="12" t="inlineStr">
        <is>
          <t>Sobre umbral</t>
        </is>
      </c>
    </row>
    <row r="11">
      <c r="A11" s="13" t="inlineStr">
        <is>
          <t>0.4976 - 0.6139 · DN 4</t>
        </is>
      </c>
      <c r="B11" s="20" t="n">
        <v>4.8451</v>
      </c>
      <c r="C11" s="21">
        <f>ROUND(B11/$B$15*100,2)</f>
        <v/>
      </c>
      <c r="D11" s="14" t="inlineStr">
        <is>
          <t>Vigor moderado</t>
        </is>
      </c>
      <c r="E11" s="14" t="inlineStr">
        <is>
          <t>Sobre umbral</t>
        </is>
      </c>
    </row>
    <row r="12">
      <c r="A12" s="7" t="inlineStr">
        <is>
          <t>0.3813 - 0.4976 · DN 3</t>
        </is>
      </c>
      <c r="B12" s="18" t="n">
        <v>0.5998</v>
      </c>
      <c r="C12" s="19">
        <f>ROUND(B12/$B$15*100,2)</f>
        <v/>
      </c>
      <c r="D12" s="15" t="inlineStr">
        <is>
          <t>Vigor bajo</t>
        </is>
      </c>
      <c r="E12" s="15" t="inlineStr">
        <is>
          <t>BAJO umbral 0.4976</t>
        </is>
      </c>
    </row>
    <row r="13">
      <c r="A13" s="13" t="inlineStr">
        <is>
          <t>0.2650 - 0.3813 · DN 2</t>
        </is>
      </c>
      <c r="B13" s="20" t="n">
        <v>0.0198</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4" t="inlineStr">
        <is>
          <t>TOTAL CLASIFICADO MSAVI 2024</t>
        </is>
      </c>
      <c r="B15" s="45">
        <f>SUM(B10:B14)</f>
        <v/>
      </c>
      <c r="C15" s="46">
        <f>SUM(C10:C14)</f>
        <v/>
      </c>
      <c r="D15" s="44" t="inlineStr">
        <is>
          <t>Suma de la distribución areal · 44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35.1</v>
      </c>
      <c r="C18" s="50" t="inlineStr">
        <is>
          <t>—</t>
        </is>
      </c>
      <c r="D18" s="47" t="inlineStr">
        <is>
          <t>Desviación planimétrica frente al catálogo</t>
        </is>
      </c>
      <c r="E18" s="47" t="inlineStr">
        <is>
          <t>+0.00 %</t>
        </is>
      </c>
    </row>
    <row r="19">
      <c r="A19" s="16" t="inlineStr">
        <is>
          <t>MSAVI 2024 — MEDIA DEL BLOQUE</t>
        </is>
      </c>
      <c r="B19" s="17" t="n">
        <v>0.707402</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(0.7074)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31.3699</v>
      </c>
      <c r="C25" s="19" t="n">
        <v>89.33</v>
      </c>
      <c r="D25" s="15" t="inlineStr">
        <is>
          <t>Dosel continuo, matorral denso o mosaico agroforestal</t>
        </is>
      </c>
      <c r="E25" s="15" t="inlineStr"/>
    </row>
    <row r="26">
      <c r="A26" s="13" t="inlineStr">
        <is>
          <t>Vegetación mediana</t>
        </is>
      </c>
      <c r="B26" s="20" t="n">
        <v>3.5187</v>
      </c>
      <c r="C26" s="21" t="n">
        <v>10.02</v>
      </c>
      <c r="D26" s="14" t="inlineStr">
        <is>
          <t>Pastizal cultivado, matorral ralo, parcelas agrícolas</t>
        </is>
      </c>
      <c r="E26" s="14" t="inlineStr"/>
    </row>
    <row r="27">
      <c r="A27" s="7" t="inlineStr">
        <is>
          <t>Vegetación ligera</t>
        </is>
      </c>
      <c r="B27" s="18" t="n">
        <v>0.2271</v>
      </c>
      <c r="C27" s="19" t="n">
        <v>0.65</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35.1</v>
      </c>
      <c r="C29" s="25" t="inlineStr">
        <is>
          <t>—</t>
        </is>
      </c>
      <c r="D29" s="25" t="inlineStr">
        <is>
          <t>Desviación planimétrica frente al catálogo</t>
        </is>
      </c>
      <c r="E29" s="25" t="inlineStr">
        <is>
          <t>+0.04 %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89.33 % del polígono clasificado como «Vegetación alta» por el NDVI 2025; la observación de campo corresponde a una parcela o recorrido puntual y no es estadísticamente representativa de las 35.100 ha del bloque.</t>
        </is>
      </c>
      <c r="B31" s="42" t="n"/>
      <c r="C31" s="42" t="n"/>
      <c r="D31" s="42" t="n"/>
      <c r="E31" s="43"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78</t>
        </is>
      </c>
    </row>
    <row r="6" ht="24" customHeight="1">
      <c r="A6" s="4" t="inlineStr">
        <is>
          <t>Levantamiento del 2026-06-17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619630</v>
      </c>
      <c r="D10" s="26" t="n">
        <v>9440043</v>
      </c>
      <c r="E10" s="15" t="n">
        <v>0</v>
      </c>
      <c r="F10" s="15" t="inlineStr"/>
      <c r="G10" s="15" t="inlineStr">
        <is>
          <t>Coordenada consignada en F-DT-01</t>
        </is>
      </c>
    </row>
    <row r="11">
      <c r="A11" s="13" t="inlineStr">
        <is>
          <t>H-01</t>
        </is>
      </c>
      <c r="B11" s="14" t="inlineStr">
        <is>
          <t>Fuente de agua — Manantial / Puquio</t>
        </is>
      </c>
      <c r="C11" s="27" t="n">
        <v>618998</v>
      </c>
      <c r="D11" s="27" t="n">
        <v>9439919</v>
      </c>
      <c r="E11" s="14" t="n">
        <v>644</v>
      </c>
      <c r="F11" s="14" t="inlineStr">
        <is>
          <t>Permanente</t>
        </is>
      </c>
      <c r="G11" s="14" t="inlineStr">
        <is>
          <t>Manantial con captación rústica</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619630</v>
      </c>
      <c r="C14" s="6" t="inlineStr">
        <is>
          <t>Centroide del bloque — UTM NORTE (m)</t>
        </is>
      </c>
      <c r="D14" s="7" t="n">
        <v>9440043</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32"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con COBERTURA VEGETAL DENSA (MSAVI 2024 mayoritariamente &gt;0.61). La inestabilidad observada se concentra en los CORTES DE TALUD DE LA VÍA VECINAL PI-799 (raíces expuestas, erosión incipiente). Se observan rodados/bloques aislados cerca del manantial (no afloramientos de roca). Reptación de suelo y deslizamientos antiguos: NO evidenciados en el recorrido; se mencionan únicamente como posibilidad en laderas sobrepastoreadas (verificación pendiente). Altitud del bloque 1 898-2 207 msnm; pendiente media ~43%, máxima ~54% (perfil Google Earth).</t>
        </is>
      </c>
      <c r="B17" s="42" t="n"/>
      <c r="C17" s="42" t="n"/>
      <c r="D17" s="42" t="n"/>
      <c r="E17" s="42" t="n"/>
      <c r="F17" s="42" t="n"/>
      <c r="G17" s="43"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78</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5" t="inlineStr">
        <is>
          <t>672 – 2244</t>
        </is>
      </c>
      <c r="E10" s="15" t="n">
        <v>1572</v>
      </c>
      <c r="F10" s="15" t="n">
        <v>27.41</v>
      </c>
      <c r="G10" s="18" t="n">
        <v>0.7067</v>
      </c>
      <c r="H10" s="19" t="n">
        <v>99.93000000000001</v>
      </c>
      <c r="I10" s="19" t="n">
        <v>0.07000000000000001</v>
      </c>
    </row>
    <row r="11">
      <c r="A11" s="13" t="inlineStr">
        <is>
          <t>11</t>
        </is>
      </c>
      <c r="B11" s="29" t="n">
        <v>103.95</v>
      </c>
      <c r="C11" s="21" t="n">
        <v>12.17</v>
      </c>
      <c r="D11" s="14" t="inlineStr">
        <is>
          <t>1375 – 1928</t>
        </is>
      </c>
      <c r="E11" s="14" t="n">
        <v>553</v>
      </c>
      <c r="F11" s="14" t="n">
        <v>32.19</v>
      </c>
      <c r="G11" s="20" t="n">
        <v>0.6047</v>
      </c>
      <c r="H11" s="21" t="n">
        <v>75.28</v>
      </c>
      <c r="I11" s="21" t="n">
        <v>11.34</v>
      </c>
    </row>
    <row r="12">
      <c r="A12" s="7" t="inlineStr">
        <is>
          <t>17</t>
        </is>
      </c>
      <c r="B12" s="28" t="n">
        <v>96.08</v>
      </c>
      <c r="C12" s="19" t="n">
        <v>11.25</v>
      </c>
      <c r="D12" s="15" t="inlineStr">
        <is>
          <t>1253 – 1880</t>
        </is>
      </c>
      <c r="E12" s="15" t="n">
        <v>627</v>
      </c>
      <c r="F12" s="15" t="n">
        <v>35.56</v>
      </c>
      <c r="G12" s="18" t="n">
        <v>0.6479</v>
      </c>
      <c r="H12" s="19" t="n">
        <v>88.68000000000001</v>
      </c>
      <c r="I12" s="19" t="n">
        <v>2.09</v>
      </c>
    </row>
    <row r="13">
      <c r="A13" s="13" t="inlineStr">
        <is>
          <t>14</t>
        </is>
      </c>
      <c r="B13" s="29" t="n">
        <v>92.90000000000001</v>
      </c>
      <c r="C13" s="21" t="n">
        <v>10.88</v>
      </c>
      <c r="D13" s="14" t="inlineStr">
        <is>
          <t>87 – 1355</t>
        </is>
      </c>
      <c r="E13" s="14" t="n">
        <v>1268</v>
      </c>
      <c r="F13" s="14" t="n">
        <v>23.75</v>
      </c>
      <c r="G13" s="20" t="n">
        <v>0.5197000000000001</v>
      </c>
      <c r="H13" s="21" t="n">
        <v>58.89</v>
      </c>
      <c r="I13" s="21" t="n">
        <v>39.02</v>
      </c>
    </row>
    <row r="14">
      <c r="A14" s="7" t="inlineStr">
        <is>
          <t>15</t>
        </is>
      </c>
      <c r="B14" s="28" t="n">
        <v>86.15000000000001</v>
      </c>
      <c r="C14" s="19" t="n">
        <v>10.09</v>
      </c>
      <c r="D14" s="15" t="inlineStr">
        <is>
          <t>1199 – 1655</t>
        </is>
      </c>
      <c r="E14" s="15" t="n">
        <v>456</v>
      </c>
      <c r="F14" s="15" t="n">
        <v>26.19</v>
      </c>
      <c r="G14" s="18" t="n">
        <v>0.5605</v>
      </c>
      <c r="H14" s="19" t="n">
        <v>56.47</v>
      </c>
      <c r="I14" s="19" t="n">
        <v>22.48</v>
      </c>
    </row>
    <row r="15">
      <c r="A15" s="13" t="inlineStr">
        <is>
          <t>23</t>
        </is>
      </c>
      <c r="B15" s="29" t="n">
        <v>81.78</v>
      </c>
      <c r="C15" s="21" t="n">
        <v>9.58</v>
      </c>
      <c r="D15" s="14" t="inlineStr">
        <is>
          <t>521 – 973</t>
        </is>
      </c>
      <c r="E15" s="14" t="n">
        <v>452</v>
      </c>
      <c r="F15" s="14" t="n">
        <v>35.28</v>
      </c>
      <c r="G15" s="20" t="n">
        <v>0.5731000000000001</v>
      </c>
      <c r="H15" s="21" t="n">
        <v>47.99</v>
      </c>
      <c r="I15" s="21" t="n">
        <v>18.75</v>
      </c>
    </row>
    <row r="16">
      <c r="A16" s="7" t="inlineStr">
        <is>
          <t>42</t>
        </is>
      </c>
      <c r="B16" s="28" t="n">
        <v>80.62</v>
      </c>
      <c r="C16" s="19" t="n">
        <v>9.44</v>
      </c>
      <c r="D16" s="15" t="inlineStr">
        <is>
          <t>1131 – 1548</t>
        </is>
      </c>
      <c r="E16" s="15" t="n">
        <v>417</v>
      </c>
      <c r="F16" s="15" t="n">
        <v>27.86</v>
      </c>
      <c r="G16" s="18" t="n">
        <v>0.6348</v>
      </c>
      <c r="H16" s="19" t="n">
        <v>88.83</v>
      </c>
      <c r="I16" s="19" t="n">
        <v>5.64</v>
      </c>
    </row>
    <row r="17">
      <c r="A17" s="13" t="inlineStr">
        <is>
          <t>M19B2</t>
        </is>
      </c>
      <c r="B17" s="29" t="n">
        <v>74.37</v>
      </c>
      <c r="C17" s="21" t="n">
        <v>8.710000000000001</v>
      </c>
      <c r="D17" s="14" t="inlineStr">
        <is>
          <t>203 – 523</t>
        </is>
      </c>
      <c r="E17" s="14" t="n">
        <v>320</v>
      </c>
      <c r="F17" s="14" t="n">
        <v>21.71</v>
      </c>
      <c r="G17" s="20" t="n">
        <v>0.4012</v>
      </c>
      <c r="H17" s="21" t="n">
        <v>1.28</v>
      </c>
      <c r="I17" s="21" t="n">
        <v>96.23999999999999</v>
      </c>
    </row>
    <row r="18">
      <c r="A18" s="7" t="inlineStr">
        <is>
          <t>82</t>
        </is>
      </c>
      <c r="B18" s="28" t="n">
        <v>35.66</v>
      </c>
      <c r="C18" s="19" t="n">
        <v>4.18</v>
      </c>
      <c r="D18" s="15" t="inlineStr">
        <is>
          <t>1796 – 2098</t>
        </is>
      </c>
      <c r="E18" s="15" t="n">
        <v>302</v>
      </c>
      <c r="F18" s="15" t="n">
        <v>23.55</v>
      </c>
      <c r="G18" s="18" t="n">
        <v>0.6283</v>
      </c>
      <c r="H18" s="19" t="n">
        <v>90.06999999999999</v>
      </c>
      <c r="I18" s="19" t="n">
        <v>12.67</v>
      </c>
    </row>
    <row r="19">
      <c r="A19" s="11" t="inlineStr">
        <is>
          <t>► 78</t>
        </is>
      </c>
      <c r="B19" s="30" t="n">
        <v>35.1</v>
      </c>
      <c r="C19" s="31" t="n">
        <v>4.11</v>
      </c>
      <c r="D19" s="12" t="inlineStr">
        <is>
          <t>1908 – 2236</t>
        </is>
      </c>
      <c r="E19" s="12" t="n">
        <v>328</v>
      </c>
      <c r="F19" s="12" t="n">
        <v>30.64</v>
      </c>
      <c r="G19" s="32" t="n">
        <v>0.7074</v>
      </c>
      <c r="H19" s="31" t="n">
        <v>89.33</v>
      </c>
      <c r="I19" s="31" t="n">
        <v>1.77</v>
      </c>
    </row>
    <row r="20">
      <c r="A20" s="7" t="inlineStr">
        <is>
          <t>M19B7</t>
        </is>
      </c>
      <c r="B20" s="28" t="n">
        <v>34.17</v>
      </c>
      <c r="C20" s="19" t="n">
        <v>4</v>
      </c>
      <c r="D20" s="15" t="inlineStr">
        <is>
          <t>1213 – 1578</t>
        </is>
      </c>
      <c r="E20" s="15" t="n">
        <v>365</v>
      </c>
      <c r="F20" s="15" t="n">
        <v>28.15</v>
      </c>
      <c r="G20" s="18" t="n">
        <v>0.5919</v>
      </c>
      <c r="H20" s="19" t="n">
        <v>78.52</v>
      </c>
      <c r="I20" s="19" t="n">
        <v>5.85</v>
      </c>
    </row>
    <row r="21">
      <c r="A21" s="13" t="inlineStr">
        <is>
          <t>59</t>
        </is>
      </c>
      <c r="B21" s="29" t="n">
        <v>13.55</v>
      </c>
      <c r="C21" s="21" t="n">
        <v>1.59</v>
      </c>
      <c r="D21" s="14" t="inlineStr">
        <is>
          <t>2045 – 2218</t>
        </is>
      </c>
      <c r="E21" s="14" t="n">
        <v>173</v>
      </c>
      <c r="F21" s="14"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78 ocupa el puesto 10 de 12 por superficie dentro de la microcuenca C1086-Q9570 (4.11 % de las 853.87 ha preliminares de la microcuenca). Su pendiente promedio (30.64 %, clase «25-50% (Mod. escarpado)») es la 9.ª más baja de 12 y se sitúa por encima del promedio de la microcuenca (28.51 %). Su MSAVI 2024 (0.7074) es el 1.º de 12 y queda por encima del promedio local (0.5993). Amplitud altitudinal del bloque: 328 m (1908–2236 msnm). El cuadro conserva todos los bloques catalogados en la microcuenca, incluidos los descartados en el tamizaje, para referencia del conjunto. Los bloques sin ficha DT figuran con sus parámetros de gabinete. BRECHA ESPECTRAL. El 1.77 % de la superficie del bloque (0.620 ha de 35.100 ha) se sitúa bajo el umbral MSAVI 0.4976, por debajo del promedio local de la microcuenca (19.14 %) calculado sobre los bloques con dato MSAVI disponible.</t>
        </is>
      </c>
      <c r="B24" s="42" t="n"/>
      <c r="C24" s="42" t="n"/>
      <c r="D24" s="42" t="n"/>
      <c r="E24" s="42" t="n"/>
      <c r="F24" s="42" t="n"/>
      <c r="G24" s="42" t="n"/>
      <c r="H24" s="42" t="n"/>
      <c r="I24" s="43"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2" t="n"/>
      <c r="C26" s="42" t="n"/>
      <c r="D26" s="42" t="n"/>
      <c r="E26" s="42" t="n"/>
      <c r="F26" s="42" t="n"/>
      <c r="G26" s="42" t="n"/>
      <c r="H26" s="42" t="n"/>
      <c r="I26" s="43"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78</t>
        </is>
      </c>
    </row>
    <row r="6">
      <c r="A6" s="53" t="inlineStr">
        <is>
          <t>Cruce de la ficha de campo F-DT vigente con la ficha de resumen de gabinete y el catálogo maestro. Integración 2026-09-11 21:26:30.</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«C1086-Q9570».</t>
        </is>
      </c>
      <c r="D9" s="57" t="inlineStr">
        <is>
          <t>CONFORME</t>
        </is>
      </c>
      <c r="E9" s="57" t="inlineStr">
        <is>
          <t>Sin acción.</t>
        </is>
      </c>
    </row>
    <row r="10">
      <c r="A10" s="58" t="inlineStr">
        <is>
          <t>G-02</t>
        </is>
      </c>
      <c r="B10" s="58" t="inlineStr">
        <is>
          <t>UTM del punto de muestreo</t>
        </is>
      </c>
      <c r="C10" s="58" t="inlineStr">
        <is>
          <t>El punto de muestreo declarado dista 0.0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(2035 msnm) cae dentro del rango altitudinal del bloque (1908 - 2236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(35.116 ha) se desvía 0.05 % de la superficie de catálogo (35.10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(35.100 ha) se desvía 0.00 % de la superficie de catálogo (35.10 ha).</t>
        </is>
      </c>
      <c r="D14" s="58" t="inlineStr">
        <is>
          <t>CONFORME</t>
        </is>
      </c>
      <c r="E14" s="58" t="inlineStr">
        <is>
          <t>Sin acción: la segmentación valida la geometría del bloque.</t>
        </is>
      </c>
    </row>
    <row r="15">
      <c r="A15" s="57" t="inlineStr">
        <is>
          <t>G-07</t>
        </is>
      </c>
      <c r="B15" s="57" t="inlineStr">
        <is>
          <t>Brecha espectral MSAVI</t>
        </is>
      </c>
      <c r="C15" s="57" t="inlineStr">
        <is>
          <t>El 1.77 % del bloque queda bajo el umbral 0.4976; superficie de brecha 0.6196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35.10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(0.7074) cae en la clase «&gt; 0.6139 (Vigor alto)» y la clase DN dominante por superficie es «DN 5 · &gt; 0.6139 (Vigor alto)».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Responsable de la evaluación</t>
        </is>
      </c>
      <c r="C19" s="57" t="inlineStr">
        <is>
          <t>El libro de resumen V6 consignaba «Ing. P. Talledo Hernández; Ing. J.C. Domínguez Varas»; la ficha de campo vigente declara «Ing. H.S. Cahuas M.; Ing. P. Talledo H.; Ing. J.C. Domínguez V.».</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Hora de registro</t>
        </is>
      </c>
      <c r="C20" s="58" t="inlineStr">
        <is>
          <t>El libro de resumen V6 consignaba «11:10 - 12:07 h»; la ficha de campo vigente declara «11:10 a.m. – 12:07 p.m.».</t>
        </is>
      </c>
      <c r="D20" s="58" t="inlineStr">
        <is>
          <t>CORREGIDO</t>
        </is>
      </c>
      <c r="E20" s="58" t="inlineStr">
        <is>
          <t>Se adopta el valor de campo por ser la fuente que manda sobre el dato y la más reciente. El valor anterior queda declarado para trazabilidad.</t>
        </is>
      </c>
    </row>
    <row r="21">
      <c r="A21" s="57" t="inlineStr">
        <is>
          <t>F-01</t>
        </is>
      </c>
      <c r="B21" s="57" t="inlineStr">
        <is>
          <t>Fichas F-DT levantadas</t>
        </is>
      </c>
      <c r="C21" s="57" t="inlineStr">
        <is>
          <t>La plantilla de campo trae las cinco fichas F-DT-01 a F-DT-05 (completitud 92.9 % de los campos esperados).</t>
        </is>
      </c>
      <c r="D21" s="57" t="inlineStr">
        <is>
          <t>CONFORME</t>
        </is>
      </c>
      <c r="E21" s="57" t="inlineStr">
        <is>
          <t>Sin acción.</t>
        </is>
      </c>
    </row>
    <row r="22">
      <c r="A22" s="58" t="inlineStr">
        <is>
          <t>F-02</t>
        </is>
      </c>
      <c r="B22" s="58" t="inlineStr">
        <is>
          <t>Cobertura de la integración</t>
        </is>
      </c>
      <c r="C22" s="58" t="inlineStr">
        <is>
          <t>Se declararon 91 de 114 hechos integrados (79.8 %); 23 quedan sin dato en ninguna fuente.</t>
        </is>
      </c>
      <c r="D22" s="58" t="inlineStr">
        <is>
          <t>CONFORME</t>
        </is>
      </c>
      <c r="E22" s="58" t="inlineStr">
        <is>
          <t>Sin acción.</t>
        </is>
      </c>
    </row>
    <row r="23">
      <c r="A23" s="57" t="inlineStr">
        <is>
          <t>H-01</t>
        </is>
      </c>
      <c r="B23" s="57" t="inlineStr">
        <is>
          <t>Dimensiones del inventario de cárcavas</t>
        </is>
      </c>
      <c r="C23" s="57" t="inlineStr">
        <is>
          <t>Se registran 0 rasgos erosivos, pero longitud, profundidad y ancho no fueron medidos instrumentalmente</t>
        </is>
      </c>
      <c r="D23" s="57" t="inlineStr">
        <is>
          <t>NO SUSTANTIVA</t>
        </is>
      </c>
      <c r="E23" s="57" t="inlineStr">
        <is>
          <t>El conteo registrado no debe usarse para calcular densidad de cárcavas por hectárea. Pendiente de levantamiento con GPS submétrico. (Verificación heredada de la ficha de resumen V6.)</t>
        </is>
      </c>
    </row>
    <row r="24">
      <c r="A24" s="58" t="inlineStr">
        <is>
          <t>H-02</t>
        </is>
      </c>
      <c r="B24" s="58" t="inlineStr">
        <is>
          <t>Representatividad del levantamiento</t>
        </is>
      </c>
      <c r="C24" s="58" t="inlineStr">
        <is>
          <t>Ninguna de las estaciones fotográficas georreferenciadas se localiza dentro del polígono del bloque</t>
        </is>
      </c>
      <c r="D24" s="58" t="inlineStr">
        <is>
          <t>SUSTANTIVA</t>
        </is>
      </c>
      <c r="E24" s="58" t="inlineStr">
        <is>
          <t>La verificación documenta el perímetro y la vista panorámica del bloque, no su interior. Los parámetros que exigen recorrido interno se consignan «Por determinar». (Verificación heredada de la ficha de resumen V6.)</t>
        </is>
      </c>
    </row>
    <row r="25">
      <c r="A25" s="57" t="inlineStr">
        <is>
          <t>H-03</t>
        </is>
      </c>
      <c r="B25" s="57" t="inlineStr">
        <is>
          <t>Centro poblado asociado</t>
        </is>
      </c>
      <c r="C25" s="57" t="inlineStr">
        <is>
          <t>La ficha DT declara «Tasajeras»; el cruce INEI-Bloques V5 identifica 1 centro(s) poblado(s) en el bloque: TASAJERAS</t>
        </is>
      </c>
      <c r="D25" s="57" t="inlineStr">
        <is>
          <t>CONFORME</t>
        </is>
      </c>
      <c r="E25" s="57" t="inlineStr">
        <is>
          <t>Se conserva el registro de campo como referencia y se adopta el listado INEI para el diagnóstico social y el cálculo de población beneficiaria. (Verificación heredada de la ficha de resumen V6.)</t>
        </is>
      </c>
    </row>
    <row r="26">
      <c r="A26" s="58" t="inlineStr">
        <is>
          <t>H-04</t>
        </is>
      </c>
      <c r="B26" s="58" t="inlineStr">
        <is>
          <t>Plan de Ingreso</t>
        </is>
      </c>
      <c r="C26" s="58" t="inlineStr">
        <is>
          <t>Altitud = 0 msnm (captura por defecto del aplicativo)</t>
        </is>
      </c>
      <c r="D26" s="58" t="inlineStr">
        <is>
          <t>CORREGIDO</t>
        </is>
      </c>
      <c r="E26" s="58" t="inlineStr">
        <is>
          <t>Se reemplaza por la altitud GPS de campo (2000 msnm) (Verificación heredada de la ficha de resumen V6.)</t>
        </is>
      </c>
    </row>
    <row r="27">
      <c r="A27" s="57" t="inlineStr">
        <is>
          <t>H-05</t>
        </is>
      </c>
      <c r="B27" s="57" t="inlineStr">
        <is>
          <t>F-DT-03</t>
        </is>
      </c>
      <c r="C27" s="57" t="inlineStr">
        <is>
          <t>Superficie de ecosistema, coberturas por estrato, alturas y DAP sin medición</t>
        </is>
      </c>
      <c r="D27" s="57" t="inlineStr">
        <is>
          <t>NO SUSTANTIVA</t>
        </is>
      </c>
      <c r="E27" s="57" t="inlineStr">
        <is>
          <t>Pendientes de parcelas de muestreo (10x10 m) (Verificación heredada de la ficha de resumen V6.)</t>
        </is>
      </c>
    </row>
    <row r="28">
      <c r="A28" s="58" t="inlineStr">
        <is>
          <t>H-06</t>
        </is>
      </c>
      <c r="B28" s="58" t="inlineStr">
        <is>
          <t>F-DT-04</t>
        </is>
      </c>
      <c r="C28" s="58" t="inlineStr">
        <is>
          <t>Indicadores de suelo desnudo, carga ganadera, % pendiente &gt;50% y frecuencia de quemas no cuantificados</t>
        </is>
      </c>
      <c r="D28" s="58" t="inlineStr">
        <is>
          <t>NO SUSTANTIVA</t>
        </is>
      </c>
      <c r="E28" s="58" t="inlineStr">
        <is>
          <t>Medición complementaria pendiente (Verificación heredada de la ficha de resumen V6.)</t>
        </is>
      </c>
    </row>
    <row r="29">
      <c r="A29" s="57" t="inlineStr">
        <is>
          <t>H-07</t>
        </is>
      </c>
      <c r="B29" s="57" t="inlineStr">
        <is>
          <t>F-DT-01</t>
        </is>
      </c>
      <c r="C29" s="57" t="inlineStr">
        <is>
          <t>Reptación y deslizamientos antiguos: «No» corresponde a no evidenciados en el recorrido, no a ausencia verificada</t>
        </is>
      </c>
      <c r="D29" s="57" t="inlineStr">
        <is>
          <t>NO SUSTANTIVA</t>
        </is>
      </c>
      <c r="E29" s="57" t="inlineStr">
        <is>
          <t>Declarado en la propia ficha (Verificación heredada de la ficha de resumen V6.)</t>
        </is>
      </c>
    </row>
    <row r="31">
      <c r="A31" s="59" t="inlineStr">
        <is>
          <t>RESUMEN</t>
        </is>
      </c>
      <c r="B31" s="60" t="inlineStr">
        <is>
          <t>21 verificaciones</t>
        </is>
      </c>
      <c r="C31" s="60" t="inlineStr">
        <is>
          <t>SUSTANTIVA: 2 · NO SUSTANTIVA: 4 · CORREGIDO: 3 · CONFORME: 12</t>
        </is>
      </c>
    </row>
    <row r="33">
      <c r="A33"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78</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8. Responsable y modalidad de la evaluación</t>
        </is>
      </c>
      <c r="B9" s="57" t="inlineStr">
        <is>
          <t>Responsable de la evaluación</t>
        </is>
      </c>
      <c r="C9" s="57" t="inlineStr">
        <is>
          <t>Ing. P. Talledo Hernández; Ing. J.C. Domínguez Varas</t>
        </is>
      </c>
      <c r="D9" s="57" t="inlineStr">
        <is>
          <t>Ing. H.S. Cahuas M.; Ing. P. Talledo H.; Ing. J.C. Domínguez V.</t>
        </is>
      </c>
      <c r="E9" s="57" t="inlineStr">
        <is>
          <t>Dato de campo</t>
        </is>
      </c>
    </row>
    <row r="10">
      <c r="A10" s="58" t="inlineStr">
        <is>
          <t>8. Responsable y modalidad de la evaluación</t>
        </is>
      </c>
      <c r="B10" s="58" t="inlineStr">
        <is>
          <t>Hora de registro</t>
        </is>
      </c>
      <c r="C10" s="58" t="inlineStr">
        <is>
          <t>11:10 - 12:07 h</t>
        </is>
      </c>
      <c r="D10" s="58" t="inlineStr">
        <is>
          <t>11:10 a.m. – 12:07 p.m.</t>
        </is>
      </c>
      <c r="E10" s="58" t="inlineStr">
        <is>
          <t>Dato de campo</t>
        </is>
      </c>
    </row>
    <row r="12">
      <c r="A12" s="55" t="inlineStr">
        <is>
          <t>B. HECHOS APORTADOS ÚNICAMENTE POR LA FICHA DE CAMPO</t>
        </is>
      </c>
    </row>
    <row r="13">
      <c r="A13" s="56" t="inlineStr">
        <is>
          <t>Sección</t>
        </is>
      </c>
      <c r="B13" s="56" t="inlineStr">
        <is>
          <t>Hecho</t>
        </is>
      </c>
      <c r="C13" s="56" t="inlineStr">
        <is>
          <t>Valor</t>
        </is>
      </c>
      <c r="D13" s="56" t="inlineStr">
        <is>
          <t>Unidad</t>
        </is>
      </c>
    </row>
    <row r="14">
      <c r="A14" s="57" t="inlineStr">
        <is>
          <t>1. Identificación y localización</t>
        </is>
      </c>
      <c r="B14" s="57" t="inlineStr">
        <is>
          <t>UTM ESTE del punto de muestreo (m)</t>
        </is>
      </c>
      <c r="C14" s="57" t="inlineStr">
        <is>
          <t>619630</t>
        </is>
      </c>
      <c r="D14" s="57" t="inlineStr">
        <is>
          <t>m</t>
        </is>
      </c>
    </row>
    <row r="15">
      <c r="A15" s="58" t="inlineStr">
        <is>
          <t>1. Identificación y localización</t>
        </is>
      </c>
      <c r="B15" s="58" t="inlineStr">
        <is>
          <t>UTM NORTE del punto de muestreo (m)</t>
        </is>
      </c>
      <c r="C15" s="58" t="inlineStr">
        <is>
          <t>9440043</t>
        </is>
      </c>
      <c r="D15" s="58" t="inlineStr">
        <is>
          <t>m</t>
        </is>
      </c>
    </row>
    <row r="16">
      <c r="A16" s="57" t="inlineStr">
        <is>
          <t>2. Parámetros físicos del terreno</t>
        </is>
      </c>
      <c r="B16" s="57" t="inlineStr">
        <is>
          <t>Altitud GPS del punto de muestreo (msnm)</t>
        </is>
      </c>
      <c r="C16" s="57" t="inlineStr">
        <is>
          <t>2035</t>
        </is>
      </c>
      <c r="D16" s="57" t="inlineStr">
        <is>
          <t>msnm</t>
        </is>
      </c>
    </row>
    <row r="17">
      <c r="A17" s="58" t="inlineStr">
        <is>
          <t>2. Parámetros físicos del terreno</t>
        </is>
      </c>
      <c r="B17" s="58" t="inlineStr">
        <is>
          <t>Piso altitudinal del punto de muestreo</t>
        </is>
      </c>
      <c r="C17" s="58" t="inlineStr">
        <is>
          <t>2000-2500 m (Quechua alta)</t>
        </is>
      </c>
      <c r="D17" s="58" t="inlineStr"/>
    </row>
    <row r="18">
      <c r="A18" s="57" t="inlineStr">
        <is>
          <t>2. Parámetros físicos del terreno</t>
        </is>
      </c>
      <c r="B18" s="57" t="inlineStr">
        <is>
          <t>Paisaje dominante descrito en campo</t>
        </is>
      </c>
      <c r="C18" s="57" t="inlineStr">
        <is>
          <t>Laderas montañosas de la cuenca alta del río Piura con mosaico de matorral andino húmedo, parches de bosque nativo relicto, pastizales y cultivos de ladera (maíz, trigo, arveja); cortes de talud y tranqueras a lo largo de la vía vecinal PI-799.</t>
        </is>
      </c>
      <c r="D18" s="57" t="inlineStr"/>
    </row>
    <row r="19">
      <c r="A19" s="58" t="inlineStr">
        <is>
          <t>2. Parámetros físicos del terreno</t>
        </is>
      </c>
      <c r="B19" s="58" t="inlineStr">
        <is>
          <t>Reptación de suelo</t>
        </is>
      </c>
      <c r="C19" s="58" t="inlineStr">
        <is>
          <t>No</t>
        </is>
      </c>
      <c r="D19" s="58" t="inlineStr"/>
    </row>
    <row r="20">
      <c r="A20" s="57" t="inlineStr">
        <is>
          <t>2. Parámetros físicos del terreno</t>
        </is>
      </c>
      <c r="B20" s="57" t="inlineStr">
        <is>
          <t>Deslizamientos antiguos</t>
        </is>
      </c>
      <c r="C20" s="57" t="inlineStr">
        <is>
          <t>No</t>
        </is>
      </c>
      <c r="D20" s="57" t="inlineStr"/>
    </row>
    <row r="21">
      <c r="A21" s="58" t="inlineStr">
        <is>
          <t>4. Suelos y erosión (F-DT-02)</t>
        </is>
      </c>
      <c r="B21" s="58" t="inlineStr">
        <is>
          <t>Nivel de erosión - síntesis de campo</t>
        </is>
      </c>
      <c r="C21" s="58" t="inlineStr">
        <is>
          <t>Moderada (surcos)</t>
        </is>
      </c>
      <c r="D21" s="58" t="inlineStr"/>
    </row>
    <row r="22">
      <c r="A22" s="57" t="inlineStr">
        <is>
          <t>4. Suelos y erosión (F-DT-02)</t>
        </is>
      </c>
      <c r="B22" s="57" t="inlineStr">
        <is>
          <t>Sellamiento / costra superficial</t>
        </is>
      </c>
      <c r="C22" s="57" t="inlineStr">
        <is>
          <t>No</t>
        </is>
      </c>
      <c r="D22" s="57" t="inlineStr"/>
    </row>
    <row r="23">
      <c r="A23" s="58" t="inlineStr">
        <is>
          <t>4. Suelos y erosión (F-DT-02)</t>
        </is>
      </c>
      <c r="B23" s="58" t="inlineStr">
        <is>
          <t>Compactación por pisoteo</t>
        </is>
      </c>
      <c r="C23" s="58" t="inlineStr">
        <is>
          <t>Sí</t>
        </is>
      </c>
      <c r="D23" s="58" t="inlineStr"/>
    </row>
    <row r="24">
      <c r="A24" s="57" t="inlineStr">
        <is>
          <t>4. Suelos y erosión (F-DT-02)</t>
        </is>
      </c>
      <c r="B24" s="57" t="inlineStr">
        <is>
          <t>Raíces expuestas</t>
        </is>
      </c>
      <c r="C24" s="57" t="inlineStr">
        <is>
          <t>Sí</t>
        </is>
      </c>
      <c r="D24" s="57" t="inlineStr"/>
    </row>
    <row r="25">
      <c r="A25" s="58" t="inlineStr">
        <is>
          <t>4. Suelos y erosión (F-DT-02)</t>
        </is>
      </c>
      <c r="B25" s="58" t="inlineStr">
        <is>
          <t>Socavamiento de cauce</t>
        </is>
      </c>
      <c r="C25" s="58" t="inlineStr">
        <is>
          <t>No</t>
        </is>
      </c>
      <c r="D25" s="58" t="inlineStr"/>
    </row>
    <row r="26">
      <c r="A26" s="57" t="inlineStr">
        <is>
          <t>5. Ecosistema, cobertura y flora (F-DT-03)</t>
        </is>
      </c>
      <c r="B26" s="57" t="inlineStr">
        <is>
          <t>Presencia de epífitas</t>
        </is>
      </c>
      <c r="C26" s="57" t="inlineStr">
        <is>
          <t>Sí</t>
        </is>
      </c>
      <c r="D26" s="57" t="inlineStr"/>
    </row>
    <row r="27">
      <c r="A27" s="58" t="inlineStr">
        <is>
          <t>5. Ecosistema, cobertura y flora (F-DT-03)</t>
        </is>
      </c>
      <c r="B27" s="58" t="inlineStr">
        <is>
          <t>Fenología dominante</t>
        </is>
      </c>
      <c r="C27" s="58" t="inlineStr">
        <is>
          <t>Vegetativo</t>
        </is>
      </c>
      <c r="D27" s="58" t="inlineStr"/>
    </row>
    <row r="28">
      <c r="A28" s="57" t="inlineStr">
        <is>
          <t>5. Ecosistema, cobertura y flora (F-DT-03)</t>
        </is>
      </c>
      <c r="B28" s="57" t="inlineStr">
        <is>
          <t>Pendiente de la parcela (%)</t>
        </is>
      </c>
      <c r="C28" s="57" t="inlineStr">
        <is>
          <t>43</t>
        </is>
      </c>
      <c r="D28" s="57" t="inlineStr">
        <is>
          <t>%</t>
        </is>
      </c>
    </row>
    <row r="29">
      <c r="A29" s="58" t="inlineStr">
        <is>
          <t>5. Ecosistema, cobertura y flora (F-DT-03)</t>
        </is>
      </c>
      <c r="B29" s="58" t="inlineStr">
        <is>
          <t>Especies clave georreferenciadas</t>
        </is>
      </c>
      <c r="C29" s="58" t="inlineStr">
        <is>
          <t>5</t>
        </is>
      </c>
      <c r="D29" s="58" t="inlineStr"/>
    </row>
    <row r="30">
      <c r="A30" s="57" t="inlineStr">
        <is>
          <t>6. Degradación, causas y urgencia (F-DT-04)</t>
        </is>
      </c>
      <c r="B30" s="57" t="inlineStr">
        <is>
          <t>Causas directas de la degradación</t>
        </is>
      </c>
      <c r="C30" s="57" t="inlineStr">
        <is>
          <t>Cambio de uso del suelo a agricultura de secano en ladera (maíz, trigo, arveja), pastoreo extensivo de vacunos/caprinos y aperturas/cortes de talud de la vía vecinal PI-799, con erosión localizada por exposición de suelos.</t>
        </is>
      </c>
      <c r="D30" s="57" t="inlineStr"/>
    </row>
    <row r="31">
      <c r="A31" s="58" t="inlineStr">
        <is>
          <t>6. Degradación, causas y urgencia (F-DT-04)</t>
        </is>
      </c>
      <c r="B31" s="58" t="inlineStr">
        <is>
          <t>N.° de causas activas en la matriz F-DT-04</t>
        </is>
      </c>
      <c r="C31" s="58" t="inlineStr">
        <is>
          <t>5</t>
        </is>
      </c>
      <c r="D31" s="58" t="inlineStr"/>
    </row>
    <row r="32">
      <c r="A32" s="57" t="inlineStr">
        <is>
          <t>7. Hidrología, acceso y logística (F-DT-05)</t>
        </is>
      </c>
      <c r="B32" s="57" t="inlineStr">
        <is>
          <t>Escorrentía concentrada</t>
        </is>
      </c>
      <c r="C32" s="57" t="inlineStr">
        <is>
          <t>Sí</t>
        </is>
      </c>
      <c r="D32" s="57" t="inlineStr"/>
    </row>
    <row r="33">
      <c r="A33" s="58" t="inlineStr">
        <is>
          <t>7. Hidrología, acceso y logística (F-DT-05)</t>
        </is>
      </c>
      <c r="B33" s="58" t="inlineStr">
        <is>
          <t>Fuentes de agua inventariadas</t>
        </is>
      </c>
      <c r="C33" s="58" t="inlineStr">
        <is>
          <t>1</t>
        </is>
      </c>
      <c r="D33" s="58" t="inlineStr"/>
    </row>
    <row r="34">
      <c r="A34" s="57" t="inlineStr">
        <is>
          <t>7. Hidrología, acceso y logística (F-DT-05)</t>
        </is>
      </c>
      <c r="B34" s="57" t="inlineStr">
        <is>
          <t>Interferencia con riego</t>
        </is>
      </c>
      <c r="C34" s="57" t="inlineStr">
        <is>
          <t>No</t>
        </is>
      </c>
      <c r="D34" s="57" t="inlineStr"/>
    </row>
    <row r="35">
      <c r="A35" s="58" t="inlineStr">
        <is>
          <t>7. Hidrología, acceso y logística (F-DT-05)</t>
        </is>
      </c>
      <c r="B35" s="58" t="inlineStr">
        <is>
          <t>Vía principal de acceso</t>
        </is>
      </c>
      <c r="C35" s="58" t="inlineStr">
        <is>
          <t>Vía vecinal PI-799</t>
        </is>
      </c>
      <c r="D35" s="58" t="inlineStr"/>
    </row>
    <row r="36">
      <c r="A36" s="57" t="inlineStr">
        <is>
          <t>7. Hidrología, acceso y logística (F-DT-05)</t>
        </is>
      </c>
      <c r="B36" s="57" t="inlineStr">
        <is>
          <t>Tipo de vía del tramo final</t>
        </is>
      </c>
      <c r="C36" s="57" t="inlineStr">
        <is>
          <t>Trocha carrozable</t>
        </is>
      </c>
      <c r="D36" s="57" t="inlineStr"/>
    </row>
    <row r="37">
      <c r="A37" s="58" t="inlineStr">
        <is>
          <t>7. Hidrología, acceso y logística (F-DT-05)</t>
        </is>
      </c>
      <c r="B37" s="58" t="inlineStr">
        <is>
          <t>Transitabilidad en época seca</t>
        </is>
      </c>
      <c r="C37" s="58" t="inlineStr">
        <is>
          <t>Medio</t>
        </is>
      </c>
      <c r="D37" s="58" t="inlineStr"/>
    </row>
    <row r="38">
      <c r="A38" s="57" t="inlineStr">
        <is>
          <t>7. Hidrología, acceso y logística (F-DT-05)</t>
        </is>
      </c>
      <c r="B38" s="57" t="inlineStr">
        <is>
          <t>Transitabilidad en época lluviosa</t>
        </is>
      </c>
      <c r="C38" s="57" t="inlineStr">
        <is>
          <t>Bajo</t>
        </is>
      </c>
      <c r="D38" s="57" t="inlineStr"/>
    </row>
    <row r="39">
      <c r="A39" s="58" t="inlineStr">
        <is>
          <t>7. Hidrología, acceso y logística (F-DT-05)</t>
        </is>
      </c>
      <c r="B39" s="58" t="inlineStr">
        <is>
          <t>Requiere coordinación con ronda / comunidad</t>
        </is>
      </c>
      <c r="C39" s="58" t="inlineStr">
        <is>
          <t>No</t>
        </is>
      </c>
      <c r="D39" s="58" t="inlineStr"/>
    </row>
    <row r="41">
      <c r="A41" s="55" t="inlineStr">
        <is>
          <t>C. PROCEDENCIA DE LOS HECHOS DECLARADOS</t>
        </is>
      </c>
    </row>
    <row r="42">
      <c r="A42" s="56" t="inlineStr">
        <is>
          <t>Fuente</t>
        </is>
      </c>
      <c r="B42" s="56" t="inlineStr">
        <is>
          <t>Hechos</t>
        </is>
      </c>
      <c r="C42" s="56" t="inlineStr">
        <is>
          <t>Alcance de la fuente</t>
        </is>
      </c>
    </row>
    <row r="43">
      <c r="A43" s="57" t="inlineStr">
        <is>
          <t>Dato de campo</t>
        </is>
      </c>
      <c r="B43" s="57" t="n">
        <v>56</v>
      </c>
      <c r="C43" s="57" t="inlineStr">
        <is>
          <t>Verificación en campo. Fichas F-DT-01 a F-DT-05 de la Plantilla DT Campo Check Validada V5, suscritas por el evaluador.</t>
        </is>
      </c>
    </row>
    <row r="44">
      <c r="A44" s="58" t="inlineStr">
        <is>
          <t>Gabinete (GIS / teledetección)</t>
        </is>
      </c>
      <c r="B44" s="58" t="n">
        <v>21</v>
      </c>
      <c r="C44" s="58" t="inlineStr">
        <is>
          <t>Gabinete. Estadística zonal sobre el MDE y compuestos Sentinel-2 (NDVI mediana 2025, MSAVI 2024 por clase DN).</t>
        </is>
      </c>
    </row>
    <row r="45">
      <c r="A45" s="57" t="inlineStr">
        <is>
          <t>Fuente oficial</t>
        </is>
      </c>
      <c r="B45" s="57" t="n">
        <v>14</v>
      </c>
      <c r="C45" s="57" t="inlineStr">
        <is>
          <t>Fuente oficial. Catálogo maestro Bloques V5/V6, división política INEI y codificación de microcuencas de la ANA.</t>
        </is>
      </c>
    </row>
    <row r="47">
      <c r="A47" s="55" t="inlineStr">
        <is>
          <t>D. ESTADO DEL CRUCE ENTRE FUENTES</t>
        </is>
      </c>
    </row>
    <row r="48">
      <c r="A48" s="56" t="inlineStr">
        <is>
          <t>Estado</t>
        </is>
      </c>
      <c r="B48" s="56" t="inlineStr">
        <is>
          <t>Hechos</t>
        </is>
      </c>
      <c r="C48" s="56" t="inlineStr">
        <is>
          <t>Significado</t>
        </is>
      </c>
    </row>
    <row r="49">
      <c r="A49" s="57" t="inlineStr">
        <is>
          <t>CONFORME</t>
        </is>
      </c>
      <c r="B49" s="57" t="n">
        <v>89</v>
      </c>
      <c r="C49" s="57" t="inlineStr">
        <is>
          <t>Las dos fuentes declaran lo mismo, o solo la fuente que manda sobre el hecho lo declara.</t>
        </is>
      </c>
    </row>
    <row r="50">
      <c r="A50" s="58" t="inlineStr">
        <is>
          <t>COMPLEMENTADO</t>
        </is>
      </c>
      <c r="B50" s="58" t="n">
        <v>0</v>
      </c>
      <c r="C50" s="58" t="inlineStr">
        <is>
          <t>Solo una de las fuentes lo declara y se adopta ese valor.</t>
        </is>
      </c>
    </row>
    <row r="51">
      <c r="A51" s="57" t="inlineStr">
        <is>
          <t>ACTUALIZADO</t>
        </is>
      </c>
      <c r="B51" s="57" t="n">
        <v>2</v>
      </c>
      <c r="C51" s="57" t="inlineStr">
        <is>
          <t>La verificación de campo vigente corrige lo que traía el libro de resumen.</t>
        </is>
      </c>
    </row>
    <row r="52">
      <c r="A52" s="58" t="inlineStr">
        <is>
          <t>DISCREPANTE</t>
        </is>
      </c>
      <c r="B52" s="58" t="n">
        <v>0</v>
      </c>
      <c r="C52" s="58" t="inlineStr">
        <is>
          <t>Las fuentes se contradicen; prevalece la que manda sobre el hecho y la otra queda declarada.</t>
        </is>
      </c>
    </row>
    <row r="53">
      <c r="A53" s="57" t="inlineStr">
        <is>
          <t>PENDIENTE</t>
        </is>
      </c>
      <c r="B53" s="57" t="n">
        <v>23</v>
      </c>
      <c r="C53"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78</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Sin cárcavas inventariadas en el tramo verificado</t>
        </is>
      </c>
      <c r="B9" s="57" t="inlineStr"/>
      <c r="C9" s="57" t="inlineStr"/>
      <c r="D9" s="57" t="inlineStr"/>
      <c r="E9" s="57" t="inlineStr"/>
      <c r="F9" s="57" t="inlineStr"/>
      <c r="G9" s="57" t="inlineStr"/>
      <c r="H9" s="57" t="inlineStr"/>
      <c r="I9" s="57" t="inlineStr"/>
    </row>
    <row r="11">
      <c r="A11" s="55" t="inlineStr">
        <is>
          <t>F-DT-03 · ELENCO FLORÍSTICO</t>
        </is>
      </c>
    </row>
    <row r="12">
      <c r="A12" s="56" t="inlineStr">
        <is>
          <t>N.o</t>
        </is>
      </c>
      <c r="B12" s="56" t="inlineStr">
        <is>
          <t>Nombre común</t>
        </is>
      </c>
      <c r="C12" s="56" t="inlineStr">
        <is>
          <t>Nombre científico</t>
        </is>
      </c>
      <c r="D12" s="56" t="inlineStr">
        <is>
          <t>Familia</t>
        </is>
      </c>
      <c r="E12" s="56" t="inlineStr">
        <is>
          <t>Estrato</t>
        </is>
      </c>
      <c r="F12" s="56" t="inlineStr">
        <is>
          <t>Origen</t>
        </is>
      </c>
      <c r="G12" s="56" t="inlineStr">
        <is>
          <t>Abundancia</t>
        </is>
      </c>
      <c r="H12" s="56" t="inlineStr">
        <is>
          <t>DAP (cm)</t>
        </is>
      </c>
      <c r="I12" s="56" t="inlineStr">
        <is>
          <t>Altura (m)</t>
        </is>
      </c>
    </row>
    <row r="13">
      <c r="A13" s="57" t="inlineStr">
        <is>
          <t>1</t>
        </is>
      </c>
      <c r="B13" s="57" t="inlineStr">
        <is>
          <t>Chachacomo</t>
        </is>
      </c>
      <c r="C13" s="57" t="inlineStr">
        <is>
          <t>Escallonia sp.</t>
        </is>
      </c>
      <c r="D13" s="57" t="inlineStr">
        <is>
          <t>Escalloniaceae</t>
        </is>
      </c>
      <c r="E13" s="57" t="inlineStr">
        <is>
          <t>Arbóreo bajo (4-8 m)</t>
        </is>
      </c>
      <c r="F13" s="57" t="inlineStr">
        <is>
          <t>Nativa</t>
        </is>
      </c>
      <c r="G13" s="57" t="inlineStr">
        <is>
          <t>Frecuente (5-20%)</t>
        </is>
      </c>
      <c r="H13" s="57" t="n"/>
      <c r="I13" s="57" t="n"/>
    </row>
    <row r="14">
      <c r="A14" s="58" t="inlineStr">
        <is>
          <t>2</t>
        </is>
      </c>
      <c r="B14" s="58" t="inlineStr">
        <is>
          <t>Palo blanco</t>
        </is>
      </c>
      <c r="C14" s="58" t="inlineStr">
        <is>
          <t>(por determinar)</t>
        </is>
      </c>
      <c r="D14" s="58" t="inlineStr">
        <is>
          <t>(por determinar)</t>
        </is>
      </c>
      <c r="E14" s="58" t="inlineStr">
        <is>
          <t>Arbóreo bajo (4-8 m)</t>
        </is>
      </c>
      <c r="F14" s="58" t="inlineStr">
        <is>
          <t>Nativa</t>
        </is>
      </c>
      <c r="G14" s="58" t="inlineStr">
        <is>
          <t>Frecuente (5-20%)</t>
        </is>
      </c>
      <c r="H14" s="58" t="n"/>
      <c r="I14" s="58" t="n"/>
    </row>
    <row r="15">
      <c r="A15" s="57" t="inlineStr">
        <is>
          <t>3</t>
        </is>
      </c>
      <c r="B15" s="57" t="inlineStr">
        <is>
          <t>Romerillo / Diablo fuerte</t>
        </is>
      </c>
      <c r="C15" s="57" t="inlineStr">
        <is>
          <t>Podocarpus sp.</t>
        </is>
      </c>
      <c r="D15" s="57" t="inlineStr">
        <is>
          <t>Podocarpaceae</t>
        </is>
      </c>
      <c r="E15" s="57" t="inlineStr">
        <is>
          <t>Arbóreo medio (8-15 m)</t>
        </is>
      </c>
      <c r="F15" s="57" t="inlineStr">
        <is>
          <t>Nativa</t>
        </is>
      </c>
      <c r="G15" s="57" t="inlineStr">
        <is>
          <t>Ocasional (1-5%)</t>
        </is>
      </c>
      <c r="H15" s="57" t="n"/>
      <c r="I15" s="57" t="n"/>
    </row>
    <row r="16">
      <c r="A16" s="58" t="inlineStr">
        <is>
          <t>4</t>
        </is>
      </c>
      <c r="B16" s="58" t="inlineStr">
        <is>
          <t>Higuerón</t>
        </is>
      </c>
      <c r="C16" s="58" t="inlineStr">
        <is>
          <t>Ficus sp.</t>
        </is>
      </c>
      <c r="D16" s="58" t="inlineStr">
        <is>
          <t>Moraceae</t>
        </is>
      </c>
      <c r="E16" s="58" t="inlineStr">
        <is>
          <t>Arbóreo medio (8-15 m)</t>
        </is>
      </c>
      <c r="F16" s="58" t="inlineStr">
        <is>
          <t>Nativa</t>
        </is>
      </c>
      <c r="G16" s="58" t="inlineStr">
        <is>
          <t>Ocasional (1-5%)</t>
        </is>
      </c>
      <c r="H16" s="58" t="n"/>
      <c r="I16" s="58" t="n"/>
    </row>
    <row r="17">
      <c r="A17" s="57" t="inlineStr">
        <is>
          <t>5</t>
        </is>
      </c>
      <c r="B17" s="57" t="inlineStr">
        <is>
          <t>Chirimoya silvestre</t>
        </is>
      </c>
      <c r="C17" s="57" t="inlineStr">
        <is>
          <t>Annona sp.</t>
        </is>
      </c>
      <c r="D17" s="57" t="inlineStr">
        <is>
          <t>Annonaceae</t>
        </is>
      </c>
      <c r="E17" s="57" t="inlineStr">
        <is>
          <t>Arbóreo bajo (4-8 m)</t>
        </is>
      </c>
      <c r="F17" s="57" t="inlineStr">
        <is>
          <t>Nativa</t>
        </is>
      </c>
      <c r="G17" s="57" t="inlineStr">
        <is>
          <t>Ocasional (1-5%)</t>
        </is>
      </c>
      <c r="H17" s="57" t="n"/>
      <c r="I17" s="57" t="n"/>
    </row>
    <row r="18">
      <c r="A18" s="58" t="inlineStr">
        <is>
          <t>6</t>
        </is>
      </c>
      <c r="B18" s="58" t="inlineStr">
        <is>
          <t>Nogal</t>
        </is>
      </c>
      <c r="C18" s="58" t="inlineStr">
        <is>
          <t>Juglans neotropica</t>
        </is>
      </c>
      <c r="D18" s="58" t="inlineStr">
        <is>
          <t>Juglandaceae</t>
        </is>
      </c>
      <c r="E18" s="58" t="inlineStr">
        <is>
          <t>Arbóreo medio (8-15 m)</t>
        </is>
      </c>
      <c r="F18" s="58" t="inlineStr">
        <is>
          <t>Nativa</t>
        </is>
      </c>
      <c r="G18" s="58" t="inlineStr">
        <is>
          <t>Ocasional (1-5%)</t>
        </is>
      </c>
      <c r="H18" s="58" t="n"/>
      <c r="I18" s="58" t="n"/>
    </row>
    <row r="19">
      <c r="A19" s="57" t="inlineStr">
        <is>
          <t>7</t>
        </is>
      </c>
      <c r="B19" s="57" t="inlineStr">
        <is>
          <t>Pacae</t>
        </is>
      </c>
      <c r="C19" s="57" t="inlineStr">
        <is>
          <t>Inga sp.</t>
        </is>
      </c>
      <c r="D19" s="57" t="inlineStr">
        <is>
          <t>Fabaceae</t>
        </is>
      </c>
      <c r="E19" s="57" t="inlineStr">
        <is>
          <t>Arbóreo bajo (4-8 m)</t>
        </is>
      </c>
      <c r="F19" s="57" t="inlineStr">
        <is>
          <t>Nativa</t>
        </is>
      </c>
      <c r="G19" s="57" t="inlineStr">
        <is>
          <t>Ocasional (1-5%)</t>
        </is>
      </c>
      <c r="H19" s="57" t="n"/>
      <c r="I19" s="57" t="n"/>
    </row>
    <row r="20">
      <c r="A20" s="58" t="inlineStr">
        <is>
          <t>8</t>
        </is>
      </c>
      <c r="B20" s="58" t="inlineStr">
        <is>
          <t>Zarzamora de monte</t>
        </is>
      </c>
      <c r="C20" s="58" t="inlineStr">
        <is>
          <t>Rubus sp.</t>
        </is>
      </c>
      <c r="D20" s="58" t="inlineStr">
        <is>
          <t>Rosaceae</t>
        </is>
      </c>
      <c r="E20" s="58" t="inlineStr">
        <is>
          <t>Arbustivo alto (1.5-4 m)</t>
        </is>
      </c>
      <c r="F20" s="58" t="inlineStr">
        <is>
          <t>Nativa</t>
        </is>
      </c>
      <c r="G20" s="58" t="inlineStr">
        <is>
          <t>Frecuente (5-20%)</t>
        </is>
      </c>
      <c r="H20" s="58" t="n"/>
      <c r="I20" s="58" t="n"/>
    </row>
    <row r="21">
      <c r="A21" s="57" t="inlineStr">
        <is>
          <t>9</t>
        </is>
      </c>
      <c r="B21" s="57" t="inlineStr">
        <is>
          <t>Chilca</t>
        </is>
      </c>
      <c r="C21" s="57" t="inlineStr">
        <is>
          <t>Baccharis sp.</t>
        </is>
      </c>
      <c r="D21" s="57" t="inlineStr">
        <is>
          <t>Asteraceae</t>
        </is>
      </c>
      <c r="E21" s="57" t="inlineStr">
        <is>
          <t>Arbustivo bajo (0.5-1.5 m)</t>
        </is>
      </c>
      <c r="F21" s="57" t="inlineStr">
        <is>
          <t>Nativa</t>
        </is>
      </c>
      <c r="G21" s="57" t="inlineStr">
        <is>
          <t>Frecuente (5-20%)</t>
        </is>
      </c>
      <c r="H21" s="57" t="n"/>
      <c r="I21" s="57" t="n"/>
    </row>
    <row r="22">
      <c r="A22" s="58" t="inlineStr">
        <is>
          <t>10</t>
        </is>
      </c>
      <c r="B22" s="58" t="inlineStr">
        <is>
          <t>Verbena de monte / Cuncun</t>
        </is>
      </c>
      <c r="C22" s="58" t="inlineStr">
        <is>
          <t>Miconia sp.</t>
        </is>
      </c>
      <c r="D22" s="58" t="inlineStr">
        <is>
          <t>Melastomataceae</t>
        </is>
      </c>
      <c r="E22" s="58" t="inlineStr">
        <is>
          <t>Arbustivo bajo (0.5-1.5 m)</t>
        </is>
      </c>
      <c r="F22" s="58" t="inlineStr">
        <is>
          <t>Nativa</t>
        </is>
      </c>
      <c r="G22" s="58" t="inlineStr">
        <is>
          <t>Frecuente (5-20%)</t>
        </is>
      </c>
      <c r="H22" s="58" t="n"/>
      <c r="I22" s="58" t="n"/>
    </row>
    <row r="23">
      <c r="A23" s="57" t="inlineStr">
        <is>
          <t>11</t>
        </is>
      </c>
      <c r="B23" s="57" t="inlineStr">
        <is>
          <t>Globitos / Zapatito</t>
        </is>
      </c>
      <c r="C23" s="57" t="inlineStr">
        <is>
          <t>Calceolaria sp.</t>
        </is>
      </c>
      <c r="D23" s="57" t="inlineStr">
        <is>
          <t>Calceolariaceae</t>
        </is>
      </c>
      <c r="E23" s="57" t="inlineStr">
        <is>
          <t>Herbáceo (&lt;0.5 m)</t>
        </is>
      </c>
      <c r="F23" s="57" t="inlineStr">
        <is>
          <t>Nativa</t>
        </is>
      </c>
      <c r="G23" s="57" t="inlineStr">
        <is>
          <t>Ocasional (1-5%)</t>
        </is>
      </c>
      <c r="H23" s="57" t="n"/>
      <c r="I23" s="57" t="n"/>
    </row>
    <row r="24">
      <c r="A24" s="58" t="inlineStr">
        <is>
          <t>12</t>
        </is>
      </c>
      <c r="B24" s="58" t="inlineStr">
        <is>
          <t>Helecho</t>
        </is>
      </c>
      <c r="C24" s="58" t="inlineStr">
        <is>
          <t>Pteridium sp.</t>
        </is>
      </c>
      <c r="D24" s="58" t="inlineStr">
        <is>
          <t>Dennstaedtiaceae</t>
        </is>
      </c>
      <c r="E24" s="58" t="inlineStr">
        <is>
          <t>Herbáceo (&lt;0.5 m)</t>
        </is>
      </c>
      <c r="F24" s="58" t="inlineStr">
        <is>
          <t>Nativa</t>
        </is>
      </c>
      <c r="G24" s="58" t="inlineStr">
        <is>
          <t>Frecuente (5-20%)</t>
        </is>
      </c>
      <c r="H24" s="58" t="n"/>
      <c r="I24" s="58" t="n"/>
    </row>
    <row r="25">
      <c r="A25" s="57" t="inlineStr">
        <is>
          <t>13</t>
        </is>
      </c>
      <c r="B25" s="57" t="inlineStr">
        <is>
          <t>Achupalla / Bromelia epífita</t>
        </is>
      </c>
      <c r="C25" s="57" t="inlineStr">
        <is>
          <t>Tillandsia sp.</t>
        </is>
      </c>
      <c r="D25" s="57" t="inlineStr">
        <is>
          <t>Bromeliaceae</t>
        </is>
      </c>
      <c r="E25" s="57" t="inlineStr">
        <is>
          <t>Epífito</t>
        </is>
      </c>
      <c r="F25" s="57" t="inlineStr">
        <is>
          <t>Nativa</t>
        </is>
      </c>
      <c r="G25" s="57" t="inlineStr">
        <is>
          <t>Frecuente (5-20%)</t>
        </is>
      </c>
      <c r="H25" s="57" t="n"/>
      <c r="I25" s="57" t="n"/>
    </row>
    <row r="26">
      <c r="A26" s="58" t="inlineStr">
        <is>
          <t>14</t>
        </is>
      </c>
      <c r="B26" s="58" t="inlineStr">
        <is>
          <t>Penca / Agave</t>
        </is>
      </c>
      <c r="C26" s="58" t="inlineStr">
        <is>
          <t>Agave sp.</t>
        </is>
      </c>
      <c r="D26" s="58" t="inlineStr">
        <is>
          <t>Asparagaceae</t>
        </is>
      </c>
      <c r="E26" s="58" t="inlineStr">
        <is>
          <t>Arbustivo alto (1.5-4 m)</t>
        </is>
      </c>
      <c r="F26" s="58" t="inlineStr">
        <is>
          <t>Introducida</t>
        </is>
      </c>
      <c r="G26" s="58" t="inlineStr">
        <is>
          <t>Ocasional (1-5%)</t>
        </is>
      </c>
      <c r="H26" s="58" t="n"/>
      <c r="I26" s="58" t="n"/>
    </row>
    <row r="27">
      <c r="A27" s="57" t="inlineStr">
        <is>
          <t>15</t>
        </is>
      </c>
      <c r="B27" s="57" t="inlineStr">
        <is>
          <t>Eucalipto</t>
        </is>
      </c>
      <c r="C27" s="57" t="inlineStr">
        <is>
          <t>Eucalyptus sp.</t>
        </is>
      </c>
      <c r="D27" s="57" t="inlineStr">
        <is>
          <t>Myrtaceae</t>
        </is>
      </c>
      <c r="E27" s="57" t="inlineStr">
        <is>
          <t>Arbóreo superior (&gt;15 m)</t>
        </is>
      </c>
      <c r="F27" s="57" t="inlineStr">
        <is>
          <t>Introducida</t>
        </is>
      </c>
      <c r="G27" s="57" t="inlineStr">
        <is>
          <t>Ocasional (1-5%)</t>
        </is>
      </c>
      <c r="H27" s="57" t="n"/>
      <c r="I27" s="57" t="n"/>
    </row>
    <row r="29">
      <c r="A29" s="55" t="inlineStr">
        <is>
          <t>F-DT-03 · ESPECIES CLAVE GEORREFERENCIADAS</t>
        </is>
      </c>
    </row>
    <row r="30">
      <c r="A30" s="56" t="inlineStr">
        <is>
          <t>N.o</t>
        </is>
      </c>
      <c r="B30" s="56" t="inlineStr">
        <is>
          <t>Especie</t>
        </is>
      </c>
      <c r="C30" s="56" t="inlineStr">
        <is>
          <t>Categoría</t>
        </is>
      </c>
      <c r="D30" s="56" t="inlineStr">
        <is>
          <t>Estado UICN</t>
        </is>
      </c>
      <c r="E30" s="56" t="inlineStr">
        <is>
          <t>UTM ESTE</t>
        </is>
      </c>
      <c r="F30" s="56" t="inlineStr">
        <is>
          <t>UTM NORTE</t>
        </is>
      </c>
      <c r="G30" s="56" t="inlineStr">
        <is>
          <t>N.° individuos</t>
        </is>
      </c>
      <c r="H30" s="56" t="inlineStr">
        <is>
          <t>Observación</t>
        </is>
      </c>
    </row>
    <row r="31">
      <c r="A31" s="57" t="inlineStr">
        <is>
          <t>1</t>
        </is>
      </c>
      <c r="B31" s="57" t="inlineStr">
        <is>
          <t>Nogal (Juglans neotropica)</t>
        </is>
      </c>
      <c r="C31" s="57" t="inlineStr">
        <is>
          <t>Amenazada (D.S. 043-2006-AG)</t>
        </is>
      </c>
      <c r="D31" s="57" t="inlineStr">
        <is>
          <t>EN — En Peligro</t>
        </is>
      </c>
      <c r="E31" s="57" t="n"/>
      <c r="F31" s="57" t="n"/>
      <c r="G31" s="57" t="n"/>
      <c r="H31" s="57" t="inlineStr">
        <is>
          <t>Especie nativa amenazada (D.S. 043-2006-AG; UICN EN). Candidata a semillero/propagación.</t>
        </is>
      </c>
    </row>
    <row r="32">
      <c r="A32" s="58" t="inlineStr">
        <is>
          <t>2</t>
        </is>
      </c>
      <c r="B32" s="58" t="inlineStr">
        <is>
          <t>Romerillo (Podocarpus sp.)</t>
        </is>
      </c>
      <c r="C32" s="58" t="inlineStr">
        <is>
          <t>Amenazada (D.S. 043-2006-AG)</t>
        </is>
      </c>
      <c r="D32" s="58" t="inlineStr">
        <is>
          <t>VU — Vulnerable</t>
        </is>
      </c>
      <c r="E32" s="58" t="n"/>
      <c r="F32" s="58" t="n"/>
      <c r="G32" s="58" t="n"/>
      <c r="H32" s="58" t="inlineStr">
        <is>
          <t>Género incluido en D.S. 043-2006-AG. Identificación preliminar; confirmar especie por herborización.</t>
        </is>
      </c>
    </row>
    <row r="33">
      <c r="A33" s="57" t="inlineStr">
        <is>
          <t>3</t>
        </is>
      </c>
      <c r="B33" s="57" t="inlineStr">
        <is>
          <t>Globitos (Calceolaria sp.)</t>
        </is>
      </c>
      <c r="C33" s="57" t="inlineStr">
        <is>
          <t>Indicadora de buen estado</t>
        </is>
      </c>
      <c r="D33" s="57" t="inlineStr">
        <is>
          <t>NE — No Evaluado</t>
        </is>
      </c>
      <c r="E33" s="57" t="n"/>
      <c r="F33" s="57" t="n"/>
      <c r="G33" s="57" t="n"/>
      <c r="H33" s="57" t="inlineStr">
        <is>
          <t>Indicadora de microhábitat húmedo conservado (Registro botánico de campo).</t>
        </is>
      </c>
    </row>
    <row r="34">
      <c r="A34" s="58" t="inlineStr">
        <is>
          <t>4</t>
        </is>
      </c>
      <c r="B34" s="58" t="inlineStr">
        <is>
          <t>Higuerón (Ficus sp.)</t>
        </is>
      </c>
      <c r="C34" s="58" t="inlineStr">
        <is>
          <t>Indicadora de buen estado</t>
        </is>
      </c>
      <c r="D34" s="58" t="inlineStr">
        <is>
          <t>NE — No Evaluado</t>
        </is>
      </c>
      <c r="E34" s="58" t="n"/>
      <c r="F34" s="58" t="n"/>
      <c r="G34" s="58" t="n"/>
      <c r="H34" s="58" t="inlineStr">
        <is>
          <t>Especie clave de bosque de galería; recurso alimenticio para fauna.</t>
        </is>
      </c>
    </row>
    <row r="35">
      <c r="A35" s="57" t="inlineStr">
        <is>
          <t>5</t>
        </is>
      </c>
      <c r="B35" s="57" t="inlineStr">
        <is>
          <t>Zarzamora (Rubus sp.)</t>
        </is>
      </c>
      <c r="C35" s="57" t="inlineStr">
        <is>
          <t>Indicadora de perturbación</t>
        </is>
      </c>
      <c r="D35" s="57" t="inlineStr">
        <is>
          <t>LC — Preocupación Menor</t>
        </is>
      </c>
      <c r="E35" s="57" t="n"/>
      <c r="F35" s="57" t="n"/>
      <c r="G35" s="57" t="n"/>
      <c r="H35" s="57" t="inlineStr">
        <is>
          <t>Pionera facilitadora de la regeneración natural del matorral.</t>
        </is>
      </c>
    </row>
    <row r="37">
      <c r="A37" s="55" t="inlineStr">
        <is>
          <t>F-DT-04 · MATRIZ DE CAUSAS DE DEGRADACIÓN</t>
        </is>
      </c>
    </row>
    <row r="38">
      <c r="A38" s="56" t="inlineStr">
        <is>
          <t>N.o</t>
        </is>
      </c>
      <c r="B38" s="56" t="inlineStr">
        <is>
          <t>Causa</t>
        </is>
      </c>
      <c r="C38" s="56" t="inlineStr">
        <is>
          <t>Presencia</t>
        </is>
      </c>
      <c r="D38" s="56" t="inlineStr">
        <is>
          <t>Intensidad</t>
        </is>
      </c>
      <c r="E38" s="56" t="inlineStr">
        <is>
          <t>Extensión</t>
        </is>
      </c>
      <c r="F38" s="56" t="inlineStr">
        <is>
          <t>Antigüedad</t>
        </is>
      </c>
      <c r="G38" s="56" t="inlineStr">
        <is>
          <t>Evidencia</t>
        </is>
      </c>
    </row>
    <row r="39">
      <c r="A39" s="57" t="inlineStr">
        <is>
          <t>1</t>
        </is>
      </c>
      <c r="B39" s="57" t="inlineStr">
        <is>
          <t>Sobrepastoreo (caprino/vacuno)</t>
        </is>
      </c>
      <c r="C39" s="57" t="inlineStr">
        <is>
          <t>Sí</t>
        </is>
      </c>
      <c r="D39" s="57" t="inlineStr">
        <is>
          <t>Moderada</t>
        </is>
      </c>
      <c r="E39" s="57" t="inlineStr"/>
      <c r="F39" s="57" t="inlineStr"/>
      <c r="G39" s="57" t="inlineStr">
        <is>
          <t>Pastoreo extensivo de vacunos/caprinos en ladera; tranqueras y corrales rústicos (Foto 06); senderos de ganado.</t>
        </is>
      </c>
    </row>
    <row r="40">
      <c r="A40" s="58" t="inlineStr">
        <is>
          <t>2</t>
        </is>
      </c>
      <c r="B40" s="58" t="inlineStr">
        <is>
          <t>Tala para leña</t>
        </is>
      </c>
      <c r="C40" s="58" t="inlineStr">
        <is>
          <t>Sí</t>
        </is>
      </c>
      <c r="D40" s="58" t="inlineStr">
        <is>
          <t>Ligera</t>
        </is>
      </c>
      <c r="E40" s="58" t="inlineStr"/>
      <c r="F40" s="58" t="inlineStr"/>
      <c r="G40" s="58" t="inlineStr">
        <is>
          <t>Cercos y tranqueras construidos con palos/madera local (Foto 06, 07); extracción puntual de leña.</t>
        </is>
      </c>
    </row>
    <row r="41">
      <c r="A41" s="57" t="inlineStr">
        <is>
          <t>3</t>
        </is>
      </c>
      <c r="B41" s="57" t="inlineStr">
        <is>
          <t>Tala para carbón</t>
        </is>
      </c>
      <c r="C41" s="57" t="inlineStr">
        <is>
          <t>No</t>
        </is>
      </c>
      <c r="D41" s="57" t="inlineStr"/>
      <c r="E41" s="57" t="inlineStr"/>
      <c r="F41" s="57" t="inlineStr"/>
      <c r="G41" s="57" t="inlineStr"/>
    </row>
    <row r="42">
      <c r="A42" s="58" t="inlineStr">
        <is>
          <t>4</t>
        </is>
      </c>
      <c r="B42" s="58" t="inlineStr">
        <is>
          <t>Tala para madera</t>
        </is>
      </c>
      <c r="C42" s="58" t="inlineStr">
        <is>
          <t>No</t>
        </is>
      </c>
      <c r="D42" s="58" t="inlineStr"/>
      <c r="E42" s="58" t="inlineStr"/>
      <c r="F42" s="58" t="inlineStr"/>
      <c r="G42" s="58" t="inlineStr"/>
    </row>
    <row r="43">
      <c r="A43" s="57" t="inlineStr">
        <is>
          <t>5</t>
        </is>
      </c>
      <c r="B43" s="57" t="inlineStr">
        <is>
          <t>Quema (renovación de pastos)</t>
        </is>
      </c>
      <c r="C43" s="57" t="inlineStr">
        <is>
          <t>No</t>
        </is>
      </c>
      <c r="D43" s="57" t="inlineStr"/>
      <c r="E43" s="57" t="inlineStr"/>
      <c r="F43" s="57" t="inlineStr"/>
      <c r="G43" s="57" t="inlineStr">
        <is>
          <t>Sin evidencia directa de quemas en el recorrido.</t>
        </is>
      </c>
    </row>
    <row r="44">
      <c r="A44" s="58" t="inlineStr">
        <is>
          <t>6</t>
        </is>
      </c>
      <c r="B44" s="58" t="inlineStr">
        <is>
          <t>Quema accidental / Incendio</t>
        </is>
      </c>
      <c r="C44" s="58" t="inlineStr">
        <is>
          <t>No</t>
        </is>
      </c>
      <c r="D44" s="58" t="inlineStr"/>
      <c r="E44" s="58" t="inlineStr"/>
      <c r="F44" s="58" t="inlineStr"/>
      <c r="G44" s="58" t="inlineStr"/>
    </row>
    <row r="45">
      <c r="A45" s="57" t="inlineStr">
        <is>
          <t>7</t>
        </is>
      </c>
      <c r="B45" s="57" t="inlineStr">
        <is>
          <t>Cambio de uso a agricultura</t>
        </is>
      </c>
      <c r="C45" s="57" t="inlineStr">
        <is>
          <t>Sí</t>
        </is>
      </c>
      <c r="D45" s="57" t="inlineStr">
        <is>
          <t>Moderada</t>
        </is>
      </c>
      <c r="E45" s="57" t="inlineStr"/>
      <c r="F45" s="57" t="inlineStr"/>
      <c r="G45" s="57" t="inlineStr">
        <is>
          <t>Cultivos de maíz, trigo y arveja en laderas de fuerte pendiente, agricultura de secano (Foto 01).</t>
        </is>
      </c>
    </row>
    <row r="46">
      <c r="A46" s="58" t="inlineStr">
        <is>
          <t>8</t>
        </is>
      </c>
      <c r="B46" s="58" t="inlineStr">
        <is>
          <t>Cambio de uso a pastoreo</t>
        </is>
      </c>
      <c r="C46" s="58" t="inlineStr">
        <is>
          <t>Sí</t>
        </is>
      </c>
      <c r="D46" s="58" t="inlineStr">
        <is>
          <t>Moderada</t>
        </is>
      </c>
      <c r="E46" s="58" t="inlineStr"/>
      <c r="F46" s="58" t="inlineStr"/>
      <c r="G46" s="58" t="inlineStr">
        <is>
          <t>Pastos cultivados y áreas de pastoreo extensivo en ladera (Foto 03).</t>
        </is>
      </c>
    </row>
    <row r="47">
      <c r="A47" s="57" t="inlineStr">
        <is>
          <t>9</t>
        </is>
      </c>
      <c r="B47" s="57" t="inlineStr">
        <is>
          <t>Expansión urbana / vial</t>
        </is>
      </c>
      <c r="C47" s="57" t="inlineStr">
        <is>
          <t>Sí</t>
        </is>
      </c>
      <c r="D47" s="57" t="inlineStr">
        <is>
          <t>Ligera</t>
        </is>
      </c>
      <c r="E47" s="57" t="inlineStr"/>
      <c r="F47" s="57" t="inlineStr"/>
      <c r="G47" s="57" t="inlineStr">
        <is>
          <t>Vía vecinal PI-799 con cortes de talud que exponen raíces y generan erosión localizada (Foto 02, 07).</t>
        </is>
      </c>
    </row>
    <row r="48">
      <c r="A48" s="58" t="inlineStr">
        <is>
          <t>10</t>
        </is>
      </c>
      <c r="B48" s="58" t="inlineStr">
        <is>
          <t>Minería informal</t>
        </is>
      </c>
      <c r="C48" s="58" t="inlineStr">
        <is>
          <t>No</t>
        </is>
      </c>
      <c r="D48" s="58" t="inlineStr"/>
      <c r="E48" s="58" t="inlineStr"/>
      <c r="F48" s="58" t="inlineStr"/>
      <c r="G48" s="58" t="inlineStr"/>
    </row>
    <row r="49">
      <c r="A49" s="57" t="inlineStr">
        <is>
          <t>11</t>
        </is>
      </c>
      <c r="B49" s="57" t="inlineStr">
        <is>
          <t>Extracción de áridos (cauces)</t>
        </is>
      </c>
      <c r="C49" s="57" t="inlineStr">
        <is>
          <t>No</t>
        </is>
      </c>
      <c r="D49" s="57" t="inlineStr"/>
      <c r="E49" s="57" t="inlineStr"/>
      <c r="F49" s="57" t="inlineStr"/>
      <c r="G49" s="57" t="inlineStr"/>
    </row>
    <row r="50">
      <c r="A50" s="58" t="inlineStr">
        <is>
          <t>12</t>
        </is>
      </c>
      <c r="B50" s="58" t="inlineStr">
        <is>
          <t>Especies invasoras</t>
        </is>
      </c>
      <c r="C50" s="58" t="inlineStr">
        <is>
          <t>No</t>
        </is>
      </c>
      <c r="D50" s="58" t="inlineStr"/>
      <c r="E50" s="58" t="inlineStr"/>
      <c r="F50" s="58" t="inlineStr"/>
      <c r="G50" s="58" t="inlineStr">
        <is>
          <t>Exóticas plantadas (pino, ciprés, eucalipto) presentes; sin evidencia de invasión activa.</t>
        </is>
      </c>
    </row>
    <row r="51">
      <c r="A51" s="57" t="inlineStr">
        <is>
          <t>13</t>
        </is>
      </c>
      <c r="B51" s="57" t="inlineStr">
        <is>
          <t>Erosión natural severa</t>
        </is>
      </c>
      <c r="C51" s="57" t="inlineStr">
        <is>
          <t>No</t>
        </is>
      </c>
      <c r="D51" s="57" t="inlineStr"/>
      <c r="E51" s="57" t="inlineStr"/>
      <c r="F51" s="57" t="inlineStr"/>
      <c r="G51" s="57" t="inlineStr"/>
    </row>
    <row r="52">
      <c r="A52" s="58" t="inlineStr">
        <is>
          <t>14</t>
        </is>
      </c>
      <c r="B52" s="58" t="inlineStr">
        <is>
          <t>Sequía prolongada / CC</t>
        </is>
      </c>
      <c r="C52" s="58" t="inlineStr">
        <is>
          <t>No</t>
        </is>
      </c>
      <c r="D52" s="58" t="inlineStr"/>
      <c r="E52" s="58" t="inlineStr"/>
      <c r="F52" s="58" t="inlineStr"/>
      <c r="G52" s="58" t="inlineStr"/>
    </row>
    <row r="53">
      <c r="A53" s="57" t="inlineStr">
        <is>
          <t>15</t>
        </is>
      </c>
      <c r="B53" s="57" t="inlineStr">
        <is>
          <t>Plagas o enfermedades forestales</t>
        </is>
      </c>
      <c r="C53" s="57" t="inlineStr">
        <is>
          <t>No</t>
        </is>
      </c>
      <c r="D53" s="57" t="inlineStr"/>
      <c r="E53" s="57" t="inlineStr"/>
      <c r="F53" s="57" t="inlineStr"/>
      <c r="G53" s="57" t="inlineStr"/>
    </row>
    <row r="54">
      <c r="A54" s="58" t="inlineStr">
        <is>
          <t>16</t>
        </is>
      </c>
      <c r="B54" s="58" t="inlineStr">
        <is>
          <t>Otro</t>
        </is>
      </c>
      <c r="C54" s="58" t="inlineStr"/>
      <c r="D54" s="58" t="inlineStr"/>
      <c r="E54" s="58" t="inlineStr"/>
      <c r="F54" s="58" t="inlineStr"/>
      <c r="G54" s="58" t="inlineStr"/>
    </row>
    <row r="56">
      <c r="A56" s="55" t="inlineStr">
        <is>
          <t>F-DT-04 · INDICADORES CUANTITATIVOS</t>
        </is>
      </c>
    </row>
    <row r="57">
      <c r="A57" s="56" t="inlineStr">
        <is>
          <t>N.o</t>
        </is>
      </c>
      <c r="B57" s="56" t="inlineStr">
        <is>
          <t>Indicador</t>
        </is>
      </c>
      <c r="C57" s="56" t="inlineStr">
        <is>
          <t>Unidad</t>
        </is>
      </c>
      <c r="D57" s="56" t="inlineStr">
        <is>
          <t>Valor</t>
        </is>
      </c>
      <c r="E57" s="56" t="inlineStr">
        <is>
          <t>Fuente</t>
        </is>
      </c>
      <c r="F57" s="56" t="inlineStr">
        <is>
          <t>Umbral</t>
        </is>
      </c>
      <c r="G57" s="56" t="inlineStr">
        <is>
          <t>Nivel</t>
        </is>
      </c>
    </row>
    <row r="58">
      <c r="A58" s="57" t="inlineStr">
        <is>
          <t>1</t>
        </is>
      </c>
      <c r="B58" s="57" t="inlineStr">
        <is>
          <t>Cobertura vegetal total</t>
        </is>
      </c>
      <c r="C58" s="57" t="inlineStr">
        <is>
          <t>%</t>
        </is>
      </c>
      <c r="D58" s="57" t="inlineStr">
        <is>
          <t>85</t>
        </is>
      </c>
      <c r="E58" s="57" t="inlineStr">
        <is>
          <t>MSAVI Piura 2024 / observación de campo</t>
        </is>
      </c>
      <c r="F58" s="57" t="inlineStr">
        <is>
          <t>&gt;60% bueno; 30-60% medio; &lt;30% malo</t>
        </is>
      </c>
      <c r="G58" s="57" t="inlineStr">
        <is>
          <t>Bajo</t>
        </is>
      </c>
    </row>
    <row r="59">
      <c r="A59" s="58" t="inlineStr">
        <is>
          <t>2</t>
        </is>
      </c>
      <c r="B59" s="58" t="inlineStr">
        <is>
          <t>Porcentaje de suelo desnudo</t>
        </is>
      </c>
      <c r="C59" s="58" t="inlineStr">
        <is>
          <t>%</t>
        </is>
      </c>
      <c r="D59" s="58" t="inlineStr"/>
      <c r="E59" s="58" t="inlineStr"/>
      <c r="F59" s="58" t="inlineStr">
        <is>
          <t>&lt;10% bueno; 10-30% medio; &gt;30% malo</t>
        </is>
      </c>
      <c r="G59" s="58" t="inlineStr"/>
    </row>
    <row r="60">
      <c r="A60" s="57" t="inlineStr">
        <is>
          <t>3</t>
        </is>
      </c>
      <c r="B60" s="57" t="inlineStr">
        <is>
          <t>Densidad de cárcavas</t>
        </is>
      </c>
      <c r="C60" s="57" t="inlineStr">
        <is>
          <t>N°/ha</t>
        </is>
      </c>
      <c r="D60" s="57" t="inlineStr">
        <is>
          <t>0</t>
        </is>
      </c>
      <c r="E60" s="57" t="inlineStr">
        <is>
          <t>Inventario de campo F-DT-02</t>
        </is>
      </c>
      <c r="F60" s="57" t="inlineStr">
        <is>
          <t>0 nulo; 1-3 medio; &gt;3 alto</t>
        </is>
      </c>
      <c r="G60" s="57" t="inlineStr">
        <is>
          <t>Bajo</t>
        </is>
      </c>
    </row>
    <row r="61">
      <c r="A61" s="58" t="inlineStr">
        <is>
          <t>4</t>
        </is>
      </c>
      <c r="B61" s="58" t="inlineStr">
        <is>
          <t>Presencia de especies invasoras</t>
        </is>
      </c>
      <c r="C61" s="58" t="inlineStr">
        <is>
          <t>% área</t>
        </is>
      </c>
      <c r="D61" s="58" t="inlineStr"/>
      <c r="E61" s="58" t="inlineStr"/>
      <c r="F61" s="58" t="inlineStr">
        <is>
          <t>&lt;5% bueno; 5-20% medio; &gt;20% alto</t>
        </is>
      </c>
      <c r="G61" s="58" t="inlineStr"/>
    </row>
    <row r="62">
      <c r="A62" s="57" t="inlineStr">
        <is>
          <t>5</t>
        </is>
      </c>
      <c r="B62" s="57" t="inlineStr">
        <is>
          <t>Carga ganadera estimada</t>
        </is>
      </c>
      <c r="C62" s="57" t="inlineStr">
        <is>
          <t>UA/ha</t>
        </is>
      </c>
      <c r="D62" s="57" t="inlineStr"/>
      <c r="E62" s="57" t="inlineStr"/>
      <c r="F62" s="57" t="inlineStr">
        <is>
          <t>Según tipo de ecosistema</t>
        </is>
      </c>
      <c r="G62" s="57" t="inlineStr"/>
    </row>
    <row r="63">
      <c r="A63" s="58" t="inlineStr">
        <is>
          <t>6</t>
        </is>
      </c>
      <c r="B63" s="58" t="inlineStr">
        <is>
          <t>Frecuencia de quemas últimos 5 años</t>
        </is>
      </c>
      <c r="C63" s="58" t="inlineStr">
        <is>
          <t>N°</t>
        </is>
      </c>
      <c r="D63" s="58" t="inlineStr"/>
      <c r="E63" s="58" t="inlineStr"/>
      <c r="F63" s="58" t="inlineStr">
        <is>
          <t>0 nulo; 1-2 medio; &gt;2 alto</t>
        </is>
      </c>
      <c r="G63" s="58" t="inlineStr"/>
    </row>
    <row r="64">
      <c r="A64" s="57" t="inlineStr">
        <is>
          <t>7</t>
        </is>
      </c>
      <c r="B64" s="57" t="inlineStr">
        <is>
          <t>% área con pendiente &gt;50%</t>
        </is>
      </c>
      <c r="C64" s="57" t="inlineStr">
        <is>
          <t>%</t>
        </is>
      </c>
      <c r="D64" s="57" t="inlineStr"/>
      <c r="E64" s="57" t="inlineStr"/>
      <c r="F64" s="57" t="inlineStr">
        <is>
          <t>Factor de susceptibilidad</t>
        </is>
      </c>
      <c r="G64" s="57" t="inlineStr"/>
    </row>
    <row r="65">
      <c r="A65" s="58" t="inlineStr">
        <is>
          <t>8</t>
        </is>
      </c>
      <c r="B65" s="58" t="inlineStr">
        <is>
          <t>Distancia a vía vecinal más cercana</t>
        </is>
      </c>
      <c r="C65" s="58" t="inlineStr">
        <is>
          <t>m</t>
        </is>
      </c>
      <c r="D65" s="58" t="inlineStr">
        <is>
          <t>0</t>
        </is>
      </c>
      <c r="E65" s="58" t="inlineStr">
        <is>
          <t>Vía vecinal PI-799 (recorrido GPS) — bloque colindante a la vía</t>
        </is>
      </c>
      <c r="F65" s="58" t="inlineStr">
        <is>
          <t>A menor distancia → mayor presión</t>
        </is>
      </c>
      <c r="G65" s="58" t="inlineStr">
        <is>
          <t>Alto</t>
        </is>
      </c>
    </row>
    <row r="67">
      <c r="A67" s="55" t="inlineStr">
        <is>
          <t>F-DT-05 · FUENTES DE AGUA INVENTARIADAS</t>
        </is>
      </c>
    </row>
    <row r="68">
      <c r="A68" s="56" t="inlineStr">
        <is>
          <t>N.o</t>
        </is>
      </c>
      <c r="B68" s="56" t="inlineStr">
        <is>
          <t>Tipo de fuente</t>
        </is>
      </c>
      <c r="C68" s="56" t="inlineStr">
        <is>
          <t>UTM ESTE</t>
        </is>
      </c>
      <c r="D68" s="56" t="inlineStr">
        <is>
          <t>UTM NORTE</t>
        </is>
      </c>
      <c r="E68" s="56" t="inlineStr">
        <is>
          <t>Régimen</t>
        </is>
      </c>
      <c r="F68" s="56" t="inlineStr">
        <is>
          <t>Calidad</t>
        </is>
      </c>
      <c r="G68" s="56" t="inlineStr">
        <is>
          <t>Distancia (m)</t>
        </is>
      </c>
      <c r="H68" s="56" t="inlineStr">
        <is>
          <t>Uso / observación</t>
        </is>
      </c>
    </row>
    <row r="69">
      <c r="A69" s="57" t="inlineStr">
        <is>
          <t>1</t>
        </is>
      </c>
      <c r="B69" s="57" t="inlineStr">
        <is>
          <t>Manantial / Puquio</t>
        </is>
      </c>
      <c r="C69" s="62" t="n">
        <v>618998</v>
      </c>
      <c r="D69" s="62" t="n">
        <v>9439919</v>
      </c>
      <c r="E69" s="57" t="inlineStr">
        <is>
          <t>Permanente</t>
        </is>
      </c>
      <c r="F69" s="57" t="inlineStr">
        <is>
          <t>Buena (clara, sin olor, sin sedimentos)</t>
        </is>
      </c>
      <c r="G69" s="63" t="n">
        <v>0</v>
      </c>
      <c r="H69" s="57" t="inlineStr">
        <is>
          <t>Manantial con captación rústica de concreto (Foto 04); agua clara; dentro del bloque; posible uso doméstico local.</t>
        </is>
      </c>
    </row>
    <row r="72">
      <c r="A72" s="55" t="inlineStr">
        <is>
          <t>OBSERVACIONES DEL EVALUADOR POR FICHA</t>
        </is>
      </c>
    </row>
    <row r="73">
      <c r="A73" s="56" t="inlineStr">
        <is>
          <t>Ficha</t>
        </is>
      </c>
      <c r="B73" s="56" t="inlineStr">
        <is>
          <t>Observación registrada en campo</t>
        </is>
      </c>
    </row>
    <row r="74">
      <c r="A74" s="57" t="inlineStr">
        <is>
          <t>F-DT-01</t>
        </is>
      </c>
      <c r="B74" s="57" t="inlineStr">
        <is>
          <t>Bloque con cobertura vegetal densa (MSAVI 2024 mayoritariamente &gt;0.61). La inestabilidad observada se concentra en los cortes de talud de la vía vecinal PI-799 (raíces expuestas, erosión incipiente). Se observan rodados/bloques aislados cerca del manantial (no afloramientos de roca). Reptación de suelo y deslizamientos antiguos: no evidenciados en el recorrido, se mencionan únicamente como posibilidad en laderas sobrepastoreadas (verificación pendiente). Altitud del bloque 1898–2207 msnm; pendiente media ~43%, máxima ~54% (perfil Google Earth).</t>
        </is>
      </c>
    </row>
    <row r="75">
      <c r="A75" s="58" t="inlineStr">
        <is>
          <t>F-DT-02</t>
        </is>
      </c>
      <c r="B75" s="58" t="inlineStr">
        <is>
          <t>Erosión localizada en los cortes de talud de la vía vecinal PI-799: raíces expuestas y remoción superficial de suelo arcillo-arenoso rojizo (Foto 02). El perfil de suelo expuesto (Foto 09) muestra horizonte orgánico superficial sobre saprolito; sin afloramiento de roca. No se registraron cárcavas activas georreferenciadas durante el recorrido (la vegetación densa protege la mayor parte del bloque). Compactación por pisoteo de ganado y exposición radicular asociadas al pastoreo extensivo. Cuantificación de erosión laminar y % de bloque afectado: pendiente de medición con parcelas específicas.</t>
        </is>
      </c>
    </row>
    <row r="76">
      <c r="A76" s="57" t="inlineStr">
        <is>
          <t>F-DT-03</t>
        </is>
      </c>
      <c r="B76" s="57" t="inlineStr">
        <is>
          <t>Inventario florístico rápido por recorrido; las clases de estrato, origen y abundancia son estimaciones cualitativas pendientes de confirmación con parcelas (10x10 m) e índices de diversidad. Identificaciones a nivel de género/especie preliminares (Registro Botánico de Campo Bloque 78, ANIN-DIME-SESDI): se recomienda herborización (Herbario MOL-UNALM o HUT). Se registraron además exóticas plantadas (pino, ciprés, eucalipto), caña Guayaquil y cultivos (maíz, trigo, arveja). Ecosistema MINAM dominante: Matorral andino (con mosaico de zona agrícola), según capa Intersecc_BloquesV4_Ecosistemas.</t>
        </is>
      </c>
    </row>
    <row r="77">
      <c r="A77" s="58" t="inlineStr">
        <is>
          <t>F-DT-04</t>
        </is>
      </c>
      <c r="B77" s="58" t="inlineStr">
        <is>
          <t>La degradación es de intensidad moderada y carácter localizado: el bloque conserva alta cobertura vegetal (MSAVI &gt;0.61 dominante) y especies nativas valiosas (nogal, podocarpus, higuerón). Los principales focos son los cultivos en ladera, el pastoreo y los cortes de la vía. Indicadores no cuantificados (suelo desnudo, carga ganadera, % pendiente &gt;50%, frecuencia de quemas) requieren medición de gabinete/campo complementaria.</t>
        </is>
      </c>
    </row>
    <row r="78">
      <c r="A78" s="57" t="inlineStr">
        <is>
          <t>F-DT-05</t>
        </is>
      </c>
      <c r="B78" s="57" t="inlineStr">
        <is>
          <t>Acceso por vía vecinal PI-799 (trocha carrozable de tierra), vehicular hasta el borde del bloque y recorrido a pie. Trocha transitable en época seca; condiciones de barro y baja transitabilidad en lluvias (Foto 07). Predios de propiedad privada; coordinación directa con titulares. Manantial con captación rústica como única fuente documentada en el recorrido; zona de evidente recarga hídrica (humedad persistente, helechos, musgos). Tiempos de viaje y señal celular: no registrados en esta visita.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78</t>
        </is>
      </c>
    </row>
    <row r="7">
      <c r="A7" s="55" t="inlineStr">
        <is>
          <t>Hechos declarados por fuente</t>
        </is>
      </c>
    </row>
    <row r="8">
      <c r="A8" s="56" t="inlineStr">
        <is>
          <t>Fuente</t>
        </is>
      </c>
      <c r="B8" s="56" t="inlineStr">
        <is>
          <t>Hechos</t>
        </is>
      </c>
    </row>
    <row r="9">
      <c r="A9" s="57" t="inlineStr">
        <is>
          <t>Dato de campo</t>
        </is>
      </c>
      <c r="B9" s="57" t="n">
        <v>56</v>
      </c>
    </row>
    <row r="10">
      <c r="A10" s="58" t="inlineStr">
        <is>
          <t>Gabinete (GIS / teledetección)</t>
        </is>
      </c>
      <c r="B10" s="58" t="n">
        <v>21</v>
      </c>
    </row>
    <row r="11">
      <c r="A11" s="57" t="inlineStr">
        <is>
          <t>Fuente oficial</t>
        </is>
      </c>
      <c r="B11" s="57" t="n">
        <v>14</v>
      </c>
    </row>
    <row r="26">
      <c r="A26" s="55" t="inlineStr">
        <is>
          <t>Estado del cruce entre fuentes</t>
        </is>
      </c>
    </row>
    <row r="27">
      <c r="A27" s="56" t="inlineStr">
        <is>
          <t>Estado</t>
        </is>
      </c>
      <c r="B27" s="56" t="inlineStr">
        <is>
          <t>Hechos</t>
        </is>
      </c>
    </row>
    <row r="28">
      <c r="A28" s="57" t="inlineStr">
        <is>
          <t>CONFORME</t>
        </is>
      </c>
      <c r="B28" s="57" t="n">
        <v>89</v>
      </c>
    </row>
    <row r="29">
      <c r="A29" s="58" t="inlineStr">
        <is>
          <t>COMPLEMENTADO</t>
        </is>
      </c>
      <c r="B29" s="58" t="n">
        <v>0</v>
      </c>
    </row>
    <row r="30">
      <c r="A30" s="57" t="inlineStr">
        <is>
          <t>ACTUALIZADO</t>
        </is>
      </c>
      <c r="B30" s="57" t="n">
        <v>2</v>
      </c>
    </row>
    <row r="31">
      <c r="A31" s="58" t="inlineStr">
        <is>
          <t>DISCREPANTE</t>
        </is>
      </c>
      <c r="B31" s="58" t="n">
        <v>0</v>
      </c>
    </row>
    <row r="32">
      <c r="A32" s="57" t="inlineStr">
        <is>
          <t>PENDIENTE</t>
        </is>
      </c>
      <c r="B32" s="57" t="n">
        <v>23</v>
      </c>
    </row>
    <row r="45">
      <c r="A45" s="55" t="inlineStr">
        <is>
          <t>Causas activas de degradación (F-DT-04)</t>
        </is>
      </c>
    </row>
    <row r="46">
      <c r="A46" s="56" t="inlineStr">
        <is>
          <t>Causa</t>
        </is>
      </c>
      <c r="B46" s="56" t="inlineStr">
        <is>
          <t>Intensidad (1 ligera - 4 muy fuerte)</t>
        </is>
      </c>
    </row>
    <row r="47">
      <c r="A47" s="57" t="inlineStr">
        <is>
          <t>Cambio de uso a agricultura</t>
        </is>
      </c>
      <c r="B47" s="57" t="n">
        <v>2</v>
      </c>
    </row>
    <row r="48">
      <c r="A48" s="58" t="inlineStr">
        <is>
          <t>Cambio de uso a pastoreo</t>
        </is>
      </c>
      <c r="B48" s="58" t="n">
        <v>2</v>
      </c>
    </row>
    <row r="49">
      <c r="A49" s="57" t="inlineStr">
        <is>
          <t>Sobrepastoreo (caprino/vacuno)</t>
        </is>
      </c>
      <c r="B49" s="57" t="n">
        <v>2</v>
      </c>
    </row>
    <row r="50">
      <c r="A50" s="58" t="inlineStr">
        <is>
          <t>Expansión urbana / vial</t>
        </is>
      </c>
      <c r="B50" s="58" t="n">
        <v>1</v>
      </c>
    </row>
    <row r="51">
      <c r="A51" s="57" t="inlineStr">
        <is>
          <t>Tala para leña</t>
        </is>
      </c>
      <c r="B51" s="57" t="n">
        <v>1</v>
      </c>
    </row>
    <row r="64">
      <c r="A64" s="55" t="inlineStr">
        <is>
          <t>Control de consistencia por calificación</t>
        </is>
      </c>
    </row>
    <row r="65">
      <c r="A65" s="56" t="inlineStr">
        <is>
          <t>Calificación</t>
        </is>
      </c>
      <c r="B65" s="56" t="inlineStr">
        <is>
          <t>Verificaciones</t>
        </is>
      </c>
    </row>
    <row r="66">
      <c r="A66" s="57" t="inlineStr">
        <is>
          <t>SUSTANTIVA</t>
        </is>
      </c>
      <c r="B66" s="57" t="n">
        <v>2</v>
      </c>
    </row>
    <row r="67">
      <c r="A67" s="58" t="inlineStr">
        <is>
          <t>NO SUSTANTIVA</t>
        </is>
      </c>
      <c r="B67" s="58" t="n">
        <v>4</v>
      </c>
    </row>
    <row r="68">
      <c r="A68" s="57" t="inlineStr">
        <is>
          <t>CORREGIDO</t>
        </is>
      </c>
      <c r="B68" s="57" t="n">
        <v>3</v>
      </c>
    </row>
    <row r="69">
      <c r="A69" s="58" t="inlineStr">
        <is>
          <t>CONFORME</t>
        </is>
      </c>
      <c r="B69"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78 — IN Piura</dc:title>
  <dc:subject>Diagnóstico Territorial por bloque de intervención</dc:subject>
  <dcterms:created xsi:type="dcterms:W3CDTF">2026-09-08T03:39:57Z</dcterms:created>
  <dcterms:modified xsi:type="dcterms:W3CDTF">2026-09-11T21:26:31Z</dcterms:modified>
</cp:coreProperties>
</file>