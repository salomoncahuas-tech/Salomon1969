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integración'!$A$53:$A$56</f>
            </numRef>
          </cat>
          <val>
            <numRef>
              <f>'Gráficos de integración'!$B$53:$B$56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integración'!B74</f>
            </strRef>
          </tx>
          <spPr>
            <a:ln>
              <a:prstDash val="solid"/>
            </a:ln>
          </spPr>
          <cat>
            <numRef>
              <f>'Gráficos de integración'!$A$75:$A$77</f>
            </numRef>
          </cat>
          <val>
            <numRef>
              <f>'Gráficos de integración'!$B$75:$B$77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integración'!B95</f>
            </strRef>
          </tx>
          <spPr>
            <a:ln>
              <a:prstDash val="solid"/>
            </a:ln>
          </spPr>
          <cat>
            <numRef>
              <f>'Gráficos de integración'!$A$96:$A$99</f>
            </numRef>
          </cat>
          <val>
            <numRef>
              <f>'Gráficos de integración'!$B$96:$B$99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73</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94</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58</t>
        </is>
      </c>
    </row>
    <row r="6" ht="24" customHeight="1">
      <c r="A6" s="4" t="inlineStr">
        <is>
          <t>Diagnóstico Territorial — Plantilla DT Campo Check Validada V5 | Sistema de referencia: UTM WGS 84 Zona 17S (EPSG:32717) · Integrado con la ficha de campo F-DT vigente (Plantilla_DT_Campo_Bloque58_IN_Piura.xlsx) — V7 - resumen V6 + campo F-DT integrado</t>
        </is>
      </c>
    </row>
    <row r="7"/>
    <row r="8" ht="18" customHeight="1">
      <c r="A8" s="5" t="inlineStr">
        <is>
          <t>1. IDENTIFICACIÓN Y LOCALIZACIÓN</t>
        </is>
      </c>
    </row>
    <row r="9">
      <c r="A9" s="6" t="inlineStr">
        <is>
          <t>Código del bloque</t>
        </is>
      </c>
      <c r="B9" s="7" t="inlineStr">
        <is>
          <t>58</t>
        </is>
      </c>
      <c r="C9" s="6" t="inlineStr">
        <is>
          <t>Microcuenca (catálogo)</t>
        </is>
      </c>
      <c r="D9" s="7" t="inlineStr">
        <is>
          <t>C1086-Q9569</t>
        </is>
      </c>
      <c r="E9" s="8" t="n"/>
      <c r="F9" s="8" t="n"/>
    </row>
    <row r="10">
      <c r="A10" s="6" t="inlineStr">
        <is>
          <t>Zona de planificación</t>
        </is>
      </c>
      <c r="B10" s="7" t="inlineStr">
        <is>
          <t>Z04</t>
        </is>
      </c>
      <c r="C10" s="6" t="inlineStr">
        <is>
          <t>Microcuenca declarada en ficha DT</t>
        </is>
      </c>
      <c r="D10" s="7" t="inlineStr">
        <is>
          <t>C1076-Q9584 (según ficha de campo — error de transcripción; catálogo: C1086-Q9569)</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Santa Catalina de Mossa</t>
        </is>
      </c>
      <c r="C12" s="6" t="inlineStr">
        <is>
          <t>Capital distrital</t>
        </is>
      </c>
      <c r="D12" s="7" t="inlineStr">
        <is>
          <t>Santa Catalina de Mossa</t>
        </is>
      </c>
      <c r="E12" s="8" t="n"/>
      <c r="F12" s="8" t="n"/>
    </row>
    <row r="13">
      <c r="A13" s="6" t="inlineStr">
        <is>
          <t>Centro poblado asociado</t>
        </is>
      </c>
      <c r="B13" s="7" t="inlineStr">
        <is>
          <t>Maray (618 786 E · 9 426 011 N; 329 hab.) — figura como «Nuevo Maray» en el 2.º Producto OS 1993-2026</t>
        </is>
      </c>
      <c r="C13" s="6" t="inlineStr">
        <is>
          <t>Comunidad campesina</t>
        </is>
      </c>
      <c r="D13" s="7" t="inlineStr">
        <is>
          <t>Por verificar</t>
        </is>
      </c>
      <c r="E13" s="8" t="n"/>
      <c r="F13" s="8" t="n"/>
    </row>
    <row r="14">
      <c r="A14" s="6" t="inlineStr">
        <is>
          <t>Superficie de catálogo (V5/V6), ha</t>
        </is>
      </c>
      <c r="B14" s="7" t="n">
        <v>11.47</v>
      </c>
      <c r="C14" s="6" t="inlineStr">
        <is>
          <t>Fuente de superficie</t>
        </is>
      </c>
      <c r="D14" s="7" t="inlineStr">
        <is>
          <t>Catálogo maestro Bloques V5/V6</t>
        </is>
      </c>
      <c r="E14" s="8" t="n"/>
      <c r="F14" s="8" t="n"/>
    </row>
    <row r="15">
      <c r="A15" s="6" t="inlineStr">
        <is>
          <t>Centroide UTM ESTE (m)</t>
        </is>
      </c>
      <c r="B15" s="7" t="n">
        <v>619094</v>
      </c>
      <c r="C15" s="6" t="inlineStr">
        <is>
          <t>Centroide UTM NORTE (m)</t>
        </is>
      </c>
      <c r="D15" s="7" t="n">
        <v>9426406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209</v>
      </c>
      <c r="C19" s="6" t="inlineStr">
        <is>
          <t>Altitud máxima (msnm)</t>
        </is>
      </c>
      <c r="D19" s="7" t="n">
        <v>288</v>
      </c>
      <c r="E19" s="8" t="n"/>
      <c r="F19" s="8" t="n"/>
    </row>
    <row r="20">
      <c r="A20" s="6" t="inlineStr">
        <is>
          <t>Amplitud altitudinal (m)</t>
        </is>
      </c>
      <c r="B20" s="7" t="n">
        <v>79</v>
      </c>
      <c r="C20" s="6" t="inlineStr">
        <is>
          <t>Piso altitudinal dominante</t>
        </is>
      </c>
      <c r="D20" s="7" t="inlineStr">
        <is>
          <t>&lt;1000 m (Yunga)</t>
        </is>
      </c>
      <c r="E20" s="8" t="n"/>
      <c r="F20" s="8" t="n"/>
    </row>
    <row r="21">
      <c r="A21" s="6" t="inlineStr">
        <is>
          <t>Pendiente promedio (%)</t>
        </is>
      </c>
      <c r="B21" s="7" t="n">
        <v>16.09</v>
      </c>
      <c r="C21" s="6" t="inlineStr">
        <is>
          <t>Pendiente promedio (grados)</t>
        </is>
      </c>
      <c r="D21" s="7" t="n">
        <v>9.1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Por determinar</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0.4203</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(78.82 %)</t>
        </is>
      </c>
      <c r="E29" s="8" t="n"/>
      <c r="F29" s="8" t="n"/>
    </row>
    <row r="30">
      <c r="A30" s="6" t="inlineStr">
        <is>
          <t>Superficie clasificada NDVI 2025 (ha)</t>
        </is>
      </c>
      <c r="B30" s="7" t="n">
        <v>11.48</v>
      </c>
      <c r="C30" s="6" t="inlineStr">
        <is>
          <t>Desviación frente al catálogo (%)</t>
        </is>
      </c>
      <c r="D30" s="7" t="n">
        <v>0.09</v>
      </c>
      <c r="E30" s="8" t="n"/>
      <c r="F30" s="8" t="n"/>
    </row>
    <row r="31">
      <c r="A31" s="6" t="inlineStr">
        <is>
          <t>Superficie clasificada MSAVI 2024 (ha)</t>
        </is>
      </c>
      <c r="B31" s="38" t="n">
        <v>11.475</v>
      </c>
      <c r="C31" s="6" t="inlineStr">
        <is>
          <t>Desviación MSAVI frente al catálogo (%)</t>
        </is>
      </c>
      <c r="D31" s="39" t="n">
        <v>0.04</v>
      </c>
      <c r="E31" s="8" t="n"/>
      <c r="F31" s="8" t="n"/>
    </row>
    <row r="32">
      <c r="A32" s="6" t="inlineStr">
        <is>
          <t>Superficie bajo umbral MSAVI 0.4976 (ha)</t>
        </is>
      </c>
      <c r="B32" s="38" t="n">
        <v>11.182</v>
      </c>
      <c r="C32" s="6" t="inlineStr">
        <is>
          <t>% del bloque bajo umbral (brecha espectral)</t>
        </is>
      </c>
      <c r="D32" s="39" t="n">
        <v>97.45</v>
      </c>
      <c r="E32" s="8" t="n"/>
      <c r="F32" s="8" t="n"/>
    </row>
    <row r="33">
      <c r="A33" s="6" t="inlineStr">
        <is>
          <t>Clase DN dominante (MSAVI 2024)</t>
        </is>
      </c>
      <c r="B33" s="7" t="inlineStr">
        <is>
          <t>DN 3 · 0.3813 - 0.4976 (Vigor bajo)</t>
        </is>
      </c>
      <c r="C33" s="6" t="inlineStr">
        <is>
          <t>N.° de polígonos MSAVI del bloque</t>
        </is>
      </c>
      <c r="D33" s="40" t="n">
        <v>50</v>
      </c>
      <c r="E33" s="8" t="n"/>
      <c r="F33" s="8" t="n"/>
    </row>
    <row r="34"/>
    <row r="35" ht="18" customHeight="1">
      <c r="A35" s="5" t="inlineStr">
        <is>
          <t>4. ECOSISTEMA Y ESTADO DE CONSERVACIÓN</t>
        </is>
      </c>
    </row>
    <row r="36">
      <c r="A36" s="6" t="inlineStr">
        <is>
          <t>Tipo de ecosistema (UP)</t>
        </is>
      </c>
      <c r="B36" s="7" t="inlineStr">
        <is>
          <t>Bosque seco de colina y montaña (Bes-cm)</t>
        </is>
      </c>
      <c r="C36" s="6" t="inlineStr">
        <is>
          <t>Superficie de ecosistema (ha)</t>
        </is>
      </c>
      <c r="D36" s="7" t="inlineStr">
        <is>
          <t>11.47 ha (100% del bloque)</t>
        </is>
      </c>
      <c r="E36" s="8" t="n"/>
      <c r="F36" s="8" t="n"/>
    </row>
    <row r="37">
      <c r="A37" s="6" t="inlineStr">
        <is>
          <t>Estado de conservación</t>
        </is>
      </c>
      <c r="B37" s="7" t="inlineStr">
        <is>
          <t>Conservado (sin intervención evidente)</t>
        </is>
      </c>
      <c r="C37" s="6" t="inlineStr">
        <is>
          <t>Uso actual dominante del suelo</t>
        </is>
      </c>
      <c r="D37" s="50" t="inlineStr">
        <is>
          <t>Forestal protección</t>
        </is>
      </c>
      <c r="E37" s="8" t="n"/>
      <c r="F37" s="8" t="n"/>
    </row>
    <row r="38">
      <c r="A38" s="6" t="inlineStr">
        <is>
          <t>Tipo de cobertura dominante</t>
        </is>
      </c>
      <c r="B38" s="7" t="inlineStr">
        <is>
          <t>Bosque denso (&gt;70%)</t>
        </is>
      </c>
      <c r="C38" s="6" t="inlineStr">
        <is>
          <t>Cobertura vegetal total — campo (%)</t>
        </is>
      </c>
      <c r="D38" s="7" t="n">
        <v>60</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1</v>
      </c>
      <c r="E40" s="8" t="n"/>
      <c r="F40" s="8" t="n"/>
    </row>
    <row r="41">
      <c r="A41" s="6" t="inlineStr">
        <is>
          <t>Elenco florístico (n.° de taxones)</t>
        </is>
      </c>
      <c r="B41" s="7" t="n">
        <v>12</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Domínguez Varas / Ángela Cruz</t>
        </is>
      </c>
      <c r="C44" s="6" t="inlineStr">
        <is>
          <t>Fecha de evaluación</t>
        </is>
      </c>
      <c r="D44" s="7" t="inlineStr">
        <is>
          <t>2026-05-06</t>
        </is>
      </c>
      <c r="E44" s="8" t="n"/>
      <c r="F44" s="8" t="n"/>
    </row>
    <row r="45">
      <c r="A45" s="6" t="inlineStr">
        <is>
          <t>Hora de registro</t>
        </is>
      </c>
      <c r="B45" s="7" t="inlineStr">
        <is>
          <t>11:20 h</t>
        </is>
      </c>
      <c r="C45" s="6" t="inlineStr">
        <is>
          <t>Correlativo de ficha</t>
        </is>
      </c>
      <c r="D45" s="7" t="inlineStr">
        <is>
          <t>F-DT-B58-01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No instalada — estimación visual sobre recorrido</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ficha de campo. Preliminar: demanda energética doméstica de leña y pastoreo extensivo sin manejo</t>
        </is>
      </c>
      <c r="C51" s="6" t="inlineStr">
        <is>
          <t>Velocidad de degradación</t>
        </is>
      </c>
      <c r="D51" s="7" t="inlineStr">
        <is>
          <t>Lenta</t>
        </is>
      </c>
      <c r="E51" s="8" t="n"/>
      <c r="F51" s="8" t="n"/>
    </row>
    <row r="52">
      <c r="A52" s="6" t="inlineStr">
        <is>
          <t>Reversibilidad técnica</t>
        </is>
      </c>
      <c r="B52" s="7" t="inlineStr">
        <is>
          <t>En recuperación</t>
        </is>
      </c>
      <c r="C52" s="6" t="inlineStr">
        <is>
          <t>Urgencia de intervención</t>
        </is>
      </c>
      <c r="D52" s="7" t="inlineStr">
        <is>
          <t>Baja</t>
        </is>
      </c>
      <c r="E52" s="8" t="n"/>
      <c r="F52" s="8" t="n"/>
    </row>
    <row r="53">
      <c r="A53" s="6" t="inlineStr">
        <is>
          <t>Urgencia de control de erosión</t>
        </is>
      </c>
      <c r="B53" s="7" t="inlineStr">
        <is>
          <t>Media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58</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0.2924</v>
      </c>
      <c r="C11" s="21">
        <f>ROUND(B11/$B$15*100,2)</f>
        <v/>
      </c>
      <c r="D11" s="13" t="inlineStr">
        <is>
          <t>Vigor moderado</t>
        </is>
      </c>
      <c r="E11" s="13" t="inlineStr">
        <is>
          <t>Sobre umbral</t>
        </is>
      </c>
    </row>
    <row r="12">
      <c r="A12" s="14" t="inlineStr">
        <is>
          <t>0.3813 - 0.4976 · DN 3</t>
        </is>
      </c>
      <c r="B12" s="31" t="n">
        <v>9.285399999999999</v>
      </c>
      <c r="C12" s="30">
        <f>ROUND(B12/$B$15*100,2)</f>
        <v/>
      </c>
      <c r="D12" s="15" t="inlineStr">
        <is>
          <t>Vigor bajo</t>
        </is>
      </c>
      <c r="E12" s="15" t="inlineStr">
        <is>
          <t>BAJO umbral 0.4976</t>
        </is>
      </c>
    </row>
    <row r="13">
      <c r="A13" s="12" t="inlineStr">
        <is>
          <t>0.2650 - 0.3813 · DN 2</t>
        </is>
      </c>
      <c r="B13" s="20" t="n">
        <v>1.897</v>
      </c>
      <c r="C13" s="21">
        <f>ROUND(B13/$B$15*100,2)</f>
        <v/>
      </c>
      <c r="D13" s="13" t="inlineStr">
        <is>
          <t>Vigor muy bajo</t>
        </is>
      </c>
      <c r="E13" s="13"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50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11.47</v>
      </c>
      <c r="C18" s="49" t="inlineStr">
        <is>
          <t>—</t>
        </is>
      </c>
      <c r="D18" s="46" t="inlineStr">
        <is>
          <t>Desviación planimétrica frente al catálogo</t>
        </is>
      </c>
      <c r="E18" s="46" t="inlineStr">
        <is>
          <t>+0.04 %</t>
        </is>
      </c>
    </row>
    <row r="19">
      <c r="A19" s="16" t="inlineStr">
        <is>
          <t>MSAVI 2024 — MEDIA DEL BLOQUE</t>
        </is>
      </c>
      <c r="B19" s="17" t="n">
        <v>0.420325</v>
      </c>
      <c r="C19" s="17" t="inlineStr">
        <is>
          <t>—</t>
        </is>
      </c>
      <c r="D19" s="17" t="inlineStr">
        <is>
          <t>Vigor bajo · clase 0.3813 - 0.4976</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50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(0.4203)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0.009900000000000001</v>
      </c>
      <c r="C25" s="19" t="n">
        <v>0.09</v>
      </c>
      <c r="D25" s="11" t="inlineStr">
        <is>
          <t>Dosel continuo, matorral denso o mosaico agroforestal</t>
        </is>
      </c>
      <c r="E25" s="11" t="inlineStr"/>
    </row>
    <row r="26">
      <c r="A26" s="12" t="inlineStr">
        <is>
          <t>Vegetación mediana</t>
        </is>
      </c>
      <c r="B26" s="20" t="n">
        <v>9.0489</v>
      </c>
      <c r="C26" s="21" t="n">
        <v>78.81999999999999</v>
      </c>
      <c r="D26" s="13" t="inlineStr">
        <is>
          <t>Pastizal cultivado, matorral ralo, parcelas agrícolas</t>
        </is>
      </c>
      <c r="E26" s="13" t="inlineStr"/>
    </row>
    <row r="27">
      <c r="A27" s="7" t="inlineStr">
        <is>
          <t>Vegetación ligera</t>
        </is>
      </c>
      <c r="B27" s="18" t="n">
        <v>2.4212</v>
      </c>
      <c r="C27" s="19" t="n">
        <v>21.09</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11.47</v>
      </c>
      <c r="C29" s="25" t="inlineStr">
        <is>
          <t>—</t>
        </is>
      </c>
      <c r="D29" s="25" t="inlineStr">
        <is>
          <t>Desviación planimétrica frente al catálogo</t>
        </is>
      </c>
      <c r="E29" s="25" t="inlineStr">
        <is>
          <t>+0.09 %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0.09 % del polígono clasificado como «Vegetación alta» por el NDVI 2025; la observación de campo corresponde a una parcela o recorrido puntual y no es estadísticamente representativa de las 11.470 ha del bloque.</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58</t>
        </is>
      </c>
    </row>
    <row r="6" ht="24" customHeight="1">
      <c r="A6" s="4" t="inlineStr">
        <is>
          <t>Levantamiento del 2026-05-06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619316</v>
      </c>
      <c r="D10" s="26" t="n">
        <v>9426189</v>
      </c>
      <c r="E10" s="11" t="n">
        <v>310.4</v>
      </c>
      <c r="F10" s="11" t="inlineStr"/>
      <c r="G10" s="11" t="inlineStr">
        <is>
          <t>Coordenada consignada en F-DT-01</t>
        </is>
      </c>
    </row>
    <row r="11">
      <c r="A11" s="12" t="inlineStr">
        <is>
          <t>01</t>
        </is>
      </c>
      <c r="B11" s="13" t="inlineStr">
        <is>
          <t>Rasgo erosivo — Cárcava incipiente (no medida)</t>
        </is>
      </c>
      <c r="C11" s="27" t="n">
        <v>619285</v>
      </c>
      <c r="D11" s="27" t="n">
        <v>9426260</v>
      </c>
      <c r="E11" s="13" t="n">
        <v>240.4</v>
      </c>
      <c r="F11" s="13" t="inlineStr">
        <is>
          <t>Por determinar</t>
        </is>
      </c>
      <c r="G11" s="13" t="inlineStr">
        <is>
          <t>Por determinar</t>
        </is>
      </c>
    </row>
    <row r="12">
      <c r="A12" s="7" t="inlineStr">
        <is>
          <t>H-01</t>
        </is>
      </c>
      <c r="B12" s="11" t="inlineStr">
        <is>
          <t>Fuente de agua — Quebrada estacional</t>
        </is>
      </c>
      <c r="C12" s="26" t="inlineStr">
        <is>
          <t>Por verificar</t>
        </is>
      </c>
      <c r="D12" s="26" t="inlineStr">
        <is>
          <t>Por verificar</t>
        </is>
      </c>
      <c r="E12" s="11" t="inlineStr"/>
      <c r="F12" s="11" t="inlineStr">
        <is>
          <t>Estacional</t>
        </is>
      </c>
      <c r="G12" s="11" t="inlineStr">
        <is>
          <t>Quebrada de aprox. 5 m de ancho, inactiva a la fecha de visita</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619094</v>
      </c>
      <c r="C15" s="6" t="inlineStr">
        <is>
          <t>Centroide del bloque — UTM NORTE (m)</t>
        </is>
      </c>
      <c r="D15" s="7" t="n">
        <v>9426406</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120"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Ausencia de cárcavas prominentes; se evidencian quebradas que se activan solo en temporada de lluvias. En tramos al pie del bloque se están construyendo badenes que desfogan hacia el exterior. SEIS DISCREPANCIAS DOCUMENTADAS (ver hoja de Control de consistencia): microcuenca de ficha vs. catálogo; altitud 0 por defecto; pendiente de campo vs. MDE; atribución de brigada; asignación distrital compartida con M32B3; rótulo «B4_2» en el mapa MSAVI.</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C1086-Q9569 — BLOQUE 58</t>
        </is>
      </c>
    </row>
    <row r="6" ht="24" customHeight="1">
      <c r="A6" s="4" t="inlineStr">
        <is>
          <t>Distrito de Santa Catalina de Mossa · Provincia de Morropon · Comparación de los bloques preliminares de intervención de la misma microcuenca</t>
        </is>
      </c>
    </row>
    <row r="8" ht="18" customHeight="1">
      <c r="A8" s="5" t="inlineStr">
        <is>
          <t>BLOQUES DE LA MICROCUENCA C1086-Q9569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M32B3</t>
        </is>
      </c>
      <c r="B10" s="28" t="n">
        <v>50.97</v>
      </c>
      <c r="C10" s="19" t="n">
        <v>81.63</v>
      </c>
      <c r="D10" s="11" t="inlineStr">
        <is>
          <t>184 – 438</t>
        </is>
      </c>
      <c r="E10" s="11" t="n">
        <v>254</v>
      </c>
      <c r="F10" s="11" t="n">
        <v>18.79</v>
      </c>
      <c r="G10" s="18" t="n">
        <v>0.3852</v>
      </c>
      <c r="H10" s="19" t="n">
        <v>0.49</v>
      </c>
      <c r="I10" s="19" t="n">
        <v>93.88</v>
      </c>
    </row>
    <row r="11">
      <c r="A11" s="14" t="inlineStr">
        <is>
          <t>► 58</t>
        </is>
      </c>
      <c r="B11" s="29" t="n">
        <v>11.47</v>
      </c>
      <c r="C11" s="30" t="n">
        <v>18.37</v>
      </c>
      <c r="D11" s="15" t="inlineStr">
        <is>
          <t>209 – 288</t>
        </is>
      </c>
      <c r="E11" s="15" t="n">
        <v>79</v>
      </c>
      <c r="F11" s="15" t="n">
        <v>16.09</v>
      </c>
      <c r="G11" s="31" t="n">
        <v>0.4203</v>
      </c>
      <c r="H11" s="30" t="n">
        <v>0.09</v>
      </c>
      <c r="I11" s="30" t="n">
        <v>97.45</v>
      </c>
    </row>
    <row r="12">
      <c r="A12" s="16" t="inlineStr">
        <is>
          <t>TOTAL / PROMEDIO</t>
        </is>
      </c>
      <c r="B12" s="32">
        <f>SUM(B10:B11)</f>
        <v/>
      </c>
      <c r="C12" s="23">
        <f>SUM(C10:C11)</f>
        <v/>
      </c>
      <c r="D12" s="17" t="inlineStr">
        <is>
          <t>184 – 438</t>
        </is>
      </c>
      <c r="E12" s="17" t="inlineStr"/>
      <c r="F12" s="17">
        <f>ROUND(AVERAGE(F10:F11),2)</f>
        <v/>
      </c>
      <c r="G12" s="22">
        <f>ROUND(AVERAGE(G10:G11),4)</f>
        <v/>
      </c>
      <c r="H12" s="23">
        <f>ROUND(AVERAGE(H10:H11),2)</f>
        <v/>
      </c>
      <c r="I12" s="23">
        <f>ROUND(AVERAGE(I10:I11),2)</f>
        <v/>
      </c>
    </row>
    <row r="14" ht="84" customHeight="1">
      <c r="A14" s="9" t="inlineStr">
        <is>
          <t>LECTURA INTRAMICROCUENCA. El bloque 58 ocupa el puesto 2 de 2 por superficie dentro de la microcuenca C1086-Q9569 (18.37 % de las 62.44 ha preliminares de la microcuenca). Su pendiente promedio (16.09 %, clase «15-25% (Fuert. inclinado)») es la 1.ª más baja de 2 y se sitúa por debajo del promedio de la microcuenca (17.44 %). Su MSAVI 2024 (0.4203) es el 1.º de 2 y queda por encima del promedio local (0.4028). Amplitud altitudinal del bloque: 79 m (209–288 msnm). El cuadro conserva todos los bloques catalogados en la microcuenca, incluidos los descartados en el tamizaje, para referencia del conjunto. Los bloques sin ficha DT figuran con sus parámetros de gabinete. BRECHA ESPECTRAL. El 97.45 % de la superficie del bloque (11.182 ha de 11.475 ha) se sitúa bajo el umbral MSAVI 0.4976, por encima del promedio local de la microcuenca (95.66 %) calculado sobre los bloques con dato MSAVI disponible.</t>
        </is>
      </c>
      <c r="B14" s="41" t="n"/>
      <c r="C14" s="41" t="n"/>
      <c r="D14" s="41" t="n"/>
      <c r="E14" s="41" t="n"/>
      <c r="F14" s="41" t="n"/>
      <c r="G14" s="41" t="n"/>
      <c r="H14" s="41" t="n"/>
      <c r="I14" s="42"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1" t="n"/>
      <c r="C16" s="41" t="n"/>
      <c r="D16" s="41" t="n"/>
      <c r="E16" s="41" t="n"/>
      <c r="F16" s="41" t="n"/>
      <c r="G16" s="41" t="n"/>
      <c r="H16" s="41" t="n"/>
      <c r="I16" s="42" t="n"/>
    </row>
  </sheetData>
  <mergeCells count="9">
    <mergeCell ref="A2:I2"/>
    <mergeCell ref="A5:I5"/>
    <mergeCell ref="A14:I14"/>
    <mergeCell ref="A1:I1"/>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58</t>
        </is>
      </c>
    </row>
    <row r="6">
      <c r="A6" s="52" t="inlineStr">
        <is>
          <t>Cruce de la ficha de campo F-DT vigente con la ficha de resumen de gabinete y el catálogo maestro. Integración 2026-09-11 20:22:30.</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«C1086-Q9569».</t>
        </is>
      </c>
      <c r="D9" s="56" t="inlineStr">
        <is>
          <t>CONFORME</t>
        </is>
      </c>
      <c r="E9" s="56" t="inlineStr">
        <is>
          <t>Sin acción.</t>
        </is>
      </c>
    </row>
    <row r="10">
      <c r="A10" s="57" t="inlineStr">
        <is>
          <t>G-02</t>
        </is>
      </c>
      <c r="B10" s="57" t="inlineStr">
        <is>
          <t>UTM del punto de muestreo</t>
        </is>
      </c>
      <c r="C10" s="57" t="inlineStr">
        <is>
          <t>El punto de muestreo declarado dista 310.4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(182 msnm) cae dentro del rango altitudinal del bloque (209 - 288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(11.480 ha) se desvía 0.09 % de la superficie de catálogo (11.47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(11.475 ha) se desvía 0.04 % de la superficie de catálogo (11.47 ha).</t>
        </is>
      </c>
      <c r="D14" s="57" t="inlineStr">
        <is>
          <t>CONFORME</t>
        </is>
      </c>
      <c r="E14" s="57" t="inlineStr">
        <is>
          <t>Sin acción: la segmentación valida la geometría del bloque.</t>
        </is>
      </c>
    </row>
    <row r="15">
      <c r="A15" s="56" t="inlineStr">
        <is>
          <t>G-07</t>
        </is>
      </c>
      <c r="B15" s="56" t="inlineStr">
        <is>
          <t>Brecha espectral MSAVI</t>
        </is>
      </c>
      <c r="C15" s="56" t="inlineStr">
        <is>
          <t>El 97.45 % del bloque queda bajo el umbral 0.4976; superficie de brecha 11.18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11.47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(0.4203) cae en la clase «0.3813 - 0.4976 (Vigor bajo)» y la clase DN dominante por superficie es «DN 3 · 0.3813 - 0.4976 (Vigor bajo)».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Uso actual dominante del suelo</t>
        </is>
      </c>
      <c r="C19" s="56" t="inlineStr">
        <is>
          <t>El libro de resumen V6 consignaba «Forestal de protección»; la ficha de campo vigente declara «Forestal protección».</t>
        </is>
      </c>
      <c r="D19" s="56" t="inlineStr">
        <is>
          <t>CORREGIDO</t>
        </is>
      </c>
      <c r="E19" s="56" t="inlineStr">
        <is>
          <t>Se adopta el valor de campo por ser la fuente que manda sobre el dato y la más reciente. El valor anterior queda declarado para trazabilidad.</t>
        </is>
      </c>
    </row>
    <row r="20">
      <c r="A20" s="57" t="inlineStr">
        <is>
          <t>F-01</t>
        </is>
      </c>
      <c r="B20" s="57" t="inlineStr">
        <is>
          <t>Fichas F-DT levantadas</t>
        </is>
      </c>
      <c r="C20" s="57" t="inlineStr">
        <is>
          <t>La plantilla de campo trae las cinco fichas F-DT-01 a F-DT-05 (completitud 100.0 % de los campos esperados).</t>
        </is>
      </c>
      <c r="D20" s="57" t="inlineStr">
        <is>
          <t>CONFORME</t>
        </is>
      </c>
      <c r="E20" s="57" t="inlineStr">
        <is>
          <t>Sin acción.</t>
        </is>
      </c>
    </row>
    <row r="21">
      <c r="A21" s="56" t="inlineStr">
        <is>
          <t>F-02</t>
        </is>
      </c>
      <c r="B21" s="56" t="inlineStr">
        <is>
          <t>Cobertura de la integración</t>
        </is>
      </c>
      <c r="C21" s="56" t="inlineStr">
        <is>
          <t>Se declararon 100 de 114 hechos integrados (87.7 %); 14 quedan sin dato en ninguna fuente.</t>
        </is>
      </c>
      <c r="D21" s="56" t="inlineStr">
        <is>
          <t>CONFORME</t>
        </is>
      </c>
      <c r="E21" s="56" t="inlineStr">
        <is>
          <t>Sin acción.</t>
        </is>
      </c>
    </row>
    <row r="22">
      <c r="A22" s="57" t="inlineStr">
        <is>
          <t>H-01</t>
        </is>
      </c>
      <c r="B22" s="57" t="inlineStr">
        <is>
          <t>Rango de pendiente dominante</t>
        </is>
      </c>
      <c r="C22" s="57" t="inlineStr">
        <is>
          <t>La ficha DT declara «25-50% (Mod. escarpado)»; la estadística zonal sobre el MDE arroja una pendiente promedio de 16.09 %, que corresponde a la clase «15-25% (Fuert. inclinado)»</t>
        </is>
      </c>
      <c r="D22" s="57" t="inlineStr">
        <is>
          <t>NO SUSTANTIVA</t>
        </is>
      </c>
      <c r="E22"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3">
      <c r="A23" s="56" t="inlineStr">
        <is>
          <t>H-02</t>
        </is>
      </c>
      <c r="B23" s="56" t="inlineStr">
        <is>
          <t>Cobertura vegetal total</t>
        </is>
      </c>
      <c r="C23" s="56" t="inlineStr">
        <is>
          <t>La ficha DT estima 60 % de cobertura vegetal en campo; el NDVI mediana 2025 clasifica 100.00 % del polígono en clases de vegetación</t>
        </is>
      </c>
      <c r="D23" s="56" t="inlineStr">
        <is>
          <t>NO SUSTANTIVA</t>
        </is>
      </c>
      <c r="E23"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4">
      <c r="A24" s="57" t="inlineStr">
        <is>
          <t>H-03</t>
        </is>
      </c>
      <c r="B24" s="57" t="inlineStr">
        <is>
          <t>Dimensiones del inventario de cárcavas</t>
        </is>
      </c>
      <c r="C24" s="57" t="inlineStr">
        <is>
          <t>Se registran 1 rasgos erosivos, pero longitud, profundidad y ancho no fueron medidos instrumentalmente</t>
        </is>
      </c>
      <c r="D24" s="57" t="inlineStr">
        <is>
          <t>NO SUSTANTIVA</t>
        </is>
      </c>
      <c r="E24" s="57" t="inlineStr">
        <is>
          <t>El conteo registrado no debe usarse para calcular densidad de cárcavas por hectárea. Pendiente de levantamiento con GPS submétrico. (Verificación heredada de la ficha de resumen V6.)</t>
        </is>
      </c>
    </row>
    <row r="25">
      <c r="A25" s="56" t="inlineStr">
        <is>
          <t>H-04</t>
        </is>
      </c>
      <c r="B25" s="56" t="inlineStr">
        <is>
          <t>Elenco florístico</t>
        </is>
      </c>
      <c r="C25" s="56" t="inlineStr">
        <is>
          <t>La ficha registra 12 taxones, por debajo del mínimo de 15 que exige el formato V5</t>
        </is>
      </c>
      <c r="D25" s="56" t="inlineStr">
        <is>
          <t>SUSTANTIVA</t>
        </is>
      </c>
      <c r="E25" s="56" t="inlineStr">
        <is>
          <t>Registro florístico preliminar, sin colecta ni determinación botánica formal. Debe cerrarse con colecta botánica en la siguiente campaña. (Verificación heredada de la ficha de resumen V6.)</t>
        </is>
      </c>
    </row>
    <row r="26">
      <c r="A26" s="57" t="inlineStr">
        <is>
          <t>H-05</t>
        </is>
      </c>
      <c r="B26" s="57" t="inlineStr">
        <is>
          <t>Representatividad del levantamiento</t>
        </is>
      </c>
      <c r="C26" s="57" t="inlineStr">
        <is>
          <t>Ninguna de las estaciones fotográficas georreferenciadas se localiza dentro del polígono del bloque</t>
        </is>
      </c>
      <c r="D26" s="57" t="inlineStr">
        <is>
          <t>SUSTANTIVA</t>
        </is>
      </c>
      <c r="E26" s="57" t="inlineStr">
        <is>
          <t>La verificación documenta el perímetro y la vista panorámica del bloque, no su interior. Los parámetros que exigen recorrido interno se consignan «Por determinar». (Verificación heredada de la ficha de resumen V6.)</t>
        </is>
      </c>
    </row>
    <row r="27">
      <c r="A27" s="56" t="inlineStr">
        <is>
          <t>H-06</t>
        </is>
      </c>
      <c r="B27" s="56" t="inlineStr">
        <is>
          <t>Centro poblado asociado</t>
        </is>
      </c>
      <c r="C27" s="56" t="inlineStr">
        <is>
          <t>La ficha DT declara «Maray (618 786 E · 9 426 011 N; 329 hab.) — figura como «Nuevo Maray» en el 2.º Producto OS 1993-2026»; el cruce INEI-Bloques V5 identifica 2 centro(s) poblado(s) en el bloque: LINDEROS DE MARAY, MARAY</t>
        </is>
      </c>
      <c r="D27" s="56" t="inlineStr">
        <is>
          <t>CONFORME</t>
        </is>
      </c>
      <c r="E27" s="56" t="inlineStr">
        <is>
          <t>Se conserva el registro de campo como referencia y se adopta el listado INEI para el diagnóstico social y el cálculo de población beneficiaria. (Verificación heredada de la ficha de resumen V6.)</t>
        </is>
      </c>
    </row>
    <row r="28">
      <c r="A28" s="57" t="inlineStr">
        <is>
          <t>H-07</t>
        </is>
      </c>
      <c r="B28" s="57" t="inlineStr">
        <is>
          <t>F-DT-01</t>
        </is>
      </c>
      <c r="C28" s="57" t="inlineStr">
        <is>
          <t>La ficha consigna microcuenca «C1076-Q9584»; el catálogo maestro Bloques_V5 y el registro CP-Bloques asignan C1086-Q9569</t>
        </is>
      </c>
      <c r="D28" s="57" t="inlineStr">
        <is>
          <t>SUSTANTIVA</t>
        </is>
      </c>
      <c r="E28" s="57" t="inlineStr">
        <is>
          <t>Se conserva el valor del catálogo y se deja constancia del error de transcripción (Verificación heredada de la ficha de resumen V6.)</t>
        </is>
      </c>
    </row>
    <row r="29">
      <c r="A29" s="56" t="inlineStr">
        <is>
          <t>H-08</t>
        </is>
      </c>
      <c r="B29" s="56" t="inlineStr">
        <is>
          <t>Plan de Ingreso</t>
        </is>
      </c>
      <c r="C29" s="56" t="inlineStr">
        <is>
          <t>Altitud = 0 msnm (captura por defecto del aplicativo)</t>
        </is>
      </c>
      <c r="D29" s="56" t="inlineStr">
        <is>
          <t>CORREGIDO</t>
        </is>
      </c>
      <c r="E29" s="56" t="inlineStr">
        <is>
          <t>Se reemplaza por la altitud GPS del punto de muestreo (182 msnm) y se descarta el valor cero (Verificación heredada de la ficha de resumen V6.)</t>
        </is>
      </c>
    </row>
    <row r="30">
      <c r="A30" s="57" t="inlineStr">
        <is>
          <t>H-09</t>
        </is>
      </c>
      <c r="B30" s="57" t="inlineStr">
        <is>
          <t>F-DT-02</t>
        </is>
      </c>
      <c r="C30" s="57" t="inlineStr">
        <is>
          <t>Urgencia de control: ficha MEDIA vs. memoria del 2.º Producto OS BAJA</t>
        </is>
      </c>
      <c r="D30" s="57" t="inlineStr">
        <is>
          <t>NO SUSTANTIVA</t>
        </is>
      </c>
      <c r="E30" s="57" t="inlineStr">
        <is>
          <t>Se conserva el valor de la ficha de campo (fuente primaria) (Verificación heredada de la ficha de resumen V6.)</t>
        </is>
      </c>
    </row>
    <row r="31">
      <c r="A31" s="56" t="inlineStr">
        <is>
          <t>H-10</t>
        </is>
      </c>
      <c r="B31" s="56" t="inlineStr">
        <is>
          <t>F-DT-03</t>
        </is>
      </c>
      <c r="C31" s="56" t="inlineStr">
        <is>
          <t>Cobertura de dosel: F-DT-03 60% vs. 1.º Producto OS 80% vs. F-EE-05 90%</t>
        </is>
      </c>
      <c r="D31" s="56" t="inlineStr">
        <is>
          <t>SUSTANTIVA</t>
        </is>
      </c>
      <c r="E31" s="56" t="inlineStr">
        <is>
          <t>Se conserva el valor de la ficha primaria y se declara el rango 60-90% como intervalo a verificar (Verificación heredada de la ficha de resumen V6.)</t>
        </is>
      </c>
    </row>
    <row r="32">
      <c r="A32" s="57" t="inlineStr">
        <is>
          <t>H-11</t>
        </is>
      </c>
      <c r="B32" s="57" t="inlineStr">
        <is>
          <t>F-DT-04</t>
        </is>
      </c>
      <c r="C32" s="57" t="inlineStr">
        <is>
          <t>Densidad de cárcavas: ficha 0 N.°/ha vs. valor derivado 0.09 N.°/ha (1 cárcava / 11.47 ha)</t>
        </is>
      </c>
      <c r="D32" s="57" t="inlineStr">
        <is>
          <t>NO SUSTANTIVA</t>
        </is>
      </c>
      <c r="E32" s="57" t="inlineStr">
        <is>
          <t>Se declara la derivación por trazabilidad (Verificación heredada de la ficha de resumen V6.)</t>
        </is>
      </c>
    </row>
    <row r="33">
      <c r="A33" s="56" t="inlineStr">
        <is>
          <t>H-12</t>
        </is>
      </c>
      <c r="B33" s="56" t="inlineStr">
        <is>
          <t>F-DT-05</t>
        </is>
      </c>
      <c r="C33" s="56" t="inlineStr">
        <is>
          <t>Vía final: ficha «Departamental afirmada» vs. memoria del 2.º Producto OS «vía vecinal afirmada»</t>
        </is>
      </c>
      <c r="D33" s="56" t="inlineStr">
        <is>
          <t>NO SUSTANTIVA</t>
        </is>
      </c>
      <c r="E33" s="56" t="inlineStr">
        <is>
          <t>Se conserva el valor de la ficha (Verificación heredada de la ficha de resumen V6.)</t>
        </is>
      </c>
    </row>
    <row r="35">
      <c r="A35" s="58" t="inlineStr">
        <is>
          <t>RESUMEN</t>
        </is>
      </c>
      <c r="B35" s="59" t="inlineStr">
        <is>
          <t>25 verificaciones</t>
        </is>
      </c>
      <c r="C35" s="59" t="inlineStr">
        <is>
          <t>SUSTANTIVA: 5 · NO SUSTANTIVA: 6 · CORREGIDO: 2 · CONFORME: 12</t>
        </is>
      </c>
    </row>
    <row r="37">
      <c r="A37"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37:E37"/>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58</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5. Ecosistema, cobertura y flora (F-DT-03)</t>
        </is>
      </c>
      <c r="B9" s="56" t="inlineStr">
        <is>
          <t>Uso actual dominante del suelo</t>
        </is>
      </c>
      <c r="C9" s="56" t="inlineStr">
        <is>
          <t>Forestal de protección</t>
        </is>
      </c>
      <c r="D9" s="56" t="inlineStr">
        <is>
          <t>Forestal protección</t>
        </is>
      </c>
      <c r="E9" s="56" t="inlineStr">
        <is>
          <t>Dato de campo</t>
        </is>
      </c>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619316</t>
        </is>
      </c>
      <c r="D13" s="56" t="inlineStr">
        <is>
          <t>m</t>
        </is>
      </c>
    </row>
    <row r="14">
      <c r="A14" s="57" t="inlineStr">
        <is>
          <t>1. Identificación y localización</t>
        </is>
      </c>
      <c r="B14" s="57" t="inlineStr">
        <is>
          <t>UTM NORTE del punto de muestreo (m)</t>
        </is>
      </c>
      <c r="C14" s="57" t="inlineStr">
        <is>
          <t>9426189</t>
        </is>
      </c>
      <c r="D14" s="57" t="inlineStr">
        <is>
          <t>m</t>
        </is>
      </c>
    </row>
    <row r="15">
      <c r="A15" s="56" t="inlineStr">
        <is>
          <t>2. Parámetros físicos del terreno</t>
        </is>
      </c>
      <c r="B15" s="56" t="inlineStr">
        <is>
          <t>Altitud GPS del punto de muestreo (msnm)</t>
        </is>
      </c>
      <c r="C15" s="56" t="inlineStr">
        <is>
          <t>182</t>
        </is>
      </c>
      <c r="D15" s="56" t="inlineStr">
        <is>
          <t>msnm</t>
        </is>
      </c>
    </row>
    <row r="16">
      <c r="A16" s="57" t="inlineStr">
        <is>
          <t>2. Parámetros físicos del terreno</t>
        </is>
      </c>
      <c r="B16" s="57" t="inlineStr">
        <is>
          <t>Piso altitudinal del punto de muestreo</t>
        </is>
      </c>
      <c r="C16" s="57" t="inlineStr">
        <is>
          <t>&lt;1000 m (Yunga)</t>
        </is>
      </c>
      <c r="D16" s="57" t="inlineStr"/>
    </row>
    <row r="17">
      <c r="A17" s="56" t="inlineStr">
        <is>
          <t>2. Parámetros físicos del terreno</t>
        </is>
      </c>
      <c r="B17" s="56" t="inlineStr">
        <is>
          <t>Reptación de suelo</t>
        </is>
      </c>
      <c r="C17" s="56" t="inlineStr">
        <is>
          <t>No</t>
        </is>
      </c>
      <c r="D17" s="56" t="inlineStr"/>
    </row>
    <row r="18">
      <c r="A18" s="57" t="inlineStr">
        <is>
          <t>2. Parámetros físicos del terreno</t>
        </is>
      </c>
      <c r="B18" s="57" t="inlineStr">
        <is>
          <t>Deslizamientos antiguos</t>
        </is>
      </c>
      <c r="C18" s="57" t="inlineStr">
        <is>
          <t>No</t>
        </is>
      </c>
      <c r="D18" s="57" t="inlineStr"/>
    </row>
    <row r="19">
      <c r="A19" s="56" t="inlineStr">
        <is>
          <t>4. Suelos y erosión (F-DT-02)</t>
        </is>
      </c>
      <c r="B19" s="56" t="inlineStr">
        <is>
          <t>Nivel de erosión - síntesis de campo</t>
        </is>
      </c>
      <c r="C19" s="56" t="inlineStr">
        <is>
          <t>Ligera (laminar)</t>
        </is>
      </c>
      <c r="D19" s="56" t="inlineStr"/>
    </row>
    <row r="20">
      <c r="A20" s="57" t="inlineStr">
        <is>
          <t>4. Suelos y erosión (F-DT-02)</t>
        </is>
      </c>
      <c r="B20" s="57" t="inlineStr">
        <is>
          <t>Sellamiento / costra superficial</t>
        </is>
      </c>
      <c r="C20" s="57" t="inlineStr">
        <is>
          <t>No</t>
        </is>
      </c>
      <c r="D20" s="57" t="inlineStr"/>
    </row>
    <row r="21">
      <c r="A21" s="56" t="inlineStr">
        <is>
          <t>4. Suelos y erosión (F-DT-02)</t>
        </is>
      </c>
      <c r="B21" s="56" t="inlineStr">
        <is>
          <t>Compactación por pisoteo</t>
        </is>
      </c>
      <c r="C21" s="56" t="inlineStr">
        <is>
          <t>No</t>
        </is>
      </c>
      <c r="D21" s="56" t="inlineStr"/>
    </row>
    <row r="22">
      <c r="A22" s="57" t="inlineStr">
        <is>
          <t>4. Suelos y erosión (F-DT-02)</t>
        </is>
      </c>
      <c r="B22" s="57" t="inlineStr">
        <is>
          <t>Raíces expuestas</t>
        </is>
      </c>
      <c r="C22" s="57" t="inlineStr">
        <is>
          <t>No</t>
        </is>
      </c>
      <c r="D22" s="57" t="inlineStr"/>
    </row>
    <row r="23">
      <c r="A23" s="56" t="inlineStr">
        <is>
          <t>4. Suelos y erosión (F-DT-02)</t>
        </is>
      </c>
      <c r="B23" s="56" t="inlineStr">
        <is>
          <t>Patrón de cárcavas</t>
        </is>
      </c>
      <c r="C23" s="56" t="inlineStr">
        <is>
          <t>Paralelo</t>
        </is>
      </c>
      <c r="D23" s="56" t="inlineStr"/>
    </row>
    <row r="24">
      <c r="A24" s="57" t="inlineStr">
        <is>
          <t>4. Suelos y erosión (F-DT-02)</t>
        </is>
      </c>
      <c r="B24" s="57" t="inlineStr">
        <is>
          <t>Socavamiento de cauce</t>
        </is>
      </c>
      <c r="C24" s="57" t="inlineStr">
        <is>
          <t>No</t>
        </is>
      </c>
      <c r="D24" s="57" t="inlineStr"/>
    </row>
    <row r="25">
      <c r="A25" s="56" t="inlineStr">
        <is>
          <t>5. Ecosistema, cobertura y flora (F-DT-03)</t>
        </is>
      </c>
      <c r="B25" s="56" t="inlineStr">
        <is>
          <t>Cobertura del dosel (%)</t>
        </is>
      </c>
      <c r="C25" s="56" t="inlineStr">
        <is>
          <t>60</t>
        </is>
      </c>
      <c r="D25" s="56" t="inlineStr">
        <is>
          <t>%</t>
        </is>
      </c>
    </row>
    <row r="26">
      <c r="A26" s="57" t="inlineStr">
        <is>
          <t>5. Ecosistema, cobertura y flora (F-DT-03)</t>
        </is>
      </c>
      <c r="B26" s="57" t="inlineStr">
        <is>
          <t>Cobertura arbustiva (%)</t>
        </is>
      </c>
      <c r="C26" s="57" t="inlineStr">
        <is>
          <t>20</t>
        </is>
      </c>
      <c r="D26" s="57" t="inlineStr">
        <is>
          <t>%</t>
        </is>
      </c>
    </row>
    <row r="27">
      <c r="A27" s="56" t="inlineStr">
        <is>
          <t>5. Ecosistema, cobertura y flora (F-DT-03)</t>
        </is>
      </c>
      <c r="B27" s="56" t="inlineStr">
        <is>
          <t>Cobertura herbácea (%)</t>
        </is>
      </c>
      <c r="C27" s="56" t="inlineStr">
        <is>
          <t>20</t>
        </is>
      </c>
      <c r="D27" s="56" t="inlineStr">
        <is>
          <t>%</t>
        </is>
      </c>
    </row>
    <row r="28">
      <c r="A28" s="57" t="inlineStr">
        <is>
          <t>5. Ecosistema, cobertura y flora (F-DT-03)</t>
        </is>
      </c>
      <c r="B28" s="57" t="inlineStr">
        <is>
          <t>Altura del estrato dominante (m)</t>
        </is>
      </c>
      <c r="C28" s="57" t="inlineStr">
        <is>
          <t>6-8</t>
        </is>
      </c>
      <c r="D28" s="57" t="inlineStr">
        <is>
          <t>m</t>
        </is>
      </c>
    </row>
    <row r="29">
      <c r="A29" s="56" t="inlineStr">
        <is>
          <t>5. Ecosistema, cobertura y flora (F-DT-03)</t>
        </is>
      </c>
      <c r="B29" s="56" t="inlineStr">
        <is>
          <t>Altura máxima registrada (m)</t>
        </is>
      </c>
      <c r="C29" s="56" t="inlineStr">
        <is>
          <t>6-8</t>
        </is>
      </c>
      <c r="D29" s="56" t="inlineStr">
        <is>
          <t>m</t>
        </is>
      </c>
    </row>
    <row r="30">
      <c r="A30" s="57" t="inlineStr">
        <is>
          <t>5. Ecosistema, cobertura y flora (F-DT-03)</t>
        </is>
      </c>
      <c r="B30" s="57" t="inlineStr">
        <is>
          <t>DAP promedio (cm)</t>
        </is>
      </c>
      <c r="C30" s="57" t="inlineStr">
        <is>
          <t>20-25</t>
        </is>
      </c>
      <c r="D30" s="57" t="inlineStr">
        <is>
          <t>cm</t>
        </is>
      </c>
    </row>
    <row r="31">
      <c r="A31" s="56" t="inlineStr">
        <is>
          <t>5. Ecosistema, cobertura y flora (F-DT-03)</t>
        </is>
      </c>
      <c r="B31" s="56" t="inlineStr">
        <is>
          <t>Presencia de epífitas</t>
        </is>
      </c>
      <c r="C31" s="56" t="inlineStr">
        <is>
          <t>No</t>
        </is>
      </c>
      <c r="D31" s="56" t="inlineStr"/>
    </row>
    <row r="32">
      <c r="A32" s="57" t="inlineStr">
        <is>
          <t>5. Ecosistema, cobertura y flora (F-DT-03)</t>
        </is>
      </c>
      <c r="B32" s="57" t="inlineStr">
        <is>
          <t>Fenología dominante</t>
        </is>
      </c>
      <c r="C32" s="57" t="inlineStr">
        <is>
          <t>Floración</t>
        </is>
      </c>
      <c r="D32" s="57" t="inlineStr"/>
    </row>
    <row r="33">
      <c r="A33" s="56" t="inlineStr">
        <is>
          <t>5. Ecosistema, cobertura y flora (F-DT-03)</t>
        </is>
      </c>
      <c r="B33" s="56" t="inlineStr">
        <is>
          <t>Especies clave georreferenciadas</t>
        </is>
      </c>
      <c r="C33" s="56" t="inlineStr">
        <is>
          <t>6</t>
        </is>
      </c>
      <c r="D33" s="56" t="inlineStr"/>
    </row>
    <row r="34">
      <c r="A34" s="57" t="inlineStr">
        <is>
          <t>6. Degradación, causas y urgencia (F-DT-04)</t>
        </is>
      </c>
      <c r="B34" s="57" t="inlineStr">
        <is>
          <t>Causas directas de la degradación</t>
        </is>
      </c>
      <c r="C34" s="57" t="inlineStr">
        <is>
          <t>Extracción de leña de bajo impacto; sobrepastoreo caprino/vacuno de intensidad moderada; presión vial incipiente (vía afirmada y badenes al pie del bloque).</t>
        </is>
      </c>
      <c r="D34" s="57" t="inlineStr"/>
    </row>
    <row r="35">
      <c r="A35" s="56" t="inlineStr">
        <is>
          <t>6. Degradación, causas y urgencia (F-DT-04)</t>
        </is>
      </c>
      <c r="B35" s="56" t="inlineStr">
        <is>
          <t>N.° de causas activas en la matriz F-DT-04</t>
        </is>
      </c>
      <c r="C35" s="56" t="inlineStr">
        <is>
          <t>3</t>
        </is>
      </c>
      <c r="D35" s="56" t="inlineStr"/>
    </row>
    <row r="36">
      <c r="A36" s="57" t="inlineStr">
        <is>
          <t>7. Hidrología, acceso y logística (F-DT-05)</t>
        </is>
      </c>
      <c r="B36" s="57" t="inlineStr">
        <is>
          <t>Escorrentía concentrada</t>
        </is>
      </c>
      <c r="C36" s="57" t="inlineStr">
        <is>
          <t>No</t>
        </is>
      </c>
      <c r="D36" s="57" t="inlineStr"/>
    </row>
    <row r="37">
      <c r="A37" s="56" t="inlineStr">
        <is>
          <t>7. Hidrología, acceso y logística (F-DT-05)</t>
        </is>
      </c>
      <c r="B37" s="56" t="inlineStr">
        <is>
          <t>Fuentes de agua inventariadas</t>
        </is>
      </c>
      <c r="C37" s="56" t="inlineStr">
        <is>
          <t>1</t>
        </is>
      </c>
      <c r="D37" s="56" t="inlineStr"/>
    </row>
    <row r="38">
      <c r="A38" s="57" t="inlineStr">
        <is>
          <t>7. Hidrología, acceso y logística (F-DT-05)</t>
        </is>
      </c>
      <c r="B38" s="57" t="inlineStr">
        <is>
          <t>Interferencia con riego</t>
        </is>
      </c>
      <c r="C38" s="57" t="inlineStr">
        <is>
          <t>No</t>
        </is>
      </c>
      <c r="D38" s="57" t="inlineStr"/>
    </row>
    <row r="39">
      <c r="A39" s="56" t="inlineStr">
        <is>
          <t>7. Hidrología, acceso y logística (F-DT-05)</t>
        </is>
      </c>
      <c r="B39" s="56" t="inlineStr">
        <is>
          <t>Vía principal de acceso</t>
        </is>
      </c>
      <c r="C39" s="56" t="inlineStr">
        <is>
          <t>Vía Morropón–Yamango (afirmada), margen derecha del río Corrales; desvío y caminata de aprox. 20-30 min hasta el bloque.</t>
        </is>
      </c>
      <c r="D39" s="56" t="inlineStr"/>
    </row>
    <row r="40">
      <c r="A40" s="57" t="inlineStr">
        <is>
          <t>7. Hidrología, acceso y logística (F-DT-05)</t>
        </is>
      </c>
      <c r="B40" s="57" t="inlineStr">
        <is>
          <t>Tipo de vía del tramo final</t>
        </is>
      </c>
      <c r="C40" s="57" t="inlineStr">
        <is>
          <t>Departamental afirmada</t>
        </is>
      </c>
      <c r="D40" s="57" t="inlineStr"/>
    </row>
    <row r="41">
      <c r="A41" s="56" t="inlineStr">
        <is>
          <t>7. Hidrología, acceso y logística (F-DT-05)</t>
        </is>
      </c>
      <c r="B41" s="56" t="inlineStr">
        <is>
          <t>Transitabilidad en época seca</t>
        </is>
      </c>
      <c r="C41" s="56" t="inlineStr">
        <is>
          <t>Medio</t>
        </is>
      </c>
      <c r="D41" s="56" t="inlineStr"/>
    </row>
    <row r="42">
      <c r="A42" s="57" t="inlineStr">
        <is>
          <t>7. Hidrología, acceso y logística (F-DT-05)</t>
        </is>
      </c>
      <c r="B42" s="57" t="inlineStr">
        <is>
          <t>Transitabilidad en época lluviosa</t>
        </is>
      </c>
      <c r="C42" s="57" t="inlineStr">
        <is>
          <t>Medio</t>
        </is>
      </c>
      <c r="D42" s="57" t="inlineStr"/>
    </row>
    <row r="43">
      <c r="A43" s="56" t="inlineStr">
        <is>
          <t>7. Hidrología, acceso y logística (F-DT-05)</t>
        </is>
      </c>
      <c r="B43" s="56" t="inlineStr">
        <is>
          <t>Tiempo a la capital distrital (min)</t>
        </is>
      </c>
      <c r="C43" s="56" t="inlineStr">
        <is>
          <t>30</t>
        </is>
      </c>
      <c r="D43" s="56" t="inlineStr">
        <is>
          <t>min</t>
        </is>
      </c>
    </row>
    <row r="44">
      <c r="A44" s="57" t="inlineStr">
        <is>
          <t>7. Hidrología, acceso y logística (F-DT-05)</t>
        </is>
      </c>
      <c r="B44" s="57" t="inlineStr">
        <is>
          <t>Señal celular</t>
        </is>
      </c>
      <c r="C44" s="57" t="inlineStr">
        <is>
          <t>Intermitente</t>
        </is>
      </c>
      <c r="D44" s="57" t="inlineStr"/>
    </row>
    <row r="45">
      <c r="A45" s="56" t="inlineStr">
        <is>
          <t>7. Hidrología, acceso y logística (F-DT-05)</t>
        </is>
      </c>
      <c r="B45" s="56" t="inlineStr">
        <is>
          <t>Operador con cobertura</t>
        </is>
      </c>
      <c r="C45" s="56" t="inlineStr">
        <is>
          <t>Bitel</t>
        </is>
      </c>
      <c r="D45" s="56" t="inlineStr"/>
    </row>
    <row r="46">
      <c r="A46" s="57" t="inlineStr">
        <is>
          <t>7. Hidrología, acceso y logística (F-DT-05)</t>
        </is>
      </c>
      <c r="B46" s="57" t="inlineStr">
        <is>
          <t>Alojamiento disponible en la zona</t>
        </is>
      </c>
      <c r="C46" s="57" t="inlineStr">
        <is>
          <t>Sí</t>
        </is>
      </c>
      <c r="D46" s="57" t="inlineStr"/>
    </row>
    <row r="47">
      <c r="A47" s="56" t="inlineStr">
        <is>
          <t>7. Hidrología, acceso y logística (F-DT-05)</t>
        </is>
      </c>
      <c r="B47" s="56" t="inlineStr">
        <is>
          <t>Requiere coordinación con ronda / comunidad</t>
        </is>
      </c>
      <c r="C47" s="56" t="inlineStr">
        <is>
          <t>Sí</t>
        </is>
      </c>
      <c r="D47" s="56" t="inlineStr"/>
    </row>
    <row r="49">
      <c r="A49" s="54" t="inlineStr">
        <is>
          <t>C. PROCEDENCIA DE LOS HECHOS DECLARADOS</t>
        </is>
      </c>
    </row>
    <row r="50">
      <c r="A50" s="55" t="inlineStr">
        <is>
          <t>Fuente</t>
        </is>
      </c>
      <c r="B50" s="55" t="inlineStr">
        <is>
          <t>Hechos</t>
        </is>
      </c>
      <c r="C50" s="55" t="inlineStr">
        <is>
          <t>Alcance de la fuente</t>
        </is>
      </c>
    </row>
    <row r="51">
      <c r="A51" s="56" t="inlineStr">
        <is>
          <t>Dato de campo</t>
        </is>
      </c>
      <c r="B51" s="56" t="n">
        <v>62</v>
      </c>
      <c r="C51" s="56" t="inlineStr">
        <is>
          <t>Verificación en campo. Fichas F-DT-01 a F-DT-05 de la Plantilla DT Campo Check Validada V5, suscritas por el evaluador.</t>
        </is>
      </c>
    </row>
    <row r="52">
      <c r="A52" s="57" t="inlineStr">
        <is>
          <t>Gabinete (GIS / teledetección)</t>
        </is>
      </c>
      <c r="B52" s="57" t="n">
        <v>24</v>
      </c>
      <c r="C52" s="57" t="inlineStr">
        <is>
          <t>Gabinete. Estadística zonal sobre el MDE y compuestos Sentinel-2 (NDVI mediana 2025, MSAVI 2024 por clase DN).</t>
        </is>
      </c>
    </row>
    <row r="53">
      <c r="A53" s="56" t="inlineStr">
        <is>
          <t>Fuente oficial</t>
        </is>
      </c>
      <c r="B53" s="56" t="n">
        <v>14</v>
      </c>
      <c r="C53" s="56" t="inlineStr">
        <is>
          <t>Fuente oficial. Catálogo maestro Bloques V5/V6, división política INEI y codificación de microcuencas de la ANA.</t>
        </is>
      </c>
    </row>
    <row r="55">
      <c r="A55" s="54" t="inlineStr">
        <is>
          <t>D. ESTADO DEL CRUCE ENTRE FUENTES</t>
        </is>
      </c>
    </row>
    <row r="56">
      <c r="A56" s="55" t="inlineStr">
        <is>
          <t>Estado</t>
        </is>
      </c>
      <c r="B56" s="55" t="inlineStr">
        <is>
          <t>Hechos</t>
        </is>
      </c>
      <c r="C56" s="55" t="inlineStr">
        <is>
          <t>Significado</t>
        </is>
      </c>
    </row>
    <row r="57">
      <c r="A57" s="56" t="inlineStr">
        <is>
          <t>CONFORME</t>
        </is>
      </c>
      <c r="B57" s="56" t="n">
        <v>98</v>
      </c>
      <c r="C57" s="56" t="inlineStr">
        <is>
          <t>Las dos fuentes declaran lo mismo, o solo la fuente que manda sobre el hecho lo declara.</t>
        </is>
      </c>
    </row>
    <row r="58">
      <c r="A58" s="57" t="inlineStr">
        <is>
          <t>COMPLEMENTADO</t>
        </is>
      </c>
      <c r="B58" s="57" t="n">
        <v>1</v>
      </c>
      <c r="C58" s="57" t="inlineStr">
        <is>
          <t>Solo una de las fuentes lo declara y se adopta ese valor.</t>
        </is>
      </c>
    </row>
    <row r="59">
      <c r="A59" s="56" t="inlineStr">
        <is>
          <t>ACTUALIZADO</t>
        </is>
      </c>
      <c r="B59" s="56" t="n">
        <v>1</v>
      </c>
      <c r="C59" s="56" t="inlineStr">
        <is>
          <t>La verificación de campo vigente corrige lo que traía el libro de resumen.</t>
        </is>
      </c>
    </row>
    <row r="60">
      <c r="A60" s="57" t="inlineStr">
        <is>
          <t>DISCREPANTE</t>
        </is>
      </c>
      <c r="B60" s="57" t="n">
        <v>0</v>
      </c>
      <c r="C60" s="57" t="inlineStr">
        <is>
          <t>Las fuentes se contradicen; prevalece la que manda sobre el hecho y la otra queda declarada.</t>
        </is>
      </c>
    </row>
    <row r="61">
      <c r="A61" s="56" t="inlineStr">
        <is>
          <t>PENDIENTE</t>
        </is>
      </c>
      <c r="B61" s="56" t="n">
        <v>14</v>
      </c>
      <c r="C61"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58</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01</t>
        </is>
      </c>
      <c r="B9" s="56" t="inlineStr"/>
      <c r="C9" s="61" t="n">
        <v>619285</v>
      </c>
      <c r="D9" s="61" t="n">
        <v>9426260</v>
      </c>
      <c r="E9" s="56" t="n"/>
      <c r="F9" s="56" t="n"/>
      <c r="G9" s="56" t="n"/>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Algarrobo</t>
        </is>
      </c>
      <c r="C13" s="56" t="inlineStr">
        <is>
          <t>Prosopis pallida</t>
        </is>
      </c>
      <c r="D13" s="56" t="inlineStr">
        <is>
          <t>Fabaceae</t>
        </is>
      </c>
      <c r="E13" s="56" t="inlineStr">
        <is>
          <t>Arbóreo medio (8-15 m)</t>
        </is>
      </c>
      <c r="F13" s="56" t="inlineStr">
        <is>
          <t>Nativa</t>
        </is>
      </c>
      <c r="G13" s="56" t="inlineStr"/>
      <c r="H13" s="56" t="n"/>
      <c r="I13" s="56" t="n"/>
    </row>
    <row r="14">
      <c r="A14" s="57" t="inlineStr">
        <is>
          <t>2</t>
        </is>
      </c>
      <c r="B14" s="57" t="inlineStr">
        <is>
          <t>Faique</t>
        </is>
      </c>
      <c r="C14" s="57" t="inlineStr">
        <is>
          <t>Vachellia macracantha (=Acacia macracantha)</t>
        </is>
      </c>
      <c r="D14" s="57" t="inlineStr">
        <is>
          <t>Fabaceae</t>
        </is>
      </c>
      <c r="E14" s="57" t="inlineStr">
        <is>
          <t>Arbóreo bajo (4-8 m)</t>
        </is>
      </c>
      <c r="F14" s="57" t="inlineStr">
        <is>
          <t>Nativa</t>
        </is>
      </c>
      <c r="G14" s="57" t="inlineStr"/>
      <c r="H14" s="57" t="n"/>
      <c r="I14" s="57" t="n"/>
    </row>
    <row r="15">
      <c r="A15" s="56" t="inlineStr">
        <is>
          <t>3</t>
        </is>
      </c>
      <c r="B15" s="56" t="inlineStr">
        <is>
          <t>Hualtaco</t>
        </is>
      </c>
      <c r="C15" s="56" t="inlineStr">
        <is>
          <t>Loxopterygium huasango</t>
        </is>
      </c>
      <c r="D15" s="56" t="inlineStr">
        <is>
          <t>Anacardiaceae</t>
        </is>
      </c>
      <c r="E15" s="56" t="inlineStr">
        <is>
          <t>Arbóreo bajo (4-8 m)</t>
        </is>
      </c>
      <c r="F15" s="56" t="inlineStr">
        <is>
          <t>Nativa</t>
        </is>
      </c>
      <c r="G15" s="56" t="inlineStr"/>
      <c r="H15" s="56" t="n"/>
      <c r="I15" s="56" t="n"/>
    </row>
    <row r="16">
      <c r="A16" s="57" t="inlineStr">
        <is>
          <t>4</t>
        </is>
      </c>
      <c r="B16" s="57" t="inlineStr">
        <is>
          <t>Charán</t>
        </is>
      </c>
      <c r="C16" s="57" t="inlineStr">
        <is>
          <t>Caesalpinia paipai</t>
        </is>
      </c>
      <c r="D16" s="57" t="inlineStr">
        <is>
          <t>Fabaceae</t>
        </is>
      </c>
      <c r="E16" s="57" t="inlineStr">
        <is>
          <t>Arbóreo bajo (4-8 m)</t>
        </is>
      </c>
      <c r="F16" s="57" t="inlineStr">
        <is>
          <t>Nativa</t>
        </is>
      </c>
      <c r="G16" s="57" t="inlineStr"/>
      <c r="H16" s="57" t="n"/>
      <c r="I16" s="57" t="n"/>
    </row>
    <row r="17">
      <c r="A17" s="56" t="inlineStr">
        <is>
          <t>5</t>
        </is>
      </c>
      <c r="B17" s="56" t="inlineStr">
        <is>
          <t>Palo santo</t>
        </is>
      </c>
      <c r="C17" s="56" t="inlineStr">
        <is>
          <t>Bursera graveolens</t>
        </is>
      </c>
      <c r="D17" s="56" t="inlineStr">
        <is>
          <t>Burseraceae</t>
        </is>
      </c>
      <c r="E17" s="56" t="inlineStr">
        <is>
          <t>Arbóreo bajo (4-8 m)</t>
        </is>
      </c>
      <c r="F17" s="56" t="inlineStr">
        <is>
          <t>Nativa</t>
        </is>
      </c>
      <c r="G17" s="56" t="inlineStr"/>
      <c r="H17" s="56" t="n"/>
      <c r="I17" s="56" t="n"/>
    </row>
    <row r="18">
      <c r="A18" s="57" t="inlineStr">
        <is>
          <t>6</t>
        </is>
      </c>
      <c r="B18" s="57" t="inlineStr">
        <is>
          <t>Pasallo</t>
        </is>
      </c>
      <c r="C18" s="57" t="inlineStr">
        <is>
          <t>Eriotheca ruizii</t>
        </is>
      </c>
      <c r="D18" s="57" t="inlineStr">
        <is>
          <t>Malvaceae</t>
        </is>
      </c>
      <c r="E18" s="57" t="inlineStr">
        <is>
          <t>Arbóreo bajo (4-8 m)</t>
        </is>
      </c>
      <c r="F18" s="57" t="inlineStr">
        <is>
          <t>Nativa</t>
        </is>
      </c>
      <c r="G18" s="57" t="inlineStr"/>
      <c r="H18" s="57" t="n"/>
      <c r="I18" s="57" t="n"/>
    </row>
    <row r="19">
      <c r="A19" s="56" t="inlineStr">
        <is>
          <t>7</t>
        </is>
      </c>
      <c r="B19" s="56" t="inlineStr">
        <is>
          <t>Pacae</t>
        </is>
      </c>
      <c r="C19" s="56" t="inlineStr">
        <is>
          <t>Inga feuillei</t>
        </is>
      </c>
      <c r="D19" s="56" t="inlineStr">
        <is>
          <t>Fabaceae</t>
        </is>
      </c>
      <c r="E19" s="56" t="inlineStr">
        <is>
          <t>Arbóreo medio (8-15 m)</t>
        </is>
      </c>
      <c r="F19" s="56" t="inlineStr">
        <is>
          <t>Nativa</t>
        </is>
      </c>
      <c r="G19" s="56" t="inlineStr"/>
      <c r="H19" s="56" t="n"/>
      <c r="I19" s="56" t="n"/>
    </row>
    <row r="20">
      <c r="A20" s="57" t="inlineStr">
        <is>
          <t>8</t>
        </is>
      </c>
      <c r="B20" s="57" t="inlineStr">
        <is>
          <t>Overo</t>
        </is>
      </c>
      <c r="C20" s="57" t="inlineStr">
        <is>
          <t>Cordia lutea</t>
        </is>
      </c>
      <c r="D20" s="57" t="inlineStr">
        <is>
          <t>Boraginaceae</t>
        </is>
      </c>
      <c r="E20" s="57" t="inlineStr">
        <is>
          <t>Arbustivo alto (1.5-4 m)</t>
        </is>
      </c>
      <c r="F20" s="57" t="inlineStr">
        <is>
          <t>Nativa</t>
        </is>
      </c>
      <c r="G20" s="57" t="inlineStr"/>
      <c r="H20" s="57" t="n"/>
      <c r="I20" s="57" t="n"/>
    </row>
    <row r="21">
      <c r="A21" s="56" t="inlineStr">
        <is>
          <t>9</t>
        </is>
      </c>
      <c r="B21" s="56" t="inlineStr">
        <is>
          <t>Uña de gato</t>
        </is>
      </c>
      <c r="C21" s="56" t="inlineStr">
        <is>
          <t>Mimosa pellita</t>
        </is>
      </c>
      <c r="D21" s="56" t="inlineStr">
        <is>
          <t>Fabaceae</t>
        </is>
      </c>
      <c r="E21" s="56" t="inlineStr">
        <is>
          <t>Arbustivo alto (1.5-4 m)</t>
        </is>
      </c>
      <c r="F21" s="56" t="inlineStr">
        <is>
          <t>Nativa</t>
        </is>
      </c>
      <c r="G21" s="56" t="inlineStr"/>
      <c r="H21" s="56" t="n"/>
      <c r="I21" s="56" t="n"/>
    </row>
    <row r="22">
      <c r="A22" s="57" t="inlineStr">
        <is>
          <t>10</t>
        </is>
      </c>
      <c r="B22" s="57" t="inlineStr">
        <is>
          <t>Cardo maderero (cactácea columnar)</t>
        </is>
      </c>
      <c r="C22" s="57" t="inlineStr">
        <is>
          <t>Armatocereus cartwrightianus</t>
        </is>
      </c>
      <c r="D22" s="57" t="inlineStr">
        <is>
          <t>Cactaceae</t>
        </is>
      </c>
      <c r="E22" s="57" t="inlineStr">
        <is>
          <t>Arbustivo alto (1.5-4 m)</t>
        </is>
      </c>
      <c r="F22" s="57" t="inlineStr">
        <is>
          <t>Nativa</t>
        </is>
      </c>
      <c r="G22" s="57" t="inlineStr"/>
      <c r="H22" s="57" t="n"/>
      <c r="I22" s="57" t="n"/>
    </row>
    <row r="23">
      <c r="A23" s="56" t="inlineStr">
        <is>
          <t>11</t>
        </is>
      </c>
      <c r="B23" s="56" t="inlineStr">
        <is>
          <t>Cactáceas columnares (otras)</t>
        </is>
      </c>
      <c r="C23" s="56" t="inlineStr">
        <is>
          <t>Cactaceae indet.</t>
        </is>
      </c>
      <c r="D23" s="56" t="inlineStr">
        <is>
          <t>Cactaceae</t>
        </is>
      </c>
      <c r="E23" s="56" t="inlineStr">
        <is>
          <t>Arbustivo alto (1.5-4 m)</t>
        </is>
      </c>
      <c r="F23" s="56" t="inlineStr">
        <is>
          <t>Nativa</t>
        </is>
      </c>
      <c r="G23" s="56" t="inlineStr"/>
      <c r="H23" s="56" t="n"/>
      <c r="I23" s="56" t="n"/>
    </row>
    <row r="24">
      <c r="A24" s="57" t="inlineStr">
        <is>
          <t>12</t>
        </is>
      </c>
      <c r="B24" s="57" t="inlineStr">
        <is>
          <t>Borrachera</t>
        </is>
      </c>
      <c r="C24" s="57" t="inlineStr">
        <is>
          <t>Ipomoea carnea</t>
        </is>
      </c>
      <c r="D24" s="57" t="inlineStr">
        <is>
          <t>Convolvulaceae</t>
        </is>
      </c>
      <c r="E24" s="57" t="inlineStr">
        <is>
          <t>Arbustivo bajo (0.5-1.5 m)</t>
        </is>
      </c>
      <c r="F24" s="57" t="inlineStr">
        <is>
          <t>Nativa</t>
        </is>
      </c>
      <c r="G24" s="57" t="inlineStr"/>
      <c r="H24" s="57" t="n"/>
      <c r="I24" s="57" t="n"/>
    </row>
    <row r="26">
      <c r="A26" s="54" t="inlineStr">
        <is>
          <t>F-DT-03 · ESPECIES CLAVE GEORREFERENCIADAS</t>
        </is>
      </c>
    </row>
    <row r="27">
      <c r="A27" s="55" t="inlineStr">
        <is>
          <t>N.o</t>
        </is>
      </c>
      <c r="B27" s="55" t="inlineStr">
        <is>
          <t>Especie</t>
        </is>
      </c>
      <c r="C27" s="55" t="inlineStr">
        <is>
          <t>Categoría</t>
        </is>
      </c>
      <c r="D27" s="55" t="inlineStr">
        <is>
          <t>Estado UICN</t>
        </is>
      </c>
      <c r="E27" s="55" t="inlineStr">
        <is>
          <t>UTM ESTE</t>
        </is>
      </c>
      <c r="F27" s="55" t="inlineStr">
        <is>
          <t>UTM NORTE</t>
        </is>
      </c>
      <c r="G27" s="55" t="inlineStr">
        <is>
          <t>N.° individuos</t>
        </is>
      </c>
      <c r="H27" s="55" t="inlineStr">
        <is>
          <t>Observación</t>
        </is>
      </c>
    </row>
    <row r="28">
      <c r="A28" s="56" t="inlineStr">
        <is>
          <t>1</t>
        </is>
      </c>
      <c r="B28" s="56" t="inlineStr">
        <is>
          <t>Loxopterygium huasango — hualtaco</t>
        </is>
      </c>
      <c r="C28" s="56" t="inlineStr">
        <is>
          <t>Amenazada (D.S. 043-2006-AG)</t>
        </is>
      </c>
      <c r="D28" s="56" t="inlineStr">
        <is>
          <t>CR — En Peligro Crítico</t>
        </is>
      </c>
      <c r="E28" s="56" t="n"/>
      <c r="F28" s="56" t="n"/>
      <c r="G28" s="56" t="n"/>
      <c r="H28" s="56" t="inlineStr">
        <is>
          <t>Especie emblemática del Bes-cm; alto valor para regulación hídrica y retención de suelos. Prohibida su tala.</t>
        </is>
      </c>
    </row>
    <row r="29">
      <c r="A29" s="57" t="inlineStr">
        <is>
          <t>2</t>
        </is>
      </c>
      <c r="B29" s="57" t="inlineStr">
        <is>
          <t>Bursera graveolens — palo santo</t>
        </is>
      </c>
      <c r="C29" s="57" t="inlineStr">
        <is>
          <t>Amenazada (D.S. 043-2006-AG)</t>
        </is>
      </c>
      <c r="D29" s="57" t="inlineStr">
        <is>
          <t>CR — En Peligro Crítico</t>
        </is>
      </c>
      <c r="E29" s="57" t="n"/>
      <c r="F29" s="57" t="n"/>
      <c r="G29" s="57" t="n"/>
      <c r="H29" s="57" t="inlineStr">
        <is>
          <t>Categorizada CR por D.S. 043-2006-AG; retirada de la lista SERFOR en 2014. UICN: LC.</t>
        </is>
      </c>
    </row>
    <row r="30">
      <c r="A30" s="56" t="inlineStr">
        <is>
          <t>3</t>
        </is>
      </c>
      <c r="B30" s="56" t="inlineStr">
        <is>
          <t>Prosopis pallida — algarrobo</t>
        </is>
      </c>
      <c r="C30" s="56" t="inlineStr">
        <is>
          <t>Amenazada (D.S. 043-2006-AG)</t>
        </is>
      </c>
      <c r="D30" s="56" t="inlineStr">
        <is>
          <t>VU — Vulnerable</t>
        </is>
      </c>
      <c r="E30" s="56" t="n"/>
      <c r="F30" s="56" t="n"/>
      <c r="G30" s="56" t="n"/>
      <c r="H30" s="56" t="inlineStr">
        <is>
          <t>Declarado Patrimonio Regional de Piura (Ac. Reg. N° 072-2003/GOB.REG.PIURA-CR).</t>
        </is>
      </c>
    </row>
    <row r="31">
      <c r="A31" s="57" t="inlineStr">
        <is>
          <t>4</t>
        </is>
      </c>
      <c r="B31" s="57" t="inlineStr">
        <is>
          <t>Vachellia macracantha — faique</t>
        </is>
      </c>
      <c r="C31" s="57" t="inlineStr">
        <is>
          <t>Amenazada (D.S. 043-2006-AG)</t>
        </is>
      </c>
      <c r="D31" s="57" t="inlineStr">
        <is>
          <t>NT — Casi Amenazado</t>
        </is>
      </c>
      <c r="E31" s="57" t="n"/>
      <c r="F31" s="57" t="n"/>
      <c r="G31" s="57" t="n"/>
      <c r="H31" s="57" t="inlineStr">
        <is>
          <t>UICN: LC. Especie clave para revegetación en laderas secas.</t>
        </is>
      </c>
    </row>
    <row r="32">
      <c r="A32" s="56" t="inlineStr">
        <is>
          <t>5</t>
        </is>
      </c>
      <c r="B32" s="56" t="inlineStr">
        <is>
          <t>Caesalpinia paipai — charán</t>
        </is>
      </c>
      <c r="C32" s="56" t="inlineStr">
        <is>
          <t>Endémica del Perú</t>
        </is>
      </c>
      <c r="D32" s="56" t="inlineStr">
        <is>
          <t>NE — No Evaluado</t>
        </is>
      </c>
      <c r="E32" s="56" t="n"/>
      <c r="F32" s="56" t="n"/>
      <c r="G32" s="56" t="n"/>
      <c r="H32" s="56" t="inlineStr">
        <is>
          <t>Registrada como endémica en el Libro Rojo de Plantas Endémicas del Perú.</t>
        </is>
      </c>
    </row>
    <row r="33">
      <c r="A33" s="57" t="inlineStr">
        <is>
          <t>6</t>
        </is>
      </c>
      <c r="B33" s="57" t="inlineStr">
        <is>
          <t>Armatocereus cartwrightianus — cardo maderero</t>
        </is>
      </c>
      <c r="C33" s="57" t="inlineStr">
        <is>
          <t>Indicadora de buen estado</t>
        </is>
      </c>
      <c r="D33" s="57" t="inlineStr">
        <is>
          <t>NE — No Evaluado</t>
        </is>
      </c>
      <c r="E33" s="57" t="n"/>
      <c r="F33" s="57" t="n"/>
      <c r="G33" s="57" t="n"/>
      <c r="H33" s="57" t="inlineStr">
        <is>
          <t>Cactácea columnar; toda la familia Cactaceae está incluida en el Apéndice II de CITES.</t>
        </is>
      </c>
    </row>
    <row r="35">
      <c r="A35" s="54" t="inlineStr">
        <is>
          <t>F-DT-04 · MATRIZ DE CAUSAS DE DEGRADACIÓN</t>
        </is>
      </c>
    </row>
    <row r="36">
      <c r="A36" s="55" t="inlineStr">
        <is>
          <t>N.o</t>
        </is>
      </c>
      <c r="B36" s="55" t="inlineStr">
        <is>
          <t>Causa</t>
        </is>
      </c>
      <c r="C36" s="55" t="inlineStr">
        <is>
          <t>Presencia</t>
        </is>
      </c>
      <c r="D36" s="55" t="inlineStr">
        <is>
          <t>Intensidad</t>
        </is>
      </c>
      <c r="E36" s="55" t="inlineStr">
        <is>
          <t>Extensión</t>
        </is>
      </c>
      <c r="F36" s="55" t="inlineStr">
        <is>
          <t>Antigüedad</t>
        </is>
      </c>
      <c r="G36" s="55" t="inlineStr">
        <is>
          <t>Evidencia</t>
        </is>
      </c>
    </row>
    <row r="37">
      <c r="A37" s="56" t="inlineStr">
        <is>
          <t>1</t>
        </is>
      </c>
      <c r="B37" s="56" t="inlineStr">
        <is>
          <t>Sobrepastoreo (caprino/vacuno)</t>
        </is>
      </c>
      <c r="C37" s="56" t="inlineStr">
        <is>
          <t>Sí</t>
        </is>
      </c>
      <c r="D37" s="56" t="inlineStr">
        <is>
          <t>Moderada</t>
        </is>
      </c>
      <c r="E37" s="56" t="inlineStr"/>
      <c r="F37" s="56" t="inlineStr"/>
      <c r="G37" s="56" t="inlineStr">
        <is>
          <t>Pastoreo caprino/vacuno en el interior del bloque; carga ganadera estimada 5 UA/ha.</t>
        </is>
      </c>
    </row>
    <row r="38">
      <c r="A38" s="57" t="inlineStr">
        <is>
          <t>2</t>
        </is>
      </c>
      <c r="B38" s="57" t="inlineStr">
        <is>
          <t>Tala para leña</t>
        </is>
      </c>
      <c r="C38" s="57" t="inlineStr">
        <is>
          <t>Sí</t>
        </is>
      </c>
      <c r="D38" s="57" t="inlineStr">
        <is>
          <t>Moderada</t>
        </is>
      </c>
      <c r="E38" s="57" t="inlineStr"/>
      <c r="F38" s="57" t="inlineStr"/>
      <c r="G38" s="57" t="inlineStr">
        <is>
          <t>Extracción de leña de bajo impacto por población del CP Maray; caminos internos de uso frecuente.</t>
        </is>
      </c>
    </row>
    <row r="39">
      <c r="A39" s="56" t="inlineStr">
        <is>
          <t>3</t>
        </is>
      </c>
      <c r="B39" s="56" t="inlineStr">
        <is>
          <t>Tala para carbón</t>
        </is>
      </c>
      <c r="C39" s="56" t="inlineStr"/>
      <c r="D39" s="56" t="inlineStr"/>
      <c r="E39" s="56" t="inlineStr"/>
      <c r="F39" s="56" t="inlineStr"/>
      <c r="G39" s="56" t="inlineStr"/>
    </row>
    <row r="40">
      <c r="A40" s="57" t="inlineStr">
        <is>
          <t>4</t>
        </is>
      </c>
      <c r="B40" s="57" t="inlineStr">
        <is>
          <t>Tala para madera</t>
        </is>
      </c>
      <c r="C40" s="57" t="inlineStr"/>
      <c r="D40" s="57" t="inlineStr"/>
      <c r="E40" s="57" t="inlineStr"/>
      <c r="F40" s="57" t="inlineStr"/>
      <c r="G40" s="57" t="inlineStr"/>
    </row>
    <row r="41">
      <c r="A41" s="56" t="inlineStr">
        <is>
          <t>5</t>
        </is>
      </c>
      <c r="B41" s="56" t="inlineStr">
        <is>
          <t>Quema (renovación de pastos)</t>
        </is>
      </c>
      <c r="C41" s="56" t="inlineStr"/>
      <c r="D41" s="56" t="inlineStr"/>
      <c r="E41" s="56" t="inlineStr"/>
      <c r="F41" s="56" t="inlineStr"/>
      <c r="G41" s="56" t="inlineStr"/>
    </row>
    <row r="42">
      <c r="A42" s="57" t="inlineStr">
        <is>
          <t>6</t>
        </is>
      </c>
      <c r="B42" s="57" t="inlineStr">
        <is>
          <t>Quema accidental / Incendio</t>
        </is>
      </c>
      <c r="C42" s="57" t="inlineStr"/>
      <c r="D42" s="57" t="inlineStr"/>
      <c r="E42" s="57" t="inlineStr"/>
      <c r="F42" s="57" t="inlineStr"/>
      <c r="G42" s="57" t="inlineStr"/>
    </row>
    <row r="43">
      <c r="A43" s="56" t="inlineStr">
        <is>
          <t>7</t>
        </is>
      </c>
      <c r="B43" s="56" t="inlineStr">
        <is>
          <t>Cambio de uso a agricultura</t>
        </is>
      </c>
      <c r="C43" s="56" t="inlineStr"/>
      <c r="D43" s="56" t="inlineStr"/>
      <c r="E43" s="56" t="inlineStr"/>
      <c r="F43" s="56" t="inlineStr"/>
      <c r="G43" s="56" t="inlineStr"/>
    </row>
    <row r="44">
      <c r="A44" s="57" t="inlineStr">
        <is>
          <t>8</t>
        </is>
      </c>
      <c r="B44" s="57" t="inlineStr">
        <is>
          <t>Cambio de uso a pastoreo</t>
        </is>
      </c>
      <c r="C44" s="57" t="inlineStr"/>
      <c r="D44" s="57" t="inlineStr"/>
      <c r="E44" s="57" t="inlineStr"/>
      <c r="F44" s="57" t="inlineStr"/>
      <c r="G44" s="57" t="inlineStr"/>
    </row>
    <row r="45">
      <c r="A45" s="56" t="inlineStr">
        <is>
          <t>9</t>
        </is>
      </c>
      <c r="B45" s="56" t="inlineStr">
        <is>
          <t>Expansión urbana / vial</t>
        </is>
      </c>
      <c r="C45" s="56" t="inlineStr">
        <is>
          <t>Sí</t>
        </is>
      </c>
      <c r="D45" s="56" t="inlineStr">
        <is>
          <t>Ligera</t>
        </is>
      </c>
      <c r="E45" s="56" t="inlineStr"/>
      <c r="F45" s="56" t="inlineStr"/>
      <c r="G45" s="56" t="inlineStr">
        <is>
          <t>Vía departamental afirmada al pie del bloque y badenes en construcción que desfogan escorrentía.</t>
        </is>
      </c>
    </row>
    <row r="46">
      <c r="A46" s="57" t="inlineStr">
        <is>
          <t>10</t>
        </is>
      </c>
      <c r="B46" s="57" t="inlineStr">
        <is>
          <t>Minería informal</t>
        </is>
      </c>
      <c r="C46" s="57" t="inlineStr"/>
      <c r="D46" s="57" t="inlineStr"/>
      <c r="E46" s="57" t="inlineStr"/>
      <c r="F46" s="57" t="inlineStr"/>
      <c r="G46" s="57" t="inlineStr"/>
    </row>
    <row r="47">
      <c r="A47" s="56" t="inlineStr">
        <is>
          <t>11</t>
        </is>
      </c>
      <c r="B47" s="56" t="inlineStr">
        <is>
          <t>Extracción de áridos (cauces)</t>
        </is>
      </c>
      <c r="C47" s="56" t="inlineStr"/>
      <c r="D47" s="56" t="inlineStr"/>
      <c r="E47" s="56" t="inlineStr"/>
      <c r="F47" s="56" t="inlineStr"/>
      <c r="G47" s="56" t="inlineStr"/>
    </row>
    <row r="48">
      <c r="A48" s="57" t="inlineStr">
        <is>
          <t>12</t>
        </is>
      </c>
      <c r="B48" s="57" t="inlineStr">
        <is>
          <t>Especies invasoras</t>
        </is>
      </c>
      <c r="C48" s="57" t="inlineStr"/>
      <c r="D48" s="57" t="inlineStr"/>
      <c r="E48" s="57" t="inlineStr"/>
      <c r="F48" s="57" t="inlineStr"/>
      <c r="G48" s="57" t="inlineStr"/>
    </row>
    <row r="49">
      <c r="A49" s="56" t="inlineStr">
        <is>
          <t>13</t>
        </is>
      </c>
      <c r="B49" s="56" t="inlineStr">
        <is>
          <t>Erosión natural severa</t>
        </is>
      </c>
      <c r="C49" s="56" t="inlineStr"/>
      <c r="D49" s="56" t="inlineStr"/>
      <c r="E49" s="56" t="inlineStr"/>
      <c r="F49" s="56" t="inlineStr"/>
      <c r="G49" s="56" t="inlineStr"/>
    </row>
    <row r="50">
      <c r="A50" s="57" t="inlineStr">
        <is>
          <t>14</t>
        </is>
      </c>
      <c r="B50" s="57" t="inlineStr">
        <is>
          <t>Sequía prolongada / CC</t>
        </is>
      </c>
      <c r="C50" s="57" t="inlineStr"/>
      <c r="D50" s="57" t="inlineStr"/>
      <c r="E50" s="57" t="inlineStr"/>
      <c r="F50" s="57" t="inlineStr"/>
      <c r="G50" s="57" t="inlineStr"/>
    </row>
    <row r="51">
      <c r="A51" s="56" t="inlineStr">
        <is>
          <t>15</t>
        </is>
      </c>
      <c r="B51" s="56" t="inlineStr">
        <is>
          <t>Plagas o enfermedades forestales</t>
        </is>
      </c>
      <c r="C51" s="56" t="inlineStr"/>
      <c r="D51" s="56" t="inlineStr"/>
      <c r="E51" s="56" t="inlineStr"/>
      <c r="F51" s="56" t="inlineStr"/>
      <c r="G51" s="56" t="inlineStr"/>
    </row>
    <row r="52">
      <c r="A52" s="57" t="inlineStr">
        <is>
          <t>16</t>
        </is>
      </c>
      <c r="B52" s="57" t="inlineStr">
        <is>
          <t>Otro</t>
        </is>
      </c>
      <c r="C52" s="57" t="inlineStr"/>
      <c r="D52" s="57" t="inlineStr"/>
      <c r="E52" s="57" t="inlineStr"/>
      <c r="F52" s="57" t="inlineStr"/>
      <c r="G52" s="57" t="inlineStr"/>
    </row>
    <row r="54">
      <c r="A54" s="54" t="inlineStr">
        <is>
          <t>F-DT-04 · INDICADORES CUANTITATIVOS</t>
        </is>
      </c>
    </row>
    <row r="55">
      <c r="A55" s="55" t="inlineStr">
        <is>
          <t>N.o</t>
        </is>
      </c>
      <c r="B55" s="55" t="inlineStr">
        <is>
          <t>Indicador</t>
        </is>
      </c>
      <c r="C55" s="55" t="inlineStr">
        <is>
          <t>Unidad</t>
        </is>
      </c>
      <c r="D55" s="55" t="inlineStr">
        <is>
          <t>Valor</t>
        </is>
      </c>
      <c r="E55" s="55" t="inlineStr">
        <is>
          <t>Fuente</t>
        </is>
      </c>
      <c r="F55" s="55" t="inlineStr">
        <is>
          <t>Umbral</t>
        </is>
      </c>
      <c r="G55" s="55" t="inlineStr">
        <is>
          <t>Nivel</t>
        </is>
      </c>
    </row>
    <row r="56">
      <c r="A56" s="56" t="inlineStr">
        <is>
          <t>1</t>
        </is>
      </c>
      <c r="B56" s="56" t="inlineStr">
        <is>
          <t>Cobertura vegetal total</t>
        </is>
      </c>
      <c r="C56" s="56" t="inlineStr">
        <is>
          <t>%</t>
        </is>
      </c>
      <c r="D56" s="56" t="inlineStr">
        <is>
          <t>60</t>
        </is>
      </c>
      <c r="E56" s="56" t="inlineStr">
        <is>
          <t>F-DT-03 — estimación visual de campo 06-05-2026</t>
        </is>
      </c>
      <c r="F56" s="56" t="inlineStr">
        <is>
          <t>&gt;60% bueno; 30-60% medio; &lt;30% malo</t>
        </is>
      </c>
      <c r="G56" s="56" t="inlineStr">
        <is>
          <t>Medio</t>
        </is>
      </c>
    </row>
    <row r="57">
      <c r="A57" s="57" t="inlineStr">
        <is>
          <t>2</t>
        </is>
      </c>
      <c r="B57" s="57" t="inlineStr">
        <is>
          <t>Porcentaje de suelo desnudo</t>
        </is>
      </c>
      <c r="C57" s="57" t="inlineStr">
        <is>
          <t>%</t>
        </is>
      </c>
      <c r="D57" s="57" t="inlineStr">
        <is>
          <t>10</t>
        </is>
      </c>
      <c r="E57" s="57" t="inlineStr">
        <is>
          <t>F-DT-03 — estimación visual de campo 06-05-2026</t>
        </is>
      </c>
      <c r="F57" s="57" t="inlineStr">
        <is>
          <t>&lt;10% bueno; 10-30% medio; &gt;30% malo</t>
        </is>
      </c>
      <c r="G57" s="57" t="inlineStr">
        <is>
          <t>Medio</t>
        </is>
      </c>
    </row>
    <row r="58">
      <c r="A58" s="56" t="inlineStr">
        <is>
          <t>3</t>
        </is>
      </c>
      <c r="B58" s="56" t="inlineStr">
        <is>
          <t>Densidad de cárcavas</t>
        </is>
      </c>
      <c r="C58" s="56" t="inlineStr">
        <is>
          <t>N°/ha</t>
        </is>
      </c>
      <c r="D58" s="56" t="inlineStr">
        <is>
          <t>0.09</t>
        </is>
      </c>
      <c r="E58" s="56" t="inlineStr">
        <is>
          <t>Cálculo: 1 cárcava inventariada (F-DT-02) / 11.47 ha</t>
        </is>
      </c>
      <c r="F58" s="56" t="inlineStr">
        <is>
          <t>0 nulo; 1-3 medio; &gt;3 alto</t>
        </is>
      </c>
      <c r="G58" s="56" t="inlineStr">
        <is>
          <t>Bajo</t>
        </is>
      </c>
    </row>
    <row r="59">
      <c r="A59" s="57" t="inlineStr">
        <is>
          <t>4</t>
        </is>
      </c>
      <c r="B59" s="57" t="inlineStr">
        <is>
          <t>Presencia de especies invasoras</t>
        </is>
      </c>
      <c r="C59" s="57" t="inlineStr">
        <is>
          <t>% área</t>
        </is>
      </c>
      <c r="D59" s="57" t="inlineStr"/>
      <c r="E59" s="57" t="inlineStr"/>
      <c r="F59" s="57" t="inlineStr">
        <is>
          <t>&lt;5% bueno; 5-20% medio; &gt;20% alto</t>
        </is>
      </c>
      <c r="G59" s="57" t="inlineStr"/>
    </row>
    <row r="60">
      <c r="A60" s="56" t="inlineStr">
        <is>
          <t>5</t>
        </is>
      </c>
      <c r="B60" s="56" t="inlineStr">
        <is>
          <t>Carga ganadera estimada</t>
        </is>
      </c>
      <c r="C60" s="56" t="inlineStr">
        <is>
          <t>UA/ha</t>
        </is>
      </c>
      <c r="D60" s="56" t="inlineStr">
        <is>
          <t>5</t>
        </is>
      </c>
      <c r="E60" s="56" t="inlineStr">
        <is>
          <t>Estimación de campo (ficha F-DT-04)</t>
        </is>
      </c>
      <c r="F60" s="56" t="inlineStr">
        <is>
          <t>Según tipo de ecosistema</t>
        </is>
      </c>
      <c r="G60" s="56" t="inlineStr"/>
    </row>
    <row r="61">
      <c r="A61" s="57" t="inlineStr">
        <is>
          <t>6</t>
        </is>
      </c>
      <c r="B61" s="57" t="inlineStr">
        <is>
          <t>Frecuencia de quemas últimos 5 años</t>
        </is>
      </c>
      <c r="C61" s="57" t="inlineStr">
        <is>
          <t>N°</t>
        </is>
      </c>
      <c r="D61" s="57" t="inlineStr">
        <is>
          <t>0</t>
        </is>
      </c>
      <c r="E61" s="57" t="inlineStr">
        <is>
          <t>Observación de campo — sin evidencia de quemas</t>
        </is>
      </c>
      <c r="F61" s="57" t="inlineStr">
        <is>
          <t>0 nulo; 1-2 medio; &gt;2 alto</t>
        </is>
      </c>
      <c r="G61" s="57" t="inlineStr">
        <is>
          <t>Bajo</t>
        </is>
      </c>
    </row>
    <row r="62">
      <c r="A62" s="56" t="inlineStr">
        <is>
          <t>7</t>
        </is>
      </c>
      <c r="B62" s="56" t="inlineStr">
        <is>
          <t>% área con pendiente &gt;50%</t>
        </is>
      </c>
      <c r="C62" s="56" t="inlineStr">
        <is>
          <t>%</t>
        </is>
      </c>
      <c r="D62" s="56" t="inlineStr"/>
      <c r="E62" s="56" t="inlineStr"/>
      <c r="F62" s="56" t="inlineStr">
        <is>
          <t>Factor de susceptibilidad</t>
        </is>
      </c>
      <c r="G62" s="56" t="inlineStr"/>
    </row>
    <row r="63">
      <c r="A63" s="57" t="inlineStr">
        <is>
          <t>8</t>
        </is>
      </c>
      <c r="B63" s="57" t="inlineStr">
        <is>
          <t>Distancia a vía vecinal más cercana</t>
        </is>
      </c>
      <c r="C63" s="57" t="inlineStr">
        <is>
          <t>m</t>
        </is>
      </c>
      <c r="D63" s="57" t="inlineStr">
        <is>
          <t>200</t>
        </is>
      </c>
      <c r="E63" s="57" t="inlineStr">
        <is>
          <t>Estimación de campo — vía departamental afirmada Morropón–Yamango</t>
        </is>
      </c>
      <c r="F63" s="57" t="inlineStr">
        <is>
          <t>A menor distancia → mayor presión</t>
        </is>
      </c>
      <c r="G63" s="57" t="inlineStr"/>
    </row>
    <row r="65">
      <c r="A65" s="54" t="inlineStr">
        <is>
          <t>F-DT-05 · FUENTES DE AGUA INVENTARIADAS</t>
        </is>
      </c>
    </row>
    <row r="66">
      <c r="A66" s="55" t="inlineStr">
        <is>
          <t>N.o</t>
        </is>
      </c>
      <c r="B66" s="55" t="inlineStr">
        <is>
          <t>Tipo de fuente</t>
        </is>
      </c>
      <c r="C66" s="55" t="inlineStr">
        <is>
          <t>UTM ESTE</t>
        </is>
      </c>
      <c r="D66" s="55" t="inlineStr">
        <is>
          <t>UTM NORTE</t>
        </is>
      </c>
      <c r="E66" s="55" t="inlineStr">
        <is>
          <t>Régimen</t>
        </is>
      </c>
      <c r="F66" s="55" t="inlineStr">
        <is>
          <t>Calidad</t>
        </is>
      </c>
      <c r="G66" s="55" t="inlineStr">
        <is>
          <t>Distancia (m)</t>
        </is>
      </c>
      <c r="H66" s="55" t="inlineStr">
        <is>
          <t>Uso / observación</t>
        </is>
      </c>
    </row>
    <row r="67">
      <c r="A67" s="56" t="inlineStr">
        <is>
          <t>1</t>
        </is>
      </c>
      <c r="B67" s="56" t="inlineStr">
        <is>
          <t>Quebrada estacional</t>
        </is>
      </c>
      <c r="C67" s="56" t="n"/>
      <c r="D67" s="56" t="n"/>
      <c r="E67" s="56" t="inlineStr">
        <is>
          <t>Estacional (lluvias)</t>
        </is>
      </c>
      <c r="F67" s="56" t="inlineStr">
        <is>
          <t>No evaluable</t>
        </is>
      </c>
      <c r="G67" s="56" t="n"/>
      <c r="H67" s="56" t="inlineStr">
        <is>
          <t>Quebrada de aprox. 5 m de ancho que se activa únicamente en temporada de lluvias; conduce escorrentía proveniente de la ladera. Inactiva al momento de la visita. Coordenadas no consignadas en ficha (por verificar).</t>
        </is>
      </c>
    </row>
    <row r="70">
      <c r="A70" s="54" t="inlineStr">
        <is>
          <t>OBSERVACIONES DEL EVALUADOR POR FICHA</t>
        </is>
      </c>
    </row>
    <row r="71">
      <c r="A71" s="55" t="inlineStr">
        <is>
          <t>Ficha</t>
        </is>
      </c>
      <c r="B71" s="55" t="inlineStr">
        <is>
          <t>Observación registrada en campo</t>
        </is>
      </c>
    </row>
    <row r="72">
      <c r="A72" s="56" t="inlineStr">
        <is>
          <t>F-DT-01</t>
        </is>
      </c>
      <c r="B72" s="56" t="inlineStr">
        <is>
          <t>Ausencia de cárcavas prominentes; se evidencian quebradas que se activan solo en temporada de lluvias. En tramos al pie del bloque se están construyendo badenes que desfogan hacia el exterior del bloque. || DISCREPANCIAS DOCUMENTADAS: (1) La ficha de campo consigna la microcuenca 'C1076-Q9584'; el catálogo maestro tbl_Bloques/Bloques V5 y el registro CP-Bloques asignan al bloque 58 la microcuenca C1086-Q9569. Se conserva el valor del catálogo (autocalculado) y se deja constancia del error de transcripción en la ficha. (2) El registro 'Plan de Ingreso' consigna Altitud = 0 m.s.n.m. (captura por defecto del aplicativo); se reemplaza por la altitud GPS del punto de muestreo (182 msnm) y se descarta el valor cero. (3) El rango de pendiente de campo (25-50%) corresponde al recorrido efectivo de la brigada y difiere de la pendiente media zonal del MDE (16.09%, clase 15-25%); ambos valores se reportan por separado. (4) La brigada se consigna según ficha F-DT (Juan Domínguez / Ángela Cruz); el cuadro consolidado del 2° Producto OS 1993-2026 atribuye la verificación a Juan Domínguez / Héctor Cahuas — discrepancia por verificar. (5) El bloque 58 comparte microcuenca y centro poblado de referencia (Maray) con el bloque contiguo M32B3, el cual está asignado al distrito de Morropón; la asignación distrital de ambos bloques debe verificarse contra el límite político oficial. (6) El mapa temático MSAVI rotula el polígono como 'B4_2'; corresponde al bloque 58 según el catálogo maestro.</t>
        </is>
      </c>
    </row>
    <row r="73">
      <c r="A73" s="57" t="inlineStr">
        <is>
          <t>F-DT-02</t>
        </is>
      </c>
      <c r="B73" s="57" t="inlineStr">
        <is>
          <t>Predomina erosión laminar difusa. No se registró sellamiento superficial, costras, compactación por pisoteo ni raíces expuestas: los suelos conservan integridad estructural relativa. El suelo de ladera presenta piedras medianas y cantos rodados. || CÁRCAVA 01: georreferenciada en E 619 285 m / N 9 426 260 m (UTM WGS84 17S). Las observaciones técnicas de la inspección la describen como 'cárcava incipiente'; NO se midieron en campo longitud, profundidad ni ancho, por lo que NO se asigna clase dimensional de la lista de validación ni estado/causa: dichos campos quedan en blanco y constituyen agenda de verificación. || DISCREPANCIA DOCUMENTADA: la ficha F-DT-02 califica la urgencia de control como MEDIA; la memoria descriptiva del 2° Producto OS 1993-2026 la consigna como BAJA. Se conserva el valor de la ficha de campo (primaria) y se deja constancia de la divergencia. || Al pie del bloque, fuera de su perímetro, se observan badenes en construcción que desfogan escorrentía hacia campos de cultivo externos; su efecto sobre la concentración de flujos requiere verificación.</t>
        </is>
      </c>
    </row>
    <row r="74">
      <c r="A74" s="56" t="inlineStr">
        <is>
          <t>F-DT-03</t>
        </is>
      </c>
      <c r="B74" s="56" t="inlineStr">
        <is>
          <t>COMPOSICIÓN FLORÍSTICA — PROCEDENCIA DE LOS REGISTROS: la ficha F-DT-03 de campo (06-05-2026) consigna faique, hualtaco, charán y overo; la memoria descriptiva del 2° Producto OS 1993-2026 añade palo santo, uña de gato, borrachera y cardo maderero (Armatocereus cartwrightianus); el especialista forestal responsable incorpora adicionalmente algarrobo, pasallo, pacae y la presencia de cactáceas columnares. Todos los nombres científicos son PRELIMINARES: no se realizó colecta botánica ni determinación de herbario. || CAMPOS EN BLANCO: la abundancia relativa por especie, el DAP y la altura individuales NO fueron registrados en campo; se dejan en blanco (por verificar en el inventario forestal del estudio definitivo). Tampoco se registraron coordenadas ni número de individuos de las especies clave. || No se estableció parcela de muestreo formal: los valores de estructura corresponden a estimación visual sobre el recorrido. La coordenada consignada como 'esquina inferior' es el punto de observación (E 619 316 / N 9 426 189). || Se reporta la presencia de otras especies herbáceas y arbustivas características del Bes-cm sin determinación taxonómica. || DISCREPANCIA DOCUMENTADA: la ficha F-DT-03 registra cobertura de dosel 60% (y el indicador de cobertura vegetal total 60%); la memoria del 1° Producto OS refiere 80% de dosel y la ficha F-EE-05 del mismo bloque 90% de cobertura arbórea. Se conserva el valor de la ficha F-DT-03 (primaria) y se declara el rango 60-90% como intervalo a verificar. || La suma de coberturas por estrato excede 100% por corresponder a estratos superpuestos, no excluyentes. || ESTACIONALIDAD: la evaluación se realizó inmediatamente después de la temporada de lluvias, lo que favorece la expresión de herbáceas estacionales; el estado de conservación aparente puede estar sobreestimado respecto de la época seca.</t>
        </is>
      </c>
    </row>
    <row r="75">
      <c r="A75" s="57" t="inlineStr">
        <is>
          <t>F-DT-04</t>
        </is>
      </c>
      <c r="B75" s="57" t="inlineStr">
        <is>
          <t>Ecosistema con degradación baja y dinámica estable. || REGISTRO EN BLANCO — ADVERTENCIA DE INTERPRETACIÓN: en la ficha de campo únicamente se marcaron como presentes las causas N° 1 (sobrepastoreo), N° 2 (tala para leña) y N° 9 (expansión urbana/vial). Las causas N° 3-8 y N° 10-16 NO fueron marcadas; se registran EN BLANCO y NO deben interpretarse como ausencia verificada en campo. Su verificación queda como agenda de la próxima salida. || Extensión (% del bloque) y antigüedad de las causas no fueron cuantificadas. || INDICADOR N° 3: la ficha de campo consigna densidad de cárcavas = 0 N°/ha; el valor reportado (0.09 N°/ha) se deriva del inventario F-DT-02 (1 cárcava / 11.47 ha). Se declara la derivación por trazabilidad. || Indicadores N° 4 (especies invasoras) y N° 7 (% de área con pendiente &gt;50%) sin valor: el primero requiere verificación de campo, el segundo cálculo zonal sobre el MDE. || Los niveles de los indicadores N° 5 y N° 8 no se asignan por carecer de umbral normado para el ecosistema Bes-cm.</t>
        </is>
      </c>
    </row>
    <row r="76">
      <c r="A76" s="56" t="inlineStr">
        <is>
          <t>F-DT-05</t>
        </is>
      </c>
      <c r="B76" s="56" t="inlineStr">
        <is>
          <t>Bloque con degradación observable baja; por la época de evaluación (post-lluvias) se encuentra cubierto predominantemente por vegetación arbórea y arbustiva. Prioridad de intervención: BAJA. || No se identificaron fuentes de agua permanentes, zonas de recarga hídrica activa, humedad persistente ni escorrentía concentrada durante la visita, realizada en condiciones de tiempo seco. La única fuente inventariada es una quebrada estacional inactiva; sus coordenadas, régimen de caudal y distancia al límite del bloque quedan por verificar. || Distancia a captación poblacional, JASS asociada y sistema de riego: sin registro en ficha (por verificar con el diagnóstico social del CP Maray). || DISCREPANCIA DOCUMENTADA: la ficha F-DT-05 clasifica la vía final como 'Departamental afirmada'; la memoria del 2° Producto OS 1993-2026 la describe como 'vía vecinal afirmada (Morropón–Yamango)'. Se conserva el valor de la ficha y se deja constancia. || El acceso requiere autorización de la Ronda Campesina; el nombre y contacto del responsable no fueron consignados (gestión pendiente). || El CP Maray figura como 'Nuevo Maray' en el cuadro consolidado del 2° Producto OS 1993-2026.</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58</t>
        </is>
      </c>
    </row>
    <row r="7">
      <c r="A7" s="54" t="inlineStr">
        <is>
          <t>Hechos declarados por fuente</t>
        </is>
      </c>
    </row>
    <row r="8">
      <c r="A8" s="55" t="inlineStr">
        <is>
          <t>Fuente</t>
        </is>
      </c>
      <c r="B8" s="55" t="inlineStr">
        <is>
          <t>Hechos</t>
        </is>
      </c>
    </row>
    <row r="9">
      <c r="A9" s="56" t="inlineStr">
        <is>
          <t>Dato de campo</t>
        </is>
      </c>
      <c r="B9" s="56" t="n">
        <v>62</v>
      </c>
    </row>
    <row r="10">
      <c r="A10" s="57" t="inlineStr">
        <is>
          <t>Gabinete (GIS / teledetección)</t>
        </is>
      </c>
      <c r="B10" s="57" t="n">
        <v>24</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98</v>
      </c>
    </row>
    <row r="31">
      <c r="A31" s="57" t="inlineStr">
        <is>
          <t>COMPLEMENTADO</t>
        </is>
      </c>
      <c r="B31" s="57" t="n">
        <v>1</v>
      </c>
    </row>
    <row r="32">
      <c r="A32" s="56" t="inlineStr">
        <is>
          <t>ACTUALIZADO</t>
        </is>
      </c>
      <c r="B32" s="56" t="n">
        <v>1</v>
      </c>
    </row>
    <row r="33">
      <c r="A33" s="57" t="inlineStr">
        <is>
          <t>DISCREPANTE</t>
        </is>
      </c>
      <c r="B33" s="57" t="n">
        <v>0</v>
      </c>
    </row>
    <row r="34">
      <c r="A34" s="56" t="inlineStr">
        <is>
          <t>PENDIENTE</t>
        </is>
      </c>
      <c r="B34" s="56" t="n">
        <v>14</v>
      </c>
    </row>
    <row r="51">
      <c r="A51" s="54" t="inlineStr">
        <is>
          <t>Cobertura por estrato — campo (%)</t>
        </is>
      </c>
    </row>
    <row r="52">
      <c r="A52" s="55" t="inlineStr">
        <is>
          <t>Estrato</t>
        </is>
      </c>
      <c r="B52" s="55" t="inlineStr">
        <is>
          <t>% del área</t>
        </is>
      </c>
    </row>
    <row r="53">
      <c r="A53" s="56" t="inlineStr">
        <is>
          <t>Dosel</t>
        </is>
      </c>
      <c r="B53" s="61" t="n">
        <v>60</v>
      </c>
    </row>
    <row r="54">
      <c r="A54" s="57" t="inlineStr">
        <is>
          <t>Arbustiva</t>
        </is>
      </c>
      <c r="B54" s="62" t="n">
        <v>20</v>
      </c>
    </row>
    <row r="55">
      <c r="A55" s="56" t="inlineStr">
        <is>
          <t>Herbácea</t>
        </is>
      </c>
      <c r="B55" s="61" t="n">
        <v>20</v>
      </c>
    </row>
    <row r="56">
      <c r="A56" s="57" t="inlineStr">
        <is>
          <t>Suelo desnudo</t>
        </is>
      </c>
      <c r="B56" s="62" t="n">
        <v>10</v>
      </c>
    </row>
    <row r="73">
      <c r="A73" s="54" t="inlineStr">
        <is>
          <t>Causas activas de degradación (F-DT-04)</t>
        </is>
      </c>
    </row>
    <row r="74">
      <c r="A74" s="55" t="inlineStr">
        <is>
          <t>Causa</t>
        </is>
      </c>
      <c r="B74" s="55" t="inlineStr">
        <is>
          <t>Intensidad (1 ligera - 4 muy fuerte)</t>
        </is>
      </c>
    </row>
    <row r="75">
      <c r="A75" s="56" t="inlineStr">
        <is>
          <t>Sobrepastoreo (caprino/vacuno)</t>
        </is>
      </c>
      <c r="B75" s="56" t="n">
        <v>2</v>
      </c>
    </row>
    <row r="76">
      <c r="A76" s="57" t="inlineStr">
        <is>
          <t>Tala para leña</t>
        </is>
      </c>
      <c r="B76" s="57" t="n">
        <v>2</v>
      </c>
    </row>
    <row r="77">
      <c r="A77" s="56" t="inlineStr">
        <is>
          <t>Expansión urbana / vial</t>
        </is>
      </c>
      <c r="B77" s="56" t="n">
        <v>1</v>
      </c>
    </row>
    <row r="94">
      <c r="A94" s="54" t="inlineStr">
        <is>
          <t>Control de consistencia por calificación</t>
        </is>
      </c>
    </row>
    <row r="95">
      <c r="A95" s="55" t="inlineStr">
        <is>
          <t>Calificación</t>
        </is>
      </c>
      <c r="B95" s="55" t="inlineStr">
        <is>
          <t>Verificaciones</t>
        </is>
      </c>
    </row>
    <row r="96">
      <c r="A96" s="56" t="inlineStr">
        <is>
          <t>SUSTANTIVA</t>
        </is>
      </c>
      <c r="B96" s="56" t="n">
        <v>5</v>
      </c>
    </row>
    <row r="97">
      <c r="A97" s="57" t="inlineStr">
        <is>
          <t>NO SUSTANTIVA</t>
        </is>
      </c>
      <c r="B97" s="57" t="n">
        <v>6</v>
      </c>
    </row>
    <row r="98">
      <c r="A98" s="56" t="inlineStr">
        <is>
          <t>CORREGIDO</t>
        </is>
      </c>
      <c r="B98" s="56" t="n">
        <v>2</v>
      </c>
    </row>
    <row r="99">
      <c r="A99" s="57" t="inlineStr">
        <is>
          <t>CONFORME</t>
        </is>
      </c>
      <c r="B99"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58 — IN Piura</dc:title>
  <dc:subject>Diagnóstico Territorial por bloque de intervención</dc:subject>
  <dcterms:created xsi:type="dcterms:W3CDTF">2026-09-08T03:39:54Z</dcterms:created>
  <dcterms:modified xsi:type="dcterms:W3CDTF">2026-09-11T20:22:30Z</dcterms:modified>
</cp:coreProperties>
</file>