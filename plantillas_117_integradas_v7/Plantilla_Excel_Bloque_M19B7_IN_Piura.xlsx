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integración'!B75</f>
            </strRef>
          </tx>
          <spPr>
            <a:ln>
              <a:prstDash val="solid"/>
            </a:ln>
          </spPr>
          <cat>
            <numRef>
              <f>'Gráficos de integración'!$A$76:$A$79</f>
            </numRef>
          </cat>
          <val>
            <numRef>
              <f>'Gráficos de integración'!$B$76:$B$79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M19B7</t>
        </is>
      </c>
    </row>
    <row r="6" ht="24" customHeight="1">
      <c r="A6" s="4" t="inlineStr">
        <is>
          <t>Diagnóstico Territorial — Plantilla DT Campo Check Validada V5 | Sistema de referencia: UTM WGS 84 Zona 17S (EPSG:32717) · Integrado con la ficha de campo F-DT vigente (Plantilla_DT_Campo_Check_Validada_V5_M19B7 (1).xlsx) — V7 - resumen V6 + campo F-DT integrado</t>
        </is>
      </c>
    </row>
    <row r="7"/>
    <row r="8" ht="18" customHeight="1">
      <c r="A8" s="5" t="inlineStr">
        <is>
          <t>1. IDENTIFICACIÓN Y LOCALIZACIÓN</t>
        </is>
      </c>
    </row>
    <row r="9">
      <c r="A9" s="6" t="inlineStr">
        <is>
          <t>Código del bloque</t>
        </is>
      </c>
      <c r="B9" s="7" t="inlineStr">
        <is>
          <t>M19B7</t>
        </is>
      </c>
      <c r="C9" s="6" t="inlineStr">
        <is>
          <t>Microcuenca (catálogo)</t>
        </is>
      </c>
      <c r="D9" s="7" t="inlineStr">
        <is>
          <t>C1086-Q9570</t>
        </is>
      </c>
      <c r="E9" s="8" t="n"/>
      <c r="F9" s="8" t="n"/>
    </row>
    <row r="10">
      <c r="A10" s="6" t="inlineStr">
        <is>
          <t>Zona de planificación</t>
        </is>
      </c>
      <c r="B10" s="7" t="inlineStr">
        <is>
          <t>Z03</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Santo Domingo</t>
        </is>
      </c>
      <c r="C12" s="6" t="inlineStr">
        <is>
          <t>Capital distrital</t>
        </is>
      </c>
      <c r="D12" s="7" t="inlineStr">
        <is>
          <t>Santo Domingo</t>
        </is>
      </c>
      <c r="E12" s="8" t="n"/>
      <c r="F12" s="8" t="n"/>
    </row>
    <row r="13">
      <c r="A13" s="6" t="inlineStr">
        <is>
          <t>Centro poblado asociado</t>
        </is>
      </c>
      <c r="B13" s="7" t="inlineStr">
        <is>
          <t>El Faique</t>
        </is>
      </c>
      <c r="C13" s="6" t="inlineStr">
        <is>
          <t>Comunidad campesina</t>
        </is>
      </c>
      <c r="D13" s="51" t="inlineStr">
        <is>
          <t>Propiedad privada; caserío y predios dispersos</t>
        </is>
      </c>
      <c r="E13" s="8" t="n"/>
      <c r="F13" s="8" t="n"/>
    </row>
    <row r="14">
      <c r="A14" s="6" t="inlineStr">
        <is>
          <t>Superficie de catálogo (V5/V6), ha</t>
        </is>
      </c>
      <c r="B14" s="7" t="n">
        <v>34.17</v>
      </c>
      <c r="C14" s="6" t="inlineStr">
        <is>
          <t>Fuente de superficie</t>
        </is>
      </c>
      <c r="D14" s="7" t="inlineStr">
        <is>
          <t>Catálogo maestro Bloques V5/V6</t>
        </is>
      </c>
      <c r="E14" s="8" t="n"/>
      <c r="F14" s="8" t="n"/>
    </row>
    <row r="15">
      <c r="A15" s="6" t="inlineStr">
        <is>
          <t>Centroide UTM ESTE (m)</t>
        </is>
      </c>
      <c r="B15" s="7" t="n">
        <v>620770</v>
      </c>
      <c r="C15" s="6" t="inlineStr">
        <is>
          <t>Centroide UTM NORTE (m)</t>
        </is>
      </c>
      <c r="D15" s="7" t="n">
        <v>9436562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1213</v>
      </c>
      <c r="C19" s="6" t="inlineStr">
        <is>
          <t>Altitud máxima (msnm)</t>
        </is>
      </c>
      <c r="D19" s="7" t="n">
        <v>1578</v>
      </c>
      <c r="E19" s="8" t="n"/>
      <c r="F19" s="8" t="n"/>
    </row>
    <row r="20">
      <c r="A20" s="6" t="inlineStr">
        <is>
          <t>Amplitud altitudinal (m)</t>
        </is>
      </c>
      <c r="B20" s="7" t="n">
        <v>365</v>
      </c>
      <c r="C20" s="6" t="inlineStr">
        <is>
          <t>Piso altitudinal dominante</t>
        </is>
      </c>
      <c r="D20" s="7" t="inlineStr">
        <is>
          <t>1000-1500 m (Quechua baja)</t>
        </is>
      </c>
      <c r="E20" s="8" t="n"/>
      <c r="F20" s="8" t="n"/>
    </row>
    <row r="21">
      <c r="A21" s="6" t="inlineStr">
        <is>
          <t>Pendiente promedio (%)</t>
        </is>
      </c>
      <c r="B21" s="7" t="n">
        <v>28.15</v>
      </c>
      <c r="C21" s="6" t="inlineStr">
        <is>
          <t>Pendiente promedio (grados)</t>
        </is>
      </c>
      <c r="D21" s="7" t="n">
        <v>15.7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51" t="inlineStr">
        <is>
          <t>Sí (reportado como posible, no concluyente)</t>
        </is>
      </c>
      <c r="C25" s="6" t="inlineStr">
        <is>
          <t>Remociones en masa activas</t>
        </is>
      </c>
      <c r="D25" s="51" t="inlineStr">
        <is>
          <t>Sí</t>
        </is>
      </c>
      <c r="E25" s="8" t="n"/>
      <c r="F25" s="8" t="n"/>
    </row>
    <row r="26"/>
    <row r="27" ht="18" customHeight="1">
      <c r="A27" s="5" t="inlineStr">
        <is>
          <t>3. ÍNDICES DE VEGETACIÓN (SENTINEL-2)</t>
        </is>
      </c>
    </row>
    <row r="28">
      <c r="A28" s="6" t="inlineStr">
        <is>
          <t>MSAVI 2024 — media del bloque</t>
        </is>
      </c>
      <c r="B28" s="7" t="n">
        <v>0.5919</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(78.52 %)</t>
        </is>
      </c>
      <c r="E29" s="8" t="n"/>
      <c r="F29" s="8" t="n"/>
    </row>
    <row r="30">
      <c r="A30" s="6" t="inlineStr">
        <is>
          <t>Superficie clasificada NDVI 2025 (ha)</t>
        </is>
      </c>
      <c r="B30" s="7" t="n">
        <v>34.186</v>
      </c>
      <c r="C30" s="6" t="inlineStr">
        <is>
          <t>Desviación frente al catálogo (%)</t>
        </is>
      </c>
      <c r="D30" s="7" t="n">
        <v>0.05</v>
      </c>
      <c r="E30" s="8" t="n"/>
      <c r="F30" s="8" t="n"/>
    </row>
    <row r="31">
      <c r="A31" s="6" t="inlineStr">
        <is>
          <t>Superficie clasificada MSAVI 2024 (ha)</t>
        </is>
      </c>
      <c r="B31" s="39" t="n">
        <v>34.171</v>
      </c>
      <c r="C31" s="6" t="inlineStr">
        <is>
          <t>Desviación MSAVI frente al catálogo (%)</t>
        </is>
      </c>
      <c r="D31" s="40" t="n">
        <v>0</v>
      </c>
      <c r="E31" s="8" t="n"/>
      <c r="F31" s="8" t="n"/>
    </row>
    <row r="32">
      <c r="A32" s="6" t="inlineStr">
        <is>
          <t>Superficie bajo umbral MSAVI 0.4976 (ha)</t>
        </is>
      </c>
      <c r="B32" s="39" t="n">
        <v>1.998</v>
      </c>
      <c r="C32" s="6" t="inlineStr">
        <is>
          <t>% del bloque bajo umbral (brecha espectral)</t>
        </is>
      </c>
      <c r="D32" s="40" t="n">
        <v>5.85</v>
      </c>
      <c r="E32" s="8" t="n"/>
      <c r="F32" s="8" t="n"/>
    </row>
    <row r="33">
      <c r="A33" s="6" t="inlineStr">
        <is>
          <t>Clase DN dominante (MSAVI 2024)</t>
        </is>
      </c>
      <c r="B33" s="7" t="inlineStr">
        <is>
          <t>DN 4 · 0.4976 - 0.6139 (Vigor moderado)</t>
        </is>
      </c>
      <c r="C33" s="6" t="inlineStr">
        <is>
          <t>N.° de polígonos MSAVI del bloque</t>
        </is>
      </c>
      <c r="D33" s="41" t="n">
        <v>103</v>
      </c>
      <c r="E33" s="8" t="n"/>
      <c r="F33" s="8" t="n"/>
    </row>
    <row r="34"/>
    <row r="35" ht="18" customHeight="1">
      <c r="A35" s="5" t="inlineStr">
        <is>
          <t>4. ECOSISTEMA Y ESTADO DE CONSERVACIÓN</t>
        </is>
      </c>
    </row>
    <row r="36">
      <c r="A36" s="6" t="inlineStr">
        <is>
          <t>Tipo de ecosistema (UP)</t>
        </is>
      </c>
      <c r="B36" s="7" t="inlineStr">
        <is>
          <t>Agroecosistema / Mosaico (con relicto de Bes-cm como ecosistema secundario)</t>
        </is>
      </c>
      <c r="C36" s="6" t="inlineStr">
        <is>
          <t>Superficie de ecosistema (ha)</t>
        </is>
      </c>
      <c r="D36" s="7" t="inlineStr">
        <is>
          <t>Por determinar</t>
        </is>
      </c>
      <c r="E36" s="8" t="n"/>
      <c r="F36" s="8" t="n"/>
    </row>
    <row r="37">
      <c r="A37" s="6" t="inlineStr">
        <is>
          <t>Estado de conservación</t>
        </is>
      </c>
      <c r="B37" s="7" t="inlineStr">
        <is>
          <t>Alterado (intervención marcada)</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51" t="inlineStr">
        <is>
          <t>60 - 80 (estimación)</t>
        </is>
      </c>
      <c r="E38" s="8" t="n"/>
      <c r="F38" s="8" t="n"/>
    </row>
    <row r="39">
      <c r="A39" s="6" t="inlineStr">
        <is>
          <t>Suelo desnudo — campo (%)</t>
        </is>
      </c>
      <c r="B39" s="7" t="inlineStr">
        <is>
          <t>Por determinar</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51" t="inlineStr">
        <is>
          <t>No inventariadas</t>
        </is>
      </c>
      <c r="E40" s="8" t="n"/>
      <c r="F40" s="8" t="n"/>
    </row>
    <row r="41">
      <c r="A41" s="6" t="inlineStr">
        <is>
          <t>Elenco florístico (n.° de taxones)</t>
        </is>
      </c>
      <c r="B41" s="7" t="n">
        <v>9</v>
      </c>
      <c r="C41" s="6" t="inlineStr">
        <is>
          <t>Estado sanitario</t>
        </is>
      </c>
      <c r="D41" s="51" t="inlineStr">
        <is>
          <t>Sin registro en ficha</t>
        </is>
      </c>
      <c r="E41" s="8" t="n"/>
      <c r="F41" s="8" t="n"/>
    </row>
    <row r="42"/>
    <row r="43" ht="18" customHeight="1">
      <c r="A43" s="5" t="inlineStr">
        <is>
          <t>5. RESPONSABLE Y MODALIDAD DE LA EVALUACIÓN</t>
        </is>
      </c>
    </row>
    <row r="44">
      <c r="A44" s="6" t="inlineStr">
        <is>
          <t>Responsable de la evaluación</t>
        </is>
      </c>
      <c r="B44" s="51" t="inlineStr">
        <is>
          <t>Ing. Héctor Salomón Cahuas Miller (responsable); acompañantes: Ing. Pedro Talledo Hernández, Ing. Juan Carlos Domínguez Varas</t>
        </is>
      </c>
      <c r="C44" s="6" t="inlineStr">
        <is>
          <t>Fecha de evaluación</t>
        </is>
      </c>
      <c r="D44" s="7" t="inlineStr">
        <is>
          <t>2026-06-17</t>
        </is>
      </c>
      <c r="E44" s="8" t="n"/>
      <c r="F44" s="8" t="n"/>
    </row>
    <row r="45">
      <c r="A45" s="6" t="inlineStr">
        <is>
          <t>Hora de registro</t>
        </is>
      </c>
      <c r="B45" s="51" t="inlineStr">
        <is>
          <t>16:52 h</t>
        </is>
      </c>
      <c r="C45" s="6" t="inlineStr">
        <is>
          <t>Correlativo de ficha</t>
        </is>
      </c>
      <c r="D45" s="51" t="inlineStr">
        <is>
          <t>F-DT/M19B7/2026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Sin registro en ficha</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sobre laderas y apertura/expansión vial sin medidas de control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M19B7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11.894</v>
      </c>
      <c r="C10" s="19">
        <f>ROUND(B10/$B$15*100,2)</f>
        <v/>
      </c>
      <c r="D10" s="11" t="inlineStr">
        <is>
          <t>Vigor alto</t>
        </is>
      </c>
      <c r="E10" s="11" t="inlineStr">
        <is>
          <t>Sobre umbral</t>
        </is>
      </c>
    </row>
    <row r="11">
      <c r="A11" s="12" t="inlineStr">
        <is>
          <t>0.4976 - 0.6139 · DN 4</t>
        </is>
      </c>
      <c r="B11" s="32" t="n">
        <v>20.2785</v>
      </c>
      <c r="C11" s="31">
        <f>ROUND(B11/$B$15*100,2)</f>
        <v/>
      </c>
      <c r="D11" s="13" t="inlineStr">
        <is>
          <t>Vigor moderado</t>
        </is>
      </c>
      <c r="E11" s="13" t="inlineStr">
        <is>
          <t>Sobre umbral</t>
        </is>
      </c>
    </row>
    <row r="12">
      <c r="A12" s="7" t="inlineStr">
        <is>
          <t>0.3813 - 0.4976 · DN 3</t>
        </is>
      </c>
      <c r="B12" s="18" t="n">
        <v>1.9983</v>
      </c>
      <c r="C12" s="19">
        <f>ROUND(B12/$B$15*100,2)</f>
        <v/>
      </c>
      <c r="D12" s="11" t="inlineStr">
        <is>
          <t>Vigor bajo</t>
        </is>
      </c>
      <c r="E12" s="11" t="inlineStr">
        <is>
          <t>BAJO umbral 0.4976</t>
        </is>
      </c>
    </row>
    <row r="13">
      <c r="A13" s="14" t="inlineStr">
        <is>
          <t>0.2650 - 0.3813 · DN 2</t>
        </is>
      </c>
      <c r="B13" s="20" t="n">
        <v>0</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103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34.17</v>
      </c>
      <c r="C18" s="50" t="inlineStr">
        <is>
          <t>—</t>
        </is>
      </c>
      <c r="D18" s="47" t="inlineStr">
        <is>
          <t>Desviación planimétrica frente al catálogo</t>
        </is>
      </c>
      <c r="E18" s="47" t="inlineStr">
        <is>
          <t>+0.00 %</t>
        </is>
      </c>
    </row>
    <row r="19">
      <c r="A19" s="16" t="inlineStr">
        <is>
          <t>MSAVI 2024 — MEDIA DEL BLOQUE</t>
        </is>
      </c>
      <c r="B19" s="17" t="n">
        <v>0.591921</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103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(0.5919)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26.8444</v>
      </c>
      <c r="C25" s="19" t="n">
        <v>78.52</v>
      </c>
      <c r="D25" s="11" t="inlineStr">
        <is>
          <t>Dosel continuo, matorral denso o mosaico agroforestal</t>
        </is>
      </c>
      <c r="E25" s="11" t="inlineStr"/>
    </row>
    <row r="26">
      <c r="A26" s="14" t="inlineStr">
        <is>
          <t>Vegetación mediana</t>
        </is>
      </c>
      <c r="B26" s="20" t="n">
        <v>6.8651</v>
      </c>
      <c r="C26" s="21" t="n">
        <v>20.08</v>
      </c>
      <c r="D26" s="15" t="inlineStr">
        <is>
          <t>Pastizal cultivado, matorral ralo, parcelas agrícolas</t>
        </is>
      </c>
      <c r="E26" s="15" t="inlineStr"/>
    </row>
    <row r="27">
      <c r="A27" s="7" t="inlineStr">
        <is>
          <t>Vegetación ligera</t>
        </is>
      </c>
      <c r="B27" s="18" t="n">
        <v>0.4763</v>
      </c>
      <c r="C27" s="19" t="n">
        <v>1.39</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34.17</v>
      </c>
      <c r="C29" s="25" t="inlineStr">
        <is>
          <t>—</t>
        </is>
      </c>
      <c r="D29" s="25" t="inlineStr">
        <is>
          <t>Desviación planimétrica frente al catálogo</t>
        </is>
      </c>
      <c r="E29" s="25" t="inlineStr">
        <is>
          <t>+0.05 %</t>
        </is>
      </c>
    </row>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2" t="n"/>
      <c r="C31" s="42" t="n"/>
      <c r="D31" s="42" t="n"/>
      <c r="E31" s="43"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M19B7</t>
        </is>
      </c>
    </row>
    <row r="6" ht="24" customHeight="1">
      <c r="A6" s="4" t="inlineStr">
        <is>
          <t>Levantamiento del 2026-06-17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620775</v>
      </c>
      <c r="D10" s="26" t="n">
        <v>9436581</v>
      </c>
      <c r="E10" s="11" t="n">
        <v>19.6</v>
      </c>
      <c r="F10" s="11" t="inlineStr"/>
      <c r="G10" s="11" t="inlineStr">
        <is>
          <t>Coordenada consignada en F-DT-01</t>
        </is>
      </c>
    </row>
    <row r="11">
      <c r="A11" s="14" t="inlineStr">
        <is>
          <t>H-01</t>
        </is>
      </c>
      <c r="B11" s="15" t="inlineStr">
        <is>
          <t>Fuente de agua — Quebrada estacional</t>
        </is>
      </c>
      <c r="C11" s="27" t="n">
        <v>620458</v>
      </c>
      <c r="D11" s="27" t="n">
        <v>9436638</v>
      </c>
      <c r="E11" s="15" t="n">
        <v>321.1</v>
      </c>
      <c r="F11" s="15" t="inlineStr">
        <is>
          <t>Estacional</t>
        </is>
      </c>
      <c r="G11" s="15" t="inlineStr">
        <is>
          <t>Quebrada que diseca el bloque; vegetación riparia densa en cauce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620770</v>
      </c>
      <c r="C14" s="6" t="inlineStr">
        <is>
          <t>Centroide del bloque — UTM NORTE (m)</t>
        </is>
      </c>
      <c r="D14" s="7" t="n">
        <v>9436562</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10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colinoso a montañoso en el C.P. El Faique (Santo Domingo). MATERIAL PARENTAL: ROCA INTRUSIVA PROFUNDAMENTE METEORIZADA (SAPROLITO/GRUS) CON BLOQUES GRANÍTICOS POR EXFOLIACIÓN. PENDIENTE MEDIA 42.8% / MÁXIMA 65.6%. CAÍDA DE BLOQUES/ROCAS CONFIRMADA; escarpes activos y reptación reportados como «POSIBLES, NO CONCLUYENTES» (por verificar en campo profundizado).</t>
        </is>
      </c>
      <c r="B17" s="42" t="n"/>
      <c r="C17" s="42" t="n"/>
      <c r="D17" s="42" t="n"/>
      <c r="E17" s="42" t="n"/>
      <c r="F17" s="42" t="n"/>
      <c r="G17" s="43"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M19B7</t>
        </is>
      </c>
    </row>
    <row r="6" ht="24" customHeight="1">
      <c r="A6" s="4" t="inlineStr">
        <is>
          <t>Distrito de Santo Domingo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8" t="n">
        <v>119.54</v>
      </c>
      <c r="C10" s="19" t="n">
        <v>14</v>
      </c>
      <c r="D10" s="11" t="inlineStr">
        <is>
          <t>672 – 2244</t>
        </is>
      </c>
      <c r="E10" s="11" t="n">
        <v>1572</v>
      </c>
      <c r="F10" s="11" t="n">
        <v>27.41</v>
      </c>
      <c r="G10" s="18" t="n">
        <v>0.7067</v>
      </c>
      <c r="H10" s="19" t="n">
        <v>99.93000000000001</v>
      </c>
      <c r="I10" s="19" t="n">
        <v>0.07000000000000001</v>
      </c>
    </row>
    <row r="11">
      <c r="A11" s="14" t="inlineStr">
        <is>
          <t>11</t>
        </is>
      </c>
      <c r="B11" s="29" t="n">
        <v>103.95</v>
      </c>
      <c r="C11" s="21" t="n">
        <v>12.17</v>
      </c>
      <c r="D11" s="15" t="inlineStr">
        <is>
          <t>1375 – 1928</t>
        </is>
      </c>
      <c r="E11" s="15" t="n">
        <v>553</v>
      </c>
      <c r="F11" s="15" t="n">
        <v>32.19</v>
      </c>
      <c r="G11" s="20" t="n">
        <v>0.6047</v>
      </c>
      <c r="H11" s="21" t="n">
        <v>75.28</v>
      </c>
      <c r="I11" s="21" t="n">
        <v>11.34</v>
      </c>
    </row>
    <row r="12">
      <c r="A12" s="7" t="inlineStr">
        <is>
          <t>17</t>
        </is>
      </c>
      <c r="B12" s="28" t="n">
        <v>96.08</v>
      </c>
      <c r="C12" s="19" t="n">
        <v>11.25</v>
      </c>
      <c r="D12" s="11" t="inlineStr">
        <is>
          <t>1253 – 1880</t>
        </is>
      </c>
      <c r="E12" s="11" t="n">
        <v>627</v>
      </c>
      <c r="F12" s="11" t="n">
        <v>35.56</v>
      </c>
      <c r="G12" s="18" t="n">
        <v>0.6479</v>
      </c>
      <c r="H12" s="19" t="n">
        <v>88.68000000000001</v>
      </c>
      <c r="I12" s="19" t="n">
        <v>2.09</v>
      </c>
    </row>
    <row r="13">
      <c r="A13" s="14" t="inlineStr">
        <is>
          <t>14</t>
        </is>
      </c>
      <c r="B13" s="29" t="n">
        <v>92.90000000000001</v>
      </c>
      <c r="C13" s="21" t="n">
        <v>10.88</v>
      </c>
      <c r="D13" s="15" t="inlineStr">
        <is>
          <t>87 – 1355</t>
        </is>
      </c>
      <c r="E13" s="15" t="n">
        <v>1268</v>
      </c>
      <c r="F13" s="15" t="n">
        <v>23.75</v>
      </c>
      <c r="G13" s="20" t="n">
        <v>0.5197000000000001</v>
      </c>
      <c r="H13" s="21" t="n">
        <v>58.89</v>
      </c>
      <c r="I13" s="21" t="n">
        <v>39.02</v>
      </c>
    </row>
    <row r="14">
      <c r="A14" s="7" t="inlineStr">
        <is>
          <t>15</t>
        </is>
      </c>
      <c r="B14" s="28" t="n">
        <v>86.15000000000001</v>
      </c>
      <c r="C14" s="19" t="n">
        <v>10.09</v>
      </c>
      <c r="D14" s="11" t="inlineStr">
        <is>
          <t>1199 – 1655</t>
        </is>
      </c>
      <c r="E14" s="11" t="n">
        <v>456</v>
      </c>
      <c r="F14" s="11" t="n">
        <v>26.19</v>
      </c>
      <c r="G14" s="18" t="n">
        <v>0.5605</v>
      </c>
      <c r="H14" s="19" t="n">
        <v>56.47</v>
      </c>
      <c r="I14" s="19" t="n">
        <v>22.48</v>
      </c>
    </row>
    <row r="15">
      <c r="A15" s="14" t="inlineStr">
        <is>
          <t>23</t>
        </is>
      </c>
      <c r="B15" s="29" t="n">
        <v>81.78</v>
      </c>
      <c r="C15" s="21" t="n">
        <v>9.58</v>
      </c>
      <c r="D15" s="15" t="inlineStr">
        <is>
          <t>521 – 973</t>
        </is>
      </c>
      <c r="E15" s="15" t="n">
        <v>452</v>
      </c>
      <c r="F15" s="15" t="n">
        <v>35.28</v>
      </c>
      <c r="G15" s="20" t="n">
        <v>0.5731000000000001</v>
      </c>
      <c r="H15" s="21" t="n">
        <v>47.99</v>
      </c>
      <c r="I15" s="21" t="n">
        <v>18.75</v>
      </c>
    </row>
    <row r="16">
      <c r="A16" s="7" t="inlineStr">
        <is>
          <t>42</t>
        </is>
      </c>
      <c r="B16" s="28" t="n">
        <v>80.62</v>
      </c>
      <c r="C16" s="19" t="n">
        <v>9.44</v>
      </c>
      <c r="D16" s="11" t="inlineStr">
        <is>
          <t>1131 – 1548</t>
        </is>
      </c>
      <c r="E16" s="11" t="n">
        <v>417</v>
      </c>
      <c r="F16" s="11" t="n">
        <v>27.86</v>
      </c>
      <c r="G16" s="18" t="n">
        <v>0.6348</v>
      </c>
      <c r="H16" s="19" t="n">
        <v>88.83</v>
      </c>
      <c r="I16" s="19" t="n">
        <v>5.64</v>
      </c>
    </row>
    <row r="17">
      <c r="A17" s="14" t="inlineStr">
        <is>
          <t>M19B2</t>
        </is>
      </c>
      <c r="B17" s="29" t="n">
        <v>74.37</v>
      </c>
      <c r="C17" s="21" t="n">
        <v>8.710000000000001</v>
      </c>
      <c r="D17" s="15" t="inlineStr">
        <is>
          <t>203 – 523</t>
        </is>
      </c>
      <c r="E17" s="15" t="n">
        <v>320</v>
      </c>
      <c r="F17" s="15" t="n">
        <v>21.71</v>
      </c>
      <c r="G17" s="20" t="n">
        <v>0.4012</v>
      </c>
      <c r="H17" s="21" t="n">
        <v>1.28</v>
      </c>
      <c r="I17" s="21" t="n">
        <v>96.23999999999999</v>
      </c>
    </row>
    <row r="18">
      <c r="A18" s="7" t="inlineStr">
        <is>
          <t>82</t>
        </is>
      </c>
      <c r="B18" s="28" t="n">
        <v>35.66</v>
      </c>
      <c r="C18" s="19" t="n">
        <v>4.18</v>
      </c>
      <c r="D18" s="11" t="inlineStr">
        <is>
          <t>1796 – 2098</t>
        </is>
      </c>
      <c r="E18" s="11" t="n">
        <v>302</v>
      </c>
      <c r="F18" s="11" t="n">
        <v>23.55</v>
      </c>
      <c r="G18" s="18" t="n">
        <v>0.6283</v>
      </c>
      <c r="H18" s="19" t="n">
        <v>90.06999999999999</v>
      </c>
      <c r="I18" s="19" t="n">
        <v>12.67</v>
      </c>
    </row>
    <row r="19">
      <c r="A19" s="14" t="inlineStr">
        <is>
          <t>78</t>
        </is>
      </c>
      <c r="B19" s="29" t="n">
        <v>35.1</v>
      </c>
      <c r="C19" s="21" t="n">
        <v>4.11</v>
      </c>
      <c r="D19" s="15" t="inlineStr">
        <is>
          <t>1908 – 2236</t>
        </is>
      </c>
      <c r="E19" s="15" t="n">
        <v>328</v>
      </c>
      <c r="F19" s="15" t="n">
        <v>30.64</v>
      </c>
      <c r="G19" s="20" t="n">
        <v>0.7074</v>
      </c>
      <c r="H19" s="21" t="n">
        <v>89.33</v>
      </c>
      <c r="I19" s="21" t="n">
        <v>1.77</v>
      </c>
    </row>
    <row r="20">
      <c r="A20" s="12" t="inlineStr">
        <is>
          <t>► M19B7</t>
        </is>
      </c>
      <c r="B20" s="30" t="n">
        <v>34.17</v>
      </c>
      <c r="C20" s="31" t="n">
        <v>4</v>
      </c>
      <c r="D20" s="13" t="inlineStr">
        <is>
          <t>1213 – 1578</t>
        </is>
      </c>
      <c r="E20" s="13" t="n">
        <v>365</v>
      </c>
      <c r="F20" s="13" t="n">
        <v>28.15</v>
      </c>
      <c r="G20" s="32" t="n">
        <v>0.5919</v>
      </c>
      <c r="H20" s="31" t="n">
        <v>78.52</v>
      </c>
      <c r="I20" s="31" t="n">
        <v>5.85</v>
      </c>
    </row>
    <row r="21">
      <c r="A21" s="14" t="inlineStr">
        <is>
          <t>59</t>
        </is>
      </c>
      <c r="B21" s="29" t="n">
        <v>13.55</v>
      </c>
      <c r="C21" s="21" t="n">
        <v>1.59</v>
      </c>
      <c r="D21" s="15" t="inlineStr">
        <is>
          <t>2045 – 2218</t>
        </is>
      </c>
      <c r="E21" s="15" t="n">
        <v>173</v>
      </c>
      <c r="F21" s="15" t="n">
        <v>29.85</v>
      </c>
      <c r="G21" s="20" t="n">
        <v>0.6147</v>
      </c>
      <c r="H21" s="21" t="n">
        <v>86.56999999999999</v>
      </c>
      <c r="I21" s="21" t="n">
        <v>13.72</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c r="I22" s="23">
        <f>ROUND(AVERAGE(I10:I21),2)</f>
        <v/>
      </c>
    </row>
    <row r="24" ht="84" customHeight="1">
      <c r="A24" s="9" t="inlineStr">
        <is>
          <t>LECTURA INTRAMICROCUENCA. El bloque M19B7 ocupa el puesto 11 de 12 por superficie dentro de la microcuenca C1086-Q9570 (4.00 % de las 853.87 ha preliminares de la microcuenca). Su pendiente promedio (28.15 %, clase «25-50% (Mod. escarpado)») es la 7.ª más baja de 12 y se sitúa por debajo del promedio de la microcuenca (28.51 %). Su MSAVI 2024 (0.5919) es el 8.º de 12 y queda por debajo del promedio local (0.5993). Amplitud altitudinal del bloque: 365 m (1213–1578 msnm). El cuadro conserva todos los bloques catalogados en la microcuenca, incluidos los descartados en el tamizaje, para referencia del conjunto. Los bloques sin ficha DT figuran con sus parámetros de gabinete. BRECHA ESPECTRAL. El 5.85 % de la superficie del bloque (1.998 ha de 34.171 ha) se sitúa bajo el umbral MSAVI 0.4976, por debajo del promedio local de la microcuenca (19.14 %) calculado sobre los bloques con dato MSAVI disponible.</t>
        </is>
      </c>
      <c r="B24" s="42" t="n"/>
      <c r="C24" s="42" t="n"/>
      <c r="D24" s="42" t="n"/>
      <c r="E24" s="42" t="n"/>
      <c r="F24" s="42" t="n"/>
      <c r="G24" s="42" t="n"/>
      <c r="H24" s="42" t="n"/>
      <c r="I24" s="43"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2" t="n"/>
      <c r="C26" s="42" t="n"/>
      <c r="D26" s="42" t="n"/>
      <c r="E26" s="42" t="n"/>
      <c r="F26" s="42" t="n"/>
      <c r="G26" s="42" t="n"/>
      <c r="H26" s="42" t="n"/>
      <c r="I26" s="43" t="n"/>
    </row>
  </sheetData>
  <mergeCells count="9">
    <mergeCell ref="A2:I2"/>
    <mergeCell ref="A5:I5"/>
    <mergeCell ref="A1:I1"/>
    <mergeCell ref="A8:I8"/>
    <mergeCell ref="A3:I3"/>
    <mergeCell ref="A6:I6"/>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M19B7</t>
        </is>
      </c>
    </row>
    <row r="6">
      <c r="A6" s="53" t="inlineStr">
        <is>
          <t>Cruce de la ficha de campo F-DT vigente con la ficha de resumen de gabinete y el catálogo maestro. Integración 2026-09-11 20:22:36.</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«C1086-Q9570».</t>
        </is>
      </c>
      <c r="D9" s="57" t="inlineStr">
        <is>
          <t>CONFORME</t>
        </is>
      </c>
      <c r="E9" s="57" t="inlineStr">
        <is>
          <t>Sin acción.</t>
        </is>
      </c>
    </row>
    <row r="10">
      <c r="A10" s="58" t="inlineStr">
        <is>
          <t>G-02</t>
        </is>
      </c>
      <c r="B10" s="58" t="inlineStr">
        <is>
          <t>UTM del punto de muestreo</t>
        </is>
      </c>
      <c r="C10" s="58" t="inlineStr">
        <is>
          <t>El punto de muestreo declarado dista 19.6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(1350 msnm) cae dentro del rango altitudinal del bloque (1213 - 1578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(34.186 ha) se desvía 0.05 % de la superficie de catálogo (34.17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(34.171 ha) se desvía 0.00 % de la superficie de catálogo (34.17 ha).</t>
        </is>
      </c>
      <c r="D14" s="58" t="inlineStr">
        <is>
          <t>CONFORME</t>
        </is>
      </c>
      <c r="E14" s="58" t="inlineStr">
        <is>
          <t>Sin acción: la segmentación valida la geometría del bloque.</t>
        </is>
      </c>
    </row>
    <row r="15">
      <c r="A15" s="57" t="inlineStr">
        <is>
          <t>G-07</t>
        </is>
      </c>
      <c r="B15" s="57" t="inlineStr">
        <is>
          <t>Brecha espectral MSAVI</t>
        </is>
      </c>
      <c r="C15" s="57" t="inlineStr">
        <is>
          <t>El 5.85 % del bloque queda bajo el umbral 0.4976; superficie de brecha 1.9983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34.17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(0.5919) cae en la clase «0.4976 - 0.6139 (Vigor moderado)» y la clase DN dominante por superficie es «DN 4 · 0.4976 - 0.6139 (Vigor moderado)».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I-01</t>
        </is>
      </c>
      <c r="B19" s="57" t="inlineStr">
        <is>
          <t>Remociones en masa activas</t>
        </is>
      </c>
      <c r="C19" s="57" t="inlineStr">
        <is>
          <t>El libro de resumen V6 consignaba «No»; la ficha de campo vigente declara «Sí».</t>
        </is>
      </c>
      <c r="D19" s="57" t="inlineStr">
        <is>
          <t>CORREGIDO</t>
        </is>
      </c>
      <c r="E19" s="57" t="inlineStr">
        <is>
          <t>Se adopta el valor de campo por ser la fuente que manda sobre el dato y la más reciente. El valor anterior queda declarado para trazabilidad.</t>
        </is>
      </c>
    </row>
    <row r="20">
      <c r="A20" s="58" t="inlineStr">
        <is>
          <t>I-02</t>
        </is>
      </c>
      <c r="B20" s="58" t="inlineStr">
        <is>
          <t>Responsable de la evaluación</t>
        </is>
      </c>
      <c r="C20" s="58" t="inlineStr">
        <is>
          <t>El libro de resumen V6 consignaba «Ing. Héctor Salomón Cahuas Miller — Especialista en Infraestructura Verde, ANIN/DIME-SESDI»; la ficha de campo vigente declara «Ing. Héctor Salomón Cahuas Miller (responsable); acompañantes: Ing. Pedro Talledo Hernández, Ing. Juan Carlos Domínguez Varas».</t>
        </is>
      </c>
      <c r="D20" s="58" t="inlineStr">
        <is>
          <t>CORREGIDO</t>
        </is>
      </c>
      <c r="E20" s="58" t="inlineStr">
        <is>
          <t>Se adopta el valor de campo por ser la fuente que manda sobre el dato y la más reciente. El valor anterior queda declarado para trazabilidad.</t>
        </is>
      </c>
    </row>
    <row r="21">
      <c r="A21" s="57" t="inlineStr">
        <is>
          <t>F-01</t>
        </is>
      </c>
      <c r="B21" s="57" t="inlineStr">
        <is>
          <t>Fichas F-DT levantadas</t>
        </is>
      </c>
      <c r="C21" s="57" t="inlineStr">
        <is>
          <t>La plantilla de campo trae las cinco fichas F-DT-01 a F-DT-05 (completitud 89.3 % de los campos esperados).</t>
        </is>
      </c>
      <c r="D21" s="57" t="inlineStr">
        <is>
          <t>CONFORME</t>
        </is>
      </c>
      <c r="E21" s="57" t="inlineStr">
        <is>
          <t>Sin acción.</t>
        </is>
      </c>
    </row>
    <row r="22">
      <c r="A22" s="58" t="inlineStr">
        <is>
          <t>F-02</t>
        </is>
      </c>
      <c r="B22" s="58" t="inlineStr">
        <is>
          <t>Cobertura de la integración</t>
        </is>
      </c>
      <c r="C22" s="58" t="inlineStr">
        <is>
          <t>Se declararon 78 de 114 hechos integrados (68.4 %); 36 quedan sin dato en ninguna fuente.</t>
        </is>
      </c>
      <c r="D22" s="58" t="inlineStr">
        <is>
          <t>NO SUSTANTIVA</t>
        </is>
      </c>
      <c r="E22" s="58" t="inlineStr">
        <is>
          <t>Se prioriza el completado de los campos faltantes en la próxima salida de campo.</t>
        </is>
      </c>
    </row>
    <row r="23">
      <c r="A23" s="57" t="inlineStr">
        <is>
          <t>H-01</t>
        </is>
      </c>
      <c r="B23" s="57" t="inlineStr">
        <is>
          <t>Dimensiones del inventario de cárcavas</t>
        </is>
      </c>
      <c r="C23" s="57" t="inlineStr">
        <is>
          <t>Se registran No inventariadas rasgos erosivos, pero longitud, profundidad y ancho no fueron medidos instrumentalmente</t>
        </is>
      </c>
      <c r="D23" s="57" t="inlineStr">
        <is>
          <t>NO SUSTANTIVA</t>
        </is>
      </c>
      <c r="E23" s="57" t="inlineStr">
        <is>
          <t>El conteo registrado no debe usarse para calcular densidad de cárcavas por hectárea. Pendiente de levantamiento con GPS submétrico. (Verificación heredada de la ficha de resumen V6.)</t>
        </is>
      </c>
    </row>
    <row r="24">
      <c r="A24" s="58" t="inlineStr">
        <is>
          <t>H-02</t>
        </is>
      </c>
      <c r="B24" s="58" t="inlineStr">
        <is>
          <t>Elenco florístico</t>
        </is>
      </c>
      <c r="C24" s="58" t="inlineStr">
        <is>
          <t>La ficha registra 9 taxones, por debajo del mínimo de 15 que exige el formato V5</t>
        </is>
      </c>
      <c r="D24" s="58" t="inlineStr">
        <is>
          <t>SUSTANTIVA</t>
        </is>
      </c>
      <c r="E24" s="58" t="inlineStr">
        <is>
          <t>Registro florístico preliminar, sin colecta ni determinación botánica formal. Debe cerrarse con colecta botánica en la siguiente campaña. (Verificación heredada de la ficha de resumen V6.)</t>
        </is>
      </c>
    </row>
    <row r="25">
      <c r="A25" s="57" t="inlineStr">
        <is>
          <t>H-03</t>
        </is>
      </c>
      <c r="B25" s="57" t="inlineStr">
        <is>
          <t>Representatividad del levantamiento</t>
        </is>
      </c>
      <c r="C25" s="57" t="inlineStr">
        <is>
          <t>Ninguna de las estaciones fotográficas georreferenciadas se localiza dentro del polígono del bloque</t>
        </is>
      </c>
      <c r="D25" s="57" t="inlineStr">
        <is>
          <t>SUSTANTIVA</t>
        </is>
      </c>
      <c r="E25" s="57" t="inlineStr">
        <is>
          <t>La verificación documenta el perímetro y la vista panorámica del bloque, no su interior. Los parámetros que exigen recorrido interno se consignan «Por determinar». (Verificación heredada de la ficha de resumen V6.)</t>
        </is>
      </c>
    </row>
    <row r="26">
      <c r="A26" s="58" t="inlineStr">
        <is>
          <t>H-04</t>
        </is>
      </c>
      <c r="B26" s="58" t="inlineStr">
        <is>
          <t>Centro poblado asociado</t>
        </is>
      </c>
      <c r="C26" s="58" t="inlineStr">
        <is>
          <t>La ficha DT declara «El Faique»; el cruce INEI-Bloques V5 identifica 1 centro(s) poblado(s) en el bloque: EL FAIQUE</t>
        </is>
      </c>
      <c r="D26" s="58" t="inlineStr">
        <is>
          <t>CONFORME</t>
        </is>
      </c>
      <c r="E26" s="58" t="inlineStr">
        <is>
          <t>Se conserva el registro de campo como referencia y se adopta el listado INEI para el diagnóstico social y el cálculo de población beneficiaria. (Verificación heredada de la ficha de resumen V6.)</t>
        </is>
      </c>
    </row>
    <row r="27">
      <c r="A27" s="57" t="inlineStr">
        <is>
          <t>H-05</t>
        </is>
      </c>
      <c r="B27" s="57" t="inlineStr">
        <is>
          <t>Plan de Ingreso</t>
        </is>
      </c>
      <c r="C27" s="57" t="inlineStr">
        <is>
          <t>Altitud = 0 msnm (captura por defecto del aplicativo)</t>
        </is>
      </c>
      <c r="D27" s="57" t="inlineStr">
        <is>
          <t>CORREGIDO</t>
        </is>
      </c>
      <c r="E27" s="57" t="inlineStr">
        <is>
          <t>Se reemplaza por la altitud GPS de campo (1350 msnm) (Verificación heredada de la ficha de resumen V6.)</t>
        </is>
      </c>
    </row>
    <row r="28">
      <c r="A28" s="58" t="inlineStr">
        <is>
          <t>H-06</t>
        </is>
      </c>
      <c r="B28" s="58" t="inlineStr">
        <is>
          <t>F-DT-01</t>
        </is>
      </c>
      <c r="C28" s="58" t="inlineStr">
        <is>
          <t>Escarpes activos y reptación reportados como «posibles, no concluyentes»</t>
        </is>
      </c>
      <c r="D28" s="58" t="inlineStr">
        <is>
          <t>SUSTANTIVA</t>
        </is>
      </c>
      <c r="E28" s="58" t="inlineStr">
        <is>
          <t>Verificación en campo profundizado pendiente (Verificación heredada de la ficha de resumen V6.)</t>
        </is>
      </c>
    </row>
    <row r="29">
      <c r="A29" s="57" t="inlineStr">
        <is>
          <t>H-07</t>
        </is>
      </c>
      <c r="B29" s="57" t="inlineStr">
        <is>
          <t>F-DT-02</t>
        </is>
      </c>
      <c r="C29" s="57" t="inlineStr">
        <is>
          <t>Inventario georreferenciado de cárcavas pendiente pese a calificar la urgencia de control como Alta</t>
        </is>
      </c>
      <c r="D29" s="57" t="inlineStr">
        <is>
          <t>SUSTANTIVA</t>
        </is>
      </c>
      <c r="E29" s="57" t="inlineStr">
        <is>
          <t>Levantamiento prioritario (Verificación heredada de la ficha de resumen V6.)</t>
        </is>
      </c>
    </row>
    <row r="30">
      <c r="A30" s="58" t="inlineStr">
        <is>
          <t>H-08</t>
        </is>
      </c>
      <c r="B30" s="58" t="inlineStr">
        <is>
          <t>F-DT-03</t>
        </is>
      </c>
      <c r="C30" s="58" t="inlineStr">
        <is>
          <t>EL ECOSISTEMA SE CLASIFICA COMO AGROECOSISTEMA/MOSAICO, no como ecosistema natural</t>
        </is>
      </c>
      <c r="D30" s="58" t="inlineStr">
        <is>
          <t>SUSTANTIVA</t>
        </is>
      </c>
      <c r="E30" s="58" t="inlineStr">
        <is>
          <t>El área efectiva de intervención debe determinarse tras el tamizaje predial (Verificación heredada de la ficha de resumen V6.)</t>
        </is>
      </c>
    </row>
    <row r="31">
      <c r="A31" s="57" t="inlineStr">
        <is>
          <t>H-09</t>
        </is>
      </c>
      <c r="B31" s="57" t="inlineStr">
        <is>
          <t>F-DT-04</t>
        </is>
      </c>
      <c r="C31" s="57" t="inlineStr">
        <is>
          <t>Ninguno de los 8 indicadores cuantitativos fue diligenciado; intensidad, extensión y antigüedad sin cuantificar</t>
        </is>
      </c>
      <c r="D31" s="57" t="inlineStr">
        <is>
          <t>SUSTANTIVA</t>
        </is>
      </c>
      <c r="E31" s="57" t="inlineStr">
        <is>
          <t>Cuantificación pendiente (Verificación heredada de la ficha de resumen V6.)</t>
        </is>
      </c>
    </row>
    <row r="33">
      <c r="A33" s="59" t="inlineStr">
        <is>
          <t>RESUMEN</t>
        </is>
      </c>
      <c r="B33" s="60" t="inlineStr">
        <is>
          <t>23 verificaciones</t>
        </is>
      </c>
      <c r="C33" s="60" t="inlineStr">
        <is>
          <t>SUSTANTIVA: 7 · NO SUSTANTIVA: 2 · CORREGIDO: 3 · CONFORME: 11</t>
        </is>
      </c>
    </row>
    <row r="35">
      <c r="A35"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5:E35"/>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M19B7</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2. Parámetros físicos del terreno</t>
        </is>
      </c>
      <c r="B9" s="57" t="inlineStr">
        <is>
          <t>Remociones en masa activas</t>
        </is>
      </c>
      <c r="C9" s="57" t="inlineStr">
        <is>
          <t>No</t>
        </is>
      </c>
      <c r="D9" s="57" t="inlineStr">
        <is>
          <t>Sí</t>
        </is>
      </c>
      <c r="E9" s="57" t="inlineStr">
        <is>
          <t>Dato de campo</t>
        </is>
      </c>
    </row>
    <row r="10">
      <c r="A10" s="58" t="inlineStr">
        <is>
          <t>8. Responsable y modalidad de la evaluación</t>
        </is>
      </c>
      <c r="B10" s="58" t="inlineStr">
        <is>
          <t>Responsable de la evaluación</t>
        </is>
      </c>
      <c r="C10" s="58" t="inlineStr">
        <is>
          <t>Ing. Héctor Salomón Cahuas Miller — Especialista en Infraestructura Verde, ANIN/DIME-SESDI</t>
        </is>
      </c>
      <c r="D10" s="58" t="inlineStr">
        <is>
          <t>Ing. Héctor Salomón Cahuas Miller (responsable); acompañantes: Ing. Pedro Talledo Hernández, Ing. Juan Carlos Domínguez Varas</t>
        </is>
      </c>
      <c r="E10" s="58" t="inlineStr">
        <is>
          <t>Dato de campo</t>
        </is>
      </c>
    </row>
    <row r="12">
      <c r="A12" s="55" t="inlineStr">
        <is>
          <t>B. HECHOS APORTADOS ÚNICAMENTE POR LA FICHA DE CAMPO</t>
        </is>
      </c>
    </row>
    <row r="13">
      <c r="A13" s="56" t="inlineStr">
        <is>
          <t>Sección</t>
        </is>
      </c>
      <c r="B13" s="56" t="inlineStr">
        <is>
          <t>Hecho</t>
        </is>
      </c>
      <c r="C13" s="56" t="inlineStr">
        <is>
          <t>Valor</t>
        </is>
      </c>
      <c r="D13" s="56" t="inlineStr">
        <is>
          <t>Unidad</t>
        </is>
      </c>
    </row>
    <row r="14">
      <c r="A14" s="57" t="inlineStr">
        <is>
          <t>1. Identificación y localización</t>
        </is>
      </c>
      <c r="B14" s="57" t="inlineStr">
        <is>
          <t>UTM ESTE del punto de muestreo (m)</t>
        </is>
      </c>
      <c r="C14" s="57" t="inlineStr">
        <is>
          <t>620775</t>
        </is>
      </c>
      <c r="D14" s="57" t="inlineStr">
        <is>
          <t>m</t>
        </is>
      </c>
    </row>
    <row r="15">
      <c r="A15" s="58" t="inlineStr">
        <is>
          <t>1. Identificación y localización</t>
        </is>
      </c>
      <c r="B15" s="58" t="inlineStr">
        <is>
          <t>UTM NORTE del punto de muestreo (m)</t>
        </is>
      </c>
      <c r="C15" s="58" t="inlineStr">
        <is>
          <t>9436581</t>
        </is>
      </c>
      <c r="D15" s="58" t="inlineStr">
        <is>
          <t>m</t>
        </is>
      </c>
    </row>
    <row r="16">
      <c r="A16" s="57" t="inlineStr">
        <is>
          <t>2. Parámetros físicos del terreno</t>
        </is>
      </c>
      <c r="B16" s="57" t="inlineStr">
        <is>
          <t>Altitud GPS del punto de muestreo (msnm)</t>
        </is>
      </c>
      <c r="C16" s="57" t="inlineStr">
        <is>
          <t>1350</t>
        </is>
      </c>
      <c r="D16" s="57" t="inlineStr">
        <is>
          <t>msnm</t>
        </is>
      </c>
    </row>
    <row r="17">
      <c r="A17" s="58" t="inlineStr">
        <is>
          <t>2. Parámetros físicos del terreno</t>
        </is>
      </c>
      <c r="B17" s="58" t="inlineStr">
        <is>
          <t>Piso altitudinal del punto de muestreo</t>
        </is>
      </c>
      <c r="C17" s="58" t="inlineStr">
        <is>
          <t>1000-1500 m (Quechua baja)</t>
        </is>
      </c>
      <c r="D17" s="58" t="inlineStr"/>
    </row>
    <row r="18">
      <c r="A18" s="57" t="inlineStr">
        <is>
          <t>2. Parámetros físicos del terreno</t>
        </is>
      </c>
      <c r="B18" s="57" t="inlineStr">
        <is>
          <t>Paisaje dominante descrito en campo</t>
        </is>
      </c>
      <c r="C18" s="57" t="inlineStr">
        <is>
          <t>Montañoso; laderas con afloramientos y bloques graníticos por exfoliación.</t>
        </is>
      </c>
      <c r="D18" s="57" t="inlineStr"/>
    </row>
    <row r="19">
      <c r="A19" s="58" t="inlineStr">
        <is>
          <t>4. Suelos y erosión (F-DT-02)</t>
        </is>
      </c>
      <c r="B19" s="58" t="inlineStr">
        <is>
          <t>Nivel de erosión - síntesis de campo</t>
        </is>
      </c>
      <c r="C19" s="58" t="inlineStr">
        <is>
          <t>Moderada (surcos)</t>
        </is>
      </c>
      <c r="D19" s="58" t="inlineStr"/>
    </row>
    <row r="20">
      <c r="A20" s="57" t="inlineStr">
        <is>
          <t>6. Degradación, causas y urgencia (F-DT-04)</t>
        </is>
      </c>
      <c r="B20" s="57" t="inlineStr">
        <is>
          <t>Causas directas de la degradación</t>
        </is>
      </c>
      <c r="C20" s="57" t="inlineStr">
        <is>
          <t>Ampliación de frontera agrícola en ladera, pastoreo/ganadería extensiva con sobrepastoreo y cortes de talud por apertura de la vía PI-799; pérdida/fragmentación del bosque seco.</t>
        </is>
      </c>
      <c r="D20" s="57" t="inlineStr"/>
    </row>
    <row r="21">
      <c r="A21" s="58" t="inlineStr">
        <is>
          <t>6. Degradación, causas y urgencia (F-DT-04)</t>
        </is>
      </c>
      <c r="B21" s="58" t="inlineStr">
        <is>
          <t>N.° de causas activas en la matriz F-DT-04</t>
        </is>
      </c>
      <c r="C21" s="58" t="inlineStr">
        <is>
          <t>5</t>
        </is>
      </c>
      <c r="D21" s="58" t="inlineStr"/>
    </row>
    <row r="22">
      <c r="A22" s="57" t="inlineStr">
        <is>
          <t>7. Hidrología, acceso y logística (F-DT-05)</t>
        </is>
      </c>
      <c r="B22" s="57" t="inlineStr">
        <is>
          <t>Escorrentía concentrada</t>
        </is>
      </c>
      <c r="C22" s="57" t="inlineStr">
        <is>
          <t>Sí</t>
        </is>
      </c>
      <c r="D22" s="57" t="inlineStr"/>
    </row>
    <row r="23">
      <c r="A23" s="58" t="inlineStr">
        <is>
          <t>7. Hidrología, acceso y logística (F-DT-05)</t>
        </is>
      </c>
      <c r="B23" s="58" t="inlineStr">
        <is>
          <t>Fuentes de agua inventariadas</t>
        </is>
      </c>
      <c r="C23" s="58" t="inlineStr">
        <is>
          <t>1</t>
        </is>
      </c>
      <c r="D23" s="58" t="inlineStr"/>
    </row>
    <row r="24">
      <c r="A24" s="57" t="inlineStr">
        <is>
          <t>7. Hidrología, acceso y logística (F-DT-05)</t>
        </is>
      </c>
      <c r="B24" s="57" t="inlineStr">
        <is>
          <t>Vía principal de acceso</t>
        </is>
      </c>
      <c r="C24" s="57" t="inlineStr">
        <is>
          <t>Vía vecinal PI-799</t>
        </is>
      </c>
      <c r="D24" s="57" t="inlineStr"/>
    </row>
    <row r="25">
      <c r="A25" s="58" t="inlineStr">
        <is>
          <t>7. Hidrología, acceso y logística (F-DT-05)</t>
        </is>
      </c>
      <c r="B25" s="58" t="inlineStr">
        <is>
          <t>Tipo de vía del tramo final</t>
        </is>
      </c>
      <c r="C25" s="58" t="inlineStr">
        <is>
          <t>Trocha carrozable</t>
        </is>
      </c>
      <c r="D25" s="58" t="inlineStr"/>
    </row>
    <row r="26">
      <c r="A26" s="57" t="inlineStr">
        <is>
          <t>7. Hidrología, acceso y logística (F-DT-05)</t>
        </is>
      </c>
      <c r="B26" s="57" t="inlineStr">
        <is>
          <t>Transitabilidad en época seca</t>
        </is>
      </c>
      <c r="C26" s="57" t="inlineStr">
        <is>
          <t>Medio</t>
        </is>
      </c>
      <c r="D26" s="57" t="inlineStr"/>
    </row>
    <row r="28">
      <c r="A28" s="55" t="inlineStr">
        <is>
          <t>C. PROCEDENCIA DE LOS HECHOS DECLARADOS</t>
        </is>
      </c>
    </row>
    <row r="29">
      <c r="A29" s="56" t="inlineStr">
        <is>
          <t>Fuente</t>
        </is>
      </c>
      <c r="B29" s="56" t="inlineStr">
        <is>
          <t>Hechos</t>
        </is>
      </c>
      <c r="C29" s="56" t="inlineStr">
        <is>
          <t>Alcance de la fuente</t>
        </is>
      </c>
    </row>
    <row r="30">
      <c r="A30" s="57" t="inlineStr">
        <is>
          <t>Dato de campo</t>
        </is>
      </c>
      <c r="B30" s="57" t="n">
        <v>35</v>
      </c>
      <c r="C30" s="57" t="inlineStr">
        <is>
          <t>Verificación en campo. Fichas F-DT-01 a F-DT-05 de la Plantilla DT Campo Check Validada V5, suscritas por el evaluador.</t>
        </is>
      </c>
    </row>
    <row r="31">
      <c r="A31" s="58" t="inlineStr">
        <is>
          <t>Gabinete (GIS / teledetección)</t>
        </is>
      </c>
      <c r="B31" s="58" t="n">
        <v>29</v>
      </c>
      <c r="C31" s="58" t="inlineStr">
        <is>
          <t>Gabinete. Estadística zonal sobre el MDE y compuestos Sentinel-2 (NDVI mediana 2025, MSAVI 2024 por clase DN).</t>
        </is>
      </c>
    </row>
    <row r="32">
      <c r="A32" s="57" t="inlineStr">
        <is>
          <t>Fuente oficial</t>
        </is>
      </c>
      <c r="B32" s="57" t="n">
        <v>14</v>
      </c>
      <c r="C32" s="57" t="inlineStr">
        <is>
          <t>Fuente oficial. Catálogo maestro Bloques V5/V6, división política INEI y codificación de microcuencas de la ANA.</t>
        </is>
      </c>
    </row>
    <row r="34">
      <c r="A34" s="55" t="inlineStr">
        <is>
          <t>D. ESTADO DEL CRUCE ENTRE FUENTES</t>
        </is>
      </c>
    </row>
    <row r="35">
      <c r="A35" s="56" t="inlineStr">
        <is>
          <t>Estado</t>
        </is>
      </c>
      <c r="B35" s="56" t="inlineStr">
        <is>
          <t>Hechos</t>
        </is>
      </c>
      <c r="C35" s="56" t="inlineStr">
        <is>
          <t>Significado</t>
        </is>
      </c>
    </row>
    <row r="36">
      <c r="A36" s="57" t="inlineStr">
        <is>
          <t>CONFORME</t>
        </is>
      </c>
      <c r="B36" s="57" t="n">
        <v>68</v>
      </c>
      <c r="C36" s="57" t="inlineStr">
        <is>
          <t>Las dos fuentes declaran lo mismo, o solo la fuente que manda sobre el hecho lo declara.</t>
        </is>
      </c>
    </row>
    <row r="37">
      <c r="A37" s="58" t="inlineStr">
        <is>
          <t>COMPLEMENTADO</t>
        </is>
      </c>
      <c r="B37" s="58" t="n">
        <v>8</v>
      </c>
      <c r="C37" s="58" t="inlineStr">
        <is>
          <t>Solo una de las fuentes lo declara y se adopta ese valor.</t>
        </is>
      </c>
    </row>
    <row r="38">
      <c r="A38" s="57" t="inlineStr">
        <is>
          <t>ACTUALIZADO</t>
        </is>
      </c>
      <c r="B38" s="57" t="n">
        <v>2</v>
      </c>
      <c r="C38" s="57" t="inlineStr">
        <is>
          <t>La verificación de campo vigente corrige lo que traía el libro de resumen.</t>
        </is>
      </c>
    </row>
    <row r="39">
      <c r="A39" s="58" t="inlineStr">
        <is>
          <t>DISCREPANTE</t>
        </is>
      </c>
      <c r="B39" s="58" t="n">
        <v>0</v>
      </c>
      <c r="C39" s="58" t="inlineStr">
        <is>
          <t>Las fuentes se contradicen; prevalece la que manda sobre el hecho y la otra queda declarada.</t>
        </is>
      </c>
    </row>
    <row r="40">
      <c r="A40" s="57" t="inlineStr">
        <is>
          <t>PENDIENTE</t>
        </is>
      </c>
      <c r="B40" s="57" t="n">
        <v>36</v>
      </c>
      <c r="C40"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M19B7</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Sin cárcavas inventariadas en el tramo verificado</t>
        </is>
      </c>
      <c r="B9" s="57" t="inlineStr"/>
      <c r="C9" s="57" t="inlineStr"/>
      <c r="D9" s="57" t="inlineStr"/>
      <c r="E9" s="57" t="inlineStr"/>
      <c r="F9" s="57" t="inlineStr"/>
      <c r="G9" s="57" t="inlineStr"/>
      <c r="H9" s="57" t="inlineStr"/>
      <c r="I9" s="57" t="inlineStr"/>
    </row>
    <row r="11">
      <c r="A11" s="55" t="inlineStr">
        <is>
          <t>F-DT-03 · ELENCO FLORÍSTICO</t>
        </is>
      </c>
    </row>
    <row r="12">
      <c r="A12" s="56" t="inlineStr">
        <is>
          <t>N.o</t>
        </is>
      </c>
      <c r="B12" s="56" t="inlineStr">
        <is>
          <t>Nombre común</t>
        </is>
      </c>
      <c r="C12" s="56" t="inlineStr">
        <is>
          <t>Nombre científico</t>
        </is>
      </c>
      <c r="D12" s="56" t="inlineStr">
        <is>
          <t>Familia</t>
        </is>
      </c>
      <c r="E12" s="56" t="inlineStr">
        <is>
          <t>Estrato</t>
        </is>
      </c>
      <c r="F12" s="56" t="inlineStr">
        <is>
          <t>Origen</t>
        </is>
      </c>
      <c r="G12" s="56" t="inlineStr">
        <is>
          <t>Abundancia</t>
        </is>
      </c>
      <c r="H12" s="56" t="inlineStr">
        <is>
          <t>DAP (cm)</t>
        </is>
      </c>
      <c r="I12" s="56" t="inlineStr">
        <is>
          <t>Altura (m)</t>
        </is>
      </c>
    </row>
    <row r="13">
      <c r="A13" s="57" t="inlineStr">
        <is>
          <t>1</t>
        </is>
      </c>
      <c r="B13" s="57" t="inlineStr">
        <is>
          <t>Faique</t>
        </is>
      </c>
      <c r="C13" s="57" t="inlineStr">
        <is>
          <t>Acacia macracantha</t>
        </is>
      </c>
      <c r="D13" s="57" t="inlineStr">
        <is>
          <t>Fabaceae</t>
        </is>
      </c>
      <c r="E13" s="57" t="inlineStr">
        <is>
          <t>Arbóreo bajo (4-8 m)</t>
        </is>
      </c>
      <c r="F13" s="57" t="inlineStr">
        <is>
          <t>Nativa</t>
        </is>
      </c>
      <c r="G13" s="57" t="inlineStr"/>
      <c r="H13" s="57" t="n"/>
      <c r="I13" s="57" t="n"/>
    </row>
    <row r="14">
      <c r="A14" s="58" t="inlineStr">
        <is>
          <t>2</t>
        </is>
      </c>
      <c r="B14" s="58" t="inlineStr">
        <is>
          <t>Pacae</t>
        </is>
      </c>
      <c r="C14" s="58" t="inlineStr">
        <is>
          <t>Inga sp.</t>
        </is>
      </c>
      <c r="D14" s="58" t="inlineStr">
        <is>
          <t>Fabaceae</t>
        </is>
      </c>
      <c r="E14" s="58" t="inlineStr">
        <is>
          <t>Arbóreo medio (8-15 m)</t>
        </is>
      </c>
      <c r="F14" s="58" t="inlineStr">
        <is>
          <t>Nativa</t>
        </is>
      </c>
      <c r="G14" s="58" t="inlineStr"/>
      <c r="H14" s="58" t="n"/>
      <c r="I14" s="58" t="n"/>
    </row>
    <row r="15">
      <c r="A15" s="57" t="inlineStr">
        <is>
          <t>3</t>
        </is>
      </c>
      <c r="B15" s="57" t="inlineStr">
        <is>
          <t>Guayacán</t>
        </is>
      </c>
      <c r="C15" s="57" t="inlineStr">
        <is>
          <t>Handroanthus / Tabebuia sp.</t>
        </is>
      </c>
      <c r="D15" s="57" t="inlineStr">
        <is>
          <t>Bignoniaceae</t>
        </is>
      </c>
      <c r="E15" s="57" t="inlineStr">
        <is>
          <t>Arbóreo medio (8-15 m)</t>
        </is>
      </c>
      <c r="F15" s="57" t="inlineStr">
        <is>
          <t>Nativa</t>
        </is>
      </c>
      <c r="G15" s="57" t="inlineStr"/>
      <c r="H15" s="57" t="n"/>
      <c r="I15" s="57" t="n"/>
    </row>
    <row r="16">
      <c r="A16" s="58" t="inlineStr">
        <is>
          <t>4</t>
        </is>
      </c>
      <c r="B16" s="58" t="inlineStr">
        <is>
          <t>Hualtaco</t>
        </is>
      </c>
      <c r="C16" s="58" t="inlineStr">
        <is>
          <t>Loxopterygium huasango</t>
        </is>
      </c>
      <c r="D16" s="58" t="inlineStr">
        <is>
          <t>Anacardiaceae</t>
        </is>
      </c>
      <c r="E16" s="58" t="inlineStr">
        <is>
          <t>Arbóreo medio (8-15 m)</t>
        </is>
      </c>
      <c r="F16" s="58" t="inlineStr">
        <is>
          <t>Nativa</t>
        </is>
      </c>
      <c r="G16" s="58" t="inlineStr"/>
      <c r="H16" s="58" t="n"/>
      <c r="I16" s="58" t="n"/>
    </row>
    <row r="17">
      <c r="A17" s="57" t="inlineStr">
        <is>
          <t>5</t>
        </is>
      </c>
      <c r="B17" s="57" t="inlineStr">
        <is>
          <t>Higuerón</t>
        </is>
      </c>
      <c r="C17" s="57" t="inlineStr">
        <is>
          <t>Ficus sp.</t>
        </is>
      </c>
      <c r="D17" s="57" t="inlineStr">
        <is>
          <t>Moraceae</t>
        </is>
      </c>
      <c r="E17" s="57" t="inlineStr">
        <is>
          <t>Arbóreo superior (&gt;15 m)</t>
        </is>
      </c>
      <c r="F17" s="57" t="inlineStr">
        <is>
          <t>Nativa</t>
        </is>
      </c>
      <c r="G17" s="57" t="inlineStr"/>
      <c r="H17" s="57" t="n"/>
      <c r="I17" s="57" t="n"/>
    </row>
    <row r="18">
      <c r="A18" s="58" t="inlineStr">
        <is>
          <t>6</t>
        </is>
      </c>
      <c r="B18" s="58" t="inlineStr">
        <is>
          <t>Agave / Penca</t>
        </is>
      </c>
      <c r="C18" s="58" t="inlineStr">
        <is>
          <t>Agave sp.</t>
        </is>
      </c>
      <c r="D18" s="58" t="inlineStr">
        <is>
          <t>Asparagaceae</t>
        </is>
      </c>
      <c r="E18" s="58" t="inlineStr"/>
      <c r="F18" s="58" t="inlineStr">
        <is>
          <t>Nativa</t>
        </is>
      </c>
      <c r="G18" s="58" t="inlineStr"/>
      <c r="H18" s="58" t="n"/>
      <c r="I18" s="58" t="n"/>
    </row>
    <row r="19">
      <c r="A19" s="57" t="inlineStr">
        <is>
          <t>7</t>
        </is>
      </c>
      <c r="B19" s="57" t="inlineStr">
        <is>
          <t>Cactáceas</t>
        </is>
      </c>
      <c r="C19" s="57" t="inlineStr">
        <is>
          <t>Cactaceae</t>
        </is>
      </c>
      <c r="D19" s="57" t="inlineStr">
        <is>
          <t>Cactaceae</t>
        </is>
      </c>
      <c r="E19" s="57" t="inlineStr"/>
      <c r="F19" s="57" t="inlineStr">
        <is>
          <t>Nativa</t>
        </is>
      </c>
      <c r="G19" s="57" t="inlineStr"/>
      <c r="H19" s="57" t="n"/>
      <c r="I19" s="57" t="n"/>
    </row>
    <row r="20">
      <c r="A20" s="58" t="inlineStr">
        <is>
          <t>8</t>
        </is>
      </c>
      <c r="B20" s="58" t="inlineStr">
        <is>
          <t>Pastos cultivados</t>
        </is>
      </c>
      <c r="C20" s="58" t="inlineStr"/>
      <c r="D20" s="58" t="inlineStr">
        <is>
          <t>Poaceae</t>
        </is>
      </c>
      <c r="E20" s="58" t="inlineStr">
        <is>
          <t>Herbáceo (&lt;0.5 m)</t>
        </is>
      </c>
      <c r="F20" s="58" t="inlineStr">
        <is>
          <t>Introducida</t>
        </is>
      </c>
      <c r="G20" s="58" t="inlineStr"/>
      <c r="H20" s="58" t="n"/>
      <c r="I20" s="58" t="n"/>
    </row>
    <row r="21">
      <c r="A21" s="57" t="inlineStr">
        <is>
          <t>9</t>
        </is>
      </c>
      <c r="B21" s="57" t="inlineStr">
        <is>
          <t>Maíz (cultivo)</t>
        </is>
      </c>
      <c r="C21" s="57" t="inlineStr">
        <is>
          <t>Zea mays</t>
        </is>
      </c>
      <c r="D21" s="57" t="inlineStr">
        <is>
          <t>Poaceae</t>
        </is>
      </c>
      <c r="E21" s="57" t="inlineStr">
        <is>
          <t>Herbáceo (&lt;0.5 m)</t>
        </is>
      </c>
      <c r="F21" s="57" t="inlineStr">
        <is>
          <t>Introducida</t>
        </is>
      </c>
      <c r="G21" s="57" t="inlineStr"/>
      <c r="H21" s="57" t="n"/>
      <c r="I21" s="57" t="n"/>
    </row>
    <row r="23">
      <c r="A23" s="55" t="inlineStr">
        <is>
          <t>F-DT-03 · ESPECIES CLAVE GEORREFERENCIADAS</t>
        </is>
      </c>
    </row>
    <row r="24">
      <c r="A24" s="56" t="inlineStr">
        <is>
          <t>N.o</t>
        </is>
      </c>
      <c r="B24" s="56" t="inlineStr">
        <is>
          <t>Especie</t>
        </is>
      </c>
      <c r="C24" s="56" t="inlineStr">
        <is>
          <t>Categoría</t>
        </is>
      </c>
      <c r="D24" s="56" t="inlineStr">
        <is>
          <t>Estado UICN</t>
        </is>
      </c>
      <c r="E24" s="56" t="inlineStr">
        <is>
          <t>UTM ESTE</t>
        </is>
      </c>
      <c r="F24" s="56" t="inlineStr">
        <is>
          <t>UTM NORTE</t>
        </is>
      </c>
      <c r="G24" s="56" t="inlineStr">
        <is>
          <t>N.° individuos</t>
        </is>
      </c>
      <c r="H24" s="56" t="inlineStr">
        <is>
          <t>Observación</t>
        </is>
      </c>
    </row>
    <row r="26">
      <c r="A26" s="55" t="inlineStr">
        <is>
          <t>F-DT-04 · MATRIZ DE CAUSAS DE DEGRADACIÓN</t>
        </is>
      </c>
    </row>
    <row r="27">
      <c r="A27" s="56" t="inlineStr">
        <is>
          <t>N.o</t>
        </is>
      </c>
      <c r="B27" s="56" t="inlineStr">
        <is>
          <t>Causa</t>
        </is>
      </c>
      <c r="C27" s="56" t="inlineStr">
        <is>
          <t>Presencia</t>
        </is>
      </c>
      <c r="D27" s="56" t="inlineStr">
        <is>
          <t>Intensidad</t>
        </is>
      </c>
      <c r="E27" s="56" t="inlineStr">
        <is>
          <t>Extensión</t>
        </is>
      </c>
      <c r="F27" s="56" t="inlineStr">
        <is>
          <t>Antigüedad</t>
        </is>
      </c>
      <c r="G27" s="56" t="inlineStr">
        <is>
          <t>Evidencia</t>
        </is>
      </c>
    </row>
    <row r="28">
      <c r="A28" s="57" t="inlineStr">
        <is>
          <t>1</t>
        </is>
      </c>
      <c r="B28" s="57" t="inlineStr">
        <is>
          <t>Sobrepastoreo (caprino/vacuno)</t>
        </is>
      </c>
      <c r="C28" s="57" t="inlineStr">
        <is>
          <t>Sí</t>
        </is>
      </c>
      <c r="D28" s="57" t="inlineStr"/>
      <c r="E28" s="57" t="inlineStr"/>
      <c r="F28" s="57" t="inlineStr"/>
      <c r="G28" s="57" t="inlineStr">
        <is>
          <t>Pastoreo caprino/vacuno extensivo con sobrepastoreo en laderas.</t>
        </is>
      </c>
    </row>
    <row r="29">
      <c r="A29" s="58" t="inlineStr">
        <is>
          <t>2</t>
        </is>
      </c>
      <c r="B29" s="58" t="inlineStr">
        <is>
          <t>Tala para leña</t>
        </is>
      </c>
      <c r="C29" s="58" t="inlineStr"/>
      <c r="D29" s="58" t="inlineStr"/>
      <c r="E29" s="58" t="inlineStr"/>
      <c r="F29" s="58" t="inlineStr"/>
      <c r="G29" s="58" t="inlineStr"/>
    </row>
    <row r="30">
      <c r="A30" s="57" t="inlineStr">
        <is>
          <t>3</t>
        </is>
      </c>
      <c r="B30" s="57" t="inlineStr">
        <is>
          <t>Tala para carbón</t>
        </is>
      </c>
      <c r="C30" s="57" t="inlineStr"/>
      <c r="D30" s="57" t="inlineStr"/>
      <c r="E30" s="57" t="inlineStr"/>
      <c r="F30" s="57" t="inlineStr"/>
      <c r="G30" s="57" t="inlineStr"/>
    </row>
    <row r="31">
      <c r="A31" s="58" t="inlineStr">
        <is>
          <t>4</t>
        </is>
      </c>
      <c r="B31" s="58" t="inlineStr">
        <is>
          <t>Tala para madera</t>
        </is>
      </c>
      <c r="C31" s="58" t="inlineStr"/>
      <c r="D31" s="58" t="inlineStr"/>
      <c r="E31" s="58" t="inlineStr"/>
      <c r="F31" s="58" t="inlineStr"/>
      <c r="G31" s="58" t="inlineStr"/>
    </row>
    <row r="32">
      <c r="A32" s="57" t="inlineStr">
        <is>
          <t>5</t>
        </is>
      </c>
      <c r="B32" s="57" t="inlineStr">
        <is>
          <t>Quema (renovación de pastos)</t>
        </is>
      </c>
      <c r="C32" s="57" t="inlineStr"/>
      <c r="D32" s="57" t="inlineStr"/>
      <c r="E32" s="57" t="inlineStr"/>
      <c r="F32" s="57" t="inlineStr"/>
      <c r="G32" s="57" t="inlineStr"/>
    </row>
    <row r="33">
      <c r="A33" s="58" t="inlineStr">
        <is>
          <t>6</t>
        </is>
      </c>
      <c r="B33" s="58" t="inlineStr">
        <is>
          <t>Quema accidental / Incendio</t>
        </is>
      </c>
      <c r="C33" s="58" t="inlineStr"/>
      <c r="D33" s="58" t="inlineStr"/>
      <c r="E33" s="58" t="inlineStr"/>
      <c r="F33" s="58" t="inlineStr"/>
      <c r="G33" s="58" t="inlineStr"/>
    </row>
    <row r="34">
      <c r="A34" s="57" t="inlineStr">
        <is>
          <t>7</t>
        </is>
      </c>
      <c r="B34" s="57" t="inlineStr">
        <is>
          <t>Cambio de uso a agricultura</t>
        </is>
      </c>
      <c r="C34" s="57" t="inlineStr">
        <is>
          <t>Sí</t>
        </is>
      </c>
      <c r="D34" s="57" t="inlineStr"/>
      <c r="E34" s="57" t="inlineStr"/>
      <c r="F34" s="57" t="inlineStr"/>
      <c r="G34" s="57" t="inlineStr">
        <is>
          <t>Ampliación de frontera agrícola en ladera (cultivos de maíz).</t>
        </is>
      </c>
    </row>
    <row r="35">
      <c r="A35" s="58" t="inlineStr">
        <is>
          <t>8</t>
        </is>
      </c>
      <c r="B35" s="58" t="inlineStr">
        <is>
          <t>Cambio de uso a pastoreo</t>
        </is>
      </c>
      <c r="C35" s="58" t="inlineStr">
        <is>
          <t>Sí</t>
        </is>
      </c>
      <c r="D35" s="58" t="inlineStr"/>
      <c r="E35" s="58" t="inlineStr"/>
      <c r="F35" s="58" t="inlineStr"/>
      <c r="G35" s="58" t="inlineStr">
        <is>
          <t>Ganadería extensiva sobre laderas.</t>
        </is>
      </c>
    </row>
    <row r="36">
      <c r="A36" s="57" t="inlineStr">
        <is>
          <t>9</t>
        </is>
      </c>
      <c r="B36" s="57" t="inlineStr">
        <is>
          <t>Expansión urbana / vial</t>
        </is>
      </c>
      <c r="C36" s="57" t="inlineStr">
        <is>
          <t>Sí</t>
        </is>
      </c>
      <c r="D36" s="57" t="inlineStr"/>
      <c r="E36" s="57" t="inlineStr"/>
      <c r="F36" s="57" t="inlineStr"/>
      <c r="G36" s="57" t="inlineStr">
        <is>
          <t>Cortes de talud por apertura de la vía vecinal PI-799; saprolito expuesto.</t>
        </is>
      </c>
    </row>
    <row r="37">
      <c r="A37" s="58" t="inlineStr">
        <is>
          <t>10</t>
        </is>
      </c>
      <c r="B37" s="58" t="inlineStr">
        <is>
          <t>Minería informal</t>
        </is>
      </c>
      <c r="C37" s="58" t="inlineStr"/>
      <c r="D37" s="58" t="inlineStr"/>
      <c r="E37" s="58" t="inlineStr"/>
      <c r="F37" s="58" t="inlineStr"/>
      <c r="G37" s="58" t="inlineStr"/>
    </row>
    <row r="38">
      <c r="A38" s="57" t="inlineStr">
        <is>
          <t>11</t>
        </is>
      </c>
      <c r="B38" s="57" t="inlineStr">
        <is>
          <t>Extracción de áridos (cauces)</t>
        </is>
      </c>
      <c r="C38" s="57" t="inlineStr"/>
      <c r="D38" s="57" t="inlineStr"/>
      <c r="E38" s="57" t="inlineStr"/>
      <c r="F38" s="57" t="inlineStr"/>
      <c r="G38" s="57" t="inlineStr"/>
    </row>
    <row r="39">
      <c r="A39" s="58" t="inlineStr">
        <is>
          <t>12</t>
        </is>
      </c>
      <c r="B39" s="58" t="inlineStr">
        <is>
          <t>Especies invasoras</t>
        </is>
      </c>
      <c r="C39" s="58" t="inlineStr"/>
      <c r="D39" s="58" t="inlineStr"/>
      <c r="E39" s="58" t="inlineStr"/>
      <c r="F39" s="58" t="inlineStr"/>
      <c r="G39" s="58" t="inlineStr"/>
    </row>
    <row r="40">
      <c r="A40" s="57" t="inlineStr">
        <is>
          <t>13</t>
        </is>
      </c>
      <c r="B40" s="57" t="inlineStr">
        <is>
          <t>Erosión natural severa</t>
        </is>
      </c>
      <c r="C40" s="57" t="inlineStr"/>
      <c r="D40" s="57" t="inlineStr"/>
      <c r="E40" s="57" t="inlineStr"/>
      <c r="F40" s="57" t="inlineStr"/>
      <c r="G40" s="57" t="inlineStr"/>
    </row>
    <row r="41">
      <c r="A41" s="58" t="inlineStr">
        <is>
          <t>14</t>
        </is>
      </c>
      <c r="B41" s="58" t="inlineStr">
        <is>
          <t>Sequía prolongada / CC</t>
        </is>
      </c>
      <c r="C41" s="58" t="inlineStr"/>
      <c r="D41" s="58" t="inlineStr"/>
      <c r="E41" s="58" t="inlineStr"/>
      <c r="F41" s="58" t="inlineStr"/>
      <c r="G41" s="58" t="inlineStr"/>
    </row>
    <row r="42">
      <c r="A42" s="57" t="inlineStr">
        <is>
          <t>15</t>
        </is>
      </c>
      <c r="B42" s="57" t="inlineStr">
        <is>
          <t>Plagas o enfermedades forestales</t>
        </is>
      </c>
      <c r="C42" s="57" t="inlineStr"/>
      <c r="D42" s="57" t="inlineStr"/>
      <c r="E42" s="57" t="inlineStr"/>
      <c r="F42" s="57" t="inlineStr"/>
      <c r="G42" s="57" t="inlineStr"/>
    </row>
    <row r="43">
      <c r="A43" s="58" t="inlineStr">
        <is>
          <t>16</t>
        </is>
      </c>
      <c r="B43" s="58" t="inlineStr">
        <is>
          <t>Otro</t>
        </is>
      </c>
      <c r="C43" s="58" t="inlineStr">
        <is>
          <t>Sí</t>
        </is>
      </c>
      <c r="D43" s="58" t="inlineStr"/>
      <c r="E43" s="58" t="inlineStr"/>
      <c r="F43" s="58" t="inlineStr"/>
      <c r="G43" s="58" t="inlineStr">
        <is>
          <t>Pérdida/fragmentación del bosque estacionalmente seco; caída de bloques graníticos por exfoliación.</t>
        </is>
      </c>
    </row>
    <row r="45">
      <c r="A45" s="55" t="inlineStr">
        <is>
          <t>F-DT-04 · INDICADORES CUANTITATIVOS</t>
        </is>
      </c>
    </row>
    <row r="46">
      <c r="A46" s="56" t="inlineStr">
        <is>
          <t>N.o</t>
        </is>
      </c>
      <c r="B46" s="56" t="inlineStr">
        <is>
          <t>Indicador</t>
        </is>
      </c>
      <c r="C46" s="56" t="inlineStr">
        <is>
          <t>Unidad</t>
        </is>
      </c>
      <c r="D46" s="56" t="inlineStr">
        <is>
          <t>Valor</t>
        </is>
      </c>
      <c r="E46" s="56" t="inlineStr">
        <is>
          <t>Fuente</t>
        </is>
      </c>
      <c r="F46" s="56" t="inlineStr">
        <is>
          <t>Umbral</t>
        </is>
      </c>
      <c r="G46" s="56" t="inlineStr">
        <is>
          <t>Nivel</t>
        </is>
      </c>
    </row>
    <row r="47">
      <c r="A47" s="57" t="inlineStr">
        <is>
          <t>1</t>
        </is>
      </c>
      <c r="B47" s="57" t="inlineStr">
        <is>
          <t>Cobertura vegetal total</t>
        </is>
      </c>
      <c r="C47" s="57" t="inlineStr">
        <is>
          <t>%</t>
        </is>
      </c>
      <c r="D47" s="57" t="inlineStr"/>
      <c r="E47" s="57" t="inlineStr"/>
      <c r="F47" s="57" t="inlineStr">
        <is>
          <t>&gt;60% bueno; 30-60% medio; &lt;30% malo</t>
        </is>
      </c>
      <c r="G47" s="57" t="inlineStr"/>
    </row>
    <row r="48">
      <c r="A48" s="58" t="inlineStr">
        <is>
          <t>2</t>
        </is>
      </c>
      <c r="B48" s="58" t="inlineStr">
        <is>
          <t>Porcentaje de suelo desnudo</t>
        </is>
      </c>
      <c r="C48" s="58" t="inlineStr">
        <is>
          <t>%</t>
        </is>
      </c>
      <c r="D48" s="58" t="inlineStr"/>
      <c r="E48" s="58" t="inlineStr"/>
      <c r="F48" s="58" t="inlineStr">
        <is>
          <t>&lt;10% bueno; 10-30% medio; &gt;30% malo</t>
        </is>
      </c>
      <c r="G48" s="58" t="inlineStr"/>
    </row>
    <row r="49">
      <c r="A49" s="57" t="inlineStr">
        <is>
          <t>3</t>
        </is>
      </c>
      <c r="B49" s="57" t="inlineStr">
        <is>
          <t>Densidad de cárcavas</t>
        </is>
      </c>
      <c r="C49" s="57" t="inlineStr">
        <is>
          <t>N°/ha</t>
        </is>
      </c>
      <c r="D49" s="57" t="inlineStr"/>
      <c r="E49" s="57" t="inlineStr"/>
      <c r="F49" s="57" t="inlineStr">
        <is>
          <t>0 nulo; 1-3 medio; &gt;3 alto</t>
        </is>
      </c>
      <c r="G49" s="57" t="inlineStr"/>
    </row>
    <row r="50">
      <c r="A50" s="58" t="inlineStr">
        <is>
          <t>4</t>
        </is>
      </c>
      <c r="B50" s="58" t="inlineStr">
        <is>
          <t>Presencia de especies invasoras</t>
        </is>
      </c>
      <c r="C50" s="58" t="inlineStr">
        <is>
          <t>% área</t>
        </is>
      </c>
      <c r="D50" s="58" t="inlineStr"/>
      <c r="E50" s="58" t="inlineStr"/>
      <c r="F50" s="58" t="inlineStr">
        <is>
          <t>&lt;5% bueno; 5-20% medio; &gt;20% alto</t>
        </is>
      </c>
      <c r="G50" s="58" t="inlineStr"/>
    </row>
    <row r="51">
      <c r="A51" s="57" t="inlineStr">
        <is>
          <t>5</t>
        </is>
      </c>
      <c r="B51" s="57" t="inlineStr">
        <is>
          <t>Carga ganadera estimada</t>
        </is>
      </c>
      <c r="C51" s="57" t="inlineStr">
        <is>
          <t>UA/ha</t>
        </is>
      </c>
      <c r="D51" s="57" t="inlineStr"/>
      <c r="E51" s="57" t="inlineStr"/>
      <c r="F51" s="57" t="inlineStr">
        <is>
          <t>Según tipo de ecosistema</t>
        </is>
      </c>
      <c r="G51" s="57" t="inlineStr"/>
    </row>
    <row r="52">
      <c r="A52" s="58" t="inlineStr">
        <is>
          <t>6</t>
        </is>
      </c>
      <c r="B52" s="58" t="inlineStr">
        <is>
          <t>Frecuencia de quemas últimos 5 años</t>
        </is>
      </c>
      <c r="C52" s="58" t="inlineStr">
        <is>
          <t>N°</t>
        </is>
      </c>
      <c r="D52" s="58" t="inlineStr"/>
      <c r="E52" s="58" t="inlineStr"/>
      <c r="F52" s="58" t="inlineStr">
        <is>
          <t>0 nulo; 1-2 medio; &gt;2 alto</t>
        </is>
      </c>
      <c r="G52" s="58" t="inlineStr"/>
    </row>
    <row r="53">
      <c r="A53" s="57" t="inlineStr">
        <is>
          <t>7</t>
        </is>
      </c>
      <c r="B53" s="57" t="inlineStr">
        <is>
          <t>% área con pendiente &gt;50%</t>
        </is>
      </c>
      <c r="C53" s="57" t="inlineStr">
        <is>
          <t>%</t>
        </is>
      </c>
      <c r="D53" s="57" t="inlineStr"/>
      <c r="E53" s="57" t="inlineStr"/>
      <c r="F53" s="57" t="inlineStr">
        <is>
          <t>Factor de susceptibilidad</t>
        </is>
      </c>
      <c r="G53" s="57" t="inlineStr"/>
    </row>
    <row r="54">
      <c r="A54" s="58" t="inlineStr">
        <is>
          <t>8</t>
        </is>
      </c>
      <c r="B54" s="58" t="inlineStr">
        <is>
          <t>Distancia a vía vecinal más cercana</t>
        </is>
      </c>
      <c r="C54" s="58" t="inlineStr">
        <is>
          <t>m</t>
        </is>
      </c>
      <c r="D54" s="58" t="inlineStr"/>
      <c r="E54" s="58" t="inlineStr"/>
      <c r="F54" s="58" t="inlineStr">
        <is>
          <t>A menor distancia → mayor presión</t>
        </is>
      </c>
      <c r="G54" s="58" t="inlineStr"/>
    </row>
    <row r="56">
      <c r="A56" s="55" t="inlineStr">
        <is>
          <t>F-DT-05 · FUENTES DE AGUA INVENTARIADAS</t>
        </is>
      </c>
    </row>
    <row r="57">
      <c r="A57" s="56" t="inlineStr">
        <is>
          <t>N.o</t>
        </is>
      </c>
      <c r="B57" s="56" t="inlineStr">
        <is>
          <t>Tipo de fuente</t>
        </is>
      </c>
      <c r="C57" s="56" t="inlineStr">
        <is>
          <t>UTM ESTE</t>
        </is>
      </c>
      <c r="D57" s="56" t="inlineStr">
        <is>
          <t>UTM NORTE</t>
        </is>
      </c>
      <c r="E57" s="56" t="inlineStr">
        <is>
          <t>Régimen</t>
        </is>
      </c>
      <c r="F57" s="56" t="inlineStr">
        <is>
          <t>Calidad</t>
        </is>
      </c>
      <c r="G57" s="56" t="inlineStr">
        <is>
          <t>Distancia (m)</t>
        </is>
      </c>
      <c r="H57" s="56" t="inlineStr">
        <is>
          <t>Uso / observación</t>
        </is>
      </c>
    </row>
    <row r="58">
      <c r="A58" s="57" t="inlineStr">
        <is>
          <t>1</t>
        </is>
      </c>
      <c r="B58" s="57" t="inlineStr">
        <is>
          <t>Quebrada estacional</t>
        </is>
      </c>
      <c r="C58" s="57" t="n"/>
      <c r="D58" s="57" t="n"/>
      <c r="E58" s="57" t="inlineStr">
        <is>
          <t>Estacional (lluvias)</t>
        </is>
      </c>
      <c r="F58" s="57" t="inlineStr"/>
      <c r="G58" s="57" t="n"/>
      <c r="H58" s="57" t="inlineStr">
        <is>
          <t>Quebrada que diseca el bloque, vegetación riparia densa en cauce; zona de origen/recarga con aporte de escorrentía a la Cuenca Alta del Río Piura.</t>
        </is>
      </c>
    </row>
    <row r="61">
      <c r="A61" s="55" t="inlineStr">
        <is>
          <t>OBSERVACIONES DEL EVALUADOR POR FICHA</t>
        </is>
      </c>
    </row>
    <row r="62">
      <c r="A62" s="56" t="inlineStr">
        <is>
          <t>Ficha</t>
        </is>
      </c>
      <c r="B62" s="56" t="inlineStr">
        <is>
          <t>Observación registrada en campo</t>
        </is>
      </c>
    </row>
    <row r="63">
      <c r="A63" s="57" t="inlineStr">
        <is>
          <t>F-DT-01</t>
        </is>
      </c>
      <c r="B63" s="57" t="inlineStr">
        <is>
          <t>Bloque colinoso a montañoso en C.P. El Faique (Santo Domingo). Material parental: roca intrusiva profundamente meteorizada (saprolito/grus) con bloques graníticos por exfoliación. Pendiente media 42.8% / máx 65.6%. Caída de bloques/rocas confirmada; escarpes activos y reptación reportados como 'posibles, no concluyentes' (por verificar en campo profundizado). Coordenadas dentro de rango UTM 17S (E 620,775 / N 9,436,581).</t>
        </is>
      </c>
    </row>
    <row r="64">
      <c r="A64" s="58" t="inlineStr">
        <is>
          <t>F-DT-02</t>
        </is>
      </c>
      <c r="B64" s="58" t="inlineStr">
        <is>
          <t>Erosión laminar y en cárcavas, nivel general moderado. Cortes de talud de la vía vecinal PI-799 exponen saprolito areno-gravoso de baja cohesión, susceptible a erosión y desprendimientos. Textura franco arenosa, color pardo claro, profundidad efectiva superficial (25-50 cm), pedregosidad/afloramientos alta, drenaje bueno. Socavamiento de márgenes de quebrada reportado como 'posible, no concluyente'. Inventario georreferenciado de cárcavas pendiente para la fase de campo profundizada.</t>
        </is>
      </c>
    </row>
    <row r="65">
      <c r="A65" s="57" t="inlineStr">
        <is>
          <t>F-DT-04</t>
        </is>
      </c>
      <c r="B65" s="57" t="inlineStr">
        <is>
          <t>Peligros preliminares (zona de origen): PMM Alto, EPH Alto, PGI Medio. Factor desencadenante principal: precipitación intensa/acumulada, agravada en eventos El Niño (FEN) y cambio climático. Velocidad de degradación y reversibilidad son juicio preliminar de gabinete; confirmar con indicadores cuantitativos (cobertura, suelo desnudo, densidad de cárcavas, carga ganadera) en campo. Evidencias de inestabilidad (escarpes activos, reptación) reportadas como 'posibles, no concluyentes'.</t>
        </is>
      </c>
    </row>
    <row r="66">
      <c r="A66" s="58" t="inlineStr">
        <is>
          <t>F-DT-05</t>
        </is>
      </c>
      <c r="B66" s="58" t="inlineStr">
        <is>
          <t>Quebradas estacionales (régimen de lluvias) con función de zona de origen/recarga; vegetación riparia densa en cauce. Acceso por vía vecinal PI-799 (trocha carrozable), transitabilidad regular; cortes de talud exponen saprolito areno-gravoso. Tenencia: propiedad privada; caserío y predios dispersos; uso actual: pastoreo, ganadería y cultivos (maíz). Bloques graníticos por exfoliación en el ámbito. Fuentes de agua (manantiales/JASS), distancias, tiempos de acceso, señal/operador celular y requerimiento de autorización de Ronda Campesina: por verificar en campo.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M19B7</t>
        </is>
      </c>
    </row>
    <row r="7">
      <c r="A7" s="55" t="inlineStr">
        <is>
          <t>Hechos declarados por fuente</t>
        </is>
      </c>
    </row>
    <row r="8">
      <c r="A8" s="56" t="inlineStr">
        <is>
          <t>Fuente</t>
        </is>
      </c>
      <c r="B8" s="56" t="inlineStr">
        <is>
          <t>Hechos</t>
        </is>
      </c>
    </row>
    <row r="9">
      <c r="A9" s="57" t="inlineStr">
        <is>
          <t>Dato de campo</t>
        </is>
      </c>
      <c r="B9" s="57" t="n">
        <v>35</v>
      </c>
    </row>
    <row r="10">
      <c r="A10" s="58" t="inlineStr">
        <is>
          <t>Gabinete (GIS / teledetección)</t>
        </is>
      </c>
      <c r="B10" s="58" t="n">
        <v>29</v>
      </c>
    </row>
    <row r="11">
      <c r="A11" s="57" t="inlineStr">
        <is>
          <t>Fuente oficial</t>
        </is>
      </c>
      <c r="B11" s="57" t="n">
        <v>14</v>
      </c>
    </row>
    <row r="28">
      <c r="A28" s="55" t="inlineStr">
        <is>
          <t>Estado del cruce entre fuentes</t>
        </is>
      </c>
    </row>
    <row r="29">
      <c r="A29" s="56" t="inlineStr">
        <is>
          <t>Estado</t>
        </is>
      </c>
      <c r="B29" s="56" t="inlineStr">
        <is>
          <t>Hechos</t>
        </is>
      </c>
    </row>
    <row r="30">
      <c r="A30" s="57" t="inlineStr">
        <is>
          <t>CONFORME</t>
        </is>
      </c>
      <c r="B30" s="57" t="n">
        <v>68</v>
      </c>
    </row>
    <row r="31">
      <c r="A31" s="58" t="inlineStr">
        <is>
          <t>COMPLEMENTADO</t>
        </is>
      </c>
      <c r="B31" s="58" t="n">
        <v>8</v>
      </c>
    </row>
    <row r="32">
      <c r="A32" s="57" t="inlineStr">
        <is>
          <t>ACTUALIZADO</t>
        </is>
      </c>
      <c r="B32" s="57" t="n">
        <v>2</v>
      </c>
    </row>
    <row r="33">
      <c r="A33" s="58" t="inlineStr">
        <is>
          <t>DISCREPANTE</t>
        </is>
      </c>
      <c r="B33" s="58" t="n">
        <v>0</v>
      </c>
    </row>
    <row r="34">
      <c r="A34" s="57" t="inlineStr">
        <is>
          <t>PENDIENTE</t>
        </is>
      </c>
      <c r="B34" s="57" t="n">
        <v>36</v>
      </c>
    </row>
    <row r="51">
      <c r="A51" s="55" t="inlineStr">
        <is>
          <t>Causas activas de degradación (F-DT-04)</t>
        </is>
      </c>
    </row>
    <row r="52">
      <c r="A52" s="56" t="inlineStr">
        <is>
          <t>Causa</t>
        </is>
      </c>
      <c r="B52" s="56" t="inlineStr">
        <is>
          <t>Intensidad (1 ligera - 4 muy fuerte)</t>
        </is>
      </c>
    </row>
    <row r="53">
      <c r="A53" s="57" t="inlineStr">
        <is>
          <t>Cambio de uso a agricultura</t>
        </is>
      </c>
      <c r="B53" s="57" t="n">
        <v>1</v>
      </c>
    </row>
    <row r="54">
      <c r="A54" s="58" t="inlineStr">
        <is>
          <t>Cambio de uso a pastoreo</t>
        </is>
      </c>
      <c r="B54" s="58" t="n">
        <v>1</v>
      </c>
    </row>
    <row r="55">
      <c r="A55" s="57" t="inlineStr">
        <is>
          <t>Expansión urbana / vial</t>
        </is>
      </c>
      <c r="B55" s="57" t="n">
        <v>1</v>
      </c>
    </row>
    <row r="56">
      <c r="A56" s="58" t="inlineStr">
        <is>
          <t>Otro</t>
        </is>
      </c>
      <c r="B56" s="58" t="n">
        <v>1</v>
      </c>
    </row>
    <row r="57">
      <c r="A57" s="57" t="inlineStr">
        <is>
          <t>Sobrepastoreo (caprino/vacuno)</t>
        </is>
      </c>
      <c r="B57" s="57" t="n">
        <v>1</v>
      </c>
    </row>
    <row r="74">
      <c r="A74" s="55" t="inlineStr">
        <is>
          <t>Control de consistencia por calificación</t>
        </is>
      </c>
    </row>
    <row r="75">
      <c r="A75" s="56" t="inlineStr">
        <is>
          <t>Calificación</t>
        </is>
      </c>
      <c r="B75" s="56" t="inlineStr">
        <is>
          <t>Verificaciones</t>
        </is>
      </c>
    </row>
    <row r="76">
      <c r="A76" s="57" t="inlineStr">
        <is>
          <t>SUSTANTIVA</t>
        </is>
      </c>
      <c r="B76" s="57" t="n">
        <v>7</v>
      </c>
    </row>
    <row r="77">
      <c r="A77" s="58" t="inlineStr">
        <is>
          <t>NO SUSTANTIVA</t>
        </is>
      </c>
      <c r="B77" s="58" t="n">
        <v>2</v>
      </c>
    </row>
    <row r="78">
      <c r="A78" s="57" t="inlineStr">
        <is>
          <t>CORREGIDO</t>
        </is>
      </c>
      <c r="B78" s="57" t="n">
        <v>3</v>
      </c>
    </row>
    <row r="79">
      <c r="A79" s="58" t="inlineStr">
        <is>
          <t>CONFORME</t>
        </is>
      </c>
      <c r="B79" s="58"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M19B7 — IN Piura</dc:title>
  <dc:subject>Diagnóstico Territorial por bloque de intervención</dc:subject>
  <dcterms:created xsi:type="dcterms:W3CDTF">2026-09-08T03:39:53Z</dcterms:created>
  <dcterms:modified xsi:type="dcterms:W3CDTF">2026-09-11T20:22:36Z</dcterms:modified>
</cp:coreProperties>
</file>