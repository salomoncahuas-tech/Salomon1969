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integración'!B74</f>
            </strRef>
          </tx>
          <spPr>
            <a:ln>
              <a:prstDash val="solid"/>
            </a:ln>
          </spPr>
          <cat>
            <numRef>
              <f>'Gráficos de integración'!$A$75:$A$81</f>
            </numRef>
          </cat>
          <val>
            <numRef>
              <f>'Gráficos de integración'!$B$75:$B$81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integración'!B99</f>
            </strRef>
          </tx>
          <spPr>
            <a:ln>
              <a:prstDash val="solid"/>
            </a:ln>
          </spPr>
          <cat>
            <numRef>
              <f>'Gráficos de integración'!$A$100:$A$103</f>
            </numRef>
          </cat>
          <val>
            <numRef>
              <f>'Gráficos de integración'!$B$100:$B$103</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98</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59</t>
        </is>
      </c>
    </row>
    <row r="6" ht="24" customHeight="1">
      <c r="A6" s="4" t="inlineStr">
        <is>
          <t>Diagnóstico Territorial — Plantilla DT Campo Check Validada V5 | Sistema de referencia: UTM WGS 84 Zona 17S (EPSG:32717) · Integrado con la ficha de campo F-DT vigente (Plantilla_DT_Campo_Check_Validada_V5_Bloque59.xlsx) — V7 - resumen V6 + campo F-DT integrado</t>
        </is>
      </c>
    </row>
    <row r="7"/>
    <row r="8" ht="18" customHeight="1">
      <c r="A8" s="5" t="inlineStr">
        <is>
          <t>1. IDENTIFICACIÓN Y LOCALIZACIÓN</t>
        </is>
      </c>
    </row>
    <row r="9">
      <c r="A9" s="6" t="inlineStr">
        <is>
          <t>Código del bloque</t>
        </is>
      </c>
      <c r="B9" s="7" t="inlineStr">
        <is>
          <t>59</t>
        </is>
      </c>
      <c r="C9" s="6" t="inlineStr">
        <is>
          <t>Microcuenca (catálogo)</t>
        </is>
      </c>
      <c r="D9" s="7" t="inlineStr">
        <is>
          <t>C1086-Q9570</t>
        </is>
      </c>
      <c r="E9" s="8" t="n"/>
      <c r="F9" s="8" t="n"/>
    </row>
    <row r="10">
      <c r="A10" s="6" t="inlineStr">
        <is>
          <t>Zona de planificación</t>
        </is>
      </c>
      <c r="B10" s="7" t="inlineStr">
        <is>
          <t>Z04</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Chalaco</t>
        </is>
      </c>
      <c r="C12" s="6" t="inlineStr">
        <is>
          <t>Capital distrital</t>
        </is>
      </c>
      <c r="D12" s="7" t="inlineStr">
        <is>
          <t>Chalaco</t>
        </is>
      </c>
      <c r="E12" s="8" t="n"/>
      <c r="F12" s="8" t="n"/>
    </row>
    <row r="13">
      <c r="A13" s="6" t="inlineStr">
        <is>
          <t>Centro poblado asociado</t>
        </is>
      </c>
      <c r="B13" s="50" t="inlineStr">
        <is>
          <t>Guabo (6 hab., INEI)</t>
        </is>
      </c>
      <c r="C13" s="6" t="inlineStr">
        <is>
          <t>Comunidad campesina</t>
        </is>
      </c>
      <c r="D13" s="50" t="inlineStr">
        <is>
          <t>Comunidad Campesina de Chalaco - Trigopampa (según F-DS-03)</t>
        </is>
      </c>
      <c r="E13" s="8" t="n"/>
      <c r="F13" s="8" t="n"/>
    </row>
    <row r="14">
      <c r="A14" s="6" t="inlineStr">
        <is>
          <t>Superficie de catálogo (V5/V6), ha</t>
        </is>
      </c>
      <c r="B14" s="7" t="n">
        <v>13.55</v>
      </c>
      <c r="C14" s="6" t="inlineStr">
        <is>
          <t>Fuente de superficie</t>
        </is>
      </c>
      <c r="D14" s="7" t="inlineStr">
        <is>
          <t>Catálogo maestro Bloques V5/V6</t>
        </is>
      </c>
      <c r="E14" s="8" t="n"/>
      <c r="F14" s="8" t="n"/>
    </row>
    <row r="15">
      <c r="A15" s="6" t="inlineStr">
        <is>
          <t>Centroide UTM ESTE (m)</t>
        </is>
      </c>
      <c r="B15" s="7" t="n">
        <v>631195</v>
      </c>
      <c r="C15" s="6" t="inlineStr">
        <is>
          <t>Centroide UTM NORTE (m)</t>
        </is>
      </c>
      <c r="D15" s="7" t="n">
        <v>9441777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2045</v>
      </c>
      <c r="C19" s="6" t="inlineStr">
        <is>
          <t>Altitud máxima (msnm)</t>
        </is>
      </c>
      <c r="D19" s="7" t="n">
        <v>2218</v>
      </c>
      <c r="E19" s="8" t="n"/>
      <c r="F19" s="8" t="n"/>
    </row>
    <row r="20">
      <c r="A20" s="6" t="inlineStr">
        <is>
          <t>Amplitud altitudinal (m)</t>
        </is>
      </c>
      <c r="B20" s="7" t="n">
        <v>173</v>
      </c>
      <c r="C20" s="6" t="inlineStr">
        <is>
          <t>Piso altitudinal dominante</t>
        </is>
      </c>
      <c r="D20" s="7" t="inlineStr">
        <is>
          <t>2000-2500 m (Quechua alta)</t>
        </is>
      </c>
      <c r="E20" s="8" t="n"/>
      <c r="F20" s="8" t="n"/>
    </row>
    <row r="21">
      <c r="A21" s="6" t="inlineStr">
        <is>
          <t>Pendiente promedio (%)</t>
        </is>
      </c>
      <c r="B21" s="7" t="n">
        <v>29.85</v>
      </c>
      <c r="C21" s="6" t="inlineStr">
        <is>
          <t>Pendiente promedio (grados)</t>
        </is>
      </c>
      <c r="D21" s="7" t="n">
        <v>16.6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0.6147</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(86.57 %)</t>
        </is>
      </c>
      <c r="E29" s="8" t="n"/>
      <c r="F29" s="8" t="n"/>
    </row>
    <row r="30">
      <c r="A30" s="6" t="inlineStr">
        <is>
          <t>Superficie clasificada NDVI 2025 (ha)</t>
        </is>
      </c>
      <c r="B30" s="7" t="n">
        <v>13.559</v>
      </c>
      <c r="C30" s="6" t="inlineStr">
        <is>
          <t>Desviación frente al catálogo (%)</t>
        </is>
      </c>
      <c r="D30" s="7" t="n">
        <v>0.07000000000000001</v>
      </c>
      <c r="E30" s="8" t="n"/>
      <c r="F30" s="8" t="n"/>
    </row>
    <row r="31">
      <c r="A31" s="6" t="inlineStr">
        <is>
          <t>Superficie clasificada MSAVI 2024 (ha)</t>
        </is>
      </c>
      <c r="B31" s="38" t="n">
        <v>13.554</v>
      </c>
      <c r="C31" s="6" t="inlineStr">
        <is>
          <t>Desviación MSAVI frente al catálogo (%)</t>
        </is>
      </c>
      <c r="D31" s="39" t="n">
        <v>0.03</v>
      </c>
      <c r="E31" s="8" t="n"/>
      <c r="F31" s="8" t="n"/>
    </row>
    <row r="32">
      <c r="A32" s="6" t="inlineStr">
        <is>
          <t>Superficie bajo umbral MSAVI 0.4976 (ha)</t>
        </is>
      </c>
      <c r="B32" s="38" t="n">
        <v>1.86</v>
      </c>
      <c r="C32" s="6" t="inlineStr">
        <is>
          <t>% del bloque bajo umbral (brecha espectral)</t>
        </is>
      </c>
      <c r="D32" s="39" t="n">
        <v>13.72</v>
      </c>
      <c r="E32" s="8" t="n"/>
      <c r="F32" s="8" t="n"/>
    </row>
    <row r="33">
      <c r="A33" s="6" t="inlineStr">
        <is>
          <t>Clase DN dominante (MSAVI 2024)</t>
        </is>
      </c>
      <c r="B33" s="7" t="inlineStr">
        <is>
          <t>DN 5 · &gt; 0.6139 (Vigor alto)</t>
        </is>
      </c>
      <c r="C33" s="6" t="inlineStr">
        <is>
          <t>N.° de polígonos MSAVI del bloque</t>
        </is>
      </c>
      <c r="D33" s="40" t="n">
        <v>108</v>
      </c>
      <c r="E33" s="8" t="n"/>
      <c r="F33" s="8" t="n"/>
    </row>
    <row r="34"/>
    <row r="35" ht="18" customHeight="1">
      <c r="A35" s="5" t="inlineStr">
        <is>
          <t>4. ECOSISTEMA Y ESTADO DE CONSERVACIÓN</t>
        </is>
      </c>
    </row>
    <row r="36">
      <c r="A36" s="6" t="inlineStr">
        <is>
          <t>Tipo de ecosistema (UP)</t>
        </is>
      </c>
      <c r="B36" s="7" t="inlineStr">
        <is>
          <t>Bosque Relicto Montano de Vertiente Occidental (BMVO)</t>
        </is>
      </c>
      <c r="C36" s="6" t="inlineStr">
        <is>
          <t>Superficie de ecosistema (ha)</t>
        </is>
      </c>
      <c r="D36" s="50" t="inlineStr">
        <is>
          <t>8.13</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65</v>
      </c>
      <c r="E38" s="8" t="n"/>
      <c r="F38" s="8" t="n"/>
    </row>
    <row r="39">
      <c r="A39" s="6" t="inlineStr">
        <is>
          <t>Suelo desnudo — campo (%)</t>
        </is>
      </c>
      <c r="B39" s="7" t="n">
        <v>20</v>
      </c>
      <c r="C39" s="6" t="inlineStr">
        <is>
          <t>Regeneración natural</t>
        </is>
      </c>
      <c r="D39" s="7" t="inlineStr">
        <is>
          <t>Por determinar</t>
        </is>
      </c>
      <c r="E39" s="8" t="n"/>
      <c r="F39" s="8" t="n"/>
    </row>
    <row r="40">
      <c r="A40" s="6" t="inlineStr">
        <is>
          <t>Nivel general de erosión</t>
        </is>
      </c>
      <c r="B40" s="7" t="inlineStr">
        <is>
          <t>Severa (cárcavas activas)</t>
        </is>
      </c>
      <c r="C40" s="6" t="inlineStr">
        <is>
          <t>N.° de cárcavas registradas</t>
        </is>
      </c>
      <c r="D40" s="7" t="n">
        <v>5</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ANIN/DIME-SESDI</t>
        </is>
      </c>
      <c r="C44" s="6" t="inlineStr">
        <is>
          <t>Fecha de evaluación</t>
        </is>
      </c>
      <c r="D44" s="7" t="inlineStr">
        <is>
          <t>2026-07-01</t>
        </is>
      </c>
      <c r="E44" s="8" t="n"/>
      <c r="F44" s="8" t="n"/>
    </row>
    <row r="45">
      <c r="A45" s="6" t="inlineStr">
        <is>
          <t>Hora de registro</t>
        </is>
      </c>
      <c r="B45" s="7" t="inlineStr">
        <is>
          <t>12:27 - 12:42 h</t>
        </is>
      </c>
      <c r="C45" s="6" t="inlineStr">
        <is>
          <t>Correlativo de ficha</t>
        </is>
      </c>
      <c r="D45" s="7" t="inlineStr">
        <is>
          <t>F-DT-01 / B59</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 infraestructura vial y extracción de material de préstamo sobre litología friable, sin obras de estabilización</t>
        </is>
      </c>
      <c r="C51" s="6" t="inlineStr">
        <is>
          <t>Velocidad de degradación</t>
        </is>
      </c>
      <c r="D51" s="7" t="inlineStr">
        <is>
          <t>Rápida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59</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7.7038</v>
      </c>
      <c r="C10" s="31">
        <f>ROUND(B10/$B$15*100,2)</f>
        <v/>
      </c>
      <c r="D10" s="12" t="inlineStr">
        <is>
          <t>Vigor alto</t>
        </is>
      </c>
      <c r="E10" s="12" t="inlineStr">
        <is>
          <t>Sobre umbral</t>
        </is>
      </c>
    </row>
    <row r="11">
      <c r="A11" s="13" t="inlineStr">
        <is>
          <t>0.4976 - 0.6139 · DN 4</t>
        </is>
      </c>
      <c r="B11" s="20" t="n">
        <v>3.9905</v>
      </c>
      <c r="C11" s="21">
        <f>ROUND(B11/$B$15*100,2)</f>
        <v/>
      </c>
      <c r="D11" s="14" t="inlineStr">
        <is>
          <t>Vigor moderado</t>
        </is>
      </c>
      <c r="E11" s="14" t="inlineStr">
        <is>
          <t>Sobre umbral</t>
        </is>
      </c>
    </row>
    <row r="12">
      <c r="A12" s="7" t="inlineStr">
        <is>
          <t>0.3813 - 0.4976 · DN 3</t>
        </is>
      </c>
      <c r="B12" s="18" t="n">
        <v>1.1273</v>
      </c>
      <c r="C12" s="19">
        <f>ROUND(B12/$B$15*100,2)</f>
        <v/>
      </c>
      <c r="D12" s="15" t="inlineStr">
        <is>
          <t>Vigor bajo</t>
        </is>
      </c>
      <c r="E12" s="15" t="inlineStr">
        <is>
          <t>BAJO umbral 0.4976</t>
        </is>
      </c>
    </row>
    <row r="13">
      <c r="A13" s="13" t="inlineStr">
        <is>
          <t>0.2650 - 0.3813 · DN 2</t>
        </is>
      </c>
      <c r="B13" s="20" t="n">
        <v>0.485</v>
      </c>
      <c r="C13" s="21">
        <f>ROUND(B13/$B$15*100,2)</f>
        <v/>
      </c>
      <c r="D13" s="14" t="inlineStr">
        <is>
          <t>Vigor muy bajo</t>
        </is>
      </c>
      <c r="E13" s="14" t="inlineStr">
        <is>
          <t>BAJO umbral 0.4976</t>
        </is>
      </c>
    </row>
    <row r="14">
      <c r="A14" s="7" t="inlineStr">
        <is>
          <t>&lt;= 0.2650 · DN 1</t>
        </is>
      </c>
      <c r="B14" s="18" t="n">
        <v>0.2474</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108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13.55</v>
      </c>
      <c r="C18" s="49" t="inlineStr">
        <is>
          <t>—</t>
        </is>
      </c>
      <c r="D18" s="46" t="inlineStr">
        <is>
          <t>Desviación planimétrica frente al catálogo</t>
        </is>
      </c>
      <c r="E18" s="46" t="inlineStr">
        <is>
          <t>+0.03 %</t>
        </is>
      </c>
    </row>
    <row r="19">
      <c r="A19" s="16" t="inlineStr">
        <is>
          <t>MSAVI 2024 — MEDIA DEL BLOQUE</t>
        </is>
      </c>
      <c r="B19" s="17" t="n">
        <v>0.614739</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108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(0.6147)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11.7374</v>
      </c>
      <c r="C25" s="19" t="n">
        <v>86.56999999999999</v>
      </c>
      <c r="D25" s="15" t="inlineStr">
        <is>
          <t>Dosel continuo, matorral denso o mosaico agroforestal</t>
        </is>
      </c>
      <c r="E25" s="15" t="inlineStr"/>
    </row>
    <row r="26">
      <c r="A26" s="13" t="inlineStr">
        <is>
          <t>Vegetación mediana</t>
        </is>
      </c>
      <c r="B26" s="20" t="n">
        <v>1.0689</v>
      </c>
      <c r="C26" s="21" t="n">
        <v>7.88</v>
      </c>
      <c r="D26" s="14" t="inlineStr">
        <is>
          <t>Pastizal cultivado, matorral ralo, parcelas agrícolas</t>
        </is>
      </c>
      <c r="E26" s="14" t="inlineStr"/>
    </row>
    <row r="27">
      <c r="A27" s="7" t="inlineStr">
        <is>
          <t>Vegetación ligera</t>
        </is>
      </c>
      <c r="B27" s="18" t="n">
        <v>0.5152</v>
      </c>
      <c r="C27" s="19" t="n">
        <v>3.8</v>
      </c>
      <c r="D27" s="15" t="inlineStr">
        <is>
          <t>Cobertura discontinua, suelo parcialmente expuesto</t>
        </is>
      </c>
      <c r="E27" s="15" t="inlineStr"/>
    </row>
    <row r="28">
      <c r="A28" s="13" t="inlineStr">
        <is>
          <t>Tierra desnuda</t>
        </is>
      </c>
      <c r="B28" s="20" t="n">
        <v>0.2375</v>
      </c>
      <c r="C28" s="21" t="n">
        <v>1.75</v>
      </c>
      <c r="D28" s="14" t="inlineStr">
        <is>
          <t>Suelo desnudo, afloramientos, plataformas y taludes</t>
        </is>
      </c>
      <c r="E28" s="14" t="inlineStr"/>
    </row>
    <row r="29">
      <c r="A29" s="16" t="inlineStr">
        <is>
          <t>TOTAL CLASIFICADO</t>
        </is>
      </c>
      <c r="B29" s="22">
        <f>SUM(B25:B28)</f>
        <v/>
      </c>
      <c r="C29" s="23">
        <f>SUM(C25:C28)</f>
        <v/>
      </c>
      <c r="D29" s="17" t="inlineStr"/>
      <c r="E29" s="17" t="inlineStr"/>
    </row>
    <row r="30">
      <c r="A30" s="24" t="inlineStr">
        <is>
          <t>Superficie de catálogo (V5/V6)</t>
        </is>
      </c>
      <c r="B30" s="25" t="n">
        <v>13.55</v>
      </c>
      <c r="C30" s="25" t="inlineStr">
        <is>
          <t>—</t>
        </is>
      </c>
      <c r="D30" s="25" t="inlineStr">
        <is>
          <t>Desviación planimétrica frente al catálogo</t>
        </is>
      </c>
      <c r="E30" s="25" t="inlineStr">
        <is>
          <t>+0.07 %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86.57 % del polígono clasificado como «Vegetación alta» por el NDVI 2025; la observación de campo corresponde a una parcela o recorrido puntual y no es estadísticamente representativa de las 13.550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59</t>
        </is>
      </c>
    </row>
    <row r="6" ht="24" customHeight="1">
      <c r="A6" s="4" t="inlineStr">
        <is>
          <t>Levantamiento del 2026-07-01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631232</v>
      </c>
      <c r="D10" s="26" t="n">
        <v>9441709</v>
      </c>
      <c r="E10" s="15" t="n">
        <v>77.40000000000001</v>
      </c>
      <c r="F10" s="15" t="inlineStr"/>
      <c r="G10" s="15" t="inlineStr">
        <is>
          <t>Coordenada consignada en F-DT-01</t>
        </is>
      </c>
    </row>
    <row r="11">
      <c r="A11" s="13" t="inlineStr">
        <is>
          <t>C-01</t>
        </is>
      </c>
      <c r="B11" s="14" t="inlineStr">
        <is>
          <t>Rasgo erosivo — Cárcava profunda (&gt;2 m)</t>
        </is>
      </c>
      <c r="C11" s="27" t="n">
        <v>631253</v>
      </c>
      <c r="D11" s="27" t="n">
        <v>9441731</v>
      </c>
      <c r="E11" s="14" t="n">
        <v>74</v>
      </c>
      <c r="F11" s="14" t="inlineStr">
        <is>
          <t>Activa</t>
        </is>
      </c>
      <c r="G11" s="14" t="inlineStr">
        <is>
          <t>Concentración natural de escorrentía</t>
        </is>
      </c>
    </row>
    <row r="12">
      <c r="A12" s="7" t="inlineStr">
        <is>
          <t>C-02</t>
        </is>
      </c>
      <c r="B12" s="15" t="inlineStr">
        <is>
          <t>Rasgo erosivo — Surco (&lt;30 cm)</t>
        </is>
      </c>
      <c r="C12" s="26" t="n">
        <v>631235</v>
      </c>
      <c r="D12" s="26" t="n">
        <v>9441625</v>
      </c>
      <c r="E12" s="15" t="n">
        <v>157.2</v>
      </c>
      <c r="F12" s="15" t="inlineStr">
        <is>
          <t>Activa</t>
        </is>
      </c>
      <c r="G12" s="15" t="inlineStr">
        <is>
          <t>Concentración natural de escorrentía</t>
        </is>
      </c>
    </row>
    <row r="13">
      <c r="A13" s="13" t="inlineStr">
        <is>
          <t>C-03</t>
        </is>
      </c>
      <c r="B13" s="14" t="inlineStr">
        <is>
          <t>Rasgo erosivo — Cárcava somera (0.5-2 m)</t>
        </is>
      </c>
      <c r="C13" s="27" t="n">
        <v>631229</v>
      </c>
      <c r="D13" s="27" t="n">
        <v>9441787</v>
      </c>
      <c r="E13" s="14" t="n">
        <v>35.4</v>
      </c>
      <c r="F13" s="14" t="inlineStr">
        <is>
          <t>Activa</t>
        </is>
      </c>
      <c r="G13" s="14" t="inlineStr">
        <is>
          <t>Otro (talud de corte de vía)</t>
        </is>
      </c>
    </row>
    <row r="14">
      <c r="A14" s="7" t="inlineStr">
        <is>
          <t>C-04</t>
        </is>
      </c>
      <c r="B14" s="15" t="inlineStr">
        <is>
          <t>Rasgo erosivo — Cárcava muy profunda</t>
        </is>
      </c>
      <c r="C14" s="26" t="n">
        <v>631272</v>
      </c>
      <c r="D14" s="26" t="n">
        <v>9441758</v>
      </c>
      <c r="E14" s="15" t="n">
        <v>79.3</v>
      </c>
      <c r="F14" s="15" t="inlineStr">
        <is>
          <t>Activa</t>
        </is>
      </c>
      <c r="G14" s="15" t="inlineStr">
        <is>
          <t>Otro (escarpe de deslizamiento)</t>
        </is>
      </c>
    </row>
    <row r="15">
      <c r="A15" s="13" t="inlineStr">
        <is>
          <t>C-05</t>
        </is>
      </c>
      <c r="B15" s="14" t="inlineStr">
        <is>
          <t>Rasgo erosivo — Cárcava incipiente</t>
        </is>
      </c>
      <c r="C15" s="27" t="n">
        <v>631016</v>
      </c>
      <c r="D15" s="27" t="n">
        <v>9441897</v>
      </c>
      <c r="E15" s="14" t="n">
        <v>215.5</v>
      </c>
      <c r="F15" s="14" t="inlineStr">
        <is>
          <t>Activa</t>
        </is>
      </c>
      <c r="G15" s="14" t="inlineStr">
        <is>
          <t>Sobrepastoreo</t>
        </is>
      </c>
    </row>
    <row r="16">
      <c r="A16" s="7" t="inlineStr">
        <is>
          <t>H-01</t>
        </is>
      </c>
      <c r="B16" s="15" t="inlineStr">
        <is>
          <t>Fuente de agua — Quebrada estacional</t>
        </is>
      </c>
      <c r="C16" s="26" t="n">
        <v>631100</v>
      </c>
      <c r="D16" s="26" t="n">
        <v>9441500</v>
      </c>
      <c r="E16" s="15" t="n">
        <v>292.8</v>
      </c>
      <c r="F16" s="15" t="inlineStr">
        <is>
          <t>Estacional</t>
        </is>
      </c>
      <c r="G16" s="15" t="inlineStr">
        <is>
          <t>Quebrada tributaria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631195</v>
      </c>
      <c r="C19" s="6" t="inlineStr">
        <is>
          <t>Centroide del bloque — UTM NORTE (m)</t>
        </is>
      </c>
      <c r="D19" s="7" t="n">
        <v>9441777</v>
      </c>
      <c r="E19" s="8" t="n"/>
      <c r="F19" s="8" t="n"/>
      <c r="G19" s="8" t="n"/>
      <c r="H19" s="8" t="n"/>
    </row>
    <row r="20">
      <c r="A20" s="6" t="inlineStr">
        <is>
          <t>N.° de estaciones fotográficas declaradas</t>
        </is>
      </c>
      <c r="B20" s="7" t="n">
        <v>0</v>
      </c>
      <c r="C20" s="6" t="inlineStr">
        <is>
          <t>Estaciones dentro del polígono</t>
        </is>
      </c>
      <c r="D20" s="7" t="n">
        <v>0</v>
      </c>
      <c r="E20" s="8" t="n"/>
      <c r="F20" s="8" t="n"/>
      <c r="G20" s="8" t="n"/>
      <c r="H20" s="8" t="n"/>
    </row>
    <row r="22" ht="144"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Centroide oficial del bloque: 631 195 E · 9 441 777 N (Bloques_V5). Superficie 13.554 ha. Rango altitudinal tomado del perfil de elevación Google Earth (2 045-2 173 msnm; media 2 104); la ALTITUD GPS instrumental NO fue registrada. Pendiente: perfil reporta media 30.6% y máxima 45.4%, consistente con el rango 25-50%. DISCREPANCIA DOCUMENTADA: la herramienta Regla reporta 359.30 m planimétricos mientras el perfil de elevación reporta 418 m (longitud 3D); ambos se conservan sin corregir. Exposición Suroeste: JUICIO EXPERTO derivado del perfil; requiere confirmación con DEM. Afloramientos: sustrato areno-limoso/arenisca poco consolidada expuesta en taludes y cantera. Remociones en masa activas: SÍ, deslizamiento sobre cerco perimétrico y escarpes frescos.</t>
        </is>
      </c>
      <c r="B22" s="41" t="n"/>
      <c r="C22" s="41" t="n"/>
      <c r="D22" s="41" t="n"/>
      <c r="E22" s="41" t="n"/>
      <c r="F22" s="41" t="n"/>
      <c r="G22" s="42"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59</t>
        </is>
      </c>
    </row>
    <row r="6" ht="24" customHeight="1">
      <c r="A6" s="4" t="inlineStr">
        <is>
          <t>Distrito de Chalaco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5" t="inlineStr">
        <is>
          <t>672 – 2244</t>
        </is>
      </c>
      <c r="E10" s="15" t="n">
        <v>1572</v>
      </c>
      <c r="F10" s="15" t="n">
        <v>27.41</v>
      </c>
      <c r="G10" s="18" t="n">
        <v>0.7067</v>
      </c>
      <c r="H10" s="19" t="n">
        <v>99.93000000000001</v>
      </c>
      <c r="I10" s="19" t="n">
        <v>0.07000000000000001</v>
      </c>
    </row>
    <row r="11">
      <c r="A11" s="13" t="inlineStr">
        <is>
          <t>11</t>
        </is>
      </c>
      <c r="B11" s="29" t="n">
        <v>103.95</v>
      </c>
      <c r="C11" s="21" t="n">
        <v>12.17</v>
      </c>
      <c r="D11" s="14" t="inlineStr">
        <is>
          <t>1375 – 1928</t>
        </is>
      </c>
      <c r="E11" s="14" t="n">
        <v>553</v>
      </c>
      <c r="F11" s="14" t="n">
        <v>32.19</v>
      </c>
      <c r="G11" s="20" t="n">
        <v>0.6047</v>
      </c>
      <c r="H11" s="21" t="n">
        <v>75.28</v>
      </c>
      <c r="I11" s="21" t="n">
        <v>11.34</v>
      </c>
    </row>
    <row r="12">
      <c r="A12" s="7" t="inlineStr">
        <is>
          <t>17</t>
        </is>
      </c>
      <c r="B12" s="28" t="n">
        <v>96.08</v>
      </c>
      <c r="C12" s="19" t="n">
        <v>11.25</v>
      </c>
      <c r="D12" s="15" t="inlineStr">
        <is>
          <t>1253 – 1880</t>
        </is>
      </c>
      <c r="E12" s="15" t="n">
        <v>627</v>
      </c>
      <c r="F12" s="15" t="n">
        <v>35.56</v>
      </c>
      <c r="G12" s="18" t="n">
        <v>0.6479</v>
      </c>
      <c r="H12" s="19" t="n">
        <v>88.68000000000001</v>
      </c>
      <c r="I12" s="19" t="n">
        <v>2.09</v>
      </c>
    </row>
    <row r="13">
      <c r="A13" s="13" t="inlineStr">
        <is>
          <t>14</t>
        </is>
      </c>
      <c r="B13" s="29" t="n">
        <v>92.90000000000001</v>
      </c>
      <c r="C13" s="21" t="n">
        <v>10.88</v>
      </c>
      <c r="D13" s="14" t="inlineStr">
        <is>
          <t>87 – 1355</t>
        </is>
      </c>
      <c r="E13" s="14" t="n">
        <v>1268</v>
      </c>
      <c r="F13" s="14" t="n">
        <v>23.75</v>
      </c>
      <c r="G13" s="20" t="n">
        <v>0.5197000000000001</v>
      </c>
      <c r="H13" s="21" t="n">
        <v>58.89</v>
      </c>
      <c r="I13" s="21" t="n">
        <v>39.02</v>
      </c>
    </row>
    <row r="14">
      <c r="A14" s="7" t="inlineStr">
        <is>
          <t>15</t>
        </is>
      </c>
      <c r="B14" s="28" t="n">
        <v>86.15000000000001</v>
      </c>
      <c r="C14" s="19" t="n">
        <v>10.09</v>
      </c>
      <c r="D14" s="15" t="inlineStr">
        <is>
          <t>1199 – 1655</t>
        </is>
      </c>
      <c r="E14" s="15" t="n">
        <v>456</v>
      </c>
      <c r="F14" s="15" t="n">
        <v>26.19</v>
      </c>
      <c r="G14" s="18" t="n">
        <v>0.5605</v>
      </c>
      <c r="H14" s="19" t="n">
        <v>56.47</v>
      </c>
      <c r="I14" s="19" t="n">
        <v>22.48</v>
      </c>
    </row>
    <row r="15">
      <c r="A15" s="13" t="inlineStr">
        <is>
          <t>23</t>
        </is>
      </c>
      <c r="B15" s="29" t="n">
        <v>81.78</v>
      </c>
      <c r="C15" s="21" t="n">
        <v>9.58</v>
      </c>
      <c r="D15" s="14" t="inlineStr">
        <is>
          <t>521 – 973</t>
        </is>
      </c>
      <c r="E15" s="14" t="n">
        <v>452</v>
      </c>
      <c r="F15" s="14" t="n">
        <v>35.28</v>
      </c>
      <c r="G15" s="20" t="n">
        <v>0.5731000000000001</v>
      </c>
      <c r="H15" s="21" t="n">
        <v>47.99</v>
      </c>
      <c r="I15" s="21" t="n">
        <v>18.75</v>
      </c>
    </row>
    <row r="16">
      <c r="A16" s="7" t="inlineStr">
        <is>
          <t>42</t>
        </is>
      </c>
      <c r="B16" s="28" t="n">
        <v>80.62</v>
      </c>
      <c r="C16" s="19" t="n">
        <v>9.44</v>
      </c>
      <c r="D16" s="15" t="inlineStr">
        <is>
          <t>1131 – 1548</t>
        </is>
      </c>
      <c r="E16" s="15" t="n">
        <v>417</v>
      </c>
      <c r="F16" s="15" t="n">
        <v>27.86</v>
      </c>
      <c r="G16" s="18" t="n">
        <v>0.6348</v>
      </c>
      <c r="H16" s="19" t="n">
        <v>88.83</v>
      </c>
      <c r="I16" s="19" t="n">
        <v>5.64</v>
      </c>
    </row>
    <row r="17">
      <c r="A17" s="13" t="inlineStr">
        <is>
          <t>M19B2</t>
        </is>
      </c>
      <c r="B17" s="29" t="n">
        <v>74.37</v>
      </c>
      <c r="C17" s="21" t="n">
        <v>8.710000000000001</v>
      </c>
      <c r="D17" s="14" t="inlineStr">
        <is>
          <t>203 – 523</t>
        </is>
      </c>
      <c r="E17" s="14" t="n">
        <v>320</v>
      </c>
      <c r="F17" s="14" t="n">
        <v>21.71</v>
      </c>
      <c r="G17" s="20" t="n">
        <v>0.4012</v>
      </c>
      <c r="H17" s="21" t="n">
        <v>1.28</v>
      </c>
      <c r="I17" s="21" t="n">
        <v>96.23999999999999</v>
      </c>
    </row>
    <row r="18">
      <c r="A18" s="7" t="inlineStr">
        <is>
          <t>82</t>
        </is>
      </c>
      <c r="B18" s="28" t="n">
        <v>35.66</v>
      </c>
      <c r="C18" s="19" t="n">
        <v>4.18</v>
      </c>
      <c r="D18" s="15" t="inlineStr">
        <is>
          <t>1796 – 2098</t>
        </is>
      </c>
      <c r="E18" s="15" t="n">
        <v>302</v>
      </c>
      <c r="F18" s="15" t="n">
        <v>23.55</v>
      </c>
      <c r="G18" s="18" t="n">
        <v>0.6283</v>
      </c>
      <c r="H18" s="19" t="n">
        <v>90.06999999999999</v>
      </c>
      <c r="I18" s="19" t="n">
        <v>12.67</v>
      </c>
    </row>
    <row r="19">
      <c r="A19" s="13" t="inlineStr">
        <is>
          <t>78</t>
        </is>
      </c>
      <c r="B19" s="29" t="n">
        <v>35.1</v>
      </c>
      <c r="C19" s="21" t="n">
        <v>4.11</v>
      </c>
      <c r="D19" s="14" t="inlineStr">
        <is>
          <t>1908 – 2236</t>
        </is>
      </c>
      <c r="E19" s="14" t="n">
        <v>328</v>
      </c>
      <c r="F19" s="14" t="n">
        <v>30.64</v>
      </c>
      <c r="G19" s="20" t="n">
        <v>0.7074</v>
      </c>
      <c r="H19" s="21" t="n">
        <v>89.33</v>
      </c>
      <c r="I19" s="21" t="n">
        <v>1.77</v>
      </c>
    </row>
    <row r="20">
      <c r="A20" s="7" t="inlineStr">
        <is>
          <t>M19B7</t>
        </is>
      </c>
      <c r="B20" s="28" t="n">
        <v>34.17</v>
      </c>
      <c r="C20" s="19" t="n">
        <v>4</v>
      </c>
      <c r="D20" s="15" t="inlineStr">
        <is>
          <t>1213 – 1578</t>
        </is>
      </c>
      <c r="E20" s="15" t="n">
        <v>365</v>
      </c>
      <c r="F20" s="15" t="n">
        <v>28.15</v>
      </c>
      <c r="G20" s="18" t="n">
        <v>0.5919</v>
      </c>
      <c r="H20" s="19" t="n">
        <v>78.52</v>
      </c>
      <c r="I20" s="19" t="n">
        <v>5.85</v>
      </c>
    </row>
    <row r="21">
      <c r="A21" s="11" t="inlineStr">
        <is>
          <t>► 59</t>
        </is>
      </c>
      <c r="B21" s="30" t="n">
        <v>13.55</v>
      </c>
      <c r="C21" s="31" t="n">
        <v>1.59</v>
      </c>
      <c r="D21" s="12" t="inlineStr">
        <is>
          <t>2045 – 2218</t>
        </is>
      </c>
      <c r="E21" s="12" t="n">
        <v>173</v>
      </c>
      <c r="F21" s="12" t="n">
        <v>29.85</v>
      </c>
      <c r="G21" s="32" t="n">
        <v>0.6147</v>
      </c>
      <c r="H21" s="31" t="n">
        <v>86.56999999999999</v>
      </c>
      <c r="I21" s="3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4" ht="84" customHeight="1">
      <c r="A24" s="9" t="inlineStr">
        <is>
          <t>LECTURA INTRAMICROCUENCA. El bloque 59 ocupa el puesto 12 de 12 por superficie dentro de la microcuenca C1086-Q9570 (1.59 % de las 853.87 ha preliminares de la microcuenca). Su pendiente promedio (29.85 %, clase «25-50% (Mod. escarpado)») es la 8.ª más baja de 12 y se sitúa por encima del promedio de la microcuenca (28.51 %). Su MSAVI 2024 (0.6147) es el 6.º de 12 y queda por encima del promedio local (0.5993). Amplitud altitudinal del bloque: 173 m (2045–2218 msnm). El cuadro conserva todos los bloques catalogados en la microcuenca, incluidos los descartados en el tamizaje, para referencia del conjunto. Los bloques sin ficha DT figuran con sus parámetros de gabinete. BRECHA ESPECTRAL. El 13.72 % de la superficie del bloque (1.860 ha de 13.554 ha) se sitúa bajo el umbral MSAVI 0.4976, por debajo del promedio local de la microcuenca (19.14 %)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9">
    <mergeCell ref="A2:I2"/>
    <mergeCell ref="A5:I5"/>
    <mergeCell ref="A1:I1"/>
    <mergeCell ref="A8:I8"/>
    <mergeCell ref="A3:I3"/>
    <mergeCell ref="A6:I6"/>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59</t>
        </is>
      </c>
    </row>
    <row r="6">
      <c r="A6" s="52" t="inlineStr">
        <is>
          <t>Cruce de la ficha de campo F-DT vigente con la ficha de resumen de gabinete y el catálogo maestro. Integración 2026-09-11 20:22:30.</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«C1086-Q9570».</t>
        </is>
      </c>
      <c r="D9" s="56" t="inlineStr">
        <is>
          <t>CONFORME</t>
        </is>
      </c>
      <c r="E9" s="56" t="inlineStr">
        <is>
          <t>Sin acción.</t>
        </is>
      </c>
    </row>
    <row r="10">
      <c r="A10" s="57" t="inlineStr">
        <is>
          <t>G-02</t>
        </is>
      </c>
      <c r="B10" s="57" t="inlineStr">
        <is>
          <t>UTM del punto de muestreo</t>
        </is>
      </c>
      <c r="C10" s="57" t="inlineStr">
        <is>
          <t>El punto de muestreo declarado dista 77.4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(13.559 ha) se desvía 0.07 % de la superficie de catálogo (13.55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(13.554 ha) se desvía 0.03 % de la superficie de catálogo (13.55 ha).</t>
        </is>
      </c>
      <c r="D14" s="57" t="inlineStr">
        <is>
          <t>CONFORME</t>
        </is>
      </c>
      <c r="E14" s="57" t="inlineStr">
        <is>
          <t>Sin acción: la segmentación valida la geometría del bloque.</t>
        </is>
      </c>
    </row>
    <row r="15">
      <c r="A15" s="56" t="inlineStr">
        <is>
          <t>G-07</t>
        </is>
      </c>
      <c r="B15" s="56" t="inlineStr">
        <is>
          <t>Brecha espectral MSAVI</t>
        </is>
      </c>
      <c r="C15" s="56" t="inlineStr">
        <is>
          <t>El 13.72 % del bloque queda bajo el umbral 0.4976; superficie de brecha 1.8597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13.55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(0.6147)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Centro poblado asociado</t>
        </is>
      </c>
      <c r="C19" s="56" t="inlineStr">
        <is>
          <t>El libro de resumen V6 consignaba «Guabo (630 830 E · 9 441 637 N; 6 hab., INEI)»; la ficha de campo vigente declara «Guabo (6 hab., INEI)».</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Superficie de ecosistema (ha)</t>
        </is>
      </c>
      <c r="C20" s="57" t="inlineStr">
        <is>
          <t>El libro de resumen V6 consignaba «13.554 ha totales — Br-mvoc 8.127 ha (60.0%); Zona agrícola 5.427 ha (40.0%)»; la ficha de campo vigente declara «8.13».</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92.9 % de los campos esperados).</t>
        </is>
      </c>
      <c r="D21" s="56" t="inlineStr">
        <is>
          <t>CONFORME</t>
        </is>
      </c>
      <c r="E21" s="56" t="inlineStr">
        <is>
          <t>Sin acción.</t>
        </is>
      </c>
    </row>
    <row r="22">
      <c r="A22" s="57" t="inlineStr">
        <is>
          <t>F-02</t>
        </is>
      </c>
      <c r="B22" s="57" t="inlineStr">
        <is>
          <t>Cobertura de la integración</t>
        </is>
      </c>
      <c r="C22" s="57" t="inlineStr">
        <is>
          <t>Se declararon 98 de 114 hechos integrados (86.0 %); 16 quedan sin dato en ninguna fuente.</t>
        </is>
      </c>
      <c r="D22" s="57" t="inlineStr">
        <is>
          <t>CONFORME</t>
        </is>
      </c>
      <c r="E22" s="57" t="inlineStr">
        <is>
          <t>Sin acción.</t>
        </is>
      </c>
    </row>
    <row r="23">
      <c r="A23" s="56" t="inlineStr">
        <is>
          <t>H-01</t>
        </is>
      </c>
      <c r="B23" s="56" t="inlineStr">
        <is>
          <t>Cobertura vegetal total</t>
        </is>
      </c>
      <c r="C23" s="56" t="inlineStr">
        <is>
          <t>La ficha DT estima 65 % de cobertura vegetal en campo; el NDVI mediana 2025 clasifica 98.25 % del polígono en clases de vegetación</t>
        </is>
      </c>
      <c r="D23" s="56" t="inlineStr">
        <is>
          <t>NO SUSTANTIVA</t>
        </is>
      </c>
      <c r="E23"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7" t="inlineStr">
        <is>
          <t>H-02</t>
        </is>
      </c>
      <c r="B24" s="57" t="inlineStr">
        <is>
          <t>Dimensiones del inventario de cárcavas</t>
        </is>
      </c>
      <c r="C24" s="57" t="inlineStr">
        <is>
          <t>Se registran 5 rasgos erosivos, pero longitud, profundidad y ancho no fueron medidos instrumentalmente</t>
        </is>
      </c>
      <c r="D24" s="57" t="inlineStr">
        <is>
          <t>NO SUSTANTIVA</t>
        </is>
      </c>
      <c r="E24" s="57" t="inlineStr">
        <is>
          <t>El conteo registrado no debe usarse para calcular densidad de cárcavas por hectárea. Pendiente de levantamiento con GPS submétrico. (Verificación heredada de la ficha de resumen V6.)</t>
        </is>
      </c>
    </row>
    <row r="25">
      <c r="A25" s="56" t="inlineStr">
        <is>
          <t>H-03</t>
        </is>
      </c>
      <c r="B25" s="56" t="inlineStr">
        <is>
          <t>Representatividad del levantamiento</t>
        </is>
      </c>
      <c r="C25" s="56" t="inlineStr">
        <is>
          <t>Ninguna de las estaciones fotográficas georreferenciadas se localiza dentro del polígono del bloque</t>
        </is>
      </c>
      <c r="D25" s="56" t="inlineStr">
        <is>
          <t>SUSTANTIVA</t>
        </is>
      </c>
      <c r="E25" s="56" t="inlineStr">
        <is>
          <t>La verificación documenta el perímetro y la vista panorámica del bloque, no su interior. Los parámetros que exigen recorrido interno se consignan «Por determinar». (Verificación heredada de la ficha de resumen V6.)</t>
        </is>
      </c>
    </row>
    <row r="26">
      <c r="A26" s="57" t="inlineStr">
        <is>
          <t>H-04</t>
        </is>
      </c>
      <c r="B26" s="57" t="inlineStr">
        <is>
          <t>F-DT-03</t>
        </is>
      </c>
      <c r="C26" s="57" t="inlineStr">
        <is>
          <t>Inventario florístico TRANSFERIDO POR ANALOGÍA del Bloque 57; no es levantamiento propio del bloque 59</t>
        </is>
      </c>
      <c r="D26" s="57" t="inlineStr">
        <is>
          <t>SUSTANTIVA</t>
        </is>
      </c>
      <c r="E26" s="57" t="inlineStr">
        <is>
          <t>Requiere verificación de campo y determinación botánica formal (Verificación heredada de la ficha de resumen V6.)</t>
        </is>
      </c>
    </row>
    <row r="27">
      <c r="A27" s="56" t="inlineStr">
        <is>
          <t>H-05</t>
        </is>
      </c>
      <c r="B27" s="56" t="inlineStr">
        <is>
          <t>F-DT-01</t>
        </is>
      </c>
      <c r="C27" s="56" t="inlineStr">
        <is>
          <t>Regla (Ruta) reporta 359.30 m planimétricos vs. 418 m del perfil de elevación (longitud 3D)</t>
        </is>
      </c>
      <c r="D27" s="56" t="inlineStr">
        <is>
          <t>NO SUSTANTIVA</t>
        </is>
      </c>
      <c r="E27" s="56" t="inlineStr">
        <is>
          <t>Ambos valores se conservan sin corregir (Verificación heredada de la ficha de resumen V6.)</t>
        </is>
      </c>
    </row>
    <row r="28">
      <c r="A28" s="57" t="inlineStr">
        <is>
          <t>H-06</t>
        </is>
      </c>
      <c r="B28" s="57" t="inlineStr">
        <is>
          <t>Plan de Ingreso</t>
        </is>
      </c>
      <c r="C28" s="57" t="inlineStr">
        <is>
          <t>Altitud = 0 msnm (captura por defecto del aplicativo)</t>
        </is>
      </c>
      <c r="D28" s="57" t="inlineStr">
        <is>
          <t>NO SUSTANTIVA</t>
        </is>
      </c>
      <c r="E28" s="57" t="inlineStr">
        <is>
          <t>Se sustituye por el rango del MDE (Verificación heredada de la ficha de resumen V6.)</t>
        </is>
      </c>
    </row>
    <row r="29">
      <c r="A29" s="56" t="inlineStr">
        <is>
          <t>H-07</t>
        </is>
      </c>
      <c r="B29" s="56" t="inlineStr">
        <is>
          <t>F-DT-02</t>
        </is>
      </c>
      <c r="C29" s="56" t="inlineStr">
        <is>
          <t>Cantera de arena activa en 631 205 E · 9 441 786 N no clasificable en el formato de cárcavas</t>
        </is>
      </c>
      <c r="D29" s="56" t="inlineStr">
        <is>
          <t>SUSTANTIVA</t>
        </is>
      </c>
      <c r="E29" s="56" t="inlineStr">
        <is>
          <t>Fuente directa de aporte de sedimentos; incorporar como pasivo ambiental en el diseño de MRR-CCC (Verificación heredada de la ficha de resumen V6.)</t>
        </is>
      </c>
    </row>
    <row r="30">
      <c r="A30" s="57" t="inlineStr">
        <is>
          <t>H-08</t>
        </is>
      </c>
      <c r="B30" s="57" t="inlineStr">
        <is>
          <t>F-DS-03</t>
        </is>
      </c>
      <c r="C30" s="57" t="inlineStr">
        <is>
          <t>La ficha social del C.P. Guabo consigna microcuenca C1076-Q9584 y UTM 631 195 · 9 441 780 (valores heredados de plantilla)</t>
        </is>
      </c>
      <c r="D30" s="57" t="inlineStr">
        <is>
          <t>NO SUSTANTIVA</t>
        </is>
      </c>
      <c r="E30" s="57" t="inlineStr">
        <is>
          <t>Se conserva la microcuenca del catálogo C1086-Q9570 (Verificación heredada de la ficha de resumen V6.)</t>
        </is>
      </c>
    </row>
    <row r="32">
      <c r="A32" s="58" t="inlineStr">
        <is>
          <t>RESUMEN</t>
        </is>
      </c>
      <c r="B32" s="59" t="inlineStr">
        <is>
          <t>22 verificaciones</t>
        </is>
      </c>
      <c r="C32" s="59" t="inlineStr">
        <is>
          <t>SUSTANTIVA: 4 · NO SUSTANTIVA: 6 · CORREGIDO: 2 · CONFORME: 10</t>
        </is>
      </c>
    </row>
    <row r="34">
      <c r="A34"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59</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1. Identificación y localización</t>
        </is>
      </c>
      <c r="B9" s="56" t="inlineStr">
        <is>
          <t>Centro poblado asociado</t>
        </is>
      </c>
      <c r="C9" s="56" t="inlineStr">
        <is>
          <t>Guabo (630 830 E · 9 441 637 N; 6 hab., INEI)</t>
        </is>
      </c>
      <c r="D9" s="56" t="inlineStr">
        <is>
          <t>Guabo (6 hab., INEI)</t>
        </is>
      </c>
      <c r="E9" s="56" t="inlineStr">
        <is>
          <t>Dato de campo</t>
        </is>
      </c>
    </row>
    <row r="10">
      <c r="A10" s="57" t="inlineStr">
        <is>
          <t>5. Ecosistema, cobertura y flora (F-DT-03)</t>
        </is>
      </c>
      <c r="B10" s="57" t="inlineStr">
        <is>
          <t>Superficie de ecosistema (ha)</t>
        </is>
      </c>
      <c r="C10" s="57" t="inlineStr">
        <is>
          <t>13.554 ha totales — Br-mvoc 8.127 ha (60.0%); Zona agrícola 5.427 ha (40.0%)</t>
        </is>
      </c>
      <c r="D10" s="57" t="inlineStr">
        <is>
          <t>8.13</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631232</t>
        </is>
      </c>
      <c r="D14" s="56" t="inlineStr">
        <is>
          <t>m</t>
        </is>
      </c>
    </row>
    <row r="15">
      <c r="A15" s="57" t="inlineStr">
        <is>
          <t>1. Identificación y localización</t>
        </is>
      </c>
      <c r="B15" s="57" t="inlineStr">
        <is>
          <t>UTM NORTE del punto de muestreo (m)</t>
        </is>
      </c>
      <c r="C15" s="57" t="inlineStr">
        <is>
          <t>9441709</t>
        </is>
      </c>
      <c r="D15" s="57" t="inlineStr">
        <is>
          <t>m</t>
        </is>
      </c>
    </row>
    <row r="16">
      <c r="A16" s="56" t="inlineStr">
        <is>
          <t>2. Parámetros físicos del terreno</t>
        </is>
      </c>
      <c r="B16" s="56" t="inlineStr">
        <is>
          <t>Piso altitudinal del punto de muestreo</t>
        </is>
      </c>
      <c r="C16" s="56" t="inlineStr">
        <is>
          <t>2000-2500 m (Quechua alta)</t>
        </is>
      </c>
      <c r="D16" s="56" t="inlineStr"/>
    </row>
    <row r="17">
      <c r="A17" s="57" t="inlineStr">
        <is>
          <t>2. Parámetros físicos del terreno</t>
        </is>
      </c>
      <c r="B17" s="57" t="inlineStr">
        <is>
          <t>Paisaje dominante descrito en campo</t>
        </is>
      </c>
      <c r="C17" s="57" t="inlineStr">
        <is>
          <t>Ladera montañosa disectada sobre sustrato areno-limoso poco consolidado, atravesada por vía nacional afirmada (hito PE-1NR km 120). Mosaico de relicto de bosque montano en cimas y laderas altas, pastizal cultivado con ganado vacuno y parcelas agrícolas en laderas medias-bajas, y plantaciones forestales exóticas (pino, eucalipto). Extensas superficies denudadas con escarpes y cárcavas activas en el corredor vial y en cantera de arena.</t>
        </is>
      </c>
      <c r="D17" s="57" t="inlineStr"/>
    </row>
    <row r="18">
      <c r="A18" s="56" t="inlineStr">
        <is>
          <t>2. Parámetros físicos del terreno</t>
        </is>
      </c>
      <c r="B18" s="56" t="inlineStr">
        <is>
          <t>Deslizamientos antiguos</t>
        </is>
      </c>
      <c r="C18" s="56" t="inlineStr">
        <is>
          <t>Sí</t>
        </is>
      </c>
      <c r="D18" s="56" t="inlineStr"/>
    </row>
    <row r="19">
      <c r="A19" s="57" t="inlineStr">
        <is>
          <t>4. Suelos y erosión (F-DT-02)</t>
        </is>
      </c>
      <c r="B19" s="57" t="inlineStr">
        <is>
          <t>Nivel de erosión - síntesis de campo</t>
        </is>
      </c>
      <c r="C19" s="57" t="inlineStr">
        <is>
          <t>Severa (cárcavas activas)</t>
        </is>
      </c>
      <c r="D19" s="57" t="inlineStr"/>
    </row>
    <row r="20">
      <c r="A20" s="56" t="inlineStr">
        <is>
          <t>4. Suelos y erosión (F-DT-02)</t>
        </is>
      </c>
      <c r="B20" s="56" t="inlineStr">
        <is>
          <t>Sellamiento / costra superficial</t>
        </is>
      </c>
      <c r="C20" s="56" t="inlineStr">
        <is>
          <t>Sí</t>
        </is>
      </c>
      <c r="D20" s="56" t="inlineStr"/>
    </row>
    <row r="21">
      <c r="A21" s="57" t="inlineStr">
        <is>
          <t>4. Suelos y erosión (F-DT-02)</t>
        </is>
      </c>
      <c r="B21" s="57" t="inlineStr">
        <is>
          <t>Compactación por pisoteo</t>
        </is>
      </c>
      <c r="C21" s="57" t="inlineStr">
        <is>
          <t>Sí</t>
        </is>
      </c>
      <c r="D21" s="57" t="inlineStr"/>
    </row>
    <row r="22">
      <c r="A22" s="56" t="inlineStr">
        <is>
          <t>4. Suelos y erosión (F-DT-02)</t>
        </is>
      </c>
      <c r="B22" s="56" t="inlineStr">
        <is>
          <t>Raíces expuestas</t>
        </is>
      </c>
      <c r="C22" s="56" t="inlineStr">
        <is>
          <t>Sí</t>
        </is>
      </c>
      <c r="D22" s="56" t="inlineStr"/>
    </row>
    <row r="23">
      <c r="A23" s="57" t="inlineStr">
        <is>
          <t>4. Suelos y erosión (F-DT-02)</t>
        </is>
      </c>
      <c r="B23" s="57" t="inlineStr">
        <is>
          <t>Patrón de cárcavas</t>
        </is>
      </c>
      <c r="C23" s="57" t="inlineStr">
        <is>
          <t>Mixto</t>
        </is>
      </c>
      <c r="D23" s="57" t="inlineStr"/>
    </row>
    <row r="24">
      <c r="A24" s="56" t="inlineStr">
        <is>
          <t>4. Suelos y erosión (F-DT-02)</t>
        </is>
      </c>
      <c r="B24" s="56" t="inlineStr">
        <is>
          <t>Socavamiento de cauce</t>
        </is>
      </c>
      <c r="C24" s="56" t="inlineStr">
        <is>
          <t>No</t>
        </is>
      </c>
      <c r="D24" s="56" t="inlineStr"/>
    </row>
    <row r="25">
      <c r="A25" s="57" t="inlineStr">
        <is>
          <t>5. Ecosistema, cobertura y flora (F-DT-03)</t>
        </is>
      </c>
      <c r="B25" s="57" t="inlineStr">
        <is>
          <t>Cobertura del dosel (%)</t>
        </is>
      </c>
      <c r="C25" s="57" t="inlineStr">
        <is>
          <t>30</t>
        </is>
      </c>
      <c r="D25" s="57" t="inlineStr">
        <is>
          <t>%</t>
        </is>
      </c>
    </row>
    <row r="26">
      <c r="A26" s="56" t="inlineStr">
        <is>
          <t>5. Ecosistema, cobertura y flora (F-DT-03)</t>
        </is>
      </c>
      <c r="B26" s="56" t="inlineStr">
        <is>
          <t>Cobertura arbustiva (%)</t>
        </is>
      </c>
      <c r="C26" s="56" t="inlineStr">
        <is>
          <t>20</t>
        </is>
      </c>
      <c r="D26" s="56" t="inlineStr">
        <is>
          <t>%</t>
        </is>
      </c>
    </row>
    <row r="27">
      <c r="A27" s="57" t="inlineStr">
        <is>
          <t>5. Ecosistema, cobertura y flora (F-DT-03)</t>
        </is>
      </c>
      <c r="B27" s="57" t="inlineStr">
        <is>
          <t>Cobertura herbácea (%)</t>
        </is>
      </c>
      <c r="C27" s="57" t="inlineStr">
        <is>
          <t>15</t>
        </is>
      </c>
      <c r="D27" s="57" t="inlineStr">
        <is>
          <t>%</t>
        </is>
      </c>
    </row>
    <row r="28">
      <c r="A28" s="56" t="inlineStr">
        <is>
          <t>5. Ecosistema, cobertura y flora (F-DT-03)</t>
        </is>
      </c>
      <c r="B28" s="56" t="inlineStr">
        <is>
          <t>Presencia de epífitas</t>
        </is>
      </c>
      <c r="C28" s="56" t="inlineStr">
        <is>
          <t>Sí</t>
        </is>
      </c>
      <c r="D28" s="56" t="inlineStr"/>
    </row>
    <row r="29">
      <c r="A29" s="57" t="inlineStr">
        <is>
          <t>5. Ecosistema, cobertura y flora (F-DT-03)</t>
        </is>
      </c>
      <c r="B29" s="57" t="inlineStr">
        <is>
          <t>Fenología dominante</t>
        </is>
      </c>
      <c r="C29" s="57" t="inlineStr">
        <is>
          <t>Floración</t>
        </is>
      </c>
      <c r="D29" s="57" t="inlineStr"/>
    </row>
    <row r="30">
      <c r="A30" s="56" t="inlineStr">
        <is>
          <t>5. Ecosistema, cobertura y flora (F-DT-03)</t>
        </is>
      </c>
      <c r="B30" s="56" t="inlineStr">
        <is>
          <t>Dimensiones de la parcela (m)</t>
        </is>
      </c>
      <c r="C30" s="56" t="inlineStr">
        <is>
          <t>No aplica</t>
        </is>
      </c>
      <c r="D30" s="56" t="inlineStr"/>
    </row>
    <row r="31">
      <c r="A31" s="57" t="inlineStr">
        <is>
          <t>5. Ecosistema, cobertura y flora (F-DT-03)</t>
        </is>
      </c>
      <c r="B31" s="57" t="inlineStr">
        <is>
          <t>Especies clave georreferenciadas</t>
        </is>
      </c>
      <c r="C31" s="57" t="inlineStr">
        <is>
          <t>5</t>
        </is>
      </c>
      <c r="D31" s="57" t="inlineStr"/>
    </row>
    <row r="32">
      <c r="A32" s="56" t="inlineStr">
        <is>
          <t>6. Degradación, causas y urgencia (F-DT-04)</t>
        </is>
      </c>
      <c r="B32" s="56" t="inlineStr">
        <is>
          <t>Causas directas de la degradación</t>
        </is>
      </c>
      <c r="C32" s="56" t="inlineStr">
        <is>
          <t>(1) Apertura y ampliación de vía nacional afirmada sobre sustrato areno-limoso poco consolidado, con taludes de corte inestables y remoción en masa activa; (2) extracción de áridos en cantera de arena; (3) sobrepastoreo y conversión de cobertura a pastos cultivados; (4) erosión natural severa acelerada por (1) y (2).</t>
        </is>
      </c>
      <c r="D32" s="56" t="inlineStr"/>
    </row>
    <row r="33">
      <c r="A33" s="57" t="inlineStr">
        <is>
          <t>6. Degradación, causas y urgencia (F-DT-04)</t>
        </is>
      </c>
      <c r="B33" s="57" t="inlineStr">
        <is>
          <t>N.° de causas activas en la matriz F-DT-04</t>
        </is>
      </c>
      <c r="C33" s="57" t="inlineStr">
        <is>
          <t>7</t>
        </is>
      </c>
      <c r="D33" s="57" t="inlineStr"/>
    </row>
    <row r="34">
      <c r="A34" s="56" t="inlineStr">
        <is>
          <t>7. Hidrología, acceso y logística (F-DT-05)</t>
        </is>
      </c>
      <c r="B34" s="56" t="inlineStr">
        <is>
          <t>Escorrentía concentrada</t>
        </is>
      </c>
      <c r="C34" s="56" t="inlineStr">
        <is>
          <t>Sí</t>
        </is>
      </c>
      <c r="D34" s="56" t="inlineStr"/>
    </row>
    <row r="35">
      <c r="A35" s="57" t="inlineStr">
        <is>
          <t>7. Hidrología, acceso y logística (F-DT-05)</t>
        </is>
      </c>
      <c r="B35" s="57" t="inlineStr">
        <is>
          <t>Fuentes de agua inventariadas</t>
        </is>
      </c>
      <c r="C35" s="57" t="inlineStr">
        <is>
          <t>1</t>
        </is>
      </c>
      <c r="D35" s="57" t="inlineStr"/>
    </row>
    <row r="36">
      <c r="A36" s="56" t="inlineStr">
        <is>
          <t>7. Hidrología, acceso y logística (F-DT-05)</t>
        </is>
      </c>
      <c r="B36" s="56" t="inlineStr">
        <is>
          <t>Interferencia con riego</t>
        </is>
      </c>
      <c r="C36" s="56" t="inlineStr">
        <is>
          <t>No</t>
        </is>
      </c>
      <c r="D36" s="56" t="inlineStr"/>
    </row>
    <row r="37">
      <c r="A37" s="57" t="inlineStr">
        <is>
          <t>7. Hidrología, acceso y logística (F-DT-05)</t>
        </is>
      </c>
      <c r="B37" s="57" t="inlineStr">
        <is>
          <t>Vía principal de acceso</t>
        </is>
      </c>
      <c r="C37" s="57" t="inlineStr">
        <is>
          <t>PE-1NR (vía nacional afirmada, hito kilométrico km 120) + trocha carrozable interna</t>
        </is>
      </c>
      <c r="D37" s="57" t="inlineStr"/>
    </row>
    <row r="38">
      <c r="A38" s="56" t="inlineStr">
        <is>
          <t>7. Hidrología, acceso y logística (F-DT-05)</t>
        </is>
      </c>
      <c r="B38" s="56" t="inlineStr">
        <is>
          <t>Tipo de vía del tramo final</t>
        </is>
      </c>
      <c r="C38" s="56" t="inlineStr">
        <is>
          <t>Trocha carrozable</t>
        </is>
      </c>
      <c r="D38" s="56" t="inlineStr"/>
    </row>
    <row r="39">
      <c r="A39" s="57" t="inlineStr">
        <is>
          <t>7. Hidrología, acceso y logística (F-DT-05)</t>
        </is>
      </c>
      <c r="B39" s="57" t="inlineStr">
        <is>
          <t>Transitabilidad en época seca</t>
        </is>
      </c>
      <c r="C39" s="57" t="inlineStr">
        <is>
          <t>Medio</t>
        </is>
      </c>
      <c r="D39" s="57" t="inlineStr"/>
    </row>
    <row r="40">
      <c r="A40" s="56" t="inlineStr">
        <is>
          <t>7. Hidrología, acceso y logística (F-DT-05)</t>
        </is>
      </c>
      <c r="B40" s="56" t="inlineStr">
        <is>
          <t>Transitabilidad en época lluviosa</t>
        </is>
      </c>
      <c r="C40" s="56" t="inlineStr">
        <is>
          <t>Bajo</t>
        </is>
      </c>
      <c r="D40" s="56" t="inlineStr"/>
    </row>
    <row r="41">
      <c r="A41" s="57" t="inlineStr">
        <is>
          <t>7. Hidrología, acceso y logística (F-DT-05)</t>
        </is>
      </c>
      <c r="B41" s="57" t="inlineStr">
        <is>
          <t>Tiempo a la capital distrital (min)</t>
        </is>
      </c>
      <c r="C41" s="57" t="inlineStr">
        <is>
          <t>30</t>
        </is>
      </c>
      <c r="D41" s="57" t="inlineStr">
        <is>
          <t>min</t>
        </is>
      </c>
    </row>
    <row r="42">
      <c r="A42" s="56" t="inlineStr">
        <is>
          <t>7. Hidrología, acceso y logística (F-DT-05)</t>
        </is>
      </c>
      <c r="B42" s="56" t="inlineStr">
        <is>
          <t>Señal celular</t>
        </is>
      </c>
      <c r="C42" s="56" t="inlineStr">
        <is>
          <t>Parcial</t>
        </is>
      </c>
      <c r="D42" s="56" t="inlineStr"/>
    </row>
    <row r="43">
      <c r="A43" s="57" t="inlineStr">
        <is>
          <t>7. Hidrología, acceso y logística (F-DT-05)</t>
        </is>
      </c>
      <c r="B43" s="57" t="inlineStr">
        <is>
          <t>Operador con cobertura</t>
        </is>
      </c>
      <c r="C43" s="57" t="inlineStr">
        <is>
          <t>Bitel</t>
        </is>
      </c>
      <c r="D43" s="57" t="inlineStr"/>
    </row>
    <row r="44">
      <c r="A44" s="56" t="inlineStr">
        <is>
          <t>7. Hidrología, acceso y logística (F-DT-05)</t>
        </is>
      </c>
      <c r="B44" s="56" t="inlineStr">
        <is>
          <t>Alojamiento disponible en la zona</t>
        </is>
      </c>
      <c r="C44" s="56" t="inlineStr">
        <is>
          <t>No</t>
        </is>
      </c>
      <c r="D44" s="56" t="inlineStr"/>
    </row>
    <row r="45">
      <c r="A45" s="57" t="inlineStr">
        <is>
          <t>7. Hidrología, acceso y logística (F-DT-05)</t>
        </is>
      </c>
      <c r="B45" s="57" t="inlineStr">
        <is>
          <t>Requiere coordinación con ronda / comunidad</t>
        </is>
      </c>
      <c r="C45" s="57" t="inlineStr">
        <is>
          <t>Sí</t>
        </is>
      </c>
      <c r="D45" s="57" t="inlineStr"/>
    </row>
    <row r="47">
      <c r="A47" s="54" t="inlineStr">
        <is>
          <t>C. PROCEDENCIA DE LOS HECHOS DECLARADOS</t>
        </is>
      </c>
    </row>
    <row r="48">
      <c r="A48" s="55" t="inlineStr">
        <is>
          <t>Fuente</t>
        </is>
      </c>
      <c r="B48" s="55" t="inlineStr">
        <is>
          <t>Hechos</t>
        </is>
      </c>
      <c r="C48" s="55" t="inlineStr">
        <is>
          <t>Alcance de la fuente</t>
        </is>
      </c>
    </row>
    <row r="49">
      <c r="A49" s="56" t="inlineStr">
        <is>
          <t>Dato de campo</t>
        </is>
      </c>
      <c r="B49" s="56" t="n">
        <v>63</v>
      </c>
      <c r="C49" s="56" t="inlineStr">
        <is>
          <t>Verificación en campo. Fichas F-DT-01 a F-DT-05 de la Plantilla DT Campo Check Validada V5, suscritas por el evaluador.</t>
        </is>
      </c>
    </row>
    <row r="50">
      <c r="A50" s="57" t="inlineStr">
        <is>
          <t>Gabinete (GIS / teledetección)</t>
        </is>
      </c>
      <c r="B50" s="57" t="n">
        <v>21</v>
      </c>
      <c r="C50" s="57" t="inlineStr">
        <is>
          <t>Gabinete. Estadística zonal sobre el MDE y compuestos Sentinel-2 (NDVI mediana 2025, MSAVI 2024 por clase DN).</t>
        </is>
      </c>
    </row>
    <row r="51">
      <c r="A51" s="56" t="inlineStr">
        <is>
          <t>Fuente oficial</t>
        </is>
      </c>
      <c r="B51" s="56" t="n">
        <v>14</v>
      </c>
      <c r="C51" s="56" t="inlineStr">
        <is>
          <t>Fuente oficial. Catálogo maestro Bloques V5/V6, división política INEI y codificación de microcuencas de la ANA.</t>
        </is>
      </c>
    </row>
    <row r="53">
      <c r="A53" s="54" t="inlineStr">
        <is>
          <t>D. ESTADO DEL CRUCE ENTRE FUENTES</t>
        </is>
      </c>
    </row>
    <row r="54">
      <c r="A54" s="55" t="inlineStr">
        <is>
          <t>Estado</t>
        </is>
      </c>
      <c r="B54" s="55" t="inlineStr">
        <is>
          <t>Hechos</t>
        </is>
      </c>
      <c r="C54" s="55" t="inlineStr">
        <is>
          <t>Significado</t>
        </is>
      </c>
    </row>
    <row r="55">
      <c r="A55" s="56" t="inlineStr">
        <is>
          <t>CONFORME</t>
        </is>
      </c>
      <c r="B55" s="56" t="n">
        <v>95</v>
      </c>
      <c r="C55" s="56" t="inlineStr">
        <is>
          <t>Las dos fuentes declaran lo mismo, o solo la fuente que manda sobre el hecho lo declara.</t>
        </is>
      </c>
    </row>
    <row r="56">
      <c r="A56" s="57" t="inlineStr">
        <is>
          <t>COMPLEMENTADO</t>
        </is>
      </c>
      <c r="B56" s="57" t="n">
        <v>1</v>
      </c>
      <c r="C56" s="57" t="inlineStr">
        <is>
          <t>Solo una de las fuentes lo declara y se adopta ese valor.</t>
        </is>
      </c>
    </row>
    <row r="57">
      <c r="A57" s="56" t="inlineStr">
        <is>
          <t>ACTUALIZADO</t>
        </is>
      </c>
      <c r="B57" s="56" t="n">
        <v>2</v>
      </c>
      <c r="C57" s="56" t="inlineStr">
        <is>
          <t>La verificación de campo vigente corrige lo que traía el libro de resumen.</t>
        </is>
      </c>
    </row>
    <row r="58">
      <c r="A58" s="57" t="inlineStr">
        <is>
          <t>DISCREPANTE</t>
        </is>
      </c>
      <c r="B58" s="57" t="n">
        <v>0</v>
      </c>
      <c r="C58" s="57" t="inlineStr">
        <is>
          <t>Las fuentes se contradicen; prevalece la que manda sobre el hecho y la otra queda declarada.</t>
        </is>
      </c>
    </row>
    <row r="59">
      <c r="A59" s="56" t="inlineStr">
        <is>
          <t>PENDIENTE</t>
        </is>
      </c>
      <c r="B59" s="56" t="n">
        <v>16</v>
      </c>
      <c r="C59"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59</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Cárcava profunda (2-5 m)</t>
        </is>
      </c>
      <c r="C9" s="61" t="n">
        <v>631253</v>
      </c>
      <c r="D9" s="61" t="n">
        <v>9441731</v>
      </c>
      <c r="E9" s="56" t="n"/>
      <c r="F9" s="56" t="n"/>
      <c r="G9" s="56" t="n"/>
      <c r="H9" s="56" t="inlineStr">
        <is>
          <t>Activa</t>
        </is>
      </c>
      <c r="I9" s="56" t="inlineStr">
        <is>
          <t>Concentración natural de escorrentía</t>
        </is>
      </c>
    </row>
    <row r="10">
      <c r="A10" s="57" t="inlineStr">
        <is>
          <t>C-02</t>
        </is>
      </c>
      <c r="B10" s="57" t="inlineStr">
        <is>
          <t>Surco (&lt;30 cm)</t>
        </is>
      </c>
      <c r="C10" s="62" t="n">
        <v>631235</v>
      </c>
      <c r="D10" s="62" t="n">
        <v>9441625</v>
      </c>
      <c r="E10" s="57" t="n"/>
      <c r="F10" s="57" t="n"/>
      <c r="G10" s="57" t="n"/>
      <c r="H10" s="57" t="inlineStr">
        <is>
          <t>Activa</t>
        </is>
      </c>
      <c r="I10" s="57" t="inlineStr">
        <is>
          <t>Concentración natural de escorrentía</t>
        </is>
      </c>
    </row>
    <row r="11">
      <c r="A11" s="56" t="inlineStr">
        <is>
          <t>C-03</t>
        </is>
      </c>
      <c r="B11" s="56" t="inlineStr">
        <is>
          <t>Cárcava somera (0.5-2 m)</t>
        </is>
      </c>
      <c r="C11" s="61" t="n">
        <v>631229</v>
      </c>
      <c r="D11" s="61" t="n">
        <v>9441787</v>
      </c>
      <c r="E11" s="56" t="n"/>
      <c r="F11" s="56" t="n"/>
      <c r="G11" s="56" t="n"/>
      <c r="H11" s="56" t="inlineStr">
        <is>
          <t>Activa</t>
        </is>
      </c>
      <c r="I11" s="56" t="inlineStr">
        <is>
          <t>Otro</t>
        </is>
      </c>
    </row>
    <row r="12">
      <c r="A12" s="57" t="inlineStr">
        <is>
          <t>C-04</t>
        </is>
      </c>
      <c r="B12" s="57" t="inlineStr">
        <is>
          <t>Cárcava muy profunda (&gt;5 m)</t>
        </is>
      </c>
      <c r="C12" s="62" t="n">
        <v>631272</v>
      </c>
      <c r="D12" s="62" t="n">
        <v>9441758</v>
      </c>
      <c r="E12" s="57" t="n"/>
      <c r="F12" s="57" t="n"/>
      <c r="G12" s="57" t="n"/>
      <c r="H12" s="57" t="inlineStr">
        <is>
          <t>Activa</t>
        </is>
      </c>
      <c r="I12" s="57" t="inlineStr">
        <is>
          <t>Otro</t>
        </is>
      </c>
    </row>
    <row r="13">
      <c r="A13" s="56" t="inlineStr">
        <is>
          <t>C-05</t>
        </is>
      </c>
      <c r="B13" s="56" t="inlineStr">
        <is>
          <t>Cárcava incipiente (30-50 cm)</t>
        </is>
      </c>
      <c r="C13" s="61" t="n">
        <v>631016</v>
      </c>
      <c r="D13" s="61" t="n">
        <v>9441897</v>
      </c>
      <c r="E13" s="56" t="n"/>
      <c r="F13" s="56" t="n"/>
      <c r="G13" s="56" t="n"/>
      <c r="H13" s="56" t="inlineStr">
        <is>
          <t>Activa</t>
        </is>
      </c>
      <c r="I13" s="56" t="inlineStr">
        <is>
          <t>Sobrepastoreo</t>
        </is>
      </c>
    </row>
    <row r="15">
      <c r="A15" s="54" t="inlineStr">
        <is>
          <t>F-DT-03 · ELENCO FLORÍSTICO</t>
        </is>
      </c>
    </row>
    <row r="16">
      <c r="A16" s="55" t="inlineStr">
        <is>
          <t>N.o</t>
        </is>
      </c>
      <c r="B16" s="55" t="inlineStr">
        <is>
          <t>Nombre común</t>
        </is>
      </c>
      <c r="C16" s="55" t="inlineStr">
        <is>
          <t>Nombre científico</t>
        </is>
      </c>
      <c r="D16" s="55" t="inlineStr">
        <is>
          <t>Familia</t>
        </is>
      </c>
      <c r="E16" s="55" t="inlineStr">
        <is>
          <t>Estrato</t>
        </is>
      </c>
      <c r="F16" s="55" t="inlineStr">
        <is>
          <t>Origen</t>
        </is>
      </c>
      <c r="G16" s="55" t="inlineStr">
        <is>
          <t>Abundancia</t>
        </is>
      </c>
      <c r="H16" s="55" t="inlineStr">
        <is>
          <t>DAP (cm)</t>
        </is>
      </c>
      <c r="I16" s="55" t="inlineStr">
        <is>
          <t>Altura (m)</t>
        </is>
      </c>
    </row>
    <row r="17">
      <c r="A17" s="56" t="inlineStr">
        <is>
          <t>1</t>
        </is>
      </c>
      <c r="B17" s="56" t="inlineStr">
        <is>
          <t>Palo Blanco</t>
        </is>
      </c>
      <c r="C17" s="56" t="inlineStr">
        <is>
          <t>Por determinar</t>
        </is>
      </c>
      <c r="D17" s="56" t="inlineStr">
        <is>
          <t>Por determinar</t>
        </is>
      </c>
      <c r="E17" s="56" t="inlineStr">
        <is>
          <t>Arbóreo medio (8-15 m)</t>
        </is>
      </c>
      <c r="F17" s="56" t="inlineStr">
        <is>
          <t>Nativa</t>
        </is>
      </c>
      <c r="G17" s="56" t="inlineStr">
        <is>
          <t>Ocasional (1-5%)</t>
        </is>
      </c>
      <c r="H17" s="56" t="n"/>
      <c r="I17" s="56" t="n"/>
    </row>
    <row r="18">
      <c r="A18" s="57" t="inlineStr">
        <is>
          <t>2</t>
        </is>
      </c>
      <c r="B18" s="57" t="inlineStr">
        <is>
          <t>Palo hoja Blanca</t>
        </is>
      </c>
      <c r="C18" s="57" t="inlineStr">
        <is>
          <t>Asteraceae (por confirmar)</t>
        </is>
      </c>
      <c r="D18" s="57" t="inlineStr">
        <is>
          <t>Asteraceae</t>
        </is>
      </c>
      <c r="E18" s="57" t="inlineStr">
        <is>
          <t>Arbustivo alto (1.5-4 m)</t>
        </is>
      </c>
      <c r="F18" s="57" t="inlineStr">
        <is>
          <t>Nativa</t>
        </is>
      </c>
      <c r="G18" s="57" t="inlineStr">
        <is>
          <t>Ocasional (1-5%)</t>
        </is>
      </c>
      <c r="H18" s="57" t="n"/>
      <c r="I18" s="57" t="n"/>
    </row>
    <row r="19">
      <c r="A19" s="56" t="inlineStr">
        <is>
          <t>3</t>
        </is>
      </c>
      <c r="B19" s="56" t="inlineStr">
        <is>
          <t>Chin Chin</t>
        </is>
      </c>
      <c r="C19" s="56" t="inlineStr">
        <is>
          <t>Por determinar</t>
        </is>
      </c>
      <c r="D19" s="56" t="inlineStr">
        <is>
          <t>Por determinar</t>
        </is>
      </c>
      <c r="E19" s="56" t="inlineStr">
        <is>
          <t>Arbustivo alto (1.5-4 m)</t>
        </is>
      </c>
      <c r="F19" s="56" t="inlineStr">
        <is>
          <t>Nativa</t>
        </is>
      </c>
      <c r="G19" s="56" t="inlineStr">
        <is>
          <t>Ocasional (1-5%)</t>
        </is>
      </c>
      <c r="H19" s="56" t="n"/>
      <c r="I19" s="56" t="n"/>
    </row>
    <row r="20">
      <c r="A20" s="57" t="inlineStr">
        <is>
          <t>4</t>
        </is>
      </c>
      <c r="B20" s="57" t="inlineStr">
        <is>
          <t>Chirimoyo silvestre</t>
        </is>
      </c>
      <c r="C20" s="57" t="inlineStr">
        <is>
          <t>Annona sp.</t>
        </is>
      </c>
      <c r="D20" s="57" t="inlineStr">
        <is>
          <t>Annonaceae</t>
        </is>
      </c>
      <c r="E20" s="57" t="inlineStr">
        <is>
          <t>Arbóreo bajo (4-8 m)</t>
        </is>
      </c>
      <c r="F20" s="57" t="inlineStr">
        <is>
          <t>Nativa</t>
        </is>
      </c>
      <c r="G20" s="57" t="inlineStr">
        <is>
          <t>Rara (&lt;1%)</t>
        </is>
      </c>
      <c r="H20" s="57" t="n"/>
      <c r="I20" s="57" t="n"/>
    </row>
    <row r="21">
      <c r="A21" s="56" t="inlineStr">
        <is>
          <t>5</t>
        </is>
      </c>
      <c r="B21" s="56" t="inlineStr">
        <is>
          <t>Pacae</t>
        </is>
      </c>
      <c r="C21" s="56" t="inlineStr">
        <is>
          <t>Inga sp.</t>
        </is>
      </c>
      <c r="D21" s="56" t="inlineStr">
        <is>
          <t>Fabaceae</t>
        </is>
      </c>
      <c r="E21" s="56" t="inlineStr">
        <is>
          <t>Arbóreo medio (8-15 m)</t>
        </is>
      </c>
      <c r="F21" s="56" t="inlineStr">
        <is>
          <t>Nativa</t>
        </is>
      </c>
      <c r="G21" s="56" t="inlineStr">
        <is>
          <t>Ocasional (1-5%)</t>
        </is>
      </c>
      <c r="H21" s="56" t="n"/>
      <c r="I21" s="56" t="n"/>
    </row>
    <row r="22">
      <c r="A22" s="57" t="inlineStr">
        <is>
          <t>6</t>
        </is>
      </c>
      <c r="B22" s="57" t="inlineStr">
        <is>
          <t>Chilca</t>
        </is>
      </c>
      <c r="C22" s="57" t="inlineStr">
        <is>
          <t>Baccharis sp.</t>
        </is>
      </c>
      <c r="D22" s="57" t="inlineStr">
        <is>
          <t>Asteraceae</t>
        </is>
      </c>
      <c r="E22" s="57" t="inlineStr">
        <is>
          <t>Arbustivo alto (1.5-4 m)</t>
        </is>
      </c>
      <c r="F22" s="57" t="inlineStr">
        <is>
          <t>Nativa</t>
        </is>
      </c>
      <c r="G22" s="57" t="inlineStr">
        <is>
          <t>Frecuente (5-20%)</t>
        </is>
      </c>
      <c r="H22" s="57" t="n"/>
      <c r="I22" s="57" t="n"/>
    </row>
    <row r="23">
      <c r="A23" s="56" t="inlineStr">
        <is>
          <t>7</t>
        </is>
      </c>
      <c r="B23" s="56" t="inlineStr">
        <is>
          <t>Tarwi silvestre</t>
        </is>
      </c>
      <c r="C23" s="56" t="inlineStr">
        <is>
          <t>Lupinus sp.</t>
        </is>
      </c>
      <c r="D23" s="56" t="inlineStr">
        <is>
          <t>Fabaceae</t>
        </is>
      </c>
      <c r="E23" s="56" t="inlineStr">
        <is>
          <t>Arbustivo bajo (0.5-1.5 m)</t>
        </is>
      </c>
      <c r="F23" s="56" t="inlineStr">
        <is>
          <t>Nativa</t>
        </is>
      </c>
      <c r="G23" s="56" t="inlineStr">
        <is>
          <t>Ocasional (1-5%)</t>
        </is>
      </c>
      <c r="H23" s="56" t="n"/>
      <c r="I23" s="56" t="n"/>
    </row>
    <row r="24">
      <c r="A24" s="57" t="inlineStr">
        <is>
          <t>8</t>
        </is>
      </c>
      <c r="B24" s="57" t="inlineStr">
        <is>
          <t>Pega Pega</t>
        </is>
      </c>
      <c r="C24" s="57" t="inlineStr">
        <is>
          <t>Por determinar</t>
        </is>
      </c>
      <c r="D24" s="57" t="inlineStr">
        <is>
          <t>Por determinar</t>
        </is>
      </c>
      <c r="E24" s="57" t="inlineStr">
        <is>
          <t>Arbustivo bajo (0.5-1.5 m)</t>
        </is>
      </c>
      <c r="F24" s="57" t="inlineStr">
        <is>
          <t>Nativa</t>
        </is>
      </c>
      <c r="G24" s="57" t="inlineStr">
        <is>
          <t>Ocasional (1-5%)</t>
        </is>
      </c>
      <c r="H24" s="57" t="n"/>
      <c r="I24" s="57" t="n"/>
    </row>
    <row r="25">
      <c r="A25" s="56" t="inlineStr">
        <is>
          <t>9</t>
        </is>
      </c>
      <c r="B25" s="56" t="inlineStr">
        <is>
          <t>Melastomatácea</t>
        </is>
      </c>
      <c r="C25" s="56" t="inlineStr">
        <is>
          <t>Melastomataceae (indet.)</t>
        </is>
      </c>
      <c r="D25" s="56" t="inlineStr">
        <is>
          <t>Melastomataceae</t>
        </is>
      </c>
      <c r="E25" s="56" t="inlineStr">
        <is>
          <t>Arbustivo alto (1.5-4 m)</t>
        </is>
      </c>
      <c r="F25" s="56" t="inlineStr">
        <is>
          <t>Nativa</t>
        </is>
      </c>
      <c r="G25" s="56" t="inlineStr">
        <is>
          <t>Frecuente (5-20%)</t>
        </is>
      </c>
      <c r="H25" s="56" t="n"/>
      <c r="I25" s="56" t="n"/>
    </row>
    <row r="26">
      <c r="A26" s="57" t="inlineStr">
        <is>
          <t>10</t>
        </is>
      </c>
      <c r="B26" s="57" t="inlineStr">
        <is>
          <t>Helechos</t>
        </is>
      </c>
      <c r="C26" s="57" t="inlineStr">
        <is>
          <t>Pteridophyta (indet.)</t>
        </is>
      </c>
      <c r="D26" s="57" t="inlineStr">
        <is>
          <t>Pteridophyta</t>
        </is>
      </c>
      <c r="E26" s="57" t="inlineStr">
        <is>
          <t>Herbáceo (&lt;0.5 m)</t>
        </is>
      </c>
      <c r="F26" s="57" t="inlineStr">
        <is>
          <t>Nativa</t>
        </is>
      </c>
      <c r="G26" s="57" t="inlineStr">
        <is>
          <t>Frecuente (5-20%)</t>
        </is>
      </c>
      <c r="H26" s="57" t="n"/>
      <c r="I26" s="57" t="n"/>
    </row>
    <row r="27">
      <c r="A27" s="56" t="inlineStr">
        <is>
          <t>11</t>
        </is>
      </c>
      <c r="B27" s="56" t="inlineStr">
        <is>
          <t>Bromelias</t>
        </is>
      </c>
      <c r="C27" s="56" t="inlineStr">
        <is>
          <t>Bromeliaceae (indet.)</t>
        </is>
      </c>
      <c r="D27" s="56" t="inlineStr">
        <is>
          <t>Bromeliaceae</t>
        </is>
      </c>
      <c r="E27" s="56" t="inlineStr">
        <is>
          <t>Epífito</t>
        </is>
      </c>
      <c r="F27" s="56" t="inlineStr">
        <is>
          <t>Nativa</t>
        </is>
      </c>
      <c r="G27" s="56" t="inlineStr">
        <is>
          <t>Ocasional (1-5%)</t>
        </is>
      </c>
      <c r="H27" s="56" t="n"/>
      <c r="I27" s="56" t="n"/>
    </row>
    <row r="28">
      <c r="A28" s="57" t="inlineStr">
        <is>
          <t>12</t>
        </is>
      </c>
      <c r="B28" s="57" t="inlineStr">
        <is>
          <t>Cactácea</t>
        </is>
      </c>
      <c r="C28" s="57" t="inlineStr">
        <is>
          <t>Cactaceae (indet.)</t>
        </is>
      </c>
      <c r="D28" s="57" t="inlineStr">
        <is>
          <t>Cactaceae</t>
        </is>
      </c>
      <c r="E28" s="57" t="inlineStr">
        <is>
          <t>Arbustivo bajo (0.5-1.5 m)</t>
        </is>
      </c>
      <c r="F28" s="57" t="inlineStr">
        <is>
          <t>Nativa</t>
        </is>
      </c>
      <c r="G28" s="57" t="inlineStr">
        <is>
          <t>Rara (&lt;1%)</t>
        </is>
      </c>
      <c r="H28" s="57" t="n"/>
      <c r="I28" s="57" t="n"/>
    </row>
    <row r="29">
      <c r="A29" s="56" t="inlineStr">
        <is>
          <t>13</t>
        </is>
      </c>
      <c r="B29" s="56" t="inlineStr">
        <is>
          <t>Grevilea</t>
        </is>
      </c>
      <c r="C29" s="56" t="inlineStr">
        <is>
          <t>Grevillea robusta</t>
        </is>
      </c>
      <c r="D29" s="56" t="inlineStr">
        <is>
          <t>Proteaceae</t>
        </is>
      </c>
      <c r="E29" s="56" t="inlineStr">
        <is>
          <t>Arbóreo superior (&gt;15 m)</t>
        </is>
      </c>
      <c r="F29" s="56" t="inlineStr">
        <is>
          <t>Introducida</t>
        </is>
      </c>
      <c r="G29" s="56" t="inlineStr">
        <is>
          <t>Ocasional (1-5%)</t>
        </is>
      </c>
      <c r="H29" s="56" t="n"/>
      <c r="I29" s="56" t="n"/>
    </row>
    <row r="30">
      <c r="A30" s="57" t="inlineStr">
        <is>
          <t>14</t>
        </is>
      </c>
      <c r="B30" s="57" t="inlineStr">
        <is>
          <t>Eucalipto</t>
        </is>
      </c>
      <c r="C30" s="57" t="inlineStr">
        <is>
          <t>Eucalyptus globulus</t>
        </is>
      </c>
      <c r="D30" s="57" t="inlineStr">
        <is>
          <t>Myrtaceae</t>
        </is>
      </c>
      <c r="E30" s="57" t="inlineStr">
        <is>
          <t>Arbóreo superior (&gt;15 m)</t>
        </is>
      </c>
      <c r="F30" s="57" t="inlineStr">
        <is>
          <t>Introducida</t>
        </is>
      </c>
      <c r="G30" s="57" t="inlineStr">
        <is>
          <t>Frecuente (5-20%)</t>
        </is>
      </c>
      <c r="H30" s="57" t="n"/>
      <c r="I30" s="57" t="n"/>
    </row>
    <row r="31">
      <c r="A31" s="56" t="inlineStr">
        <is>
          <t>15</t>
        </is>
      </c>
      <c r="B31" s="56" t="inlineStr">
        <is>
          <t>Agave</t>
        </is>
      </c>
      <c r="C31" s="56" t="inlineStr">
        <is>
          <t>Agave americana</t>
        </is>
      </c>
      <c r="D31" s="56" t="inlineStr">
        <is>
          <t>Asparagaceae</t>
        </is>
      </c>
      <c r="E31" s="56" t="inlineStr">
        <is>
          <t>Arbustivo alto (1.5-4 m)</t>
        </is>
      </c>
      <c r="F31" s="56" t="inlineStr">
        <is>
          <t>Introducida</t>
        </is>
      </c>
      <c r="G31" s="56" t="inlineStr">
        <is>
          <t>Ocasional (1-5%)</t>
        </is>
      </c>
      <c r="H31" s="56" t="n"/>
      <c r="I31" s="56" t="n"/>
    </row>
    <row r="33">
      <c r="A33" s="54" t="inlineStr">
        <is>
          <t>F-DT-03 · ESPECIES CLAVE GEORREFERENCIADAS</t>
        </is>
      </c>
    </row>
    <row r="34">
      <c r="A34" s="55" t="inlineStr">
        <is>
          <t>N.o</t>
        </is>
      </c>
      <c r="B34" s="55" t="inlineStr">
        <is>
          <t>Especie</t>
        </is>
      </c>
      <c r="C34" s="55" t="inlineStr">
        <is>
          <t>Categoría</t>
        </is>
      </c>
      <c r="D34" s="55" t="inlineStr">
        <is>
          <t>Estado UICN</t>
        </is>
      </c>
      <c r="E34" s="55" t="inlineStr">
        <is>
          <t>UTM ESTE</t>
        </is>
      </c>
      <c r="F34" s="55" t="inlineStr">
        <is>
          <t>UTM NORTE</t>
        </is>
      </c>
      <c r="G34" s="55" t="inlineStr">
        <is>
          <t>N.° individuos</t>
        </is>
      </c>
      <c r="H34" s="55" t="inlineStr">
        <is>
          <t>Observación</t>
        </is>
      </c>
    </row>
    <row r="35">
      <c r="A35" s="56" t="inlineStr">
        <is>
          <t>1</t>
        </is>
      </c>
      <c r="B35" s="56" t="inlineStr">
        <is>
          <t>Pacae (Inga sp.)</t>
        </is>
      </c>
      <c r="C35" s="56" t="inlineStr">
        <is>
          <t>Indicadora de buen estado</t>
        </is>
      </c>
      <c r="D35" s="56" t="inlineStr">
        <is>
          <t>NE — No Evaluado</t>
        </is>
      </c>
      <c r="E35" s="56" t="n"/>
      <c r="F35" s="56" t="n"/>
      <c r="G35" s="56" t="n"/>
      <c r="H35" s="56" t="inlineStr">
        <is>
          <t>Leguminosa fijadora de N; indicadora de humedad</t>
        </is>
      </c>
    </row>
    <row r="36">
      <c r="A36" s="57" t="inlineStr">
        <is>
          <t>2</t>
        </is>
      </c>
      <c r="B36" s="57" t="inlineStr">
        <is>
          <t>Chirimoyo silvestre (Annona sp.)</t>
        </is>
      </c>
      <c r="C36" s="57" t="inlineStr">
        <is>
          <t>Clave cultural</t>
        </is>
      </c>
      <c r="D36" s="57" t="inlineStr">
        <is>
          <t>NE — No Evaluado</t>
        </is>
      </c>
      <c r="E36" s="57" t="n"/>
      <c r="F36" s="57" t="n"/>
      <c r="G36" s="57" t="n"/>
      <c r="H36" s="57" t="inlineStr">
        <is>
          <t>Uso local; determinación por confirmar</t>
        </is>
      </c>
    </row>
    <row r="37">
      <c r="A37" s="56" t="inlineStr">
        <is>
          <t>3</t>
        </is>
      </c>
      <c r="B37" s="56" t="inlineStr">
        <is>
          <t>Tarwi silvestre (Lupinus sp.)</t>
        </is>
      </c>
      <c r="C37" s="56" t="inlineStr">
        <is>
          <t>Indicadora de buen estado</t>
        </is>
      </c>
      <c r="D37" s="56" t="inlineStr">
        <is>
          <t>NE — No Evaluado</t>
        </is>
      </c>
      <c r="E37" s="56" t="n"/>
      <c r="F37" s="56" t="n"/>
      <c r="G37" s="56" t="n"/>
      <c r="H37" s="56" t="inlineStr">
        <is>
          <t>Leguminosa fijadora de N</t>
        </is>
      </c>
    </row>
    <row r="38">
      <c r="A38" s="57" t="inlineStr">
        <is>
          <t>4</t>
        </is>
      </c>
      <c r="B38" s="57" t="inlineStr">
        <is>
          <t>Helechos (Pteridophyta)</t>
        </is>
      </c>
      <c r="C38" s="57" t="inlineStr">
        <is>
          <t>Indicadora de buen estado</t>
        </is>
      </c>
      <c r="D38" s="57" t="inlineStr">
        <is>
          <t>No aplica</t>
        </is>
      </c>
      <c r="E38" s="57" t="n"/>
      <c r="F38" s="57" t="n"/>
      <c r="G38" s="57" t="n"/>
      <c r="H38" s="57" t="inlineStr">
        <is>
          <t>Indicador de humedad del sotobosque</t>
        </is>
      </c>
    </row>
    <row r="39">
      <c r="A39" s="56" t="inlineStr">
        <is>
          <t>5</t>
        </is>
      </c>
      <c r="B39" s="56" t="inlineStr">
        <is>
          <t>Bromeliáceas epífitas</t>
        </is>
      </c>
      <c r="C39" s="56" t="inlineStr">
        <is>
          <t>Indicadora de buen estado</t>
        </is>
      </c>
      <c r="D39" s="56" t="inlineStr">
        <is>
          <t>No aplica</t>
        </is>
      </c>
      <c r="E39" s="56" t="n"/>
      <c r="F39" s="56" t="n"/>
      <c r="G39" s="56" t="n"/>
      <c r="H39" s="56" t="inlineStr">
        <is>
          <t>Indicador de humedad ambiental</t>
        </is>
      </c>
    </row>
    <row r="41">
      <c r="A41" s="54" t="inlineStr">
        <is>
          <t>F-DT-04 · MATRIZ DE CAUSAS DE DEGRADACIÓN</t>
        </is>
      </c>
    </row>
    <row r="42">
      <c r="A42" s="55" t="inlineStr">
        <is>
          <t>N.o</t>
        </is>
      </c>
      <c r="B42" s="55" t="inlineStr">
        <is>
          <t>Causa</t>
        </is>
      </c>
      <c r="C42" s="55" t="inlineStr">
        <is>
          <t>Presencia</t>
        </is>
      </c>
      <c r="D42" s="55" t="inlineStr">
        <is>
          <t>Intensidad</t>
        </is>
      </c>
      <c r="E42" s="55" t="inlineStr">
        <is>
          <t>Extensión</t>
        </is>
      </c>
      <c r="F42" s="55" t="inlineStr">
        <is>
          <t>Antigüedad</t>
        </is>
      </c>
      <c r="G42" s="55" t="inlineStr">
        <is>
          <t>Evidencia</t>
        </is>
      </c>
    </row>
    <row r="43">
      <c r="A43" s="56" t="inlineStr">
        <is>
          <t>1</t>
        </is>
      </c>
      <c r="B43" s="56" t="inlineStr">
        <is>
          <t>Sobrepastoreo (caprino/vacuno)</t>
        </is>
      </c>
      <c r="C43" s="56" t="inlineStr">
        <is>
          <t>Sí</t>
        </is>
      </c>
      <c r="D43" s="56" t="inlineStr">
        <is>
          <t>Moderada</t>
        </is>
      </c>
      <c r="E43" s="56" t="inlineStr">
        <is>
          <t>≈35%</t>
        </is>
      </c>
      <c r="F43" s="56" t="inlineStr">
        <is>
          <t>Por determinar</t>
        </is>
      </c>
      <c r="G43" s="56" t="inlineStr">
        <is>
          <t>Ganado vacuno en pastizal de ladera y pisoteo en borde de escarpe (F-17, F-16)</t>
        </is>
      </c>
    </row>
    <row r="44">
      <c r="A44" s="57" t="inlineStr">
        <is>
          <t>2</t>
        </is>
      </c>
      <c r="B44" s="57" t="inlineStr">
        <is>
          <t>Tala para leña</t>
        </is>
      </c>
      <c r="C44" s="57" t="inlineStr"/>
      <c r="D44" s="57" t="inlineStr"/>
      <c r="E44" s="57" t="inlineStr"/>
      <c r="F44" s="57" t="inlineStr"/>
      <c r="G44" s="57" t="inlineStr">
        <is>
          <t>Tala para leña: no se observó evidencia directa en el recorrido; por verificar</t>
        </is>
      </c>
    </row>
    <row r="45">
      <c r="A45" s="56" t="inlineStr">
        <is>
          <t>3</t>
        </is>
      </c>
      <c r="B45" s="56" t="inlineStr">
        <is>
          <t>Tala para carbón</t>
        </is>
      </c>
      <c r="C45" s="56" t="inlineStr"/>
      <c r="D45" s="56" t="inlineStr"/>
      <c r="E45" s="56" t="inlineStr"/>
      <c r="F45" s="56" t="inlineStr"/>
      <c r="G45" s="56" t="inlineStr"/>
    </row>
    <row r="46">
      <c r="A46" s="57" t="inlineStr">
        <is>
          <t>4</t>
        </is>
      </c>
      <c r="B46" s="57" t="inlineStr">
        <is>
          <t>Tala para madera</t>
        </is>
      </c>
      <c r="C46" s="57" t="inlineStr"/>
      <c r="D46" s="57" t="inlineStr"/>
      <c r="E46" s="57" t="inlineStr"/>
      <c r="F46" s="57" t="inlineStr"/>
      <c r="G46" s="57" t="inlineStr"/>
    </row>
    <row r="47">
      <c r="A47" s="56" t="inlineStr">
        <is>
          <t>5</t>
        </is>
      </c>
      <c r="B47" s="56" t="inlineStr">
        <is>
          <t>Quema (renovación de pastos)</t>
        </is>
      </c>
      <c r="C47" s="56" t="inlineStr">
        <is>
          <t>No</t>
        </is>
      </c>
      <c r="D47" s="56" t="inlineStr">
        <is>
          <t>Nula</t>
        </is>
      </c>
      <c r="E47" s="56" t="inlineStr"/>
      <c r="F47" s="56" t="inlineStr"/>
      <c r="G47" s="56" t="inlineStr">
        <is>
          <t>No se observó evidencia de quema reciente</t>
        </is>
      </c>
    </row>
    <row r="48">
      <c r="A48" s="57" t="inlineStr">
        <is>
          <t>6</t>
        </is>
      </c>
      <c r="B48" s="57" t="inlineStr">
        <is>
          <t>Quema accidental / Incendio</t>
        </is>
      </c>
      <c r="C48" s="57" t="inlineStr"/>
      <c r="D48" s="57" t="inlineStr"/>
      <c r="E48" s="57" t="inlineStr"/>
      <c r="F48" s="57" t="inlineStr"/>
      <c r="G48" s="57" t="inlineStr"/>
    </row>
    <row r="49">
      <c r="A49" s="56" t="inlineStr">
        <is>
          <t>7</t>
        </is>
      </c>
      <c r="B49" s="56" t="inlineStr">
        <is>
          <t>Cambio de uso a agricultura</t>
        </is>
      </c>
      <c r="C49" s="56" t="inlineStr">
        <is>
          <t>Sí</t>
        </is>
      </c>
      <c r="D49" s="56" t="inlineStr">
        <is>
          <t>Moderada</t>
        </is>
      </c>
      <c r="E49" s="56" t="inlineStr">
        <is>
          <t>≈40%</t>
        </is>
      </c>
      <c r="F49" s="56" t="inlineStr">
        <is>
          <t>Por determinar</t>
        </is>
      </c>
      <c r="G49" s="56" t="inlineStr">
        <is>
          <t>Zona agrícola MINAM 5,427 ha; parcelas de maíz visibles en el valle contiguo (F-03)</t>
        </is>
      </c>
    </row>
    <row r="50">
      <c r="A50" s="57" t="inlineStr">
        <is>
          <t>8</t>
        </is>
      </c>
      <c r="B50" s="57" t="inlineStr">
        <is>
          <t>Cambio de uso a pastoreo</t>
        </is>
      </c>
      <c r="C50" s="57" t="inlineStr">
        <is>
          <t>Sí</t>
        </is>
      </c>
      <c r="D50" s="57" t="inlineStr">
        <is>
          <t>Moderada</t>
        </is>
      </c>
      <c r="E50" s="57" t="inlineStr">
        <is>
          <t>≈35%</t>
        </is>
      </c>
      <c r="F50" s="57" t="inlineStr">
        <is>
          <t>Por determinar</t>
        </is>
      </c>
      <c r="G50" s="57" t="inlineStr">
        <is>
          <t>Pastos cultivados dominantes en laderas medias (F-05, F-16, F-17)</t>
        </is>
      </c>
    </row>
    <row r="51">
      <c r="A51" s="56" t="inlineStr">
        <is>
          <t>9</t>
        </is>
      </c>
      <c r="B51" s="56" t="inlineStr">
        <is>
          <t>Expansión urbana / vial</t>
        </is>
      </c>
      <c r="C51" s="56" t="inlineStr">
        <is>
          <t>Sí</t>
        </is>
      </c>
      <c r="D51" s="56" t="inlineStr">
        <is>
          <t>Fuerte</t>
        </is>
      </c>
      <c r="E51" s="56" t="inlineStr">
        <is>
          <t>≈15%</t>
        </is>
      </c>
      <c r="F51" s="56" t="inlineStr">
        <is>
          <t>Por determinar</t>
        </is>
      </c>
      <c r="G51" s="56" t="inlineStr">
        <is>
          <t>Vía nacional afirmada (hito PE-1NR km 120) atraviesa el bloque; taludes de corte inestables y material de préstamo (F-01, F-10, F-11, F-15)</t>
        </is>
      </c>
    </row>
    <row r="52">
      <c r="A52" s="57" t="inlineStr">
        <is>
          <t>10</t>
        </is>
      </c>
      <c r="B52" s="57" t="inlineStr">
        <is>
          <t>Minería informal</t>
        </is>
      </c>
      <c r="C52" s="57" t="inlineStr"/>
      <c r="D52" s="57" t="inlineStr"/>
      <c r="E52" s="57" t="inlineStr"/>
      <c r="F52" s="57" t="inlineStr"/>
      <c r="G52" s="57" t="inlineStr"/>
    </row>
    <row r="53">
      <c r="A53" s="56" t="inlineStr">
        <is>
          <t>11</t>
        </is>
      </c>
      <c r="B53" s="56" t="inlineStr">
        <is>
          <t>Extracción de áridos (cauces)</t>
        </is>
      </c>
      <c r="C53" s="56" t="inlineStr">
        <is>
          <t>Sí</t>
        </is>
      </c>
      <c r="D53" s="56" t="inlineStr">
        <is>
          <t>Moderada</t>
        </is>
      </c>
      <c r="E53" s="56" t="inlineStr">
        <is>
          <t>≈5%</t>
        </is>
      </c>
      <c r="F53" s="56" t="inlineStr">
        <is>
          <t>Por determinar</t>
        </is>
      </c>
      <c r="G53" s="56" t="inlineStr">
        <is>
          <t>CANTERA DE ARENA activa dentro/colindante al bloque, 631 205 E · 9 441 786 N (F-12, F-13)</t>
        </is>
      </c>
    </row>
    <row r="54">
      <c r="A54" s="57" t="inlineStr">
        <is>
          <t>12</t>
        </is>
      </c>
      <c r="B54" s="57" t="inlineStr">
        <is>
          <t>Especies invasoras</t>
        </is>
      </c>
      <c r="C54" s="57" t="inlineStr">
        <is>
          <t>Sí</t>
        </is>
      </c>
      <c r="D54" s="57" t="inlineStr">
        <is>
          <t>Ligera</t>
        </is>
      </c>
      <c r="E54" s="57" t="inlineStr">
        <is>
          <t>≈10%</t>
        </is>
      </c>
      <c r="F54" s="57" t="inlineStr">
        <is>
          <t>Por determinar</t>
        </is>
      </c>
      <c r="G54" s="57" t="inlineStr">
        <is>
          <t>Plantaciones exóticas: pino (F-15), eucalipto (F-16); Grevilea y Agave según lista florística</t>
        </is>
      </c>
    </row>
    <row r="55">
      <c r="A55" s="56" t="inlineStr">
        <is>
          <t>13</t>
        </is>
      </c>
      <c r="B55" s="56" t="inlineStr">
        <is>
          <t>Erosión natural severa</t>
        </is>
      </c>
      <c r="C55" s="56" t="inlineStr">
        <is>
          <t>Sí</t>
        </is>
      </c>
      <c r="D55" s="56" t="inlineStr">
        <is>
          <t>Muy fuerte</t>
        </is>
      </c>
      <c r="E55" s="56" t="inlineStr">
        <is>
          <t>≈20%</t>
        </is>
      </c>
      <c r="F55" s="56" t="inlineStr">
        <is>
          <t>Por determinar</t>
        </is>
      </c>
      <c r="G55" s="56" t="inlineStr">
        <is>
          <t>Escarpes de deslizamiento y cárcavas activas sobre sustrato areno-limoso poco consolidado (F-04, F-06, F-08, F-13)</t>
        </is>
      </c>
    </row>
    <row r="56">
      <c r="A56" s="57" t="inlineStr">
        <is>
          <t>14</t>
        </is>
      </c>
      <c r="B56" s="57" t="inlineStr">
        <is>
          <t>Sequía prolongada / CC</t>
        </is>
      </c>
      <c r="C56" s="57" t="inlineStr"/>
      <c r="D56" s="57" t="inlineStr"/>
      <c r="E56" s="57" t="inlineStr"/>
      <c r="F56" s="57" t="inlineStr"/>
      <c r="G56" s="57" t="inlineStr">
        <is>
          <t>Sequía prolongada / CC: sin registro de campo; por verificar con SENAMHI</t>
        </is>
      </c>
    </row>
    <row r="57">
      <c r="A57" s="56" t="inlineStr">
        <is>
          <t>15</t>
        </is>
      </c>
      <c r="B57" s="56" t="inlineStr">
        <is>
          <t>Plagas o enfermedades forestales</t>
        </is>
      </c>
      <c r="C57" s="56" t="inlineStr"/>
      <c r="D57" s="56" t="inlineStr"/>
      <c r="E57" s="56" t="inlineStr"/>
      <c r="F57" s="56" t="inlineStr"/>
      <c r="G57" s="56" t="inlineStr"/>
    </row>
    <row r="58">
      <c r="A58" s="57" t="inlineStr">
        <is>
          <t>16</t>
        </is>
      </c>
      <c r="B58" s="57" t="inlineStr">
        <is>
          <t>Otro</t>
        </is>
      </c>
      <c r="C58" s="57" t="inlineStr"/>
      <c r="D58" s="57" t="inlineStr"/>
      <c r="E58" s="57" t="inlineStr"/>
      <c r="F58" s="57" t="inlineStr"/>
      <c r="G58" s="57" t="inlineStr"/>
    </row>
    <row r="60">
      <c r="A60" s="54" t="inlineStr">
        <is>
          <t>F-DT-04 · INDICADORES CUANTITATIVOS</t>
        </is>
      </c>
    </row>
    <row r="61">
      <c r="A61" s="55" t="inlineStr">
        <is>
          <t>N.o</t>
        </is>
      </c>
      <c r="B61" s="55" t="inlineStr">
        <is>
          <t>Indicador</t>
        </is>
      </c>
      <c r="C61" s="55" t="inlineStr">
        <is>
          <t>Unidad</t>
        </is>
      </c>
      <c r="D61" s="55" t="inlineStr">
        <is>
          <t>Valor</t>
        </is>
      </c>
      <c r="E61" s="55" t="inlineStr">
        <is>
          <t>Fuente</t>
        </is>
      </c>
      <c r="F61" s="55" t="inlineStr">
        <is>
          <t>Umbral</t>
        </is>
      </c>
      <c r="G61" s="55" t="inlineStr">
        <is>
          <t>Nivel</t>
        </is>
      </c>
    </row>
    <row r="62">
      <c r="A62" s="56" t="inlineStr">
        <is>
          <t>1</t>
        </is>
      </c>
      <c r="B62" s="56" t="inlineStr">
        <is>
          <t>Cobertura vegetal total</t>
        </is>
      </c>
      <c r="C62" s="56" t="inlineStr">
        <is>
          <t>%</t>
        </is>
      </c>
      <c r="D62" s="56" t="inlineStr">
        <is>
          <t>≈65</t>
        </is>
      </c>
      <c r="E62" s="56" t="inlineStr">
        <is>
          <t>MSAVI 2024 + estimación ocular</t>
        </is>
      </c>
      <c r="F62" s="56" t="inlineStr">
        <is>
          <t>&gt;60% bueno; 30-60% medio; &lt;30% malo</t>
        </is>
      </c>
      <c r="G62" s="56" t="inlineStr">
        <is>
          <t>Alto</t>
        </is>
      </c>
    </row>
    <row r="63">
      <c r="A63" s="57" t="inlineStr">
        <is>
          <t>2</t>
        </is>
      </c>
      <c r="B63" s="57" t="inlineStr">
        <is>
          <t>Porcentaje de suelo desnudo</t>
        </is>
      </c>
      <c r="C63" s="57" t="inlineStr">
        <is>
          <t>%</t>
        </is>
      </c>
      <c r="D63" s="57" t="inlineStr">
        <is>
          <t>≈20</t>
        </is>
      </c>
      <c r="E63" s="57" t="inlineStr">
        <is>
          <t>Estimación ocular de campo</t>
        </is>
      </c>
      <c r="F63" s="57" t="inlineStr">
        <is>
          <t>&lt;10% bueno; 10-30% medio; &gt;30% malo</t>
        </is>
      </c>
      <c r="G63" s="57" t="inlineStr">
        <is>
          <t>Medio</t>
        </is>
      </c>
    </row>
    <row r="64">
      <c r="A64" s="56" t="inlineStr">
        <is>
          <t>3</t>
        </is>
      </c>
      <c r="B64" s="56" t="inlineStr">
        <is>
          <t>Densidad de cárcavas</t>
        </is>
      </c>
      <c r="C64" s="56" t="inlineStr">
        <is>
          <t>N°/ha</t>
        </is>
      </c>
      <c r="D64" s="56" t="inlineStr">
        <is>
          <t>Por determinar</t>
        </is>
      </c>
      <c r="E64" s="56" t="inlineStr">
        <is>
          <t>No cuantificado en campo</t>
        </is>
      </c>
      <c r="F64" s="56" t="inlineStr">
        <is>
          <t>0 nulo; 1-3 medio; &gt;3 alto</t>
        </is>
      </c>
      <c r="G64" s="56" t="inlineStr"/>
    </row>
    <row r="65">
      <c r="A65" s="57" t="inlineStr">
        <is>
          <t>4</t>
        </is>
      </c>
      <c r="B65" s="57" t="inlineStr">
        <is>
          <t>Presencia de especies invasoras</t>
        </is>
      </c>
      <c r="C65" s="57" t="inlineStr">
        <is>
          <t>% área</t>
        </is>
      </c>
      <c r="D65" s="57" t="inlineStr">
        <is>
          <t>≈10</t>
        </is>
      </c>
      <c r="E65" s="57" t="inlineStr">
        <is>
          <t>Estimación ocular (pino, eucalipto, grevilea, agave)</t>
        </is>
      </c>
      <c r="F65" s="57" t="inlineStr">
        <is>
          <t>&lt;5% bueno; 5-20% medio; &gt;20% alto</t>
        </is>
      </c>
      <c r="G65" s="57" t="inlineStr">
        <is>
          <t>Medio</t>
        </is>
      </c>
    </row>
    <row r="66">
      <c r="A66" s="56" t="inlineStr">
        <is>
          <t>5</t>
        </is>
      </c>
      <c r="B66" s="56" t="inlineStr">
        <is>
          <t>Carga ganadera estimada</t>
        </is>
      </c>
      <c r="C66" s="56" t="inlineStr">
        <is>
          <t>UA/ha</t>
        </is>
      </c>
      <c r="D66" s="56" t="inlineStr">
        <is>
          <t>Por determinar</t>
        </is>
      </c>
      <c r="E66" s="56" t="inlineStr">
        <is>
          <t>No cuantificada</t>
        </is>
      </c>
      <c r="F66" s="56" t="inlineStr">
        <is>
          <t>Según tipo de ecosistema</t>
        </is>
      </c>
      <c r="G66" s="56" t="inlineStr"/>
    </row>
    <row r="67">
      <c r="A67" s="57" t="inlineStr">
        <is>
          <t>6</t>
        </is>
      </c>
      <c r="B67" s="57" t="inlineStr">
        <is>
          <t>Frecuencia de quemas últimos 5 años</t>
        </is>
      </c>
      <c r="C67" s="57" t="inlineStr">
        <is>
          <t>N°</t>
        </is>
      </c>
      <c r="D67" s="57" t="inlineStr">
        <is>
          <t>Por determinar</t>
        </is>
      </c>
      <c r="E67" s="57" t="inlineStr">
        <is>
          <t>No registrada</t>
        </is>
      </c>
      <c r="F67" s="57" t="inlineStr">
        <is>
          <t>0 nulo; 1-2 medio; &gt;2 alto</t>
        </is>
      </c>
      <c r="G67" s="57" t="inlineStr"/>
    </row>
    <row r="68">
      <c r="A68" s="56" t="inlineStr">
        <is>
          <t>7</t>
        </is>
      </c>
      <c r="B68" s="56" t="inlineStr">
        <is>
          <t>% área con pendiente &gt;50%</t>
        </is>
      </c>
      <c r="C68" s="56" t="inlineStr">
        <is>
          <t>%</t>
        </is>
      </c>
      <c r="D68" s="56" t="inlineStr">
        <is>
          <t>Por determinar</t>
        </is>
      </c>
      <c r="E68" s="56" t="inlineStr">
        <is>
          <t>Requiere análisis DEM; perfil Google Earth: pendiente máx. 45,4 %</t>
        </is>
      </c>
      <c r="F68" s="56" t="inlineStr">
        <is>
          <t>Factor de susceptibilidad</t>
        </is>
      </c>
      <c r="G68" s="56" t="inlineStr"/>
    </row>
    <row r="69">
      <c r="A69" s="57" t="inlineStr">
        <is>
          <t>8</t>
        </is>
      </c>
      <c r="B69" s="57" t="inlineStr">
        <is>
          <t>Distancia a vía vecinal más cercana</t>
        </is>
      </c>
      <c r="C69" s="57" t="inlineStr">
        <is>
          <t>m</t>
        </is>
      </c>
      <c r="D69" s="57" t="inlineStr">
        <is>
          <t>0</t>
        </is>
      </c>
      <c r="E69" s="57" t="inlineStr">
        <is>
          <t>Vía nacional afirmada atraviesa el bloque</t>
        </is>
      </c>
      <c r="F69" s="57" t="inlineStr">
        <is>
          <t>A menor distancia → mayor presión</t>
        </is>
      </c>
      <c r="G69" s="57" t="inlineStr">
        <is>
          <t>Alto</t>
        </is>
      </c>
    </row>
    <row r="71">
      <c r="A71" s="54" t="inlineStr">
        <is>
          <t>F-DT-05 · FUENTES DE AGUA INVENTARIADAS</t>
        </is>
      </c>
    </row>
    <row r="72">
      <c r="A72" s="55" t="inlineStr">
        <is>
          <t>N.o</t>
        </is>
      </c>
      <c r="B72" s="55" t="inlineStr">
        <is>
          <t>Tipo de fuente</t>
        </is>
      </c>
      <c r="C72" s="55" t="inlineStr">
        <is>
          <t>UTM ESTE</t>
        </is>
      </c>
      <c r="D72" s="55" t="inlineStr">
        <is>
          <t>UTM NORTE</t>
        </is>
      </c>
      <c r="E72" s="55" t="inlineStr">
        <is>
          <t>Régimen</t>
        </is>
      </c>
      <c r="F72" s="55" t="inlineStr">
        <is>
          <t>Calidad</t>
        </is>
      </c>
      <c r="G72" s="55" t="inlineStr">
        <is>
          <t>Distancia (m)</t>
        </is>
      </c>
      <c r="H72" s="55" t="inlineStr">
        <is>
          <t>Uso / observación</t>
        </is>
      </c>
    </row>
    <row r="73">
      <c r="A73" s="56" t="inlineStr">
        <is>
          <t>1</t>
        </is>
      </c>
      <c r="B73" s="56" t="inlineStr">
        <is>
          <t>Quebrada estacional</t>
        </is>
      </c>
      <c r="C73" s="61" t="n">
        <v>631100</v>
      </c>
      <c r="D73" s="61" t="n">
        <v>9441500</v>
      </c>
      <c r="E73" s="56" t="inlineStr"/>
      <c r="F73" s="56" t="inlineStr"/>
      <c r="G73" s="56" t="n"/>
      <c r="H73" s="56" t="inlineStr">
        <is>
          <t>Quebrada tributaria que bordea el bloque por el O/S (cartografía Google Earth). Tipo, régimen y calidad aparente POR VERIFICAR: no fue inspeccionada en el recorrido. Coordenada aproximada.</t>
        </is>
      </c>
    </row>
    <row r="76">
      <c r="A76" s="54" t="inlineStr">
        <is>
          <t>OBSERVACIONES DEL EVALUADOR POR FICHA</t>
        </is>
      </c>
    </row>
    <row r="77">
      <c r="A77" s="55" t="inlineStr">
        <is>
          <t>Ficha</t>
        </is>
      </c>
      <c r="B77" s="55" t="inlineStr">
        <is>
          <t>Observación registrada en campo</t>
        </is>
      </c>
    </row>
    <row r="78">
      <c r="A78" s="56" t="inlineStr">
        <is>
          <t>F-DT-01</t>
        </is>
      </c>
      <c r="B78" s="56" t="inlineStr">
        <is>
          <t>Fuente de datos maestros: catálogo Bloques_V5 / Bloques V4 (VLOOKUP). Centroide oficial del bloque: 631 195 E · 9 441 777 N (UTM WGS84 17S). Superficie 13.554 ha. | Rango altitudinal tomado del perfil de elevación Google Earth del recorrido (2 045 – 2 173 msnm; media 2 104 msnm); la ALTITUD GPS instrumental NO fue registrada. | Pendiente: perfil Google Earth reporta media 30,6 % y máxima 45,4 %, consistente con el rango 25-50 %. | DISCREPANCIA DOCUMENTADA: la herramienta Regla (Ruta) reporta 359,30 m planimétricos mientras el perfil de elevación reporta 418 m (longitud 3D sobre el terreno); ambos valores se conservan sin corregir. | Exposición Suroeste: JUICIO EXPERTO derivado del perfil (el terreno asciende hacia el NE); requiere confirmación con DEM. | "Reptación de suelo" se deja SIN DATO: no fue verificada en campo. | Afloramientos: sustrato areno-limoso/arenisca poco consolidada expuesta en taludes y cantera (F-01, F-12). | Remociones en masa activas: SÍ, deslizamiento sobre cerco perimétrico y escarpes frescos (F-04, F-08, F-10).</t>
        </is>
      </c>
    </row>
    <row r="79">
      <c r="A79" s="57" t="inlineStr">
        <is>
          <t>F-DT-03</t>
        </is>
      </c>
      <c r="B79" s="57" t="inlineStr">
        <is>
          <t>INVENTARIO FLORÍSTICO TRANSFERIDO POR ANALOGÍA del Bloque 57 (mismo distrito Chalaco; centroides separados ≈ 2,1 km), conforme a indicación del responsable. NO constituye un levantamiento florístico propio del Bloque 59: requiere verificación de campo y determinación botánica formal. | Nombres comunes ambiguos en el contexto Piura (Palo Blanco, Chin Chin, Pega Pega) se dejan como "Por determinar" en lugar de asignar binomios. | HALLAZGO NO CONTENIDO EN LA LISTA DEL BLOQUE 57: la fotografía F-15 (631 000 E · 9 441 919 N) documenta una plantación de conífera (probable Pinus sp., determinación por confirmar) en el filo del bloque; se somete a decisión del responsable su incorporación al inventario. | Coberturas (dosel 30 %, arbustiva 20 %, herbácea 15 %, suelo desnudo 20 %, cobertura vegetal total 65 %) son ESTIMACIONES OCULARES apoyadas en MSAVI 2024 (media del bloque 0,6147); no se midieron con instrumentos. | DAP, alturas, hojarasca, altitud de parcela y regeneración natural (conteo de plántulas/100 m²) NO fueron levantados. | Ecosistemas MINAM del bloque: Bosque relicto montano de vertiente occidental (Br-mvoc) 8,127 ha (60,0 %) + Zona agrícola (Agri) 5,427 ha (40,0 %) = 13,554 ha. | "Alterado (intervención marcada)": JUICIO EXPERTO; se contrasta con MSAVI medio alto (0,6147) que indica degradación localizada y no generalizada.</t>
        </is>
      </c>
    </row>
    <row r="80">
      <c r="A80" s="56" t="inlineStr">
        <is>
          <t>F-DT-05</t>
        </is>
      </c>
      <c r="B80" s="56" t="inlineStr">
        <is>
          <t>El bloque es atravesado por la vía nacional afirmada (hito PE-1NR km 120); el acceso vehicular 4x4 llega hasta el interior del bloque (F-10, F-19). | No se identificaron manantiales, captaciones poblacionales ni obras de riego en el recorrido (12:27–12:42 h del 01/07/2026). | El bloque se ubica en zona de origen y recarga de la microcuenca C1086-Q9570; la presencia de relicto de bosque montano, helechos y epífitas evidencia condiciones de humedad. Escorrentía concentrada observada en escarpes y cárcavas activas. | POR DETERMINAR: distancia a captación poblacional, nombre de JASS, tiempos de viaje desde capital distrital (Chalaco) y provincial (Chulucanas), señal y operador celular, alojamiento rural, y autorización/contacto de Ronda Campesina. | Transitabilidad en época lluviosa calificada "Bajo" por riesgo de deslizamiento activo sobre la plataforma vial.</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59</t>
        </is>
      </c>
    </row>
    <row r="7">
      <c r="A7" s="54" t="inlineStr">
        <is>
          <t>Hechos declarados por fuente</t>
        </is>
      </c>
    </row>
    <row r="8">
      <c r="A8" s="55" t="inlineStr">
        <is>
          <t>Fuente</t>
        </is>
      </c>
      <c r="B8" s="55" t="inlineStr">
        <is>
          <t>Hechos</t>
        </is>
      </c>
    </row>
    <row r="9">
      <c r="A9" s="56" t="inlineStr">
        <is>
          <t>Dato de campo</t>
        </is>
      </c>
      <c r="B9" s="56" t="n">
        <v>63</v>
      </c>
    </row>
    <row r="10">
      <c r="A10" s="57" t="inlineStr">
        <is>
          <t>Gabinete (GIS / teledetección)</t>
        </is>
      </c>
      <c r="B10" s="57" t="n">
        <v>21</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95</v>
      </c>
    </row>
    <row r="31">
      <c r="A31" s="57" t="inlineStr">
        <is>
          <t>COMPLEMENTADO</t>
        </is>
      </c>
      <c r="B31" s="57" t="n">
        <v>1</v>
      </c>
    </row>
    <row r="32">
      <c r="A32" s="56" t="inlineStr">
        <is>
          <t>ACTUALIZADO</t>
        </is>
      </c>
      <c r="B32" s="56" t="n">
        <v>2</v>
      </c>
    </row>
    <row r="33">
      <c r="A33" s="57" t="inlineStr">
        <is>
          <t>DISCREPANTE</t>
        </is>
      </c>
      <c r="B33" s="57" t="n">
        <v>0</v>
      </c>
    </row>
    <row r="34">
      <c r="A34" s="56" t="inlineStr">
        <is>
          <t>PENDIENTE</t>
        </is>
      </c>
      <c r="B34" s="56" t="n">
        <v>16</v>
      </c>
    </row>
    <row r="51">
      <c r="A51" s="54" t="inlineStr">
        <is>
          <t>Cobertura por estrato — campo (%)</t>
        </is>
      </c>
    </row>
    <row r="52">
      <c r="A52" s="55" t="inlineStr">
        <is>
          <t>Estrato</t>
        </is>
      </c>
      <c r="B52" s="55" t="inlineStr">
        <is>
          <t>% del área</t>
        </is>
      </c>
    </row>
    <row r="53">
      <c r="A53" s="56" t="inlineStr">
        <is>
          <t>Dosel</t>
        </is>
      </c>
      <c r="B53" s="61" t="n">
        <v>30</v>
      </c>
    </row>
    <row r="54">
      <c r="A54" s="57" t="inlineStr">
        <is>
          <t>Arbustiva</t>
        </is>
      </c>
      <c r="B54" s="62" t="n">
        <v>20</v>
      </c>
    </row>
    <row r="55">
      <c r="A55" s="56" t="inlineStr">
        <is>
          <t>Herbácea</t>
        </is>
      </c>
      <c r="B55" s="61" t="n">
        <v>15</v>
      </c>
    </row>
    <row r="56">
      <c r="A56" s="57" t="inlineStr">
        <is>
          <t>Suelo desnudo</t>
        </is>
      </c>
      <c r="B56" s="62" t="n">
        <v>20</v>
      </c>
    </row>
    <row r="73">
      <c r="A73" s="54" t="inlineStr">
        <is>
          <t>Causas activas de degradación (F-DT-04)</t>
        </is>
      </c>
    </row>
    <row r="74">
      <c r="A74" s="55" t="inlineStr">
        <is>
          <t>Causa</t>
        </is>
      </c>
      <c r="B74" s="55" t="inlineStr">
        <is>
          <t>Intensidad (1 ligera - 4 muy fuerte)</t>
        </is>
      </c>
    </row>
    <row r="75">
      <c r="A75" s="56" t="inlineStr">
        <is>
          <t>Erosión natural severa</t>
        </is>
      </c>
      <c r="B75" s="56" t="n">
        <v>4</v>
      </c>
    </row>
    <row r="76">
      <c r="A76" s="57" t="inlineStr">
        <is>
          <t>Expansión urbana / vial</t>
        </is>
      </c>
      <c r="B76" s="57" t="n">
        <v>3</v>
      </c>
    </row>
    <row r="77">
      <c r="A77" s="56" t="inlineStr">
        <is>
          <t>Cambio de uso a agricultura</t>
        </is>
      </c>
      <c r="B77" s="56" t="n">
        <v>2</v>
      </c>
    </row>
    <row r="78">
      <c r="A78" s="57" t="inlineStr">
        <is>
          <t>Cambio de uso a pastoreo</t>
        </is>
      </c>
      <c r="B78" s="57" t="n">
        <v>2</v>
      </c>
    </row>
    <row r="79">
      <c r="A79" s="56" t="inlineStr">
        <is>
          <t>Extracción de áridos (cauces)</t>
        </is>
      </c>
      <c r="B79" s="56" t="n">
        <v>2</v>
      </c>
    </row>
    <row r="80">
      <c r="A80" s="57" t="inlineStr">
        <is>
          <t>Sobrepastoreo (caprino/vacuno)</t>
        </is>
      </c>
      <c r="B80" s="57" t="n">
        <v>2</v>
      </c>
    </row>
    <row r="81">
      <c r="A81" s="56" t="inlineStr">
        <is>
          <t>Especies invasoras</t>
        </is>
      </c>
      <c r="B81" s="56" t="n">
        <v>1</v>
      </c>
    </row>
    <row r="98">
      <c r="A98" s="54" t="inlineStr">
        <is>
          <t>Control de consistencia por calificación</t>
        </is>
      </c>
    </row>
    <row r="99">
      <c r="A99" s="55" t="inlineStr">
        <is>
          <t>Calificación</t>
        </is>
      </c>
      <c r="B99" s="55" t="inlineStr">
        <is>
          <t>Verificaciones</t>
        </is>
      </c>
    </row>
    <row r="100">
      <c r="A100" s="56" t="inlineStr">
        <is>
          <t>SUSTANTIVA</t>
        </is>
      </c>
      <c r="B100" s="56" t="n">
        <v>4</v>
      </c>
    </row>
    <row r="101">
      <c r="A101" s="57" t="inlineStr">
        <is>
          <t>NO SUSTANTIVA</t>
        </is>
      </c>
      <c r="B101" s="57" t="n">
        <v>6</v>
      </c>
    </row>
    <row r="102">
      <c r="A102" s="56" t="inlineStr">
        <is>
          <t>CORREGIDO</t>
        </is>
      </c>
      <c r="B102" s="56" t="n">
        <v>2</v>
      </c>
    </row>
    <row r="103">
      <c r="A103" s="57" t="inlineStr">
        <is>
          <t>CONFORME</t>
        </is>
      </c>
      <c r="B103" s="57"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59 — IN Piura</dc:title>
  <dc:subject>Diagnóstico Territorial por bloque de intervención</dc:subject>
  <dcterms:created xsi:type="dcterms:W3CDTF">2026-09-08T03:39:56Z</dcterms:created>
  <dcterms:modified xsi:type="dcterms:W3CDTF">2026-09-11T20:22:30Z</dcterms:modified>
</cp:coreProperties>
</file>