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0"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integración'!$A$47:$A$51</f>
            </numRef>
          </cat>
          <val>
            <numRef>
              <f>'Gráficos de integración'!$B$47:$B$51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integración'!$A$66:$A$71</f>
            </numRef>
          </cat>
          <val>
            <numRef>
              <f>'Gráficos de integración'!$B$66:$B$71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13</t>
        </is>
      </c>
    </row>
    <row r="6" ht="24" customHeight="1">
      <c r="A6" s="4" t="inlineStr">
        <is>
          <t>Diagnóstico Territorial — Plantilla DT Campo Check Validada V5 | Sistema de referencia: UTM WGS 84 Zona 17S (EPSG:32717) · Integrado con la ficha de campo F-DT vigente (DT_B13_IN_Piura.xlsx) — V7 - resumen V6 + campo F-DT integrado</t>
        </is>
      </c>
    </row>
    <row r="7"/>
    <row r="8" ht="18" customHeight="1">
      <c r="A8" s="5" t="inlineStr">
        <is>
          <t>1. IDENTIFICACIÓN Y LOCALIZACIÓN</t>
        </is>
      </c>
    </row>
    <row r="9">
      <c r="A9" s="6" t="inlineStr">
        <is>
          <t>Código del bloque</t>
        </is>
      </c>
      <c r="B9" s="7" t="inlineStr">
        <is>
          <t>13</t>
        </is>
      </c>
      <c r="C9" s="6" t="inlineStr">
        <is>
          <t>Microcuenca (catálogo)</t>
        </is>
      </c>
      <c r="D9" s="7" t="inlineStr">
        <is>
          <t>C1096-Q9564</t>
        </is>
      </c>
      <c r="E9" s="8" t="n"/>
      <c r="F9" s="8" t="n"/>
    </row>
    <row r="10">
      <c r="A10" s="6" t="inlineStr">
        <is>
          <t>Zona de planificación</t>
        </is>
      </c>
      <c r="B10" s="7" t="inlineStr">
        <is>
          <t>Z03</t>
        </is>
      </c>
      <c r="C10" s="6" t="inlineStr">
        <is>
          <t>Microcuenca declarada en ficha DT</t>
        </is>
      </c>
      <c r="D10" s="7" t="inlineStr">
        <is>
          <t>C1096-Q9564</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Huacas</t>
        </is>
      </c>
      <c r="C13" s="6" t="inlineStr">
        <is>
          <t>Comunidad campesina</t>
        </is>
      </c>
      <c r="D13" s="50" t="inlineStr">
        <is>
          <t>No aplica – Tierras del Estado bajo administración del GORE Piura</t>
        </is>
      </c>
      <c r="E13" s="8" t="n"/>
      <c r="F13" s="8" t="n"/>
    </row>
    <row r="14">
      <c r="A14" s="6" t="inlineStr">
        <is>
          <t>Superficie de catálogo (V5/V6), ha</t>
        </is>
      </c>
      <c r="B14" s="7" t="n">
        <v>100.51</v>
      </c>
      <c r="C14" s="6" t="inlineStr">
        <is>
          <t>Fuente de superficie</t>
        </is>
      </c>
      <c r="D14" s="7" t="inlineStr">
        <is>
          <t>Catálogo maestro Bloques V5/V6</t>
        </is>
      </c>
      <c r="E14" s="8" t="n"/>
      <c r="F14" s="8" t="n"/>
    </row>
    <row r="15">
      <c r="A15" s="6" t="inlineStr">
        <is>
          <t>Centroide UTM ESTE (m)</t>
        </is>
      </c>
      <c r="B15" s="7" t="n">
        <v>620263</v>
      </c>
      <c r="C15" s="6" t="inlineStr">
        <is>
          <t>Centroide UTM NORTE (m)</t>
        </is>
      </c>
      <c r="D15" s="7" t="n">
        <v>9442343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1649</v>
      </c>
      <c r="C19" s="6" t="inlineStr">
        <is>
          <t>Altitud máxima (msnm)</t>
        </is>
      </c>
      <c r="D19" s="7" t="n">
        <v>2267</v>
      </c>
      <c r="E19" s="8" t="n"/>
      <c r="F19" s="8" t="n"/>
    </row>
    <row r="20">
      <c r="A20" s="6" t="inlineStr">
        <is>
          <t>Amplitud altitudinal (m)</t>
        </is>
      </c>
      <c r="B20" s="7" t="n">
        <v>618</v>
      </c>
      <c r="C20" s="6" t="inlineStr">
        <is>
          <t>Piso altitudinal dominante</t>
        </is>
      </c>
      <c r="D20" s="7" t="inlineStr">
        <is>
          <t>1500-2000 m (Quechua media)</t>
        </is>
      </c>
      <c r="E20" s="8" t="n"/>
      <c r="F20" s="8" t="n"/>
    </row>
    <row r="21">
      <c r="A21" s="6" t="inlineStr">
        <is>
          <t>Pendiente promedio (%)</t>
        </is>
      </c>
      <c r="B21" s="7" t="n">
        <v>28.99</v>
      </c>
      <c r="C21" s="6" t="inlineStr">
        <is>
          <t>Pendiente promedio (grados)</t>
        </is>
      </c>
      <c r="D21" s="7" t="n">
        <v>16.2</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0.6711</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(89.59 %)</t>
        </is>
      </c>
      <c r="E29" s="8" t="n"/>
      <c r="F29" s="8" t="n"/>
    </row>
    <row r="30">
      <c r="A30" s="6" t="inlineStr">
        <is>
          <t>Superficie clasificada NDVI 2025 (ha)</t>
        </is>
      </c>
      <c r="B30" s="7" t="n">
        <v>100.558</v>
      </c>
      <c r="C30" s="6" t="inlineStr">
        <is>
          <t>Desviación frente al catálogo (%)</t>
        </is>
      </c>
      <c r="D30" s="7" t="n">
        <v>0.05</v>
      </c>
      <c r="E30" s="8" t="n"/>
      <c r="F30" s="8" t="n"/>
    </row>
    <row r="31">
      <c r="A31" s="6" t="inlineStr">
        <is>
          <t>Superficie clasificada MSAVI 2024 (ha)</t>
        </is>
      </c>
      <c r="B31" s="38" t="n">
        <v>100.514</v>
      </c>
      <c r="C31" s="6" t="inlineStr">
        <is>
          <t>Desviación MSAVI frente al catálogo (%)</t>
        </is>
      </c>
      <c r="D31" s="39" t="n">
        <v>0</v>
      </c>
      <c r="E31" s="8" t="n"/>
      <c r="F31" s="8" t="n"/>
    </row>
    <row r="32">
      <c r="A32" s="6" t="inlineStr">
        <is>
          <t>Superficie bajo umbral MSAVI 0.4976 (ha)</t>
        </is>
      </c>
      <c r="B32" s="38" t="n">
        <v>5.239</v>
      </c>
      <c r="C32" s="6" t="inlineStr">
        <is>
          <t>% del bloque bajo umbral (brecha espectral)</t>
        </is>
      </c>
      <c r="D32" s="39" t="n">
        <v>5.21</v>
      </c>
      <c r="E32" s="8" t="n"/>
      <c r="F32" s="8" t="n"/>
    </row>
    <row r="33">
      <c r="A33" s="6" t="inlineStr">
        <is>
          <t>Clase DN dominante (MSAVI 2024)</t>
        </is>
      </c>
      <c r="B33" s="7" t="inlineStr">
        <is>
          <t>DN 5 · &gt; 0.6139 (Vigor alto)</t>
        </is>
      </c>
      <c r="C33" s="6" t="inlineStr">
        <is>
          <t>N.° de polígonos MSAVI del bloque</t>
        </is>
      </c>
      <c r="D33" s="40" t="n">
        <v>191</v>
      </c>
      <c r="E33" s="8" t="n"/>
      <c r="F33" s="8" t="n"/>
    </row>
    <row r="34"/>
    <row r="35" ht="18" customHeight="1">
      <c r="A35" s="5" t="inlineStr">
        <is>
          <t>4. ECOSISTEMA Y ESTADO DE CONSERVACIÓN</t>
        </is>
      </c>
    </row>
    <row r="36">
      <c r="A36" s="6" t="inlineStr">
        <is>
          <t>Tipo de ecosistema (UP)</t>
        </is>
      </c>
      <c r="B36" s="7" t="inlineStr">
        <is>
          <t>Matorral Andino subhúmedo</t>
        </is>
      </c>
      <c r="C36" s="6" t="inlineStr">
        <is>
          <t>Superficie de ecosistema (ha)</t>
        </is>
      </c>
      <c r="D36" s="7" t="inlineStr">
        <is>
          <t>60.35 ha (mosaico: BMVO 26.22 ha + Matorral andino 60.35 ha + Zona agrícola 13.94 ha)</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Mixto / Mosaico</t>
        </is>
      </c>
      <c r="C38" s="6" t="inlineStr">
        <is>
          <t>Cobertura vegetal total — campo (%)</t>
        </is>
      </c>
      <c r="D38" s="7" t="n">
        <v>80</v>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 Ing. Pedro Talledo Hernández / Ing. Juan Carlos Domínguez Varas (ANIN-DIME-SESDI)</t>
        </is>
      </c>
      <c r="C44" s="6" t="inlineStr">
        <is>
          <t>Fecha de evaluación</t>
        </is>
      </c>
      <c r="D44" s="7" t="inlineStr">
        <is>
          <t>2026-06-10</t>
        </is>
      </c>
      <c r="E44" s="8" t="n"/>
      <c r="F44" s="8" t="n"/>
    </row>
    <row r="45">
      <c r="A45" s="6" t="inlineStr">
        <is>
          <t>Hora de registro</t>
        </is>
      </c>
      <c r="B45" s="7" t="inlineStr">
        <is>
          <t>01:17 p.m.</t>
        </is>
      </c>
      <c r="C45" s="6" t="inlineStr">
        <is>
          <t>Correlativo de ficha</t>
        </is>
      </c>
      <c r="D45" s="7" t="inlineStr">
        <is>
          <t>DT-B13-01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P-01 (ladera media, sector de pastizal-matorral con relictos)</t>
        </is>
      </c>
      <c r="E47" s="8" t="n"/>
      <c r="F47" s="8" t="n"/>
    </row>
    <row r="48">
      <c r="A48" s="6" t="inlineStr">
        <is>
          <t>Estaciones fotográficas georreferenciadas</t>
        </is>
      </c>
      <c r="B48" s="7" t="n">
        <v>15</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Economía de subsistencia (ganadería y agricultura de ladera) sin ordenamiento territorial ni manejo del ecosistema</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13</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0" t="n">
        <v>71.2564</v>
      </c>
      <c r="C10" s="29">
        <f>ROUND(B10/$B$15*100,2)</f>
        <v/>
      </c>
      <c r="D10" s="12" t="inlineStr">
        <is>
          <t>Vigor alto</t>
        </is>
      </c>
      <c r="E10" s="12" t="inlineStr">
        <is>
          <t>Sobre umbral</t>
        </is>
      </c>
    </row>
    <row r="11">
      <c r="A11" s="13" t="inlineStr">
        <is>
          <t>0.4976 - 0.6139 · DN 4</t>
        </is>
      </c>
      <c r="B11" s="20" t="n">
        <v>24.0178</v>
      </c>
      <c r="C11" s="21">
        <f>ROUND(B11/$B$15*100,2)</f>
        <v/>
      </c>
      <c r="D11" s="14" t="inlineStr">
        <is>
          <t>Vigor moderado</t>
        </is>
      </c>
      <c r="E11" s="14" t="inlineStr">
        <is>
          <t>Sobre umbral</t>
        </is>
      </c>
    </row>
    <row r="12">
      <c r="A12" s="7" t="inlineStr">
        <is>
          <t>0.3813 - 0.4976 · DN 3</t>
        </is>
      </c>
      <c r="B12" s="18" t="n">
        <v>5.2394</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191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100.51</v>
      </c>
      <c r="C18" s="49" t="inlineStr">
        <is>
          <t>—</t>
        </is>
      </c>
      <c r="D18" s="46" t="inlineStr">
        <is>
          <t>Desviación planimétrica frente al catálogo</t>
        </is>
      </c>
      <c r="E18" s="46" t="inlineStr">
        <is>
          <t>+0.00 %</t>
        </is>
      </c>
    </row>
    <row r="19">
      <c r="A19" s="16" t="inlineStr">
        <is>
          <t>MSAVI 2024 — MEDIA DEL BLOQUE</t>
        </is>
      </c>
      <c r="B19" s="17" t="n">
        <v>0.671094</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191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(0.6711)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90.09059999999999</v>
      </c>
      <c r="C25" s="19" t="n">
        <v>89.59</v>
      </c>
      <c r="D25" s="15" t="inlineStr">
        <is>
          <t>Dosel continuo, matorral denso o mosaico agroforestal</t>
        </is>
      </c>
      <c r="E25" s="15" t="inlineStr"/>
    </row>
    <row r="26">
      <c r="A26" s="13" t="inlineStr">
        <is>
          <t>Vegetación mediana</t>
        </is>
      </c>
      <c r="B26" s="20" t="n">
        <v>10.1507</v>
      </c>
      <c r="C26" s="21" t="n">
        <v>10.09</v>
      </c>
      <c r="D26" s="14" t="inlineStr">
        <is>
          <t>Pastizal cultivado, matorral ralo, parcelas agrícolas</t>
        </is>
      </c>
      <c r="E26" s="14" t="inlineStr"/>
    </row>
    <row r="27">
      <c r="A27" s="7" t="inlineStr">
        <is>
          <t>Vegetación ligera</t>
        </is>
      </c>
      <c r="B27" s="18" t="n">
        <v>0.3068</v>
      </c>
      <c r="C27" s="19" t="n">
        <v>0.31</v>
      </c>
      <c r="D27" s="15" t="inlineStr">
        <is>
          <t>Cobertura discontinua, suelo parcialmente expuesto</t>
        </is>
      </c>
      <c r="E27" s="15" t="inlineStr"/>
    </row>
    <row r="28">
      <c r="A28" s="13" t="inlineStr">
        <is>
          <t>Tierra desnuda</t>
        </is>
      </c>
      <c r="B28" s="20" t="n">
        <v>0.009900000000000001</v>
      </c>
      <c r="C28" s="21" t="n">
        <v>0.01</v>
      </c>
      <c r="D28" s="14" t="inlineStr">
        <is>
          <t>Suelo desnudo, afloramientos, plataformas y taludes</t>
        </is>
      </c>
      <c r="E28" s="14" t="inlineStr"/>
    </row>
    <row r="29">
      <c r="A29" s="16" t="inlineStr">
        <is>
          <t>TOTAL CLASIFICADO</t>
        </is>
      </c>
      <c r="B29" s="22">
        <f>SUM(B25:B28)</f>
        <v/>
      </c>
      <c r="C29" s="23">
        <f>SUM(C25:C28)</f>
        <v/>
      </c>
      <c r="D29" s="17" t="inlineStr"/>
      <c r="E29" s="17" t="inlineStr"/>
    </row>
    <row r="30">
      <c r="A30" s="24" t="inlineStr">
        <is>
          <t>Superficie de catálogo (V5/V6)</t>
        </is>
      </c>
      <c r="B30" s="25" t="n">
        <v>100.51</v>
      </c>
      <c r="C30" s="25" t="inlineStr">
        <is>
          <t>—</t>
        </is>
      </c>
      <c r="D30" s="25" t="inlineStr">
        <is>
          <t>Desviación planimétrica frente al catálogo</t>
        </is>
      </c>
      <c r="E30" s="25" t="inlineStr">
        <is>
          <t>+0.05 %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89.59 % del polígono clasificado como «Vegetación alta» por el NDVI 2025; la observación de campo corresponde a una parcela o recorrido puntual y no es estadísticamente representativa de las 100.510 ha del bloque.</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13</t>
        </is>
      </c>
    </row>
    <row r="6" ht="24" customHeight="1">
      <c r="A6" s="4" t="inlineStr">
        <is>
          <t>Levantamiento del 2026-06-10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619674</v>
      </c>
      <c r="D10" s="26" t="n">
        <v>9442224</v>
      </c>
      <c r="E10" s="15" t="n">
        <v>600.9</v>
      </c>
      <c r="F10" s="15" t="inlineStr"/>
      <c r="G10" s="15" t="inlineStr">
        <is>
          <t>Coordenada consignada en F-DT-01</t>
        </is>
      </c>
    </row>
    <row r="11">
      <c r="A11" s="13" t="inlineStr">
        <is>
          <t>H-01</t>
        </is>
      </c>
      <c r="B11" s="14" t="inlineStr">
        <is>
          <t>Fuente de agua — Manantial / Puquio</t>
        </is>
      </c>
      <c r="C11" s="27" t="n">
        <v>619674</v>
      </c>
      <c r="D11" s="27" t="n">
        <v>9442224</v>
      </c>
      <c r="E11" s="14" t="n">
        <v>600.9</v>
      </c>
      <c r="F11" s="14" t="inlineStr">
        <is>
          <t>Permanente</t>
        </is>
      </c>
      <c r="G11" s="14" t="inlineStr">
        <is>
          <t>Captación de concreto</t>
        </is>
      </c>
    </row>
    <row r="12">
      <c r="A12" s="7" t="inlineStr">
        <is>
          <t>H-02</t>
        </is>
      </c>
      <c r="B12" s="15" t="inlineStr">
        <is>
          <t>Fuente de agua — Quebrada permanente</t>
        </is>
      </c>
      <c r="C12" s="26" t="n">
        <v>619739</v>
      </c>
      <c r="D12" s="26" t="n">
        <v>9442286</v>
      </c>
      <c r="E12" s="15" t="n">
        <v>527.1</v>
      </c>
      <c r="F12" s="15" t="inlineStr">
        <is>
          <t>Permanente</t>
        </is>
      </c>
      <c r="G12" s="15" t="inlineStr">
        <is>
          <t>Cauce con caída de agua</t>
        </is>
      </c>
    </row>
    <row r="13">
      <c r="A13" s="13" t="inlineStr">
        <is>
          <t>H-03</t>
        </is>
      </c>
      <c r="B13" s="14" t="inlineStr">
        <is>
          <t>Fuente de agua — Quebrada permanente</t>
        </is>
      </c>
      <c r="C13" s="27" t="n">
        <v>619664</v>
      </c>
      <c r="D13" s="27" t="n">
        <v>9442222</v>
      </c>
      <c r="E13" s="14" t="n">
        <v>611.1</v>
      </c>
      <c r="F13" s="14" t="inlineStr">
        <is>
          <t>Permanente</t>
        </is>
      </c>
      <c r="G13" s="14" t="inlineStr">
        <is>
          <t>Riachuelo bajo dosel</t>
        </is>
      </c>
    </row>
    <row r="14">
      <c r="A14" s="7" t="inlineStr">
        <is>
          <t>H-04</t>
        </is>
      </c>
      <c r="B14" s="15" t="inlineStr">
        <is>
          <t>Fuente de agua — Manantial / Puquio</t>
        </is>
      </c>
      <c r="C14" s="26" t="n">
        <v>619650</v>
      </c>
      <c r="D14" s="26" t="n">
        <v>9442217</v>
      </c>
      <c r="E14" s="15" t="n">
        <v>625.8</v>
      </c>
      <c r="F14" s="15" t="inlineStr">
        <is>
          <t>Permanente</t>
        </is>
      </c>
      <c r="G14" s="15" t="inlineStr">
        <is>
          <t>Afloramiento con socavación</t>
        </is>
      </c>
    </row>
    <row r="15">
      <c r="A15" s="13" t="inlineStr">
        <is>
          <t>H-05</t>
        </is>
      </c>
      <c r="B15" s="14" t="inlineStr">
        <is>
          <t>Fuente de agua — Quebrada permanente</t>
        </is>
      </c>
      <c r="C15" s="27" t="n">
        <v>619300</v>
      </c>
      <c r="D15" s="27" t="n">
        <v>9442500</v>
      </c>
      <c r="E15" s="14" t="n">
        <v>975.7</v>
      </c>
      <c r="F15" s="14" t="inlineStr">
        <is>
          <t>Permanente</t>
        </is>
      </c>
      <c r="G15" s="14" t="inlineStr">
        <is>
          <t>Qda. Huacas – límite oeste</t>
        </is>
      </c>
    </row>
    <row r="16">
      <c r="A16" s="7" t="inlineStr">
        <is>
          <t>B-01</t>
        </is>
      </c>
      <c r="B16" s="15" t="inlineStr">
        <is>
          <t>Especie clave — Nogal (Juglans neotropica)</t>
        </is>
      </c>
      <c r="C16" s="26" t="n">
        <v>619674</v>
      </c>
      <c r="D16" s="26" t="n">
        <v>9442224</v>
      </c>
      <c r="E16" s="15" t="n">
        <v>600.9</v>
      </c>
      <c r="F16" s="15" t="inlineStr">
        <is>
          <t>Amenazada D.S. 043</t>
        </is>
      </c>
      <c r="G16" s="15" t="inlineStr">
        <is>
          <t>EN — En Peligro</t>
        </is>
      </c>
    </row>
    <row r="17">
      <c r="A17" s="13" t="inlineStr">
        <is>
          <t>B-02</t>
        </is>
      </c>
      <c r="B17" s="14" t="inlineStr">
        <is>
          <t>Especie clave — Diablo fuerte (Podocarpus sp.)</t>
        </is>
      </c>
      <c r="C17" s="27" t="n">
        <v>619739</v>
      </c>
      <c r="D17" s="27" t="n">
        <v>9442286</v>
      </c>
      <c r="E17" s="14" t="n">
        <v>527.1</v>
      </c>
      <c r="F17" s="14" t="inlineStr">
        <is>
          <t>Amenazada D.S. 043</t>
        </is>
      </c>
      <c r="G17" s="14" t="inlineStr">
        <is>
          <t>VU — Vulnerable</t>
        </is>
      </c>
    </row>
    <row r="18">
      <c r="A18" s="7" t="inlineStr">
        <is>
          <t>B-03</t>
        </is>
      </c>
      <c r="B18" s="15" t="inlineStr">
        <is>
          <t>Especie clave — Higuerón (Ficus sp.)</t>
        </is>
      </c>
      <c r="C18" s="26" t="n">
        <v>619664</v>
      </c>
      <c r="D18" s="26" t="n">
        <v>9442222</v>
      </c>
      <c r="E18" s="15" t="n">
        <v>611.1</v>
      </c>
      <c r="F18" s="15" t="inlineStr">
        <is>
          <t>Indicadora de buen estado</t>
        </is>
      </c>
      <c r="G18" s="15" t="inlineStr"/>
    </row>
    <row r="19">
      <c r="A19" s="13" t="inlineStr">
        <is>
          <t>B-04</t>
        </is>
      </c>
      <c r="B19" s="14" t="inlineStr">
        <is>
          <t>Especie clave — Tara (Caesalpinia spinosa)</t>
        </is>
      </c>
      <c r="C19" s="27" t="n">
        <v>619613</v>
      </c>
      <c r="D19" s="27" t="n">
        <v>9442274</v>
      </c>
      <c r="E19" s="14" t="n">
        <v>653.7</v>
      </c>
      <c r="F19" s="14" t="inlineStr">
        <is>
          <t>Clave cultural</t>
        </is>
      </c>
      <c r="G19" s="14" t="inlineStr"/>
    </row>
    <row r="20">
      <c r="A20" s="7" t="inlineStr">
        <is>
          <t>B-05</t>
        </is>
      </c>
      <c r="B20" s="15" t="inlineStr">
        <is>
          <t>Especie clave — Chirimoya silvestre (Annona sp.)</t>
        </is>
      </c>
      <c r="C20" s="26" t="n">
        <v>619663</v>
      </c>
      <c r="D20" s="26" t="n">
        <v>9442216</v>
      </c>
      <c r="E20" s="15" t="n">
        <v>613.3</v>
      </c>
      <c r="F20" s="15" t="inlineStr">
        <is>
          <t>Clave cultural</t>
        </is>
      </c>
      <c r="G20" s="15" t="inlineStr"/>
    </row>
    <row r="21">
      <c r="A21" s="13" t="inlineStr">
        <is>
          <t>B-06</t>
        </is>
      </c>
      <c r="B21" s="14" t="inlineStr">
        <is>
          <t>Especie clave — Eucalipto / Pino / Ciprés</t>
        </is>
      </c>
      <c r="C21" s="27" t="n">
        <v>619663</v>
      </c>
      <c r="D21" s="27" t="n">
        <v>9442216</v>
      </c>
      <c r="E21" s="14" t="n">
        <v>613.3</v>
      </c>
      <c r="F21" s="14" t="inlineStr">
        <is>
          <t>Indicadora de perturbación</t>
        </is>
      </c>
      <c r="G21" s="14" t="inlineStr"/>
    </row>
    <row r="22">
      <c r="A22" s="16" t="inlineStr">
        <is>
          <t>TOTAL: 12 puntos</t>
        </is>
      </c>
      <c r="B22" s="17" t="inlineStr"/>
      <c r="C22" s="17" t="inlineStr"/>
      <c r="D22" s="17" t="inlineStr"/>
      <c r="E22" s="17" t="inlineStr"/>
      <c r="F22" s="17" t="inlineStr"/>
      <c r="G22" s="17" t="inlineStr"/>
    </row>
    <row r="24">
      <c r="A24" s="6" t="inlineStr">
        <is>
          <t>Centroide del bloque — UTM ESTE (m)</t>
        </is>
      </c>
      <c r="B24" s="7" t="n">
        <v>620263</v>
      </c>
      <c r="C24" s="6" t="inlineStr">
        <is>
          <t>Centroide del bloque — UTM NORTE (m)</t>
        </is>
      </c>
      <c r="D24" s="7" t="n">
        <v>9442343</v>
      </c>
      <c r="E24" s="8" t="n"/>
      <c r="F24" s="8" t="n"/>
      <c r="G24" s="8" t="n"/>
      <c r="H24" s="8" t="n"/>
    </row>
    <row r="25">
      <c r="A25" s="6" t="inlineStr">
        <is>
          <t>N.° de estaciones fotográficas declaradas</t>
        </is>
      </c>
      <c r="B25" s="7" t="n">
        <v>15</v>
      </c>
      <c r="C25" s="6" t="inlineStr">
        <is>
          <t>Estaciones dentro del polígono</t>
        </is>
      </c>
      <c r="D25" s="7" t="inlineStr">
        <is>
          <t>Por determinar</t>
        </is>
      </c>
      <c r="E25" s="8" t="n"/>
      <c r="F25" s="8" t="n"/>
      <c r="G25" s="8" t="n"/>
      <c r="H25" s="8" t="n"/>
    </row>
    <row r="27" ht="96" customHeight="1">
      <c r="A2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Las laderas superiores presentan fuerte pendiente (perfil de campo: media 41.4%, máx 78.4% sobre 1.28 km con desnivel de 545 m), lo que configura susceptibilidad latente a movimientos en masa pese a la buena cobertura actual. La cota varía de ~1580 msnm (Huacas) a &gt;2180 msnm en la cima.</t>
        </is>
      </c>
      <c r="B27" s="41" t="n"/>
      <c r="C27" s="41" t="n"/>
      <c r="D27" s="41" t="n"/>
      <c r="E27" s="41" t="n"/>
      <c r="F27" s="41" t="n"/>
      <c r="G27" s="42" t="n"/>
    </row>
  </sheetData>
  <mergeCells count="8">
    <mergeCell ref="A1:G1"/>
    <mergeCell ref="A27:G2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C1096-Q9564 — BLOQUE 13</t>
        </is>
      </c>
    </row>
    <row r="6" ht="24" customHeight="1">
      <c r="A6" s="4" t="inlineStr">
        <is>
          <t>Distrito de Santo Domingo · Provincia de Morropon · Comparación de los bloques preliminares de intervención de la misma microcuenca</t>
        </is>
      </c>
    </row>
    <row r="8" ht="18" customHeight="1">
      <c r="A8" s="5" t="inlineStr">
        <is>
          <t>BLOQUES DE LA MICROCUENCA C1096-Q9564</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1" t="inlineStr">
        <is>
          <t>► 13</t>
        </is>
      </c>
      <c r="B10" s="28" t="n">
        <v>100.51</v>
      </c>
      <c r="C10" s="29" t="n">
        <v>40.73</v>
      </c>
      <c r="D10" s="12" t="inlineStr">
        <is>
          <t>1649 – 2267</t>
        </is>
      </c>
      <c r="E10" s="12" t="n">
        <v>618</v>
      </c>
      <c r="F10" s="12" t="n">
        <v>28.99</v>
      </c>
      <c r="G10" s="30" t="n">
        <v>0.6711</v>
      </c>
      <c r="H10" s="29" t="n">
        <v>89.59</v>
      </c>
      <c r="I10" s="29" t="n">
        <v>5.21</v>
      </c>
    </row>
    <row r="11">
      <c r="A11" s="13" t="inlineStr">
        <is>
          <t>56</t>
        </is>
      </c>
      <c r="B11" s="31" t="n">
        <v>77.67</v>
      </c>
      <c r="C11" s="21" t="n">
        <v>31.48</v>
      </c>
      <c r="D11" s="14" t="inlineStr">
        <is>
          <t>2342 – 2770</t>
        </is>
      </c>
      <c r="E11" s="14" t="n">
        <v>428</v>
      </c>
      <c r="F11" s="14" t="n">
        <v>27.27</v>
      </c>
      <c r="G11" s="20" t="n">
        <v>0.6777</v>
      </c>
      <c r="H11" s="21" t="n">
        <v>94.90000000000001</v>
      </c>
      <c r="I11" s="21" t="n">
        <v>2.8</v>
      </c>
    </row>
    <row r="12">
      <c r="A12" s="7" t="inlineStr">
        <is>
          <t>39</t>
        </is>
      </c>
      <c r="B12" s="32" t="n">
        <v>68.56999999999999</v>
      </c>
      <c r="C12" s="19" t="n">
        <v>27.79</v>
      </c>
      <c r="D12" s="15" t="inlineStr">
        <is>
          <t>1729 – 2088</t>
        </is>
      </c>
      <c r="E12" s="15" t="n">
        <v>359</v>
      </c>
      <c r="F12" s="15" t="n">
        <v>22.51</v>
      </c>
      <c r="G12" s="18" t="n">
        <v>0.7016</v>
      </c>
      <c r="H12" s="19" t="n">
        <v>94.05</v>
      </c>
      <c r="I12" s="19" t="n">
        <v>3.84</v>
      </c>
    </row>
    <row r="13">
      <c r="A13" s="16" t="inlineStr">
        <is>
          <t>TOTAL / PROMEDIO</t>
        </is>
      </c>
      <c r="B13" s="33">
        <f>SUM(B10:B12)</f>
        <v/>
      </c>
      <c r="C13" s="23">
        <f>SUM(C10:C12)</f>
        <v/>
      </c>
      <c r="D13" s="17" t="inlineStr">
        <is>
          <t>1649 – 2770</t>
        </is>
      </c>
      <c r="E13" s="17" t="inlineStr"/>
      <c r="F13" s="17">
        <f>ROUND(AVERAGE(F10:F12),2)</f>
        <v/>
      </c>
      <c r="G13" s="22">
        <f>ROUND(AVERAGE(G10:G12),4)</f>
        <v/>
      </c>
      <c r="H13" s="23">
        <f>ROUND(AVERAGE(H10:H12),2)</f>
        <v/>
      </c>
      <c r="I13" s="23">
        <f>ROUND(AVERAGE(I10:I12),2)</f>
        <v/>
      </c>
    </row>
    <row r="15" ht="84" customHeight="1">
      <c r="A15" s="9" t="inlineStr">
        <is>
          <t>LECTURA INTRAMICROCUENCA. El bloque 13 ocupa el puesto 1 de 3 por superficie dentro de la microcuenca C1096-Q9564 (40.73 % de las 246.75 ha preliminares de la microcuenca). Su pendiente promedio (28.99 %, clase «25-50% (Mod. escarpado)») es la 3.ª más baja de 3 y se sitúa por encima del promedio de la microcuenca (26.26 %). Su MSAVI 2024 (0.6711) es el 3.º de 3 y queda por debajo del promedio local (0.6835). Amplitud altitudinal del bloque: 618 m (1649–2267 msnm). El cuadro conserva todos los bloques catalogados en la microcuenca, incluidos los descartados en el tamizaje, para referencia del conjunto. Los bloques sin ficha DT figuran con sus parámetros de gabinete. BRECHA ESPECTRAL. El 5.21 % de la superficie del bloque (5.239 ha de 100.514 ha) se sitúa bajo el umbral MSAVI 0.4976, por encima del promedio local de la microcuenca (3.95 %) calculado sobre los bloques con dato MSAVI disponible.</t>
        </is>
      </c>
      <c r="B15" s="41" t="n"/>
      <c r="C15" s="41" t="n"/>
      <c r="D15" s="41" t="n"/>
      <c r="E15" s="41" t="n"/>
      <c r="F15" s="41" t="n"/>
      <c r="G15" s="41" t="n"/>
      <c r="H15" s="41" t="n"/>
      <c r="I15" s="42" t="n"/>
    </row>
    <row r="17" ht="60" customHeight="1">
      <c r="A17"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7" s="41" t="n"/>
      <c r="C17" s="41" t="n"/>
      <c r="D17" s="41" t="n"/>
      <c r="E17" s="41" t="n"/>
      <c r="F17" s="41" t="n"/>
      <c r="G17" s="41" t="n"/>
      <c r="H17" s="41" t="n"/>
      <c r="I17" s="42" t="n"/>
    </row>
  </sheetData>
  <mergeCells count="9">
    <mergeCell ref="A15:I15"/>
    <mergeCell ref="A2:I2"/>
    <mergeCell ref="A5:I5"/>
    <mergeCell ref="A1:I1"/>
    <mergeCell ref="A17:I17"/>
    <mergeCell ref="A8:I8"/>
    <mergeCell ref="A3:I3"/>
    <mergeCell ref="A6:I6"/>
    <mergeCell ref="A4:I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13</t>
        </is>
      </c>
    </row>
    <row r="6">
      <c r="A6" s="52" t="inlineStr">
        <is>
          <t>Cruce de la ficha de campo F-DT vigente con la ficha de resumen de gabinete y el catálogo maestro. Integración 2026-09-11 21:26:22.</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«C1096-Q9564».</t>
        </is>
      </c>
      <c r="D9" s="56" t="inlineStr">
        <is>
          <t>CONFORME</t>
        </is>
      </c>
      <c r="E9" s="56" t="inlineStr">
        <is>
          <t>Sin acción.</t>
        </is>
      </c>
    </row>
    <row r="10">
      <c r="A10" s="57" t="inlineStr">
        <is>
          <t>G-02</t>
        </is>
      </c>
      <c r="B10" s="57" t="inlineStr">
        <is>
          <t>UTM del punto de muestreo</t>
        </is>
      </c>
      <c r="C10" s="57" t="inlineStr">
        <is>
          <t>El punto de muestreo declarado dista 600.9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(1700 msnm) cae dentro del rango altitudinal del bloque (1649 - 2267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(100.558 ha) se desvía 0.05 % de la superficie de catálogo (100.51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(100.514 ha) se desvía 0.00 % de la superficie de catálogo (100.51 ha).</t>
        </is>
      </c>
      <c r="D14" s="57" t="inlineStr">
        <is>
          <t>CONFORME</t>
        </is>
      </c>
      <c r="E14" s="57" t="inlineStr">
        <is>
          <t>Sin acción: la segmentación valida la geometría del bloque.</t>
        </is>
      </c>
    </row>
    <row r="15">
      <c r="A15" s="56" t="inlineStr">
        <is>
          <t>G-07</t>
        </is>
      </c>
      <c r="B15" s="56" t="inlineStr">
        <is>
          <t>Brecha espectral MSAVI</t>
        </is>
      </c>
      <c r="C15" s="56" t="inlineStr">
        <is>
          <t>El 5.21 % del bloque queda bajo el umbral 0.4976; superficie de brecha 5.2394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100.51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(0.6711) cae en la clase «&gt; 0.6139 (Vigor alto)» y la clase DN dominante por superficie es «DN 5 · &gt; 0.6139 (Vigor alto)».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F-01</t>
        </is>
      </c>
      <c r="B19" s="56" t="inlineStr">
        <is>
          <t>Fichas F-DT levantadas</t>
        </is>
      </c>
      <c r="C19" s="56" t="inlineStr">
        <is>
          <t>La plantilla de campo trae las cinco fichas F-DT-01 a F-DT-05 (completitud 100.0 % de los campos esperados).</t>
        </is>
      </c>
      <c r="D19" s="56" t="inlineStr">
        <is>
          <t>CONFORME</t>
        </is>
      </c>
      <c r="E19" s="56" t="inlineStr">
        <is>
          <t>Sin acción.</t>
        </is>
      </c>
    </row>
    <row r="20">
      <c r="A20" s="57" t="inlineStr">
        <is>
          <t>F-02</t>
        </is>
      </c>
      <c r="B20" s="57" t="inlineStr">
        <is>
          <t>Cobertura de la integración</t>
        </is>
      </c>
      <c r="C20" s="57" t="inlineStr">
        <is>
          <t>Se declararon 110 de 114 hechos integrados (96.5 %); 4 quedan sin dato en ninguna fuente.</t>
        </is>
      </c>
      <c r="D20" s="57" t="inlineStr">
        <is>
          <t>CONFORME</t>
        </is>
      </c>
      <c r="E20" s="57" t="inlineStr">
        <is>
          <t>Sin acción.</t>
        </is>
      </c>
    </row>
    <row r="21">
      <c r="A21" s="56" t="inlineStr">
        <is>
          <t>H-01</t>
        </is>
      </c>
      <c r="B21" s="56" t="inlineStr">
        <is>
          <t>Cobertura vegetal total</t>
        </is>
      </c>
      <c r="C21" s="56" t="inlineStr">
        <is>
          <t>La ficha DT estima 80 % de cobertura vegetal en campo; el NDVI mediana 2025 clasifica 99.99 % del polígono en clases de vegetación</t>
        </is>
      </c>
      <c r="D21" s="56" t="inlineStr">
        <is>
          <t>NO SUSTANTIVA</t>
        </is>
      </c>
      <c r="E21" s="5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2">
      <c r="A22" s="57" t="inlineStr">
        <is>
          <t>H-02</t>
        </is>
      </c>
      <c r="B22" s="57" t="inlineStr">
        <is>
          <t>Centro poblado asociado</t>
        </is>
      </c>
      <c r="C22" s="57" t="inlineStr">
        <is>
          <t>La ficha DT declara «Huacas»; el cruce INEI-Bloques V5 identifica 1 centro(s) poblado(s) en el bloque: HUACAS</t>
        </is>
      </c>
      <c r="D22" s="57" t="inlineStr">
        <is>
          <t>CONFORME</t>
        </is>
      </c>
      <c r="E22" s="57" t="inlineStr">
        <is>
          <t>Se conserva el registro de campo como referencia y se adopta el listado INEI para el diagnóstico social y el cálculo de población beneficiaria. (Verificación heredada de la ficha de resumen V6.)</t>
        </is>
      </c>
    </row>
    <row r="23">
      <c r="A23" s="56" t="inlineStr">
        <is>
          <t>H-03</t>
        </is>
      </c>
      <c r="B23" s="56" t="inlineStr">
        <is>
          <t>Duplicidad de fichas en el archivo DT</t>
        </is>
      </c>
      <c r="C23" s="56" t="inlineStr">
        <is>
          <t>El PDF del bloque 13 contiene DOS juegos completos de fichas F-DT: el JUEGO 1 (26-06-2026) corresponde en realidad al bloque 3 (microcuenca C1096-Q9545, C.P. Huayabal, correlativo DT-B3-2026, área 459.29 ha); el JUEGO 2 (10-06-2026, correlativo DT-B13-01) es el del bloque 13</t>
        </is>
      </c>
      <c r="D23" s="56" t="inlineStr">
        <is>
          <t>SUSTANTIVA</t>
        </is>
      </c>
      <c r="E23" s="56" t="inlineStr">
        <is>
          <t>Se adopta íntegramente el JUEGO 2. El JUEGO 1 debe retirarse del expediente del bloque 13 por corresponder a otro bloque (Verificación heredada de la ficha de resumen V6.)</t>
        </is>
      </c>
    </row>
    <row r="25">
      <c r="A25" s="58" t="inlineStr">
        <is>
          <t>RESUMEN</t>
        </is>
      </c>
      <c r="B25" s="59" t="inlineStr">
        <is>
          <t>15 verificaciones</t>
        </is>
      </c>
      <c r="C25" s="59" t="inlineStr">
        <is>
          <t>SUSTANTIVA: 2 · NO SUSTANTIVA: 1 · CONFORME: 12</t>
        </is>
      </c>
    </row>
    <row r="27">
      <c r="A27"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1:E1"/>
    <mergeCell ref="A5:E5"/>
    <mergeCell ref="A6:E6"/>
    <mergeCell ref="A27:E27"/>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13</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t>
        </is>
      </c>
      <c r="B9" s="56" t="inlineStr">
        <is>
          <t>Sin cambios: la ficha de campo confirma el libro V6</t>
        </is>
      </c>
      <c r="C9" s="56" t="inlineStr"/>
      <c r="D9" s="56" t="inlineStr"/>
      <c r="E9" s="56" t="inlineStr"/>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619674</t>
        </is>
      </c>
      <c r="D13" s="56" t="inlineStr">
        <is>
          <t>m</t>
        </is>
      </c>
    </row>
    <row r="14">
      <c r="A14" s="57" t="inlineStr">
        <is>
          <t>1. Identificación y localización</t>
        </is>
      </c>
      <c r="B14" s="57" t="inlineStr">
        <is>
          <t>UTM NORTE del punto de muestreo (m)</t>
        </is>
      </c>
      <c r="C14" s="57" t="inlineStr">
        <is>
          <t>9442224</t>
        </is>
      </c>
      <c r="D14" s="57" t="inlineStr">
        <is>
          <t>m</t>
        </is>
      </c>
    </row>
    <row r="15">
      <c r="A15" s="56" t="inlineStr">
        <is>
          <t>2. Parámetros físicos del terreno</t>
        </is>
      </c>
      <c r="B15" s="56" t="inlineStr">
        <is>
          <t>Altitud GPS del punto de muestreo (msnm)</t>
        </is>
      </c>
      <c r="C15" s="56" t="inlineStr">
        <is>
          <t>1700</t>
        </is>
      </c>
      <c r="D15" s="56" t="inlineStr">
        <is>
          <t>msnm</t>
        </is>
      </c>
    </row>
    <row r="16">
      <c r="A16" s="57" t="inlineStr">
        <is>
          <t>2. Parámetros físicos del terreno</t>
        </is>
      </c>
      <c r="B16" s="57" t="inlineStr">
        <is>
          <t>Piso altitudinal del punto de muestreo</t>
        </is>
      </c>
      <c r="C16" s="57" t="inlineStr">
        <is>
          <t>1500-2000 m (Quechua media)</t>
        </is>
      </c>
      <c r="D16" s="57" t="inlineStr"/>
    </row>
    <row r="17">
      <c r="A17" s="56" t="inlineStr">
        <is>
          <t>2. Parámetros físicos del terreno</t>
        </is>
      </c>
      <c r="B17" s="56" t="inlineStr">
        <is>
          <t>Paisaje dominante descrito en campo</t>
        </is>
      </c>
      <c r="C17" s="56" t="inlineStr">
        <is>
          <t>Cerro de cumbre cónica boscosa que domina el Caserío Huacas. Las laderas superiores conservan bosque relicto montano de vertiente occidental (neblina); las laderas media e inferior presentan un mosaico de matorral andino, pastizales cultivados y parcelas de maíz/caña, con afloramientos rocosos dispersos. El bloque es drenado por la Qda. Huacas (límite oeste) y por quebradas y manantiales permanentes que descienden hacia el caserío. Acceso por trocha y camino de herradura empedrado.</t>
        </is>
      </c>
      <c r="D17" s="56" t="inlineStr"/>
    </row>
    <row r="18">
      <c r="A18" s="57" t="inlineStr">
        <is>
          <t>2. Parámetros físicos del terreno</t>
        </is>
      </c>
      <c r="B18" s="57" t="inlineStr">
        <is>
          <t>Reptación de suelo</t>
        </is>
      </c>
      <c r="C18" s="57" t="inlineStr">
        <is>
          <t>No</t>
        </is>
      </c>
      <c r="D18" s="57" t="inlineStr"/>
    </row>
    <row r="19">
      <c r="A19" s="56" t="inlineStr">
        <is>
          <t>2. Parámetros físicos del terreno</t>
        </is>
      </c>
      <c r="B19" s="56" t="inlineStr">
        <is>
          <t>Deslizamientos antiguos</t>
        </is>
      </c>
      <c r="C19" s="56" t="inlineStr">
        <is>
          <t>No</t>
        </is>
      </c>
      <c r="D19" s="56" t="inlineStr"/>
    </row>
    <row r="20">
      <c r="A20" s="57" t="inlineStr">
        <is>
          <t>4. Suelos y erosión (F-DT-02)</t>
        </is>
      </c>
      <c r="B20" s="57" t="inlineStr">
        <is>
          <t>Nivel de erosión - síntesis de campo</t>
        </is>
      </c>
      <c r="C20" s="57" t="inlineStr">
        <is>
          <t>Ligera (laminar)</t>
        </is>
      </c>
      <c r="D20" s="57" t="inlineStr"/>
    </row>
    <row r="21">
      <c r="A21" s="56" t="inlineStr">
        <is>
          <t>4. Suelos y erosión (F-DT-02)</t>
        </is>
      </c>
      <c r="B21" s="56" t="inlineStr">
        <is>
          <t>Sellamiento / costra superficial</t>
        </is>
      </c>
      <c r="C21" s="56" t="inlineStr">
        <is>
          <t>No</t>
        </is>
      </c>
      <c r="D21" s="56" t="inlineStr"/>
    </row>
    <row r="22">
      <c r="A22" s="57" t="inlineStr">
        <is>
          <t>4. Suelos y erosión (F-DT-02)</t>
        </is>
      </c>
      <c r="B22" s="57" t="inlineStr">
        <is>
          <t>Compactación por pisoteo</t>
        </is>
      </c>
      <c r="C22" s="57" t="inlineStr">
        <is>
          <t>Sí</t>
        </is>
      </c>
      <c r="D22" s="57" t="inlineStr"/>
    </row>
    <row r="23">
      <c r="A23" s="56" t="inlineStr">
        <is>
          <t>4. Suelos y erosión (F-DT-02)</t>
        </is>
      </c>
      <c r="B23" s="56" t="inlineStr">
        <is>
          <t>Raíces expuestas</t>
        </is>
      </c>
      <c r="C23" s="56" t="inlineStr">
        <is>
          <t>No</t>
        </is>
      </c>
      <c r="D23" s="56" t="inlineStr"/>
    </row>
    <row r="24">
      <c r="A24" s="57" t="inlineStr">
        <is>
          <t>4. Suelos y erosión (F-DT-02)</t>
        </is>
      </c>
      <c r="B24" s="57" t="inlineStr">
        <is>
          <t>Longitud total de cárcavas (m)</t>
        </is>
      </c>
      <c r="C24" s="57" t="inlineStr">
        <is>
          <t>0</t>
        </is>
      </c>
      <c r="D24" s="57" t="inlineStr">
        <is>
          <t>m</t>
        </is>
      </c>
    </row>
    <row r="25">
      <c r="A25" s="56" t="inlineStr">
        <is>
          <t>4. Suelos y erosión (F-DT-02)</t>
        </is>
      </c>
      <c r="B25" s="56" t="inlineStr">
        <is>
          <t>% del bloque afectado por cárcavas</t>
        </is>
      </c>
      <c r="C25" s="56" t="inlineStr">
        <is>
          <t>0</t>
        </is>
      </c>
      <c r="D25" s="56" t="inlineStr">
        <is>
          <t>%</t>
        </is>
      </c>
    </row>
    <row r="26">
      <c r="A26" s="57" t="inlineStr">
        <is>
          <t>4. Suelos y erosión (F-DT-02)</t>
        </is>
      </c>
      <c r="B26" s="57" t="inlineStr">
        <is>
          <t>Erosión laminar (% del bloque)</t>
        </is>
      </c>
      <c r="C26" s="57" t="inlineStr">
        <is>
          <t>10</t>
        </is>
      </c>
      <c r="D26" s="57" t="inlineStr">
        <is>
          <t>%</t>
        </is>
      </c>
    </row>
    <row r="27">
      <c r="A27" s="56" t="inlineStr">
        <is>
          <t>4. Suelos y erosión (F-DT-02)</t>
        </is>
      </c>
      <c r="B27" s="56" t="inlineStr">
        <is>
          <t>Patrón de cárcavas</t>
        </is>
      </c>
      <c r="C27" s="56" t="inlineStr">
        <is>
          <t>Lineal</t>
        </is>
      </c>
      <c r="D27" s="56" t="inlineStr"/>
    </row>
    <row r="28">
      <c r="A28" s="57" t="inlineStr">
        <is>
          <t>4. Suelos y erosión (F-DT-02)</t>
        </is>
      </c>
      <c r="B28" s="57" t="inlineStr">
        <is>
          <t>Socavamiento de cauce</t>
        </is>
      </c>
      <c r="C28" s="57" t="inlineStr">
        <is>
          <t>Sí</t>
        </is>
      </c>
      <c r="D28" s="57" t="inlineStr"/>
    </row>
    <row r="29">
      <c r="A29" s="56" t="inlineStr">
        <is>
          <t>5. Ecosistema, cobertura y flora (F-DT-03)</t>
        </is>
      </c>
      <c r="B29" s="56" t="inlineStr">
        <is>
          <t>Cobertura del dosel (%)</t>
        </is>
      </c>
      <c r="C29" s="56" t="inlineStr">
        <is>
          <t>35</t>
        </is>
      </c>
      <c r="D29" s="56" t="inlineStr">
        <is>
          <t>%</t>
        </is>
      </c>
    </row>
    <row r="30">
      <c r="A30" s="57" t="inlineStr">
        <is>
          <t>5. Ecosistema, cobertura y flora (F-DT-03)</t>
        </is>
      </c>
      <c r="B30" s="57" t="inlineStr">
        <is>
          <t>Cobertura arbustiva (%)</t>
        </is>
      </c>
      <c r="C30" s="57" t="inlineStr">
        <is>
          <t>30</t>
        </is>
      </c>
      <c r="D30" s="57" t="inlineStr">
        <is>
          <t>%</t>
        </is>
      </c>
    </row>
    <row r="31">
      <c r="A31" s="56" t="inlineStr">
        <is>
          <t>5. Ecosistema, cobertura y flora (F-DT-03)</t>
        </is>
      </c>
      <c r="B31" s="56" t="inlineStr">
        <is>
          <t>Cobertura herbácea (%)</t>
        </is>
      </c>
      <c r="C31" s="56" t="inlineStr">
        <is>
          <t>35</t>
        </is>
      </c>
      <c r="D31" s="56" t="inlineStr">
        <is>
          <t>%</t>
        </is>
      </c>
    </row>
    <row r="32">
      <c r="A32" s="57" t="inlineStr">
        <is>
          <t>5. Ecosistema, cobertura y flora (F-DT-03)</t>
        </is>
      </c>
      <c r="B32" s="57" t="inlineStr">
        <is>
          <t>Cobertura de hojarasca (%)</t>
        </is>
      </c>
      <c r="C32" s="57" t="inlineStr">
        <is>
          <t>10</t>
        </is>
      </c>
      <c r="D32" s="57" t="inlineStr">
        <is>
          <t>%</t>
        </is>
      </c>
    </row>
    <row r="33">
      <c r="A33" s="56" t="inlineStr">
        <is>
          <t>5. Ecosistema, cobertura y flora (F-DT-03)</t>
        </is>
      </c>
      <c r="B33" s="56" t="inlineStr">
        <is>
          <t>Altura del estrato dominante (m)</t>
        </is>
      </c>
      <c r="C33" s="56" t="inlineStr">
        <is>
          <t>8</t>
        </is>
      </c>
      <c r="D33" s="56" t="inlineStr">
        <is>
          <t>m</t>
        </is>
      </c>
    </row>
    <row r="34">
      <c r="A34" s="57" t="inlineStr">
        <is>
          <t>5. Ecosistema, cobertura y flora (F-DT-03)</t>
        </is>
      </c>
      <c r="B34" s="57" t="inlineStr">
        <is>
          <t>Altura máxima registrada (m)</t>
        </is>
      </c>
      <c r="C34" s="57" t="inlineStr">
        <is>
          <t>18</t>
        </is>
      </c>
      <c r="D34" s="57" t="inlineStr">
        <is>
          <t>m</t>
        </is>
      </c>
    </row>
    <row r="35">
      <c r="A35" s="56" t="inlineStr">
        <is>
          <t>5. Ecosistema, cobertura y flora (F-DT-03)</t>
        </is>
      </c>
      <c r="B35" s="56" t="inlineStr">
        <is>
          <t>DAP promedio (cm)</t>
        </is>
      </c>
      <c r="C35" s="56" t="inlineStr">
        <is>
          <t>25</t>
        </is>
      </c>
      <c r="D35" s="56" t="inlineStr">
        <is>
          <t>cm</t>
        </is>
      </c>
    </row>
    <row r="36">
      <c r="A36" s="57" t="inlineStr">
        <is>
          <t>5. Ecosistema, cobertura y flora (F-DT-03)</t>
        </is>
      </c>
      <c r="B36" s="57" t="inlineStr">
        <is>
          <t>Presencia de epífitas</t>
        </is>
      </c>
      <c r="C36" s="57" t="inlineStr">
        <is>
          <t>Sí</t>
        </is>
      </c>
      <c r="D36" s="57" t="inlineStr"/>
    </row>
    <row r="37">
      <c r="A37" s="56" t="inlineStr">
        <is>
          <t>5. Ecosistema, cobertura y flora (F-DT-03)</t>
        </is>
      </c>
      <c r="B37" s="56" t="inlineStr">
        <is>
          <t>Fenología dominante</t>
        </is>
      </c>
      <c r="C37" s="56" t="inlineStr">
        <is>
          <t>Vegetativo</t>
        </is>
      </c>
      <c r="D37" s="56" t="inlineStr"/>
    </row>
    <row r="38">
      <c r="A38" s="57" t="inlineStr">
        <is>
          <t>5. Ecosistema, cobertura y flora (F-DT-03)</t>
        </is>
      </c>
      <c r="B38" s="57" t="inlineStr">
        <is>
          <t>Dimensiones de la parcela (m)</t>
        </is>
      </c>
      <c r="C38" s="57" t="inlineStr">
        <is>
          <t>50 × 20</t>
        </is>
      </c>
      <c r="D38" s="57" t="inlineStr"/>
    </row>
    <row r="39">
      <c r="A39" s="56" t="inlineStr">
        <is>
          <t>5. Ecosistema, cobertura y flora (F-DT-03)</t>
        </is>
      </c>
      <c r="B39" s="56" t="inlineStr">
        <is>
          <t>Pendiente de la parcela (%)</t>
        </is>
      </c>
      <c r="C39" s="56" t="inlineStr">
        <is>
          <t>40</t>
        </is>
      </c>
      <c r="D39" s="56" t="inlineStr">
        <is>
          <t>%</t>
        </is>
      </c>
    </row>
    <row r="40">
      <c r="A40" s="57" t="inlineStr">
        <is>
          <t>5. Ecosistema, cobertura y flora (F-DT-03)</t>
        </is>
      </c>
      <c r="B40" s="57" t="inlineStr">
        <is>
          <t>Especies clave georreferenciadas</t>
        </is>
      </c>
      <c r="C40" s="57" t="inlineStr">
        <is>
          <t>6</t>
        </is>
      </c>
      <c r="D40" s="57" t="inlineStr"/>
    </row>
    <row r="41">
      <c r="A41" s="56" t="inlineStr">
        <is>
          <t>6. Degradación, causas y urgencia (F-DT-04)</t>
        </is>
      </c>
      <c r="B41" s="56" t="inlineStr">
        <is>
          <t>Causas directas de la degradación</t>
        </is>
      </c>
      <c r="C41" s="56" t="inlineStr">
        <is>
          <t>Conversión de bosque/matorral a pastizal cultivado y parcelas de maíz/arveja/trigo en laderas, con pastoreo vacuno extensivo; presión sobre el bosque relicto montano y las zonas de recarga hídrica.</t>
        </is>
      </c>
      <c r="D41" s="56" t="inlineStr"/>
    </row>
    <row r="42">
      <c r="A42" s="57" t="inlineStr">
        <is>
          <t>6. Degradación, causas y urgencia (F-DT-04)</t>
        </is>
      </c>
      <c r="B42" s="57" t="inlineStr">
        <is>
          <t>N.° de causas activas en la matriz F-DT-04</t>
        </is>
      </c>
      <c r="C42" s="57" t="inlineStr">
        <is>
          <t>6</t>
        </is>
      </c>
      <c r="D42" s="57" t="inlineStr"/>
    </row>
    <row r="43">
      <c r="A43" s="56" t="inlineStr">
        <is>
          <t>7. Hidrología, acceso y logística (F-DT-05)</t>
        </is>
      </c>
      <c r="B43" s="56" t="inlineStr">
        <is>
          <t>Escorrentía concentrada</t>
        </is>
      </c>
      <c r="C43" s="56" t="inlineStr">
        <is>
          <t>Sí</t>
        </is>
      </c>
      <c r="D43" s="56" t="inlineStr"/>
    </row>
    <row r="44">
      <c r="A44" s="57" t="inlineStr">
        <is>
          <t>7. Hidrología, acceso y logística (F-DT-05)</t>
        </is>
      </c>
      <c r="B44" s="57" t="inlineStr">
        <is>
          <t>Fuentes de agua inventariadas</t>
        </is>
      </c>
      <c r="C44" s="57" t="inlineStr">
        <is>
          <t>5</t>
        </is>
      </c>
      <c r="D44" s="57" t="inlineStr"/>
    </row>
    <row r="45">
      <c r="A45" s="56" t="inlineStr">
        <is>
          <t>7. Hidrología, acceso y logística (F-DT-05)</t>
        </is>
      </c>
      <c r="B45" s="56" t="inlineStr">
        <is>
          <t>Distancia a captación (m)</t>
        </is>
      </c>
      <c r="C45" s="56" t="inlineStr">
        <is>
          <t>0</t>
        </is>
      </c>
      <c r="D45" s="56" t="inlineStr">
        <is>
          <t>m</t>
        </is>
      </c>
    </row>
    <row r="46">
      <c r="A46" s="57" t="inlineStr">
        <is>
          <t>7. Hidrología, acceso y logística (F-DT-05)</t>
        </is>
      </c>
      <c r="B46" s="57" t="inlineStr">
        <is>
          <t>Interferencia con riego</t>
        </is>
      </c>
      <c r="C46" s="57" t="inlineStr">
        <is>
          <t>No</t>
        </is>
      </c>
      <c r="D46" s="57" t="inlineStr"/>
    </row>
    <row r="47">
      <c r="A47" s="56" t="inlineStr">
        <is>
          <t>7. Hidrología, acceso y logística (F-DT-05)</t>
        </is>
      </c>
      <c r="B47" s="56" t="inlineStr">
        <is>
          <t>Vía principal de acceso</t>
        </is>
      </c>
      <c r="C47" s="56" t="inlineStr">
        <is>
          <t>Ruta a Caserío Huacas (trocha carrozable desde Santo Domingo) + camino de herradura</t>
        </is>
      </c>
      <c r="D47" s="56" t="inlineStr"/>
    </row>
    <row r="48">
      <c r="A48" s="57" t="inlineStr">
        <is>
          <t>7. Hidrología, acceso y logística (F-DT-05)</t>
        </is>
      </c>
      <c r="B48" s="57" t="inlineStr">
        <is>
          <t>Tipo de vía del tramo final</t>
        </is>
      </c>
      <c r="C48" s="57" t="inlineStr">
        <is>
          <t>Camino de herradura</t>
        </is>
      </c>
      <c r="D48" s="57" t="inlineStr"/>
    </row>
    <row r="49">
      <c r="A49" s="56" t="inlineStr">
        <is>
          <t>7. Hidrología, acceso y logística (F-DT-05)</t>
        </is>
      </c>
      <c r="B49" s="56" t="inlineStr">
        <is>
          <t>Transitabilidad en época seca</t>
        </is>
      </c>
      <c r="C49" s="56" t="inlineStr">
        <is>
          <t>Medio</t>
        </is>
      </c>
      <c r="D49" s="56" t="inlineStr"/>
    </row>
    <row r="50">
      <c r="A50" s="57" t="inlineStr">
        <is>
          <t>7. Hidrología, acceso y logística (F-DT-05)</t>
        </is>
      </c>
      <c r="B50" s="57" t="inlineStr">
        <is>
          <t>Transitabilidad en época lluviosa</t>
        </is>
      </c>
      <c r="C50" s="57" t="inlineStr">
        <is>
          <t>Bajo</t>
        </is>
      </c>
      <c r="D50" s="57" t="inlineStr"/>
    </row>
    <row r="51">
      <c r="A51" s="56" t="inlineStr">
        <is>
          <t>7. Hidrología, acceso y logística (F-DT-05)</t>
        </is>
      </c>
      <c r="B51" s="56" t="inlineStr">
        <is>
          <t>Tiempo a la capital distrital (min)</t>
        </is>
      </c>
      <c r="C51" s="56" t="inlineStr">
        <is>
          <t>75</t>
        </is>
      </c>
      <c r="D51" s="56" t="inlineStr">
        <is>
          <t>min</t>
        </is>
      </c>
    </row>
    <row r="52">
      <c r="A52" s="57" t="inlineStr">
        <is>
          <t>7. Hidrología, acceso y logística (F-DT-05)</t>
        </is>
      </c>
      <c r="B52" s="57" t="inlineStr">
        <is>
          <t>Señal celular</t>
        </is>
      </c>
      <c r="C52" s="57" t="inlineStr">
        <is>
          <t>Intermitente</t>
        </is>
      </c>
      <c r="D52" s="57" t="inlineStr"/>
    </row>
    <row r="53">
      <c r="A53" s="56" t="inlineStr">
        <is>
          <t>7. Hidrología, acceso y logística (F-DT-05)</t>
        </is>
      </c>
      <c r="B53" s="56" t="inlineStr">
        <is>
          <t>Operador con cobertura</t>
        </is>
      </c>
      <c r="C53" s="56" t="inlineStr">
        <is>
          <t>Movistar</t>
        </is>
      </c>
      <c r="D53" s="56" t="inlineStr"/>
    </row>
    <row r="54">
      <c r="A54" s="57" t="inlineStr">
        <is>
          <t>7. Hidrología, acceso y logística (F-DT-05)</t>
        </is>
      </c>
      <c r="B54" s="57" t="inlineStr">
        <is>
          <t>Alojamiento disponible en la zona</t>
        </is>
      </c>
      <c r="C54" s="57" t="inlineStr">
        <is>
          <t>No</t>
        </is>
      </c>
      <c r="D54" s="57" t="inlineStr"/>
    </row>
    <row r="55">
      <c r="A55" s="56" t="inlineStr">
        <is>
          <t>7. Hidrología, acceso y logística (F-DT-05)</t>
        </is>
      </c>
      <c r="B55" s="56" t="inlineStr">
        <is>
          <t>Requiere coordinación con ronda / comunidad</t>
        </is>
      </c>
      <c r="C55" s="56" t="inlineStr">
        <is>
          <t>Sí</t>
        </is>
      </c>
      <c r="D55" s="56" t="inlineStr"/>
    </row>
    <row r="57">
      <c r="A57" s="54" t="inlineStr">
        <is>
          <t>C. PROCEDENCIA DE LOS HECHOS DECLARADOS</t>
        </is>
      </c>
    </row>
    <row r="58">
      <c r="A58" s="55" t="inlineStr">
        <is>
          <t>Fuente</t>
        </is>
      </c>
      <c r="B58" s="55" t="inlineStr">
        <is>
          <t>Hechos</t>
        </is>
      </c>
      <c r="C58" s="55" t="inlineStr">
        <is>
          <t>Alcance de la fuente</t>
        </is>
      </c>
    </row>
    <row r="59">
      <c r="A59" s="56" t="inlineStr">
        <is>
          <t>Dato de campo</t>
        </is>
      </c>
      <c r="B59" s="56" t="n">
        <v>74</v>
      </c>
      <c r="C59" s="56" t="inlineStr">
        <is>
          <t>Verificación en campo. Fichas F-DT-01 a F-DT-05 de la Plantilla DT Campo Check Validada V5, suscritas por el evaluador.</t>
        </is>
      </c>
    </row>
    <row r="60">
      <c r="A60" s="57" t="inlineStr">
        <is>
          <t>Gabinete (GIS / teledetección)</t>
        </is>
      </c>
      <c r="B60" s="57" t="n">
        <v>22</v>
      </c>
      <c r="C60" s="57" t="inlineStr">
        <is>
          <t>Gabinete. Estadística zonal sobre el MDE y compuestos Sentinel-2 (NDVI mediana 2025, MSAVI 2024 por clase DN).</t>
        </is>
      </c>
    </row>
    <row r="61">
      <c r="A61" s="56" t="inlineStr">
        <is>
          <t>Fuente oficial</t>
        </is>
      </c>
      <c r="B61" s="56" t="n">
        <v>14</v>
      </c>
      <c r="C61" s="56" t="inlineStr">
        <is>
          <t>Fuente oficial. Catálogo maestro Bloques V5/V6, división política INEI y codificación de microcuencas de la ANA.</t>
        </is>
      </c>
    </row>
    <row r="63">
      <c r="A63" s="54" t="inlineStr">
        <is>
          <t>D. ESTADO DEL CRUCE ENTRE FUENTES</t>
        </is>
      </c>
    </row>
    <row r="64">
      <c r="A64" s="55" t="inlineStr">
        <is>
          <t>Estado</t>
        </is>
      </c>
      <c r="B64" s="55" t="inlineStr">
        <is>
          <t>Hechos</t>
        </is>
      </c>
      <c r="C64" s="55" t="inlineStr">
        <is>
          <t>Significado</t>
        </is>
      </c>
    </row>
    <row r="65">
      <c r="A65" s="56" t="inlineStr">
        <is>
          <t>CONFORME</t>
        </is>
      </c>
      <c r="B65" s="56" t="n">
        <v>109</v>
      </c>
      <c r="C65" s="56" t="inlineStr">
        <is>
          <t>Las dos fuentes declaran lo mismo, o solo la fuente que manda sobre el hecho lo declara.</t>
        </is>
      </c>
    </row>
    <row r="66">
      <c r="A66" s="57" t="inlineStr">
        <is>
          <t>COMPLEMENTADO</t>
        </is>
      </c>
      <c r="B66" s="57" t="n">
        <v>1</v>
      </c>
      <c r="C66" s="57" t="inlineStr">
        <is>
          <t>Solo una de las fuentes lo declara y se adopta ese valor.</t>
        </is>
      </c>
    </row>
    <row r="67">
      <c r="A67" s="56" t="inlineStr">
        <is>
          <t>ACTUALIZADO</t>
        </is>
      </c>
      <c r="B67" s="56" t="n">
        <v>0</v>
      </c>
      <c r="C67" s="56" t="inlineStr">
        <is>
          <t>La verificación de campo vigente corrige lo que traía el libro de resumen.</t>
        </is>
      </c>
    </row>
    <row r="68">
      <c r="A68" s="57" t="inlineStr">
        <is>
          <t>DISCREPANTE</t>
        </is>
      </c>
      <c r="B68" s="57" t="n">
        <v>0</v>
      </c>
      <c r="C68" s="57" t="inlineStr">
        <is>
          <t>Las fuentes se contradicen; prevalece la que manda sobre el hecho y la otra queda declarada.</t>
        </is>
      </c>
    </row>
    <row r="69">
      <c r="A69" s="56" t="inlineStr">
        <is>
          <t>PENDIENTE</t>
        </is>
      </c>
      <c r="B69" s="56" t="n">
        <v>4</v>
      </c>
      <c r="C69"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13</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Higuerón</t>
        </is>
      </c>
      <c r="C13" s="56" t="inlineStr">
        <is>
          <t>Ficus sp.</t>
        </is>
      </c>
      <c r="D13" s="56" t="inlineStr">
        <is>
          <t>Moraceae</t>
        </is>
      </c>
      <c r="E13" s="56" t="inlineStr">
        <is>
          <t>Arbóreo superior (&gt;15 m)</t>
        </is>
      </c>
      <c r="F13" s="56" t="inlineStr">
        <is>
          <t>Nativa</t>
        </is>
      </c>
      <c r="G13" s="56" t="inlineStr">
        <is>
          <t>Frecuente (5-20%)</t>
        </is>
      </c>
      <c r="H13" s="61" t="n">
        <v>55</v>
      </c>
      <c r="I13" s="61" t="n">
        <v>16</v>
      </c>
    </row>
    <row r="14">
      <c r="A14" s="57" t="inlineStr">
        <is>
          <t>2</t>
        </is>
      </c>
      <c r="B14" s="57" t="inlineStr">
        <is>
          <t>Nogal</t>
        </is>
      </c>
      <c r="C14" s="57" t="inlineStr">
        <is>
          <t>Juglans neotropica</t>
        </is>
      </c>
      <c r="D14" s="57" t="inlineStr">
        <is>
          <t>Juglandaceae</t>
        </is>
      </c>
      <c r="E14" s="57" t="inlineStr">
        <is>
          <t>Arbóreo superior (&gt;15 m)</t>
        </is>
      </c>
      <c r="F14" s="57" t="inlineStr">
        <is>
          <t>Nativa</t>
        </is>
      </c>
      <c r="G14" s="57" t="inlineStr">
        <is>
          <t>Ocasional (1-5%)</t>
        </is>
      </c>
      <c r="H14" s="62" t="n">
        <v>40</v>
      </c>
      <c r="I14" s="62" t="n">
        <v>15</v>
      </c>
    </row>
    <row r="15">
      <c r="A15" s="56" t="inlineStr">
        <is>
          <t>3</t>
        </is>
      </c>
      <c r="B15" s="56" t="inlineStr">
        <is>
          <t>Podocarpo</t>
        </is>
      </c>
      <c r="C15" s="56" t="inlineStr">
        <is>
          <t>Podocarpus sp.</t>
        </is>
      </c>
      <c r="D15" s="56" t="inlineStr">
        <is>
          <t>Podocarpaceae</t>
        </is>
      </c>
      <c r="E15" s="56" t="inlineStr">
        <is>
          <t>Arbóreo medio (8-15 m)</t>
        </is>
      </c>
      <c r="F15" s="56" t="inlineStr">
        <is>
          <t>Nativa</t>
        </is>
      </c>
      <c r="G15" s="56" t="inlineStr">
        <is>
          <t>Ocasional (1-5%)</t>
        </is>
      </c>
      <c r="H15" s="61" t="n">
        <v>35</v>
      </c>
      <c r="I15" s="61" t="n">
        <v>12</v>
      </c>
    </row>
    <row r="16">
      <c r="A16" s="57" t="inlineStr">
        <is>
          <t>4</t>
        </is>
      </c>
      <c r="B16" s="57" t="inlineStr">
        <is>
          <t>Pacae / Guaba</t>
        </is>
      </c>
      <c r="C16" s="57" t="inlineStr">
        <is>
          <t>Inga sp.</t>
        </is>
      </c>
      <c r="D16" s="57" t="inlineStr">
        <is>
          <t>Fabaceae</t>
        </is>
      </c>
      <c r="E16" s="57" t="inlineStr">
        <is>
          <t>Arbóreo medio (8-15 m)</t>
        </is>
      </c>
      <c r="F16" s="57" t="inlineStr">
        <is>
          <t>Nativa</t>
        </is>
      </c>
      <c r="G16" s="57" t="inlineStr">
        <is>
          <t>Frecuente (5-20%)</t>
        </is>
      </c>
      <c r="H16" s="62" t="n">
        <v>30</v>
      </c>
      <c r="I16" s="62" t="n">
        <v>10</v>
      </c>
    </row>
    <row r="17">
      <c r="A17" s="56" t="inlineStr">
        <is>
          <t>5</t>
        </is>
      </c>
      <c r="B17" s="56" t="inlineStr">
        <is>
          <t>Chirimoya silvestre</t>
        </is>
      </c>
      <c r="C17" s="56" t="inlineStr">
        <is>
          <t>Annona sp.</t>
        </is>
      </c>
      <c r="D17" s="56" t="inlineStr">
        <is>
          <t>Annonaceae</t>
        </is>
      </c>
      <c r="E17" s="56" t="inlineStr">
        <is>
          <t>Arbóreo bajo (4-8 m)</t>
        </is>
      </c>
      <c r="F17" s="56" t="inlineStr">
        <is>
          <t>Nativa</t>
        </is>
      </c>
      <c r="G17" s="56" t="inlineStr">
        <is>
          <t>Ocasional (1-5%)</t>
        </is>
      </c>
      <c r="H17" s="61" t="n">
        <v>20</v>
      </c>
      <c r="I17" s="63" t="n">
        <v>6</v>
      </c>
    </row>
    <row r="18">
      <c r="A18" s="57" t="inlineStr">
        <is>
          <t>6</t>
        </is>
      </c>
      <c r="B18" s="57" t="inlineStr">
        <is>
          <t>Tara</t>
        </is>
      </c>
      <c r="C18" s="57" t="inlineStr">
        <is>
          <t>Caesalpinia spinosa</t>
        </is>
      </c>
      <c r="D18" s="57" t="inlineStr">
        <is>
          <t>Fabaceae</t>
        </is>
      </c>
      <c r="E18" s="57" t="inlineStr">
        <is>
          <t>Arbóreo bajo (4-8 m)</t>
        </is>
      </c>
      <c r="F18" s="57" t="inlineStr">
        <is>
          <t>Nativa</t>
        </is>
      </c>
      <c r="G18" s="57" t="inlineStr">
        <is>
          <t>Frecuente (5-20%)</t>
        </is>
      </c>
      <c r="H18" s="62" t="n">
        <v>18</v>
      </c>
      <c r="I18" s="64" t="n">
        <v>6</v>
      </c>
    </row>
    <row r="19">
      <c r="A19" s="56" t="inlineStr">
        <is>
          <t>7</t>
        </is>
      </c>
      <c r="B19" s="56" t="inlineStr">
        <is>
          <t>Caña de Guayaquil</t>
        </is>
      </c>
      <c r="C19" s="56" t="inlineStr">
        <is>
          <t>Guadua angustifolia</t>
        </is>
      </c>
      <c r="D19" s="56" t="inlineStr">
        <is>
          <t>Poaceae</t>
        </is>
      </c>
      <c r="E19" s="56" t="inlineStr">
        <is>
          <t>Arbóreo bajo (4-8 m)</t>
        </is>
      </c>
      <c r="F19" s="56" t="inlineStr">
        <is>
          <t>Nativa</t>
        </is>
      </c>
      <c r="G19" s="56" t="inlineStr">
        <is>
          <t>Frecuente (5-20%)</t>
        </is>
      </c>
      <c r="H19" s="56" t="n"/>
      <c r="I19" s="63" t="n">
        <v>7</v>
      </c>
    </row>
    <row r="20">
      <c r="A20" s="57" t="inlineStr">
        <is>
          <t>8</t>
        </is>
      </c>
      <c r="B20" s="57" t="inlineStr">
        <is>
          <t>Eucalipto</t>
        </is>
      </c>
      <c r="C20" s="57" t="inlineStr">
        <is>
          <t>Eucalyptus globulus</t>
        </is>
      </c>
      <c r="D20" s="57" t="inlineStr">
        <is>
          <t>Myrtaceae</t>
        </is>
      </c>
      <c r="E20" s="57" t="inlineStr">
        <is>
          <t>Arbóreo superior (&gt;15 m)</t>
        </is>
      </c>
      <c r="F20" s="57" t="inlineStr">
        <is>
          <t>Introducida</t>
        </is>
      </c>
      <c r="G20" s="57" t="inlineStr">
        <is>
          <t>Frecuente (5-20%)</t>
        </is>
      </c>
      <c r="H20" s="62" t="n">
        <v>30</v>
      </c>
      <c r="I20" s="62" t="n">
        <v>18</v>
      </c>
    </row>
    <row r="21">
      <c r="A21" s="56" t="inlineStr">
        <is>
          <t>9</t>
        </is>
      </c>
      <c r="B21" s="56" t="inlineStr">
        <is>
          <t>Pino</t>
        </is>
      </c>
      <c r="C21" s="56" t="inlineStr">
        <is>
          <t>Pinus sp.</t>
        </is>
      </c>
      <c r="D21" s="56" t="inlineStr">
        <is>
          <t>Pinaceae</t>
        </is>
      </c>
      <c r="E21" s="56" t="inlineStr">
        <is>
          <t>Arbóreo medio (8-15 m)</t>
        </is>
      </c>
      <c r="F21" s="56" t="inlineStr">
        <is>
          <t>Introducida</t>
        </is>
      </c>
      <c r="G21" s="56" t="inlineStr">
        <is>
          <t>Ocasional (1-5%)</t>
        </is>
      </c>
      <c r="H21" s="61" t="n">
        <v>25</v>
      </c>
      <c r="I21" s="61" t="n">
        <v>12</v>
      </c>
    </row>
    <row r="22">
      <c r="A22" s="57" t="inlineStr">
        <is>
          <t>10</t>
        </is>
      </c>
      <c r="B22" s="57" t="inlineStr">
        <is>
          <t>Ciprés</t>
        </is>
      </c>
      <c r="C22" s="57" t="inlineStr">
        <is>
          <t>Cupressus sp.</t>
        </is>
      </c>
      <c r="D22" s="57" t="inlineStr">
        <is>
          <t>Cupressaceae</t>
        </is>
      </c>
      <c r="E22" s="57" t="inlineStr">
        <is>
          <t>Arbóreo medio (8-15 m)</t>
        </is>
      </c>
      <c r="F22" s="57" t="inlineStr">
        <is>
          <t>Introducida</t>
        </is>
      </c>
      <c r="G22" s="57" t="inlineStr">
        <is>
          <t>Rara (&lt;1%)</t>
        </is>
      </c>
      <c r="H22" s="62" t="n">
        <v>22</v>
      </c>
      <c r="I22" s="62" t="n">
        <v>10</v>
      </c>
    </row>
    <row r="23">
      <c r="A23" s="56" t="inlineStr">
        <is>
          <t>11</t>
        </is>
      </c>
      <c r="B23" s="56" t="inlineStr">
        <is>
          <t>Grevilea</t>
        </is>
      </c>
      <c r="C23" s="56" t="inlineStr">
        <is>
          <t>Grevillea robusta</t>
        </is>
      </c>
      <c r="D23" s="56" t="inlineStr">
        <is>
          <t>Proteaceae</t>
        </is>
      </c>
      <c r="E23" s="56" t="inlineStr">
        <is>
          <t>Arbóreo medio (8-15 m)</t>
        </is>
      </c>
      <c r="F23" s="56" t="inlineStr">
        <is>
          <t>Introducida</t>
        </is>
      </c>
      <c r="G23" s="56" t="inlineStr">
        <is>
          <t>Ocasional (1-5%)</t>
        </is>
      </c>
      <c r="H23" s="61" t="n">
        <v>25</v>
      </c>
      <c r="I23" s="61" t="n">
        <v>12</v>
      </c>
    </row>
    <row r="24">
      <c r="A24" s="57" t="inlineStr">
        <is>
          <t>12</t>
        </is>
      </c>
      <c r="B24" s="57" t="inlineStr">
        <is>
          <t>Agave / Penca</t>
        </is>
      </c>
      <c r="C24" s="57" t="inlineStr">
        <is>
          <t>Agave americana</t>
        </is>
      </c>
      <c r="D24" s="57" t="inlineStr">
        <is>
          <t>Asparagaceae</t>
        </is>
      </c>
      <c r="E24" s="57" t="inlineStr">
        <is>
          <t>Arbustivo alto (1.5-4 m)</t>
        </is>
      </c>
      <c r="F24" s="57" t="inlineStr">
        <is>
          <t>Introducida</t>
        </is>
      </c>
      <c r="G24" s="57" t="inlineStr">
        <is>
          <t>Ocasional (1-5%)</t>
        </is>
      </c>
      <c r="H24" s="57" t="n"/>
      <c r="I24" s="64" t="n">
        <v>2.5</v>
      </c>
    </row>
    <row r="25">
      <c r="A25" s="56" t="inlineStr">
        <is>
          <t>13</t>
        </is>
      </c>
      <c r="B25" s="56" t="inlineStr">
        <is>
          <t>Yuca de monte</t>
        </is>
      </c>
      <c r="C25" s="56" t="inlineStr">
        <is>
          <t>Apodanthera biflora</t>
        </is>
      </c>
      <c r="D25" s="56" t="inlineStr">
        <is>
          <t>Cucurbitaceae</t>
        </is>
      </c>
      <c r="E25" s="56" t="inlineStr">
        <is>
          <t>Trepador</t>
        </is>
      </c>
      <c r="F25" s="56" t="inlineStr">
        <is>
          <t>Nativa</t>
        </is>
      </c>
      <c r="G25" s="56" t="inlineStr">
        <is>
          <t>Ocasional (1-5%)</t>
        </is>
      </c>
      <c r="H25" s="56" t="n"/>
      <c r="I25" s="56" t="n"/>
    </row>
    <row r="26">
      <c r="A26" s="57" t="inlineStr">
        <is>
          <t>14</t>
        </is>
      </c>
      <c r="B26" s="57" t="inlineStr">
        <is>
          <t>Bromelia / Achupalla (epífita)</t>
        </is>
      </c>
      <c r="C26" s="57" t="inlineStr">
        <is>
          <t>Tillandsia sp.</t>
        </is>
      </c>
      <c r="D26" s="57" t="inlineStr">
        <is>
          <t>Bromeliaceae</t>
        </is>
      </c>
      <c r="E26" s="57" t="inlineStr">
        <is>
          <t>Epífito</t>
        </is>
      </c>
      <c r="F26" s="57" t="inlineStr">
        <is>
          <t>Nativa</t>
        </is>
      </c>
      <c r="G26" s="57" t="inlineStr">
        <is>
          <t>Frecuente (5-20%)</t>
        </is>
      </c>
      <c r="H26" s="57" t="n"/>
      <c r="I26" s="57" t="n"/>
    </row>
    <row r="27">
      <c r="A27" s="56" t="inlineStr">
        <is>
          <t>15</t>
        </is>
      </c>
      <c r="B27" s="56" t="inlineStr">
        <is>
          <t>Helechos</t>
        </is>
      </c>
      <c r="C27" s="56" t="inlineStr">
        <is>
          <t>Pteridophyta (varias)</t>
        </is>
      </c>
      <c r="D27" s="56" t="inlineStr">
        <is>
          <t>Polypodiaceae</t>
        </is>
      </c>
      <c r="E27" s="56" t="inlineStr">
        <is>
          <t>Herbáceo (&lt;0.5 m)</t>
        </is>
      </c>
      <c r="F27" s="56" t="inlineStr">
        <is>
          <t>Nativa</t>
        </is>
      </c>
      <c r="G27" s="56" t="inlineStr">
        <is>
          <t>Abundante (20-40%)</t>
        </is>
      </c>
      <c r="H27" s="56" t="n"/>
      <c r="I27" s="63" t="n">
        <v>0.4</v>
      </c>
    </row>
    <row r="29">
      <c r="A29" s="54" t="inlineStr">
        <is>
          <t>F-DT-03 · ESPECIES CLAVE GEORREFERENCIADAS</t>
        </is>
      </c>
    </row>
    <row r="30">
      <c r="A30" s="55" t="inlineStr">
        <is>
          <t>N.o</t>
        </is>
      </c>
      <c r="B30" s="55" t="inlineStr">
        <is>
          <t>Especie</t>
        </is>
      </c>
      <c r="C30" s="55" t="inlineStr">
        <is>
          <t>Categoría</t>
        </is>
      </c>
      <c r="D30" s="55" t="inlineStr">
        <is>
          <t>Estado UICN</t>
        </is>
      </c>
      <c r="E30" s="55" t="inlineStr">
        <is>
          <t>UTM ESTE</t>
        </is>
      </c>
      <c r="F30" s="55" t="inlineStr">
        <is>
          <t>UTM NORTE</t>
        </is>
      </c>
      <c r="G30" s="55" t="inlineStr">
        <is>
          <t>N.° individuos</t>
        </is>
      </c>
      <c r="H30" s="55" t="inlineStr">
        <is>
          <t>Observación</t>
        </is>
      </c>
    </row>
    <row r="31">
      <c r="A31" s="56" t="inlineStr">
        <is>
          <t>1</t>
        </is>
      </c>
      <c r="B31" s="56" t="inlineStr">
        <is>
          <t>Nogal (Juglans neotropica)</t>
        </is>
      </c>
      <c r="C31" s="56" t="inlineStr">
        <is>
          <t>Amenazada (D.S. 043-2006-AG)</t>
        </is>
      </c>
      <c r="D31" s="56" t="inlineStr">
        <is>
          <t>EN — En Peligro</t>
        </is>
      </c>
      <c r="E31" s="61" t="n">
        <v>619674</v>
      </c>
      <c r="F31" s="61" t="n">
        <v>9442224</v>
      </c>
      <c r="G31" s="56" t="n"/>
      <c r="H31" s="56" t="inlineStr">
        <is>
          <t>Maderable de alto valor; hábitat 1600–2500 m; determinación preliminar</t>
        </is>
      </c>
    </row>
    <row r="32">
      <c r="A32" s="57" t="inlineStr">
        <is>
          <t>2</t>
        </is>
      </c>
      <c r="B32" s="57" t="inlineStr">
        <is>
          <t>Diablo fuerte (Podocarpus sp.)</t>
        </is>
      </c>
      <c r="C32" s="57" t="inlineStr">
        <is>
          <t>Amenazada (D.S. 043-2006-AG)</t>
        </is>
      </c>
      <c r="D32" s="57" t="inlineStr">
        <is>
          <t>VU — Vulnerable</t>
        </is>
      </c>
      <c r="E32" s="62" t="n">
        <v>619739</v>
      </c>
      <c r="F32" s="62" t="n">
        <v>9442286</v>
      </c>
      <c r="G32" s="57" t="n"/>
      <c r="H32" s="57" t="inlineStr">
        <is>
          <t>Conífera nativa indicadora de bosque relicto montano; por determinar a especie</t>
        </is>
      </c>
    </row>
    <row r="33">
      <c r="A33" s="56" t="inlineStr">
        <is>
          <t>3</t>
        </is>
      </c>
      <c r="B33" s="56" t="inlineStr">
        <is>
          <t>Higuerón (Ficus sp.)</t>
        </is>
      </c>
      <c r="C33" s="56" t="inlineStr">
        <is>
          <t>Indicadora de buen estado</t>
        </is>
      </c>
      <c r="D33" s="56" t="inlineStr">
        <is>
          <t>No aplica</t>
        </is>
      </c>
      <c r="E33" s="61" t="n">
        <v>619664</v>
      </c>
      <c r="F33" s="61" t="n">
        <v>9442222</v>
      </c>
      <c r="G33" s="56" t="n"/>
      <c r="H33" s="56" t="inlineStr">
        <is>
          <t>Asociada a quebradas y relictos húmedos</t>
        </is>
      </c>
    </row>
    <row r="34">
      <c r="A34" s="57" t="inlineStr">
        <is>
          <t>4</t>
        </is>
      </c>
      <c r="B34" s="57" t="inlineStr">
        <is>
          <t>Tara (Caesalpinia spinosa)</t>
        </is>
      </c>
      <c r="C34" s="57" t="inlineStr">
        <is>
          <t>Clave cultural</t>
        </is>
      </c>
      <c r="D34" s="57" t="inlineStr">
        <is>
          <t>No aplica</t>
        </is>
      </c>
      <c r="E34" s="62" t="n">
        <v>619613</v>
      </c>
      <c r="F34" s="62" t="n">
        <v>9442274</v>
      </c>
      <c r="G34" s="57" t="n"/>
      <c r="H34" s="57" t="inlineStr">
        <is>
          <t>Aprovechamiento local (taninos)</t>
        </is>
      </c>
    </row>
    <row r="35">
      <c r="A35" s="56" t="inlineStr">
        <is>
          <t>5</t>
        </is>
      </c>
      <c r="B35" s="56" t="inlineStr">
        <is>
          <t>Chirimoya silvestre (Annona sp.)</t>
        </is>
      </c>
      <c r="C35" s="56" t="inlineStr">
        <is>
          <t>Clave cultural</t>
        </is>
      </c>
      <c r="D35" s="56" t="inlineStr">
        <is>
          <t>No aplica</t>
        </is>
      </c>
      <c r="E35" s="61" t="n">
        <v>619663</v>
      </c>
      <c r="F35" s="61" t="n">
        <v>9442216</v>
      </c>
      <c r="G35" s="56" t="n"/>
      <c r="H35" s="56" t="inlineStr">
        <is>
          <t>Pariente silvestre de interés genético</t>
        </is>
      </c>
    </row>
    <row r="36">
      <c r="A36" s="57" t="inlineStr">
        <is>
          <t>6</t>
        </is>
      </c>
      <c r="B36" s="57" t="inlineStr">
        <is>
          <t>Eucalipto / Pino / Ciprés (exóticas plantadas)</t>
        </is>
      </c>
      <c r="C36" s="57" t="inlineStr">
        <is>
          <t>Indicadora de perturbación</t>
        </is>
      </c>
      <c r="D36" s="57" t="inlineStr">
        <is>
          <t>No aplica</t>
        </is>
      </c>
      <c r="E36" s="62" t="n">
        <v>619663</v>
      </c>
      <c r="F36" s="62" t="n">
        <v>9442216</v>
      </c>
      <c r="G36" s="57" t="n"/>
      <c r="H36" s="57" t="inlineStr">
        <is>
          <t>Plantaciones exóticas dispersas en linderos</t>
        </is>
      </c>
    </row>
    <row r="38">
      <c r="A38" s="54" t="inlineStr">
        <is>
          <t>F-DT-04 · MATRIZ DE CAUSAS DE DEGRADACIÓN</t>
        </is>
      </c>
    </row>
    <row r="39">
      <c r="A39" s="55" t="inlineStr">
        <is>
          <t>N.o</t>
        </is>
      </c>
      <c r="B39" s="55" t="inlineStr">
        <is>
          <t>Causa</t>
        </is>
      </c>
      <c r="C39" s="55" t="inlineStr">
        <is>
          <t>Presencia</t>
        </is>
      </c>
      <c r="D39" s="55" t="inlineStr">
        <is>
          <t>Intensidad</t>
        </is>
      </c>
      <c r="E39" s="55" t="inlineStr">
        <is>
          <t>Extensión</t>
        </is>
      </c>
      <c r="F39" s="55" t="inlineStr">
        <is>
          <t>Antigüedad</t>
        </is>
      </c>
      <c r="G39" s="55" t="inlineStr">
        <is>
          <t>Evidencia</t>
        </is>
      </c>
    </row>
    <row r="40">
      <c r="A40" s="56" t="inlineStr">
        <is>
          <t>1</t>
        </is>
      </c>
      <c r="B40" s="56" t="inlineStr">
        <is>
          <t>Sobrepastoreo (caprino/vacuno)</t>
        </is>
      </c>
      <c r="C40" s="56" t="inlineStr">
        <is>
          <t>Sí</t>
        </is>
      </c>
      <c r="D40" s="56" t="inlineStr">
        <is>
          <t>Moderada</t>
        </is>
      </c>
      <c r="E40" s="56" t="inlineStr">
        <is>
          <t>40</t>
        </is>
      </c>
      <c r="F40" s="56" t="inlineStr"/>
      <c r="G40" s="56" t="inlineStr">
        <is>
          <t>Vacuno en pastoreo extensivo (Fig. 13 y 14); pisoteo y ramoneo en laderas</t>
        </is>
      </c>
    </row>
    <row r="41">
      <c r="A41" s="57" t="inlineStr">
        <is>
          <t>2</t>
        </is>
      </c>
      <c r="B41" s="57" t="inlineStr">
        <is>
          <t>Tala para leña</t>
        </is>
      </c>
      <c r="C41" s="57" t="inlineStr">
        <is>
          <t>No</t>
        </is>
      </c>
      <c r="D41" s="57" t="inlineStr"/>
      <c r="E41" s="57" t="inlineStr"/>
      <c r="F41" s="57" t="inlineStr"/>
      <c r="G41" s="57" t="inlineStr"/>
    </row>
    <row r="42">
      <c r="A42" s="56" t="inlineStr">
        <is>
          <t>3</t>
        </is>
      </c>
      <c r="B42" s="56" t="inlineStr">
        <is>
          <t>Tala para carbón</t>
        </is>
      </c>
      <c r="C42" s="56" t="inlineStr">
        <is>
          <t>No</t>
        </is>
      </c>
      <c r="D42" s="56" t="inlineStr"/>
      <c r="E42" s="56" t="inlineStr"/>
      <c r="F42" s="56" t="inlineStr"/>
      <c r="G42" s="56" t="inlineStr"/>
    </row>
    <row r="43">
      <c r="A43" s="57" t="inlineStr">
        <is>
          <t>4</t>
        </is>
      </c>
      <c r="B43" s="57" t="inlineStr">
        <is>
          <t>Tala para madera</t>
        </is>
      </c>
      <c r="C43" s="57" t="inlineStr">
        <is>
          <t>Sí</t>
        </is>
      </c>
      <c r="D43" s="57" t="inlineStr">
        <is>
          <t>Ligera</t>
        </is>
      </c>
      <c r="E43" s="57" t="inlineStr">
        <is>
          <t>15</t>
        </is>
      </c>
      <c r="F43" s="57" t="inlineStr"/>
      <c r="G43" s="57" t="inlineStr">
        <is>
          <t>Fragmentación del bosque; extracción local inferida (por verificar)</t>
        </is>
      </c>
    </row>
    <row r="44">
      <c r="A44" s="56" t="inlineStr">
        <is>
          <t>5</t>
        </is>
      </c>
      <c r="B44" s="56" t="inlineStr">
        <is>
          <t>Quema (renovación de pastos)</t>
        </is>
      </c>
      <c r="C44" s="56" t="inlineStr">
        <is>
          <t>No</t>
        </is>
      </c>
      <c r="D44" s="56" t="inlineStr"/>
      <c r="E44" s="56" t="inlineStr"/>
      <c r="F44" s="56" t="inlineStr"/>
      <c r="G44" s="56" t="inlineStr"/>
    </row>
    <row r="45">
      <c r="A45" s="57" t="inlineStr">
        <is>
          <t>6</t>
        </is>
      </c>
      <c r="B45" s="57" t="inlineStr">
        <is>
          <t>Quema accidental / Incendio</t>
        </is>
      </c>
      <c r="C45" s="57" t="inlineStr">
        <is>
          <t>No</t>
        </is>
      </c>
      <c r="D45" s="57" t="inlineStr"/>
      <c r="E45" s="57" t="inlineStr"/>
      <c r="F45" s="57" t="inlineStr"/>
      <c r="G45" s="57" t="inlineStr"/>
    </row>
    <row r="46">
      <c r="A46" s="56" t="inlineStr">
        <is>
          <t>7</t>
        </is>
      </c>
      <c r="B46" s="56" t="inlineStr">
        <is>
          <t>Cambio de uso a agricultura</t>
        </is>
      </c>
      <c r="C46" s="56" t="inlineStr">
        <is>
          <t>Sí</t>
        </is>
      </c>
      <c r="D46" s="56" t="inlineStr">
        <is>
          <t>Moderada</t>
        </is>
      </c>
      <c r="E46" s="56" t="inlineStr">
        <is>
          <t>14</t>
        </is>
      </c>
      <c r="F46" s="56" t="inlineStr"/>
      <c r="G46" s="56" t="inlineStr">
        <is>
          <t>Parcelas de maíz, arveja y trigo en laderas (Fig. 6, 9 y 11)</t>
        </is>
      </c>
    </row>
    <row r="47">
      <c r="A47" s="57" t="inlineStr">
        <is>
          <t>8</t>
        </is>
      </c>
      <c r="B47" s="57" t="inlineStr">
        <is>
          <t>Cambio de uso a pastoreo</t>
        </is>
      </c>
      <c r="C47" s="57" t="inlineStr">
        <is>
          <t>Sí</t>
        </is>
      </c>
      <c r="D47" s="57" t="inlineStr">
        <is>
          <t>Moderada</t>
        </is>
      </c>
      <c r="E47" s="57" t="inlineStr">
        <is>
          <t>60</t>
        </is>
      </c>
      <c r="F47" s="57" t="inlineStr"/>
      <c r="G47" s="57" t="inlineStr">
        <is>
          <t>Conversión a pastizal cultivado en ladera media-baja</t>
        </is>
      </c>
    </row>
    <row r="48">
      <c r="A48" s="56" t="inlineStr">
        <is>
          <t>9</t>
        </is>
      </c>
      <c r="B48" s="56" t="inlineStr">
        <is>
          <t>Expansión urbana / vial</t>
        </is>
      </c>
      <c r="C48" s="56" t="inlineStr">
        <is>
          <t>No</t>
        </is>
      </c>
      <c r="D48" s="56" t="inlineStr"/>
      <c r="E48" s="56" t="inlineStr"/>
      <c r="F48" s="56" t="inlineStr"/>
      <c r="G48" s="56" t="inlineStr"/>
    </row>
    <row r="49">
      <c r="A49" s="57" t="inlineStr">
        <is>
          <t>10</t>
        </is>
      </c>
      <c r="B49" s="57" t="inlineStr">
        <is>
          <t>Minería informal</t>
        </is>
      </c>
      <c r="C49" s="57" t="inlineStr">
        <is>
          <t>No</t>
        </is>
      </c>
      <c r="D49" s="57" t="inlineStr"/>
      <c r="E49" s="57" t="inlineStr"/>
      <c r="F49" s="57" t="inlineStr"/>
      <c r="G49" s="57" t="inlineStr"/>
    </row>
    <row r="50">
      <c r="A50" s="56" t="inlineStr">
        <is>
          <t>11</t>
        </is>
      </c>
      <c r="B50" s="56" t="inlineStr">
        <is>
          <t>Extracción de áridos (cauces)</t>
        </is>
      </c>
      <c r="C50" s="56" t="inlineStr">
        <is>
          <t>No</t>
        </is>
      </c>
      <c r="D50" s="56" t="inlineStr"/>
      <c r="E50" s="56" t="inlineStr"/>
      <c r="F50" s="56" t="inlineStr"/>
      <c r="G50" s="56" t="inlineStr"/>
    </row>
    <row r="51">
      <c r="A51" s="57" t="inlineStr">
        <is>
          <t>12</t>
        </is>
      </c>
      <c r="B51" s="57" t="inlineStr">
        <is>
          <t>Especies invasoras</t>
        </is>
      </c>
      <c r="C51" s="57" t="inlineStr">
        <is>
          <t>Sí</t>
        </is>
      </c>
      <c r="D51" s="57" t="inlineStr">
        <is>
          <t>Ligera</t>
        </is>
      </c>
      <c r="E51" s="57" t="inlineStr">
        <is>
          <t>5</t>
        </is>
      </c>
      <c r="F51" s="57" t="inlineStr"/>
      <c r="G51" s="57" t="inlineStr">
        <is>
          <t>Plantaciones de eucalipto, pino y ciprés en linderos (Fig. 9)</t>
        </is>
      </c>
    </row>
    <row r="52">
      <c r="A52" s="56" t="inlineStr">
        <is>
          <t>13</t>
        </is>
      </c>
      <c r="B52" s="56" t="inlineStr">
        <is>
          <t>Erosión natural severa</t>
        </is>
      </c>
      <c r="C52" s="56" t="inlineStr">
        <is>
          <t>No</t>
        </is>
      </c>
      <c r="D52" s="56" t="inlineStr"/>
      <c r="E52" s="56" t="inlineStr"/>
      <c r="F52" s="56" t="inlineStr"/>
      <c r="G52" s="56" t="inlineStr"/>
    </row>
    <row r="53">
      <c r="A53" s="57" t="inlineStr">
        <is>
          <t>14</t>
        </is>
      </c>
      <c r="B53" s="57" t="inlineStr">
        <is>
          <t>Sequía prolongada / CC</t>
        </is>
      </c>
      <c r="C53" s="57" t="inlineStr">
        <is>
          <t>Sí</t>
        </is>
      </c>
      <c r="D53" s="57" t="inlineStr">
        <is>
          <t>Ligera</t>
        </is>
      </c>
      <c r="E53" s="57" t="inlineStr">
        <is>
          <t>100</t>
        </is>
      </c>
      <c r="F53" s="57" t="inlineStr"/>
      <c r="G53" s="57" t="inlineStr">
        <is>
          <t>Proyección de déficit hídrico futuro (SSP585) sobre ecosistema de neblina</t>
        </is>
      </c>
    </row>
    <row r="54">
      <c r="A54" s="56" t="inlineStr">
        <is>
          <t>15</t>
        </is>
      </c>
      <c r="B54" s="56" t="inlineStr">
        <is>
          <t>Plagas o enfermedades forestales</t>
        </is>
      </c>
      <c r="C54" s="56" t="inlineStr">
        <is>
          <t>No</t>
        </is>
      </c>
      <c r="D54" s="56" t="inlineStr"/>
      <c r="E54" s="56" t="inlineStr"/>
      <c r="F54" s="56" t="inlineStr"/>
      <c r="G54" s="56" t="inlineStr"/>
    </row>
    <row r="55">
      <c r="A55" s="57" t="inlineStr">
        <is>
          <t>16</t>
        </is>
      </c>
      <c r="B55" s="57" t="inlineStr">
        <is>
          <t>Otro</t>
        </is>
      </c>
      <c r="C55" s="57" t="inlineStr">
        <is>
          <t>No</t>
        </is>
      </c>
      <c r="D55" s="57" t="inlineStr"/>
      <c r="E55" s="57" t="inlineStr"/>
      <c r="F55" s="57" t="inlineStr"/>
      <c r="G55" s="57" t="inlineStr"/>
    </row>
    <row r="57">
      <c r="A57" s="54" t="inlineStr">
        <is>
          <t>F-DT-04 · INDICADORES CUANTITATIVOS</t>
        </is>
      </c>
    </row>
    <row r="58">
      <c r="A58" s="55" t="inlineStr">
        <is>
          <t>N.o</t>
        </is>
      </c>
      <c r="B58" s="55" t="inlineStr">
        <is>
          <t>Indicador</t>
        </is>
      </c>
      <c r="C58" s="55" t="inlineStr">
        <is>
          <t>Unidad</t>
        </is>
      </c>
      <c r="D58" s="55" t="inlineStr">
        <is>
          <t>Valor</t>
        </is>
      </c>
      <c r="E58" s="55" t="inlineStr">
        <is>
          <t>Fuente</t>
        </is>
      </c>
      <c r="F58" s="55" t="inlineStr">
        <is>
          <t>Umbral</t>
        </is>
      </c>
      <c r="G58" s="55" t="inlineStr">
        <is>
          <t>Nivel</t>
        </is>
      </c>
    </row>
    <row r="59">
      <c r="A59" s="56" t="inlineStr">
        <is>
          <t>1</t>
        </is>
      </c>
      <c r="B59" s="56" t="inlineStr">
        <is>
          <t>Cobertura vegetal total</t>
        </is>
      </c>
      <c r="C59" s="56" t="inlineStr">
        <is>
          <t>%</t>
        </is>
      </c>
      <c r="D59" s="56" t="inlineStr">
        <is>
          <t>80</t>
        </is>
      </c>
      <c r="E59" s="56" t="inlineStr">
        <is>
          <t>Campo + MSAVI 2024</t>
        </is>
      </c>
      <c r="F59" s="56" t="inlineStr">
        <is>
          <t>&gt;60% bueno; 30-60% medio; &lt;30% malo</t>
        </is>
      </c>
      <c r="G59" s="56" t="inlineStr">
        <is>
          <t>Bajo</t>
        </is>
      </c>
    </row>
    <row r="60">
      <c r="A60" s="57" t="inlineStr">
        <is>
          <t>2</t>
        </is>
      </c>
      <c r="B60" s="57" t="inlineStr">
        <is>
          <t>Porcentaje de suelo desnudo</t>
        </is>
      </c>
      <c r="C60" s="57" t="inlineStr">
        <is>
          <t>%</t>
        </is>
      </c>
      <c r="D60" s="57" t="inlineStr">
        <is>
          <t>10</t>
        </is>
      </c>
      <c r="E60" s="57" t="inlineStr">
        <is>
          <t>Campo</t>
        </is>
      </c>
      <c r="F60" s="57" t="inlineStr">
        <is>
          <t>&lt;10% bueno; 10-30% medio; &gt;30% malo</t>
        </is>
      </c>
      <c r="G60" s="57" t="inlineStr">
        <is>
          <t>Bajo</t>
        </is>
      </c>
    </row>
    <row r="61">
      <c r="A61" s="56" t="inlineStr">
        <is>
          <t>3</t>
        </is>
      </c>
      <c r="B61" s="56" t="inlineStr">
        <is>
          <t>Densidad de cárcavas</t>
        </is>
      </c>
      <c r="C61" s="56" t="inlineStr">
        <is>
          <t>N°/ha</t>
        </is>
      </c>
      <c r="D61" s="56" t="inlineStr">
        <is>
          <t>0</t>
        </is>
      </c>
      <c r="E61" s="56" t="inlineStr">
        <is>
          <t>Inventario F-DT-02</t>
        </is>
      </c>
      <c r="F61" s="56" t="inlineStr">
        <is>
          <t>0 nulo; 1-3 medio; &gt;3 alto</t>
        </is>
      </c>
      <c r="G61" s="56" t="inlineStr">
        <is>
          <t>Bajo</t>
        </is>
      </c>
    </row>
    <row r="62">
      <c r="A62" s="57" t="inlineStr">
        <is>
          <t>4</t>
        </is>
      </c>
      <c r="B62" s="57" t="inlineStr">
        <is>
          <t>Presencia de especies invasoras</t>
        </is>
      </c>
      <c r="C62" s="57" t="inlineStr">
        <is>
          <t>% área</t>
        </is>
      </c>
      <c r="D62" s="57" t="inlineStr">
        <is>
          <t>5</t>
        </is>
      </c>
      <c r="E62" s="57" t="inlineStr">
        <is>
          <t>Campo</t>
        </is>
      </c>
      <c r="F62" s="57" t="inlineStr">
        <is>
          <t>&lt;5% bueno; 5-20% medio; &gt;20% alto</t>
        </is>
      </c>
      <c r="G62" s="57" t="inlineStr">
        <is>
          <t>Bajo</t>
        </is>
      </c>
    </row>
    <row r="63">
      <c r="A63" s="56" t="inlineStr">
        <is>
          <t>5</t>
        </is>
      </c>
      <c r="B63" s="56" t="inlineStr">
        <is>
          <t>Carga ganadera estimada</t>
        </is>
      </c>
      <c r="C63" s="56" t="inlineStr">
        <is>
          <t>UA/ha</t>
        </is>
      </c>
      <c r="D63" s="56" t="inlineStr">
        <is>
          <t>0.6</t>
        </is>
      </c>
      <c r="E63" s="56" t="inlineStr">
        <is>
          <t>Campo (vacuno)</t>
        </is>
      </c>
      <c r="F63" s="56" t="inlineStr">
        <is>
          <t>Según tipo de ecosistema</t>
        </is>
      </c>
      <c r="G63" s="56" t="inlineStr">
        <is>
          <t>Medio</t>
        </is>
      </c>
    </row>
    <row r="64">
      <c r="A64" s="57" t="inlineStr">
        <is>
          <t>6</t>
        </is>
      </c>
      <c r="B64" s="57" t="inlineStr">
        <is>
          <t>Frecuencia de quemas últimos 5 años</t>
        </is>
      </c>
      <c r="C64" s="57" t="inlineStr">
        <is>
          <t>N°</t>
        </is>
      </c>
      <c r="D64" s="57" t="inlineStr">
        <is>
          <t>Por verificar</t>
        </is>
      </c>
      <c r="E64" s="57" t="inlineStr">
        <is>
          <t>Campo / entrevistas</t>
        </is>
      </c>
      <c r="F64" s="57" t="inlineStr">
        <is>
          <t>0 nulo; 1-2 medio; &gt;2 alto</t>
        </is>
      </c>
      <c r="G64" s="57" t="inlineStr">
        <is>
          <t>Bajo</t>
        </is>
      </c>
    </row>
    <row r="65">
      <c r="A65" s="56" t="inlineStr">
        <is>
          <t>7</t>
        </is>
      </c>
      <c r="B65" s="56" t="inlineStr">
        <is>
          <t>% área con pendiente &gt;50%</t>
        </is>
      </c>
      <c r="C65" s="56" t="inlineStr">
        <is>
          <t>%</t>
        </is>
      </c>
      <c r="D65" s="56" t="inlineStr">
        <is>
          <t>40</t>
        </is>
      </c>
      <c r="E65" s="56" t="inlineStr">
        <is>
          <t>MDT / Google Earth</t>
        </is>
      </c>
      <c r="F65" s="56" t="inlineStr">
        <is>
          <t>Factor de susceptibilidad</t>
        </is>
      </c>
      <c r="G65" s="56" t="inlineStr">
        <is>
          <t>Alto</t>
        </is>
      </c>
    </row>
    <row r="66">
      <c r="A66" s="57" t="inlineStr">
        <is>
          <t>8</t>
        </is>
      </c>
      <c r="B66" s="57" t="inlineStr">
        <is>
          <t>Distancia a vía vecinal más cercana</t>
        </is>
      </c>
      <c r="C66" s="57" t="inlineStr">
        <is>
          <t>m</t>
        </is>
      </c>
      <c r="D66" s="57" t="inlineStr">
        <is>
          <t>300</t>
        </is>
      </c>
      <c r="E66" s="57" t="inlineStr">
        <is>
          <t>Cartografía MTC (aprox.)</t>
        </is>
      </c>
      <c r="F66" s="57" t="inlineStr">
        <is>
          <t>A menor distancia → mayor presión</t>
        </is>
      </c>
      <c r="G66" s="57" t="inlineStr">
        <is>
          <t>Medio</t>
        </is>
      </c>
    </row>
    <row r="68">
      <c r="A68" s="54" t="inlineStr">
        <is>
          <t>F-DT-05 · FUENTES DE AGUA INVENTARIADAS</t>
        </is>
      </c>
    </row>
    <row r="69">
      <c r="A69" s="55" t="inlineStr">
        <is>
          <t>N.o</t>
        </is>
      </c>
      <c r="B69" s="55" t="inlineStr">
        <is>
          <t>Tipo de fuente</t>
        </is>
      </c>
      <c r="C69" s="55" t="inlineStr">
        <is>
          <t>UTM ESTE</t>
        </is>
      </c>
      <c r="D69" s="55" t="inlineStr">
        <is>
          <t>UTM NORTE</t>
        </is>
      </c>
      <c r="E69" s="55" t="inlineStr">
        <is>
          <t>Régimen</t>
        </is>
      </c>
      <c r="F69" s="55" t="inlineStr">
        <is>
          <t>Calidad</t>
        </is>
      </c>
      <c r="G69" s="55" t="inlineStr">
        <is>
          <t>Distancia (m)</t>
        </is>
      </c>
      <c r="H69" s="55" t="inlineStr">
        <is>
          <t>Uso / observación</t>
        </is>
      </c>
    </row>
    <row r="70">
      <c r="A70" s="56" t="inlineStr">
        <is>
          <t>1</t>
        </is>
      </c>
      <c r="B70" s="56" t="inlineStr">
        <is>
          <t>Manantial / Puquio</t>
        </is>
      </c>
      <c r="C70" s="61" t="n">
        <v>619674</v>
      </c>
      <c r="D70" s="61" t="n">
        <v>9442224</v>
      </c>
      <c r="E70" s="56" t="inlineStr">
        <is>
          <t>Permanente</t>
        </is>
      </c>
      <c r="F70" s="56" t="inlineStr">
        <is>
          <t>Buena (clara, sin olor, sin sedimentos)</t>
        </is>
      </c>
      <c r="G70" s="63" t="n">
        <v>0</v>
      </c>
      <c r="H70" s="56" t="inlineStr">
        <is>
          <t>Captación de concreto con manguera de conducción — uso poblacional/doméstico (Fig. 15)</t>
        </is>
      </c>
    </row>
    <row r="71">
      <c r="A71" s="57" t="inlineStr">
        <is>
          <t>2</t>
        </is>
      </c>
      <c r="B71" s="57" t="inlineStr">
        <is>
          <t>Quebrada permanente</t>
        </is>
      </c>
      <c r="C71" s="62" t="n">
        <v>619739</v>
      </c>
      <c r="D71" s="62" t="n">
        <v>9442286</v>
      </c>
      <c r="E71" s="57" t="inlineStr">
        <is>
          <t>Permanente</t>
        </is>
      </c>
      <c r="F71" s="57" t="inlineStr">
        <is>
          <t>Regular (ligeramente turbia o con sedimentos)</t>
        </is>
      </c>
      <c r="G71" s="64" t="n">
        <v>0</v>
      </c>
      <c r="H71" s="57" t="inlineStr">
        <is>
          <t>Cauce con caída de agua; flujo en estiaje (Fig. 12)</t>
        </is>
      </c>
    </row>
    <row r="72">
      <c r="A72" s="56" t="inlineStr">
        <is>
          <t>3</t>
        </is>
      </c>
      <c r="B72" s="56" t="inlineStr">
        <is>
          <t>Quebrada permanente</t>
        </is>
      </c>
      <c r="C72" s="61" t="n">
        <v>619664</v>
      </c>
      <c r="D72" s="61" t="n">
        <v>9442222</v>
      </c>
      <c r="E72" s="56" t="inlineStr">
        <is>
          <t>Permanente</t>
        </is>
      </c>
      <c r="F72" s="56" t="inlineStr">
        <is>
          <t>Buena (clara, sin olor, sin sedimentos)</t>
        </is>
      </c>
      <c r="G72" s="63" t="n">
        <v>0</v>
      </c>
      <c r="H72" s="56" t="inlineStr">
        <is>
          <t>Riachuelo bajo dosel; humedad persistente (Fig. 10)</t>
        </is>
      </c>
    </row>
    <row r="73">
      <c r="A73" s="57" t="inlineStr">
        <is>
          <t>4</t>
        </is>
      </c>
      <c r="B73" s="57" t="inlineStr">
        <is>
          <t>Manantial / Puquio</t>
        </is>
      </c>
      <c r="C73" s="62" t="n">
        <v>619650</v>
      </c>
      <c r="D73" s="62" t="n">
        <v>9442217</v>
      </c>
      <c r="E73" s="57" t="inlineStr">
        <is>
          <t>Permanente</t>
        </is>
      </c>
      <c r="F73" s="57" t="inlineStr">
        <is>
          <t>Regular (ligeramente turbia o con sedimentos)</t>
        </is>
      </c>
      <c r="G73" s="64" t="n">
        <v>0</v>
      </c>
      <c r="H73" s="57" t="inlineStr">
        <is>
          <t>Afloramiento con socavamiento incipiente de orilla (Fig. 7)</t>
        </is>
      </c>
    </row>
    <row r="74">
      <c r="A74" s="56" t="inlineStr">
        <is>
          <t>5</t>
        </is>
      </c>
      <c r="B74" s="56" t="inlineStr">
        <is>
          <t>Quebrada permanente</t>
        </is>
      </c>
      <c r="C74" s="61" t="n">
        <v>619300</v>
      </c>
      <c r="D74" s="61" t="n">
        <v>9442500</v>
      </c>
      <c r="E74" s="56" t="inlineStr">
        <is>
          <t>Permanente</t>
        </is>
      </c>
      <c r="F74" s="56" t="inlineStr">
        <is>
          <t>Regular (ligeramente turbia o con sedimentos)</t>
        </is>
      </c>
      <c r="G74" s="61" t="n">
        <v>50</v>
      </c>
      <c r="H74" s="56" t="inlineStr">
        <is>
          <t>Qda. Huacas — límite oeste del bloque (Fig. 1)</t>
        </is>
      </c>
    </row>
    <row r="77">
      <c r="A77" s="54" t="inlineStr">
        <is>
          <t>OBSERVACIONES DEL EVALUADOR POR FICHA</t>
        </is>
      </c>
    </row>
    <row r="78">
      <c r="A78" s="55" t="inlineStr">
        <is>
          <t>Ficha</t>
        </is>
      </c>
      <c r="B78" s="55" t="inlineStr">
        <is>
          <t>Observación registrada en campo</t>
        </is>
      </c>
    </row>
    <row r="79">
      <c r="A79" s="56" t="inlineStr">
        <is>
          <t>F-DT-01</t>
        </is>
      </c>
      <c r="B79" s="56" t="inlineStr">
        <is>
          <t>Las laderas superiores del cerro presentan fuerte pendiente (perfil de campo: media 41,4 %, máxima 78,4 % sobre 1,28 km con desnivel de 545 m), lo que configura susceptibilidad latente a movimientos en masa pese a la buena cobertura actual. No se observaron escarpes ni remociones activas en la franja accesible. La cota varía de ~1 580 msnm (Huacas) a &gt;2 180 msnm en la cima; altitud media del bloque ~1 750 msnm. Punto de muestreo referencial del sector de captación/manantial.</t>
        </is>
      </c>
    </row>
    <row r="80">
      <c r="A80" s="57" t="inlineStr">
        <is>
          <t>F-DT-02</t>
        </is>
      </c>
      <c r="B80" s="57" t="inlineStr">
        <is>
          <t>No se inventariaron cárcavas activas en el tramo accesible; la erosión es predominantemente laminar bajo buena cobertura herbácea. Se observa erosión concentrada y socavamiento incipiente a lo largo de los caminos de herradura empedrados (Fig. 5 y 8) y en las márgenes de quebradas y manantiales (Fig. 7 y 10). El inventario georreferenciado detallado de surcos/cárcavas queda pendiente de verificación de campo complementaria (por verificar).</t>
        </is>
      </c>
    </row>
    <row r="81">
      <c r="A81" s="56" t="inlineStr">
        <is>
          <t>F-DT-03</t>
        </is>
      </c>
      <c r="B81" s="56" t="inlineStr">
        <is>
          <t>Listado florístico preliminar basado en juicio de experto, literatura regional y registro fotográfico; las determinaciones a especie quedan pendientes de campaña de colecta botánica. El bloque conforma un mosaico de tres ecosistemas MINAM: Bosque relicto montano de vertiente occidental (26,22 ha), Matorral andino (60,35 ha) y Zona agrícola (13,94 ha). El bosque relicto montano constituye el componente de mayor valor ecológico (presencia de Nogal y Podocarpus).</t>
        </is>
      </c>
    </row>
    <row r="82">
      <c r="A82" s="57" t="inlineStr">
        <is>
          <t>F-DT-04</t>
        </is>
      </c>
      <c r="B82" s="57" t="inlineStr">
        <is>
          <t>A diferencia de bloques degradados, el Bloque 13 mantiene alta vigorosidad de la cobertura (MSAVI predominante &gt;0,6139) y abundante oferta hídrica, lo que indica un ecosistema relativamente conservado pero bajo presión antrópica crónica. La prioridad es preventiva-conservacionista: proteger el relicto montano y las zonas de recarga frente al avance del pastoreo y la agricultura de ladera.</t>
        </is>
      </c>
    </row>
    <row r="83">
      <c r="A83" s="56" t="inlineStr">
        <is>
          <t>F-DT-05</t>
        </is>
      </c>
      <c r="B83" s="56" t="inlineStr">
        <is>
          <t>Bloque hídricamente rico: cabecera de microcuenca con bosque de neblina, múltiples manantiales y quebradas permanentes que sostienen humedad persistente y recarga. Se confirmó una captación poblacional dentro del bloque (Fig. 15), hallazgo relevante para las salvaguardas sociales (datos de JASS por verificar). Tiempos de viaje y operador celular son estimaciones preliminares (por verificar).</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13</t>
        </is>
      </c>
    </row>
    <row r="7">
      <c r="A7" s="54" t="inlineStr">
        <is>
          <t>Hechos declarados por fuente</t>
        </is>
      </c>
    </row>
    <row r="8">
      <c r="A8" s="55" t="inlineStr">
        <is>
          <t>Fuente</t>
        </is>
      </c>
      <c r="B8" s="55" t="inlineStr">
        <is>
          <t>Hechos</t>
        </is>
      </c>
    </row>
    <row r="9">
      <c r="A9" s="56" t="inlineStr">
        <is>
          <t>Dato de campo</t>
        </is>
      </c>
      <c r="B9" s="56" t="n">
        <v>74</v>
      </c>
    </row>
    <row r="10">
      <c r="A10" s="57" t="inlineStr">
        <is>
          <t>Gabinete (GIS / teledetección)</t>
        </is>
      </c>
      <c r="B10" s="57" t="n">
        <v>22</v>
      </c>
    </row>
    <row r="11">
      <c r="A11" s="56" t="inlineStr">
        <is>
          <t>Fuente oficial</t>
        </is>
      </c>
      <c r="B11" s="56" t="n">
        <v>14</v>
      </c>
    </row>
    <row r="26">
      <c r="A26" s="54" t="inlineStr">
        <is>
          <t>Estado del cruce entre fuentes</t>
        </is>
      </c>
    </row>
    <row r="27">
      <c r="A27" s="55" t="inlineStr">
        <is>
          <t>Estado</t>
        </is>
      </c>
      <c r="B27" s="55" t="inlineStr">
        <is>
          <t>Hechos</t>
        </is>
      </c>
    </row>
    <row r="28">
      <c r="A28" s="56" t="inlineStr">
        <is>
          <t>CONFORME</t>
        </is>
      </c>
      <c r="B28" s="56" t="n">
        <v>109</v>
      </c>
    </row>
    <row r="29">
      <c r="A29" s="57" t="inlineStr">
        <is>
          <t>COMPLEMENTADO</t>
        </is>
      </c>
      <c r="B29" s="57" t="n">
        <v>1</v>
      </c>
    </row>
    <row r="30">
      <c r="A30" s="56" t="inlineStr">
        <is>
          <t>ACTUALIZADO</t>
        </is>
      </c>
      <c r="B30" s="56" t="n">
        <v>0</v>
      </c>
    </row>
    <row r="31">
      <c r="A31" s="57" t="inlineStr">
        <is>
          <t>DISCREPANTE</t>
        </is>
      </c>
      <c r="B31" s="57" t="n">
        <v>0</v>
      </c>
    </row>
    <row r="32">
      <c r="A32" s="56" t="inlineStr">
        <is>
          <t>PENDIENTE</t>
        </is>
      </c>
      <c r="B32" s="56" t="n">
        <v>4</v>
      </c>
    </row>
    <row r="45">
      <c r="A45" s="54" t="inlineStr">
        <is>
          <t>Cobertura por estrato — campo (%)</t>
        </is>
      </c>
    </row>
    <row r="46">
      <c r="A46" s="55" t="inlineStr">
        <is>
          <t>Estrato</t>
        </is>
      </c>
      <c r="B46" s="55" t="inlineStr">
        <is>
          <t>% del área</t>
        </is>
      </c>
    </row>
    <row r="47">
      <c r="A47" s="56" t="inlineStr">
        <is>
          <t>Dosel</t>
        </is>
      </c>
      <c r="B47" s="61" t="n">
        <v>35</v>
      </c>
    </row>
    <row r="48">
      <c r="A48" s="57" t="inlineStr">
        <is>
          <t>Arbustiva</t>
        </is>
      </c>
      <c r="B48" s="62" t="n">
        <v>30</v>
      </c>
    </row>
    <row r="49">
      <c r="A49" s="56" t="inlineStr">
        <is>
          <t>Herbácea</t>
        </is>
      </c>
      <c r="B49" s="61" t="n">
        <v>35</v>
      </c>
    </row>
    <row r="50">
      <c r="A50" s="57" t="inlineStr">
        <is>
          <t>Hojarasca</t>
        </is>
      </c>
      <c r="B50" s="62" t="n">
        <v>10</v>
      </c>
    </row>
    <row r="51">
      <c r="A51" s="56" t="inlineStr">
        <is>
          <t>Suelo desnudo</t>
        </is>
      </c>
      <c r="B51" s="61" t="n">
        <v>10</v>
      </c>
    </row>
    <row r="64">
      <c r="A64" s="54" t="inlineStr">
        <is>
          <t>Causas activas de degradación (F-DT-04)</t>
        </is>
      </c>
    </row>
    <row r="65">
      <c r="A65" s="55" t="inlineStr">
        <is>
          <t>Causa</t>
        </is>
      </c>
      <c r="B65" s="55" t="inlineStr">
        <is>
          <t>Intensidad (1 ligera - 4 muy fuerte)</t>
        </is>
      </c>
    </row>
    <row r="66">
      <c r="A66" s="56" t="inlineStr">
        <is>
          <t>Cambio de uso a agricultura</t>
        </is>
      </c>
      <c r="B66" s="56" t="n">
        <v>2</v>
      </c>
    </row>
    <row r="67">
      <c r="A67" s="57" t="inlineStr">
        <is>
          <t>Cambio de uso a pastoreo</t>
        </is>
      </c>
      <c r="B67" s="57" t="n">
        <v>2</v>
      </c>
    </row>
    <row r="68">
      <c r="A68" s="56" t="inlineStr">
        <is>
          <t>Sobrepastoreo (caprino/vacuno)</t>
        </is>
      </c>
      <c r="B68" s="56" t="n">
        <v>2</v>
      </c>
    </row>
    <row r="69">
      <c r="A69" s="57" t="inlineStr">
        <is>
          <t>Especies invasoras</t>
        </is>
      </c>
      <c r="B69" s="57" t="n">
        <v>1</v>
      </c>
    </row>
    <row r="70">
      <c r="A70" s="56" t="inlineStr">
        <is>
          <t>Sequía prolongada / CC</t>
        </is>
      </c>
      <c r="B70" s="56" t="n">
        <v>1</v>
      </c>
    </row>
    <row r="71">
      <c r="A71" s="57" t="inlineStr">
        <is>
          <t>Tala para madera</t>
        </is>
      </c>
      <c r="B71" s="57" t="n">
        <v>1</v>
      </c>
    </row>
    <row r="83">
      <c r="A83" s="54" t="inlineStr">
        <is>
          <t>Control de consistencia por calificación</t>
        </is>
      </c>
    </row>
    <row r="84">
      <c r="A84" s="55" t="inlineStr">
        <is>
          <t>Calificación</t>
        </is>
      </c>
      <c r="B84" s="55" t="inlineStr">
        <is>
          <t>Verificaciones</t>
        </is>
      </c>
    </row>
    <row r="85">
      <c r="A85" s="56" t="inlineStr">
        <is>
          <t>SUSTANTIVA</t>
        </is>
      </c>
      <c r="B85" s="56" t="n">
        <v>2</v>
      </c>
    </row>
    <row r="86">
      <c r="A86" s="57" t="inlineStr">
        <is>
          <t>NO SUSTANTIVA</t>
        </is>
      </c>
      <c r="B86" s="57" t="n">
        <v>1</v>
      </c>
    </row>
    <row r="87">
      <c r="A87" s="56" t="inlineStr">
        <is>
          <t>CORREGIDO</t>
        </is>
      </c>
      <c r="B87" s="56" t="n">
        <v>0</v>
      </c>
    </row>
    <row r="88">
      <c r="A88" s="57" t="inlineStr">
        <is>
          <t>CONFORME</t>
        </is>
      </c>
      <c r="B88" s="57"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13 — IN Piura</dc:title>
  <dc:subject>Diagnóstico Territorial por bloque de intervención</dc:subject>
  <dcterms:created xsi:type="dcterms:W3CDTF">2026-09-08T03:39:55Z</dcterms:created>
  <dcterms:modified xsi:type="dcterms:W3CDTF">2026-09-11T21:26:22Z</dcterms:modified>
</cp:coreProperties>
</file>