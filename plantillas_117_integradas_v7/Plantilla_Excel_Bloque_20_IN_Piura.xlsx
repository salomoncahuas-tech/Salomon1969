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integración'!B46</f>
            </strRef>
          </tx>
          <spPr>
            <a:ln>
              <a:prstDash val="solid"/>
            </a:ln>
          </spPr>
          <cat>
            <numRef>
              <f>'Gráficos de integración'!$A$47:$A$52</f>
            </numRef>
          </cat>
          <val>
            <numRef>
              <f>'Gráficos de integración'!$B$47:$B$52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20</t>
        </is>
      </c>
    </row>
    <row r="6" ht="24" customHeight="1">
      <c r="A6" s="4" t="inlineStr">
        <is>
          <t>Diagnóstico Territorial — Plantilla DT Campo Check Validada V5 | Sistema de referencia: UTM WGS 84 Zona 17S (EPSG:32717) · Integrado con la ficha de campo F-DT vigente (Plantilla_DT_Campo_Bloque20_IN_Piura_V5.xlsx) — V7 - resumen V6 + campo F-DT integrado</t>
        </is>
      </c>
    </row>
    <row r="7"/>
    <row r="8" ht="18" customHeight="1">
      <c r="A8" s="5" t="inlineStr">
        <is>
          <t>1. IDENTIFICACIÓN Y LOCALIZACIÓN</t>
        </is>
      </c>
    </row>
    <row r="9">
      <c r="A9" s="6" t="inlineStr">
        <is>
          <t>Código del bloque</t>
        </is>
      </c>
      <c r="B9" s="7" t="inlineStr">
        <is>
          <t>20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Túpac Amaru</t>
        </is>
      </c>
      <c r="C13" s="6" t="inlineStr">
        <is>
          <t>Comunidad campesina</t>
        </is>
      </c>
      <c r="D13" s="7" t="inlineStr">
        <is>
          <t>Por verificar</t>
        </is>
      </c>
      <c r="E13" s="8" t="n"/>
      <c r="F13" s="8" t="n"/>
    </row>
    <row r="14">
      <c r="A14" s="6" t="inlineStr">
        <is>
          <t>Superficie de catálogo (V5/V6), ha</t>
        </is>
      </c>
      <c r="B14" s="7" t="n">
        <v>81.33</v>
      </c>
      <c r="C14" s="6" t="inlineStr">
        <is>
          <t>Fuente de superficie</t>
        </is>
      </c>
      <c r="D14" s="7" t="inlineStr">
        <is>
          <t>Catálogo maestro Bloques V5/V6</t>
        </is>
      </c>
      <c r="E14" s="8" t="n"/>
      <c r="F14" s="8" t="n"/>
    </row>
    <row r="15">
      <c r="A15" s="6" t="inlineStr">
        <is>
          <t>Centroide UTM ESTE (m)</t>
        </is>
      </c>
      <c r="B15" s="7" t="n">
        <v>649847</v>
      </c>
      <c r="C15" s="6" t="inlineStr">
        <is>
          <t>Centroide UTM NORTE (m)</t>
        </is>
      </c>
      <c r="D15" s="7" t="n">
        <v>9376260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1217</v>
      </c>
      <c r="C19" s="6" t="inlineStr">
        <is>
          <t>Altitud máxima (msnm)</t>
        </is>
      </c>
      <c r="D19" s="7" t="n">
        <v>1607</v>
      </c>
      <c r="E19" s="8" t="n"/>
      <c r="F19" s="8" t="n"/>
    </row>
    <row r="20">
      <c r="A20" s="6" t="inlineStr">
        <is>
          <t>Amplitud altitudinal (m)</t>
        </is>
      </c>
      <c r="B20" s="7" t="n">
        <v>390</v>
      </c>
      <c r="C20" s="6" t="inlineStr">
        <is>
          <t>Piso altitudinal dominante</t>
        </is>
      </c>
      <c r="D20" s="7" t="inlineStr">
        <is>
          <t>1000-1500 m (Quechua baja)</t>
        </is>
      </c>
      <c r="E20" s="8" t="n"/>
      <c r="F20" s="8" t="n"/>
    </row>
    <row r="21">
      <c r="A21" s="6" t="inlineStr">
        <is>
          <t>Pendiente promedio (%)</t>
        </is>
      </c>
      <c r="B21" s="7" t="n">
        <v>24.54</v>
      </c>
      <c r="C21" s="6" t="inlineStr">
        <is>
          <t>Pendiente promedio (grados)</t>
        </is>
      </c>
      <c r="D21" s="7" t="n">
        <v>13.8</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0.4851</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alta (52.44 %)</t>
        </is>
      </c>
      <c r="E29" s="8" t="n"/>
      <c r="F29" s="8" t="n"/>
    </row>
    <row r="30">
      <c r="A30" s="6" t="inlineStr">
        <is>
          <t>Superficie clasificada NDVI 2025 (ha)</t>
        </is>
      </c>
      <c r="B30" s="7" t="n">
        <v>81.35299999999999</v>
      </c>
      <c r="C30" s="6" t="inlineStr">
        <is>
          <t>Desviación frente al catálogo (%)</t>
        </is>
      </c>
      <c r="D30" s="7" t="n">
        <v>0.03</v>
      </c>
      <c r="E30" s="8" t="n"/>
      <c r="F30" s="8" t="n"/>
    </row>
    <row r="31">
      <c r="A31" s="6" t="inlineStr">
        <is>
          <t>Superficie clasificada MSAVI 2024 (ha)</t>
        </is>
      </c>
      <c r="B31" s="38" t="n">
        <v>81.334</v>
      </c>
      <c r="C31" s="6" t="inlineStr">
        <is>
          <t>Desviación MSAVI frente al catálogo (%)</t>
        </is>
      </c>
      <c r="D31" s="39" t="n">
        <v>0</v>
      </c>
      <c r="E31" s="8" t="n"/>
      <c r="F31" s="8" t="n"/>
    </row>
    <row r="32">
      <c r="A32" s="6" t="inlineStr">
        <is>
          <t>Superficie bajo umbral MSAVI 0.4976 (ha)</t>
        </is>
      </c>
      <c r="B32" s="38" t="n">
        <v>48.171</v>
      </c>
      <c r="C32" s="6" t="inlineStr">
        <is>
          <t>% del bloque bajo umbral (brecha espectral)</t>
        </is>
      </c>
      <c r="D32" s="39" t="n">
        <v>59.23</v>
      </c>
      <c r="E32" s="8" t="n"/>
      <c r="F32" s="8" t="n"/>
    </row>
    <row r="33">
      <c r="A33" s="6" t="inlineStr">
        <is>
          <t>Clase DN dominante (MSAVI 2024)</t>
        </is>
      </c>
      <c r="B33" s="7" t="inlineStr">
        <is>
          <t>DN 3 · 0.3813 - 0.4976 (Vigor bajo)</t>
        </is>
      </c>
      <c r="C33" s="6" t="inlineStr">
        <is>
          <t>N.° de polígonos MSAVI del bloque</t>
        </is>
      </c>
      <c r="D33" s="40" t="n">
        <v>303</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50" t="inlineStr">
        <is>
          <t>Sin inventario</t>
        </is>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confirmar</t>
        </is>
      </c>
      <c r="C44" s="6" t="inlineStr">
        <is>
          <t>Fecha de evaluación</t>
        </is>
      </c>
      <c r="D44" s="7" t="inlineStr">
        <is>
          <t>2026-08-18</t>
        </is>
      </c>
      <c r="E44" s="8" t="n"/>
      <c r="F44" s="8" t="n"/>
    </row>
    <row r="45">
      <c r="A45" s="6" t="inlineStr">
        <is>
          <t>Hora de registro</t>
        </is>
      </c>
      <c r="B45" s="7" t="inlineStr">
        <is>
          <t>12:05 - 12:15 h</t>
        </is>
      </c>
      <c r="C45" s="6" t="inlineStr">
        <is>
          <t>Correlativo de ficha</t>
        </is>
      </c>
      <c r="D45" s="7" t="inlineStr">
        <is>
          <t>DT-B20-2026-01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se instalaron parcelas de muestreo</t>
        </is>
      </c>
      <c r="E47" s="8" t="n"/>
      <c r="F47" s="8" t="n"/>
    </row>
    <row r="48">
      <c r="A48" s="6" t="inlineStr">
        <is>
          <t>Estaciones fotográficas georreferenciadas</t>
        </is>
      </c>
      <c r="B48" s="7" t="n">
        <v>12</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habilitación de accesos y de frontera agropecuaria sobre laderas de vertiente occidental</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4.9654</v>
      </c>
      <c r="C10" s="19">
        <f>ROUND(B10/$B$15*100,2)</f>
        <v/>
      </c>
      <c r="D10" s="11" t="inlineStr">
        <is>
          <t>Vigor alto</t>
        </is>
      </c>
      <c r="E10" s="11" t="inlineStr">
        <is>
          <t>Sobre umbral</t>
        </is>
      </c>
    </row>
    <row r="11">
      <c r="A11" s="12" t="inlineStr">
        <is>
          <t>0.4976 - 0.6139 · DN 4</t>
        </is>
      </c>
      <c r="B11" s="20" t="n">
        <v>28.1972</v>
      </c>
      <c r="C11" s="21">
        <f>ROUND(B11/$B$15*100,2)</f>
        <v/>
      </c>
      <c r="D11" s="13" t="inlineStr">
        <is>
          <t>Vigor moderado</t>
        </is>
      </c>
      <c r="E11" s="13" t="inlineStr">
        <is>
          <t>Sobre umbral</t>
        </is>
      </c>
    </row>
    <row r="12">
      <c r="A12" s="14" t="inlineStr">
        <is>
          <t>0.3813 - 0.4976 · DN 3</t>
        </is>
      </c>
      <c r="B12" s="32" t="n">
        <v>42.5576</v>
      </c>
      <c r="C12" s="31">
        <f>ROUND(B12/$B$15*100,2)</f>
        <v/>
      </c>
      <c r="D12" s="15" t="inlineStr">
        <is>
          <t>Vigor bajo</t>
        </is>
      </c>
      <c r="E12" s="15" t="inlineStr">
        <is>
          <t>BAJO umbral 0.4976</t>
        </is>
      </c>
    </row>
    <row r="13">
      <c r="A13" s="12" t="inlineStr">
        <is>
          <t>0.2650 - 0.3813 · DN 2</t>
        </is>
      </c>
      <c r="B13" s="20" t="n">
        <v>5.6135</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303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81.33</v>
      </c>
      <c r="C18" s="49" t="inlineStr">
        <is>
          <t>—</t>
        </is>
      </c>
      <c r="D18" s="46" t="inlineStr">
        <is>
          <t>Desviación planimétrica frente al catálogo</t>
        </is>
      </c>
      <c r="E18" s="46" t="inlineStr">
        <is>
          <t>+0.00 %</t>
        </is>
      </c>
    </row>
    <row r="19">
      <c r="A19" s="16" t="inlineStr">
        <is>
          <t>MSAVI 2024 — MEDIA DEL BLOQUE</t>
        </is>
      </c>
      <c r="B19" s="17" t="n">
        <v>0.48513</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(0.4851)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42.6631</v>
      </c>
      <c r="C25" s="19" t="n">
        <v>52.44</v>
      </c>
      <c r="D25" s="11" t="inlineStr">
        <is>
          <t>Dosel continuo, matorral denso o mosaico agroforestal</t>
        </is>
      </c>
      <c r="E25" s="11" t="inlineStr"/>
    </row>
    <row r="26">
      <c r="A26" s="12" t="inlineStr">
        <is>
          <t>Vegetación mediana</t>
        </is>
      </c>
      <c r="B26" s="20" t="n">
        <v>38.4235</v>
      </c>
      <c r="C26" s="21" t="n">
        <v>47.23</v>
      </c>
      <c r="D26" s="13" t="inlineStr">
        <is>
          <t>Pastizal cultivado, matorral ralo, parcelas agrícolas</t>
        </is>
      </c>
      <c r="E26" s="13" t="inlineStr"/>
    </row>
    <row r="27">
      <c r="A27" s="7" t="inlineStr">
        <is>
          <t>Vegetación ligera</t>
        </is>
      </c>
      <c r="B27" s="18" t="n">
        <v>0.257</v>
      </c>
      <c r="C27" s="19" t="n">
        <v>0.32</v>
      </c>
      <c r="D27" s="11" t="inlineStr">
        <is>
          <t>Cobertura discontinua, suelo parcialmente expuesto</t>
        </is>
      </c>
      <c r="E27" s="11" t="inlineStr"/>
    </row>
    <row r="28">
      <c r="A28" s="12" t="inlineStr">
        <is>
          <t>Tierra desnuda</t>
        </is>
      </c>
      <c r="B28" s="20" t="n">
        <v>0.009900000000000001</v>
      </c>
      <c r="C28" s="21" t="n">
        <v>0.01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81.33</v>
      </c>
      <c r="C30" s="25" t="inlineStr">
        <is>
          <t>—</t>
        </is>
      </c>
      <c r="D30" s="25" t="inlineStr">
        <is>
          <t>Desviación planimétrica frente al catálogo</t>
        </is>
      </c>
      <c r="E30" s="25" t="inlineStr">
        <is>
          <t>+0.03 %</t>
        </is>
      </c>
    </row>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20</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649839</v>
      </c>
      <c r="D10" s="26" t="n">
        <v>9376621</v>
      </c>
      <c r="E10" s="11" t="n">
        <v>361.1</v>
      </c>
      <c r="F10" s="11" t="inlineStr"/>
      <c r="G10" s="11" t="inlineStr">
        <is>
          <t>Coordenada consignada en F-DT-01</t>
        </is>
      </c>
    </row>
    <row r="11">
      <c r="A11" s="12" t="inlineStr">
        <is>
          <t>H-01</t>
        </is>
      </c>
      <c r="B11" s="13" t="inlineStr">
        <is>
          <t>Fuente de agua — Quebrada estacional</t>
        </is>
      </c>
      <c r="C11" s="27" t="n">
        <v>650350</v>
      </c>
      <c r="D11" s="27" t="n">
        <v>9376569</v>
      </c>
      <c r="E11" s="13" t="n">
        <v>590.3</v>
      </c>
      <c r="F11" s="13" t="inlineStr">
        <is>
          <t>Estacional</t>
        </is>
      </c>
      <c r="G11" s="13" t="inlineStr">
        <is>
          <t>Vaguada de lecho pedregoso</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649847</v>
      </c>
      <c r="C14" s="6" t="inlineStr">
        <is>
          <t>Centroide del bloque — UTM NORTE (m)</t>
        </is>
      </c>
      <c r="D14" s="7" t="n">
        <v>9376260</v>
      </c>
      <c r="E14" s="8" t="n"/>
      <c r="F14" s="8" t="n"/>
      <c r="G14" s="8" t="n"/>
      <c r="H14" s="8" t="n"/>
    </row>
    <row r="15">
      <c r="A15" s="6" t="inlineStr">
        <is>
          <t>N.° de estaciones fotográficas declaradas</t>
        </is>
      </c>
      <c r="B15" s="7" t="n">
        <v>12</v>
      </c>
      <c r="C15" s="6" t="inlineStr">
        <is>
          <t>Estaciones dentro del polígono</t>
        </is>
      </c>
      <c r="D15" s="7" t="n">
        <v>0</v>
      </c>
      <c r="E15" s="8" t="n"/>
      <c r="F15" s="8" t="n"/>
      <c r="G15" s="8" t="n"/>
      <c r="H15" s="8" t="n"/>
    </row>
    <row r="17" ht="13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FICHAS F-DT NO FUERON DILIGENCIADAS EN CAMPO: los valores cualitativos son propuesta de gabinete sustentada en fotointerpretación y deben ser ratificados por la brigada. CONTROL GEOMÉTRICO: las 12 tomas se localizan entre 21 y 63 m POR FUERA del límite norte del polígono; la caracterización es representativa del borde septentrional, no del interior. REMOCIÓN EN MASA ACTIVA: árbol descalzado con sistema radicular expuesto por retroceso del talud y agrietamiento del material (649925 E / 9376647 N). Neblina densa, visibilidad panorámica reducida.</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20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2" t="inlineStr">
        <is>
          <t>8</t>
        </is>
      </c>
      <c r="B11" s="29" t="n">
        <v>126.95</v>
      </c>
      <c r="C11" s="21" t="n">
        <v>24.23</v>
      </c>
      <c r="D11" s="13" t="inlineStr">
        <is>
          <t>1504 – 1970</t>
        </is>
      </c>
      <c r="E11" s="13" t="n">
        <v>466</v>
      </c>
      <c r="F11" s="13"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 20</t>
        </is>
      </c>
      <c r="B13" s="30" t="n">
        <v>81.33</v>
      </c>
      <c r="C13" s="31" t="n">
        <v>15.52</v>
      </c>
      <c r="D13" s="15" t="inlineStr">
        <is>
          <t>1217 – 1607</t>
        </is>
      </c>
      <c r="E13" s="15" t="n">
        <v>390</v>
      </c>
      <c r="F13" s="15" t="n">
        <v>24.54</v>
      </c>
      <c r="G13" s="32" t="n">
        <v>0.4851</v>
      </c>
      <c r="H13" s="31" t="n">
        <v>52.44</v>
      </c>
      <c r="I13" s="3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2" t="inlineStr">
        <is>
          <t>51</t>
        </is>
      </c>
      <c r="B15" s="29" t="n">
        <v>22.93</v>
      </c>
      <c r="C15" s="21" t="n">
        <v>4.38</v>
      </c>
      <c r="D15" s="13" t="inlineStr">
        <is>
          <t>1734 – 2018</t>
        </is>
      </c>
      <c r="E15" s="13" t="n">
        <v>284</v>
      </c>
      <c r="F15" s="13"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2" t="inlineStr">
        <is>
          <t>71</t>
        </is>
      </c>
      <c r="B17" s="29" t="n">
        <v>10.67</v>
      </c>
      <c r="C17" s="21" t="n">
        <v>2.04</v>
      </c>
      <c r="D17" s="13" t="inlineStr">
        <is>
          <t>1478 – 1609</t>
        </is>
      </c>
      <c r="E17" s="13" t="n">
        <v>131</v>
      </c>
      <c r="F17" s="13"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20 ocupa el puesto 4 de 8 por superficie dentro de la microcuenca C1076-Q9593 (15.52 % de las 523.87 ha preliminares de la microcuenca). Su pendiente promedio (24.54 %, clase «15-25% (Fuert. inclinado)») es la 2.ª más baja de 8 y se sitúa por debajo del promedio de la microcuenca (28.06 %). Su MSAVI 2024 (0.4851) es el 8.º de 8 y queda por debajo del promedio local (0.5477). Amplitud altitudinal del bloque: 390 m (1217–1607 msnm). El cuadro conserva todos los bloques catalogados en la microcuenca, incluidos los descartados en el tamizaje, para referencia del conjunto. Los bloques sin ficha DT figuran con sus parámetros de gabinete. BRECHA ESPECTRAL. El 59.23 % de la superficie del bloque (48.171 ha de 81.334 ha) se sitúa bajo el umbral MSAVI 0.4976, por encima del promedio local de la microcuenca (31.88 %) calculado sobre los bloques con dato MSAVI disponible.</t>
        </is>
      </c>
      <c r="B20" s="41" t="n"/>
      <c r="C20" s="41" t="n"/>
      <c r="D20" s="41" t="n"/>
      <c r="E20" s="41" t="n"/>
      <c r="F20" s="41" t="n"/>
      <c r="G20" s="41" t="n"/>
      <c r="H20" s="41" t="n"/>
      <c r="I20" s="42"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1" t="n"/>
      <c r="I22" s="42"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20</t>
        </is>
      </c>
    </row>
    <row r="6">
      <c r="A6" s="52" t="inlineStr">
        <is>
          <t>Cruce de la ficha de campo F-DT vigente con la ficha de resumen de gabinete y el catálogo maestro. Integración 2026-09-11 21:26:23.</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«C1076-Q9593».</t>
        </is>
      </c>
      <c r="D9" s="56" t="inlineStr">
        <is>
          <t>CONFORME</t>
        </is>
      </c>
      <c r="E9" s="56" t="inlineStr">
        <is>
          <t>Sin acción.</t>
        </is>
      </c>
    </row>
    <row r="10">
      <c r="A10" s="57" t="inlineStr">
        <is>
          <t>G-02</t>
        </is>
      </c>
      <c r="B10" s="57" t="inlineStr">
        <is>
          <t>UTM del punto de muestreo</t>
        </is>
      </c>
      <c r="C10" s="57" t="inlineStr">
        <is>
          <t>El punto de muestreo declarado dista 361.1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(81.353 ha) se desvía 0.03 % de la superficie de catálogo (81.33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(81.334 ha) se desvía 0.00 % de la superficie de catálogo (81.33 ha).</t>
        </is>
      </c>
      <c r="D14" s="57" t="inlineStr">
        <is>
          <t>CONFORME</t>
        </is>
      </c>
      <c r="E14" s="57" t="inlineStr">
        <is>
          <t>Sin acción: la segmentación valida la geometría del bloque.</t>
        </is>
      </c>
    </row>
    <row r="15">
      <c r="A15" s="56" t="inlineStr">
        <is>
          <t>G-07</t>
        </is>
      </c>
      <c r="B15" s="56" t="inlineStr">
        <is>
          <t>Brecha espectral MSAVI</t>
        </is>
      </c>
      <c r="C15" s="56" t="inlineStr">
        <is>
          <t>El 59.23 % del bloque queda bajo el umbral 0.4976; superficie de brecha 48.17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81.33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(0.4851) cae en la clase «0.3813 - 0.4976 (Vigor bajo)» y la clase DN dominante por superficie es «DN 3 · 0.3813 - 0.4976 (Vigor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82.1 % de los campos esperados).</t>
        </is>
      </c>
      <c r="D19" s="56" t="inlineStr">
        <is>
          <t>CONFORME</t>
        </is>
      </c>
      <c r="E19" s="56" t="inlineStr">
        <is>
          <t>Sin acción.</t>
        </is>
      </c>
    </row>
    <row r="20">
      <c r="A20" s="57" t="inlineStr">
        <is>
          <t>F-02</t>
        </is>
      </c>
      <c r="B20" s="57" t="inlineStr">
        <is>
          <t>Cobertura de la integración</t>
        </is>
      </c>
      <c r="C20" s="57" t="inlineStr">
        <is>
          <t>Se declararon 85 de 114 hechos integrados (74.6 %); 29 quedan sin dato en ninguna fuente.</t>
        </is>
      </c>
      <c r="D20" s="57" t="inlineStr">
        <is>
          <t>CONFORME</t>
        </is>
      </c>
      <c r="E20" s="57" t="inlineStr">
        <is>
          <t>Sin acción.</t>
        </is>
      </c>
    </row>
    <row r="21">
      <c r="A21" s="56" t="inlineStr">
        <is>
          <t>H-01</t>
        </is>
      </c>
      <c r="B21" s="56" t="inlineStr">
        <is>
          <t>Inventario georreferenciado de cárcavas</t>
        </is>
      </c>
      <c r="C21" s="56" t="inlineStr">
        <is>
          <t>El inventario de cárcavas no fue ejecutado o no consta en la ficha DT</t>
        </is>
      </c>
      <c r="D21" s="56" t="inlineStr">
        <is>
          <t>SUSTANTIVA</t>
        </is>
      </c>
      <c r="E21" s="5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2">
      <c r="A22" s="57" t="inlineStr">
        <is>
          <t>H-02</t>
        </is>
      </c>
      <c r="B22" s="57" t="inlineStr">
        <is>
          <t>Elenco florístico</t>
        </is>
      </c>
      <c r="C22" s="57" t="inlineStr">
        <is>
          <t>La ficha registra 12 taxones, por debajo del mínimo de 15 que exige el formato V5</t>
        </is>
      </c>
      <c r="D22" s="57" t="inlineStr">
        <is>
          <t>SUSTANTIVA</t>
        </is>
      </c>
      <c r="E22" s="57" t="inlineStr">
        <is>
          <t>Registro florístico preliminar, sin colecta ni determinación botánica formal. Debe cerrarse con colecta botánica en la siguiente campaña. (Verificación heredada de la ficha de resumen V6.)</t>
        </is>
      </c>
    </row>
    <row r="23">
      <c r="A23" s="56" t="inlineStr">
        <is>
          <t>H-03</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H-04</t>
        </is>
      </c>
      <c r="B24" s="57" t="inlineStr">
        <is>
          <t>Centro poblado asociado</t>
        </is>
      </c>
      <c r="C24" s="57" t="inlineStr">
        <is>
          <t>La ficha DT declara «Túpac Amaru»; el cruce INEI-Bloques V5 identifica 1 centro(s) poblado(s) en el bloque: TUPAC AMARU</t>
        </is>
      </c>
      <c r="D24" s="57" t="inlineStr">
        <is>
          <t>NO SUSTANTIVA</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4 · NO SUSTANTIVA: 2 · CONFORME: 10</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20</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649839</t>
        </is>
      </c>
      <c r="D13" s="56" t="inlineStr">
        <is>
          <t>m</t>
        </is>
      </c>
    </row>
    <row r="14">
      <c r="A14" s="57" t="inlineStr">
        <is>
          <t>1. Identificación y localización</t>
        </is>
      </c>
      <c r="B14" s="57" t="inlineStr">
        <is>
          <t>UTM NORTE del punto de muestreo (m)</t>
        </is>
      </c>
      <c r="C14" s="57" t="inlineStr">
        <is>
          <t>9376621</t>
        </is>
      </c>
      <c r="D14" s="57" t="inlineStr">
        <is>
          <t>m</t>
        </is>
      </c>
    </row>
    <row r="15">
      <c r="A15" s="56" t="inlineStr">
        <is>
          <t>2. Parámetros físicos del terreno</t>
        </is>
      </c>
      <c r="B15" s="56" t="inlineStr">
        <is>
          <t>Piso altitudinal del punto de muestreo</t>
        </is>
      </c>
      <c r="C15" s="56" t="inlineStr">
        <is>
          <t>1000-1500 m (Quechua baja)</t>
        </is>
      </c>
      <c r="D15" s="56" t="inlineStr"/>
    </row>
    <row r="16">
      <c r="A16" s="57" t="inlineStr">
        <is>
          <t>2. Parámetros físicos del terreno</t>
        </is>
      </c>
      <c r="B16" s="57" t="inlineStr">
        <is>
          <t>Paisaje dominante descrito en campo</t>
        </is>
      </c>
      <c r="C16" s="57" t="inlineStr">
        <is>
          <t>Ladera de montaña de vertiente occidental tributaria de la quebrada Q9593, con sistema de laderas convexo-concavas y quebradas menores de drenaje interno. MDE: 1217-1607 msnm (amplitud 390 m); pendiente promedio zonal 24.54 %. Mosaico de bosque estacionalmente seco de colina y montaña con dosel mas denso y epifitismo de bromeliaceas en los sectores de umbria y mayor cota, en transicion a matorral ralo con cactaceas columnares y agaves en las laderas de exposicion norte y las cimas. Una trocha carrozable de apertura o ensanche reciente recorre el limite norte del poligono, con plataforma sin afirmado, taludes de corte de 2 a 5 m sin banquetas ni revegetacion y material excedente desplazado sobre el flanco de aguas abajo.</t>
        </is>
      </c>
      <c r="D16" s="57" t="inlineStr"/>
    </row>
    <row r="17">
      <c r="A17" s="56" t="inlineStr">
        <is>
          <t>2. Parámetros físicos del terreno</t>
        </is>
      </c>
      <c r="B17" s="56" t="inlineStr">
        <is>
          <t>Reptación de suelo</t>
        </is>
      </c>
      <c r="C17" s="56" t="inlineStr">
        <is>
          <t>No</t>
        </is>
      </c>
      <c r="D17" s="56" t="inlineStr"/>
    </row>
    <row r="18">
      <c r="A18" s="57" t="inlineStr">
        <is>
          <t>2. Parámetros físicos del terreno</t>
        </is>
      </c>
      <c r="B18" s="57" t="inlineStr">
        <is>
          <t>Deslizamientos antiguos</t>
        </is>
      </c>
      <c r="C18" s="57" t="inlineStr">
        <is>
          <t>Sí</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No</t>
        </is>
      </c>
      <c r="D20" s="57" t="inlineStr"/>
    </row>
    <row r="21">
      <c r="A21" s="56" t="inlineStr">
        <is>
          <t>4. Suelos y erosión (F-DT-02)</t>
        </is>
      </c>
      <c r="B21" s="56" t="inlineStr">
        <is>
          <t>Compactación por pisoteo</t>
        </is>
      </c>
      <c r="C21" s="56" t="inlineStr">
        <is>
          <t>No</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Patrón de cárcavas</t>
        </is>
      </c>
      <c r="C23" s="56" t="inlineStr">
        <is>
          <t>Lineal</t>
        </is>
      </c>
      <c r="D23" s="56" t="inlineStr"/>
    </row>
    <row r="24">
      <c r="A24" s="57" t="inlineStr">
        <is>
          <t>4. Suelos y erosión (F-DT-02)</t>
        </is>
      </c>
      <c r="B24" s="57" t="inlineStr">
        <is>
          <t>Socavamiento de cauce</t>
        </is>
      </c>
      <c r="C24" s="57" t="inlineStr">
        <is>
          <t>Sí</t>
        </is>
      </c>
      <c r="D24" s="57" t="inlineStr"/>
    </row>
    <row r="25">
      <c r="A25" s="56" t="inlineStr">
        <is>
          <t>5. Ecosistema, cobertura y flora (F-DT-03)</t>
        </is>
      </c>
      <c r="B25" s="56" t="inlineStr">
        <is>
          <t>Presencia de epífitas</t>
        </is>
      </c>
      <c r="C25" s="56" t="inlineStr">
        <is>
          <t>Sí</t>
        </is>
      </c>
      <c r="D25" s="56" t="inlineStr"/>
    </row>
    <row r="26">
      <c r="A26" s="57" t="inlineStr">
        <is>
          <t>5. Ecosistema, cobertura y flora (F-DT-03)</t>
        </is>
      </c>
      <c r="B26" s="57" t="inlineStr">
        <is>
          <t>Fenología dominante</t>
        </is>
      </c>
      <c r="C26" s="57" t="inlineStr">
        <is>
          <t>Floración</t>
        </is>
      </c>
      <c r="D26" s="57" t="inlineStr"/>
    </row>
    <row r="27">
      <c r="A27" s="56" t="inlineStr">
        <is>
          <t>5. Ecosistema, cobertura y flora (F-DT-03)</t>
        </is>
      </c>
      <c r="B27" s="56" t="inlineStr">
        <is>
          <t>Especies clave georreferenciadas</t>
        </is>
      </c>
      <c r="C27" s="56" t="inlineStr">
        <is>
          <t>3</t>
        </is>
      </c>
      <c r="D27" s="56" t="inlineStr"/>
    </row>
    <row r="28">
      <c r="A28" s="57" t="inlineStr">
        <is>
          <t>6. Degradación, causas y urgencia (F-DT-04)</t>
        </is>
      </c>
      <c r="B28" s="57" t="inlineStr">
        <is>
          <t>Causas directas de la degradación</t>
        </is>
      </c>
      <c r="C28" s="57" t="inlineStr">
        <is>
          <t>(1) Expansion vial: trocha carrozable de apertura o ensanche reciente (menos de 2 años) sobre el limite norte del bloque, con taludes de corte activos y material excedente sin manejo; (2) cambio de uso a agricultura y pastoreo en el mosaico circundante; (3) erosion concentrada asociada al eje vial y a las vaguadas que este intersecta. La evidencia sostiene que la via es hoy el factor activo de degradacion, pero NO permite cuantificar que proporcion del 59.15 % bajo umbral MSAVI le es atribuible y cual corresponde a la condicion semiarida natural de las laderas de exposicion norte: esa discriminacion exige comparacion multitemporal del MSAVI antes y despues de la apertura.</t>
        </is>
      </c>
      <c r="D28" s="57" t="inlineStr"/>
    </row>
    <row r="29">
      <c r="A29" s="56" t="inlineStr">
        <is>
          <t>6. Degradación, causas y urgencia (F-DT-04)</t>
        </is>
      </c>
      <c r="B29" s="56" t="inlineStr">
        <is>
          <t>N.° de causas activas en la matriz F-DT-04</t>
        </is>
      </c>
      <c r="C29" s="56" t="inlineStr">
        <is>
          <t>6</t>
        </is>
      </c>
      <c r="D29" s="56" t="inlineStr"/>
    </row>
    <row r="30">
      <c r="A30" s="57" t="inlineStr">
        <is>
          <t>7. Hidrología, acceso y logística (F-DT-05)</t>
        </is>
      </c>
      <c r="B30" s="57" t="inlineStr">
        <is>
          <t>Escorrentía concentrada</t>
        </is>
      </c>
      <c r="C30" s="57" t="inlineStr">
        <is>
          <t>Sí</t>
        </is>
      </c>
      <c r="D30" s="57" t="inlineStr"/>
    </row>
    <row r="31">
      <c r="A31" s="56" t="inlineStr">
        <is>
          <t>7. Hidrología, acceso y logística (F-DT-05)</t>
        </is>
      </c>
      <c r="B31" s="56" t="inlineStr">
        <is>
          <t>Fuentes de agua inventariadas</t>
        </is>
      </c>
      <c r="C31" s="56" t="inlineStr">
        <is>
          <t>1</t>
        </is>
      </c>
      <c r="D31" s="56" t="inlineStr"/>
    </row>
    <row r="32">
      <c r="A32" s="57" t="inlineStr">
        <is>
          <t>7. Hidrología, acceso y logística (F-DT-05)</t>
        </is>
      </c>
      <c r="B32" s="57" t="inlineStr">
        <is>
          <t>Vía principal de acceso</t>
        </is>
      </c>
      <c r="C32" s="57" t="inlineStr">
        <is>
          <t>Trocha carrozable de acceso al C.P. Tupac Amaru (sin codigo MTC verificado)</t>
        </is>
      </c>
      <c r="D32" s="57" t="inlineStr"/>
    </row>
    <row r="33">
      <c r="A33" s="56" t="inlineStr">
        <is>
          <t>7. Hidrología, acceso y logística (F-DT-05)</t>
        </is>
      </c>
      <c r="B33" s="56" t="inlineStr">
        <is>
          <t>Tipo de vía del tramo final</t>
        </is>
      </c>
      <c r="C33" s="56" t="inlineStr">
        <is>
          <t>Trocha carrozable</t>
        </is>
      </c>
      <c r="D33" s="56" t="inlineStr"/>
    </row>
    <row r="34">
      <c r="A34" s="57" t="inlineStr">
        <is>
          <t>7. Hidrología, acceso y logística (F-DT-05)</t>
        </is>
      </c>
      <c r="B34" s="57" t="inlineStr">
        <is>
          <t>Transitabilidad en época seca</t>
        </is>
      </c>
      <c r="C34" s="57" t="inlineStr">
        <is>
          <t>Medio</t>
        </is>
      </c>
      <c r="D34" s="57" t="inlineStr"/>
    </row>
    <row r="35">
      <c r="A35" s="56" t="inlineStr">
        <is>
          <t>7. Hidrología, acceso y logística (F-DT-05)</t>
        </is>
      </c>
      <c r="B35" s="56" t="inlineStr">
        <is>
          <t>Transitabilidad en época lluviosa</t>
        </is>
      </c>
      <c r="C35" s="56" t="inlineStr">
        <is>
          <t>Bajo</t>
        </is>
      </c>
      <c r="D35" s="56" t="inlineStr"/>
    </row>
    <row r="37">
      <c r="A37" s="54" t="inlineStr">
        <is>
          <t>C. PROCEDENCIA DE LOS HECHOS DECLARADOS</t>
        </is>
      </c>
    </row>
    <row r="38">
      <c r="A38" s="55" t="inlineStr">
        <is>
          <t>Fuente</t>
        </is>
      </c>
      <c r="B38" s="55" t="inlineStr">
        <is>
          <t>Hechos</t>
        </is>
      </c>
      <c r="C38" s="55" t="inlineStr">
        <is>
          <t>Alcance de la fuente</t>
        </is>
      </c>
    </row>
    <row r="39">
      <c r="A39" s="56" t="inlineStr">
        <is>
          <t>Dato de campo</t>
        </is>
      </c>
      <c r="B39" s="56" t="n">
        <v>49</v>
      </c>
      <c r="C39" s="56" t="inlineStr">
        <is>
          <t>Verificación en campo. Fichas F-DT-01 a F-DT-05 de la Plantilla DT Campo Check Validada V5, suscritas por el evaluador.</t>
        </is>
      </c>
    </row>
    <row r="40">
      <c r="A40" s="57" t="inlineStr">
        <is>
          <t>Gabinete (GIS / teledetección)</t>
        </is>
      </c>
      <c r="B40" s="57" t="n">
        <v>22</v>
      </c>
      <c r="C40" s="57" t="inlineStr">
        <is>
          <t>Gabinete. Estadística zonal sobre el MDE y compuestos Sentinel-2 (NDVI mediana 2025, MSAVI 2024 por clase DN).</t>
        </is>
      </c>
    </row>
    <row r="41">
      <c r="A41" s="56" t="inlineStr">
        <is>
          <t>Fuente oficial</t>
        </is>
      </c>
      <c r="B41" s="56" t="n">
        <v>14</v>
      </c>
      <c r="C41" s="56" t="inlineStr">
        <is>
          <t>Fuente oficial. Catálogo maestro Bloques V5/V6, división política INEI y codificación de microcuencas de la ANA.</t>
        </is>
      </c>
    </row>
    <row r="43">
      <c r="A43" s="54" t="inlineStr">
        <is>
          <t>D. ESTADO DEL CRUCE ENTRE FUENTES</t>
        </is>
      </c>
    </row>
    <row r="44">
      <c r="A44" s="55" t="inlineStr">
        <is>
          <t>Estado</t>
        </is>
      </c>
      <c r="B44" s="55" t="inlineStr">
        <is>
          <t>Hechos</t>
        </is>
      </c>
      <c r="C44" s="55" t="inlineStr">
        <is>
          <t>Significado</t>
        </is>
      </c>
    </row>
    <row r="45">
      <c r="A45" s="56" t="inlineStr">
        <is>
          <t>CONFORME</t>
        </is>
      </c>
      <c r="B45" s="56" t="n">
        <v>84</v>
      </c>
      <c r="C45" s="56" t="inlineStr">
        <is>
          <t>Las dos fuentes declaran lo mismo, o solo la fuente que manda sobre el hecho lo declara.</t>
        </is>
      </c>
    </row>
    <row r="46">
      <c r="A46" s="57" t="inlineStr">
        <is>
          <t>COMPLEMENTADO</t>
        </is>
      </c>
      <c r="B46" s="57" t="n">
        <v>1</v>
      </c>
      <c r="C46" s="57" t="inlineStr">
        <is>
          <t>Solo una de las fuentes lo declara y se adopta ese valor.</t>
        </is>
      </c>
    </row>
    <row r="47">
      <c r="A47" s="56" t="inlineStr">
        <is>
          <t>ACTUALIZADO</t>
        </is>
      </c>
      <c r="B47" s="56" t="n">
        <v>0</v>
      </c>
      <c r="C47" s="56" t="inlineStr">
        <is>
          <t>La verificación de campo vigente corrige lo que traía el libro de resumen.</t>
        </is>
      </c>
    </row>
    <row r="48">
      <c r="A48" s="57" t="inlineStr">
        <is>
          <t>DISCREPANTE</t>
        </is>
      </c>
      <c r="B48" s="57" t="n">
        <v>0</v>
      </c>
      <c r="C48" s="57" t="inlineStr">
        <is>
          <t>Las fuentes se contradicen; prevalece la que manda sobre el hecho y la otra queda declarada.</t>
        </is>
      </c>
    </row>
    <row r="49">
      <c r="A49" s="56" t="inlineStr">
        <is>
          <t>PENDIENTE</t>
        </is>
      </c>
      <c r="B49" s="56" t="n">
        <v>29</v>
      </c>
      <c r="C49"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20</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Faique</t>
        </is>
      </c>
      <c r="C13" s="56" t="inlineStr">
        <is>
          <t>Vachellia macracantha</t>
        </is>
      </c>
      <c r="D13" s="56" t="inlineStr">
        <is>
          <t>Fabaceae</t>
        </is>
      </c>
      <c r="E13" s="56" t="inlineStr">
        <is>
          <t>Arbóreo bajo (4-8 m)</t>
        </is>
      </c>
      <c r="F13" s="56" t="inlineStr">
        <is>
          <t>Nativa</t>
        </is>
      </c>
      <c r="G13" s="56" t="inlineStr">
        <is>
          <t>Frecuente (5-20%)</t>
        </is>
      </c>
      <c r="H13" s="56" t="n"/>
      <c r="I13" s="56" t="n"/>
    </row>
    <row r="14">
      <c r="A14" s="57" t="inlineStr">
        <is>
          <t>2</t>
        </is>
      </c>
      <c r="B14" s="57" t="inlineStr">
        <is>
          <t>Cactacea columnar</t>
        </is>
      </c>
      <c r="C14" s="57" t="inlineStr">
        <is>
          <t>Armatocereus sp. / Neoraimondia sp.</t>
        </is>
      </c>
      <c r="D14" s="57" t="inlineStr">
        <is>
          <t>Cactaceae</t>
        </is>
      </c>
      <c r="E14" s="57" t="inlineStr">
        <is>
          <t>Arbustivo alto (1.5-4 m)</t>
        </is>
      </c>
      <c r="F14" s="57" t="inlineStr">
        <is>
          <t>Nativa</t>
        </is>
      </c>
      <c r="G14" s="57" t="inlineStr">
        <is>
          <t>Frecuente (5-20%)</t>
        </is>
      </c>
      <c r="H14" s="57" t="n"/>
      <c r="I14" s="57" t="n"/>
    </row>
    <row r="15">
      <c r="A15" s="56" t="inlineStr">
        <is>
          <t>3</t>
        </is>
      </c>
      <c r="B15" s="56" t="inlineStr">
        <is>
          <t>Agave / penca</t>
        </is>
      </c>
      <c r="C15" s="56" t="inlineStr">
        <is>
          <t>Agave americana</t>
        </is>
      </c>
      <c r="D15" s="56" t="inlineStr">
        <is>
          <t>Asparagaceae</t>
        </is>
      </c>
      <c r="E15" s="56" t="inlineStr">
        <is>
          <t>Arbustivo alto (1.5-4 m)</t>
        </is>
      </c>
      <c r="F15" s="56" t="inlineStr">
        <is>
          <t>Introducida</t>
        </is>
      </c>
      <c r="G15" s="56" t="inlineStr">
        <is>
          <t>Ocasional (1-5%)</t>
        </is>
      </c>
      <c r="H15" s="56" t="n"/>
      <c r="I15" s="56" t="n"/>
    </row>
    <row r="16">
      <c r="A16" s="57" t="inlineStr">
        <is>
          <t>4</t>
        </is>
      </c>
      <c r="B16" s="57" t="inlineStr">
        <is>
          <t>Achupalla / salvajina</t>
        </is>
      </c>
      <c r="C16" s="57" t="inlineStr">
        <is>
          <t>Tillandsia spp.</t>
        </is>
      </c>
      <c r="D16" s="57" t="inlineStr">
        <is>
          <t>Bromeliaceae</t>
        </is>
      </c>
      <c r="E16" s="57" t="inlineStr">
        <is>
          <t>Epífito</t>
        </is>
      </c>
      <c r="F16" s="57" t="inlineStr">
        <is>
          <t>Nativa</t>
        </is>
      </c>
      <c r="G16" s="57" t="inlineStr">
        <is>
          <t>Abundante (20-40%)</t>
        </is>
      </c>
      <c r="H16" s="57" t="n"/>
      <c r="I16" s="57" t="n"/>
    </row>
    <row r="17">
      <c r="A17" s="56" t="inlineStr">
        <is>
          <t>5</t>
        </is>
      </c>
      <c r="B17" s="56" t="inlineStr">
        <is>
          <t>Pasallo / malvacea</t>
        </is>
      </c>
      <c r="C17" s="56" t="inlineStr">
        <is>
          <t>Por determinar</t>
        </is>
      </c>
      <c r="D17" s="56" t="inlineStr">
        <is>
          <t>Malvaceae</t>
        </is>
      </c>
      <c r="E17" s="56" t="inlineStr">
        <is>
          <t>Arbóreo bajo (4-8 m)</t>
        </is>
      </c>
      <c r="F17" s="56" t="inlineStr">
        <is>
          <t>Nativa</t>
        </is>
      </c>
      <c r="G17" s="56" t="inlineStr">
        <is>
          <t>Ocasional (1-5%)</t>
        </is>
      </c>
      <c r="H17" s="56" t="n"/>
      <c r="I17" s="56" t="n"/>
    </row>
    <row r="18">
      <c r="A18" s="57" t="inlineStr">
        <is>
          <t>6</t>
        </is>
      </c>
      <c r="B18" s="57" t="inlineStr">
        <is>
          <t>Guaba o pacae</t>
        </is>
      </c>
      <c r="C18" s="57" t="inlineStr">
        <is>
          <t>Inga feuillei</t>
        </is>
      </c>
      <c r="D18" s="57" t="inlineStr">
        <is>
          <t>Fabaceae</t>
        </is>
      </c>
      <c r="E18" s="57" t="inlineStr">
        <is>
          <t>Arbóreo medio (8-15 m)</t>
        </is>
      </c>
      <c r="F18" s="57" t="inlineStr">
        <is>
          <t>Nativa</t>
        </is>
      </c>
      <c r="G18" s="57" t="inlineStr">
        <is>
          <t>Ocasional (1-5%)</t>
        </is>
      </c>
      <c r="H18" s="57" t="n"/>
      <c r="I18" s="57" t="n"/>
    </row>
    <row r="19">
      <c r="A19" s="56" t="inlineStr">
        <is>
          <t>7</t>
        </is>
      </c>
      <c r="B19" s="56" t="inlineStr">
        <is>
          <t>Flor de agua</t>
        </is>
      </c>
      <c r="C19" s="56" t="inlineStr">
        <is>
          <t>Por determinar</t>
        </is>
      </c>
      <c r="D19" s="56" t="inlineStr">
        <is>
          <t>Por determinar</t>
        </is>
      </c>
      <c r="E19" s="56" t="inlineStr"/>
      <c r="F19" s="56" t="inlineStr"/>
      <c r="G19" s="56" t="inlineStr"/>
      <c r="H19" s="56" t="n"/>
      <c r="I19" s="56" t="n"/>
    </row>
    <row r="20">
      <c r="A20" s="57" t="inlineStr">
        <is>
          <t>8</t>
        </is>
      </c>
      <c r="B20" s="57" t="inlineStr">
        <is>
          <t>Chirimoya silvestre</t>
        </is>
      </c>
      <c r="C20" s="57" t="inlineStr">
        <is>
          <t>Annona sp.</t>
        </is>
      </c>
      <c r="D20" s="57" t="inlineStr">
        <is>
          <t>Annonaceae</t>
        </is>
      </c>
      <c r="E20" s="57" t="inlineStr">
        <is>
          <t>Arbóreo bajo (4-8 m)</t>
        </is>
      </c>
      <c r="F20" s="57" t="inlineStr">
        <is>
          <t>Nativa</t>
        </is>
      </c>
      <c r="G20" s="57" t="inlineStr">
        <is>
          <t>Rara (&lt;1%)</t>
        </is>
      </c>
      <c r="H20" s="57" t="n"/>
      <c r="I20" s="57" t="n"/>
    </row>
    <row r="21">
      <c r="A21" s="56" t="inlineStr">
        <is>
          <t>9</t>
        </is>
      </c>
      <c r="B21" s="56" t="inlineStr">
        <is>
          <t>Frejolillo / pajuro</t>
        </is>
      </c>
      <c r="C21" s="56" t="inlineStr">
        <is>
          <t>Erythrina edulis</t>
        </is>
      </c>
      <c r="D21" s="56" t="inlineStr">
        <is>
          <t>Fabaceae</t>
        </is>
      </c>
      <c r="E21" s="56" t="inlineStr">
        <is>
          <t>Arbóreo bajo (4-8 m)</t>
        </is>
      </c>
      <c r="F21" s="56" t="inlineStr">
        <is>
          <t>Nativa</t>
        </is>
      </c>
      <c r="G21" s="56" t="inlineStr">
        <is>
          <t>Rara (&lt;1%)</t>
        </is>
      </c>
      <c r="H21" s="56" t="n"/>
      <c r="I21" s="56" t="n"/>
    </row>
    <row r="22">
      <c r="A22" s="57" t="inlineStr">
        <is>
          <t>10</t>
        </is>
      </c>
      <c r="B22" s="57" t="inlineStr">
        <is>
          <t>Asteracea arbustiva</t>
        </is>
      </c>
      <c r="C22" s="57" t="inlineStr">
        <is>
          <t>Encelia canescens</t>
        </is>
      </c>
      <c r="D22" s="57" t="inlineStr">
        <is>
          <t>Asteraceae</t>
        </is>
      </c>
      <c r="E22" s="57" t="inlineStr">
        <is>
          <t>Arbustivo bajo (0.5-1.5 m)</t>
        </is>
      </c>
      <c r="F22" s="57" t="inlineStr">
        <is>
          <t>Nativa</t>
        </is>
      </c>
      <c r="G22" s="57" t="inlineStr">
        <is>
          <t>Frecuente (5-20%)</t>
        </is>
      </c>
      <c r="H22" s="57" t="n"/>
      <c r="I22" s="57" t="n"/>
    </row>
    <row r="23">
      <c r="A23" s="56" t="inlineStr">
        <is>
          <t>11</t>
        </is>
      </c>
      <c r="B23" s="56" t="inlineStr">
        <is>
          <t>Arbusto de flor blanca</t>
        </is>
      </c>
      <c r="C23" s="56" t="inlineStr">
        <is>
          <t>Asteraceae por determinar</t>
        </is>
      </c>
      <c r="D23" s="56" t="inlineStr">
        <is>
          <t>Asteraceae</t>
        </is>
      </c>
      <c r="E23" s="56" t="inlineStr">
        <is>
          <t>Arbustivo alto (1.5-4 m)</t>
        </is>
      </c>
      <c r="F23" s="56" t="inlineStr">
        <is>
          <t>Nativa</t>
        </is>
      </c>
      <c r="G23" s="56" t="inlineStr">
        <is>
          <t>Frecuente (5-20%)</t>
        </is>
      </c>
      <c r="H23" s="56" t="n"/>
      <c r="I23" s="56" t="n"/>
    </row>
    <row r="24">
      <c r="A24" s="57" t="inlineStr">
        <is>
          <t>12</t>
        </is>
      </c>
      <c r="B24" s="57" t="inlineStr">
        <is>
          <t>Huaranhuay / bignoniacea</t>
        </is>
      </c>
      <c r="C24" s="57" t="inlineStr">
        <is>
          <t>Tecoma sp.</t>
        </is>
      </c>
      <c r="D24" s="57" t="inlineStr">
        <is>
          <t>Bignoniaceae</t>
        </is>
      </c>
      <c r="E24" s="57" t="inlineStr">
        <is>
          <t>Arbóreo bajo (4-8 m)</t>
        </is>
      </c>
      <c r="F24" s="57" t="inlineStr">
        <is>
          <t>Nativa</t>
        </is>
      </c>
      <c r="G24" s="57" t="inlineStr">
        <is>
          <t>Ocasional (1-5%)</t>
        </is>
      </c>
      <c r="H24" s="57" t="n"/>
      <c r="I24" s="57" t="n"/>
    </row>
    <row r="26">
      <c r="A26" s="54" t="inlineStr">
        <is>
          <t>F-DT-03 · ESPECIES CLAVE GEORREFERENCIADAS</t>
        </is>
      </c>
    </row>
    <row r="27">
      <c r="A27" s="55" t="inlineStr">
        <is>
          <t>N.o</t>
        </is>
      </c>
      <c r="B27" s="55" t="inlineStr">
        <is>
          <t>Especie</t>
        </is>
      </c>
      <c r="C27" s="55" t="inlineStr">
        <is>
          <t>Categoría</t>
        </is>
      </c>
      <c r="D27" s="55" t="inlineStr">
        <is>
          <t>Estado UICN</t>
        </is>
      </c>
      <c r="E27" s="55" t="inlineStr">
        <is>
          <t>UTM ESTE</t>
        </is>
      </c>
      <c r="F27" s="55" t="inlineStr">
        <is>
          <t>UTM NORTE</t>
        </is>
      </c>
      <c r="G27" s="55" t="inlineStr">
        <is>
          <t>N.° individuos</t>
        </is>
      </c>
      <c r="H27" s="55" t="inlineStr">
        <is>
          <t>Observación</t>
        </is>
      </c>
    </row>
    <row r="28">
      <c r="A28" s="56" t="inlineStr">
        <is>
          <t>1</t>
        </is>
      </c>
      <c r="B28" s="56" t="inlineStr">
        <is>
          <t>Tillandsia spp. (Bromeliaceae)</t>
        </is>
      </c>
      <c r="C28" s="56" t="inlineStr">
        <is>
          <t>Indicadora de buen estado</t>
        </is>
      </c>
      <c r="D28" s="56" t="inlineStr">
        <is>
          <t>NE — No Evaluado</t>
        </is>
      </c>
      <c r="E28" s="56" t="n"/>
      <c r="F28" s="56" t="n"/>
      <c r="G28" s="56" t="n"/>
      <c r="H28" s="56" t="inlineStr">
        <is>
          <t>Epifitismo abundante sobre el dosel de los sectores de umbria: indicador de humedad atmosferica persistente por condensacion de neblina. Atributo funcional a preservar.</t>
        </is>
      </c>
    </row>
    <row r="29">
      <c r="A29" s="57" t="inlineStr">
        <is>
          <t>2</t>
        </is>
      </c>
      <c r="B29" s="57" t="inlineStr">
        <is>
          <t>Cactaceas columnares (Cactaceae)</t>
        </is>
      </c>
      <c r="C29" s="57" t="inlineStr">
        <is>
          <t>Indicadora de perturbación</t>
        </is>
      </c>
      <c r="D29" s="57" t="inlineStr">
        <is>
          <t>NE — No Evaluado</t>
        </is>
      </c>
      <c r="E29" s="57" t="n"/>
      <c r="F29" s="57" t="n"/>
      <c r="G29" s="57" t="n"/>
      <c r="H29" s="57" t="inlineStr">
        <is>
          <t>Presentes en cimas y laderas de exposicion norte, coincidentes con las clases bajas de MSAVI. Determinacion especifica pendiente para verificacion frente al D.S. 043-2006-AG.</t>
        </is>
      </c>
    </row>
    <row r="30">
      <c r="A30" s="56" t="inlineStr">
        <is>
          <t>3</t>
        </is>
      </c>
      <c r="B30" s="56" t="inlineStr">
        <is>
          <t>Vachellia macracantha (faique)</t>
        </is>
      </c>
      <c r="C30" s="56" t="inlineStr">
        <is>
          <t>Indicadora de buen estado</t>
        </is>
      </c>
      <c r="D30" s="56" t="inlineStr">
        <is>
          <t>NE — No Evaluado</t>
        </is>
      </c>
      <c r="E30" s="56" t="n"/>
      <c r="F30" s="56" t="n"/>
      <c r="G30" s="56" t="n"/>
      <c r="H30" s="56" t="inlineStr">
        <is>
          <t>Especie estructurante del Bes-cm; base para el enriquecimiento con semilla de procedencia local.</t>
        </is>
      </c>
    </row>
    <row r="32">
      <c r="A32" s="54" t="inlineStr">
        <is>
          <t>F-DT-04 · MATRIZ DE CAUSAS DE DEGRADACIÓN</t>
        </is>
      </c>
    </row>
    <row r="33">
      <c r="A33" s="55" t="inlineStr">
        <is>
          <t>N.o</t>
        </is>
      </c>
      <c r="B33" s="55" t="inlineStr">
        <is>
          <t>Causa</t>
        </is>
      </c>
      <c r="C33" s="55" t="inlineStr">
        <is>
          <t>Presencia</t>
        </is>
      </c>
      <c r="D33" s="55" t="inlineStr">
        <is>
          <t>Intensidad</t>
        </is>
      </c>
      <c r="E33" s="55" t="inlineStr">
        <is>
          <t>Extensión</t>
        </is>
      </c>
      <c r="F33" s="55" t="inlineStr">
        <is>
          <t>Antigüedad</t>
        </is>
      </c>
      <c r="G33" s="55" t="inlineStr">
        <is>
          <t>Evidencia</t>
        </is>
      </c>
    </row>
    <row r="34">
      <c r="A34" s="56" t="inlineStr">
        <is>
          <t>1</t>
        </is>
      </c>
      <c r="B34" s="56" t="inlineStr">
        <is>
          <t>Sobrepastoreo (caprino/vacuno)</t>
        </is>
      </c>
      <c r="C34" s="56" t="inlineStr">
        <is>
          <t>Sí</t>
        </is>
      </c>
      <c r="D34" s="56" t="inlineStr">
        <is>
          <t>Ligera</t>
        </is>
      </c>
      <c r="E34" s="56" t="inlineStr">
        <is>
          <t>10</t>
        </is>
      </c>
      <c r="F34" s="56" t="inlineStr"/>
      <c r="G34" s="56" t="inlineStr">
        <is>
          <t>Indicios de pastoreo extensivo en el matorral ralo de cimas y laderas de exposicion norte; carga no cuantificada.</t>
        </is>
      </c>
    </row>
    <row r="35">
      <c r="A35" s="57" t="inlineStr">
        <is>
          <t>2</t>
        </is>
      </c>
      <c r="B35" s="57" t="inlineStr">
        <is>
          <t>Tala para leña</t>
        </is>
      </c>
      <c r="C35" s="57" t="inlineStr">
        <is>
          <t>Sí</t>
        </is>
      </c>
      <c r="D35" s="57" t="inlineStr">
        <is>
          <t>Ligera</t>
        </is>
      </c>
      <c r="E35" s="57" t="inlineStr"/>
      <c r="F35" s="57" t="inlineStr"/>
      <c r="G35" s="57" t="inlineStr">
        <is>
          <t>Tocones y ramoneo de leña en el entorno del caserio; extension no cuantificada.</t>
        </is>
      </c>
    </row>
    <row r="36">
      <c r="A36" s="56" t="inlineStr">
        <is>
          <t>3</t>
        </is>
      </c>
      <c r="B36" s="56" t="inlineStr">
        <is>
          <t>Tala para carbón</t>
        </is>
      </c>
      <c r="C36" s="56" t="inlineStr">
        <is>
          <t>No</t>
        </is>
      </c>
      <c r="D36" s="56" t="inlineStr">
        <is>
          <t>Nula</t>
        </is>
      </c>
      <c r="E36" s="56" t="inlineStr">
        <is>
          <t>0</t>
        </is>
      </c>
      <c r="F36" s="56" t="inlineStr"/>
      <c r="G36" s="56" t="inlineStr">
        <is>
          <t>No observada.</t>
        </is>
      </c>
    </row>
    <row r="37">
      <c r="A37" s="57" t="inlineStr">
        <is>
          <t>4</t>
        </is>
      </c>
      <c r="B37" s="57" t="inlineStr">
        <is>
          <t>Tala para madera</t>
        </is>
      </c>
      <c r="C37" s="57" t="inlineStr">
        <is>
          <t>No</t>
        </is>
      </c>
      <c r="D37" s="57" t="inlineStr">
        <is>
          <t>Nula</t>
        </is>
      </c>
      <c r="E37" s="57" t="inlineStr">
        <is>
          <t>0</t>
        </is>
      </c>
      <c r="F37" s="57" t="inlineStr"/>
      <c r="G37" s="57" t="inlineStr">
        <is>
          <t>No observada.</t>
        </is>
      </c>
    </row>
    <row r="38">
      <c r="A38" s="56" t="inlineStr">
        <is>
          <t>5</t>
        </is>
      </c>
      <c r="B38" s="56" t="inlineStr">
        <is>
          <t>Quema (renovación de pastos)</t>
        </is>
      </c>
      <c r="C38" s="56" t="inlineStr"/>
      <c r="D38" s="56" t="inlineStr"/>
      <c r="E38" s="56" t="inlineStr"/>
      <c r="F38" s="56" t="inlineStr"/>
      <c r="G38" s="56" t="inlineStr">
        <is>
          <t>Sin evidencia concluyente en el reconocimiento; verificar en campo.</t>
        </is>
      </c>
    </row>
    <row r="39">
      <c r="A39" s="57" t="inlineStr">
        <is>
          <t>6</t>
        </is>
      </c>
      <c r="B39" s="57" t="inlineStr">
        <is>
          <t>Quema accidental / Incendio</t>
        </is>
      </c>
      <c r="C39" s="57" t="inlineStr"/>
      <c r="D39" s="57" t="inlineStr"/>
      <c r="E39" s="57" t="inlineStr"/>
      <c r="F39" s="57" t="inlineStr"/>
      <c r="G39" s="57" t="inlineStr">
        <is>
          <t>Sin evidencia concluyente en el reconocimiento; verificar en campo.</t>
        </is>
      </c>
    </row>
    <row r="40">
      <c r="A40" s="56" t="inlineStr">
        <is>
          <t>7</t>
        </is>
      </c>
      <c r="B40" s="56" t="inlineStr">
        <is>
          <t>Cambio de uso a agricultura</t>
        </is>
      </c>
      <c r="C40" s="56" t="inlineStr">
        <is>
          <t>Sí</t>
        </is>
      </c>
      <c r="D40" s="56" t="inlineStr">
        <is>
          <t>Moderada</t>
        </is>
      </c>
      <c r="E40" s="56" t="inlineStr"/>
      <c r="F40" s="56" t="inlineStr"/>
      <c r="G40" s="56" t="inlineStr">
        <is>
          <t>Parcelas de cultivo y plantaciones en el entorno del bloque y en la ladera opuesta (toma 12:13:39).</t>
        </is>
      </c>
    </row>
    <row r="41">
      <c r="A41" s="57" t="inlineStr">
        <is>
          <t>8</t>
        </is>
      </c>
      <c r="B41" s="57" t="inlineStr">
        <is>
          <t>Cambio de uso a pastoreo</t>
        </is>
      </c>
      <c r="C41" s="57" t="inlineStr">
        <is>
          <t>Sí</t>
        </is>
      </c>
      <c r="D41" s="57" t="inlineStr">
        <is>
          <t>Ligera</t>
        </is>
      </c>
      <c r="E41" s="57" t="inlineStr"/>
      <c r="F41" s="57" t="inlineStr"/>
      <c r="G41" s="57" t="inlineStr">
        <is>
          <t>Matorral ralo con signos de ramoneo en cimas y laderas de exposicion norte.</t>
        </is>
      </c>
    </row>
    <row r="42">
      <c r="A42" s="56" t="inlineStr">
        <is>
          <t>9</t>
        </is>
      </c>
      <c r="B42" s="56" t="inlineStr">
        <is>
          <t>Expansión urbana / vial</t>
        </is>
      </c>
      <c r="C42" s="56" t="inlineStr">
        <is>
          <t>Sí</t>
        </is>
      </c>
      <c r="D42" s="56" t="inlineStr">
        <is>
          <t>Fuerte</t>
        </is>
      </c>
      <c r="E42" s="56" t="inlineStr"/>
      <c r="F42" s="56" t="inlineStr">
        <is>
          <t>2</t>
        </is>
      </c>
      <c r="G42" s="56" t="inlineStr">
        <is>
          <t>CAUSA DOMINANTE. Trocha carrozable de apertura o ensanche reciente sobre el limite norte del bloque: plataforma sin afirmado, taludes de corte de 2 a 5 m sin banquetas ni revegetacion, material excedente desplazado sobre el flanco de aguas abajo y linea electrica aerea asociada. Documentada en 12 tomas a lo largo de unos 600 m. La franja de MSAVI bajo del tercio septentrional coincide espacialmente con el trazo vial.</t>
        </is>
      </c>
    </row>
    <row r="43">
      <c r="A43" s="57" t="inlineStr">
        <is>
          <t>10</t>
        </is>
      </c>
      <c r="B43" s="57" t="inlineStr">
        <is>
          <t>Minería informal</t>
        </is>
      </c>
      <c r="C43" s="57" t="inlineStr">
        <is>
          <t>No</t>
        </is>
      </c>
      <c r="D43" s="57" t="inlineStr">
        <is>
          <t>Nula</t>
        </is>
      </c>
      <c r="E43" s="57" t="inlineStr">
        <is>
          <t>0</t>
        </is>
      </c>
      <c r="F43" s="57" t="inlineStr"/>
      <c r="G43" s="57" t="inlineStr">
        <is>
          <t>No observada.</t>
        </is>
      </c>
    </row>
    <row r="44">
      <c r="A44" s="56" t="inlineStr">
        <is>
          <t>11</t>
        </is>
      </c>
      <c r="B44" s="56" t="inlineStr">
        <is>
          <t>Extracción de áridos (cauces)</t>
        </is>
      </c>
      <c r="C44" s="56" t="inlineStr">
        <is>
          <t>No</t>
        </is>
      </c>
      <c r="D44" s="56" t="inlineStr">
        <is>
          <t>Nula</t>
        </is>
      </c>
      <c r="E44" s="56" t="inlineStr">
        <is>
          <t>0</t>
        </is>
      </c>
      <c r="F44" s="56" t="inlineStr"/>
      <c r="G44" s="56" t="inlineStr">
        <is>
          <t>No observada.</t>
        </is>
      </c>
    </row>
    <row r="45">
      <c r="A45" s="57" t="inlineStr">
        <is>
          <t>12</t>
        </is>
      </c>
      <c r="B45" s="57" t="inlineStr">
        <is>
          <t>Especies invasoras</t>
        </is>
      </c>
      <c r="C45" s="57" t="inlineStr"/>
      <c r="D45" s="57" t="inlineStr"/>
      <c r="E45" s="57" t="inlineStr"/>
      <c r="F45" s="57" t="inlineStr"/>
      <c r="G45" s="57" t="inlineStr">
        <is>
          <t>Sin evidencia concluyente en el reconocimiento; verificar en campo.</t>
        </is>
      </c>
    </row>
    <row r="46">
      <c r="A46" s="56" t="inlineStr">
        <is>
          <t>13</t>
        </is>
      </c>
      <c r="B46" s="56" t="inlineStr">
        <is>
          <t>Erosión natural severa</t>
        </is>
      </c>
      <c r="C46" s="56" t="inlineStr">
        <is>
          <t>Sí</t>
        </is>
      </c>
      <c r="D46" s="56" t="inlineStr">
        <is>
          <t>Moderada</t>
        </is>
      </c>
      <c r="E46" s="56" t="inlineStr"/>
      <c r="F46" s="56" t="inlineStr">
        <is>
          <t>2</t>
        </is>
      </c>
      <c r="G46" s="56" t="inlineStr">
        <is>
          <t>Erosion concentrada en taludes y plataforma de la trocha; arrastre de boloneria y gravas en la vaguada intersectada (toma 12:11:10).</t>
        </is>
      </c>
    </row>
    <row r="47">
      <c r="A47" s="57" t="inlineStr">
        <is>
          <t>14</t>
        </is>
      </c>
      <c r="B47" s="57" t="inlineStr">
        <is>
          <t>Sequía prolongada / CC</t>
        </is>
      </c>
      <c r="C47" s="57" t="inlineStr"/>
      <c r="D47" s="57" t="inlineStr"/>
      <c r="E47" s="57" t="inlineStr"/>
      <c r="F47" s="57" t="inlineStr"/>
      <c r="G47" s="57" t="inlineStr">
        <is>
          <t>Sin evidencia concluyente en el reconocimiento; verificar en campo.</t>
        </is>
      </c>
    </row>
    <row r="48">
      <c r="A48" s="56" t="inlineStr">
        <is>
          <t>15</t>
        </is>
      </c>
      <c r="B48" s="56" t="inlineStr">
        <is>
          <t>Plagas o enfermedades forestales</t>
        </is>
      </c>
      <c r="C48" s="56" t="inlineStr">
        <is>
          <t>No</t>
        </is>
      </c>
      <c r="D48" s="56" t="inlineStr">
        <is>
          <t>Nula</t>
        </is>
      </c>
      <c r="E48" s="56" t="inlineStr">
        <is>
          <t>0</t>
        </is>
      </c>
      <c r="F48" s="56" t="inlineStr"/>
      <c r="G48" s="56" t="inlineStr">
        <is>
          <t>Dosel sin sintomatologia aparente de plaga o enfermedad.</t>
        </is>
      </c>
    </row>
    <row r="49">
      <c r="A49" s="57" t="inlineStr">
        <is>
          <t>16</t>
        </is>
      </c>
      <c r="B49" s="57" t="inlineStr">
        <is>
          <t>Otro</t>
        </is>
      </c>
      <c r="C49" s="57" t="inlineStr"/>
      <c r="D49" s="57" t="inlineStr"/>
      <c r="E49" s="57" t="inlineStr"/>
      <c r="F49" s="57" t="inlineStr"/>
      <c r="G49" s="57" t="inlineStr">
        <is>
          <t>Sin evidencia concluyente en el reconocimiento; verificar en campo.</t>
        </is>
      </c>
    </row>
    <row r="51">
      <c r="A51" s="54" t="inlineStr">
        <is>
          <t>F-DT-04 · INDICADORES CUANTITATIVOS</t>
        </is>
      </c>
    </row>
    <row r="52">
      <c r="A52" s="55" t="inlineStr">
        <is>
          <t>N.o</t>
        </is>
      </c>
      <c r="B52" s="55" t="inlineStr">
        <is>
          <t>Indicador</t>
        </is>
      </c>
      <c r="C52" s="55" t="inlineStr">
        <is>
          <t>Unidad</t>
        </is>
      </c>
      <c r="D52" s="55" t="inlineStr">
        <is>
          <t>Valor</t>
        </is>
      </c>
      <c r="E52" s="55" t="inlineStr">
        <is>
          <t>Fuente</t>
        </is>
      </c>
      <c r="F52" s="55" t="inlineStr">
        <is>
          <t>Umbral</t>
        </is>
      </c>
      <c r="G52" s="55" t="inlineStr">
        <is>
          <t>Nivel</t>
        </is>
      </c>
    </row>
    <row r="53">
      <c r="A53" s="56" t="inlineStr">
        <is>
          <t>1</t>
        </is>
      </c>
      <c r="B53" s="56" t="inlineStr">
        <is>
          <t>Cobertura vegetal total</t>
        </is>
      </c>
      <c r="C53" s="56" t="inlineStr">
        <is>
          <t>%</t>
        </is>
      </c>
      <c r="D53" s="56" t="inlineStr"/>
      <c r="E53" s="56" t="inlineStr">
        <is>
          <t>No cuantificado — ficha no diligenciada en campo</t>
        </is>
      </c>
      <c r="F53" s="56" t="inlineStr">
        <is>
          <t>&gt;60% bueno; 30-60% medio; &lt;30% malo</t>
        </is>
      </c>
      <c r="G53" s="56" t="inlineStr"/>
    </row>
    <row r="54">
      <c r="A54" s="57" t="inlineStr">
        <is>
          <t>2</t>
        </is>
      </c>
      <c r="B54" s="57" t="inlineStr">
        <is>
          <t>Porcentaje de suelo desnudo</t>
        </is>
      </c>
      <c r="C54" s="57" t="inlineStr">
        <is>
          <t>%</t>
        </is>
      </c>
      <c r="D54" s="57" t="inlineStr"/>
      <c r="E54" s="57" t="inlineStr">
        <is>
          <t>No cuantificado — ficha no diligenciada en campo</t>
        </is>
      </c>
      <c r="F54" s="57" t="inlineStr">
        <is>
          <t>&lt;10% bueno; 10-30% medio; &gt;30% malo</t>
        </is>
      </c>
      <c r="G54" s="57" t="inlineStr"/>
    </row>
    <row r="55">
      <c r="A55" s="56" t="inlineStr">
        <is>
          <t>3</t>
        </is>
      </c>
      <c r="B55" s="56" t="inlineStr">
        <is>
          <t>Densidad de cárcavas</t>
        </is>
      </c>
      <c r="C55" s="56" t="inlineStr">
        <is>
          <t>N°/ha</t>
        </is>
      </c>
      <c r="D55" s="56" t="inlineStr"/>
      <c r="E55" s="56" t="inlineStr">
        <is>
          <t>Sin inventario — F-DT-02 no levantada</t>
        </is>
      </c>
      <c r="F55" s="56" t="inlineStr">
        <is>
          <t>0 nulo; 1-3 medio; &gt;3 alto</t>
        </is>
      </c>
      <c r="G55" s="56" t="inlineStr"/>
    </row>
    <row r="56">
      <c r="A56" s="57" t="inlineStr">
        <is>
          <t>4</t>
        </is>
      </c>
      <c r="B56" s="57" t="inlineStr">
        <is>
          <t>Presencia de especies invasoras</t>
        </is>
      </c>
      <c r="C56" s="57" t="inlineStr">
        <is>
          <t>% área</t>
        </is>
      </c>
      <c r="D56" s="57" t="inlineStr"/>
      <c r="E56" s="57" t="inlineStr">
        <is>
          <t>No cuantificado — ficha no diligenciada en campo</t>
        </is>
      </c>
      <c r="F56" s="57" t="inlineStr">
        <is>
          <t>&lt;5% bueno; 5-20% medio; &gt;20% alto</t>
        </is>
      </c>
      <c r="G56" s="57" t="inlineStr"/>
    </row>
    <row r="57">
      <c r="A57" s="56" t="inlineStr">
        <is>
          <t>5</t>
        </is>
      </c>
      <c r="B57" s="56" t="inlineStr">
        <is>
          <t>Carga ganadera estimada</t>
        </is>
      </c>
      <c r="C57" s="56" t="inlineStr">
        <is>
          <t>UA/ha</t>
        </is>
      </c>
      <c r="D57" s="56" t="inlineStr"/>
      <c r="E57" s="56" t="inlineStr">
        <is>
          <t>No cuantificado — ficha no diligenciada en campo</t>
        </is>
      </c>
      <c r="F57" s="56" t="inlineStr">
        <is>
          <t>Según tipo de ecosistema</t>
        </is>
      </c>
      <c r="G57" s="56" t="inlineStr"/>
    </row>
    <row r="58">
      <c r="A58" s="57" t="inlineStr">
        <is>
          <t>6</t>
        </is>
      </c>
      <c r="B58" s="57" t="inlineStr">
        <is>
          <t>Frecuencia de quemas últimos 5 años</t>
        </is>
      </c>
      <c r="C58" s="57" t="inlineStr">
        <is>
          <t>N°</t>
        </is>
      </c>
      <c r="D58" s="57" t="inlineStr"/>
      <c r="E58" s="57" t="inlineStr">
        <is>
          <t>No cuantificado — ficha no diligenciada en campo</t>
        </is>
      </c>
      <c r="F58" s="57" t="inlineStr">
        <is>
          <t>0 nulo; 1-2 medio; &gt;2 alto</t>
        </is>
      </c>
      <c r="G58" s="57" t="inlineStr"/>
    </row>
    <row r="59">
      <c r="A59" s="56" t="inlineStr">
        <is>
          <t>7</t>
        </is>
      </c>
      <c r="B59" s="56" t="inlineStr">
        <is>
          <t>% área con pendiente &gt;50%</t>
        </is>
      </c>
      <c r="C59" s="56" t="inlineStr">
        <is>
          <t>%</t>
        </is>
      </c>
      <c r="D59" s="56" t="inlineStr"/>
      <c r="E59" s="56" t="inlineStr">
        <is>
          <t>Requiere reclasificacion del MDE</t>
        </is>
      </c>
      <c r="F59" s="56" t="inlineStr">
        <is>
          <t>Factor de susceptibilidad</t>
        </is>
      </c>
      <c r="G59" s="56" t="inlineStr"/>
    </row>
    <row r="60">
      <c r="A60" s="57" t="inlineStr">
        <is>
          <t>8</t>
        </is>
      </c>
      <c r="B60" s="57" t="inlineStr">
        <is>
          <t>Distancia a vía vecinal más cercana</t>
        </is>
      </c>
      <c r="C60" s="57" t="inlineStr">
        <is>
          <t>m</t>
        </is>
      </c>
      <c r="D60" s="57" t="inlineStr">
        <is>
          <t>0</t>
        </is>
      </c>
      <c r="E60" s="57" t="inlineStr">
        <is>
          <t>Estaciones fotograficas 18-08-2026 y SIG</t>
        </is>
      </c>
      <c r="F60" s="57" t="inlineStr">
        <is>
          <t>A menor distancia → mayor presión</t>
        </is>
      </c>
      <c r="G60" s="57" t="inlineStr">
        <is>
          <t>Alto</t>
        </is>
      </c>
    </row>
    <row r="62">
      <c r="A62" s="54" t="inlineStr">
        <is>
          <t>F-DT-05 · FUENTES DE AGUA INVENTARIADAS</t>
        </is>
      </c>
    </row>
    <row r="63">
      <c r="A63" s="55" t="inlineStr">
        <is>
          <t>N.o</t>
        </is>
      </c>
      <c r="B63" s="55" t="inlineStr">
        <is>
          <t>Tipo de fuente</t>
        </is>
      </c>
      <c r="C63" s="55" t="inlineStr">
        <is>
          <t>UTM ESTE</t>
        </is>
      </c>
      <c r="D63" s="55" t="inlineStr">
        <is>
          <t>UTM NORTE</t>
        </is>
      </c>
      <c r="E63" s="55" t="inlineStr">
        <is>
          <t>Régimen</t>
        </is>
      </c>
      <c r="F63" s="55" t="inlineStr">
        <is>
          <t>Calidad</t>
        </is>
      </c>
      <c r="G63" s="55" t="inlineStr">
        <is>
          <t>Distancia (m)</t>
        </is>
      </c>
      <c r="H63" s="55" t="inlineStr">
        <is>
          <t>Uso / observación</t>
        </is>
      </c>
    </row>
    <row r="64">
      <c r="A64" s="56" t="inlineStr">
        <is>
          <t>1</t>
        </is>
      </c>
      <c r="B64" s="56" t="inlineStr">
        <is>
          <t>Quebrada estacional</t>
        </is>
      </c>
      <c r="C64" s="61" t="n">
        <v>650350</v>
      </c>
      <c r="D64" s="61" t="n">
        <v>9376569</v>
      </c>
      <c r="E64" s="56" t="inlineStr">
        <is>
          <t>Estacional (lluvias)</t>
        </is>
      </c>
      <c r="F64" s="56" t="inlineStr">
        <is>
          <t>No evaluable</t>
        </is>
      </c>
      <c r="G64" s="61" t="n">
        <v>50</v>
      </c>
      <c r="H64" s="56" t="inlineStr">
        <is>
          <t>Vaguada de lecho pedregoso con boloneria y gravas, intersectada por la trocha sin obra de drenaje ni alcantarilla; evidencia de escorrentia concentrada (toma 12:11:10). Coordenada tomada del sello fotografico; distancia estimada sobre el plano temarico.</t>
        </is>
      </c>
    </row>
    <row r="67">
      <c r="A67" s="54" t="inlineStr">
        <is>
          <t>OBSERVACIONES DEL EVALUADOR POR FICHA</t>
        </is>
      </c>
    </row>
    <row r="68">
      <c r="A68" s="55" t="inlineStr">
        <is>
          <t>Ficha</t>
        </is>
      </c>
      <c r="B68" s="55" t="inlineStr">
        <is>
          <t>Observación registrada en campo</t>
        </is>
      </c>
    </row>
    <row r="69">
      <c r="A69" s="56" t="inlineStr">
        <is>
          <t>F-DT-01</t>
        </is>
      </c>
      <c r="B69" s="56" t="inlineStr">
        <is>
          <t>AFLORAMIENTOS ROCOSOS: roca metamorfica gris fracturada en cortes de la trocha y en cimas. ESCARPES ACTIVOS: taludes de corte de 2 a 5 m en material coluvial arcillo-limoso rojizo con clastos angulosos, sin tratamiento. DESLIZAMIENTO ANTIGUO: cicatriz visible en la ladera opuesta (toma 12:13:39). REMOCION EN MASA ACTIVA: arbol descalzado con sistema radicular expuesto por retroceso del talud y agrietamiento del material (toma 12:06:52, 649925 E / 9376647 N); material desprendido acumulado al pie del corte (toma 12:11:20). REPTACION: no observada; su ausencia no fue verificada instrumentalmente. Altitud GPS no registrada en campo.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is>
      </c>
    </row>
    <row r="70">
      <c r="A70" s="57" t="inlineStr">
        <is>
          <t>F-DT-02</t>
        </is>
      </c>
      <c r="B70" s="57" t="inlineStr">
        <is>
          <t>INVENTARIO DE CARCAVAS NO EJECUTADO: la seccion 3 se remite vacia. La ausencia de registros NO equivale a ausencia verificada de carcavas; en taludes frescos, sin cobertura y expuestos a la proxima estacion lluviosa, su desarrollo es el escenario esperable. Evidencia fotografica disponible: raices expuestas en el borde superior del talud (12:06:52); surcos incipientes sobre las superficies de corte y suelo desnudo continuo en la faja de plataforma y pie de talud; escorrentia concentrada con arrastre de boloneria y gravas en una vaguada intersectada por la trocha sin obra de drenaje (12:11:10, 650350 E / 9376569 N). El patron se declara LINEAL por asociarse al eje vial y la urgencia de control se propone ALTA por la ventana temporal, no por un valor medido.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is>
      </c>
    </row>
    <row r="71">
      <c r="A71" s="56" t="inlineStr">
        <is>
          <t>F-DT-03</t>
        </is>
      </c>
      <c r="B71" s="56" t="inlineStr">
        <is>
          <t>LISTA FLORISTICA PRELIMINAR E INCOMPLETA: 12 taxones frente al minimo de 15 que exige la ficha (FALTAN 3). Los binomios proceden de nombres comunes y de fotointerpretacion; ninguno ha sido confirmado taxonomicamente. No se instalaron parcelas ni se realizo colecta botanica, por lo que coberturas por estrato, alturas y DAP se remiten vacias. La coexistencia de bromeliaceas epifitas abundantes con cactaceas columnares expresa un fuerte gradiente microclimatico interno entre sectores de umbria y de exposicion norte, que debe gobernar la zonificacion de medidas y la seleccion de especies. Fenologia FLORACION: arbustos de Asteraceae en plena floracion en agosto, estacion seca.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is>
      </c>
    </row>
    <row r="72">
      <c r="A72" s="57" t="inlineStr">
        <is>
          <t>F-DT-04</t>
        </is>
      </c>
      <c r="B72" s="57" t="inlineStr">
        <is>
          <t>La distancia a via vecinal se consigna como 0 m porque la trocha recorre el propio limite del bloque: es el valor mas desfavorable de la escala y el hecho de mayor consecuencia diagnostica de este bloque. El resto de indicadores cuantitativos se remite VACIO por no haber sido medido. Las filas 19, 20, 26, 28 y 30 de la matriz de causas se remiten sin presencia declarada por ausencia de evidencia concluyente.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is>
      </c>
    </row>
    <row r="73">
      <c r="A73" s="56" t="inlineStr">
        <is>
          <t>F-DT-05</t>
        </is>
      </c>
      <c r="B73" s="56" t="inlineStr">
        <is>
          <t>FICHA PARCIAL. Unico elemento hidrico documentado: la vaguada estacional intersectada por la trocha en el sector oriental. NO se ejecuto inventario georreferenciado de manantiales ni se levantaron datos de JASS, captacion poblacional, señal celular, operador, tiempos de viaje, alojamiento ni autorizacion de Ronda Campesina: esos campos se remiten VACIOS. ZONA DE RECARGA declarada SI por la posicion del bloque en la cabecera del sistema de drenaje de la quebrada Q9593 y por la condensacion de neblina evidenciada en la totalidad de las tomas; HUMEDAD PERSISTENTE con indicador biologico directo en el epifitismo denso de bromeliaceas. El bloque se situa en la ZONA DE ORIGEN del peligro generador de inundaciones (PGI). Transitabilidad en epoca lluviosa BAJA: plataforma sin afirmado con taludes inestables.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20</t>
        </is>
      </c>
    </row>
    <row r="7">
      <c r="A7" s="54" t="inlineStr">
        <is>
          <t>Hechos declarados por fuente</t>
        </is>
      </c>
    </row>
    <row r="8">
      <c r="A8" s="55" t="inlineStr">
        <is>
          <t>Fuente</t>
        </is>
      </c>
      <c r="B8" s="55" t="inlineStr">
        <is>
          <t>Hechos</t>
        </is>
      </c>
    </row>
    <row r="9">
      <c r="A9" s="56" t="inlineStr">
        <is>
          <t>Dato de campo</t>
        </is>
      </c>
      <c r="B9" s="56" t="n">
        <v>49</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84</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29</v>
      </c>
    </row>
    <row r="45">
      <c r="A45" s="54" t="inlineStr">
        <is>
          <t>Causas activas de degradación (F-DT-04)</t>
        </is>
      </c>
    </row>
    <row r="46">
      <c r="A46" s="55" t="inlineStr">
        <is>
          <t>Causa</t>
        </is>
      </c>
      <c r="B46" s="55" t="inlineStr">
        <is>
          <t>Intensidad (1 ligera - 4 muy fuerte)</t>
        </is>
      </c>
    </row>
    <row r="47">
      <c r="A47" s="56" t="inlineStr">
        <is>
          <t>Expansión urbana / vial</t>
        </is>
      </c>
      <c r="B47" s="56" t="n">
        <v>3</v>
      </c>
    </row>
    <row r="48">
      <c r="A48" s="57" t="inlineStr">
        <is>
          <t>Cambio de uso a agricultura</t>
        </is>
      </c>
      <c r="B48" s="57" t="n">
        <v>2</v>
      </c>
    </row>
    <row r="49">
      <c r="A49" s="56" t="inlineStr">
        <is>
          <t>Erosión natural severa</t>
        </is>
      </c>
      <c r="B49" s="56" t="n">
        <v>2</v>
      </c>
    </row>
    <row r="50">
      <c r="A50" s="57" t="inlineStr">
        <is>
          <t>Cambio de uso a pastoreo</t>
        </is>
      </c>
      <c r="B50" s="57" t="n">
        <v>1</v>
      </c>
    </row>
    <row r="51">
      <c r="A51" s="56" t="inlineStr">
        <is>
          <t>Sobrepastoreo (caprino/vacuno)</t>
        </is>
      </c>
      <c r="B51" s="56" t="n">
        <v>1</v>
      </c>
    </row>
    <row r="52">
      <c r="A52" s="57" t="inlineStr">
        <is>
          <t>Tala para leña</t>
        </is>
      </c>
      <c r="B52" s="57" t="n">
        <v>1</v>
      </c>
    </row>
    <row r="64">
      <c r="A64" s="54" t="inlineStr">
        <is>
          <t>Control de consistencia por calificación</t>
        </is>
      </c>
    </row>
    <row r="65">
      <c r="A65" s="55" t="inlineStr">
        <is>
          <t>Calificación</t>
        </is>
      </c>
      <c r="B65" s="55" t="inlineStr">
        <is>
          <t>Verificaciones</t>
        </is>
      </c>
    </row>
    <row r="66">
      <c r="A66" s="56" t="inlineStr">
        <is>
          <t>SUSTANTIVA</t>
        </is>
      </c>
      <c r="B66" s="56" t="n">
        <v>4</v>
      </c>
    </row>
    <row r="67">
      <c r="A67" s="57" t="inlineStr">
        <is>
          <t>NO SUSTANTIVA</t>
        </is>
      </c>
      <c r="B67" s="57" t="n">
        <v>2</v>
      </c>
    </row>
    <row r="68">
      <c r="A68" s="56" t="inlineStr">
        <is>
          <t>CORREGIDO</t>
        </is>
      </c>
      <c r="B68" s="56" t="n">
        <v>0</v>
      </c>
    </row>
    <row r="69">
      <c r="A69" s="57" t="inlineStr">
        <is>
          <t>CONFORME</t>
        </is>
      </c>
      <c r="B69"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20 — IN Piura</dc:title>
  <dc:subject>Diagnóstico Territorial por bloque de intervención</dc:subject>
  <dcterms:created xsi:type="dcterms:W3CDTF">2026-09-08T03:39:55Z</dcterms:created>
  <dcterms:modified xsi:type="dcterms:W3CDTF">2026-09-11T21:26:23Z</dcterms:modified>
</cp:coreProperties>
</file>