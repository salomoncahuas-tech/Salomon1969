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0"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integración'!B65</f>
            </strRef>
          </tx>
          <spPr>
            <a:ln>
              <a:prstDash val="solid"/>
            </a:ln>
          </spPr>
          <cat>
            <numRef>
              <f>'Gráficos de integración'!$A$66:$A$69</f>
            </numRef>
          </cat>
          <val>
            <numRef>
              <f>'Gráficos de integración'!$B$66:$B$69</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432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M19B2</t>
        </is>
      </c>
    </row>
    <row r="6" ht="24" customHeight="1">
      <c r="A6" s="4" t="inlineStr">
        <is>
          <t>Diagnóstico Territorial — Plantilla DT Campo Check Validada V5 | Sistema de referencia: UTM WGS 84 Zona 17S (EPSG:32717) · Integrado con la ficha de campo F-DT vigente (FDT_M19B2_IN_Piura.xlsx) — V7 - resumen V6 + campo F-DT integrado</t>
        </is>
      </c>
    </row>
    <row r="7"/>
    <row r="8" ht="18" customHeight="1">
      <c r="A8" s="5" t="inlineStr">
        <is>
          <t>1. IDENTIFICACIÓN Y LOCALIZACIÓN</t>
        </is>
      </c>
    </row>
    <row r="9">
      <c r="A9" s="6" t="inlineStr">
        <is>
          <t>Código del bloque</t>
        </is>
      </c>
      <c r="B9" s="7" t="inlineStr">
        <is>
          <t>M19B2</t>
        </is>
      </c>
      <c r="C9" s="6" t="inlineStr">
        <is>
          <t>Microcuenca (catálogo)</t>
        </is>
      </c>
      <c r="D9" s="7" t="inlineStr">
        <is>
          <t>C1086-Q9570</t>
        </is>
      </c>
      <c r="E9" s="8" t="n"/>
      <c r="F9" s="8" t="n"/>
    </row>
    <row r="10">
      <c r="A10" s="6" t="inlineStr">
        <is>
          <t>Zona de planificación</t>
        </is>
      </c>
      <c r="B10" s="7" t="inlineStr">
        <is>
          <t>Z05</t>
        </is>
      </c>
      <c r="C10" s="6" t="inlineStr">
        <is>
          <t>Microcuenca declarada en ficha DT</t>
        </is>
      </c>
      <c r="D10" s="7" t="inlineStr">
        <is>
          <t>C1086-Q9570</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Morropon</t>
        </is>
      </c>
      <c r="C12" s="6" t="inlineStr">
        <is>
          <t>Capital distrital</t>
        </is>
      </c>
      <c r="D12" s="7" t="inlineStr">
        <is>
          <t>Morropon</t>
        </is>
      </c>
      <c r="E12" s="8" t="n"/>
      <c r="F12" s="8" t="n"/>
    </row>
    <row r="13">
      <c r="A13" s="6" t="inlineStr">
        <is>
          <t>Centro poblado asociado</t>
        </is>
      </c>
      <c r="B13" s="7" t="inlineStr">
        <is>
          <t>Boca Negra</t>
        </is>
      </c>
      <c r="C13" s="6" t="inlineStr">
        <is>
          <t>Comunidad campesina</t>
        </is>
      </c>
      <c r="D13" s="7" t="inlineStr">
        <is>
          <t>No consignada</t>
        </is>
      </c>
      <c r="E13" s="8" t="n"/>
      <c r="F13" s="8" t="n"/>
    </row>
    <row r="14">
      <c r="A14" s="6" t="inlineStr">
        <is>
          <t>Superficie de catálogo (V5/V6), ha</t>
        </is>
      </c>
      <c r="B14" s="7" t="n">
        <v>74.37</v>
      </c>
      <c r="C14" s="6" t="inlineStr">
        <is>
          <t>Fuente de superficie</t>
        </is>
      </c>
      <c r="D14" s="7" t="inlineStr">
        <is>
          <t>Catálogo maestro Bloques V5/V6</t>
        </is>
      </c>
      <c r="E14" s="8" t="n"/>
      <c r="F14" s="8" t="n"/>
    </row>
    <row r="15">
      <c r="A15" s="6" t="inlineStr">
        <is>
          <t>Centroide UTM ESTE (m)</t>
        </is>
      </c>
      <c r="B15" s="7" t="n">
        <v>617715</v>
      </c>
      <c r="C15" s="6" t="inlineStr">
        <is>
          <t>Centroide UTM NORTE (m)</t>
        </is>
      </c>
      <c r="D15" s="7" t="n">
        <v>9427284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203</v>
      </c>
      <c r="C19" s="6" t="inlineStr">
        <is>
          <t>Altitud máxima (msnm)</t>
        </is>
      </c>
      <c r="D19" s="7" t="n">
        <v>523</v>
      </c>
      <c r="E19" s="8" t="n"/>
      <c r="F19" s="8" t="n"/>
    </row>
    <row r="20">
      <c r="A20" s="6" t="inlineStr">
        <is>
          <t>Amplitud altitudinal (m)</t>
        </is>
      </c>
      <c r="B20" s="7" t="n">
        <v>320</v>
      </c>
      <c r="C20" s="6" t="inlineStr">
        <is>
          <t>Piso altitudinal dominante</t>
        </is>
      </c>
      <c r="D20" s="7" t="inlineStr">
        <is>
          <t>&lt;1000 m (Yunga)</t>
        </is>
      </c>
      <c r="E20" s="8" t="n"/>
      <c r="F20" s="8" t="n"/>
    </row>
    <row r="21">
      <c r="A21" s="6" t="inlineStr">
        <is>
          <t>Pendiente promedio (%)</t>
        </is>
      </c>
      <c r="B21" s="7" t="n">
        <v>21.71</v>
      </c>
      <c r="C21" s="6" t="inlineStr">
        <is>
          <t>Pendiente promedio (grados)</t>
        </is>
      </c>
      <c r="D21" s="7" t="n">
        <v>12.2</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0.4012</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mediana (68.39 %)</t>
        </is>
      </c>
      <c r="E29" s="8" t="n"/>
      <c r="F29" s="8" t="n"/>
    </row>
    <row r="30">
      <c r="A30" s="6" t="inlineStr">
        <is>
          <t>Superficie clasificada NDVI 2025 (ha)</t>
        </is>
      </c>
      <c r="B30" s="7" t="n">
        <v>74.40600000000001</v>
      </c>
      <c r="C30" s="6" t="inlineStr">
        <is>
          <t>Desviación frente al catálogo (%)</t>
        </is>
      </c>
      <c r="D30" s="7" t="n">
        <v>0.05</v>
      </c>
      <c r="E30" s="8" t="n"/>
      <c r="F30" s="8" t="n"/>
    </row>
    <row r="31">
      <c r="A31" s="6" t="inlineStr">
        <is>
          <t>Superficie clasificada MSAVI 2024 (ha)</t>
        </is>
      </c>
      <c r="B31" s="37" t="n">
        <v>74.372</v>
      </c>
      <c r="C31" s="6" t="inlineStr">
        <is>
          <t>Desviación MSAVI frente al catálogo (%)</t>
        </is>
      </c>
      <c r="D31" s="38" t="n">
        <v>0</v>
      </c>
      <c r="E31" s="8" t="n"/>
      <c r="F31" s="8" t="n"/>
    </row>
    <row r="32">
      <c r="A32" s="6" t="inlineStr">
        <is>
          <t>Superficie bajo umbral MSAVI 0.4976 (ha)</t>
        </is>
      </c>
      <c r="B32" s="37" t="n">
        <v>71.57299999999999</v>
      </c>
      <c r="C32" s="6" t="inlineStr">
        <is>
          <t>% del bloque bajo umbral (brecha espectral)</t>
        </is>
      </c>
      <c r="D32" s="38" t="n">
        <v>96.23999999999999</v>
      </c>
      <c r="E32" s="8" t="n"/>
      <c r="F32" s="8" t="n"/>
    </row>
    <row r="33">
      <c r="A33" s="6" t="inlineStr">
        <is>
          <t>Clase DN dominante (MSAVI 2024)</t>
        </is>
      </c>
      <c r="B33" s="7" t="inlineStr">
        <is>
          <t>DN 3 · 0.3813 - 0.4976 (Vigor bajo)</t>
        </is>
      </c>
      <c r="C33" s="6" t="inlineStr">
        <is>
          <t>N.° de polígonos MSAVI del bloque</t>
        </is>
      </c>
      <c r="D33" s="39" t="n">
        <v>243</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74.372 ha (100% del bloque)</t>
        </is>
      </c>
      <c r="E36" s="8" t="n"/>
      <c r="F36" s="8" t="n"/>
    </row>
    <row r="37">
      <c r="A37" s="6" t="inlineStr">
        <is>
          <t>Estado de conservación</t>
        </is>
      </c>
      <c r="B37" s="7" t="inlineStr">
        <is>
          <t>Conservado (sin intervención evidente)</t>
        </is>
      </c>
      <c r="C37" s="6" t="inlineStr">
        <is>
          <t>Uso actual dominante del suelo</t>
        </is>
      </c>
      <c r="D37" s="49" t="inlineStr">
        <is>
          <t>Forestal protección</t>
        </is>
      </c>
      <c r="E37" s="8" t="n"/>
      <c r="F37" s="8" t="n"/>
    </row>
    <row r="38">
      <c r="A38" s="6" t="inlineStr">
        <is>
          <t>Tipo de cobertura dominante</t>
        </is>
      </c>
      <c r="B38" s="7" t="inlineStr">
        <is>
          <t>Bosque denso (&gt;70%)</t>
        </is>
      </c>
      <c r="C38" s="6" t="inlineStr">
        <is>
          <t>Cobertura vegetal total — campo (%)</t>
        </is>
      </c>
      <c r="D38" s="7" t="n">
        <v>95</v>
      </c>
      <c r="E38" s="8" t="n"/>
      <c r="F38" s="8" t="n"/>
    </row>
    <row r="39">
      <c r="A39" s="6" t="inlineStr">
        <is>
          <t>Suelo desnudo — campo (%)</t>
        </is>
      </c>
      <c r="B39" s="7" t="n">
        <v>0</v>
      </c>
      <c r="C39" s="6" t="inlineStr">
        <is>
          <t>Regeneración natural</t>
        </is>
      </c>
      <c r="D39" s="7" t="inlineStr">
        <is>
          <t>Regular (10-50 pl./100m²)</t>
        </is>
      </c>
      <c r="E39" s="8" t="n"/>
      <c r="F39" s="8" t="n"/>
    </row>
    <row r="40">
      <c r="A40" s="6" t="inlineStr">
        <is>
          <t>Nivel general de erosión</t>
        </is>
      </c>
      <c r="B40" s="7" t="inlineStr">
        <is>
          <t>Nula</t>
        </is>
      </c>
      <c r="C40" s="6" t="inlineStr">
        <is>
          <t>N.° de cárcavas registradas</t>
        </is>
      </c>
      <c r="D40" s="7" t="n">
        <v>0</v>
      </c>
      <c r="E40" s="8" t="n"/>
      <c r="F40" s="8" t="n"/>
    </row>
    <row r="41">
      <c r="A41" s="6" t="inlineStr">
        <is>
          <t>Elenco florístico (n.° de taxones)</t>
        </is>
      </c>
      <c r="B41" s="7" t="n">
        <v>4</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Carlos Domínguez Varas; Ing. Héctor S. Cahuas Miller</t>
        </is>
      </c>
      <c r="C44" s="6" t="inlineStr">
        <is>
          <t>Fecha de evaluación</t>
        </is>
      </c>
      <c r="D44" s="7" t="inlineStr">
        <is>
          <t>2026-05-06</t>
        </is>
      </c>
      <c r="E44" s="8" t="n"/>
      <c r="F44" s="8" t="n"/>
    </row>
    <row r="45">
      <c r="A45" s="6" t="inlineStr">
        <is>
          <t>Hora de registro</t>
        </is>
      </c>
      <c r="B45" s="7" t="inlineStr">
        <is>
          <t>10:30 h</t>
        </is>
      </c>
      <c r="C45" s="6" t="inlineStr">
        <is>
          <t>Correlativo de ficha</t>
        </is>
      </c>
      <c r="D45" s="7" t="inlineStr">
        <is>
          <t>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49" t="inlineStr">
        <is>
          <t>No instalada (observación desde los límites del polígono)</t>
        </is>
      </c>
      <c r="E47" s="8" t="n"/>
      <c r="F47" s="8" t="n"/>
    </row>
    <row r="48">
      <c r="A48" s="6" t="inlineStr">
        <is>
          <t>Estaciones fotográficas georreferenciadas</t>
        </is>
      </c>
      <c r="B48" s="7" t="n">
        <v>0</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No consignada en el formato de campo</t>
        </is>
      </c>
      <c r="C51" s="6" t="inlineStr">
        <is>
          <t>Velocidad de degradación</t>
        </is>
      </c>
      <c r="D51" s="7" t="inlineStr">
        <is>
          <t>Estable</t>
        </is>
      </c>
      <c r="E51" s="8" t="n"/>
      <c r="F51" s="8" t="n"/>
    </row>
    <row r="52">
      <c r="A52" s="6" t="inlineStr">
        <is>
          <t>Reversibilidad técnica</t>
        </is>
      </c>
      <c r="B52" s="49" t="inlineStr">
        <is>
          <t>No consignada</t>
        </is>
      </c>
      <c r="C52" s="6" t="inlineStr">
        <is>
          <t>Urgencia de intervención</t>
        </is>
      </c>
      <c r="D52" s="7" t="inlineStr">
        <is>
          <t>Baja</t>
        </is>
      </c>
      <c r="E52" s="8" t="n"/>
      <c r="F52" s="8" t="n"/>
    </row>
    <row r="53">
      <c r="A53" s="6" t="inlineStr">
        <is>
          <t>Urgencia de control de erosión</t>
        </is>
      </c>
      <c r="B53" s="7" t="inlineStr">
        <is>
          <t>Baja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M19B2</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2.799</v>
      </c>
      <c r="C11" s="21">
        <f>ROUND(B11/$B$15*100,2)</f>
        <v/>
      </c>
      <c r="D11" s="13" t="inlineStr">
        <is>
          <t>Vigor moderado</t>
        </is>
      </c>
      <c r="E11" s="13" t="inlineStr">
        <is>
          <t>Sobre umbral</t>
        </is>
      </c>
    </row>
    <row r="12">
      <c r="A12" s="14" t="inlineStr">
        <is>
          <t>0.3813 - 0.4976 · DN 3</t>
        </is>
      </c>
      <c r="B12" s="31" t="n">
        <v>47.8495</v>
      </c>
      <c r="C12" s="30">
        <f>ROUND(B12/$B$15*100,2)</f>
        <v/>
      </c>
      <c r="D12" s="15" t="inlineStr">
        <is>
          <t>Vigor bajo</t>
        </is>
      </c>
      <c r="E12" s="15" t="inlineStr">
        <is>
          <t>BAJO umbral 0.4976</t>
        </is>
      </c>
    </row>
    <row r="13">
      <c r="A13" s="12" t="inlineStr">
        <is>
          <t>0.2650 - 0.3813 · DN 2</t>
        </is>
      </c>
      <c r="B13" s="20" t="n">
        <v>23.3919</v>
      </c>
      <c r="C13" s="21">
        <f>ROUND(B13/$B$15*100,2)</f>
        <v/>
      </c>
      <c r="D13" s="13" t="inlineStr">
        <is>
          <t>Vigor muy bajo</t>
        </is>
      </c>
      <c r="E13" s="13" t="inlineStr">
        <is>
          <t>BAJO umbral 0.4976</t>
        </is>
      </c>
    </row>
    <row r="14">
      <c r="A14" s="7" t="inlineStr">
        <is>
          <t>&lt;= 0.2650 · DN 1</t>
        </is>
      </c>
      <c r="B14" s="18" t="n">
        <v>0.3321</v>
      </c>
      <c r="C14" s="19">
        <f>ROUND(B14/$B$15*100,2)</f>
        <v/>
      </c>
      <c r="D14" s="11" t="inlineStr">
        <is>
          <t>Suelo desnudo / no vegetal</t>
        </is>
      </c>
      <c r="E14" s="11" t="inlineStr">
        <is>
          <t>BAJO umbral 0.4976</t>
        </is>
      </c>
    </row>
    <row r="15" ht="30" customHeight="1">
      <c r="A15" s="42" t="inlineStr">
        <is>
          <t>TOTAL CLASIFICADO MSAVI 2024</t>
        </is>
      </c>
      <c r="B15" s="43">
        <f>SUM(B10:B14)</f>
        <v/>
      </c>
      <c r="C15" s="44">
        <f>SUM(C10:C14)</f>
        <v/>
      </c>
      <c r="D15" s="42" t="inlineStr">
        <is>
          <t>Suma de la distribución areal · 243 polígonos</t>
        </is>
      </c>
      <c r="E15" s="42" t="inlineStr">
        <is>
          <t>—</t>
        </is>
      </c>
    </row>
    <row r="16" ht="30" customHeight="1">
      <c r="A16" s="45" t="inlineStr">
        <is>
          <t>Superficie SOBRE umbral 0.4976 (ha)</t>
        </is>
      </c>
      <c r="B16" s="46">
        <f>SUM(B10:B11)</f>
        <v/>
      </c>
      <c r="C16" s="47">
        <f>ROUND(B16/B15*100,2)</f>
        <v/>
      </c>
      <c r="D16" s="45" t="inlineStr">
        <is>
          <t>Vigor alto y moderado (DN 4 y DN 5)</t>
        </is>
      </c>
      <c r="E16" s="45" t="inlineStr">
        <is>
          <t>Sobre umbral 0.4976</t>
        </is>
      </c>
    </row>
    <row r="17" ht="30" customHeight="1">
      <c r="A17" s="45" t="inlineStr">
        <is>
          <t>Superficie BAJO umbral 0.4976 (ha) — brecha</t>
        </is>
      </c>
      <c r="B17" s="46">
        <f>SUM(B12:B14)</f>
        <v/>
      </c>
      <c r="C17" s="47">
        <f>ROUND(B17/B15*100,2)</f>
        <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74.37</v>
      </c>
      <c r="C18" s="48" t="inlineStr">
        <is>
          <t>—</t>
        </is>
      </c>
      <c r="D18" s="45" t="inlineStr">
        <is>
          <t>Desviación planimétrica frente al catálogo</t>
        </is>
      </c>
      <c r="E18" s="45" t="inlineStr">
        <is>
          <t>+0.00 %</t>
        </is>
      </c>
    </row>
    <row r="19">
      <c r="A19" s="16" t="inlineStr">
        <is>
          <t>MSAVI 2024 — MEDIA DEL BLOQUE</t>
        </is>
      </c>
      <c r="B19" s="17" t="n">
        <v>0.401185</v>
      </c>
      <c r="C19" s="17" t="inlineStr">
        <is>
          <t>—</t>
        </is>
      </c>
      <c r="D19" s="17" t="inlineStr">
        <is>
          <t>Vigor bajo · clase 0.3813 - 0.4976</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243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(0.4012) se conserva del catálogo maestro y es dato oficial; la fila resaltada indica la clase en la que cae dicha media. Los totales y porcentajes se calculan con fórmulas sobre las filas del cuadro.</t>
        </is>
      </c>
      <c r="B21" s="40" t="n"/>
      <c r="C21" s="40" t="n"/>
      <c r="D21" s="40" t="n"/>
      <c r="E21" s="41"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0.9533</v>
      </c>
      <c r="C25" s="19" t="n">
        <v>1.28</v>
      </c>
      <c r="D25" s="11" t="inlineStr">
        <is>
          <t>Dosel continuo, matorral denso o mosaico agroforestal</t>
        </is>
      </c>
      <c r="E25" s="11" t="inlineStr"/>
    </row>
    <row r="26">
      <c r="A26" s="12" t="inlineStr">
        <is>
          <t>Vegetación mediana</t>
        </is>
      </c>
      <c r="B26" s="20" t="n">
        <v>50.8872</v>
      </c>
      <c r="C26" s="21" t="n">
        <v>68.39</v>
      </c>
      <c r="D26" s="13" t="inlineStr">
        <is>
          <t>Pastizal cultivado, matorral ralo, parcelas agrícolas</t>
        </is>
      </c>
      <c r="E26" s="13" t="inlineStr"/>
    </row>
    <row r="27">
      <c r="A27" s="7" t="inlineStr">
        <is>
          <t>Vegetación ligera</t>
        </is>
      </c>
      <c r="B27" s="18" t="n">
        <v>22.0176</v>
      </c>
      <c r="C27" s="19" t="n">
        <v>29.59</v>
      </c>
      <c r="D27" s="11" t="inlineStr">
        <is>
          <t>Cobertura discontinua, suelo parcialmente expuesto</t>
        </is>
      </c>
      <c r="E27" s="11" t="inlineStr"/>
    </row>
    <row r="28">
      <c r="A28" s="12" t="inlineStr">
        <is>
          <t>Tierra desnuda</t>
        </is>
      </c>
      <c r="B28" s="20" t="n">
        <v>0.5483</v>
      </c>
      <c r="C28" s="21" t="n">
        <v>0.74</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74.37</v>
      </c>
      <c r="C30" s="25" t="inlineStr">
        <is>
          <t>—</t>
        </is>
      </c>
      <c r="D30" s="25" t="inlineStr">
        <is>
          <t>Desviación planimétrica frente al catálogo</t>
        </is>
      </c>
      <c r="E30" s="25" t="inlineStr">
        <is>
          <t>+0.05 %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95 % frente a un 1.28 % del polígono clasificado como «Vegetación alta» por el NDVI 2025; la observación de campo corresponde a una parcela o recorrido puntual y no es estadísticamente representativa de las 74.370 ha del bloque.</t>
        </is>
      </c>
      <c r="B32" s="40" t="n"/>
      <c r="C32" s="40" t="n"/>
      <c r="D32" s="40" t="n"/>
      <c r="E32" s="41"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M19B2</t>
        </is>
      </c>
    </row>
    <row r="6" ht="24" customHeight="1">
      <c r="A6" s="4" t="inlineStr">
        <is>
          <t>Levantamiento del 2026-05-06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617078</v>
      </c>
      <c r="D10" s="26" t="n">
        <v>9426985</v>
      </c>
      <c r="E10" s="11" t="n">
        <v>703.7</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3">
      <c r="A13" s="6" t="inlineStr">
        <is>
          <t>Centroide del bloque — UTM ESTE (m)</t>
        </is>
      </c>
      <c r="B13" s="7" t="n">
        <v>617715</v>
      </c>
      <c r="C13" s="6" t="inlineStr">
        <is>
          <t>Centroide del bloque — UTM NORTE (m)</t>
        </is>
      </c>
      <c r="D13" s="7" t="n">
        <v>9427284</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6" ht="228"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Registro de campo del 06-05-2026 (código de verificación VER-20260512-C609B73C, condiciones despejadas, avance físico 100%, sin desviaciones al plan): AL PIE DE LA COLINA SE ENCUENTRA EL CENTRO POBLADO BOCA NEGRA Y UNA INSTITUCIÓN EDUCATIVA, CUYOS ALUMNOS Y DOCENTES SE ENCARGAN DE LA CONSERVACIÓN DEL ECOSISTEMA a través de la concientización de la población. Morfología montañosa (25-50%), susceptibilidad media a la escorrentía superficial durante lluvias intensas, MITIGADA SIGNIFICATIVAMENTE POR LA ALTA COBERTURA VEGETAL (95%). Exposición oeste: mayor radiación vespertina y evapotranspiración. NO SE EVIDENCIAN escarpes activos, reptación, deslizamientos antiguos ni remociones activas: ESTABILIDAD GEOTÉCNICA FAVORABLE para implementar medidas de infraestructura natural sin riesgos de falla inducida. LIMITACIÓN DEL LEVANTAMIENTO: la evaluación fue limitada por RESTRICCIONES DE ACCESO derivadas del desconocimiento de las rutas de ingreso; NO SE PUDO ACCEDER AL INTERIOR DEL BLOQUE, por lo que la información biofísica se basa en OBSERVACIÓN DESDE LOS LÍMITES DEL POLÍGONO. GABINETE (DEM): rango altitudinal 203-523 msnm; pendiente promedio 21.71% (la más alta de los cinco bloques del paquete); la ficha F-EE-05 registra una pendiente predominante del 45%. INCONSISTENCIA: LA ALTITUD GPS (167.2 msnm) ES INFERIOR A LA COTA MÍNIMA DEL POLÍGONO (203 msnm), coherente con que el punto se situara AL PIE DE LA LADERA, FUERA DEL BLOQUE. FACTOR LIMITANTE PRINCIPAL: LA ACCESIBILIDAD. MSAVI medio 2024 = 0.4012.</t>
        </is>
      </c>
      <c r="B16" s="40" t="n"/>
      <c r="C16" s="40" t="n"/>
      <c r="D16" s="40" t="n"/>
      <c r="E16" s="40" t="n"/>
      <c r="F16" s="40" t="n"/>
      <c r="G16" s="41"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C1086-Q9570 — BLOQUE M19B2</t>
        </is>
      </c>
    </row>
    <row r="6" ht="24" customHeight="1">
      <c r="A6" s="4" t="inlineStr">
        <is>
          <t>Distrito de Morropon · Provincia de Morropon · Comparación de los bloques preliminares de intervención de la misma microcuenca</t>
        </is>
      </c>
    </row>
    <row r="8" ht="18" customHeight="1">
      <c r="A8" s="5" t="inlineStr">
        <is>
          <t>BLOQUES DE LA MICROCUENCA C1086-Q9570</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12</t>
        </is>
      </c>
      <c r="B10" s="27" t="n">
        <v>119.54</v>
      </c>
      <c r="C10" s="19" t="n">
        <v>14</v>
      </c>
      <c r="D10" s="11" t="inlineStr">
        <is>
          <t>672 – 2244</t>
        </is>
      </c>
      <c r="E10" s="11" t="n">
        <v>1572</v>
      </c>
      <c r="F10" s="11" t="n">
        <v>27.41</v>
      </c>
      <c r="G10" s="18" t="n">
        <v>0.7067</v>
      </c>
      <c r="H10" s="19" t="n">
        <v>99.93000000000001</v>
      </c>
      <c r="I10" s="19" t="n">
        <v>0.07000000000000001</v>
      </c>
    </row>
    <row r="11">
      <c r="A11" s="12" t="inlineStr">
        <is>
          <t>11</t>
        </is>
      </c>
      <c r="B11" s="28" t="n">
        <v>103.95</v>
      </c>
      <c r="C11" s="21" t="n">
        <v>12.17</v>
      </c>
      <c r="D11" s="13" t="inlineStr">
        <is>
          <t>1375 – 1928</t>
        </is>
      </c>
      <c r="E11" s="13" t="n">
        <v>553</v>
      </c>
      <c r="F11" s="13" t="n">
        <v>32.19</v>
      </c>
      <c r="G11" s="20" t="n">
        <v>0.6047</v>
      </c>
      <c r="H11" s="21" t="n">
        <v>75.28</v>
      </c>
      <c r="I11" s="21" t="n">
        <v>11.34</v>
      </c>
    </row>
    <row r="12">
      <c r="A12" s="7" t="inlineStr">
        <is>
          <t>17</t>
        </is>
      </c>
      <c r="B12" s="27" t="n">
        <v>96.08</v>
      </c>
      <c r="C12" s="19" t="n">
        <v>11.25</v>
      </c>
      <c r="D12" s="11" t="inlineStr">
        <is>
          <t>1253 – 1880</t>
        </is>
      </c>
      <c r="E12" s="11" t="n">
        <v>627</v>
      </c>
      <c r="F12" s="11" t="n">
        <v>35.56</v>
      </c>
      <c r="G12" s="18" t="n">
        <v>0.6479</v>
      </c>
      <c r="H12" s="19" t="n">
        <v>88.68000000000001</v>
      </c>
      <c r="I12" s="19" t="n">
        <v>2.09</v>
      </c>
    </row>
    <row r="13">
      <c r="A13" s="12" t="inlineStr">
        <is>
          <t>14</t>
        </is>
      </c>
      <c r="B13" s="28" t="n">
        <v>92.90000000000001</v>
      </c>
      <c r="C13" s="21" t="n">
        <v>10.88</v>
      </c>
      <c r="D13" s="13" t="inlineStr">
        <is>
          <t>87 – 1355</t>
        </is>
      </c>
      <c r="E13" s="13" t="n">
        <v>1268</v>
      </c>
      <c r="F13" s="13" t="n">
        <v>23.75</v>
      </c>
      <c r="G13" s="20" t="n">
        <v>0.5197000000000001</v>
      </c>
      <c r="H13" s="21" t="n">
        <v>58.89</v>
      </c>
      <c r="I13" s="21" t="n">
        <v>39.02</v>
      </c>
    </row>
    <row r="14">
      <c r="A14" s="7" t="inlineStr">
        <is>
          <t>15</t>
        </is>
      </c>
      <c r="B14" s="27" t="n">
        <v>86.15000000000001</v>
      </c>
      <c r="C14" s="19" t="n">
        <v>10.09</v>
      </c>
      <c r="D14" s="11" t="inlineStr">
        <is>
          <t>1199 – 1655</t>
        </is>
      </c>
      <c r="E14" s="11" t="n">
        <v>456</v>
      </c>
      <c r="F14" s="11" t="n">
        <v>26.19</v>
      </c>
      <c r="G14" s="18" t="n">
        <v>0.5605</v>
      </c>
      <c r="H14" s="19" t="n">
        <v>56.47</v>
      </c>
      <c r="I14" s="19" t="n">
        <v>22.48</v>
      </c>
    </row>
    <row r="15">
      <c r="A15" s="12" t="inlineStr">
        <is>
          <t>23</t>
        </is>
      </c>
      <c r="B15" s="28" t="n">
        <v>81.78</v>
      </c>
      <c r="C15" s="21" t="n">
        <v>9.58</v>
      </c>
      <c r="D15" s="13" t="inlineStr">
        <is>
          <t>521 – 973</t>
        </is>
      </c>
      <c r="E15" s="13" t="n">
        <v>452</v>
      </c>
      <c r="F15" s="13" t="n">
        <v>35.28</v>
      </c>
      <c r="G15" s="20" t="n">
        <v>0.5731000000000001</v>
      </c>
      <c r="H15" s="21" t="n">
        <v>47.99</v>
      </c>
      <c r="I15" s="21" t="n">
        <v>18.75</v>
      </c>
    </row>
    <row r="16">
      <c r="A16" s="7" t="inlineStr">
        <is>
          <t>42</t>
        </is>
      </c>
      <c r="B16" s="27" t="n">
        <v>80.62</v>
      </c>
      <c r="C16" s="19" t="n">
        <v>9.44</v>
      </c>
      <c r="D16" s="11" t="inlineStr">
        <is>
          <t>1131 – 1548</t>
        </is>
      </c>
      <c r="E16" s="11" t="n">
        <v>417</v>
      </c>
      <c r="F16" s="11" t="n">
        <v>27.86</v>
      </c>
      <c r="G16" s="18" t="n">
        <v>0.6348</v>
      </c>
      <c r="H16" s="19" t="n">
        <v>88.83</v>
      </c>
      <c r="I16" s="19" t="n">
        <v>5.64</v>
      </c>
    </row>
    <row r="17">
      <c r="A17" s="14" t="inlineStr">
        <is>
          <t>► M19B2</t>
        </is>
      </c>
      <c r="B17" s="29" t="n">
        <v>74.37</v>
      </c>
      <c r="C17" s="30" t="n">
        <v>8.710000000000001</v>
      </c>
      <c r="D17" s="15" t="inlineStr">
        <is>
          <t>203 – 523</t>
        </is>
      </c>
      <c r="E17" s="15" t="n">
        <v>320</v>
      </c>
      <c r="F17" s="15" t="n">
        <v>21.71</v>
      </c>
      <c r="G17" s="31" t="n">
        <v>0.4012</v>
      </c>
      <c r="H17" s="30" t="n">
        <v>1.28</v>
      </c>
      <c r="I17" s="30" t="n">
        <v>96.23999999999999</v>
      </c>
    </row>
    <row r="18">
      <c r="A18" s="7" t="inlineStr">
        <is>
          <t>82</t>
        </is>
      </c>
      <c r="B18" s="27" t="n">
        <v>35.66</v>
      </c>
      <c r="C18" s="19" t="n">
        <v>4.18</v>
      </c>
      <c r="D18" s="11" t="inlineStr">
        <is>
          <t>1796 – 2098</t>
        </is>
      </c>
      <c r="E18" s="11" t="n">
        <v>302</v>
      </c>
      <c r="F18" s="11" t="n">
        <v>23.55</v>
      </c>
      <c r="G18" s="18" t="n">
        <v>0.6283</v>
      </c>
      <c r="H18" s="19" t="n">
        <v>90.06999999999999</v>
      </c>
      <c r="I18" s="19" t="n">
        <v>12.67</v>
      </c>
    </row>
    <row r="19">
      <c r="A19" s="12" t="inlineStr">
        <is>
          <t>78</t>
        </is>
      </c>
      <c r="B19" s="28" t="n">
        <v>35.1</v>
      </c>
      <c r="C19" s="21" t="n">
        <v>4.11</v>
      </c>
      <c r="D19" s="13" t="inlineStr">
        <is>
          <t>1908 – 2236</t>
        </is>
      </c>
      <c r="E19" s="13" t="n">
        <v>328</v>
      </c>
      <c r="F19" s="13" t="n">
        <v>30.64</v>
      </c>
      <c r="G19" s="20" t="n">
        <v>0.7074</v>
      </c>
      <c r="H19" s="21" t="n">
        <v>89.33</v>
      </c>
      <c r="I19" s="21" t="n">
        <v>1.77</v>
      </c>
    </row>
    <row r="20">
      <c r="A20" s="7" t="inlineStr">
        <is>
          <t>M19B7</t>
        </is>
      </c>
      <c r="B20" s="27" t="n">
        <v>34.17</v>
      </c>
      <c r="C20" s="19" t="n">
        <v>4</v>
      </c>
      <c r="D20" s="11" t="inlineStr">
        <is>
          <t>1213 – 1578</t>
        </is>
      </c>
      <c r="E20" s="11" t="n">
        <v>365</v>
      </c>
      <c r="F20" s="11" t="n">
        <v>28.15</v>
      </c>
      <c r="G20" s="18" t="n">
        <v>0.5919</v>
      </c>
      <c r="H20" s="19" t="n">
        <v>78.52</v>
      </c>
      <c r="I20" s="19" t="n">
        <v>5.85</v>
      </c>
    </row>
    <row r="21">
      <c r="A21" s="12" t="inlineStr">
        <is>
          <t>59</t>
        </is>
      </c>
      <c r="B21" s="28" t="n">
        <v>13.55</v>
      </c>
      <c r="C21" s="21" t="n">
        <v>1.59</v>
      </c>
      <c r="D21" s="13" t="inlineStr">
        <is>
          <t>2045 – 2218</t>
        </is>
      </c>
      <c r="E21" s="13" t="n">
        <v>173</v>
      </c>
      <c r="F21" s="13" t="n">
        <v>29.85</v>
      </c>
      <c r="G21" s="20" t="n">
        <v>0.6147</v>
      </c>
      <c r="H21" s="21" t="n">
        <v>86.56999999999999</v>
      </c>
      <c r="I21" s="21" t="n">
        <v>13.72</v>
      </c>
    </row>
    <row r="22">
      <c r="A22" s="16" t="inlineStr">
        <is>
          <t>TOTAL / PROMEDIO</t>
        </is>
      </c>
      <c r="B22" s="32">
        <f>SUM(B10:B21)</f>
        <v/>
      </c>
      <c r="C22" s="23">
        <f>SUM(C10:C21)</f>
        <v/>
      </c>
      <c r="D22" s="17" t="inlineStr">
        <is>
          <t>87 – 2244</t>
        </is>
      </c>
      <c r="E22" s="17" t="inlineStr"/>
      <c r="F22" s="17">
        <f>ROUND(AVERAGE(F10:F21),2)</f>
        <v/>
      </c>
      <c r="G22" s="22">
        <f>ROUND(AVERAGE(G10:G21),4)</f>
        <v/>
      </c>
      <c r="H22" s="23">
        <f>ROUND(AVERAGE(H10:H21),2)</f>
        <v/>
      </c>
      <c r="I22" s="23">
        <f>ROUND(AVERAGE(I10:I21),2)</f>
        <v/>
      </c>
    </row>
    <row r="24" ht="84" customHeight="1">
      <c r="A24" s="9" t="inlineStr">
        <is>
          <t>LECTURA INTRAMICROCUENCA. El bloque M19B2 ocupa el puesto 8 de 12 por superficie dentro de la microcuenca C1086-Q9570 (8.71 % de las 853.87 ha preliminares de la microcuenca). Su pendiente promedio (21.71 %, clase «15-25% (Fuert. inclinado)») es la 1.ª más baja de 12 y se sitúa por debajo del promedio de la microcuenca (28.51 %). Su MSAVI 2024 (0.4012) es el 12.º de 12 y queda por debajo del promedio local (0.5993). Amplitud altitudinal del bloque: 320 m (203–523 msnm). El cuadro conserva todos los bloques catalogados en la microcuenca, incluidos los descartados en el tamizaje, para referencia del conjunto. Los bloques sin ficha DT figuran con sus parámetros de gabinete. BRECHA ESPECTRAL. El 96.24 % de la superficie del bloque (71.573 ha de 74.372 ha) se sitúa bajo el umbral MSAVI 0.4976, por encima del promedio local de la microcuenca (19.14 %) calculado sobre los bloques con dato MSAVI disponible.</t>
        </is>
      </c>
      <c r="B24" s="40" t="n"/>
      <c r="C24" s="40" t="n"/>
      <c r="D24" s="40" t="n"/>
      <c r="E24" s="40" t="n"/>
      <c r="F24" s="40" t="n"/>
      <c r="G24" s="40" t="n"/>
      <c r="H24" s="40" t="n"/>
      <c r="I24" s="41"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0" t="n"/>
      <c r="C26" s="40" t="n"/>
      <c r="D26" s="40" t="n"/>
      <c r="E26" s="40" t="n"/>
      <c r="F26" s="40" t="n"/>
      <c r="G26" s="40" t="n"/>
      <c r="H26" s="40" t="n"/>
      <c r="I26" s="41" t="n"/>
    </row>
  </sheetData>
  <mergeCells count="9">
    <mergeCell ref="A2:I2"/>
    <mergeCell ref="A5:I5"/>
    <mergeCell ref="A1:I1"/>
    <mergeCell ref="A8:I8"/>
    <mergeCell ref="A3:I3"/>
    <mergeCell ref="A6:I6"/>
    <mergeCell ref="A4:I4"/>
    <mergeCell ref="A26:I26"/>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4"/>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CONTROL DE CONSISTENCIA — BLOQUE M19B2</t>
        </is>
      </c>
    </row>
    <row r="6">
      <c r="A6" s="51" t="inlineStr">
        <is>
          <t>Cruce de la ficha de campo F-DT vigente con la ficha de resumen de gabinete y el catálogo maestro. Integración 2026-09-11 21:26:34.</t>
        </is>
      </c>
    </row>
    <row r="7">
      <c r="A7" s="53" t="inlineStr">
        <is>
          <t>DISCREPANCIAS Y VERIFICACIONES</t>
        </is>
      </c>
    </row>
    <row r="8">
      <c r="A8" s="54" t="inlineStr">
        <is>
          <t>Cod.</t>
        </is>
      </c>
      <c r="B8" s="54" t="inlineStr">
        <is>
          <t>Campo afectado</t>
        </is>
      </c>
      <c r="C8" s="54" t="inlineStr">
        <is>
          <t>Discrepancia observada</t>
        </is>
      </c>
      <c r="D8" s="54" t="inlineStr">
        <is>
          <t>Calificación</t>
        </is>
      </c>
      <c r="E8" s="54" t="inlineStr">
        <is>
          <t>Tratamiento adoptado</t>
        </is>
      </c>
    </row>
    <row r="9">
      <c r="A9" s="55" t="inlineStr">
        <is>
          <t>G-01</t>
        </is>
      </c>
      <c r="B9" s="55" t="inlineStr">
        <is>
          <t>Código de microcuenca</t>
        </is>
      </c>
      <c r="C9" s="55" t="inlineStr">
        <is>
          <t>Ficha DT y catálogo maestro coinciden en «C1086-Q9570».</t>
        </is>
      </c>
      <c r="D9" s="55" t="inlineStr">
        <is>
          <t>CONFORME</t>
        </is>
      </c>
      <c r="E9" s="55" t="inlineStr">
        <is>
          <t>Sin acción.</t>
        </is>
      </c>
    </row>
    <row r="10">
      <c r="A10" s="56" t="inlineStr">
        <is>
          <t>G-02</t>
        </is>
      </c>
      <c r="B10" s="56" t="inlineStr">
        <is>
          <t>UTM del punto de muestreo</t>
        </is>
      </c>
      <c r="C10" s="56" t="inlineStr">
        <is>
          <t>El punto de muestreo declarado dista 703.7 m del centroide, dentro del radio de control.</t>
        </is>
      </c>
      <c r="D10" s="56" t="inlineStr">
        <is>
          <t>CONFORME</t>
        </is>
      </c>
      <c r="E10" s="56" t="inlineStr">
        <is>
          <t>Sin acción.</t>
        </is>
      </c>
    </row>
    <row r="11">
      <c r="A11" s="55" t="inlineStr">
        <is>
          <t>G-03</t>
        </is>
      </c>
      <c r="B11" s="55" t="inlineStr">
        <is>
          <t>Sistema de referencia UTM 17S</t>
        </is>
      </c>
      <c r="C11" s="55" t="inlineStr">
        <is>
          <t>Verificación de rango para EPSG:32717: Conforme.</t>
        </is>
      </c>
      <c r="D11" s="55" t="inlineStr">
        <is>
          <t>CONFORME</t>
        </is>
      </c>
      <c r="E11" s="55" t="inlineStr">
        <is>
          <t>Sin acción.</t>
        </is>
      </c>
    </row>
    <row r="12">
      <c r="A12" s="56" t="inlineStr">
        <is>
          <t>G-04</t>
        </is>
      </c>
      <c r="B12" s="56" t="inlineStr">
        <is>
          <t>Altitud del punto de muestreo</t>
        </is>
      </c>
      <c r="C12" s="56" t="inlineStr">
        <is>
          <t>La altitud GPS (167 msnm) cae dentro del rango altitudinal del bloque (203 - 523 msnm).</t>
        </is>
      </c>
      <c r="D12" s="56" t="inlineStr">
        <is>
          <t>CONFORME</t>
        </is>
      </c>
      <c r="E12" s="56" t="inlineStr">
        <is>
          <t>Sin acción.</t>
        </is>
      </c>
    </row>
    <row r="13">
      <c r="A13" s="55" t="inlineStr">
        <is>
          <t>G-05</t>
        </is>
      </c>
      <c r="B13" s="55" t="inlineStr">
        <is>
          <t>Superficie NDVI vs. catálogo</t>
        </is>
      </c>
      <c r="C13" s="55" t="inlineStr">
        <is>
          <t>La superficie clasificada por el NDVI mediana 2025 (74.406 ha) se desvía 0.05 % de la superficie de catálogo (74.37 ha).</t>
        </is>
      </c>
      <c r="D13" s="55" t="inlineStr">
        <is>
          <t>CONFORME</t>
        </is>
      </c>
      <c r="E13" s="55" t="inlineStr">
        <is>
          <t>Sin acción: la segmentación valida la geometría del bloque.</t>
        </is>
      </c>
    </row>
    <row r="14">
      <c r="A14" s="56" t="inlineStr">
        <is>
          <t>G-06</t>
        </is>
      </c>
      <c r="B14" s="56" t="inlineStr">
        <is>
          <t>Superficie MSAVI vs. catálogo</t>
        </is>
      </c>
      <c r="C14" s="56" t="inlineStr">
        <is>
          <t>La superficie clasificada por el MSAVI 2024 (74.372 ha) se desvía 0.00 % de la superficie de catálogo (74.37 ha).</t>
        </is>
      </c>
      <c r="D14" s="56" t="inlineStr">
        <is>
          <t>CONFORME</t>
        </is>
      </c>
      <c r="E14" s="56" t="inlineStr">
        <is>
          <t>Sin acción: la segmentación valida la geometría del bloque.</t>
        </is>
      </c>
    </row>
    <row r="15">
      <c r="A15" s="55" t="inlineStr">
        <is>
          <t>G-07</t>
        </is>
      </c>
      <c r="B15" s="55" t="inlineStr">
        <is>
          <t>Brecha espectral MSAVI</t>
        </is>
      </c>
      <c r="C15" s="55" t="inlineStr">
        <is>
          <t>El 96.24 % del bloque queda bajo el umbral 0.4976; superficie de brecha 71.57 ha.</t>
        </is>
      </c>
      <c r="D15" s="55" t="inlineStr">
        <is>
          <t>CONFORME</t>
        </is>
      </c>
      <c r="E15" s="55" t="inlineStr">
        <is>
          <t>Sin acción: alimenta el indicador de brecha del proyecto.</t>
        </is>
      </c>
    </row>
    <row r="16">
      <c r="A16" s="56" t="inlineStr">
        <is>
          <t>G-08</t>
        </is>
      </c>
      <c r="B16" s="56" t="inlineStr">
        <is>
          <t>Distribución areal MSAVI 2024</t>
        </is>
      </c>
      <c r="C16" s="56" t="inlineStr">
        <is>
          <t>La hoja de cobertura declara 5 clases DN con superficie, 74.37 ha clasificadas en total.</t>
        </is>
      </c>
      <c r="D16" s="56" t="inlineStr">
        <is>
          <t>CONFORME</t>
        </is>
      </c>
      <c r="E16" s="56" t="inlineStr">
        <is>
          <t>Sin acción: procede de la estadística zonal del raster MSAVI 2024 clasificado.</t>
        </is>
      </c>
    </row>
    <row r="17">
      <c r="A17" s="55" t="inlineStr">
        <is>
          <t>G-09</t>
        </is>
      </c>
      <c r="B17" s="55" t="inlineStr">
        <is>
          <t>Media MSAVI vs. clase DN dominante</t>
        </is>
      </c>
      <c r="C17" s="55" t="inlineStr">
        <is>
          <t>La media del bloque (0.4012) cae en la clase «0.3813 - 0.4976 (Vigor bajo)» y la clase DN dominante por superficie es «DN 3 · 0.3813 - 0.4976 (Vigor bajo)».</t>
        </is>
      </c>
      <c r="D17" s="55" t="inlineStr">
        <is>
          <t>CONFORME</t>
        </is>
      </c>
      <c r="E17" s="55" t="inlineStr">
        <is>
          <t>Sin acción: media y clase dominante son coherentes.</t>
        </is>
      </c>
    </row>
    <row r="18">
      <c r="A18" s="56" t="inlineStr">
        <is>
          <t>G-10</t>
        </is>
      </c>
      <c r="B18" s="56" t="inlineStr">
        <is>
          <t>Peligro integrado (MCA-AHP)</t>
        </is>
      </c>
      <c r="C18" s="56" t="inlineStr">
        <is>
          <t>El nivel de peligro integrado no está disponible en los insumos de este entregable.</t>
        </is>
      </c>
      <c r="D18" s="56" t="inlineStr">
        <is>
          <t>SUSTANTIVA</t>
        </is>
      </c>
      <c r="E18" s="56" t="inlineStr">
        <is>
          <t>Debe tomarse del modelamiento de mesolocalización (MCA-AHP de PMM, EPH y PGI) antes de cerrar el perfil.</t>
        </is>
      </c>
    </row>
    <row r="19">
      <c r="A19" s="55" t="inlineStr">
        <is>
          <t>I-01</t>
        </is>
      </c>
      <c r="B19" s="55" t="inlineStr">
        <is>
          <t>Uso actual dominante del suelo</t>
        </is>
      </c>
      <c r="C19" s="55" t="inlineStr">
        <is>
          <t>El libro de resumen V6 consignaba «Forestal de protección»; la ficha de campo vigente declara «Forestal protección».</t>
        </is>
      </c>
      <c r="D19" s="55" t="inlineStr">
        <is>
          <t>CORREGIDO</t>
        </is>
      </c>
      <c r="E19" s="55" t="inlineStr">
        <is>
          <t>Se adopta el valor de campo por ser la fuente que manda sobre el dato y la más reciente. El valor anterior queda declarado para trazabilidad.</t>
        </is>
      </c>
    </row>
    <row r="20">
      <c r="A20" s="56" t="inlineStr">
        <is>
          <t>F-01</t>
        </is>
      </c>
      <c r="B20" s="56" t="inlineStr">
        <is>
          <t>Fichas F-DT levantadas</t>
        </is>
      </c>
      <c r="C20" s="56" t="inlineStr">
        <is>
          <t>La plantilla de campo trae las cinco fichas F-DT-01 a F-DT-05 (completitud 96.4 % de los campos esperados).</t>
        </is>
      </c>
      <c r="D20" s="56" t="inlineStr">
        <is>
          <t>CONFORME</t>
        </is>
      </c>
      <c r="E20" s="56" t="inlineStr">
        <is>
          <t>Sin acción.</t>
        </is>
      </c>
    </row>
    <row r="21">
      <c r="A21" s="55" t="inlineStr">
        <is>
          <t>F-02</t>
        </is>
      </c>
      <c r="B21" s="55" t="inlineStr">
        <is>
          <t>Cobertura de la integración</t>
        </is>
      </c>
      <c r="C21" s="55" t="inlineStr">
        <is>
          <t>Se declararon 103 de 114 hechos integrados (90.4 %); 11 quedan sin dato en ninguna fuente.</t>
        </is>
      </c>
      <c r="D21" s="55" t="inlineStr">
        <is>
          <t>CONFORME</t>
        </is>
      </c>
      <c r="E21" s="55" t="inlineStr">
        <is>
          <t>Sin acción.</t>
        </is>
      </c>
    </row>
    <row r="22">
      <c r="A22" s="56" t="inlineStr">
        <is>
          <t>H-01</t>
        </is>
      </c>
      <c r="B22" s="56" t="inlineStr">
        <is>
          <t>Rango de pendiente dominante</t>
        </is>
      </c>
      <c r="C22" s="56" t="inlineStr">
        <is>
          <t>La ficha DT declara «25-50% (Mod. escarpado)»; la estadística zonal sobre el MDE arroja una pendiente promedio de 21.71 %, que corresponde a la clase «15-25% (Fuert. inclinado)»</t>
        </is>
      </c>
      <c r="D22" s="56" t="inlineStr">
        <is>
          <t>NO SUSTANTIVA</t>
        </is>
      </c>
      <c r="E22" s="56"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3">
      <c r="A23" s="55" t="inlineStr">
        <is>
          <t>H-02</t>
        </is>
      </c>
      <c r="B23" s="55" t="inlineStr">
        <is>
          <t>Elenco florístico</t>
        </is>
      </c>
      <c r="C23" s="55" t="inlineStr">
        <is>
          <t>La ficha registra 4 taxones, por debajo del mínimo de 15 que exige el formato V5</t>
        </is>
      </c>
      <c r="D23" s="55" t="inlineStr">
        <is>
          <t>SUSTANTIVA</t>
        </is>
      </c>
      <c r="E23" s="55" t="inlineStr">
        <is>
          <t>Registro florístico preliminar, sin colecta ni determinación botánica formal. Debe cerrarse con colecta botánica en la siguiente campaña. (Verificación heredada de la ficha de resumen V6.)</t>
        </is>
      </c>
    </row>
    <row r="24">
      <c r="A24" s="56" t="inlineStr">
        <is>
          <t>H-03</t>
        </is>
      </c>
      <c r="B24" s="56" t="inlineStr">
        <is>
          <t>Representatividad del levantamiento</t>
        </is>
      </c>
      <c r="C24" s="56" t="inlineStr">
        <is>
          <t>Ninguna de las estaciones fotográficas georreferenciadas se localiza dentro del polígono del bloque</t>
        </is>
      </c>
      <c r="D24" s="56" t="inlineStr">
        <is>
          <t>SUSTANTIVA</t>
        </is>
      </c>
      <c r="E24" s="56" t="inlineStr">
        <is>
          <t>La verificación documenta el perímetro y la vista panorámica del bloque, no su interior. Los parámetros que exigen recorrido interno se consignan «Por determinar». (Verificación heredada de la ficha de resumen V6.)</t>
        </is>
      </c>
    </row>
    <row r="25">
      <c r="A25" s="55" t="inlineStr">
        <is>
          <t>H-04</t>
        </is>
      </c>
      <c r="B25" s="55" t="inlineStr">
        <is>
          <t>Centro poblado asociado</t>
        </is>
      </c>
      <c r="C25" s="55" t="inlineStr">
        <is>
          <t>La ficha DT declara «Boca Negra»; el cruce INEI-Bloques V5 identifica 1 centro(s) poblado(s) en el bloque: BOCA NEGRA</t>
        </is>
      </c>
      <c r="D25" s="55" t="inlineStr">
        <is>
          <t>CONFORME</t>
        </is>
      </c>
      <c r="E25" s="55" t="inlineStr">
        <is>
          <t>Se conserva el registro de campo como referencia y se adopta el listado INEI para el diagnóstico social y el cálculo de población beneficiaria. (Verificación heredada de la ficha de resumen V6.)</t>
        </is>
      </c>
    </row>
    <row r="26">
      <c r="A26" s="56" t="inlineStr">
        <is>
          <t>H-05</t>
        </is>
      </c>
      <c r="B26" s="56" t="inlineStr">
        <is>
          <t>F-DT-01</t>
        </is>
      </c>
      <c r="C26" s="56" t="inlineStr">
        <is>
          <t>La altitud GPS (167.2 msnm) es INFERIOR a la cota mínima del polígono según MDE (203 msnm)</t>
        </is>
      </c>
      <c r="D26" s="56" t="inlineStr">
        <is>
          <t>SUSTANTIVA</t>
        </is>
      </c>
      <c r="E26" s="56" t="inlineStr">
        <is>
          <t>El punto de observación se situó al pie de la ladera, FUERA del bloque (Verificación heredada de la ficha de resumen V6.)</t>
        </is>
      </c>
    </row>
    <row r="27">
      <c r="A27" s="55" t="inlineStr">
        <is>
          <t>H-06</t>
        </is>
      </c>
      <c r="B27" s="55" t="inlineStr">
        <is>
          <t>F-DT-02</t>
        </is>
      </c>
      <c r="C27" s="55" t="inlineStr">
        <is>
          <t>La calificación de erosión NULA se basa en observación externa</t>
        </is>
      </c>
      <c r="D27" s="55" t="inlineStr">
        <is>
          <t>SUSTANTIVA</t>
        </is>
      </c>
      <c r="E27" s="55" t="inlineStr">
        <is>
          <t>Debe confirmarse con recorrido interno (Verificación heredada de la ficha de resumen V6.)</t>
        </is>
      </c>
    </row>
    <row r="28">
      <c r="A28" s="56" t="inlineStr">
        <is>
          <t>H-07</t>
        </is>
      </c>
      <c r="B28" s="56" t="inlineStr">
        <is>
          <t>F-DT-03</t>
        </is>
      </c>
      <c r="C28" s="56" t="inlineStr">
        <is>
          <t>Cobertura arbustiva 100% y dosel 95% con herbácea, hojarasca y suelo desnudo en 0%</t>
        </is>
      </c>
      <c r="D28" s="56" t="inlineStr">
        <is>
          <t>NO SUSTANTIVA</t>
        </is>
      </c>
      <c r="E28" s="56" t="inlineStr">
        <is>
          <t>Superposición de estratos declarada; verificar (Verificación heredada de la ficha de resumen V6.)</t>
        </is>
      </c>
    </row>
    <row r="29">
      <c r="A29" s="55" t="inlineStr">
        <is>
          <t>H-08</t>
        </is>
      </c>
      <c r="B29" s="55" t="inlineStr">
        <is>
          <t>F-DT-04</t>
        </is>
      </c>
      <c r="C29" s="55" t="inlineStr">
        <is>
          <t>Indicadores 3 a 6 no valorados; indicadores 1, 2, 7 y 8 sin calificación de nivel; reversibilidad no consignada</t>
        </is>
      </c>
      <c r="D29" s="55" t="inlineStr">
        <is>
          <t>SUSTANTIVA</t>
        </is>
      </c>
      <c r="E29" s="55" t="inlineStr">
        <is>
          <t>Por completar (Verificación heredada de la ficha de resumen V6.)</t>
        </is>
      </c>
    </row>
    <row r="30">
      <c r="A30" s="56" t="inlineStr">
        <is>
          <t>H-09</t>
        </is>
      </c>
      <c r="B30" s="56" t="inlineStr">
        <is>
          <t>F-DT-05</t>
        </is>
      </c>
      <c r="C30" s="56" t="inlineStr">
        <is>
          <t>Accesibilidad: se desconocen las vías de ingreso al interior del polígono</t>
        </is>
      </c>
      <c r="D30" s="56" t="inlineStr">
        <is>
          <t>SUSTANTIVA</t>
        </is>
      </c>
      <c r="E30" s="56" t="inlineStr">
        <is>
          <t>ÚNICO FACTOR QUE CONDICIONA LA DELIMITACIÓN FINAL; requiere acompañamiento local (Verificación heredada de la ficha de resumen V6.)</t>
        </is>
      </c>
    </row>
    <row r="32">
      <c r="A32" s="57" t="inlineStr">
        <is>
          <t>RESUMEN</t>
        </is>
      </c>
      <c r="B32" s="58" t="inlineStr">
        <is>
          <t>22 verificaciones</t>
        </is>
      </c>
      <c r="C32" s="58" t="inlineStr">
        <is>
          <t>SUSTANTIVA: 7 · NO SUSTANTIVA: 2 · CORREGIDO: 1 · CONFORME: 12</t>
        </is>
      </c>
    </row>
    <row r="34">
      <c r="A34" s="59"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4:E34"/>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INTEGRACIÓN DE LA FICHA DE CAMPO — BLOQUE M19B2</t>
        </is>
      </c>
    </row>
    <row r="7">
      <c r="A7" s="53" t="inlineStr">
        <is>
          <t>A. HECHOS ACTUALIZADOS POR LA VERIFICACIÓN DE CAMPO</t>
        </is>
      </c>
    </row>
    <row r="8">
      <c r="A8" s="54" t="inlineStr">
        <is>
          <t>Sección</t>
        </is>
      </c>
      <c r="B8" s="54" t="inlineStr">
        <is>
          <t>Hecho</t>
        </is>
      </c>
      <c r="C8" s="54" t="inlineStr">
        <is>
          <t>Valor en la ficha V6</t>
        </is>
      </c>
      <c r="D8" s="54" t="inlineStr">
        <is>
          <t>Valor de campo vigente</t>
        </is>
      </c>
      <c r="E8" s="54" t="inlineStr">
        <is>
          <t>Fuente que manda</t>
        </is>
      </c>
    </row>
    <row r="9">
      <c r="A9" s="55" t="inlineStr">
        <is>
          <t>5. Ecosistema, cobertura y flora (F-DT-03)</t>
        </is>
      </c>
      <c r="B9" s="55" t="inlineStr">
        <is>
          <t>Uso actual dominante del suelo</t>
        </is>
      </c>
      <c r="C9" s="55" t="inlineStr">
        <is>
          <t>Forestal de protección</t>
        </is>
      </c>
      <c r="D9" s="55" t="inlineStr">
        <is>
          <t>Forestal protección</t>
        </is>
      </c>
      <c r="E9" s="55" t="inlineStr">
        <is>
          <t>Dato de campo</t>
        </is>
      </c>
    </row>
    <row r="11">
      <c r="A11" s="53" t="inlineStr">
        <is>
          <t>B. HECHOS APORTADOS ÚNICAMENTE POR LA FICHA DE CAMPO</t>
        </is>
      </c>
    </row>
    <row r="12">
      <c r="A12" s="54" t="inlineStr">
        <is>
          <t>Sección</t>
        </is>
      </c>
      <c r="B12" s="54" t="inlineStr">
        <is>
          <t>Hecho</t>
        </is>
      </c>
      <c r="C12" s="54" t="inlineStr">
        <is>
          <t>Valor</t>
        </is>
      </c>
      <c r="D12" s="54" t="inlineStr">
        <is>
          <t>Unidad</t>
        </is>
      </c>
    </row>
    <row r="13">
      <c r="A13" s="55" t="inlineStr">
        <is>
          <t>1. Identificación y localización</t>
        </is>
      </c>
      <c r="B13" s="55" t="inlineStr">
        <is>
          <t>UTM ESTE del punto de muestreo (m)</t>
        </is>
      </c>
      <c r="C13" s="55" t="inlineStr">
        <is>
          <t>617078</t>
        </is>
      </c>
      <c r="D13" s="55" t="inlineStr">
        <is>
          <t>m</t>
        </is>
      </c>
    </row>
    <row r="14">
      <c r="A14" s="56" t="inlineStr">
        <is>
          <t>1. Identificación y localización</t>
        </is>
      </c>
      <c r="B14" s="56" t="inlineStr">
        <is>
          <t>UTM NORTE del punto de muestreo (m)</t>
        </is>
      </c>
      <c r="C14" s="56" t="inlineStr">
        <is>
          <t>9426985</t>
        </is>
      </c>
      <c r="D14" s="56" t="inlineStr">
        <is>
          <t>m</t>
        </is>
      </c>
    </row>
    <row r="15">
      <c r="A15" s="55" t="inlineStr">
        <is>
          <t>2. Parámetros físicos del terreno</t>
        </is>
      </c>
      <c r="B15" s="55" t="inlineStr">
        <is>
          <t>Altitud GPS del punto de muestreo (msnm)</t>
        </is>
      </c>
      <c r="C15" s="55" t="inlineStr">
        <is>
          <t>167.2</t>
        </is>
      </c>
      <c r="D15" s="55" t="inlineStr">
        <is>
          <t>msnm</t>
        </is>
      </c>
    </row>
    <row r="16">
      <c r="A16" s="56" t="inlineStr">
        <is>
          <t>2. Parámetros físicos del terreno</t>
        </is>
      </c>
      <c r="B16" s="56" t="inlineStr">
        <is>
          <t>Piso altitudinal del punto de muestreo</t>
        </is>
      </c>
      <c r="C16" s="56" t="inlineStr">
        <is>
          <t>&lt;1000 m (Yunga)</t>
        </is>
      </c>
      <c r="D16" s="56" t="inlineStr"/>
    </row>
    <row r="17">
      <c r="A17" s="55" t="inlineStr">
        <is>
          <t>2. Parámetros físicos del terreno</t>
        </is>
      </c>
      <c r="B17" s="55" t="inlineStr">
        <is>
          <t>Paisaje dominante descrito en campo</t>
        </is>
      </c>
      <c r="C17" s="55" t="inlineStr">
        <is>
          <t>Colina media con vegetación nativa arbórea y arbustiva conservada, en el flanco occidental del Cerro Maray, tributaria de la microcuenca C1086-Q9570 (margen izquierda del río La Gallega). Presencia de afloramientos rocosos en talud de ladera. Al pie de la colina se ubican el centro poblado Boca Negra y su institución educativa.</t>
        </is>
      </c>
      <c r="D17" s="55" t="inlineStr"/>
    </row>
    <row r="18">
      <c r="A18" s="56" t="inlineStr">
        <is>
          <t>2. Parámetros físicos del terreno</t>
        </is>
      </c>
      <c r="B18" s="56" t="inlineStr">
        <is>
          <t>Reptación de suelo</t>
        </is>
      </c>
      <c r="C18" s="56" t="inlineStr">
        <is>
          <t>No</t>
        </is>
      </c>
      <c r="D18" s="56" t="inlineStr"/>
    </row>
    <row r="19">
      <c r="A19" s="55" t="inlineStr">
        <is>
          <t>2. Parámetros físicos del terreno</t>
        </is>
      </c>
      <c r="B19" s="55" t="inlineStr">
        <is>
          <t>Deslizamientos antiguos</t>
        </is>
      </c>
      <c r="C19" s="55" t="inlineStr">
        <is>
          <t>No</t>
        </is>
      </c>
      <c r="D19" s="55" t="inlineStr"/>
    </row>
    <row r="20">
      <c r="A20" s="56" t="inlineStr">
        <is>
          <t>4. Suelos y erosión (F-DT-02)</t>
        </is>
      </c>
      <c r="B20" s="56" t="inlineStr">
        <is>
          <t>Nivel de erosión - síntesis de campo</t>
        </is>
      </c>
      <c r="C20" s="56" t="inlineStr">
        <is>
          <t>Nula</t>
        </is>
      </c>
      <c r="D20" s="56" t="inlineStr"/>
    </row>
    <row r="21">
      <c r="A21" s="55" t="inlineStr">
        <is>
          <t>4. Suelos y erosión (F-DT-02)</t>
        </is>
      </c>
      <c r="B21" s="55" t="inlineStr">
        <is>
          <t>Sellamiento / costra superficial</t>
        </is>
      </c>
      <c r="C21" s="55" t="inlineStr">
        <is>
          <t>No</t>
        </is>
      </c>
      <c r="D21" s="55" t="inlineStr"/>
    </row>
    <row r="22">
      <c r="A22" s="56" t="inlineStr">
        <is>
          <t>4. Suelos y erosión (F-DT-02)</t>
        </is>
      </c>
      <c r="B22" s="56" t="inlineStr">
        <is>
          <t>Compactación por pisoteo</t>
        </is>
      </c>
      <c r="C22" s="56" t="inlineStr">
        <is>
          <t>No</t>
        </is>
      </c>
      <c r="D22" s="56" t="inlineStr"/>
    </row>
    <row r="23">
      <c r="A23" s="55" t="inlineStr">
        <is>
          <t>4. Suelos y erosión (F-DT-02)</t>
        </is>
      </c>
      <c r="B23" s="55" t="inlineStr">
        <is>
          <t>Raíces expuestas</t>
        </is>
      </c>
      <c r="C23" s="55" t="inlineStr">
        <is>
          <t>No</t>
        </is>
      </c>
      <c r="D23" s="55" t="inlineStr"/>
    </row>
    <row r="24">
      <c r="A24" s="56" t="inlineStr">
        <is>
          <t>4. Suelos y erosión (F-DT-02)</t>
        </is>
      </c>
      <c r="B24" s="56" t="inlineStr">
        <is>
          <t>Socavamiento de cauce</t>
        </is>
      </c>
      <c r="C24" s="56" t="inlineStr">
        <is>
          <t>No</t>
        </is>
      </c>
      <c r="D24" s="56" t="inlineStr"/>
    </row>
    <row r="25">
      <c r="A25" s="55" t="inlineStr">
        <is>
          <t>5. Ecosistema, cobertura y flora (F-DT-03)</t>
        </is>
      </c>
      <c r="B25" s="55" t="inlineStr">
        <is>
          <t>Cobertura del dosel (%)</t>
        </is>
      </c>
      <c r="C25" s="55" t="inlineStr">
        <is>
          <t>95</t>
        </is>
      </c>
      <c r="D25" s="55" t="inlineStr">
        <is>
          <t>%</t>
        </is>
      </c>
    </row>
    <row r="26">
      <c r="A26" s="56" t="inlineStr">
        <is>
          <t>5. Ecosistema, cobertura y flora (F-DT-03)</t>
        </is>
      </c>
      <c r="B26" s="56" t="inlineStr">
        <is>
          <t>Cobertura arbustiva (%)</t>
        </is>
      </c>
      <c r="C26" s="56" t="inlineStr">
        <is>
          <t>100</t>
        </is>
      </c>
      <c r="D26" s="56" t="inlineStr">
        <is>
          <t>%</t>
        </is>
      </c>
    </row>
    <row r="27">
      <c r="A27" s="55" t="inlineStr">
        <is>
          <t>5. Ecosistema, cobertura y flora (F-DT-03)</t>
        </is>
      </c>
      <c r="B27" s="55" t="inlineStr">
        <is>
          <t>Cobertura herbácea (%)</t>
        </is>
      </c>
      <c r="C27" s="55" t="inlineStr">
        <is>
          <t>0</t>
        </is>
      </c>
      <c r="D27" s="55" t="inlineStr">
        <is>
          <t>%</t>
        </is>
      </c>
    </row>
    <row r="28">
      <c r="A28" s="56" t="inlineStr">
        <is>
          <t>5. Ecosistema, cobertura y flora (F-DT-03)</t>
        </is>
      </c>
      <c r="B28" s="56" t="inlineStr">
        <is>
          <t>Cobertura de hojarasca (%)</t>
        </is>
      </c>
      <c r="C28" s="56" t="inlineStr">
        <is>
          <t>0</t>
        </is>
      </c>
      <c r="D28" s="56" t="inlineStr">
        <is>
          <t>%</t>
        </is>
      </c>
    </row>
    <row r="29">
      <c r="A29" s="55" t="inlineStr">
        <is>
          <t>5. Ecosistema, cobertura y flora (F-DT-03)</t>
        </is>
      </c>
      <c r="B29" s="55" t="inlineStr">
        <is>
          <t>Altura del estrato dominante (m)</t>
        </is>
      </c>
      <c r="C29" s="55" t="inlineStr">
        <is>
          <t>8</t>
        </is>
      </c>
      <c r="D29" s="55" t="inlineStr">
        <is>
          <t>m</t>
        </is>
      </c>
    </row>
    <row r="30">
      <c r="A30" s="56" t="inlineStr">
        <is>
          <t>5. Ecosistema, cobertura y flora (F-DT-03)</t>
        </is>
      </c>
      <c r="B30" s="56" t="inlineStr">
        <is>
          <t>Altura máxima registrada (m)</t>
        </is>
      </c>
      <c r="C30" s="56" t="inlineStr">
        <is>
          <t>13</t>
        </is>
      </c>
      <c r="D30" s="56" t="inlineStr">
        <is>
          <t>m</t>
        </is>
      </c>
    </row>
    <row r="31">
      <c r="A31" s="55" t="inlineStr">
        <is>
          <t>5. Ecosistema, cobertura y flora (F-DT-03)</t>
        </is>
      </c>
      <c r="B31" s="55" t="inlineStr">
        <is>
          <t>DAP promedio (cm)</t>
        </is>
      </c>
      <c r="C31" s="55" t="inlineStr">
        <is>
          <t>30</t>
        </is>
      </c>
      <c r="D31" s="55" t="inlineStr">
        <is>
          <t>cm</t>
        </is>
      </c>
    </row>
    <row r="32">
      <c r="A32" s="56" t="inlineStr">
        <is>
          <t>5. Ecosistema, cobertura y flora (F-DT-03)</t>
        </is>
      </c>
      <c r="B32" s="56" t="inlineStr">
        <is>
          <t>Presencia de epífitas</t>
        </is>
      </c>
      <c r="C32" s="56" t="inlineStr">
        <is>
          <t>No</t>
        </is>
      </c>
      <c r="D32" s="56" t="inlineStr"/>
    </row>
    <row r="33">
      <c r="A33" s="55" t="inlineStr">
        <is>
          <t>5. Ecosistema, cobertura y flora (F-DT-03)</t>
        </is>
      </c>
      <c r="B33" s="55" t="inlineStr">
        <is>
          <t>Fenología dominante</t>
        </is>
      </c>
      <c r="C33" s="55" t="inlineStr">
        <is>
          <t>Vegetativo</t>
        </is>
      </c>
      <c r="D33" s="55" t="inlineStr"/>
    </row>
    <row r="34">
      <c r="A34" s="56" t="inlineStr">
        <is>
          <t>5. Ecosistema, cobertura y flora (F-DT-03)</t>
        </is>
      </c>
      <c r="B34" s="56" t="inlineStr">
        <is>
          <t>Pendiente de la parcela (%)</t>
        </is>
      </c>
      <c r="C34" s="56" t="inlineStr">
        <is>
          <t>21.71</t>
        </is>
      </c>
      <c r="D34" s="56" t="inlineStr">
        <is>
          <t>%</t>
        </is>
      </c>
    </row>
    <row r="35">
      <c r="A35" s="55" t="inlineStr">
        <is>
          <t>5. Ecosistema, cobertura y flora (F-DT-03)</t>
        </is>
      </c>
      <c r="B35" s="55" t="inlineStr">
        <is>
          <t>Especies clave georreferenciadas</t>
        </is>
      </c>
      <c r="C35" s="55" t="inlineStr">
        <is>
          <t>2</t>
        </is>
      </c>
      <c r="D35" s="55" t="inlineStr"/>
    </row>
    <row r="36">
      <c r="A36" s="56" t="inlineStr">
        <is>
          <t>6. Degradación, causas y urgencia (F-DT-04)</t>
        </is>
      </c>
      <c r="B36" s="56" t="inlineStr">
        <is>
          <t>Causas directas de la degradación</t>
        </is>
      </c>
      <c r="C36" s="56" t="inlineStr">
        <is>
          <t>El bloque no tiene mucha presión por degradación.</t>
        </is>
      </c>
      <c r="D36" s="56" t="inlineStr"/>
    </row>
    <row r="37">
      <c r="A37" s="55" t="inlineStr">
        <is>
          <t>6. Degradación, causas y urgencia (F-DT-04)</t>
        </is>
      </c>
      <c r="B37" s="55" t="inlineStr">
        <is>
          <t>N.° de causas activas en la matriz F-DT-04</t>
        </is>
      </c>
      <c r="C37" s="55" t="inlineStr">
        <is>
          <t>0</t>
        </is>
      </c>
      <c r="D37" s="55" t="inlineStr"/>
    </row>
    <row r="38">
      <c r="A38" s="56" t="inlineStr">
        <is>
          <t>7. Hidrología, acceso y logística (F-DT-05)</t>
        </is>
      </c>
      <c r="B38" s="56" t="inlineStr">
        <is>
          <t>Escorrentía concentrada</t>
        </is>
      </c>
      <c r="C38" s="56" t="inlineStr">
        <is>
          <t>No</t>
        </is>
      </c>
      <c r="D38" s="56" t="inlineStr"/>
    </row>
    <row r="39">
      <c r="A39" s="55" t="inlineStr">
        <is>
          <t>7. Hidrología, acceso y logística (F-DT-05)</t>
        </is>
      </c>
      <c r="B39" s="55" t="inlineStr">
        <is>
          <t>Interferencia con riego</t>
        </is>
      </c>
      <c r="C39" s="55" t="inlineStr">
        <is>
          <t>No</t>
        </is>
      </c>
      <c r="D39" s="55" t="inlineStr"/>
    </row>
    <row r="40">
      <c r="A40" s="56" t="inlineStr">
        <is>
          <t>7. Hidrología, acceso y logística (F-DT-05)</t>
        </is>
      </c>
      <c r="B40" s="56" t="inlineStr">
        <is>
          <t>Vía principal de acceso</t>
        </is>
      </c>
      <c r="C40" s="56" t="inlineStr">
        <is>
          <t>Vía vecinal afirmada Morropón – Santa Catalina de Mossa (margen izquierda del río La Gallega)</t>
        </is>
      </c>
      <c r="D40" s="56" t="inlineStr"/>
    </row>
    <row r="41">
      <c r="A41" s="55" t="inlineStr">
        <is>
          <t>7. Hidrología, acceso y logística (F-DT-05)</t>
        </is>
      </c>
      <c r="B41" s="55" t="inlineStr">
        <is>
          <t>Tipo de vía del tramo final</t>
        </is>
      </c>
      <c r="C41" s="55" t="inlineStr">
        <is>
          <t>Departamental afirmada</t>
        </is>
      </c>
      <c r="D41" s="55" t="inlineStr"/>
    </row>
    <row r="42">
      <c r="A42" s="56" t="inlineStr">
        <is>
          <t>7. Hidrología, acceso y logística (F-DT-05)</t>
        </is>
      </c>
      <c r="B42" s="56" t="inlineStr">
        <is>
          <t>Transitabilidad en época seca</t>
        </is>
      </c>
      <c r="C42" s="56" t="inlineStr">
        <is>
          <t>Medio</t>
        </is>
      </c>
      <c r="D42" s="56" t="inlineStr"/>
    </row>
    <row r="43">
      <c r="A43" s="55" t="inlineStr">
        <is>
          <t>7. Hidrología, acceso y logística (F-DT-05)</t>
        </is>
      </c>
      <c r="B43" s="55" t="inlineStr">
        <is>
          <t>Transitabilidad en época lluviosa</t>
        </is>
      </c>
      <c r="C43" s="55" t="inlineStr">
        <is>
          <t>Bajo</t>
        </is>
      </c>
      <c r="D43" s="55" t="inlineStr"/>
    </row>
    <row r="44">
      <c r="A44" s="56" t="inlineStr">
        <is>
          <t>7. Hidrología, acceso y logística (F-DT-05)</t>
        </is>
      </c>
      <c r="B44" s="56" t="inlineStr">
        <is>
          <t>Tiempo a la capital distrital (min)</t>
        </is>
      </c>
      <c r="C44" s="56" t="inlineStr">
        <is>
          <t>20</t>
        </is>
      </c>
      <c r="D44" s="56" t="inlineStr">
        <is>
          <t>min</t>
        </is>
      </c>
    </row>
    <row r="45">
      <c r="A45" s="55" t="inlineStr">
        <is>
          <t>7. Hidrología, acceso y logística (F-DT-05)</t>
        </is>
      </c>
      <c r="B45" s="55" t="inlineStr">
        <is>
          <t>Señal celular</t>
        </is>
      </c>
      <c r="C45" s="55" t="inlineStr">
        <is>
          <t>Parcial</t>
        </is>
      </c>
      <c r="D45" s="55" t="inlineStr"/>
    </row>
    <row r="46">
      <c r="A46" s="56" t="inlineStr">
        <is>
          <t>7. Hidrología, acceso y logística (F-DT-05)</t>
        </is>
      </c>
      <c r="B46" s="56" t="inlineStr">
        <is>
          <t>Operador con cobertura</t>
        </is>
      </c>
      <c r="C46" s="56" t="inlineStr">
        <is>
          <t>Claro</t>
        </is>
      </c>
      <c r="D46" s="56" t="inlineStr"/>
    </row>
    <row r="47">
      <c r="A47" s="55" t="inlineStr">
        <is>
          <t>7. Hidrología, acceso y logística (F-DT-05)</t>
        </is>
      </c>
      <c r="B47" s="55" t="inlineStr">
        <is>
          <t>Alojamiento disponible en la zona</t>
        </is>
      </c>
      <c r="C47" s="55" t="inlineStr">
        <is>
          <t>Sí</t>
        </is>
      </c>
      <c r="D47" s="55" t="inlineStr"/>
    </row>
    <row r="48">
      <c r="A48" s="56" t="inlineStr">
        <is>
          <t>7. Hidrología, acceso y logística (F-DT-05)</t>
        </is>
      </c>
      <c r="B48" s="56" t="inlineStr">
        <is>
          <t>Requiere coordinación con ronda / comunidad</t>
        </is>
      </c>
      <c r="C48" s="56" t="inlineStr">
        <is>
          <t>No</t>
        </is>
      </c>
      <c r="D48" s="56" t="inlineStr"/>
    </row>
    <row r="50">
      <c r="A50" s="53" t="inlineStr">
        <is>
          <t>C. PROCEDENCIA DE LOS HECHOS DECLARADOS</t>
        </is>
      </c>
    </row>
    <row r="51">
      <c r="A51" s="54" t="inlineStr">
        <is>
          <t>Fuente</t>
        </is>
      </c>
      <c r="B51" s="54" t="inlineStr">
        <is>
          <t>Hechos</t>
        </is>
      </c>
      <c r="C51" s="54" t="inlineStr">
        <is>
          <t>Alcance de la fuente</t>
        </is>
      </c>
    </row>
    <row r="52">
      <c r="A52" s="55" t="inlineStr">
        <is>
          <t>Dato de campo</t>
        </is>
      </c>
      <c r="B52" s="55" t="n">
        <v>65</v>
      </c>
      <c r="C52" s="55" t="inlineStr">
        <is>
          <t>Verificación en campo. Fichas F-DT-01 a F-DT-05 de la Plantilla DT Campo Check Validada V5, suscritas por el evaluador.</t>
        </is>
      </c>
    </row>
    <row r="53">
      <c r="A53" s="56" t="inlineStr">
        <is>
          <t>Gabinete (GIS / teledetección)</t>
        </is>
      </c>
      <c r="B53" s="56" t="n">
        <v>24</v>
      </c>
      <c r="C53" s="56" t="inlineStr">
        <is>
          <t>Gabinete. Estadística zonal sobre el MDE y compuestos Sentinel-2 (NDVI mediana 2025, MSAVI 2024 por clase DN).</t>
        </is>
      </c>
    </row>
    <row r="54">
      <c r="A54" s="55" t="inlineStr">
        <is>
          <t>Fuente oficial</t>
        </is>
      </c>
      <c r="B54" s="55" t="n">
        <v>14</v>
      </c>
      <c r="C54" s="55" t="inlineStr">
        <is>
          <t>Fuente oficial. Catálogo maestro Bloques V5/V6, división política INEI y codificación de microcuencas de la ANA.</t>
        </is>
      </c>
    </row>
    <row r="56">
      <c r="A56" s="53" t="inlineStr">
        <is>
          <t>D. ESTADO DEL CRUCE ENTRE FUENTES</t>
        </is>
      </c>
    </row>
    <row r="57">
      <c r="A57" s="54" t="inlineStr">
        <is>
          <t>Estado</t>
        </is>
      </c>
      <c r="B57" s="54" t="inlineStr">
        <is>
          <t>Hechos</t>
        </is>
      </c>
      <c r="C57" s="54" t="inlineStr">
        <is>
          <t>Significado</t>
        </is>
      </c>
    </row>
    <row r="58">
      <c r="A58" s="55" t="inlineStr">
        <is>
          <t>CONFORME</t>
        </is>
      </c>
      <c r="B58" s="55" t="n">
        <v>100</v>
      </c>
      <c r="C58" s="55" t="inlineStr">
        <is>
          <t>Las dos fuentes declaran lo mismo, o solo la fuente que manda sobre el hecho lo declara.</t>
        </is>
      </c>
    </row>
    <row r="59">
      <c r="A59" s="56" t="inlineStr">
        <is>
          <t>COMPLEMENTADO</t>
        </is>
      </c>
      <c r="B59" s="56" t="n">
        <v>2</v>
      </c>
      <c r="C59" s="56" t="inlineStr">
        <is>
          <t>Solo una de las fuentes lo declara y se adopta ese valor.</t>
        </is>
      </c>
    </row>
    <row r="60">
      <c r="A60" s="55" t="inlineStr">
        <is>
          <t>ACTUALIZADO</t>
        </is>
      </c>
      <c r="B60" s="55" t="n">
        <v>1</v>
      </c>
      <c r="C60" s="55" t="inlineStr">
        <is>
          <t>La verificación de campo vigente corrige lo que traía el libro de resumen.</t>
        </is>
      </c>
    </row>
    <row r="61">
      <c r="A61" s="56" t="inlineStr">
        <is>
          <t>DISCREPANTE</t>
        </is>
      </c>
      <c r="B61" s="56" t="n">
        <v>0</v>
      </c>
      <c r="C61" s="56" t="inlineStr">
        <is>
          <t>Las fuentes se contradicen; prevalece la que manda sobre el hecho y la otra queda declarada.</t>
        </is>
      </c>
    </row>
    <row r="62">
      <c r="A62" s="55" t="inlineStr">
        <is>
          <t>PENDIENTE</t>
        </is>
      </c>
      <c r="B62" s="55" t="n">
        <v>11</v>
      </c>
      <c r="C62" s="55"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REGISTRO DE CAMPO F-DT-01 A F-DT-05 — BLOQUE M19B2</t>
        </is>
      </c>
    </row>
    <row r="7">
      <c r="A7" s="53" t="inlineStr">
        <is>
          <t>F-DT-02 · INVENTARIO DE CÁRCAVAS</t>
        </is>
      </c>
    </row>
    <row r="8">
      <c r="A8" s="54" t="inlineStr">
        <is>
          <t>Código</t>
        </is>
      </c>
      <c r="B8" s="54" t="inlineStr">
        <is>
          <t>Tipo</t>
        </is>
      </c>
      <c r="C8" s="54" t="inlineStr">
        <is>
          <t>UTM E ini.</t>
        </is>
      </c>
      <c r="D8" s="54" t="inlineStr">
        <is>
          <t>UTM N ini.</t>
        </is>
      </c>
      <c r="E8" s="54" t="inlineStr">
        <is>
          <t>Longitud (m)</t>
        </is>
      </c>
      <c r="F8" s="54" t="inlineStr">
        <is>
          <t>Prof. (m)</t>
        </is>
      </c>
      <c r="G8" s="54" t="inlineStr">
        <is>
          <t>Ancho (m)</t>
        </is>
      </c>
      <c r="H8" s="54" t="inlineStr">
        <is>
          <t>Estado</t>
        </is>
      </c>
      <c r="I8" s="54" t="inlineStr">
        <is>
          <t>Causa</t>
        </is>
      </c>
    </row>
    <row r="9">
      <c r="A9" s="55" t="inlineStr">
        <is>
          <t>Sin cárcavas inventariadas en el tramo verificado</t>
        </is>
      </c>
      <c r="B9" s="55" t="inlineStr"/>
      <c r="C9" s="55" t="inlineStr"/>
      <c r="D9" s="55" t="inlineStr"/>
      <c r="E9" s="55" t="inlineStr"/>
      <c r="F9" s="55" t="inlineStr"/>
      <c r="G9" s="55" t="inlineStr"/>
      <c r="H9" s="55" t="inlineStr"/>
      <c r="I9" s="55" t="inlineStr"/>
    </row>
    <row r="11">
      <c r="A11" s="53" t="inlineStr">
        <is>
          <t>F-DT-03 · ELENCO FLORÍSTICO</t>
        </is>
      </c>
    </row>
    <row r="12">
      <c r="A12" s="54" t="inlineStr">
        <is>
          <t>N.o</t>
        </is>
      </c>
      <c r="B12" s="54" t="inlineStr">
        <is>
          <t>Nombre común</t>
        </is>
      </c>
      <c r="C12" s="54" t="inlineStr">
        <is>
          <t>Nombre científico</t>
        </is>
      </c>
      <c r="D12" s="54" t="inlineStr">
        <is>
          <t>Familia</t>
        </is>
      </c>
      <c r="E12" s="54" t="inlineStr">
        <is>
          <t>Estrato</t>
        </is>
      </c>
      <c r="F12" s="54" t="inlineStr">
        <is>
          <t>Origen</t>
        </is>
      </c>
      <c r="G12" s="54" t="inlineStr">
        <is>
          <t>Abundancia</t>
        </is>
      </c>
      <c r="H12" s="54" t="inlineStr">
        <is>
          <t>DAP (cm)</t>
        </is>
      </c>
      <c r="I12" s="54" t="inlineStr">
        <is>
          <t>Altura (m)</t>
        </is>
      </c>
    </row>
    <row r="13">
      <c r="A13" s="55" t="inlineStr">
        <is>
          <t>1</t>
        </is>
      </c>
      <c r="B13" s="55" t="inlineStr">
        <is>
          <t>Palo santo</t>
        </is>
      </c>
      <c r="C13" s="55" t="inlineStr">
        <is>
          <t>Bursera graveolens</t>
        </is>
      </c>
      <c r="D13" s="55" t="inlineStr">
        <is>
          <t>Burseraceae</t>
        </is>
      </c>
      <c r="E13" s="55" t="inlineStr"/>
      <c r="F13" s="55" t="inlineStr">
        <is>
          <t>Nativa</t>
        </is>
      </c>
      <c r="G13" s="55" t="inlineStr"/>
      <c r="H13" s="55" t="n"/>
      <c r="I13" s="55" t="n"/>
    </row>
    <row r="14">
      <c r="A14" s="56" t="inlineStr">
        <is>
          <t>2</t>
        </is>
      </c>
      <c r="B14" s="56" t="inlineStr">
        <is>
          <t>Algarrobo</t>
        </is>
      </c>
      <c r="C14" s="56" t="inlineStr">
        <is>
          <t>Neltuma pallida</t>
        </is>
      </c>
      <c r="D14" s="56" t="inlineStr">
        <is>
          <t>Fabaceae</t>
        </is>
      </c>
      <c r="E14" s="56" t="inlineStr"/>
      <c r="F14" s="56" t="inlineStr">
        <is>
          <t>Nativa</t>
        </is>
      </c>
      <c r="G14" s="56" t="inlineStr"/>
      <c r="H14" s="56" t="n"/>
      <c r="I14" s="56" t="n"/>
    </row>
    <row r="15">
      <c r="A15" s="55" t="inlineStr">
        <is>
          <t>3</t>
        </is>
      </c>
      <c r="B15" s="55" t="inlineStr">
        <is>
          <t>Pate</t>
        </is>
      </c>
      <c r="C15" s="55" t="inlineStr">
        <is>
          <t>Eriotheca ruizii</t>
        </is>
      </c>
      <c r="D15" s="55" t="inlineStr">
        <is>
          <t>Malvaceae</t>
        </is>
      </c>
      <c r="E15" s="55" t="inlineStr"/>
      <c r="F15" s="55" t="inlineStr">
        <is>
          <t>Nativa</t>
        </is>
      </c>
      <c r="G15" s="55" t="inlineStr"/>
      <c r="H15" s="55" t="n"/>
      <c r="I15" s="55" t="n"/>
    </row>
    <row r="16">
      <c r="A16" s="56" t="inlineStr">
        <is>
          <t>4</t>
        </is>
      </c>
      <c r="B16" s="56" t="inlineStr">
        <is>
          <t>Faique</t>
        </is>
      </c>
      <c r="C16" s="56" t="inlineStr">
        <is>
          <t>Vachellia macracantha</t>
        </is>
      </c>
      <c r="D16" s="56" t="inlineStr">
        <is>
          <t>Fabaceae</t>
        </is>
      </c>
      <c r="E16" s="56" t="inlineStr"/>
      <c r="F16" s="56" t="inlineStr">
        <is>
          <t>Nativa</t>
        </is>
      </c>
      <c r="G16" s="56" t="inlineStr"/>
      <c r="H16" s="56" t="n"/>
      <c r="I16" s="56" t="n"/>
    </row>
    <row r="18">
      <c r="A18" s="53" t="inlineStr">
        <is>
          <t>F-DT-03 · ESPECIES CLAVE GEORREFERENCIADAS</t>
        </is>
      </c>
    </row>
    <row r="19">
      <c r="A19" s="54" t="inlineStr">
        <is>
          <t>N.o</t>
        </is>
      </c>
      <c r="B19" s="54" t="inlineStr">
        <is>
          <t>Especie</t>
        </is>
      </c>
      <c r="C19" s="54" t="inlineStr">
        <is>
          <t>Categoría</t>
        </is>
      </c>
      <c r="D19" s="54" t="inlineStr">
        <is>
          <t>Estado UICN</t>
        </is>
      </c>
      <c r="E19" s="54" t="inlineStr">
        <is>
          <t>UTM ESTE</t>
        </is>
      </c>
      <c r="F19" s="54" t="inlineStr">
        <is>
          <t>UTM NORTE</t>
        </is>
      </c>
      <c r="G19" s="54" t="inlineStr">
        <is>
          <t>N.° individuos</t>
        </is>
      </c>
      <c r="H19" s="54" t="inlineStr">
        <is>
          <t>Observación</t>
        </is>
      </c>
    </row>
    <row r="20">
      <c r="A20" s="55" t="inlineStr">
        <is>
          <t>1</t>
        </is>
      </c>
      <c r="B20" s="55" t="inlineStr">
        <is>
          <t>Palo santo (Bursera graveolens)</t>
        </is>
      </c>
      <c r="C20" s="55" t="inlineStr">
        <is>
          <t>Amenazada (D.S. 043-2006-AG)</t>
        </is>
      </c>
      <c r="D20" s="55" t="inlineStr">
        <is>
          <t>NT — Casi Amenazado</t>
        </is>
      </c>
      <c r="E20" s="55" t="n"/>
      <c r="F20" s="55" t="n"/>
      <c r="G20" s="55" t="n"/>
      <c r="H20" s="55" t="inlineStr">
        <is>
          <t>Registrada entre las especies dominantes del bloque (ficha F-EE-05).</t>
        </is>
      </c>
    </row>
    <row r="21">
      <c r="A21" s="56" t="inlineStr">
        <is>
          <t>2</t>
        </is>
      </c>
      <c r="B21" s="56" t="inlineStr">
        <is>
          <t>Algarrobo (Neltuma pallida)</t>
        </is>
      </c>
      <c r="C21" s="56" t="inlineStr">
        <is>
          <t>Clave cultural</t>
        </is>
      </c>
      <c r="D21" s="56" t="inlineStr">
        <is>
          <t>No aplica</t>
        </is>
      </c>
      <c r="E21" s="56" t="n"/>
      <c r="F21" s="56" t="n"/>
      <c r="G21" s="56" t="n"/>
      <c r="H21" s="56" t="inlineStr">
        <is>
          <t>Registrada entre las especies dominantes del bloque (ficha F-EE-05).</t>
        </is>
      </c>
    </row>
    <row r="23">
      <c r="A23" s="53" t="inlineStr">
        <is>
          <t>F-DT-04 · MATRIZ DE CAUSAS DE DEGRADACIÓN</t>
        </is>
      </c>
    </row>
    <row r="24">
      <c r="A24" s="54" t="inlineStr">
        <is>
          <t>N.o</t>
        </is>
      </c>
      <c r="B24" s="54" t="inlineStr">
        <is>
          <t>Causa</t>
        </is>
      </c>
      <c r="C24" s="54" t="inlineStr">
        <is>
          <t>Presencia</t>
        </is>
      </c>
      <c r="D24" s="54" t="inlineStr">
        <is>
          <t>Intensidad</t>
        </is>
      </c>
      <c r="E24" s="54" t="inlineStr">
        <is>
          <t>Extensión</t>
        </is>
      </c>
      <c r="F24" s="54" t="inlineStr">
        <is>
          <t>Antigüedad</t>
        </is>
      </c>
      <c r="G24" s="54" t="inlineStr">
        <is>
          <t>Evidencia</t>
        </is>
      </c>
    </row>
    <row r="25">
      <c r="A25" s="55" t="inlineStr">
        <is>
          <t>1</t>
        </is>
      </c>
      <c r="B25" s="55" t="inlineStr">
        <is>
          <t>Sobrepastoreo (caprino/vacuno)</t>
        </is>
      </c>
      <c r="C25" s="55" t="inlineStr">
        <is>
          <t>No</t>
        </is>
      </c>
      <c r="D25" s="55" t="inlineStr"/>
      <c r="E25" s="55" t="inlineStr"/>
      <c r="F25" s="55" t="inlineStr"/>
      <c r="G25" s="55" t="inlineStr"/>
    </row>
    <row r="26">
      <c r="A26" s="56" t="inlineStr">
        <is>
          <t>2</t>
        </is>
      </c>
      <c r="B26" s="56" t="inlineStr">
        <is>
          <t>Tala para leña</t>
        </is>
      </c>
      <c r="C26" s="56" t="inlineStr">
        <is>
          <t>No</t>
        </is>
      </c>
      <c r="D26" s="56" t="inlineStr"/>
      <c r="E26" s="56" t="inlineStr"/>
      <c r="F26" s="56" t="inlineStr"/>
      <c r="G26" s="56" t="inlineStr"/>
    </row>
    <row r="27">
      <c r="A27" s="55" t="inlineStr">
        <is>
          <t>3</t>
        </is>
      </c>
      <c r="B27" s="55" t="inlineStr">
        <is>
          <t>Tala para carbón</t>
        </is>
      </c>
      <c r="C27" s="55" t="inlineStr">
        <is>
          <t>No</t>
        </is>
      </c>
      <c r="D27" s="55" t="inlineStr"/>
      <c r="E27" s="55" t="inlineStr"/>
      <c r="F27" s="55" t="inlineStr"/>
      <c r="G27" s="55" t="inlineStr"/>
    </row>
    <row r="28">
      <c r="A28" s="56" t="inlineStr">
        <is>
          <t>4</t>
        </is>
      </c>
      <c r="B28" s="56" t="inlineStr">
        <is>
          <t>Tala para madera</t>
        </is>
      </c>
      <c r="C28" s="56" t="inlineStr">
        <is>
          <t>No</t>
        </is>
      </c>
      <c r="D28" s="56" t="inlineStr"/>
      <c r="E28" s="56" t="inlineStr"/>
      <c r="F28" s="56" t="inlineStr"/>
      <c r="G28" s="56" t="inlineStr"/>
    </row>
    <row r="29">
      <c r="A29" s="55" t="inlineStr">
        <is>
          <t>5</t>
        </is>
      </c>
      <c r="B29" s="55" t="inlineStr">
        <is>
          <t>Quema (renovación de pastos)</t>
        </is>
      </c>
      <c r="C29" s="55" t="inlineStr">
        <is>
          <t>No</t>
        </is>
      </c>
      <c r="D29" s="55" t="inlineStr"/>
      <c r="E29" s="55" t="inlineStr"/>
      <c r="F29" s="55" t="inlineStr"/>
      <c r="G29" s="55" t="inlineStr"/>
    </row>
    <row r="30">
      <c r="A30" s="56" t="inlineStr">
        <is>
          <t>6</t>
        </is>
      </c>
      <c r="B30" s="56" t="inlineStr">
        <is>
          <t>Quema accidental / Incendio</t>
        </is>
      </c>
      <c r="C30" s="56" t="inlineStr">
        <is>
          <t>No</t>
        </is>
      </c>
      <c r="D30" s="56" t="inlineStr"/>
      <c r="E30" s="56" t="inlineStr"/>
      <c r="F30" s="56" t="inlineStr"/>
      <c r="G30" s="56" t="inlineStr"/>
    </row>
    <row r="31">
      <c r="A31" s="55" t="inlineStr">
        <is>
          <t>7</t>
        </is>
      </c>
      <c r="B31" s="55" t="inlineStr">
        <is>
          <t>Cambio de uso a agricultura</t>
        </is>
      </c>
      <c r="C31" s="55" t="inlineStr">
        <is>
          <t>No</t>
        </is>
      </c>
      <c r="D31" s="55" t="inlineStr"/>
      <c r="E31" s="55" t="inlineStr"/>
      <c r="F31" s="55" t="inlineStr"/>
      <c r="G31" s="55" t="inlineStr"/>
    </row>
    <row r="32">
      <c r="A32" s="56" t="inlineStr">
        <is>
          <t>8</t>
        </is>
      </c>
      <c r="B32" s="56" t="inlineStr">
        <is>
          <t>Cambio de uso a pastoreo</t>
        </is>
      </c>
      <c r="C32" s="56" t="inlineStr">
        <is>
          <t>No</t>
        </is>
      </c>
      <c r="D32" s="56" t="inlineStr"/>
      <c r="E32" s="56" t="inlineStr"/>
      <c r="F32" s="56" t="inlineStr"/>
      <c r="G32" s="56" t="inlineStr"/>
    </row>
    <row r="33">
      <c r="A33" s="55" t="inlineStr">
        <is>
          <t>9</t>
        </is>
      </c>
      <c r="B33" s="55" t="inlineStr">
        <is>
          <t>Expansión urbana / vial</t>
        </is>
      </c>
      <c r="C33" s="55" t="inlineStr">
        <is>
          <t>No</t>
        </is>
      </c>
      <c r="D33" s="55" t="inlineStr"/>
      <c r="E33" s="55" t="inlineStr"/>
      <c r="F33" s="55" t="inlineStr"/>
      <c r="G33" s="55" t="inlineStr"/>
    </row>
    <row r="34">
      <c r="A34" s="56" t="inlineStr">
        <is>
          <t>10</t>
        </is>
      </c>
      <c r="B34" s="56" t="inlineStr">
        <is>
          <t>Minería informal</t>
        </is>
      </c>
      <c r="C34" s="56" t="inlineStr">
        <is>
          <t>No</t>
        </is>
      </c>
      <c r="D34" s="56" t="inlineStr"/>
      <c r="E34" s="56" t="inlineStr"/>
      <c r="F34" s="56" t="inlineStr"/>
      <c r="G34" s="56" t="inlineStr"/>
    </row>
    <row r="35">
      <c r="A35" s="55" t="inlineStr">
        <is>
          <t>11</t>
        </is>
      </c>
      <c r="B35" s="55" t="inlineStr">
        <is>
          <t>Extracción de áridos (cauces)</t>
        </is>
      </c>
      <c r="C35" s="55" t="inlineStr">
        <is>
          <t>No</t>
        </is>
      </c>
      <c r="D35" s="55" t="inlineStr"/>
      <c r="E35" s="55" t="inlineStr"/>
      <c r="F35" s="55" t="inlineStr"/>
      <c r="G35" s="55" t="inlineStr"/>
    </row>
    <row r="36">
      <c r="A36" s="56" t="inlineStr">
        <is>
          <t>12</t>
        </is>
      </c>
      <c r="B36" s="56" t="inlineStr">
        <is>
          <t>Especies invasoras</t>
        </is>
      </c>
      <c r="C36" s="56" t="inlineStr">
        <is>
          <t>No</t>
        </is>
      </c>
      <c r="D36" s="56" t="inlineStr"/>
      <c r="E36" s="56" t="inlineStr"/>
      <c r="F36" s="56" t="inlineStr"/>
      <c r="G36" s="56" t="inlineStr"/>
    </row>
    <row r="37">
      <c r="A37" s="55" t="inlineStr">
        <is>
          <t>13</t>
        </is>
      </c>
      <c r="B37" s="55" t="inlineStr">
        <is>
          <t>Erosión natural severa</t>
        </is>
      </c>
      <c r="C37" s="55" t="inlineStr">
        <is>
          <t>No</t>
        </is>
      </c>
      <c r="D37" s="55" t="inlineStr"/>
      <c r="E37" s="55" t="inlineStr"/>
      <c r="F37" s="55" t="inlineStr"/>
      <c r="G37" s="55" t="inlineStr"/>
    </row>
    <row r="38">
      <c r="A38" s="56" t="inlineStr">
        <is>
          <t>14</t>
        </is>
      </c>
      <c r="B38" s="56" t="inlineStr">
        <is>
          <t>Sequía prolongada / CC</t>
        </is>
      </c>
      <c r="C38" s="56" t="inlineStr">
        <is>
          <t>No</t>
        </is>
      </c>
      <c r="D38" s="56" t="inlineStr"/>
      <c r="E38" s="56" t="inlineStr"/>
      <c r="F38" s="56" t="inlineStr"/>
      <c r="G38" s="56" t="inlineStr"/>
    </row>
    <row r="39">
      <c r="A39" s="55" t="inlineStr">
        <is>
          <t>15</t>
        </is>
      </c>
      <c r="B39" s="55" t="inlineStr">
        <is>
          <t>Plagas o enfermedades forestales</t>
        </is>
      </c>
      <c r="C39" s="55" t="inlineStr">
        <is>
          <t>No</t>
        </is>
      </c>
      <c r="D39" s="55" t="inlineStr"/>
      <c r="E39" s="55" t="inlineStr"/>
      <c r="F39" s="55" t="inlineStr"/>
      <c r="G39" s="55" t="inlineStr"/>
    </row>
    <row r="40">
      <c r="A40" s="56" t="inlineStr">
        <is>
          <t>16</t>
        </is>
      </c>
      <c r="B40" s="56" t="inlineStr">
        <is>
          <t>Otro</t>
        </is>
      </c>
      <c r="C40" s="56" t="inlineStr">
        <is>
          <t>No</t>
        </is>
      </c>
      <c r="D40" s="56" t="inlineStr"/>
      <c r="E40" s="56" t="inlineStr"/>
      <c r="F40" s="56" t="inlineStr"/>
      <c r="G40" s="56" t="inlineStr"/>
    </row>
    <row r="42">
      <c r="A42" s="53" t="inlineStr">
        <is>
          <t>F-DT-04 · INDICADORES CUANTITATIVOS</t>
        </is>
      </c>
    </row>
    <row r="43">
      <c r="A43" s="54" t="inlineStr">
        <is>
          <t>N.o</t>
        </is>
      </c>
      <c r="B43" s="54" t="inlineStr">
        <is>
          <t>Indicador</t>
        </is>
      </c>
      <c r="C43" s="54" t="inlineStr">
        <is>
          <t>Unidad</t>
        </is>
      </c>
      <c r="D43" s="54" t="inlineStr">
        <is>
          <t>Valor</t>
        </is>
      </c>
      <c r="E43" s="54" t="inlineStr">
        <is>
          <t>Fuente</t>
        </is>
      </c>
      <c r="F43" s="54" t="inlineStr">
        <is>
          <t>Umbral</t>
        </is>
      </c>
      <c r="G43" s="54" t="inlineStr">
        <is>
          <t>Nivel</t>
        </is>
      </c>
    </row>
    <row r="44">
      <c r="A44" s="55" t="inlineStr">
        <is>
          <t>1</t>
        </is>
      </c>
      <c r="B44" s="55" t="inlineStr">
        <is>
          <t>Cobertura vegetal total</t>
        </is>
      </c>
      <c r="C44" s="55" t="inlineStr">
        <is>
          <t>%</t>
        </is>
      </c>
      <c r="D44" s="55" t="inlineStr">
        <is>
          <t>95</t>
        </is>
      </c>
      <c r="E44" s="55" t="inlineStr">
        <is>
          <t>Estimación visual de campo</t>
        </is>
      </c>
      <c r="F44" s="55" t="inlineStr">
        <is>
          <t>&gt;60% bueno; 30-60% medio; &lt;30% malo</t>
        </is>
      </c>
      <c r="G44" s="55" t="inlineStr"/>
    </row>
    <row r="45">
      <c r="A45" s="56" t="inlineStr">
        <is>
          <t>2</t>
        </is>
      </c>
      <c r="B45" s="56" t="inlineStr">
        <is>
          <t>Porcentaje de suelo desnudo</t>
        </is>
      </c>
      <c r="C45" s="56" t="inlineStr">
        <is>
          <t>%</t>
        </is>
      </c>
      <c r="D45" s="56" t="inlineStr">
        <is>
          <t>5</t>
        </is>
      </c>
      <c r="E45" s="56" t="inlineStr">
        <is>
          <t>Estimación visual de campo</t>
        </is>
      </c>
      <c r="F45" s="56" t="inlineStr">
        <is>
          <t>&lt;10% bueno; 10-30% medio; &gt;30% malo</t>
        </is>
      </c>
      <c r="G45" s="56" t="inlineStr"/>
    </row>
    <row r="46">
      <c r="A46" s="55" t="inlineStr">
        <is>
          <t>3</t>
        </is>
      </c>
      <c r="B46" s="55" t="inlineStr">
        <is>
          <t>Densidad de cárcavas</t>
        </is>
      </c>
      <c r="C46" s="55" t="inlineStr">
        <is>
          <t>N°/ha</t>
        </is>
      </c>
      <c r="D46" s="55" t="inlineStr"/>
      <c r="E46" s="55" t="inlineStr"/>
      <c r="F46" s="55" t="inlineStr">
        <is>
          <t>0 nulo; 1-3 medio; &gt;3 alto</t>
        </is>
      </c>
      <c r="G46" s="55" t="inlineStr"/>
    </row>
    <row r="47">
      <c r="A47" s="56" t="inlineStr">
        <is>
          <t>4</t>
        </is>
      </c>
      <c r="B47" s="56" t="inlineStr">
        <is>
          <t>Presencia de especies invasoras</t>
        </is>
      </c>
      <c r="C47" s="56" t="inlineStr">
        <is>
          <t>% área</t>
        </is>
      </c>
      <c r="D47" s="56" t="inlineStr"/>
      <c r="E47" s="56" t="inlineStr"/>
      <c r="F47" s="56" t="inlineStr">
        <is>
          <t>&lt;5% bueno; 5-20% medio; &gt;20% alto</t>
        </is>
      </c>
      <c r="G47" s="56" t="inlineStr"/>
    </row>
    <row r="48">
      <c r="A48" s="55" t="inlineStr">
        <is>
          <t>5</t>
        </is>
      </c>
      <c r="B48" s="55" t="inlineStr">
        <is>
          <t>Carga ganadera estimada</t>
        </is>
      </c>
      <c r="C48" s="55" t="inlineStr">
        <is>
          <t>UA/ha</t>
        </is>
      </c>
      <c r="D48" s="55" t="inlineStr"/>
      <c r="E48" s="55" t="inlineStr"/>
      <c r="F48" s="55" t="inlineStr">
        <is>
          <t>Según tipo de ecosistema</t>
        </is>
      </c>
      <c r="G48" s="55" t="inlineStr"/>
    </row>
    <row r="49">
      <c r="A49" s="56" t="inlineStr">
        <is>
          <t>6</t>
        </is>
      </c>
      <c r="B49" s="56" t="inlineStr">
        <is>
          <t>Frecuencia de quemas últimos 5 años</t>
        </is>
      </c>
      <c r="C49" s="56" t="inlineStr">
        <is>
          <t>N°</t>
        </is>
      </c>
      <c r="D49" s="56" t="inlineStr"/>
      <c r="E49" s="56" t="inlineStr"/>
      <c r="F49" s="56" t="inlineStr">
        <is>
          <t>0 nulo; 1-2 medio; &gt;2 alto</t>
        </is>
      </c>
      <c r="G49" s="56" t="inlineStr"/>
    </row>
    <row r="50">
      <c r="A50" s="55" t="inlineStr">
        <is>
          <t>7</t>
        </is>
      </c>
      <c r="B50" s="55" t="inlineStr">
        <is>
          <t>% área con pendiente &gt;50%</t>
        </is>
      </c>
      <c r="C50" s="55" t="inlineStr">
        <is>
          <t>%</t>
        </is>
      </c>
      <c r="D50" s="55" t="inlineStr">
        <is>
          <t>25</t>
        </is>
      </c>
      <c r="E50" s="55" t="inlineStr">
        <is>
          <t>Estimación visual de campo</t>
        </is>
      </c>
      <c r="F50" s="55" t="inlineStr">
        <is>
          <t>Factor de susceptibilidad</t>
        </is>
      </c>
      <c r="G50" s="55" t="inlineStr"/>
    </row>
    <row r="51">
      <c r="A51" s="56" t="inlineStr">
        <is>
          <t>8</t>
        </is>
      </c>
      <c r="B51" s="56" t="inlineStr">
        <is>
          <t>Distancia a vía vecinal más cercana</t>
        </is>
      </c>
      <c r="C51" s="56" t="inlineStr">
        <is>
          <t>m</t>
        </is>
      </c>
      <c r="D51" s="56" t="inlineStr">
        <is>
          <t>200</t>
        </is>
      </c>
      <c r="E51" s="56" t="inlineStr">
        <is>
          <t>Estimación visual de campo</t>
        </is>
      </c>
      <c r="F51" s="56" t="inlineStr">
        <is>
          <t>A menor distancia → mayor presión</t>
        </is>
      </c>
      <c r="G51" s="56" t="inlineStr"/>
    </row>
    <row r="53">
      <c r="A53" s="53" t="inlineStr">
        <is>
          <t>F-DT-05 · FUENTES DE AGUA INVENTARIADAS</t>
        </is>
      </c>
    </row>
    <row r="54">
      <c r="A54" s="54" t="inlineStr">
        <is>
          <t>N.o</t>
        </is>
      </c>
      <c r="B54" s="54" t="inlineStr">
        <is>
          <t>Tipo de fuente</t>
        </is>
      </c>
      <c r="C54" s="54" t="inlineStr">
        <is>
          <t>UTM ESTE</t>
        </is>
      </c>
      <c r="D54" s="54" t="inlineStr">
        <is>
          <t>UTM NORTE</t>
        </is>
      </c>
      <c r="E54" s="54" t="inlineStr">
        <is>
          <t>Régimen</t>
        </is>
      </c>
      <c r="F54" s="54" t="inlineStr">
        <is>
          <t>Calidad</t>
        </is>
      </c>
      <c r="G54" s="54" t="inlineStr">
        <is>
          <t>Distancia (m)</t>
        </is>
      </c>
      <c r="H54" s="54" t="inlineStr">
        <is>
          <t>Uso / observación</t>
        </is>
      </c>
    </row>
    <row r="57">
      <c r="A57" s="53" t="inlineStr">
        <is>
          <t>OBSERVACIONES DEL EVALUADOR POR FICHA</t>
        </is>
      </c>
    </row>
    <row r="58">
      <c r="A58" s="54" t="inlineStr">
        <is>
          <t>Ficha</t>
        </is>
      </c>
      <c r="B58" s="54" t="inlineStr">
        <is>
          <t>Observación registrada en campo</t>
        </is>
      </c>
    </row>
    <row r="59">
      <c r="A59" s="55" t="inlineStr">
        <is>
          <t>F-DT-01</t>
        </is>
      </c>
      <c r="B59" s="55" t="inlineStr">
        <is>
          <t>Registro de campo (06-05-2026, 10:30 h, Ing. Juan Carlos Domínguez Varas e Ing. Héctor S. Cahuas Miller; inspección con código de verificación VER-20260512-C609B73C, condiciones climáticas despejadas, avance físico 100%, sin desviaciones al plan de trabajo): al pie de la colina se encuentra el centro poblado Boca Negra y una institución educativa, cuyos alumnos y docentes se encargan de la conservación del ecosistema a través de la concientización de la población. || Morfología montañosa con pendientes de 25–50% (moderadamente escarpadas), susceptibilidad media a la escorrentía superficial durante lluvias intensas, mitigada significativamente por la alta cobertura vegetal (95%). Posición de ladera media con exposición oeste, lo que determina mayor incidencia de radiación solar vespertina y mayores tasas de evapotranspiración que exposiciones este o norte. No se evidencian escarpes activos, reptación de suelos, deslizamientos antiguos ni remociones en masa activas: ESTABILIDAD GEOTÉCNICA FAVORABLE para implementar medidas de infraestructura natural sin riesgos de falla inducida. || LIMITACIÓN DEL LEVANTAMIENTO: la evaluación del bloque fue limitada por las restricciones de acceso, derivadas del desconocimiento de las rutas de ingreso; las personas que conocen dichos caminos (pobladores locales) se encontraban en sus parcelas de producción durante la evaluación. No se pudo acceder al interior del bloque, por lo que la información biofísica se basa en observación desde los límites del polígono [E2]. || GABINETE (DEM): rango altitudinal 203–523 msnm; pendiente promedio del bloque 21.71% (clase 15–25%), la más alta de los cinco bloques del paquete. La ficha F-EE-05 registra una pendiente predominante del 45%. || INCONSISTENCIA: la altitud GPS registrada (167.2 msnm) es inferior a la cota mínima del polígono según DEM (203 msnm), lo que es coherente con que el punto de observación se situara al pie de la ladera, fuera del bloque. Las coordenadas del punto (E 617 078 / N 9 426 985) se ubican efectivamente al oeste del centroide del bloque. || FACTORES LIMITANTES [E1]: se identificó un factor limitante relevante — la ACCESIBILIDAD. Se desconocen las posibles vías de acceso al bloque, que pueden estar interrumpidas por limitaciones naturales; el acceso vehicular llega hasta el pie del bloque. No se evidenciaron cárcavas, surcos, deslizamientos ni conflictos de tenencia. El centro poblado y la institución educativa se encuentran alejados del bloque y no limitan la delimitación. La participación activa de alumnos y docentes en la conservación constituye un FACTOR FACILITADOR, no limitante. Recomendación de delimitación: considerar mejorar los accesos si se requiere intervención en el bloque. || PARÁMETROS GEOESPACIALES DEL BLOQUE (gabinete): rango altitudinal 203–523 msnm; pendiente promedio 21.71%; MSAVI medio 2024 = 0.4012; área 74.37 ha; microcuenca C1086-Q9570; zona Z05; centroide E 617,715 / N 9,427,284 (UTM WGS84 17S).</t>
        </is>
      </c>
    </row>
    <row r="60">
      <c r="A60" s="56" t="inlineStr">
        <is>
          <t>F-DT-04</t>
        </is>
      </c>
      <c r="B60" s="56" t="inlineStr">
        <is>
          <t>Registro de campo [E1]: la matriz de causas de degradación reporta AUSENCIA TOTAL de las 16 causas evaluadas (sobrepastoreo, tala para leña, carbón y madera, quema, cambio de uso, expansión urbana, minería, extracción de áridos, especies invasoras, erosión natural severa, sequía prolongada, plagas y otros), lo que indica que el bloque no presenta presión antrópica significativa. La velocidad de degradación se clasifica como ESTABLE y la urgencia de intervención como BAJA. Observación de la brigada: 'Es un bloque en aparente estado de conservación'. La ficha F-EE-05 registra evidencia de degradación: NO, con nivel de degradación 1 de 5. || VACÍOS DEL LEVANTAMIENTO: los indicadores 3 (densidad de cárcavas), 4 (especies invasoras), 5 (carga ganadera) y 6 (frecuencia de quemas) no fueron valorados; los indicadores 1, 2, 7 y 8 fueron registrados con valor pero SIN CALIFICACIÓN DE NIVEL (Alto/Medio/Bajo). La reversibilidad técnica no fue consignada. POR COMPLETAR. || OBSERVACIÓN TÉCNICA SESDI: el indicador 2 registra 5% de suelo desnudo mientras que F-DT-03 consigna 0%; conciliar. || El bloque presenta la PENDIENTE PROMEDIO MÁS ALTA del paquete (21.71%) y la ficha F-EE-05 registra una pendiente predominante del 45%, sobre un centro poblado situado al pie de la ladera. Aunque no se identificaron peligros en campo ('no se evidencian peligros', F-EE-05), esta configuración topográfica justifica mantener el bloque bajo seguimiento desde la perspectiva de regulación de riesgos naturales.</t>
        </is>
      </c>
    </row>
    <row r="61">
      <c r="A61" s="55" t="inlineStr">
        <is>
          <t>F-DT-05</t>
        </is>
      </c>
      <c r="B61" s="55" t="inlineStr">
        <is>
          <t>Registro de campo [E1]: no se observan quebradas. Según la consulta realizada a los pobladores locales, no se registran fuentes de agua permanentes, zonas de recarga hídrica activa ni escorrentía concentrada. La ficha F-EE-05 confirma ausencia de cárcavas/surcos y de quebrada o cauce dentro del bloque. No hay interferencia con obras de riego. || ACCESIBILIDAD — FACTOR LIMITANTE PRINCIPAL DEL BLOQUE: modalidad vehicular más caminata de 30 a 90 minutos, con transitabilidad MEDIA en época seca y BAJA en época lluviosa. El entregable [E1] identifica la accesibilidad como el único factor que condiciona la delimitación final y recomienda considerar la mejora de los accesos si se requiere intervención en el bloque. Se desconocen las vías de ingreso al interior del polígono; se requiere acompañamiento de personal local con conocimiento de los senderos. || No requiere autorización de Ronda Campesina. Se dispone de alojamiento rural. || POR VERIFICAR EN CAMPO: distancia y nombre de la captación poblacional / JASS de Boca Negra, e inventario georreferenciado de fuentes en época de lluvias.</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44" customWidth="1" min="1" max="1"/>
    <col width="18" customWidth="1" min="2" max="2"/>
  </cols>
  <sheetData>
    <row r="1">
      <c r="A1" s="50" t="inlineStr">
        <is>
          <t>AUTORIDAD NACIONAL DE INFRAESTRUCTURA - ANIN</t>
        </is>
      </c>
    </row>
    <row r="2">
      <c r="A2" s="50" t="inlineStr">
        <is>
          <t>DIRECCION DE INTERVENCIONES MULTISECTORIALES Y DE EMERGENCIA - DIME</t>
        </is>
      </c>
    </row>
    <row r="3">
      <c r="A3" s="50" t="inlineStr">
        <is>
          <t>SUBDIRECCION DE ESTUDIOS DE INVERSION - SESDI</t>
        </is>
      </c>
    </row>
    <row r="4">
      <c r="A4" s="51" t="inlineStr">
        <is>
          <t>PROYECTO IN PIURA | CUI 2669244 | Recuperacion del servicio de regulacion de riesgos naturales y de ecosistemas degradados - Cuenca Alta del Rio Piura</t>
        </is>
      </c>
    </row>
    <row r="5" ht="22" customHeight="1">
      <c r="A5" s="52" t="inlineStr">
        <is>
          <t>GRÁFICOS DE LA INTEGRACIÓN — BLOQUE M19B2</t>
        </is>
      </c>
    </row>
    <row r="7">
      <c r="A7" s="53" t="inlineStr">
        <is>
          <t>Hechos declarados por fuente</t>
        </is>
      </c>
    </row>
    <row r="8">
      <c r="A8" s="54" t="inlineStr">
        <is>
          <t>Fuente</t>
        </is>
      </c>
      <c r="B8" s="54" t="inlineStr">
        <is>
          <t>Hechos</t>
        </is>
      </c>
    </row>
    <row r="9">
      <c r="A9" s="55" t="inlineStr">
        <is>
          <t>Dato de campo</t>
        </is>
      </c>
      <c r="B9" s="55" t="n">
        <v>65</v>
      </c>
    </row>
    <row r="10">
      <c r="A10" s="56" t="inlineStr">
        <is>
          <t>Gabinete (GIS / teledetección)</t>
        </is>
      </c>
      <c r="B10" s="56" t="n">
        <v>24</v>
      </c>
    </row>
    <row r="11">
      <c r="A11" s="55" t="inlineStr">
        <is>
          <t>Fuente oficial</t>
        </is>
      </c>
      <c r="B11" s="55" t="n">
        <v>14</v>
      </c>
    </row>
    <row r="26">
      <c r="A26" s="53" t="inlineStr">
        <is>
          <t>Estado del cruce entre fuentes</t>
        </is>
      </c>
    </row>
    <row r="27">
      <c r="A27" s="54" t="inlineStr">
        <is>
          <t>Estado</t>
        </is>
      </c>
      <c r="B27" s="54" t="inlineStr">
        <is>
          <t>Hechos</t>
        </is>
      </c>
    </row>
    <row r="28">
      <c r="A28" s="55" t="inlineStr">
        <is>
          <t>CONFORME</t>
        </is>
      </c>
      <c r="B28" s="55" t="n">
        <v>100</v>
      </c>
    </row>
    <row r="29">
      <c r="A29" s="56" t="inlineStr">
        <is>
          <t>COMPLEMENTADO</t>
        </is>
      </c>
      <c r="B29" s="56" t="n">
        <v>2</v>
      </c>
    </row>
    <row r="30">
      <c r="A30" s="55" t="inlineStr">
        <is>
          <t>ACTUALIZADO</t>
        </is>
      </c>
      <c r="B30" s="55" t="n">
        <v>1</v>
      </c>
    </row>
    <row r="31">
      <c r="A31" s="56" t="inlineStr">
        <is>
          <t>DISCREPANTE</t>
        </is>
      </c>
      <c r="B31" s="56" t="n">
        <v>0</v>
      </c>
    </row>
    <row r="32">
      <c r="A32" s="55" t="inlineStr">
        <is>
          <t>PENDIENTE</t>
        </is>
      </c>
      <c r="B32" s="55" t="n">
        <v>11</v>
      </c>
    </row>
    <row r="45">
      <c r="A45" s="53" t="inlineStr">
        <is>
          <t>Cobertura por estrato — campo (%)</t>
        </is>
      </c>
    </row>
    <row r="46">
      <c r="A46" s="54" t="inlineStr">
        <is>
          <t>Estrato</t>
        </is>
      </c>
      <c r="B46" s="54" t="inlineStr">
        <is>
          <t>% del área</t>
        </is>
      </c>
    </row>
    <row r="47">
      <c r="A47" s="55" t="inlineStr">
        <is>
          <t>Dosel</t>
        </is>
      </c>
      <c r="B47" s="60" t="n">
        <v>95</v>
      </c>
    </row>
    <row r="48">
      <c r="A48" s="56" t="inlineStr">
        <is>
          <t>Arbustiva</t>
        </is>
      </c>
      <c r="B48" s="61" t="n">
        <v>100</v>
      </c>
    </row>
    <row r="49">
      <c r="A49" s="55" t="inlineStr">
        <is>
          <t>Herbácea</t>
        </is>
      </c>
      <c r="B49" s="62" t="n">
        <v>0</v>
      </c>
    </row>
    <row r="50">
      <c r="A50" s="56" t="inlineStr">
        <is>
          <t>Hojarasca</t>
        </is>
      </c>
      <c r="B50" s="63" t="n">
        <v>0</v>
      </c>
    </row>
    <row r="51">
      <c r="A51" s="55" t="inlineStr">
        <is>
          <t>Suelo desnudo</t>
        </is>
      </c>
      <c r="B51" s="62" t="n">
        <v>0</v>
      </c>
    </row>
    <row r="64">
      <c r="A64" s="53" t="inlineStr">
        <is>
          <t>Control de consistencia por calificación</t>
        </is>
      </c>
    </row>
    <row r="65">
      <c r="A65" s="54" t="inlineStr">
        <is>
          <t>Calificación</t>
        </is>
      </c>
      <c r="B65" s="54" t="inlineStr">
        <is>
          <t>Verificaciones</t>
        </is>
      </c>
    </row>
    <row r="66">
      <c r="A66" s="55" t="inlineStr">
        <is>
          <t>SUSTANTIVA</t>
        </is>
      </c>
      <c r="B66" s="55" t="n">
        <v>7</v>
      </c>
    </row>
    <row r="67">
      <c r="A67" s="56" t="inlineStr">
        <is>
          <t>NO SUSTANTIVA</t>
        </is>
      </c>
      <c r="B67" s="56" t="n">
        <v>2</v>
      </c>
    </row>
    <row r="68">
      <c r="A68" s="55" t="inlineStr">
        <is>
          <t>CORREGIDO</t>
        </is>
      </c>
      <c r="B68" s="55" t="n">
        <v>1</v>
      </c>
    </row>
    <row r="69">
      <c r="A69" s="56" t="inlineStr">
        <is>
          <t>CONFORME</t>
        </is>
      </c>
      <c r="B69" s="56"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M19B2 — IN Piura</dc:title>
  <dc:subject>Diagnóstico Territorial por bloque de intervención</dc:subject>
  <dcterms:created xsi:type="dcterms:W3CDTF">2026-09-08T03:39:57Z</dcterms:created>
  <dcterms:modified xsi:type="dcterms:W3CDTF">2026-09-11T21:26:34Z</dcterms:modified>
</cp:coreProperties>
</file>