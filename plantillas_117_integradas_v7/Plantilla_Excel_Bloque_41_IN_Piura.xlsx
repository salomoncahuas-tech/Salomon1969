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 name="Integración de campo" sheetId="6" state="visible" r:id="rId6"/>
    <sheet name="Registro de campo F-DT" sheetId="7" state="visible" r:id="rId7"/>
    <sheet name="Gráficos de integración" sheetId="8" state="visible" r:id="rId8"/>
  </sheets>
  <definedNames/>
  <calcPr calcId="124519" fullCalcOnLoad="1"/>
</workbook>
</file>

<file path=xl/styles.xml><?xml version="1.0" encoding="utf-8"?>
<styleSheet xmlns="http://schemas.openxmlformats.org/spreadsheetml/2006/main">
  <numFmts count="3">
    <numFmt numFmtId="164" formatCode="0.0000"/>
    <numFmt numFmtId="165" formatCode="0.000"/>
    <numFmt numFmtId="166" formatCode="#,##0.0000"/>
  </numFmts>
  <fonts count="14">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
      <name val="Arial"/>
      <b val="1"/>
      <color rgb="001B4D2E"/>
      <sz val="9"/>
    </font>
    <font>
      <name val="Arial"/>
      <i val="1"/>
      <sz val="8"/>
    </font>
    <font>
      <name val="Arial"/>
      <b val="1"/>
      <color rgb="00FFFFFF"/>
      <sz val="12"/>
    </font>
    <font>
      <name val="Arial"/>
      <b val="1"/>
      <color rgb="001B4F72"/>
      <sz val="10"/>
    </font>
    <font>
      <name val="Arial"/>
      <i val="1"/>
      <sz val="7.5"/>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8">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
      <left style="thin">
        <color rgb="00BFBFBF"/>
      </left>
      <right style="thin">
        <color rgb="00BFBFBF"/>
      </right>
      <top style="thin">
        <color rgb="00BFBFBF"/>
      </top>
      <bottom style="thin">
        <color rgb="00BFBFBF"/>
      </bottom>
    </border>
  </borders>
  <cellStyleXfs count="1">
    <xf numFmtId="0" fontId="0" fillId="0" borderId="0"/>
  </cellStyleXfs>
  <cellXfs count="65">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xf numFmtId="0" fontId="6" fillId="0" borderId="1" applyAlignment="1" pivotButton="0" quotePrefix="0" xfId="0">
      <alignment vertical="top" wrapText="1"/>
    </xf>
    <xf numFmtId="0" fontId="9" fillId="0" borderId="0" pivotButton="0" quotePrefix="0" xfId="0"/>
    <xf numFmtId="0" fontId="10" fillId="0" borderId="0" pivotButton="0" quotePrefix="0" xfId="0"/>
    <xf numFmtId="0" fontId="11" fillId="2" borderId="0" applyAlignment="1" pivotButton="0" quotePrefix="0" xfId="0">
      <alignment horizontal="center" vertical="center"/>
    </xf>
    <xf numFmtId="0" fontId="12" fillId="0" borderId="0" pivotButton="0" quotePrefix="0" xfId="0"/>
    <xf numFmtId="0" fontId="8" fillId="2" borderId="7" applyAlignment="1" pivotButton="0" quotePrefix="0" xfId="0">
      <alignment horizontal="center" wrapText="1"/>
    </xf>
    <xf numFmtId="0" fontId="6" fillId="0" borderId="7" pivotButton="0" quotePrefix="0" xfId="0"/>
    <xf numFmtId="0" fontId="6" fillId="5" borderId="7" pivotButton="0" quotePrefix="0" xfId="0"/>
    <xf numFmtId="0" fontId="5" fillId="0" borderId="0" pivotButton="0" quotePrefix="0" xfId="0"/>
    <xf numFmtId="0" fontId="6" fillId="0" borderId="0" pivotButton="0" quotePrefix="0" xfId="0"/>
    <xf numFmtId="0" fontId="13" fillId="0" borderId="0" applyAlignment="1" pivotButton="0" quotePrefix="0" xfId="0">
      <alignment vertical="top" wrapText="1"/>
    </xf>
    <xf numFmtId="4" fontId="6" fillId="0" borderId="7" pivotButton="0" quotePrefix="0" xfId="0"/>
    <xf numFmtId="4" fontId="6" fillId="5" borderId="7" pivotButton="0" quotePrefix="0" xfId="0"/>
    <xf numFmtId="166" fontId="6" fillId="0" borderId="7" pivotButton="0" quotePrefix="0" xfId="0"/>
    <xf numFmtId="166" fontId="6" fillId="5" borderId="7"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t>Procedencia de los hechos declarados</a:t>
            </a:r>
          </a:p>
        </rich>
      </tx>
    </title>
    <plotArea>
      <pieChart>
        <varyColors val="1"/>
        <ser>
          <idx val="0"/>
          <order val="0"/>
          <tx>
            <strRef>
              <f>'Gráficos de integración'!B8</f>
            </strRef>
          </tx>
          <spPr>
            <a:ln>
              <a:prstDash val="solid"/>
            </a:ln>
          </spPr>
          <cat>
            <numRef>
              <f>'Gráficos de integración'!$A$9:$A$11</f>
            </numRef>
          </cat>
          <val>
            <numRef>
              <f>'Gráficos de integración'!$B$9:$B$11</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Estado del cruce entre fuentes</a:t>
            </a:r>
          </a:p>
        </rich>
      </tx>
    </title>
    <plotArea>
      <barChart>
        <barDir val="col"/>
        <grouping val="clustered"/>
        <ser>
          <idx val="0"/>
          <order val="0"/>
          <tx>
            <strRef>
              <f>'Gráficos de integración'!B27</f>
            </strRef>
          </tx>
          <spPr>
            <a:ln>
              <a:prstDash val="solid"/>
            </a:ln>
          </spPr>
          <cat>
            <numRef>
              <f>'Gráficos de integración'!$A$28:$A$32</f>
            </numRef>
          </cat>
          <val>
            <numRef>
              <f>'Gráficos de integración'!$B$28:$B$32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Hechos</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Cobertura por estrato (%)</a:t>
            </a:r>
          </a:p>
        </rich>
      </tx>
    </title>
    <plotArea>
      <barChart>
        <barDir val="col"/>
        <grouping val="clustered"/>
        <ser>
          <idx val="0"/>
          <order val="0"/>
          <tx>
            <strRef>
              <f>'Gráficos de integración'!B46</f>
            </strRef>
          </tx>
          <spPr>
            <a:ln>
              <a:prstDash val="solid"/>
            </a:ln>
          </spPr>
          <cat>
            <numRef>
              <f>'Gráficos de integración'!$A$47:$A$49</f>
            </numRef>
          </cat>
          <val>
            <numRef>
              <f>'Gráficos de integración'!$B$47:$B$49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t>
                </a:r>
              </a:p>
            </rich>
          </tx>
        </title>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style val="10"/>
  <chart>
    <title>
      <tx>
        <rich>
          <a:bodyPr/>
          <a:p>
            <a:pPr>
              <a:defRPr/>
            </a:pPr>
            <a:r>
              <a:t>Causas activas por intensidad</a:t>
            </a:r>
          </a:p>
        </rich>
      </tx>
    </title>
    <plotArea>
      <barChart>
        <barDir val="col"/>
        <grouping val="clustered"/>
        <ser>
          <idx val="0"/>
          <order val="0"/>
          <tx>
            <strRef>
              <f>'Gráficos de integración'!B65</f>
            </strRef>
          </tx>
          <spPr>
            <a:ln>
              <a:prstDash val="solid"/>
            </a:ln>
          </spPr>
          <cat>
            <numRef>
              <f>'Gráficos de integración'!$A$66:$A$71</f>
            </numRef>
          </cat>
          <val>
            <numRef>
              <f>'Gráficos de integración'!$B$66:$B$71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Intensidad</a:t>
                </a:r>
              </a:p>
            </rich>
          </tx>
        </title>
        <majorTickMark val="none"/>
        <minorTickMark val="none"/>
        <crossAx val="10"/>
      </valAx>
    </plotArea>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Control de consistencia</a:t>
            </a:r>
          </a:p>
        </rich>
      </tx>
    </title>
    <plotArea>
      <pieChart>
        <varyColors val="1"/>
        <ser>
          <idx val="0"/>
          <order val="0"/>
          <tx>
            <strRef>
              <f>'Gráficos de integración'!B84</f>
            </strRef>
          </tx>
          <spPr>
            <a:ln>
              <a:prstDash val="solid"/>
            </a:ln>
          </spPr>
          <cat>
            <numRef>
              <f>'Gráficos de integración'!$A$85:$A$88</f>
            </numRef>
          </cat>
          <val>
            <numRef>
              <f>'Gráficos de integración'!$B$85:$B$88</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7</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26</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45</row>
      <rowOff>0</rowOff>
    </from>
    <ext cx="5760000" cy="2880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64</row>
      <rowOff>0</rowOff>
    </from>
    <ext cx="5760000" cy="2880000"/>
    <graphicFrame>
      <nvGraphicFramePr>
        <cNvPr id="4" name="Chart 4"/>
        <cNvGraphicFramePr/>
      </nvGraphicFramePr>
      <xfrm/>
      <a:graphic>
        <a:graphicData uri="http://schemas.openxmlformats.org/drawingml/2006/chart">
          <c:chart r:id="rId4"/>
        </a:graphicData>
      </a:graphic>
    </graphicFrame>
    <clientData/>
  </oneCellAnchor>
  <oneCellAnchor>
    <from>
      <col>3</col>
      <colOff>0</colOff>
      <row>83</row>
      <rowOff>0</rowOff>
    </from>
    <ext cx="4320000" cy="2880000"/>
    <graphicFrame>
      <nvGraphicFramePr>
        <cNvPr id="5" name="Chart 5"/>
        <cNvGraphicFramePr/>
      </nvGraphicFramePr>
      <xfrm/>
      <a:graphic>
        <a:graphicData uri="http://schemas.openxmlformats.org/drawingml/2006/chart">
          <c:chart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41</t>
        </is>
      </c>
    </row>
    <row r="6" ht="24" customHeight="1">
      <c r="A6" s="4" t="inlineStr">
        <is>
          <t>Diagnóstico Territorial — Plantilla DT Campo Check Validada V5 | Sistema de referencia: UTM WGS 84 Zona 17S (EPSG:32717) · Integrado con la ficha de campo F-DT vigente (Plantilla_DT_Campo_Bloque41_IN_Piura.xlsx) — V7 - resumen V6 + campo F-DT integrado</t>
        </is>
      </c>
    </row>
    <row r="7"/>
    <row r="8" ht="18" customHeight="1">
      <c r="A8" s="5" t="inlineStr">
        <is>
          <t>1. IDENTIFICACIÓN Y LOCALIZACIÓN</t>
        </is>
      </c>
    </row>
    <row r="9">
      <c r="A9" s="6" t="inlineStr">
        <is>
          <t>Código del bloque</t>
        </is>
      </c>
      <c r="B9" s="7" t="inlineStr">
        <is>
          <t>41</t>
        </is>
      </c>
      <c r="C9" s="6" t="inlineStr">
        <is>
          <t>Microcuenca (catálogo)</t>
        </is>
      </c>
      <c r="D9" s="7" t="inlineStr">
        <is>
          <t>C1076-Q9592</t>
        </is>
      </c>
      <c r="E9" s="8" t="n"/>
      <c r="F9" s="8" t="n"/>
    </row>
    <row r="10">
      <c r="A10" s="6" t="inlineStr">
        <is>
          <t>Zona de planificación</t>
        </is>
      </c>
      <c r="B10" s="7" t="inlineStr">
        <is>
          <t>Z13</t>
        </is>
      </c>
      <c r="C10" s="6" t="inlineStr">
        <is>
          <t>Microcuenca declarada en ficha DT</t>
        </is>
      </c>
      <c r="D10" s="7" t="inlineStr">
        <is>
          <t>C1076-Q9592</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Huarmaca</t>
        </is>
      </c>
      <c r="C12" s="6" t="inlineStr">
        <is>
          <t>Capital distrital</t>
        </is>
      </c>
      <c r="D12" s="7" t="inlineStr">
        <is>
          <t>Huarmaca</t>
        </is>
      </c>
      <c r="E12" s="8" t="n"/>
      <c r="F12" s="8" t="n"/>
    </row>
    <row r="13">
      <c r="A13" s="6" t="inlineStr">
        <is>
          <t>Centro poblado asociado</t>
        </is>
      </c>
      <c r="B13" s="7" t="inlineStr">
        <is>
          <t>Cambrurán</t>
        </is>
      </c>
      <c r="C13" s="6" t="inlineStr">
        <is>
          <t>Comunidad campesina</t>
        </is>
      </c>
      <c r="D13" s="7" t="inlineStr">
        <is>
          <t>Por verificar</t>
        </is>
      </c>
      <c r="E13" s="8" t="n"/>
      <c r="F13" s="8" t="n"/>
    </row>
    <row r="14">
      <c r="A14" s="6" t="inlineStr">
        <is>
          <t>Superficie de catálogo (V5/V6), ha</t>
        </is>
      </c>
      <c r="B14" s="7" t="n">
        <v>64.92</v>
      </c>
      <c r="C14" s="6" t="inlineStr">
        <is>
          <t>Fuente de superficie</t>
        </is>
      </c>
      <c r="D14" s="7" t="inlineStr">
        <is>
          <t>Catálogo maestro Bloques V5/V6</t>
        </is>
      </c>
      <c r="E14" s="8" t="n"/>
      <c r="F14" s="8" t="n"/>
    </row>
    <row r="15">
      <c r="A15" s="6" t="inlineStr">
        <is>
          <t>Centroide UTM ESTE (m)</t>
        </is>
      </c>
      <c r="B15" s="7" t="n">
        <v>660525</v>
      </c>
      <c r="C15" s="6" t="inlineStr">
        <is>
          <t>Centroide UTM NORTE (m)</t>
        </is>
      </c>
      <c r="D15" s="7" t="n">
        <v>9394327</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1536</v>
      </c>
      <c r="C19" s="6" t="inlineStr">
        <is>
          <t>Altitud máxima (msnm)</t>
        </is>
      </c>
      <c r="D19" s="7" t="n">
        <v>1818</v>
      </c>
      <c r="E19" s="8" t="n"/>
      <c r="F19" s="8" t="n"/>
    </row>
    <row r="20">
      <c r="A20" s="6" t="inlineStr">
        <is>
          <t>Amplitud altitudinal (m)</t>
        </is>
      </c>
      <c r="B20" s="7" t="n">
        <v>282</v>
      </c>
      <c r="C20" s="6" t="inlineStr">
        <is>
          <t>Piso altitudinal dominante</t>
        </is>
      </c>
      <c r="D20" s="7" t="inlineStr">
        <is>
          <t>1500-2000 m (Quechua media)</t>
        </is>
      </c>
      <c r="E20" s="8" t="n"/>
      <c r="F20" s="8" t="n"/>
    </row>
    <row r="21">
      <c r="A21" s="6" t="inlineStr">
        <is>
          <t>Pendiente promedio (%)</t>
        </is>
      </c>
      <c r="B21" s="7" t="n">
        <v>25.53</v>
      </c>
      <c r="C21" s="6" t="inlineStr">
        <is>
          <t>Pendiente promedio (grados)</t>
        </is>
      </c>
      <c r="D21" s="7" t="n">
        <v>14.3</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Este</t>
        </is>
      </c>
      <c r="C24" s="6" t="inlineStr">
        <is>
          <t>Afloramientos rocosos</t>
        </is>
      </c>
      <c r="D24" s="7" t="inlineStr">
        <is>
          <t>Sí</t>
        </is>
      </c>
      <c r="E24" s="8" t="n"/>
      <c r="F24" s="8" t="n"/>
    </row>
    <row r="25">
      <c r="A25" s="6" t="inlineStr">
        <is>
          <t>Escarpes activos</t>
        </is>
      </c>
      <c r="B25" s="7" t="inlineStr">
        <is>
          <t>Sí</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0.5927</v>
      </c>
      <c r="C28" s="6" t="inlineStr">
        <is>
          <t>MSAVI 2024 — clase de la media</t>
        </is>
      </c>
      <c r="D28" s="7" t="inlineStr">
        <is>
          <t>0.4976 - 0.6139 (Vigor moderado)</t>
        </is>
      </c>
      <c r="E28" s="8" t="n"/>
      <c r="F28" s="8" t="n"/>
    </row>
    <row r="29">
      <c r="A29" s="6" t="inlineStr">
        <is>
          <t>Condición frente al umbral 0.4976</t>
        </is>
      </c>
      <c r="B29" s="7" t="inlineStr">
        <is>
          <t>Sobre umbral</t>
        </is>
      </c>
      <c r="C29" s="6" t="inlineStr">
        <is>
          <t>NDVI mediana 2025 — clase modal</t>
        </is>
      </c>
      <c r="D29" s="7" t="inlineStr">
        <is>
          <t>Vegetación alta (98.02 %)</t>
        </is>
      </c>
      <c r="E29" s="8" t="n"/>
      <c r="F29" s="8" t="n"/>
    </row>
    <row r="30">
      <c r="A30" s="6" t="inlineStr">
        <is>
          <t>Superficie clasificada NDVI 2025 (ha)</t>
        </is>
      </c>
      <c r="B30" s="7" t="n">
        <v>64.93300000000001</v>
      </c>
      <c r="C30" s="6" t="inlineStr">
        <is>
          <t>Desviación frente al catálogo (%)</t>
        </is>
      </c>
      <c r="D30" s="7" t="n">
        <v>0.02</v>
      </c>
      <c r="E30" s="8" t="n"/>
      <c r="F30" s="8" t="n"/>
    </row>
    <row r="31">
      <c r="A31" s="6" t="inlineStr">
        <is>
          <t>Superficie clasificada MSAVI 2024 (ha)</t>
        </is>
      </c>
      <c r="B31" s="38" t="n">
        <v>64.923</v>
      </c>
      <c r="C31" s="6" t="inlineStr">
        <is>
          <t>Desviación MSAVI frente al catálogo (%)</t>
        </is>
      </c>
      <c r="D31" s="39" t="n">
        <v>0</v>
      </c>
      <c r="E31" s="8" t="n"/>
      <c r="F31" s="8" t="n"/>
    </row>
    <row r="32">
      <c r="A32" s="6" t="inlineStr">
        <is>
          <t>Superficie bajo umbral MSAVI 0.4976 (ha)</t>
        </is>
      </c>
      <c r="B32" s="38" t="n">
        <v>7.961</v>
      </c>
      <c r="C32" s="6" t="inlineStr">
        <is>
          <t>% del bloque bajo umbral (brecha espectral)</t>
        </is>
      </c>
      <c r="D32" s="39" t="n">
        <v>12.26</v>
      </c>
      <c r="E32" s="8" t="n"/>
      <c r="F32" s="8" t="n"/>
    </row>
    <row r="33">
      <c r="A33" s="6" t="inlineStr">
        <is>
          <t>Clase DN dominante (MSAVI 2024)</t>
        </is>
      </c>
      <c r="B33" s="7" t="inlineStr">
        <is>
          <t>DN 4 · 0.4976 - 0.6139 (Vigor moderado)</t>
        </is>
      </c>
      <c r="C33" s="6" t="inlineStr">
        <is>
          <t>N.° de polígonos MSAVI del bloque</t>
        </is>
      </c>
      <c r="D33" s="40" t="n">
        <v>237</v>
      </c>
      <c r="E33" s="8" t="n"/>
      <c r="F33" s="8" t="n"/>
    </row>
    <row r="34"/>
    <row r="35" ht="18" customHeight="1">
      <c r="A35" s="5" t="inlineStr">
        <is>
          <t>4. ECOSISTEMA Y ESTADO DE CONSERVACIÓN</t>
        </is>
      </c>
    </row>
    <row r="36">
      <c r="A36" s="6" t="inlineStr">
        <is>
          <t>Tipo de ecosistema (UP)</t>
        </is>
      </c>
      <c r="B36" s="7" t="inlineStr">
        <is>
          <t>Agroecosistema / Mosaico</t>
        </is>
      </c>
      <c r="C36" s="6" t="inlineStr">
        <is>
          <t>Superficie de ecosistema (ha)</t>
        </is>
      </c>
      <c r="D36" s="7" t="inlineStr">
        <is>
          <t>64.92 ha</t>
        </is>
      </c>
      <c r="E36" s="8" t="n"/>
      <c r="F36" s="8" t="n"/>
    </row>
    <row r="37">
      <c r="A37" s="6" t="inlineStr">
        <is>
          <t>Estado de conservación</t>
        </is>
      </c>
      <c r="B37" s="7" t="inlineStr">
        <is>
          <t>Medianamente alterado</t>
        </is>
      </c>
      <c r="C37" s="6" t="inlineStr">
        <is>
          <t>Uso actual dominante del suelo</t>
        </is>
      </c>
      <c r="D37" s="7" t="inlineStr">
        <is>
          <t>Uso mixto</t>
        </is>
      </c>
      <c r="E37" s="8" t="n"/>
      <c r="F37" s="8" t="n"/>
    </row>
    <row r="38">
      <c r="A38" s="6" t="inlineStr">
        <is>
          <t>Tipo de cobertura dominante</t>
        </is>
      </c>
      <c r="B38" s="7" t="inlineStr">
        <is>
          <t>Mixto / Mosaico</t>
        </is>
      </c>
      <c r="C38" s="6" t="inlineStr">
        <is>
          <t>Cobertura vegetal total — campo (%)</t>
        </is>
      </c>
      <c r="D38" s="7" t="n">
        <v>85</v>
      </c>
      <c r="E38" s="8" t="n"/>
      <c r="F38" s="8" t="n"/>
    </row>
    <row r="39">
      <c r="A39" s="6" t="inlineStr">
        <is>
          <t>Suelo desnudo — campo (%)</t>
        </is>
      </c>
      <c r="B39" s="7" t="n">
        <v>10</v>
      </c>
      <c r="C39" s="6" t="inlineStr">
        <is>
          <t>Regeneración natural</t>
        </is>
      </c>
      <c r="D39" s="7" t="inlineStr">
        <is>
          <t>Regular (10-50 pl./100m²)</t>
        </is>
      </c>
      <c r="E39" s="8" t="n"/>
      <c r="F39" s="8" t="n"/>
    </row>
    <row r="40">
      <c r="A40" s="6" t="inlineStr">
        <is>
          <t>Nivel general de erosión</t>
        </is>
      </c>
      <c r="B40" s="7" t="inlineStr">
        <is>
          <t>Moderada (surcos)</t>
        </is>
      </c>
      <c r="C40" s="6" t="inlineStr">
        <is>
          <t>N.° de cárcavas registradas</t>
        </is>
      </c>
      <c r="D40" s="7" t="n">
        <v>4</v>
      </c>
      <c r="E40" s="8" t="n"/>
      <c r="F40" s="8" t="n"/>
    </row>
    <row r="41">
      <c r="A41" s="6" t="inlineStr">
        <is>
          <t>Elenco florístico (n.° de taxones)</t>
        </is>
      </c>
      <c r="B41" s="7" t="n">
        <v>15</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50" t="inlineStr">
        <is>
          <t>Ing. Héctor Cahuas; brigada: Ing. Albert Flores Mendoza (operador RPAS)</t>
        </is>
      </c>
      <c r="C44" s="6" t="inlineStr">
        <is>
          <t>Fecha de evaluación</t>
        </is>
      </c>
      <c r="D44" s="7" t="inlineStr">
        <is>
          <t>2026-08-11</t>
        </is>
      </c>
      <c r="E44" s="8" t="n"/>
      <c r="F44" s="8" t="n"/>
    </row>
    <row r="45">
      <c r="A45" s="6" t="inlineStr">
        <is>
          <t>Hora de registro</t>
        </is>
      </c>
      <c r="B45" s="7" t="inlineStr">
        <is>
          <t>17:47 - 17:58 h</t>
        </is>
      </c>
      <c r="C45" s="6" t="inlineStr">
        <is>
          <t>Correlativo de ficha</t>
        </is>
      </c>
      <c r="D45" s="7" t="inlineStr">
        <is>
          <t>DT-B41-01</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No aplica – verificación aérea perimetral</t>
        </is>
      </c>
      <c r="E47" s="8" t="n"/>
      <c r="F47" s="8" t="n"/>
    </row>
    <row r="48">
      <c r="A48" s="6" t="inlineStr">
        <is>
          <t>Estaciones fotográficas georreferenciadas</t>
        </is>
      </c>
      <c r="B48" s="7" t="n">
        <v>12</v>
      </c>
      <c r="C48" s="6" t="inlineStr">
        <is>
          <t>Modalidad de acceso</t>
        </is>
      </c>
      <c r="D48" s="7" t="inlineStr">
        <is>
          <t>Vehicular + caminata 30-90 min</t>
        </is>
      </c>
      <c r="E48" s="8" t="n"/>
      <c r="F48" s="8" t="n"/>
    </row>
    <row r="49"/>
    <row r="50" ht="18" customHeight="1">
      <c r="A50" s="5" t="inlineStr">
        <is>
          <t>6. SÍNTESIS PARA LA GESTIÓN DEL RIESGO EN CONTEXTO DE CAMBIO CLIMÁTICO</t>
        </is>
      </c>
    </row>
    <row r="51">
      <c r="A51" s="6" t="inlineStr">
        <is>
          <t>Causa subyacente principal</t>
        </is>
      </c>
      <c r="B51" s="7" t="inlineStr">
        <is>
          <t>Economía agropecuaria familiar de subsistencia con acceso vial reciente, que amplía la frontera de cultivo y de pastoreo</t>
        </is>
      </c>
      <c r="C51" s="6" t="inlineStr">
        <is>
          <t>Velocidad de degradación</t>
        </is>
      </c>
      <c r="D51" s="7" t="inlineStr">
        <is>
          <t>Lenta</t>
        </is>
      </c>
      <c r="E51" s="8" t="n"/>
      <c r="F51" s="8" t="n"/>
    </row>
    <row r="52">
      <c r="A52" s="6" t="inlineStr">
        <is>
          <t>Reversibilidad técnica</t>
        </is>
      </c>
      <c r="B52" s="7" t="inlineStr">
        <is>
          <t>Parcialmente reversible</t>
        </is>
      </c>
      <c r="C52" s="6" t="inlineStr">
        <is>
          <t>Urgencia de intervención</t>
        </is>
      </c>
      <c r="D52" s="7" t="inlineStr">
        <is>
          <t>Media</t>
        </is>
      </c>
      <c r="E52" s="8" t="n"/>
      <c r="F52" s="8" t="n"/>
    </row>
    <row r="53">
      <c r="A53" s="6" t="inlineStr">
        <is>
          <t>Urgencia de control de erosión</t>
        </is>
      </c>
      <c r="B53" s="7" t="inlineStr">
        <is>
          <t>Media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1" t="n"/>
      <c r="C57" s="41" t="n"/>
      <c r="D57" s="41" t="n"/>
      <c r="E57" s="41" t="n"/>
      <c r="F57" s="42" t="n"/>
    </row>
  </sheetData>
  <mergeCells count="13">
    <mergeCell ref="A2:F2"/>
    <mergeCell ref="A43:F43"/>
    <mergeCell ref="A1:F1"/>
    <mergeCell ref="A5:F5"/>
    <mergeCell ref="A27:F27"/>
    <mergeCell ref="A8:F8"/>
    <mergeCell ref="A6:F6"/>
    <mergeCell ref="A50:F50"/>
    <mergeCell ref="A35:F35"/>
    <mergeCell ref="A18:F18"/>
    <mergeCell ref="A3:F3"/>
    <mergeCell ref="A4:F4"/>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0"/>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41</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27.4228</v>
      </c>
      <c r="C10" s="19">
        <f>ROUND(B10/$B$15*100,2)</f>
        <v/>
      </c>
      <c r="D10" s="11" t="inlineStr">
        <is>
          <t>Vigor alto</t>
        </is>
      </c>
      <c r="E10" s="11" t="inlineStr">
        <is>
          <t>Sobre umbral</t>
        </is>
      </c>
    </row>
    <row r="11">
      <c r="A11" s="12" t="inlineStr">
        <is>
          <t>0.4976 - 0.6139 · DN 4</t>
        </is>
      </c>
      <c r="B11" s="32" t="n">
        <v>29.5389</v>
      </c>
      <c r="C11" s="31">
        <f>ROUND(B11/$B$15*100,2)</f>
        <v/>
      </c>
      <c r="D11" s="13" t="inlineStr">
        <is>
          <t>Vigor moderado</t>
        </is>
      </c>
      <c r="E11" s="13" t="inlineStr">
        <is>
          <t>Sobre umbral</t>
        </is>
      </c>
    </row>
    <row r="12">
      <c r="A12" s="7" t="inlineStr">
        <is>
          <t>0.3813 - 0.4976 · DN 3</t>
        </is>
      </c>
      <c r="B12" s="18" t="n">
        <v>7.7184</v>
      </c>
      <c r="C12" s="19">
        <f>ROUND(B12/$B$15*100,2)</f>
        <v/>
      </c>
      <c r="D12" s="11" t="inlineStr">
        <is>
          <t>Vigor bajo</t>
        </is>
      </c>
      <c r="E12" s="11" t="inlineStr">
        <is>
          <t>BAJO umbral 0.4976</t>
        </is>
      </c>
    </row>
    <row r="13">
      <c r="A13" s="14" t="inlineStr">
        <is>
          <t>0.2650 - 0.3813 · DN 2</t>
        </is>
      </c>
      <c r="B13" s="20" t="n">
        <v>0.2425</v>
      </c>
      <c r="C13" s="21">
        <f>ROUND(B13/$B$15*100,2)</f>
        <v/>
      </c>
      <c r="D13" s="15" t="inlineStr">
        <is>
          <t>Vigor muy bajo</t>
        </is>
      </c>
      <c r="E13" s="15" t="inlineStr">
        <is>
          <t>BAJO umbral 0.4976</t>
        </is>
      </c>
    </row>
    <row r="14">
      <c r="A14" s="7" t="inlineStr">
        <is>
          <t>&lt;= 0.2650 · DN 1</t>
        </is>
      </c>
      <c r="B14" s="18" t="n">
        <v>0</v>
      </c>
      <c r="C14" s="19">
        <f>ROUND(B14/$B$15*100,2)</f>
        <v/>
      </c>
      <c r="D14" s="11" t="inlineStr">
        <is>
          <t>Suelo desnudo / no vegetal</t>
        </is>
      </c>
      <c r="E14" s="11" t="inlineStr">
        <is>
          <t>BAJO umbral 0.4976</t>
        </is>
      </c>
    </row>
    <row r="15" ht="30" customHeight="1">
      <c r="A15" s="43" t="inlineStr">
        <is>
          <t>TOTAL CLASIFICADO MSAVI 2024</t>
        </is>
      </c>
      <c r="B15" s="44">
        <f>SUM(B10:B14)</f>
        <v/>
      </c>
      <c r="C15" s="45">
        <f>SUM(C10:C14)</f>
        <v/>
      </c>
      <c r="D15" s="43" t="inlineStr">
        <is>
          <t>Suma de la distribución areal · 237 polígonos</t>
        </is>
      </c>
      <c r="E15" s="43" t="inlineStr">
        <is>
          <t>—</t>
        </is>
      </c>
    </row>
    <row r="16" ht="30" customHeight="1">
      <c r="A16" s="46" t="inlineStr">
        <is>
          <t>Superficie SOBRE umbral 0.4976 (ha)</t>
        </is>
      </c>
      <c r="B16" s="47">
        <f>SUM(B10:B11)</f>
        <v/>
      </c>
      <c r="C16" s="48">
        <f>ROUND(B16/B15*100,2)</f>
        <v/>
      </c>
      <c r="D16" s="46" t="inlineStr">
        <is>
          <t>Vigor alto y moderado (DN 4 y DN 5)</t>
        </is>
      </c>
      <c r="E16" s="46" t="inlineStr">
        <is>
          <t>Sobre umbral 0.4976</t>
        </is>
      </c>
    </row>
    <row r="17" ht="30" customHeight="1">
      <c r="A17" s="46" t="inlineStr">
        <is>
          <t>Superficie BAJO umbral 0.4976 (ha) — brecha</t>
        </is>
      </c>
      <c r="B17" s="47">
        <f>SUM(B12:B14)</f>
        <v/>
      </c>
      <c r="C17" s="48">
        <f>ROUND(B17/B15*100,2)</f>
        <v/>
      </c>
      <c r="D17" s="46" t="inlineStr">
        <is>
          <t>Vigor bajo, muy bajo y suelo desnudo (DN 1 a DN 3)</t>
        </is>
      </c>
      <c r="E17" s="46" t="inlineStr">
        <is>
          <t>Base para el indicador de brecha (R.M. N.° 00213-2024-MINAM)</t>
        </is>
      </c>
    </row>
    <row r="18" ht="30" customHeight="1">
      <c r="A18" s="46" t="inlineStr">
        <is>
          <t>Superficie de catálogo (V5/V6) — contraste MSAVI</t>
        </is>
      </c>
      <c r="B18" s="47" t="n">
        <v>64.92</v>
      </c>
      <c r="C18" s="49" t="inlineStr">
        <is>
          <t>—</t>
        </is>
      </c>
      <c r="D18" s="46" t="inlineStr">
        <is>
          <t>Desviación planimétrica frente al catálogo</t>
        </is>
      </c>
      <c r="E18" s="46" t="inlineStr">
        <is>
          <t>+0.00 %</t>
        </is>
      </c>
    </row>
    <row r="19">
      <c r="A19" s="16" t="inlineStr">
        <is>
          <t>MSAVI 2024 — MEDIA DEL BLOQUE</t>
        </is>
      </c>
      <c r="B19" s="17" t="n">
        <v>0.592669</v>
      </c>
      <c r="C19" s="17" t="inlineStr">
        <is>
          <t>—</t>
        </is>
      </c>
      <c r="D19" s="17" t="inlineStr">
        <is>
          <t>Vigor moderado · clase 0.4976 - 0.6139</t>
        </is>
      </c>
      <c r="E19" s="17" t="inlineStr">
        <is>
          <t>Sobre umbral</t>
        </is>
      </c>
    </row>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237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(0.5927) se conserva del catálogo maestro y es dato oficial; la fila resaltada indica la clase en la que cae dicha media. Los totales y porcentajes se calculan con fórmulas sobre las filas del cuadro.</t>
        </is>
      </c>
      <c r="B21" s="41" t="n"/>
      <c r="C21" s="41" t="n"/>
      <c r="D21" s="41" t="n"/>
      <c r="E21" s="42" t="n"/>
    </row>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63.6485</v>
      </c>
      <c r="C25" s="19" t="n">
        <v>98.02</v>
      </c>
      <c r="D25" s="11" t="inlineStr">
        <is>
          <t>Dosel continuo, matorral denso o mosaico agroforestal</t>
        </is>
      </c>
      <c r="E25" s="11" t="inlineStr"/>
    </row>
    <row r="26">
      <c r="A26" s="14" t="inlineStr">
        <is>
          <t>Vegetación mediana</t>
        </is>
      </c>
      <c r="B26" s="20" t="n">
        <v>1.2847</v>
      </c>
      <c r="C26" s="21" t="n">
        <v>1.98</v>
      </c>
      <c r="D26" s="15" t="inlineStr">
        <is>
          <t>Pastizal cultivado, matorral ralo, parcelas agrícolas</t>
        </is>
      </c>
      <c r="E26" s="15" t="inlineStr"/>
    </row>
    <row r="27">
      <c r="A27" s="16" t="inlineStr">
        <is>
          <t>TOTAL CLASIFICADO</t>
        </is>
      </c>
      <c r="B27" s="22">
        <f>SUM(B25:B26)</f>
        <v/>
      </c>
      <c r="C27" s="23">
        <f>SUM(C25:C26)</f>
        <v/>
      </c>
      <c r="D27" s="17" t="inlineStr"/>
      <c r="E27" s="17" t="inlineStr"/>
    </row>
    <row r="28">
      <c r="A28" s="24" t="inlineStr">
        <is>
          <t>Superficie de catálogo (V5/V6)</t>
        </is>
      </c>
      <c r="B28" s="25" t="n">
        <v>64.92</v>
      </c>
      <c r="C28" s="25" t="inlineStr">
        <is>
          <t>—</t>
        </is>
      </c>
      <c r="D28" s="25" t="inlineStr">
        <is>
          <t>Desviación planimétrica frente al catálogo</t>
        </is>
      </c>
      <c r="E28" s="25" t="inlineStr">
        <is>
          <t>+0.02 %</t>
        </is>
      </c>
    </row>
    <row r="30" ht="108" customHeight="1">
      <c r="A30"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85 % frente a un 98.02 % del polígono clasificado como «Vegetación alta» por el NDVI 2025; la observación de campo corresponde a una parcela o recorrido puntual y no es estadísticamente representativa de las 64.920 ha del bloque.</t>
        </is>
      </c>
      <c r="B30" s="41" t="n"/>
      <c r="C30" s="41" t="n"/>
      <c r="D30" s="41" t="n"/>
      <c r="E30" s="42" t="n"/>
    </row>
  </sheetData>
  <mergeCells count="10">
    <mergeCell ref="A30:E30"/>
    <mergeCell ref="A21:E21"/>
    <mergeCell ref="A4:E4"/>
    <mergeCell ref="A2:E2"/>
    <mergeCell ref="A1:E1"/>
    <mergeCell ref="A23:E23"/>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0"/>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41</t>
        </is>
      </c>
    </row>
    <row r="6" ht="24" customHeight="1">
      <c r="A6" s="4" t="inlineStr">
        <is>
          <t>Levantamiento del 2026-08-11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660525</v>
      </c>
      <c r="D10" s="26" t="n">
        <v>9394327</v>
      </c>
      <c r="E10" s="11" t="n">
        <v>0</v>
      </c>
      <c r="F10" s="11" t="inlineStr"/>
      <c r="G10" s="11" t="inlineStr">
        <is>
          <t>Coordenada consignada en F-DT-01</t>
        </is>
      </c>
    </row>
    <row r="11">
      <c r="A11" s="14" t="inlineStr">
        <is>
          <t>R-41-01</t>
        </is>
      </c>
      <c r="B11" s="15" t="inlineStr">
        <is>
          <t>Rasgo erosivo — Surco (&lt;30 cm)</t>
        </is>
      </c>
      <c r="C11" s="27" t="n">
        <v>660702</v>
      </c>
      <c r="D11" s="27" t="n">
        <v>9393218</v>
      </c>
      <c r="E11" s="15" t="n">
        <v>1123</v>
      </c>
      <c r="F11" s="15" t="inlineStr">
        <is>
          <t>Activa</t>
        </is>
      </c>
      <c r="G11" s="15" t="inlineStr">
        <is>
          <t>Caminos / huellas de ganado</t>
        </is>
      </c>
    </row>
    <row r="12">
      <c r="A12" s="7" t="inlineStr">
        <is>
          <t>R-41-02</t>
        </is>
      </c>
      <c r="B12" s="11" t="inlineStr">
        <is>
          <t>Rasgo erosivo — Surco (&lt;30 cm)</t>
        </is>
      </c>
      <c r="C12" s="26" t="n">
        <v>660677</v>
      </c>
      <c r="D12" s="26" t="n">
        <v>9393198</v>
      </c>
      <c r="E12" s="11" t="n">
        <v>1139.2</v>
      </c>
      <c r="F12" s="11" t="inlineStr">
        <is>
          <t>Activa</t>
        </is>
      </c>
      <c r="G12" s="11" t="inlineStr">
        <is>
          <t>Sobrepastoreo</t>
        </is>
      </c>
    </row>
    <row r="13">
      <c r="A13" s="14" t="inlineStr">
        <is>
          <t>R-41-03</t>
        </is>
      </c>
      <c r="B13" s="15" t="inlineStr">
        <is>
          <t>Rasgo erosivo — Cárcava incipiente (30-50 cm)</t>
        </is>
      </c>
      <c r="C13" s="27" t="n">
        <v>660659</v>
      </c>
      <c r="D13" s="27" t="n">
        <v>9393232</v>
      </c>
      <c r="E13" s="15" t="n">
        <v>1103.2</v>
      </c>
      <c r="F13" s="15" t="inlineStr">
        <is>
          <t>Activa</t>
        </is>
      </c>
      <c r="G13" s="15" t="inlineStr">
        <is>
          <t>Concentración natural de escorrentía</t>
        </is>
      </c>
    </row>
    <row r="14">
      <c r="A14" s="7" t="inlineStr">
        <is>
          <t>R-41-04</t>
        </is>
      </c>
      <c r="B14" s="11" t="inlineStr">
        <is>
          <t>Rasgo erosivo — Surco (&lt;30 cm)</t>
        </is>
      </c>
      <c r="C14" s="26" t="n">
        <v>660828</v>
      </c>
      <c r="D14" s="26" t="n">
        <v>9393207</v>
      </c>
      <c r="E14" s="11" t="n">
        <v>1160.3</v>
      </c>
      <c r="F14" s="11" t="inlineStr">
        <is>
          <t>Activa</t>
        </is>
      </c>
      <c r="G14" s="11" t="inlineStr">
        <is>
          <t>Surcos de labranza en pendiente</t>
        </is>
      </c>
    </row>
    <row r="15">
      <c r="A15" s="14" t="inlineStr">
        <is>
          <t>H-01</t>
        </is>
      </c>
      <c r="B15" s="15" t="inlineStr">
        <is>
          <t>Fuente de agua — Quebrada estacional</t>
        </is>
      </c>
      <c r="C15" s="27" t="n">
        <v>660705</v>
      </c>
      <c r="D15" s="27" t="n">
        <v>9393252</v>
      </c>
      <c r="E15" s="15" t="n">
        <v>1090</v>
      </c>
      <c r="F15" s="15" t="inlineStr">
        <is>
          <t>Estacional</t>
        </is>
      </c>
      <c r="G15" s="15" t="inlineStr">
        <is>
          <t>Quebrada de la red de drenaje</t>
        </is>
      </c>
    </row>
    <row r="16">
      <c r="A16" s="7" t="inlineStr">
        <is>
          <t>H-02</t>
        </is>
      </c>
      <c r="B16" s="11" t="inlineStr">
        <is>
          <t>Fuente de agua — Otro (línea de conducción)</t>
        </is>
      </c>
      <c r="C16" s="26" t="n">
        <v>660702</v>
      </c>
      <c r="D16" s="26" t="n">
        <v>9393218</v>
      </c>
      <c r="E16" s="11" t="n">
        <v>1123</v>
      </c>
      <c r="F16" s="11" t="inlineStr">
        <is>
          <t>Permanente</t>
        </is>
      </c>
      <c r="G16" s="11" t="inlineStr">
        <is>
          <t>Línea de conducción</t>
        </is>
      </c>
    </row>
    <row r="17">
      <c r="A17" s="14" t="inlineStr">
        <is>
          <t>H-03</t>
        </is>
      </c>
      <c r="B17" s="15" t="inlineStr">
        <is>
          <t>Fuente de agua — Otro (caja de reunión)</t>
        </is>
      </c>
      <c r="C17" s="27" t="n">
        <v>660677</v>
      </c>
      <c r="D17" s="27" t="n">
        <v>9393198</v>
      </c>
      <c r="E17" s="15" t="n">
        <v>1139.2</v>
      </c>
      <c r="F17" s="15" t="inlineStr">
        <is>
          <t>Permanente</t>
        </is>
      </c>
      <c r="G17" s="15" t="inlineStr">
        <is>
          <t>Segunda caja de reunión</t>
        </is>
      </c>
    </row>
    <row r="18">
      <c r="A18" s="7" t="inlineStr">
        <is>
          <t>B-01</t>
        </is>
      </c>
      <c r="B18" s="11" t="inlineStr">
        <is>
          <t>Especie clave — Guadua angustifolia (bambú)</t>
        </is>
      </c>
      <c r="C18" s="26" t="n">
        <v>660705</v>
      </c>
      <c r="D18" s="26" t="n">
        <v>9393252</v>
      </c>
      <c r="E18" s="11" t="n">
        <v>1090</v>
      </c>
      <c r="F18" s="11" t="inlineStr">
        <is>
          <t>Indicadora de buen estado</t>
        </is>
      </c>
      <c r="G18" s="11" t="inlineStr">
        <is>
          <t>No aplica</t>
        </is>
      </c>
    </row>
    <row r="19">
      <c r="A19" s="14" t="inlineStr">
        <is>
          <t>B-02</t>
        </is>
      </c>
      <c r="B19" s="15" t="inlineStr">
        <is>
          <t>Especie clave — Neoraimondia / Armatocereus sp.</t>
        </is>
      </c>
      <c r="C19" s="27" t="n">
        <v>660702</v>
      </c>
      <c r="D19" s="27" t="n">
        <v>9393218</v>
      </c>
      <c r="E19" s="15" t="n">
        <v>1123</v>
      </c>
      <c r="F19" s="15" t="inlineStr">
        <is>
          <t>Amenazada D.S. 043</t>
        </is>
      </c>
      <c r="G19" s="15" t="inlineStr">
        <is>
          <t>DD — Datos Insuficientes</t>
        </is>
      </c>
    </row>
    <row r="20">
      <c r="A20" s="7" t="inlineStr">
        <is>
          <t>B-03</t>
        </is>
      </c>
      <c r="B20" s="11" t="inlineStr">
        <is>
          <t>Especie clave — Ficus sp. (higuerón)</t>
        </is>
      </c>
      <c r="C20" s="26" t="n">
        <v>660804</v>
      </c>
      <c r="D20" s="26" t="n">
        <v>9393011</v>
      </c>
      <c r="E20" s="11" t="n">
        <v>1345.2</v>
      </c>
      <c r="F20" s="11" t="inlineStr">
        <is>
          <t>Indicadora de buen estado</t>
        </is>
      </c>
      <c r="G20" s="11" t="inlineStr">
        <is>
          <t>No aplica</t>
        </is>
      </c>
    </row>
    <row r="21">
      <c r="A21" s="14" t="inlineStr">
        <is>
          <t>B-04</t>
        </is>
      </c>
      <c r="B21" s="15" t="inlineStr">
        <is>
          <t>Especie clave — Tillandsia sp. (bromeliácea)</t>
        </is>
      </c>
      <c r="C21" s="27" t="n">
        <v>660737</v>
      </c>
      <c r="D21" s="27" t="n">
        <v>9393181</v>
      </c>
      <c r="E21" s="15" t="n">
        <v>1165.4</v>
      </c>
      <c r="F21" s="15" t="inlineStr">
        <is>
          <t>Indicadora de buen estado</t>
        </is>
      </c>
      <c r="G21" s="15" t="inlineStr">
        <is>
          <t>No aplica</t>
        </is>
      </c>
    </row>
    <row r="22">
      <c r="A22" s="7" t="inlineStr">
        <is>
          <t>B-05</t>
        </is>
      </c>
      <c r="B22" s="11" t="inlineStr">
        <is>
          <t>Especie clave — Ricinus communis (higuerilla)</t>
        </is>
      </c>
      <c r="C22" s="26" t="n">
        <v>660793</v>
      </c>
      <c r="D22" s="26" t="n">
        <v>9393019</v>
      </c>
      <c r="E22" s="11" t="n">
        <v>1335.2</v>
      </c>
      <c r="F22" s="11" t="inlineStr">
        <is>
          <t>Indicadora de perturbación</t>
        </is>
      </c>
      <c r="G22" s="11" t="inlineStr">
        <is>
          <t>No aplica</t>
        </is>
      </c>
    </row>
    <row r="23">
      <c r="A23" s="14" t="inlineStr">
        <is>
          <t>B-06</t>
        </is>
      </c>
      <c r="B23" s="15" t="inlineStr">
        <is>
          <t>Especie clave — Baccharis latifolia (chilca)</t>
        </is>
      </c>
      <c r="C23" s="27" t="n">
        <v>660677</v>
      </c>
      <c r="D23" s="27" t="n">
        <v>9393198</v>
      </c>
      <c r="E23" s="15" t="n">
        <v>1139.2</v>
      </c>
      <c r="F23" s="15" t="inlineStr">
        <is>
          <t>Indicadora de perturbación</t>
        </is>
      </c>
      <c r="G23" s="15" t="inlineStr">
        <is>
          <t>No aplica</t>
        </is>
      </c>
    </row>
    <row r="24">
      <c r="A24" s="7" t="inlineStr">
        <is>
          <t>B-07</t>
        </is>
      </c>
      <c r="B24" s="11" t="inlineStr">
        <is>
          <t>Especie clave — Eucalyptus globulus / Grevillea</t>
        </is>
      </c>
      <c r="C24" s="26" t="n">
        <v>660845</v>
      </c>
      <c r="D24" s="26" t="n">
        <v>9393030</v>
      </c>
      <c r="E24" s="11" t="n">
        <v>1335.9</v>
      </c>
      <c r="F24" s="11" t="inlineStr">
        <is>
          <t>Indicadora de perturbación</t>
        </is>
      </c>
      <c r="G24" s="11" t="inlineStr">
        <is>
          <t>No aplica</t>
        </is>
      </c>
    </row>
    <row r="25">
      <c r="A25" s="16" t="inlineStr">
        <is>
          <t>TOTAL: 15 puntos</t>
        </is>
      </c>
      <c r="B25" s="17" t="inlineStr"/>
      <c r="C25" s="17" t="inlineStr"/>
      <c r="D25" s="17" t="inlineStr"/>
      <c r="E25" s="17" t="inlineStr"/>
      <c r="F25" s="17" t="inlineStr"/>
      <c r="G25" s="17" t="inlineStr"/>
    </row>
    <row r="27">
      <c r="A27" s="6" t="inlineStr">
        <is>
          <t>Centroide del bloque — UTM ESTE (m)</t>
        </is>
      </c>
      <c r="B27" s="7" t="n">
        <v>660525</v>
      </c>
      <c r="C27" s="6" t="inlineStr">
        <is>
          <t>Centroide del bloque — UTM NORTE (m)</t>
        </is>
      </c>
      <c r="D27" s="7" t="n">
        <v>9394327</v>
      </c>
      <c r="E27" s="8" t="n"/>
      <c r="F27" s="8" t="n"/>
      <c r="G27" s="8" t="n"/>
      <c r="H27" s="8" t="n"/>
    </row>
    <row r="28">
      <c r="A28" s="6" t="inlineStr">
        <is>
          <t>N.° de estaciones fotográficas declaradas</t>
        </is>
      </c>
      <c r="B28" s="7" t="n">
        <v>12</v>
      </c>
      <c r="C28" s="6" t="inlineStr">
        <is>
          <t>Estaciones dentro del polígono</t>
        </is>
      </c>
      <c r="D28" s="7" t="n">
        <v>0</v>
      </c>
      <c r="E28" s="8" t="n"/>
      <c r="F28" s="8" t="n"/>
      <c r="G28" s="8" t="n"/>
      <c r="H28" s="8" t="n"/>
    </row>
    <row r="30" ht="120" customHeight="1">
      <c r="A30"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VERIFICACIÓN PERIMETRAL. Las 10 estaciones RPAS y las 2 tomas terrestres se sitúan entre 337 y 597 m al SSE del límite sur del polígono, a una cota de 1327 msnm — 209 m POR DEBAJO de la cota mínima del bloque (1536 msnm). El interior del Bloque 41 NO fue sobrevolado ni recorrido. Los parámetros fisiográficos proceden de estadística zonal sobre MDE; los indicios de inestabilidad corresponden al corredor de aproximación y se transfieren al bloque POR ANALOGÍA DE VERTIENTE, con carácter referencial.</t>
        </is>
      </c>
      <c r="B30" s="41" t="n"/>
      <c r="C30" s="41" t="n"/>
      <c r="D30" s="41" t="n"/>
      <c r="E30" s="41" t="n"/>
      <c r="F30" s="41" t="n"/>
      <c r="G30" s="42" t="n"/>
    </row>
  </sheetData>
  <mergeCells count="8">
    <mergeCell ref="A1:G1"/>
    <mergeCell ref="A8:G8"/>
    <mergeCell ref="A3:G3"/>
    <mergeCell ref="A6:G6"/>
    <mergeCell ref="A4:G4"/>
    <mergeCell ref="A30:G30"/>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6"/>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C1076-Q9592 — BLOQUE 41</t>
        </is>
      </c>
    </row>
    <row r="6" ht="24" customHeight="1">
      <c r="A6" s="4" t="inlineStr">
        <is>
          <t>Distrito de Huarmaca · Provincia de Huancabamba · Comparación de los bloques preliminares de intervención de la misma microcuenca</t>
        </is>
      </c>
    </row>
    <row r="8" ht="18" customHeight="1">
      <c r="A8" s="5" t="inlineStr">
        <is>
          <t>BLOQUES DE LA MICROCUENCA C1076-Q9592</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18</t>
        </is>
      </c>
      <c r="B10" s="28" t="n">
        <v>103.62</v>
      </c>
      <c r="C10" s="19" t="n">
        <v>21.54</v>
      </c>
      <c r="D10" s="11" t="inlineStr">
        <is>
          <t>1218 – 1904</t>
        </is>
      </c>
      <c r="E10" s="11" t="n">
        <v>686</v>
      </c>
      <c r="F10" s="11" t="n">
        <v>28.7</v>
      </c>
      <c r="G10" s="18" t="n">
        <v>0.6402</v>
      </c>
      <c r="H10" s="19" t="n">
        <v>96.64</v>
      </c>
      <c r="I10" s="19" t="n">
        <v>3</v>
      </c>
    </row>
    <row r="11">
      <c r="A11" s="14" t="inlineStr">
        <is>
          <t>19</t>
        </is>
      </c>
      <c r="B11" s="29" t="n">
        <v>82.09</v>
      </c>
      <c r="C11" s="21" t="n">
        <v>17.06</v>
      </c>
      <c r="D11" s="15" t="inlineStr">
        <is>
          <t>2064 – 2503</t>
        </is>
      </c>
      <c r="E11" s="15" t="n">
        <v>439</v>
      </c>
      <c r="F11" s="15" t="n">
        <v>31.01</v>
      </c>
      <c r="G11" s="20" t="n">
        <v>0.5372</v>
      </c>
      <c r="H11" s="21" t="n">
        <v>60.33</v>
      </c>
      <c r="I11" s="21" t="n">
        <v>42.63</v>
      </c>
    </row>
    <row r="12">
      <c r="A12" s="12" t="inlineStr">
        <is>
          <t>► 41</t>
        </is>
      </c>
      <c r="B12" s="30" t="n">
        <v>64.92</v>
      </c>
      <c r="C12" s="31" t="n">
        <v>13.49</v>
      </c>
      <c r="D12" s="13" t="inlineStr">
        <is>
          <t>1536 – 1818</t>
        </is>
      </c>
      <c r="E12" s="13" t="n">
        <v>282</v>
      </c>
      <c r="F12" s="13" t="n">
        <v>25.53</v>
      </c>
      <c r="G12" s="32" t="n">
        <v>0.5927</v>
      </c>
      <c r="H12" s="31" t="n">
        <v>98.02</v>
      </c>
      <c r="I12" s="31" t="n">
        <v>12.26</v>
      </c>
    </row>
    <row r="13">
      <c r="A13" s="14" t="inlineStr">
        <is>
          <t>73</t>
        </is>
      </c>
      <c r="B13" s="29" t="n">
        <v>54.29</v>
      </c>
      <c r="C13" s="21" t="n">
        <v>11.28</v>
      </c>
      <c r="D13" s="15" t="inlineStr">
        <is>
          <t>1845 – 2305</t>
        </is>
      </c>
      <c r="E13" s="15" t="n">
        <v>460</v>
      </c>
      <c r="F13" s="15" t="n">
        <v>36.34</v>
      </c>
      <c r="G13" s="20" t="n">
        <v>0.555</v>
      </c>
      <c r="H13" s="21" t="n">
        <v>88.8</v>
      </c>
      <c r="I13" s="21" t="n">
        <v>18.94</v>
      </c>
    </row>
    <row r="14">
      <c r="A14" s="7" t="inlineStr">
        <is>
          <t>31</t>
        </is>
      </c>
      <c r="B14" s="28" t="n">
        <v>47.58</v>
      </c>
      <c r="C14" s="19" t="n">
        <v>9.890000000000001</v>
      </c>
      <c r="D14" s="11" t="inlineStr">
        <is>
          <t>1741 – 2234</t>
        </is>
      </c>
      <c r="E14" s="11" t="n">
        <v>493</v>
      </c>
      <c r="F14" s="11" t="n">
        <v>27.08</v>
      </c>
      <c r="G14" s="18" t="n">
        <v>0.4358</v>
      </c>
      <c r="H14" s="19" t="n">
        <v>18.56</v>
      </c>
      <c r="I14" s="19" t="n">
        <v>78.42</v>
      </c>
    </row>
    <row r="15">
      <c r="A15" s="14" t="inlineStr">
        <is>
          <t>29</t>
        </is>
      </c>
      <c r="B15" s="29" t="n">
        <v>40.1</v>
      </c>
      <c r="C15" s="21" t="n">
        <v>8.33</v>
      </c>
      <c r="D15" s="15" t="inlineStr">
        <is>
          <t>2142 – 2391</t>
        </is>
      </c>
      <c r="E15" s="15" t="n">
        <v>249</v>
      </c>
      <c r="F15" s="15" t="n">
        <v>31.54</v>
      </c>
      <c r="G15" s="20" t="n">
        <v>0.5482</v>
      </c>
      <c r="H15" s="21" t="inlineStr">
        <is>
          <t>Por determinar</t>
        </is>
      </c>
      <c r="I15" s="15" t="inlineStr">
        <is>
          <t>s/d</t>
        </is>
      </c>
    </row>
    <row r="16">
      <c r="A16" s="7" t="inlineStr">
        <is>
          <t>70</t>
        </is>
      </c>
      <c r="B16" s="28" t="n">
        <v>22.39</v>
      </c>
      <c r="C16" s="19" t="n">
        <v>4.65</v>
      </c>
      <c r="D16" s="11" t="inlineStr">
        <is>
          <t>2326 – 2536</t>
        </is>
      </c>
      <c r="E16" s="11" t="n">
        <v>210</v>
      </c>
      <c r="F16" s="11" t="n">
        <v>23.2</v>
      </c>
      <c r="G16" s="18" t="n">
        <v>0.6223</v>
      </c>
      <c r="H16" s="19" t="n">
        <v>98.39</v>
      </c>
      <c r="I16" s="19" t="n">
        <v>4.87</v>
      </c>
    </row>
    <row r="17">
      <c r="A17" s="14" t="inlineStr">
        <is>
          <t>68</t>
        </is>
      </c>
      <c r="B17" s="29" t="n">
        <v>21.29</v>
      </c>
      <c r="C17" s="21" t="n">
        <v>4.42</v>
      </c>
      <c r="D17" s="15" t="inlineStr">
        <is>
          <t>2086 – 2374</t>
        </is>
      </c>
      <c r="E17" s="15" t="n">
        <v>288</v>
      </c>
      <c r="F17" s="15" t="n">
        <v>36.81</v>
      </c>
      <c r="G17" s="20" t="n">
        <v>0.483</v>
      </c>
      <c r="H17" s="21" t="inlineStr">
        <is>
          <t>Por determinar</t>
        </is>
      </c>
      <c r="I17" s="15" t="inlineStr">
        <is>
          <t>s/d</t>
        </is>
      </c>
    </row>
    <row r="18">
      <c r="A18" s="7" t="inlineStr">
        <is>
          <t>69</t>
        </is>
      </c>
      <c r="B18" s="28" t="n">
        <v>19.43</v>
      </c>
      <c r="C18" s="19" t="n">
        <v>4.04</v>
      </c>
      <c r="D18" s="11" t="inlineStr">
        <is>
          <t>1931 – 2205</t>
        </is>
      </c>
      <c r="E18" s="11" t="n">
        <v>274</v>
      </c>
      <c r="F18" s="11" t="n">
        <v>27.95</v>
      </c>
      <c r="G18" s="18" t="n">
        <v>0.4489</v>
      </c>
      <c r="H18" s="19" t="n">
        <v>22.92</v>
      </c>
      <c r="I18" s="19" t="n">
        <v>81.28</v>
      </c>
    </row>
    <row r="19">
      <c r="A19" s="14" t="inlineStr">
        <is>
          <t>53</t>
        </is>
      </c>
      <c r="B19" s="29" t="n">
        <v>13.06</v>
      </c>
      <c r="C19" s="21" t="n">
        <v>2.71</v>
      </c>
      <c r="D19" s="15" t="inlineStr">
        <is>
          <t>2235 – 2540</t>
        </is>
      </c>
      <c r="E19" s="15" t="n">
        <v>305</v>
      </c>
      <c r="F19" s="15" t="n">
        <v>26.89</v>
      </c>
      <c r="G19" s="20" t="n">
        <v>0.5963000000000001</v>
      </c>
      <c r="H19" s="21" t="n">
        <v>86.15000000000001</v>
      </c>
      <c r="I19" s="21" t="n">
        <v>12.45</v>
      </c>
    </row>
    <row r="20">
      <c r="A20" s="7" t="inlineStr">
        <is>
          <t>72</t>
        </is>
      </c>
      <c r="B20" s="28" t="n">
        <v>12.4</v>
      </c>
      <c r="C20" s="19" t="n">
        <v>2.58</v>
      </c>
      <c r="D20" s="11" t="inlineStr">
        <is>
          <t>1538 – 1742</t>
        </is>
      </c>
      <c r="E20" s="11" t="n">
        <v>204</v>
      </c>
      <c r="F20" s="11" t="n">
        <v>28.25</v>
      </c>
      <c r="G20" s="18" t="n">
        <v>0.5185</v>
      </c>
      <c r="H20" s="19" t="n">
        <v>92.44</v>
      </c>
      <c r="I20" s="19" t="n">
        <v>41.35</v>
      </c>
    </row>
    <row r="21">
      <c r="A21" s="16" t="inlineStr">
        <is>
          <t>TOTAL / PROMEDIO</t>
        </is>
      </c>
      <c r="B21" s="33">
        <f>SUM(B10:B20)</f>
        <v/>
      </c>
      <c r="C21" s="23">
        <f>SUM(C10:C20)</f>
        <v/>
      </c>
      <c r="D21" s="17" t="inlineStr">
        <is>
          <t>1218 – 2540</t>
        </is>
      </c>
      <c r="E21" s="17" t="inlineStr"/>
      <c r="F21" s="17">
        <f>ROUND(AVERAGE(F10:F20),2)</f>
        <v/>
      </c>
      <c r="G21" s="22">
        <f>ROUND(AVERAGE(G10:G20),4)</f>
        <v/>
      </c>
      <c r="H21" s="23">
        <f>ROUND(AVERAGE(H10:H20),2)</f>
        <v/>
      </c>
      <c r="I21" s="23">
        <f>ROUND(AVERAGE(I10:I20),2)</f>
        <v/>
      </c>
    </row>
    <row r="22" ht="48" customHeight="1">
      <c r="A22" s="9" t="inlineStr">
        <is>
          <t>ALCANCE DE LOS PROMEDIOS. La fila TOTAL / PROMEDIO omite las celdas «Por determinar»: el promedio de VEGETACIÓN ALTA (NDVI 2025) se calcula sobre 9 de los 11 bloques; los 2 bloques restantes carecen de estadística zonal de NDVI. Los totales de ÁREA y % de microcuenca sí comprenden la totalidad de los 11 bloques. No se estima ningún valor ausente.</t>
        </is>
      </c>
      <c r="B22" s="41" t="n"/>
      <c r="C22" s="41" t="n"/>
      <c r="D22" s="41" t="n"/>
      <c r="E22" s="41" t="n"/>
      <c r="F22" s="41" t="n"/>
      <c r="G22" s="41" t="n"/>
      <c r="H22" s="41" t="n"/>
      <c r="I22" s="42" t="n"/>
    </row>
    <row r="24" ht="84" customHeight="1">
      <c r="A24" s="9" t="inlineStr">
        <is>
          <t>LECTURA INTRAMICROCUENCA. El bloque 41 ocupa el puesto 3 de 11 por superficie dentro de la microcuenca C1076-Q9592 (13.49 % de las 481.17 ha preliminares de la microcuenca). Su pendiente promedio (25.53 %, clase «25-50% (Mod. escarpado)») es la 2.ª más baja de 11 y se sitúa por debajo del promedio de la microcuenca (29.39 %). Su MSAVI 2024 (0.5927) es el 4.º de 11 y queda por encima del promedio local (0.5435). Amplitud altitudinal del bloque: 282 m (1536–1818 msnm). El cuadro conserva todos los bloques catalogados en la microcuenca, incluidos los descartados en el tamizaje, para referencia del conjunto. Los bloques sin ficha DT figuran con sus parámetros de gabinete. BRECHA ESPECTRAL. El 12.26 % de la superficie del bloque (7.961 ha de 64.923 ha) se sitúa bajo el umbral MSAVI 0.4976, por debajo del promedio local de la microcuenca (32.80 %) calculado sobre los bloques con dato MSAVI disponible.</t>
        </is>
      </c>
      <c r="B24" s="41" t="n"/>
      <c r="C24" s="41" t="n"/>
      <c r="D24" s="41" t="n"/>
      <c r="E24" s="41" t="n"/>
      <c r="F24" s="41" t="n"/>
      <c r="G24" s="41" t="n"/>
      <c r="H24" s="41" t="n"/>
      <c r="I24" s="42" t="n"/>
    </row>
    <row r="26" ht="60" customHeight="1">
      <c r="A26"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6" s="41" t="n"/>
      <c r="C26" s="41" t="n"/>
      <c r="D26" s="41" t="n"/>
      <c r="E26" s="41" t="n"/>
      <c r="F26" s="41" t="n"/>
      <c r="G26" s="41" t="n"/>
      <c r="H26" s="41" t="n"/>
      <c r="I26" s="42" t="n"/>
    </row>
  </sheetData>
  <mergeCells count="10">
    <mergeCell ref="A2:I2"/>
    <mergeCell ref="A5:I5"/>
    <mergeCell ref="A1:I1"/>
    <mergeCell ref="A8:I8"/>
    <mergeCell ref="A3:I3"/>
    <mergeCell ref="A6:I6"/>
    <mergeCell ref="A22:I22"/>
    <mergeCell ref="A4:I4"/>
    <mergeCell ref="A26:I26"/>
    <mergeCell ref="A24:I2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6"/>
  <sheetViews>
    <sheetView workbookViewId="0">
      <pane ySplit="8" topLeftCell="A9" activePane="bottomLeft" state="frozen"/>
      <selection pane="bottomLeft" activeCell="A1" sqref="A1"/>
    </sheetView>
  </sheetViews>
  <sheetFormatPr baseColWidth="8" defaultRowHeight="15"/>
  <cols>
    <col width="8" customWidth="1" min="1" max="1"/>
    <col width="30" customWidth="1" min="2" max="2"/>
    <col width="62" customWidth="1" min="3" max="3"/>
    <col width="16" customWidth="1" min="4" max="4"/>
    <col width="62" customWidth="1" min="5" max="5"/>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CONTROL DE CONSISTENCIA — BLOQUE 41</t>
        </is>
      </c>
    </row>
    <row r="6">
      <c r="A6" s="52" t="inlineStr">
        <is>
          <t>Cruce de la ficha de campo F-DT vigente con la ficha de resumen de gabinete y el catálogo maestro. Integración 2026-09-11 21:26:26.</t>
        </is>
      </c>
    </row>
    <row r="7">
      <c r="A7" s="54" t="inlineStr">
        <is>
          <t>DISCREPANCIAS Y VERIFICACIONES</t>
        </is>
      </c>
    </row>
    <row r="8">
      <c r="A8" s="55" t="inlineStr">
        <is>
          <t>Cod.</t>
        </is>
      </c>
      <c r="B8" s="55" t="inlineStr">
        <is>
          <t>Campo afectado</t>
        </is>
      </c>
      <c r="C8" s="55" t="inlineStr">
        <is>
          <t>Discrepancia observada</t>
        </is>
      </c>
      <c r="D8" s="55" t="inlineStr">
        <is>
          <t>Calificación</t>
        </is>
      </c>
      <c r="E8" s="55" t="inlineStr">
        <is>
          <t>Tratamiento adoptado</t>
        </is>
      </c>
    </row>
    <row r="9">
      <c r="A9" s="56" t="inlineStr">
        <is>
          <t>G-01</t>
        </is>
      </c>
      <c r="B9" s="56" t="inlineStr">
        <is>
          <t>Código de microcuenca</t>
        </is>
      </c>
      <c r="C9" s="56" t="inlineStr">
        <is>
          <t>Ficha DT y catálogo maestro coinciden en «C1076-Q9592».</t>
        </is>
      </c>
      <c r="D9" s="56" t="inlineStr">
        <is>
          <t>CONFORME</t>
        </is>
      </c>
      <c r="E9" s="56" t="inlineStr">
        <is>
          <t>Sin acción.</t>
        </is>
      </c>
    </row>
    <row r="10">
      <c r="A10" s="57" t="inlineStr">
        <is>
          <t>G-02</t>
        </is>
      </c>
      <c r="B10" s="57" t="inlineStr">
        <is>
          <t>UTM del punto de muestreo</t>
        </is>
      </c>
      <c r="C10" s="57" t="inlineStr">
        <is>
          <t>El punto de muestreo declarado dista 0.0 m del centroide, dentro del radio de control.</t>
        </is>
      </c>
      <c r="D10" s="57" t="inlineStr">
        <is>
          <t>CONFORME</t>
        </is>
      </c>
      <c r="E10" s="57" t="inlineStr">
        <is>
          <t>Sin acción.</t>
        </is>
      </c>
    </row>
    <row r="11">
      <c r="A11" s="56" t="inlineStr">
        <is>
          <t>G-03</t>
        </is>
      </c>
      <c r="B11" s="56" t="inlineStr">
        <is>
          <t>Sistema de referencia UTM 17S</t>
        </is>
      </c>
      <c r="C11" s="56" t="inlineStr">
        <is>
          <t>Verificación de rango para EPSG:32717: Conforme.</t>
        </is>
      </c>
      <c r="D11" s="56" t="inlineStr">
        <is>
          <t>CONFORME</t>
        </is>
      </c>
      <c r="E11" s="56" t="inlineStr">
        <is>
          <t>Sin acción.</t>
        </is>
      </c>
    </row>
    <row r="12">
      <c r="A12" s="57" t="inlineStr">
        <is>
          <t>G-04</t>
        </is>
      </c>
      <c r="B12" s="57" t="inlineStr">
        <is>
          <t>Altitud del punto de muestreo</t>
        </is>
      </c>
      <c r="C12" s="57" t="inlineStr">
        <is>
          <t>La altitud GPS (1677 msnm) cae dentro del rango altitudinal del bloque (1536 - 1818 msnm).</t>
        </is>
      </c>
      <c r="D12" s="57" t="inlineStr">
        <is>
          <t>CONFORME</t>
        </is>
      </c>
      <c r="E12" s="57" t="inlineStr">
        <is>
          <t>Sin acción.</t>
        </is>
      </c>
    </row>
    <row r="13">
      <c r="A13" s="56" t="inlineStr">
        <is>
          <t>G-05</t>
        </is>
      </c>
      <c r="B13" s="56" t="inlineStr">
        <is>
          <t>Superficie NDVI vs. catálogo</t>
        </is>
      </c>
      <c r="C13" s="56" t="inlineStr">
        <is>
          <t>La superficie clasificada por el NDVI mediana 2025 (64.933 ha) se desvía 0.02 % de la superficie de catálogo (64.92 ha).</t>
        </is>
      </c>
      <c r="D13" s="56" t="inlineStr">
        <is>
          <t>CONFORME</t>
        </is>
      </c>
      <c r="E13" s="56" t="inlineStr">
        <is>
          <t>Sin acción: la segmentación valida la geometría del bloque.</t>
        </is>
      </c>
    </row>
    <row r="14">
      <c r="A14" s="57" t="inlineStr">
        <is>
          <t>G-06</t>
        </is>
      </c>
      <c r="B14" s="57" t="inlineStr">
        <is>
          <t>Superficie MSAVI vs. catálogo</t>
        </is>
      </c>
      <c r="C14" s="57" t="inlineStr">
        <is>
          <t>La superficie clasificada por el MSAVI 2024 (64.923 ha) se desvía 0.00 % de la superficie de catálogo (64.92 ha).</t>
        </is>
      </c>
      <c r="D14" s="57" t="inlineStr">
        <is>
          <t>CONFORME</t>
        </is>
      </c>
      <c r="E14" s="57" t="inlineStr">
        <is>
          <t>Sin acción: la segmentación valida la geometría del bloque.</t>
        </is>
      </c>
    </row>
    <row r="15">
      <c r="A15" s="56" t="inlineStr">
        <is>
          <t>G-07</t>
        </is>
      </c>
      <c r="B15" s="56" t="inlineStr">
        <is>
          <t>Brecha espectral MSAVI</t>
        </is>
      </c>
      <c r="C15" s="56" t="inlineStr">
        <is>
          <t>El 12.26 % del bloque queda bajo el umbral 0.4976; superficie de brecha 7.9609 ha.</t>
        </is>
      </c>
      <c r="D15" s="56" t="inlineStr">
        <is>
          <t>CONFORME</t>
        </is>
      </c>
      <c r="E15" s="56" t="inlineStr">
        <is>
          <t>Sin acción: alimenta el indicador de brecha del proyecto.</t>
        </is>
      </c>
    </row>
    <row r="16">
      <c r="A16" s="57" t="inlineStr">
        <is>
          <t>G-08</t>
        </is>
      </c>
      <c r="B16" s="57" t="inlineStr">
        <is>
          <t>Distribución areal MSAVI 2024</t>
        </is>
      </c>
      <c r="C16" s="57" t="inlineStr">
        <is>
          <t>La hoja de cobertura declara 5 clases DN con superficie, 64.92 ha clasificadas en total.</t>
        </is>
      </c>
      <c r="D16" s="57" t="inlineStr">
        <is>
          <t>CONFORME</t>
        </is>
      </c>
      <c r="E16" s="57" t="inlineStr">
        <is>
          <t>Sin acción: procede de la estadística zonal del raster MSAVI 2024 clasificado.</t>
        </is>
      </c>
    </row>
    <row r="17">
      <c r="A17" s="56" t="inlineStr">
        <is>
          <t>G-09</t>
        </is>
      </c>
      <c r="B17" s="56" t="inlineStr">
        <is>
          <t>Media MSAVI vs. clase DN dominante</t>
        </is>
      </c>
      <c r="C17" s="56" t="inlineStr">
        <is>
          <t>La media del bloque (0.5927) cae en la clase «0.4976 - 0.6139 (Vigor moderado)» y la clase DN dominante por superficie es «DN 4 · 0.4976 - 0.6139 (Vigor moderado)».</t>
        </is>
      </c>
      <c r="D17" s="56" t="inlineStr">
        <is>
          <t>CONFORME</t>
        </is>
      </c>
      <c r="E17" s="56" t="inlineStr">
        <is>
          <t>Sin acción: media y clase dominante son coherentes.</t>
        </is>
      </c>
    </row>
    <row r="18">
      <c r="A18" s="57" t="inlineStr">
        <is>
          <t>G-10</t>
        </is>
      </c>
      <c r="B18" s="57" t="inlineStr">
        <is>
          <t>Peligro integrado (MCA-AHP)</t>
        </is>
      </c>
      <c r="C18" s="57" t="inlineStr">
        <is>
          <t>El nivel de peligro integrado no está disponible en los insumos de este entregable.</t>
        </is>
      </c>
      <c r="D18" s="57" t="inlineStr">
        <is>
          <t>SUSTANTIVA</t>
        </is>
      </c>
      <c r="E18" s="57" t="inlineStr">
        <is>
          <t>Debe tomarse del modelamiento de mesolocalización (MCA-AHP de PMM, EPH y PGI) antes de cerrar el perfil.</t>
        </is>
      </c>
    </row>
    <row r="19">
      <c r="A19" s="56" t="inlineStr">
        <is>
          <t>F-01</t>
        </is>
      </c>
      <c r="B19" s="56" t="inlineStr">
        <is>
          <t>Fichas F-DT levantadas</t>
        </is>
      </c>
      <c r="C19" s="56" t="inlineStr">
        <is>
          <t>La plantilla de campo trae las cinco fichas F-DT-01 a F-DT-05 (completitud 92.9 % de los campos esperados).</t>
        </is>
      </c>
      <c r="D19" s="56" t="inlineStr">
        <is>
          <t>CONFORME</t>
        </is>
      </c>
      <c r="E19" s="56" t="inlineStr">
        <is>
          <t>Sin acción.</t>
        </is>
      </c>
    </row>
    <row r="20">
      <c r="A20" s="57" t="inlineStr">
        <is>
          <t>F-02</t>
        </is>
      </c>
      <c r="B20" s="57" t="inlineStr">
        <is>
          <t>Cobertura de la integración</t>
        </is>
      </c>
      <c r="C20" s="57" t="inlineStr">
        <is>
          <t>Se declararon 100 de 114 hechos integrados (87.7 %); 14 quedan sin dato en ninguna fuente.</t>
        </is>
      </c>
      <c r="D20" s="57" t="inlineStr">
        <is>
          <t>CONFORME</t>
        </is>
      </c>
      <c r="E20" s="57" t="inlineStr">
        <is>
          <t>Sin acción.</t>
        </is>
      </c>
    </row>
    <row r="21">
      <c r="A21" s="56" t="inlineStr">
        <is>
          <t>H-01</t>
        </is>
      </c>
      <c r="B21" s="56" t="inlineStr">
        <is>
          <t>Representatividad del levantamiento</t>
        </is>
      </c>
      <c r="C21" s="56" t="inlineStr">
        <is>
          <t>Ninguna de las estaciones fotográficas georreferenciadas se localiza dentro del polígono del bloque</t>
        </is>
      </c>
      <c r="D21" s="56" t="inlineStr">
        <is>
          <t>SUSTANTIVA</t>
        </is>
      </c>
      <c r="E21" s="56" t="inlineStr">
        <is>
          <t>La verificación documenta el perímetro y la vista panorámica del bloque, no su interior. Los parámetros que exigen recorrido interno se consignan «Por determinar». (Verificación heredada de la ficha de resumen V6.)</t>
        </is>
      </c>
    </row>
    <row r="22">
      <c r="A22" s="57" t="inlineStr">
        <is>
          <t>H-02</t>
        </is>
      </c>
      <c r="B22" s="57" t="inlineStr">
        <is>
          <t>Centro poblado asociado</t>
        </is>
      </c>
      <c r="C22" s="57" t="inlineStr">
        <is>
          <t>La ficha DT declara «Cambrurán»; el cruce INEI-Bloques V5 identifica 1 centro(s) poblado(s) en el bloque: CAMBRURAN</t>
        </is>
      </c>
      <c r="D22" s="57" t="inlineStr">
        <is>
          <t>NO SUSTANTIVA</t>
        </is>
      </c>
      <c r="E22" s="57" t="inlineStr">
        <is>
          <t>Se conserva el registro de campo como referencia y se adopta el listado INEI para el diagnóstico social y el cálculo de población beneficiaria. (Verificación heredada de la ficha de resumen V6.)</t>
        </is>
      </c>
    </row>
    <row r="24">
      <c r="A24" s="58" t="inlineStr">
        <is>
          <t>RESUMEN</t>
        </is>
      </c>
      <c r="B24" s="59" t="inlineStr">
        <is>
          <t>14 verificaciones</t>
        </is>
      </c>
      <c r="C24" s="59" t="inlineStr">
        <is>
          <t>SUSTANTIVA: 2 · NO SUSTANTIVA: 1 · CONFORME: 11</t>
        </is>
      </c>
    </row>
    <row r="26">
      <c r="A26" s="60" t="inlineStr">
        <is>
          <t>NOTA METODOLÓGICA. Este control se genera del cruce automático entre la plantilla DT de campo vigente (fichas F-DT-01 a F-DT-05) y la ficha de resumen de gabinete. Cada hecho territorial se declara una sola vez, con la fuente que manda sobre el: campo para lo observado en terreno, gabinete para lo derivado del MDE y de los compuestos Sentinel-2, y fuente oficial para el catálogo maestro de bloques, la división política INEI y la codificación de microcuencas de la ANA. Ningún valor ausente se estima: lo que ninguna fuente declara se consigna como pendiente. Sistema de referencia UTM WGS 84 Zona 17S (EPSG:32717).</t>
        </is>
      </c>
    </row>
  </sheetData>
  <mergeCells count="7">
    <mergeCell ref="A4:E4"/>
    <mergeCell ref="A26:E26"/>
    <mergeCell ref="A2:E2"/>
    <mergeCell ref="A1:E1"/>
    <mergeCell ref="A5:E5"/>
    <mergeCell ref="A6:E6"/>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0"/>
  <sheetViews>
    <sheetView workbookViewId="0">
      <selection activeCell="A1" sqref="A1"/>
    </sheetView>
  </sheetViews>
  <sheetFormatPr baseColWidth="8" defaultRowHeight="15"/>
  <cols>
    <col width="34" customWidth="1" min="1" max="1"/>
    <col width="38" customWidth="1" min="2" max="2"/>
    <col width="44" customWidth="1" min="3" max="3"/>
    <col width="44" customWidth="1" min="4" max="4"/>
    <col width="24" customWidth="1" min="5" max="5"/>
    <col width="18" customWidth="1" min="6" max="6"/>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INTEGRACIÓN DE LA FICHA DE CAMPO — BLOQUE 41</t>
        </is>
      </c>
    </row>
    <row r="7">
      <c r="A7" s="54" t="inlineStr">
        <is>
          <t>A. HECHOS ACTUALIZADOS POR LA VERIFICACIÓN DE CAMPO</t>
        </is>
      </c>
    </row>
    <row r="8">
      <c r="A8" s="55" t="inlineStr">
        <is>
          <t>Sección</t>
        </is>
      </c>
      <c r="B8" s="55" t="inlineStr">
        <is>
          <t>Hecho</t>
        </is>
      </c>
      <c r="C8" s="55" t="inlineStr">
        <is>
          <t>Valor en la ficha V6</t>
        </is>
      </c>
      <c r="D8" s="55" t="inlineStr">
        <is>
          <t>Valor de campo vigente</t>
        </is>
      </c>
      <c r="E8" s="55" t="inlineStr">
        <is>
          <t>Fuente que manda</t>
        </is>
      </c>
    </row>
    <row r="9">
      <c r="A9" s="56" t="inlineStr">
        <is>
          <t>—</t>
        </is>
      </c>
      <c r="B9" s="56" t="inlineStr">
        <is>
          <t>Sin cambios: la ficha de campo confirma el libro V6</t>
        </is>
      </c>
      <c r="C9" s="56" t="inlineStr"/>
      <c r="D9" s="56" t="inlineStr"/>
      <c r="E9" s="56" t="inlineStr"/>
    </row>
    <row r="11">
      <c r="A11" s="54" t="inlineStr">
        <is>
          <t>B. HECHOS APORTADOS ÚNICAMENTE POR LA FICHA DE CAMPO</t>
        </is>
      </c>
    </row>
    <row r="12">
      <c r="A12" s="55" t="inlineStr">
        <is>
          <t>Sección</t>
        </is>
      </c>
      <c r="B12" s="55" t="inlineStr">
        <is>
          <t>Hecho</t>
        </is>
      </c>
      <c r="C12" s="55" t="inlineStr">
        <is>
          <t>Valor</t>
        </is>
      </c>
      <c r="D12" s="55" t="inlineStr">
        <is>
          <t>Unidad</t>
        </is>
      </c>
    </row>
    <row r="13">
      <c r="A13" s="56" t="inlineStr">
        <is>
          <t>1. Identificación y localización</t>
        </is>
      </c>
      <c r="B13" s="56" t="inlineStr">
        <is>
          <t>UTM ESTE del punto de muestreo (m)</t>
        </is>
      </c>
      <c r="C13" s="56" t="inlineStr">
        <is>
          <t>660525</t>
        </is>
      </c>
      <c r="D13" s="56" t="inlineStr">
        <is>
          <t>m</t>
        </is>
      </c>
    </row>
    <row r="14">
      <c r="A14" s="57" t="inlineStr">
        <is>
          <t>1. Identificación y localización</t>
        </is>
      </c>
      <c r="B14" s="57" t="inlineStr">
        <is>
          <t>UTM NORTE del punto de muestreo (m)</t>
        </is>
      </c>
      <c r="C14" s="57" t="inlineStr">
        <is>
          <t>9394327</t>
        </is>
      </c>
      <c r="D14" s="57" t="inlineStr">
        <is>
          <t>m</t>
        </is>
      </c>
    </row>
    <row r="15">
      <c r="A15" s="56" t="inlineStr">
        <is>
          <t>2. Parámetros físicos del terreno</t>
        </is>
      </c>
      <c r="B15" s="56" t="inlineStr">
        <is>
          <t>Altitud GPS del punto de muestreo (msnm)</t>
        </is>
      </c>
      <c r="C15" s="56" t="inlineStr">
        <is>
          <t>1677 (cota media MDE; sin registro GPS en el interior)</t>
        </is>
      </c>
      <c r="D15" s="56" t="inlineStr">
        <is>
          <t>msnm</t>
        </is>
      </c>
    </row>
    <row r="16">
      <c r="A16" s="57" t="inlineStr">
        <is>
          <t>2. Parámetros físicos del terreno</t>
        </is>
      </c>
      <c r="B16" s="57" t="inlineStr">
        <is>
          <t>Piso altitudinal del punto de muestreo</t>
        </is>
      </c>
      <c r="C16" s="57" t="inlineStr">
        <is>
          <t>1500-2000 m (Quechua media)</t>
        </is>
      </c>
      <c r="D16" s="57" t="inlineStr"/>
    </row>
    <row r="17">
      <c r="A17" s="56" t="inlineStr">
        <is>
          <t>2. Parámetros físicos del terreno</t>
        </is>
      </c>
      <c r="B17" s="56" t="inlineStr">
        <is>
          <t>Paisaje dominante descrito en campo</t>
        </is>
      </c>
      <c r="C17" s="56" t="inlineStr">
        <is>
          <t>Vertiente de exposición este del sistema de laderas de la margen izquierda de la quebrada de Cambrurán, microcuenca C1076-Q9592. Polígono alargado en sentido N-S (≈910 m E-O × 1 584 m N-S) entre 1 536 y 1 818 msnm, con pendiente promedio de 25.53 % (14.3°). Mosaico de bosque estacionalmente seco caducifolio de colina y montaña, bosque de galería con Guadua en los fondos de quebrada y enclaves agrícolas (plátano, maíz, pastos cultivados) en las terrazas y rellanos. Una trocha carrozable atraviesa el polígono en sentido N-S.</t>
        </is>
      </c>
      <c r="D17" s="56" t="inlineStr"/>
    </row>
    <row r="18">
      <c r="A18" s="57" t="inlineStr">
        <is>
          <t>2. Parámetros físicos del terreno</t>
        </is>
      </c>
      <c r="B18" s="57" t="inlineStr">
        <is>
          <t>Reptación de suelo</t>
        </is>
      </c>
      <c r="C18" s="57" t="inlineStr">
        <is>
          <t>Sí</t>
        </is>
      </c>
      <c r="D18" s="57" t="inlineStr"/>
    </row>
    <row r="19">
      <c r="A19" s="56" t="inlineStr">
        <is>
          <t>2. Parámetros físicos del terreno</t>
        </is>
      </c>
      <c r="B19" s="56" t="inlineStr">
        <is>
          <t>Deslizamientos antiguos</t>
        </is>
      </c>
      <c r="C19" s="56" t="inlineStr">
        <is>
          <t>Sí</t>
        </is>
      </c>
      <c r="D19" s="56" t="inlineStr"/>
    </row>
    <row r="20">
      <c r="A20" s="57" t="inlineStr">
        <is>
          <t>4. Suelos y erosión (F-DT-02)</t>
        </is>
      </c>
      <c r="B20" s="57" t="inlineStr">
        <is>
          <t>Nivel de erosión - síntesis de campo</t>
        </is>
      </c>
      <c r="C20" s="57" t="inlineStr">
        <is>
          <t>Moderada (surcos)</t>
        </is>
      </c>
      <c r="D20" s="57" t="inlineStr"/>
    </row>
    <row r="21">
      <c r="A21" s="56" t="inlineStr">
        <is>
          <t>4. Suelos y erosión (F-DT-02)</t>
        </is>
      </c>
      <c r="B21" s="56" t="inlineStr">
        <is>
          <t>Sellamiento / costra superficial</t>
        </is>
      </c>
      <c r="C21" s="56" t="inlineStr">
        <is>
          <t>Sí</t>
        </is>
      </c>
      <c r="D21" s="56" t="inlineStr"/>
    </row>
    <row r="22">
      <c r="A22" s="57" t="inlineStr">
        <is>
          <t>4. Suelos y erosión (F-DT-02)</t>
        </is>
      </c>
      <c r="B22" s="57" t="inlineStr">
        <is>
          <t>Compactación por pisoteo</t>
        </is>
      </c>
      <c r="C22" s="57" t="inlineStr">
        <is>
          <t>Sí</t>
        </is>
      </c>
      <c r="D22" s="57" t="inlineStr"/>
    </row>
    <row r="23">
      <c r="A23" s="56" t="inlineStr">
        <is>
          <t>4. Suelos y erosión (F-DT-02)</t>
        </is>
      </c>
      <c r="B23" s="56" t="inlineStr">
        <is>
          <t>Raíces expuestas</t>
        </is>
      </c>
      <c r="C23" s="56" t="inlineStr">
        <is>
          <t>Sí</t>
        </is>
      </c>
      <c r="D23" s="56" t="inlineStr"/>
    </row>
    <row r="24">
      <c r="A24" s="57" t="inlineStr">
        <is>
          <t>4. Suelos y erosión (F-DT-02)</t>
        </is>
      </c>
      <c r="B24" s="57" t="inlineStr">
        <is>
          <t>Longitud total de cárcavas (m)</t>
        </is>
      </c>
      <c r="C24" s="57" t="inlineStr">
        <is>
          <t>Por medir</t>
        </is>
      </c>
      <c r="D24" s="57" t="inlineStr">
        <is>
          <t>m</t>
        </is>
      </c>
    </row>
    <row r="25">
      <c r="A25" s="56" t="inlineStr">
        <is>
          <t>4. Suelos y erosión (F-DT-02)</t>
        </is>
      </c>
      <c r="B25" s="56" t="inlineStr">
        <is>
          <t>Erosión laminar (% del bloque)</t>
        </is>
      </c>
      <c r="C25" s="56" t="inlineStr">
        <is>
          <t>11.9</t>
        </is>
      </c>
      <c r="D25" s="56" t="inlineStr">
        <is>
          <t>%</t>
        </is>
      </c>
    </row>
    <row r="26">
      <c r="A26" s="57" t="inlineStr">
        <is>
          <t>4. Suelos y erosión (F-DT-02)</t>
        </is>
      </c>
      <c r="B26" s="57" t="inlineStr">
        <is>
          <t>Patrón de cárcavas</t>
        </is>
      </c>
      <c r="C26" s="57" t="inlineStr">
        <is>
          <t>Lineal</t>
        </is>
      </c>
      <c r="D26" s="57" t="inlineStr"/>
    </row>
    <row r="27">
      <c r="A27" s="56" t="inlineStr">
        <is>
          <t>4. Suelos y erosión (F-DT-02)</t>
        </is>
      </c>
      <c r="B27" s="56" t="inlineStr">
        <is>
          <t>Socavamiento de cauce</t>
        </is>
      </c>
      <c r="C27" s="56" t="inlineStr">
        <is>
          <t>Sí</t>
        </is>
      </c>
      <c r="D27" s="56" t="inlineStr"/>
    </row>
    <row r="28">
      <c r="A28" s="57" t="inlineStr">
        <is>
          <t>5. Ecosistema, cobertura y flora (F-DT-03)</t>
        </is>
      </c>
      <c r="B28" s="57" t="inlineStr">
        <is>
          <t>Cobertura del dosel (%)</t>
        </is>
      </c>
      <c r="C28" s="57" t="inlineStr">
        <is>
          <t>45</t>
        </is>
      </c>
      <c r="D28" s="57" t="inlineStr">
        <is>
          <t>%</t>
        </is>
      </c>
    </row>
    <row r="29">
      <c r="A29" s="56" t="inlineStr">
        <is>
          <t>5. Ecosistema, cobertura y flora (F-DT-03)</t>
        </is>
      </c>
      <c r="B29" s="56" t="inlineStr">
        <is>
          <t>Cobertura herbácea (%)</t>
        </is>
      </c>
      <c r="C29" s="56" t="inlineStr">
        <is>
          <t>20</t>
        </is>
      </c>
      <c r="D29" s="56" t="inlineStr">
        <is>
          <t>%</t>
        </is>
      </c>
    </row>
    <row r="30">
      <c r="A30" s="57" t="inlineStr">
        <is>
          <t>5. Ecosistema, cobertura y flora (F-DT-03)</t>
        </is>
      </c>
      <c r="B30" s="57" t="inlineStr">
        <is>
          <t>Altura máxima registrada (m)</t>
        </is>
      </c>
      <c r="C30" s="57" t="inlineStr">
        <is>
          <t>18</t>
        </is>
      </c>
      <c r="D30" s="57" t="inlineStr">
        <is>
          <t>m</t>
        </is>
      </c>
    </row>
    <row r="31">
      <c r="A31" s="56" t="inlineStr">
        <is>
          <t>5. Ecosistema, cobertura y flora (F-DT-03)</t>
        </is>
      </c>
      <c r="B31" s="56" t="inlineStr">
        <is>
          <t>Presencia de epífitas</t>
        </is>
      </c>
      <c r="C31" s="56" t="inlineStr">
        <is>
          <t>Sí — bromeliáceas epífitas (Tillandsia sp.) sobre ramas del dosel caducifolio</t>
        </is>
      </c>
      <c r="D31" s="56" t="inlineStr"/>
    </row>
    <row r="32">
      <c r="A32" s="57" t="inlineStr">
        <is>
          <t>5. Ecosistema, cobertura y flora (F-DT-03)</t>
        </is>
      </c>
      <c r="B32" s="57" t="inlineStr">
        <is>
          <t>Fenología dominante</t>
        </is>
      </c>
      <c r="C32" s="57" t="inlineStr">
        <is>
          <t>Caducifolio (hojas caídas)</t>
        </is>
      </c>
      <c r="D32" s="57" t="inlineStr"/>
    </row>
    <row r="33">
      <c r="A33" s="56" t="inlineStr">
        <is>
          <t>5. Ecosistema, cobertura y flora (F-DT-03)</t>
        </is>
      </c>
      <c r="B33" s="56" t="inlineStr">
        <is>
          <t>Dimensiones de la parcela (m)</t>
        </is>
      </c>
      <c r="C33" s="56" t="inlineStr">
        <is>
          <t>No aplica</t>
        </is>
      </c>
      <c r="D33" s="56" t="inlineStr"/>
    </row>
    <row r="34">
      <c r="A34" s="57" t="inlineStr">
        <is>
          <t>5. Ecosistema, cobertura y flora (F-DT-03)</t>
        </is>
      </c>
      <c r="B34" s="57" t="inlineStr">
        <is>
          <t>Pendiente de la parcela (%)</t>
        </is>
      </c>
      <c r="C34" s="57" t="inlineStr">
        <is>
          <t>25.53</t>
        </is>
      </c>
      <c r="D34" s="57" t="inlineStr">
        <is>
          <t>%</t>
        </is>
      </c>
    </row>
    <row r="35">
      <c r="A35" s="56" t="inlineStr">
        <is>
          <t>5. Ecosistema, cobertura y flora (F-DT-03)</t>
        </is>
      </c>
      <c r="B35" s="56" t="inlineStr">
        <is>
          <t>Especies clave georreferenciadas</t>
        </is>
      </c>
      <c r="C35" s="56" t="inlineStr">
        <is>
          <t>7</t>
        </is>
      </c>
      <c r="D35" s="56" t="inlineStr"/>
    </row>
    <row r="36">
      <c r="A36" s="57" t="inlineStr">
        <is>
          <t>6. Degradación, causas y urgencia (F-DT-04)</t>
        </is>
      </c>
      <c r="B36" s="57" t="inlineStr">
        <is>
          <t>Causas directas de la degradación</t>
        </is>
      </c>
      <c r="C36" s="57" t="inlineStr">
        <is>
          <t>Cambio de uso del suelo sobre el mosaico de bosque estacionalmente seco: instalación de parcelas de cultivo en hileras, plátano y maíz sobre rellanos y terrazas, y conversión de laderas a potreros de pastos cultivados, acompañada de sobrepastoreo vacuno-caprino de intensidad moderada. Se suma la apertura y el mantenimiento de la trocha carrozable, con taludes de corte no tratados y un área de préstamo activa, que operan como focos locales de erosión acelerada y como vector de expansión del uso agropecuario sobre la ladera.</t>
        </is>
      </c>
      <c r="D36" s="57" t="inlineStr"/>
    </row>
    <row r="37">
      <c r="A37" s="56" t="inlineStr">
        <is>
          <t>6. Degradación, causas y urgencia (F-DT-04)</t>
        </is>
      </c>
      <c r="B37" s="56" t="inlineStr">
        <is>
          <t>N.° de causas activas en la matriz F-DT-04</t>
        </is>
      </c>
      <c r="C37" s="56" t="inlineStr">
        <is>
          <t>6</t>
        </is>
      </c>
      <c r="D37" s="56" t="inlineStr"/>
    </row>
    <row r="38">
      <c r="A38" s="57" t="inlineStr">
        <is>
          <t>7. Hidrología, acceso y logística (F-DT-05)</t>
        </is>
      </c>
      <c r="B38" s="57" t="inlineStr">
        <is>
          <t>Escorrentía concentrada</t>
        </is>
      </c>
      <c r="C38" s="57" t="inlineStr">
        <is>
          <t>Sí</t>
        </is>
      </c>
      <c r="D38" s="57" t="inlineStr"/>
    </row>
    <row r="39">
      <c r="A39" s="56" t="inlineStr">
        <is>
          <t>7. Hidrología, acceso y logística (F-DT-05)</t>
        </is>
      </c>
      <c r="B39" s="56" t="inlineStr">
        <is>
          <t>Fuentes de agua inventariadas</t>
        </is>
      </c>
      <c r="C39" s="56" t="inlineStr">
        <is>
          <t>3</t>
        </is>
      </c>
      <c r="D39" s="56" t="inlineStr"/>
    </row>
    <row r="40">
      <c r="A40" s="57" t="inlineStr">
        <is>
          <t>7. Hidrología, acceso y logística (F-DT-05)</t>
        </is>
      </c>
      <c r="B40" s="57" t="inlineStr">
        <is>
          <t>Interferencia con riego</t>
        </is>
      </c>
      <c r="C40" s="57" t="inlineStr">
        <is>
          <t>No aplica</t>
        </is>
      </c>
      <c r="D40" s="57" t="inlineStr"/>
    </row>
    <row r="41">
      <c r="A41" s="56" t="inlineStr">
        <is>
          <t>7. Hidrología, acceso y logística (F-DT-05)</t>
        </is>
      </c>
      <c r="B41" s="56" t="inlineStr">
        <is>
          <t>Vía principal de acceso</t>
        </is>
      </c>
      <c r="C41" s="56" t="inlineStr">
        <is>
          <t>Trocha carrozable de acceso al C.P. Cambrurán, desde la red vial del distrito de Huarmaca; una trocha atraviesa el polígono en sentido N-S</t>
        </is>
      </c>
      <c r="D41" s="56" t="inlineStr"/>
    </row>
    <row r="42">
      <c r="A42" s="57" t="inlineStr">
        <is>
          <t>7. Hidrología, acceso y logística (F-DT-05)</t>
        </is>
      </c>
      <c r="B42" s="57" t="inlineStr">
        <is>
          <t>Tipo de vía del tramo final</t>
        </is>
      </c>
      <c r="C42" s="57" t="inlineStr">
        <is>
          <t>Trocha carrozable</t>
        </is>
      </c>
      <c r="D42" s="57" t="inlineStr"/>
    </row>
    <row r="43">
      <c r="A43" s="56" t="inlineStr">
        <is>
          <t>7. Hidrología, acceso y logística (F-DT-05)</t>
        </is>
      </c>
      <c r="B43" s="56" t="inlineStr">
        <is>
          <t>Transitabilidad en época seca</t>
        </is>
      </c>
      <c r="C43" s="56" t="inlineStr">
        <is>
          <t>Medio</t>
        </is>
      </c>
      <c r="D43" s="56" t="inlineStr"/>
    </row>
    <row r="44">
      <c r="A44" s="57" t="inlineStr">
        <is>
          <t>7. Hidrología, acceso y logística (F-DT-05)</t>
        </is>
      </c>
      <c r="B44" s="57" t="inlineStr">
        <is>
          <t>Transitabilidad en época lluviosa</t>
        </is>
      </c>
      <c r="C44" s="57" t="inlineStr">
        <is>
          <t>Bajo</t>
        </is>
      </c>
      <c r="D44" s="57" t="inlineStr"/>
    </row>
    <row r="45">
      <c r="A45" s="56" t="inlineStr">
        <is>
          <t>7. Hidrología, acceso y logística (F-DT-05)</t>
        </is>
      </c>
      <c r="B45" s="56" t="inlineStr">
        <is>
          <t>Requiere coordinación con ronda / comunidad</t>
        </is>
      </c>
      <c r="C45" s="56" t="inlineStr">
        <is>
          <t>Sí</t>
        </is>
      </c>
      <c r="D45" s="56" t="inlineStr"/>
    </row>
    <row r="46">
      <c r="A46" s="57" t="inlineStr">
        <is>
          <t>7. Hidrología, acceso y logística (F-DT-05)</t>
        </is>
      </c>
      <c r="B46" s="57" t="inlineStr">
        <is>
          <t>Contacto local de coordinación</t>
        </is>
      </c>
      <c r="C46" s="57" t="inlineStr">
        <is>
          <t>Por identificar nominalmente</t>
        </is>
      </c>
      <c r="D46" s="57" t="inlineStr"/>
    </row>
    <row r="48">
      <c r="A48" s="54" t="inlineStr">
        <is>
          <t>C. PROCEDENCIA DE LOS HECHOS DECLARADOS</t>
        </is>
      </c>
    </row>
    <row r="49">
      <c r="A49" s="55" t="inlineStr">
        <is>
          <t>Fuente</t>
        </is>
      </c>
      <c r="B49" s="55" t="inlineStr">
        <is>
          <t>Hechos</t>
        </is>
      </c>
      <c r="C49" s="55" t="inlineStr">
        <is>
          <t>Alcance de la fuente</t>
        </is>
      </c>
    </row>
    <row r="50">
      <c r="A50" s="56" t="inlineStr">
        <is>
          <t>Dato de campo</t>
        </is>
      </c>
      <c r="B50" s="56" t="n">
        <v>64</v>
      </c>
      <c r="C50" s="56" t="inlineStr">
        <is>
          <t>Verificación en campo. Fichas F-DT-01 a F-DT-05 de la Plantilla DT Campo Check Validada V5, suscritas por el evaluador.</t>
        </is>
      </c>
    </row>
    <row r="51">
      <c r="A51" s="57" t="inlineStr">
        <is>
          <t>Gabinete (GIS / teledetección)</t>
        </is>
      </c>
      <c r="B51" s="57" t="n">
        <v>22</v>
      </c>
      <c r="C51" s="57" t="inlineStr">
        <is>
          <t>Gabinete. Estadística zonal sobre el MDE y compuestos Sentinel-2 (NDVI mediana 2025, MSAVI 2024 por clase DN).</t>
        </is>
      </c>
    </row>
    <row r="52">
      <c r="A52" s="56" t="inlineStr">
        <is>
          <t>Fuente oficial</t>
        </is>
      </c>
      <c r="B52" s="56" t="n">
        <v>14</v>
      </c>
      <c r="C52" s="56" t="inlineStr">
        <is>
          <t>Fuente oficial. Catálogo maestro Bloques V5/V6, división política INEI y codificación de microcuencas de la ANA.</t>
        </is>
      </c>
    </row>
    <row r="54">
      <c r="A54" s="54" t="inlineStr">
        <is>
          <t>D. ESTADO DEL CRUCE ENTRE FUENTES</t>
        </is>
      </c>
    </row>
    <row r="55">
      <c r="A55" s="55" t="inlineStr">
        <is>
          <t>Estado</t>
        </is>
      </c>
      <c r="B55" s="55" t="inlineStr">
        <is>
          <t>Hechos</t>
        </is>
      </c>
      <c r="C55" s="55" t="inlineStr">
        <is>
          <t>Significado</t>
        </is>
      </c>
    </row>
    <row r="56">
      <c r="A56" s="56" t="inlineStr">
        <is>
          <t>CONFORME</t>
        </is>
      </c>
      <c r="B56" s="56" t="n">
        <v>99</v>
      </c>
      <c r="C56" s="56" t="inlineStr">
        <is>
          <t>Las dos fuentes declaran lo mismo, o solo la fuente que manda sobre el hecho lo declara.</t>
        </is>
      </c>
    </row>
    <row r="57">
      <c r="A57" s="57" t="inlineStr">
        <is>
          <t>COMPLEMENTADO</t>
        </is>
      </c>
      <c r="B57" s="57" t="n">
        <v>1</v>
      </c>
      <c r="C57" s="57" t="inlineStr">
        <is>
          <t>Solo una de las fuentes lo declara y se adopta ese valor.</t>
        </is>
      </c>
    </row>
    <row r="58">
      <c r="A58" s="56" t="inlineStr">
        <is>
          <t>ACTUALIZADO</t>
        </is>
      </c>
      <c r="B58" s="56" t="n">
        <v>0</v>
      </c>
      <c r="C58" s="56" t="inlineStr">
        <is>
          <t>La verificación de campo vigente corrige lo que traía el libro de resumen.</t>
        </is>
      </c>
    </row>
    <row r="59">
      <c r="A59" s="57" t="inlineStr">
        <is>
          <t>DISCREPANTE</t>
        </is>
      </c>
      <c r="B59" s="57" t="n">
        <v>0</v>
      </c>
      <c r="C59" s="57" t="inlineStr">
        <is>
          <t>Las fuentes se contradicen; prevalece la que manda sobre el hecho y la otra queda declarada.</t>
        </is>
      </c>
    </row>
    <row r="60">
      <c r="A60" s="56" t="inlineStr">
        <is>
          <t>PENDIENTE</t>
        </is>
      </c>
      <c r="B60" s="56" t="n">
        <v>14</v>
      </c>
      <c r="C60" s="56" t="inlineStr">
        <is>
          <t>Ninguna fuente lo declara; no se estima valor alguno.</t>
        </is>
      </c>
    </row>
  </sheetData>
  <mergeCells count="5">
    <mergeCell ref="A2:F2"/>
    <mergeCell ref="A1:F1"/>
    <mergeCell ref="A5:F5"/>
    <mergeCell ref="A4:F4"/>
    <mergeCell ref="A3: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85"/>
  <sheetViews>
    <sheetView workbookViewId="0">
      <selection activeCell="A1" sqref="A1"/>
    </sheetView>
  </sheetViews>
  <sheetFormatPr baseColWidth="8" defaultRowHeight="15"/>
  <cols>
    <col width="8" customWidth="1" min="1" max="1"/>
    <col width="30" customWidth="1" min="2" max="2"/>
    <col width="30" customWidth="1" min="3" max="3"/>
    <col width="22" customWidth="1" min="4" max="4"/>
    <col width="20" customWidth="1" min="5" max="5"/>
    <col width="16" customWidth="1" min="6" max="6"/>
    <col width="16" customWidth="1" min="7" max="7"/>
    <col width="20" customWidth="1" min="8" max="8"/>
    <col width="34" customWidth="1" min="9" max="9"/>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REGISTRO DE CAMPO F-DT-01 A F-DT-05 — BLOQUE 41</t>
        </is>
      </c>
    </row>
    <row r="7">
      <c r="A7" s="54" t="inlineStr">
        <is>
          <t>F-DT-02 · INVENTARIO DE CÁRCAVAS</t>
        </is>
      </c>
    </row>
    <row r="8">
      <c r="A8" s="55" t="inlineStr">
        <is>
          <t>Código</t>
        </is>
      </c>
      <c r="B8" s="55" t="inlineStr">
        <is>
          <t>Tipo</t>
        </is>
      </c>
      <c r="C8" s="55" t="inlineStr">
        <is>
          <t>UTM E ini.</t>
        </is>
      </c>
      <c r="D8" s="55" t="inlineStr">
        <is>
          <t>UTM N ini.</t>
        </is>
      </c>
      <c r="E8" s="55" t="inlineStr">
        <is>
          <t>Longitud (m)</t>
        </is>
      </c>
      <c r="F8" s="55" t="inlineStr">
        <is>
          <t>Prof. (m)</t>
        </is>
      </c>
      <c r="G8" s="55" t="inlineStr">
        <is>
          <t>Ancho (m)</t>
        </is>
      </c>
      <c r="H8" s="55" t="inlineStr">
        <is>
          <t>Estado</t>
        </is>
      </c>
      <c r="I8" s="55" t="inlineStr">
        <is>
          <t>Causa</t>
        </is>
      </c>
    </row>
    <row r="9">
      <c r="A9" s="56" t="inlineStr">
        <is>
          <t>R-41-01</t>
        </is>
      </c>
      <c r="B9" s="56" t="inlineStr">
        <is>
          <t>Surco (&lt;30 cm)</t>
        </is>
      </c>
      <c r="C9" s="61" t="n">
        <v>660702</v>
      </c>
      <c r="D9" s="61" t="n">
        <v>9393218</v>
      </c>
      <c r="E9" s="56" t="n"/>
      <c r="F9" s="56" t="n"/>
      <c r="G9" s="56" t="n"/>
      <c r="H9" s="56" t="inlineStr">
        <is>
          <t>Activa</t>
        </is>
      </c>
      <c r="I9" s="56" t="inlineStr">
        <is>
          <t>Caminos / huellas de ganado</t>
        </is>
      </c>
    </row>
    <row r="10">
      <c r="A10" s="57" t="inlineStr">
        <is>
          <t>R-41-02</t>
        </is>
      </c>
      <c r="B10" s="57" t="inlineStr">
        <is>
          <t>Surco (&lt;30 cm)</t>
        </is>
      </c>
      <c r="C10" s="62" t="n">
        <v>660677</v>
      </c>
      <c r="D10" s="62" t="n">
        <v>9393198</v>
      </c>
      <c r="E10" s="57" t="n"/>
      <c r="F10" s="57" t="n"/>
      <c r="G10" s="57" t="n"/>
      <c r="H10" s="57" t="inlineStr">
        <is>
          <t>Activa</t>
        </is>
      </c>
      <c r="I10" s="57" t="inlineStr">
        <is>
          <t>Sobrepastoreo</t>
        </is>
      </c>
    </row>
    <row r="11">
      <c r="A11" s="56" t="inlineStr">
        <is>
          <t>R-41-03</t>
        </is>
      </c>
      <c r="B11" s="56" t="inlineStr">
        <is>
          <t>Cárcava incipiente (30-50 cm)</t>
        </is>
      </c>
      <c r="C11" s="61" t="n">
        <v>660659</v>
      </c>
      <c r="D11" s="61" t="n">
        <v>9393232</v>
      </c>
      <c r="E11" s="56" t="n"/>
      <c r="F11" s="56" t="n"/>
      <c r="G11" s="56" t="n"/>
      <c r="H11" s="56" t="inlineStr">
        <is>
          <t>Activa</t>
        </is>
      </c>
      <c r="I11" s="56" t="inlineStr">
        <is>
          <t>Concentración natural de escorrentía</t>
        </is>
      </c>
    </row>
    <row r="12">
      <c r="A12" s="57" t="inlineStr">
        <is>
          <t>R-41-04</t>
        </is>
      </c>
      <c r="B12" s="57" t="inlineStr">
        <is>
          <t>Surco (&lt;30 cm)</t>
        </is>
      </c>
      <c r="C12" s="62" t="n">
        <v>660828</v>
      </c>
      <c r="D12" s="62" t="n">
        <v>9393207</v>
      </c>
      <c r="E12" s="57" t="n"/>
      <c r="F12" s="57" t="n"/>
      <c r="G12" s="57" t="n"/>
      <c r="H12" s="57" t="inlineStr">
        <is>
          <t>Activa</t>
        </is>
      </c>
      <c r="I12" s="57" t="inlineStr">
        <is>
          <t>Surcos de labranza en pendiente</t>
        </is>
      </c>
    </row>
    <row r="14">
      <c r="A14" s="54" t="inlineStr">
        <is>
          <t>F-DT-03 · ELENCO FLORÍSTICO</t>
        </is>
      </c>
    </row>
    <row r="15">
      <c r="A15" s="55" t="inlineStr">
        <is>
          <t>N.o</t>
        </is>
      </c>
      <c r="B15" s="55" t="inlineStr">
        <is>
          <t>Nombre común</t>
        </is>
      </c>
      <c r="C15" s="55" t="inlineStr">
        <is>
          <t>Nombre científico</t>
        </is>
      </c>
      <c r="D15" s="55" t="inlineStr">
        <is>
          <t>Familia</t>
        </is>
      </c>
      <c r="E15" s="55" t="inlineStr">
        <is>
          <t>Estrato</t>
        </is>
      </c>
      <c r="F15" s="55" t="inlineStr">
        <is>
          <t>Origen</t>
        </is>
      </c>
      <c r="G15" s="55" t="inlineStr">
        <is>
          <t>Abundancia</t>
        </is>
      </c>
      <c r="H15" s="55" t="inlineStr">
        <is>
          <t>DAP (cm)</t>
        </is>
      </c>
      <c r="I15" s="55" t="inlineStr">
        <is>
          <t>Altura (m)</t>
        </is>
      </c>
    </row>
    <row r="16">
      <c r="A16" s="56" t="inlineStr">
        <is>
          <t>1</t>
        </is>
      </c>
      <c r="B16" s="56" t="inlineStr">
        <is>
          <t>Higuerón</t>
        </is>
      </c>
      <c r="C16" s="56" t="inlineStr">
        <is>
          <t>Ficus sp.</t>
        </is>
      </c>
      <c r="D16" s="56" t="inlineStr">
        <is>
          <t>Moraceae</t>
        </is>
      </c>
      <c r="E16" s="56" t="inlineStr">
        <is>
          <t>Arbóreo medio (8-15 m)</t>
        </is>
      </c>
      <c r="F16" s="56" t="inlineStr">
        <is>
          <t>Nativa</t>
        </is>
      </c>
      <c r="G16" s="56" t="inlineStr">
        <is>
          <t>Ocasional (1-5%)</t>
        </is>
      </c>
      <c r="H16" s="56" t="n"/>
      <c r="I16" s="61" t="n">
        <v>12</v>
      </c>
    </row>
    <row r="17">
      <c r="A17" s="57" t="inlineStr">
        <is>
          <t>2</t>
        </is>
      </c>
      <c r="B17" s="57" t="inlineStr">
        <is>
          <t>Guabo o pacae</t>
        </is>
      </c>
      <c r="C17" s="57" t="inlineStr">
        <is>
          <t>Inga sp.</t>
        </is>
      </c>
      <c r="D17" s="57" t="inlineStr">
        <is>
          <t>Fabaceae</t>
        </is>
      </c>
      <c r="E17" s="57" t="inlineStr">
        <is>
          <t>Arbóreo medio (8-15 m)</t>
        </is>
      </c>
      <c r="F17" s="57" t="inlineStr">
        <is>
          <t>Nativa</t>
        </is>
      </c>
      <c r="G17" s="57" t="inlineStr">
        <is>
          <t>Ocasional (1-5%)</t>
        </is>
      </c>
      <c r="H17" s="57" t="n"/>
      <c r="I17" s="62" t="n">
        <v>10</v>
      </c>
    </row>
    <row r="18">
      <c r="A18" s="56" t="inlineStr">
        <is>
          <t>3</t>
        </is>
      </c>
      <c r="B18" s="56" t="inlineStr">
        <is>
          <t>Chirimoyo silvestre</t>
        </is>
      </c>
      <c r="C18" s="56" t="inlineStr">
        <is>
          <t>Annona cherimola</t>
        </is>
      </c>
      <c r="D18" s="56" t="inlineStr">
        <is>
          <t>Annonaceae</t>
        </is>
      </c>
      <c r="E18" s="56" t="inlineStr">
        <is>
          <t>Arbóreo bajo (4-8 m)</t>
        </is>
      </c>
      <c r="F18" s="56" t="inlineStr">
        <is>
          <t>Nativa</t>
        </is>
      </c>
      <c r="G18" s="56" t="inlineStr">
        <is>
          <t>Rara (&lt;1%)</t>
        </is>
      </c>
      <c r="H18" s="56" t="n"/>
      <c r="I18" s="63" t="n">
        <v>6</v>
      </c>
    </row>
    <row r="19">
      <c r="A19" s="57" t="inlineStr">
        <is>
          <t>4</t>
        </is>
      </c>
      <c r="B19" s="57" t="inlineStr">
        <is>
          <t>Eucalipto</t>
        </is>
      </c>
      <c r="C19" s="57" t="inlineStr">
        <is>
          <t>Eucalyptus globulus</t>
        </is>
      </c>
      <c r="D19" s="57" t="inlineStr">
        <is>
          <t>Myrtaceae</t>
        </is>
      </c>
      <c r="E19" s="57" t="inlineStr">
        <is>
          <t>Arbóreo superior (&gt;15 m)</t>
        </is>
      </c>
      <c r="F19" s="57" t="inlineStr">
        <is>
          <t>Introducida</t>
        </is>
      </c>
      <c r="G19" s="57" t="inlineStr">
        <is>
          <t>Ocasional (1-5%)</t>
        </is>
      </c>
      <c r="H19" s="57" t="n"/>
      <c r="I19" s="62" t="n">
        <v>18</v>
      </c>
    </row>
    <row r="20">
      <c r="A20" s="56" t="inlineStr">
        <is>
          <t>5</t>
        </is>
      </c>
      <c r="B20" s="56" t="inlineStr">
        <is>
          <t>Grevilea</t>
        </is>
      </c>
      <c r="C20" s="56" t="inlineStr">
        <is>
          <t>Grevillea robusta</t>
        </is>
      </c>
      <c r="D20" s="56" t="inlineStr">
        <is>
          <t>Proteaceae</t>
        </is>
      </c>
      <c r="E20" s="56" t="inlineStr">
        <is>
          <t>Arbóreo medio (8-15 m)</t>
        </is>
      </c>
      <c r="F20" s="56" t="inlineStr">
        <is>
          <t>Introducida</t>
        </is>
      </c>
      <c r="G20" s="56" t="inlineStr">
        <is>
          <t>Rara (&lt;1%)</t>
        </is>
      </c>
      <c r="H20" s="56" t="n"/>
      <c r="I20" s="61" t="n">
        <v>12</v>
      </c>
    </row>
    <row r="21">
      <c r="A21" s="57" t="inlineStr">
        <is>
          <t>6</t>
        </is>
      </c>
      <c r="B21" s="57" t="inlineStr">
        <is>
          <t>Bambú / caña guayaquil</t>
        </is>
      </c>
      <c r="C21" s="57" t="inlineStr">
        <is>
          <t>Guadua angustifolia</t>
        </is>
      </c>
      <c r="D21" s="57" t="inlineStr">
        <is>
          <t>Poaceae</t>
        </is>
      </c>
      <c r="E21" s="57" t="inlineStr">
        <is>
          <t>Arbóreo bajo (4-8 m)</t>
        </is>
      </c>
      <c r="F21" s="57" t="inlineStr">
        <is>
          <t>Nativa</t>
        </is>
      </c>
      <c r="G21" s="57" t="inlineStr">
        <is>
          <t>Frecuente (5-20%)</t>
        </is>
      </c>
      <c r="H21" s="57" t="n"/>
      <c r="I21" s="64" t="n">
        <v>8</v>
      </c>
    </row>
    <row r="22">
      <c r="A22" s="56" t="inlineStr">
        <is>
          <t>7</t>
        </is>
      </c>
      <c r="B22" s="56" t="inlineStr">
        <is>
          <t>Árbol caducifolio de corteza blanquecina (por determinar)</t>
        </is>
      </c>
      <c r="C22" s="56" t="inlineStr">
        <is>
          <t>Por determinar</t>
        </is>
      </c>
      <c r="D22" s="56" t="inlineStr">
        <is>
          <t>Por determinar</t>
        </is>
      </c>
      <c r="E22" s="56" t="inlineStr">
        <is>
          <t>Arbóreo medio (8-15 m)</t>
        </is>
      </c>
      <c r="F22" s="56" t="inlineStr">
        <is>
          <t>Nativa</t>
        </is>
      </c>
      <c r="G22" s="56" t="inlineStr">
        <is>
          <t>Frecuente (5-20%)</t>
        </is>
      </c>
      <c r="H22" s="56" t="n"/>
      <c r="I22" s="61" t="n">
        <v>10</v>
      </c>
    </row>
    <row r="23">
      <c r="A23" s="57" t="inlineStr">
        <is>
          <t>8</t>
        </is>
      </c>
      <c r="B23" s="57" t="inlineStr">
        <is>
          <t>Cactácea columnar</t>
        </is>
      </c>
      <c r="C23" s="57" t="inlineStr">
        <is>
          <t>Neoraimondia sp. / Armatocereus sp. (por determinar)</t>
        </is>
      </c>
      <c r="D23" s="57" t="inlineStr">
        <is>
          <t>Cactaceae</t>
        </is>
      </c>
      <c r="E23" s="57" t="inlineStr">
        <is>
          <t>Arbustivo alto (1.5-4 m)</t>
        </is>
      </c>
      <c r="F23" s="57" t="inlineStr">
        <is>
          <t>Nativa</t>
        </is>
      </c>
      <c r="G23" s="57" t="inlineStr">
        <is>
          <t>Ocasional (1-5%)</t>
        </is>
      </c>
      <c r="H23" s="57" t="n"/>
      <c r="I23" s="64" t="n">
        <v>4</v>
      </c>
    </row>
    <row r="24">
      <c r="A24" s="56" t="inlineStr">
        <is>
          <t>9</t>
        </is>
      </c>
      <c r="B24" s="56" t="inlineStr">
        <is>
          <t>Agave / penca</t>
        </is>
      </c>
      <c r="C24" s="56" t="inlineStr">
        <is>
          <t>Agave americana</t>
        </is>
      </c>
      <c r="D24" s="56" t="inlineStr">
        <is>
          <t>Asparagaceae</t>
        </is>
      </c>
      <c r="E24" s="56" t="inlineStr">
        <is>
          <t>Arbustivo alto (1.5-4 m)</t>
        </is>
      </c>
      <c r="F24" s="56" t="inlineStr">
        <is>
          <t>Introducida</t>
        </is>
      </c>
      <c r="G24" s="56" t="inlineStr">
        <is>
          <t>Ocasional (1-5%)</t>
        </is>
      </c>
      <c r="H24" s="56" t="n"/>
      <c r="I24" s="63" t="n">
        <v>2</v>
      </c>
    </row>
    <row r="25">
      <c r="A25" s="57" t="inlineStr">
        <is>
          <t>10</t>
        </is>
      </c>
      <c r="B25" s="57" t="inlineStr">
        <is>
          <t>Chilca</t>
        </is>
      </c>
      <c r="C25" s="57" t="inlineStr">
        <is>
          <t>Baccharis latifolia</t>
        </is>
      </c>
      <c r="D25" s="57" t="inlineStr">
        <is>
          <t>Asteraceae</t>
        </is>
      </c>
      <c r="E25" s="57" t="inlineStr">
        <is>
          <t>Arbustivo alto (1.5-4 m)</t>
        </is>
      </c>
      <c r="F25" s="57" t="inlineStr">
        <is>
          <t>Nativa</t>
        </is>
      </c>
      <c r="G25" s="57" t="inlineStr">
        <is>
          <t>Frecuente (5-20%)</t>
        </is>
      </c>
      <c r="H25" s="57" t="n"/>
      <c r="I25" s="64" t="n">
        <v>2</v>
      </c>
    </row>
    <row r="26">
      <c r="A26" s="56" t="inlineStr">
        <is>
          <t>11</t>
        </is>
      </c>
      <c r="B26" s="56" t="inlineStr">
        <is>
          <t>Higuerilla</t>
        </is>
      </c>
      <c r="C26" s="56" t="inlineStr">
        <is>
          <t>Ricinus communis</t>
        </is>
      </c>
      <c r="D26" s="56" t="inlineStr">
        <is>
          <t>Euphorbiaceae</t>
        </is>
      </c>
      <c r="E26" s="56" t="inlineStr">
        <is>
          <t>Arbustivo alto (1.5-4 m)</t>
        </is>
      </c>
      <c r="F26" s="56" t="inlineStr">
        <is>
          <t>Invasora</t>
        </is>
      </c>
      <c r="G26" s="56" t="inlineStr">
        <is>
          <t>Frecuente (5-20%)</t>
        </is>
      </c>
      <c r="H26" s="56" t="n"/>
      <c r="I26" s="63" t="n">
        <v>3</v>
      </c>
    </row>
    <row r="27">
      <c r="A27" s="57" t="inlineStr">
        <is>
          <t>12</t>
        </is>
      </c>
      <c r="B27" s="57" t="inlineStr">
        <is>
          <t>Bromeliácea / achupalla</t>
        </is>
      </c>
      <c r="C27" s="57" t="inlineStr">
        <is>
          <t>Tillandsia sp.</t>
        </is>
      </c>
      <c r="D27" s="57" t="inlineStr">
        <is>
          <t>Bromeliaceae</t>
        </is>
      </c>
      <c r="E27" s="57" t="inlineStr">
        <is>
          <t>Epífito</t>
        </is>
      </c>
      <c r="F27" s="57" t="inlineStr">
        <is>
          <t>Nativa</t>
        </is>
      </c>
      <c r="G27" s="57" t="inlineStr">
        <is>
          <t>Ocasional (1-5%)</t>
        </is>
      </c>
      <c r="H27" s="57" t="n"/>
      <c r="I27" s="57" t="n"/>
    </row>
    <row r="28">
      <c r="A28" s="56" t="inlineStr">
        <is>
          <t>13</t>
        </is>
      </c>
      <c r="B28" s="56" t="inlineStr">
        <is>
          <t>Plátano (cultivo)</t>
        </is>
      </c>
      <c r="C28" s="56" t="inlineStr">
        <is>
          <t>Musa × paradisiaca</t>
        </is>
      </c>
      <c r="D28" s="56" t="inlineStr">
        <is>
          <t>Musaceae</t>
        </is>
      </c>
      <c r="E28" s="56" t="inlineStr">
        <is>
          <t>Arbustivo alto (1.5-4 m)</t>
        </is>
      </c>
      <c r="F28" s="56" t="inlineStr">
        <is>
          <t>Introducida</t>
        </is>
      </c>
      <c r="G28" s="56" t="inlineStr">
        <is>
          <t>Ocasional (1-5%)</t>
        </is>
      </c>
      <c r="H28" s="56" t="n"/>
      <c r="I28" s="63" t="n">
        <v>4</v>
      </c>
    </row>
    <row r="29">
      <c r="A29" s="57" t="inlineStr">
        <is>
          <t>14</t>
        </is>
      </c>
      <c r="B29" s="57" t="inlineStr">
        <is>
          <t>Maíz (cultivo)</t>
        </is>
      </c>
      <c r="C29" s="57" t="inlineStr">
        <is>
          <t>Zea mays</t>
        </is>
      </c>
      <c r="D29" s="57" t="inlineStr">
        <is>
          <t>Poaceae</t>
        </is>
      </c>
      <c r="E29" s="57" t="inlineStr">
        <is>
          <t>Arbustivo bajo (0.5-1.5 m)</t>
        </is>
      </c>
      <c r="F29" s="57" t="inlineStr">
        <is>
          <t>Introducida</t>
        </is>
      </c>
      <c r="G29" s="57" t="inlineStr">
        <is>
          <t>Ocasional (1-5%)</t>
        </is>
      </c>
      <c r="H29" s="57" t="n"/>
      <c r="I29" s="57" t="n"/>
    </row>
    <row r="30">
      <c r="A30" s="56" t="inlineStr">
        <is>
          <t>15</t>
        </is>
      </c>
      <c r="B30" s="56" t="inlineStr">
        <is>
          <t>Pastos cultivados</t>
        </is>
      </c>
      <c r="C30" s="56" t="inlineStr">
        <is>
          <t>Poaceae (por determinar)</t>
        </is>
      </c>
      <c r="D30" s="56" t="inlineStr">
        <is>
          <t>Poaceae</t>
        </is>
      </c>
      <c r="E30" s="56" t="inlineStr">
        <is>
          <t>Herbáceo (&lt;0.5 m)</t>
        </is>
      </c>
      <c r="F30" s="56" t="inlineStr">
        <is>
          <t>Introducida</t>
        </is>
      </c>
      <c r="G30" s="56" t="inlineStr">
        <is>
          <t>Abundante (20-40%)</t>
        </is>
      </c>
      <c r="H30" s="56" t="n"/>
      <c r="I30" s="56" t="n"/>
    </row>
    <row r="32">
      <c r="A32" s="54" t="inlineStr">
        <is>
          <t>F-DT-03 · ESPECIES CLAVE GEORREFERENCIADAS</t>
        </is>
      </c>
    </row>
    <row r="33">
      <c r="A33" s="55" t="inlineStr">
        <is>
          <t>N.o</t>
        </is>
      </c>
      <c r="B33" s="55" t="inlineStr">
        <is>
          <t>Especie</t>
        </is>
      </c>
      <c r="C33" s="55" t="inlineStr">
        <is>
          <t>Categoría</t>
        </is>
      </c>
      <c r="D33" s="55" t="inlineStr">
        <is>
          <t>Estado UICN</t>
        </is>
      </c>
      <c r="E33" s="55" t="inlineStr">
        <is>
          <t>UTM ESTE</t>
        </is>
      </c>
      <c r="F33" s="55" t="inlineStr">
        <is>
          <t>UTM NORTE</t>
        </is>
      </c>
      <c r="G33" s="55" t="inlineStr">
        <is>
          <t>N.° individuos</t>
        </is>
      </c>
      <c r="H33" s="55" t="inlineStr">
        <is>
          <t>Observación</t>
        </is>
      </c>
    </row>
    <row r="34">
      <c r="A34" s="56" t="inlineStr">
        <is>
          <t>1</t>
        </is>
      </c>
      <c r="B34" s="56" t="inlineStr">
        <is>
          <t>Guadua angustifolia (bambú)</t>
        </is>
      </c>
      <c r="C34" s="56" t="inlineStr">
        <is>
          <t>Indicadora de buen estado</t>
        </is>
      </c>
      <c r="D34" s="56" t="inlineStr">
        <is>
          <t>No aplica</t>
        </is>
      </c>
      <c r="E34" s="61" t="n">
        <v>660705</v>
      </c>
      <c r="F34" s="61" t="n">
        <v>9393252</v>
      </c>
      <c r="G34" s="56" t="n"/>
      <c r="H34" s="56" t="inlineStr">
        <is>
          <t>Rodal de bosque de galería verde en plena estación seca: marcador hidrológico que delimita el corredor de humedad permanente del fondo de quebrada.</t>
        </is>
      </c>
    </row>
    <row r="35">
      <c r="A35" s="57" t="inlineStr">
        <is>
          <t>2</t>
        </is>
      </c>
      <c r="B35" s="57" t="inlineStr">
        <is>
          <t>Neoraimondia sp. / Armatocereus sp. (cactácea columnar)</t>
        </is>
      </c>
      <c r="C35" s="57" t="inlineStr">
        <is>
          <t>Amenazada (D.S. 043-2006-AG)</t>
        </is>
      </c>
      <c r="D35" s="57" t="inlineStr">
        <is>
          <t>DD — Datos Insuficientes</t>
        </is>
      </c>
      <c r="E35" s="62" t="n">
        <v>660702</v>
      </c>
      <c r="F35" s="62" t="n">
        <v>9393218</v>
      </c>
      <c r="G35" s="57" t="n"/>
      <c r="H35" s="57" t="inlineStr">
        <is>
          <t>Individuos columnares sobre ladera caducifolia. Requiere determinación a nivel de especie antes de declarar formalmente la categoría de conservación.</t>
        </is>
      </c>
    </row>
    <row r="36">
      <c r="A36" s="56" t="inlineStr">
        <is>
          <t>3</t>
        </is>
      </c>
      <c r="B36" s="56" t="inlineStr">
        <is>
          <t>Ficus sp. (higuerón)</t>
        </is>
      </c>
      <c r="C36" s="56" t="inlineStr">
        <is>
          <t>Indicadora de buen estado</t>
        </is>
      </c>
      <c r="D36" s="56" t="inlineStr">
        <is>
          <t>No aplica</t>
        </is>
      </c>
      <c r="E36" s="61" t="n">
        <v>660804</v>
      </c>
      <c r="F36" s="61" t="n">
        <v>9393011</v>
      </c>
      <c r="G36" s="56" t="n"/>
      <c r="H36" s="56" t="inlineStr">
        <is>
          <t>Relicto del dosel original; árbol semillero potencial y punto de anclaje para la revegetación por núcleos.</t>
        </is>
      </c>
    </row>
    <row r="37">
      <c r="A37" s="57" t="inlineStr">
        <is>
          <t>4</t>
        </is>
      </c>
      <c r="B37" s="57" t="inlineStr">
        <is>
          <t>Tillandsia sp. (bromeliácea epífita)</t>
        </is>
      </c>
      <c r="C37" s="57" t="inlineStr">
        <is>
          <t>Indicadora de buen estado</t>
        </is>
      </c>
      <c r="D37" s="57" t="inlineStr">
        <is>
          <t>No aplica</t>
        </is>
      </c>
      <c r="E37" s="62" t="n">
        <v>660737</v>
      </c>
      <c r="F37" s="62" t="n">
        <v>9393181</v>
      </c>
      <c r="G37" s="57" t="n"/>
      <c r="H37" s="57" t="inlineStr">
        <is>
          <t>Epífita indicadora de humedad atmosférica sostenida; sustenta la facies subhúmeda del sector de quebrada.</t>
        </is>
      </c>
    </row>
    <row r="38">
      <c r="A38" s="56" t="inlineStr">
        <is>
          <t>5</t>
        </is>
      </c>
      <c r="B38" s="56" t="inlineStr">
        <is>
          <t>Ricinus communis (higuerilla)</t>
        </is>
      </c>
      <c r="C38" s="56" t="inlineStr">
        <is>
          <t>Indicadora de perturbación</t>
        </is>
      </c>
      <c r="D38" s="56" t="inlineStr">
        <is>
          <t>No aplica</t>
        </is>
      </c>
      <c r="E38" s="61" t="n">
        <v>660793</v>
      </c>
      <c r="F38" s="61" t="n">
        <v>9393019</v>
      </c>
      <c r="G38" s="56" t="n"/>
      <c r="H38" s="56" t="inlineStr">
        <is>
          <t>Colonizadora de suelos removidos; ocupa taludes de corte y bordes de trocha. Especie introducida de comportamiento invasor.</t>
        </is>
      </c>
    </row>
    <row r="39">
      <c r="A39" s="57" t="inlineStr">
        <is>
          <t>6</t>
        </is>
      </c>
      <c r="B39" s="57" t="inlineStr">
        <is>
          <t>Baccharis latifolia (chilca)</t>
        </is>
      </c>
      <c r="C39" s="57" t="inlineStr">
        <is>
          <t>Indicadora de perturbación</t>
        </is>
      </c>
      <c r="D39" s="57" t="inlineStr">
        <is>
          <t>No aplica</t>
        </is>
      </c>
      <c r="E39" s="62" t="n">
        <v>660677</v>
      </c>
      <c r="F39" s="62" t="n">
        <v>9393198</v>
      </c>
      <c r="G39" s="57" t="n"/>
      <c r="H39" s="57" t="inlineStr">
        <is>
          <t>Matorral secundario sobre potreros y áreas de descanso agrícola; indicadora de recolonización tras el abandono del cultivo.</t>
        </is>
      </c>
    </row>
    <row r="40">
      <c r="A40" s="56" t="inlineStr">
        <is>
          <t>7</t>
        </is>
      </c>
      <c r="B40" s="56" t="inlineStr">
        <is>
          <t>Eucalyptus globulus / Grevillea robusta</t>
        </is>
      </c>
      <c r="C40" s="56" t="inlineStr">
        <is>
          <t>Indicadora de perturbación</t>
        </is>
      </c>
      <c r="D40" s="56" t="inlineStr">
        <is>
          <t>No aplica</t>
        </is>
      </c>
      <c r="E40" s="61" t="n">
        <v>660845</v>
      </c>
      <c r="F40" s="61" t="n">
        <v>9393030</v>
      </c>
      <c r="G40" s="56" t="n"/>
      <c r="H40" s="56" t="inlineStr">
        <is>
          <t>Plantación exótica lineal asociada al eje vial. Acredita antecedentes de forestación con especies introducidas en el sector.</t>
        </is>
      </c>
    </row>
    <row r="42">
      <c r="A42" s="54" t="inlineStr">
        <is>
          <t>F-DT-04 · MATRIZ DE CAUSAS DE DEGRADACIÓN</t>
        </is>
      </c>
    </row>
    <row r="43">
      <c r="A43" s="55" t="inlineStr">
        <is>
          <t>N.o</t>
        </is>
      </c>
      <c r="B43" s="55" t="inlineStr">
        <is>
          <t>Causa</t>
        </is>
      </c>
      <c r="C43" s="55" t="inlineStr">
        <is>
          <t>Presencia</t>
        </is>
      </c>
      <c r="D43" s="55" t="inlineStr">
        <is>
          <t>Intensidad</t>
        </is>
      </c>
      <c r="E43" s="55" t="inlineStr">
        <is>
          <t>Extensión</t>
        </is>
      </c>
      <c r="F43" s="55" t="inlineStr">
        <is>
          <t>Antigüedad</t>
        </is>
      </c>
      <c r="G43" s="55" t="inlineStr">
        <is>
          <t>Evidencia</t>
        </is>
      </c>
    </row>
    <row r="44">
      <c r="A44" s="56" t="inlineStr">
        <is>
          <t>1</t>
        </is>
      </c>
      <c r="B44" s="56" t="inlineStr">
        <is>
          <t>Sobrepastoreo (caprino/vacuno)</t>
        </is>
      </c>
      <c r="C44" s="56" t="inlineStr">
        <is>
          <t>Sí</t>
        </is>
      </c>
      <c r="D44" s="56" t="inlineStr">
        <is>
          <t>Moderada</t>
        </is>
      </c>
      <c r="E44" s="56" t="inlineStr">
        <is>
          <t>25</t>
        </is>
      </c>
      <c r="F44" s="56" t="inlineStr">
        <is>
          <t>30</t>
        </is>
      </c>
      <c r="G44" s="56" t="inlineStr">
        <is>
          <t>Ganado vacuno y caprino en pastoreo libre sobre los potreros y rellanos del corredor; suelo compactado, costra superficial y sendas de ganado que concentran la escorrentía (E-08, E-09).</t>
        </is>
      </c>
    </row>
    <row r="45">
      <c r="A45" s="57" t="inlineStr">
        <is>
          <t>2</t>
        </is>
      </c>
      <c r="B45" s="57" t="inlineStr">
        <is>
          <t>Tala para leña</t>
        </is>
      </c>
      <c r="C45" s="57" t="inlineStr">
        <is>
          <t>No</t>
        </is>
      </c>
      <c r="D45" s="57" t="inlineStr">
        <is>
          <t>Nula</t>
        </is>
      </c>
      <c r="E45" s="57" t="inlineStr">
        <is>
          <t>0</t>
        </is>
      </c>
      <c r="F45" s="57" t="inlineStr"/>
      <c r="G45" s="57" t="inlineStr">
        <is>
          <t>No se observó acopio de leña ni tocones de aprovechamiento en las tomas disponibles. La ausencia NO está confirmada: el interior del bloque no fue verificado.</t>
        </is>
      </c>
    </row>
    <row r="46">
      <c r="A46" s="56" t="inlineStr">
        <is>
          <t>3</t>
        </is>
      </c>
      <c r="B46" s="56" t="inlineStr">
        <is>
          <t>Tala para carbón</t>
        </is>
      </c>
      <c r="C46" s="56" t="inlineStr">
        <is>
          <t>No</t>
        </is>
      </c>
      <c r="D46" s="56" t="inlineStr">
        <is>
          <t>Nula</t>
        </is>
      </c>
      <c r="E46" s="56" t="inlineStr">
        <is>
          <t>0</t>
        </is>
      </c>
      <c r="F46" s="56" t="inlineStr"/>
      <c r="G46" s="56" t="inlineStr">
        <is>
          <t>Sin evidencia de hornos ni carboneras en el registro disponible.</t>
        </is>
      </c>
    </row>
    <row r="47">
      <c r="A47" s="57" t="inlineStr">
        <is>
          <t>4</t>
        </is>
      </c>
      <c r="B47" s="57" t="inlineStr">
        <is>
          <t>Tala para madera</t>
        </is>
      </c>
      <c r="C47" s="57" t="inlineStr">
        <is>
          <t>No</t>
        </is>
      </c>
      <c r="D47" s="57" t="inlineStr">
        <is>
          <t>Nula</t>
        </is>
      </c>
      <c r="E47" s="57" t="inlineStr">
        <is>
          <t>0</t>
        </is>
      </c>
      <c r="F47" s="57" t="inlineStr"/>
      <c r="G47" s="57" t="inlineStr">
        <is>
          <t>Sin evidencia de extracción maderable en el registro disponible.</t>
        </is>
      </c>
    </row>
    <row r="48">
      <c r="A48" s="56" t="inlineStr">
        <is>
          <t>5</t>
        </is>
      </c>
      <c r="B48" s="56" t="inlineStr">
        <is>
          <t>Quema (renovación de pastos)</t>
        </is>
      </c>
      <c r="C48" s="56" t="inlineStr">
        <is>
          <t>No</t>
        </is>
      </c>
      <c r="D48" s="56" t="inlineStr">
        <is>
          <t>Nula</t>
        </is>
      </c>
      <c r="E48" s="56" t="inlineStr">
        <is>
          <t>0</t>
        </is>
      </c>
      <c r="F48" s="56" t="inlineStr"/>
      <c r="G48" s="56" t="inlineStr">
        <is>
          <t>Sin cicatrices de quema visibles en el registro de estación seca. Por confirmar con el diagnóstico social.</t>
        </is>
      </c>
    </row>
    <row r="49">
      <c r="A49" s="57" t="inlineStr">
        <is>
          <t>6</t>
        </is>
      </c>
      <c r="B49" s="57" t="inlineStr">
        <is>
          <t>Quema accidental / Incendio</t>
        </is>
      </c>
      <c r="C49" s="57" t="inlineStr">
        <is>
          <t>No</t>
        </is>
      </c>
      <c r="D49" s="57" t="inlineStr">
        <is>
          <t>Nula</t>
        </is>
      </c>
      <c r="E49" s="57" t="inlineStr">
        <is>
          <t>0</t>
        </is>
      </c>
      <c r="F49" s="57" t="inlineStr"/>
      <c r="G49" s="57" t="inlineStr">
        <is>
          <t>Sin evidencia en el registro disponible.</t>
        </is>
      </c>
    </row>
    <row r="50">
      <c r="A50" s="56" t="inlineStr">
        <is>
          <t>7</t>
        </is>
      </c>
      <c r="B50" s="56" t="inlineStr">
        <is>
          <t>Cambio de uso a agricultura</t>
        </is>
      </c>
      <c r="C50" s="56" t="inlineStr">
        <is>
          <t>Sí</t>
        </is>
      </c>
      <c r="D50" s="56" t="inlineStr">
        <is>
          <t>Moderada</t>
        </is>
      </c>
      <c r="E50" s="56" t="inlineStr">
        <is>
          <t>30</t>
        </is>
      </c>
      <c r="F50" s="56" t="inlineStr">
        <is>
          <t>30</t>
        </is>
      </c>
      <c r="G50" s="56" t="inlineStr">
        <is>
          <t>Parcelas de cultivo en hileras (café/frutales), plátano y maíz sobre rellanos y terrazas de ladera, sin prácticas de conservación de suelos (E-01, E-10).</t>
        </is>
      </c>
    </row>
    <row r="51">
      <c r="A51" s="57" t="inlineStr">
        <is>
          <t>8</t>
        </is>
      </c>
      <c r="B51" s="57" t="inlineStr">
        <is>
          <t>Cambio de uso a pastoreo</t>
        </is>
      </c>
      <c r="C51" s="57" t="inlineStr">
        <is>
          <t>Sí</t>
        </is>
      </c>
      <c r="D51" s="57" t="inlineStr">
        <is>
          <t>Moderada</t>
        </is>
      </c>
      <c r="E51" s="57" t="inlineStr">
        <is>
          <t>25</t>
        </is>
      </c>
      <c r="F51" s="57" t="inlineStr">
        <is>
          <t>30</t>
        </is>
      </c>
      <c r="G51" s="57" t="inlineStr">
        <is>
          <t>Potreros de pastos cultivados y matorral de descanso (chilca) sobre laderas de fuerte pendiente, con reemplazo de la cobertura leñosa original (E-08).</t>
        </is>
      </c>
    </row>
    <row r="52">
      <c r="A52" s="56" t="inlineStr">
        <is>
          <t>9</t>
        </is>
      </c>
      <c r="B52" s="56" t="inlineStr">
        <is>
          <t>Expansión urbana / vial</t>
        </is>
      </c>
      <c r="C52" s="56" t="inlineStr">
        <is>
          <t>Sí</t>
        </is>
      </c>
      <c r="D52" s="56" t="inlineStr">
        <is>
          <t>Ligera</t>
        </is>
      </c>
      <c r="E52" s="56" t="inlineStr">
        <is>
          <t>5</t>
        </is>
      </c>
      <c r="F52" s="56" t="inlineStr">
        <is>
          <t>10</t>
        </is>
      </c>
      <c r="G52" s="56" t="inlineStr">
        <is>
          <t>Trocha carrozable con taludes de corte no tratados, material suelto sobre plataforma y área de préstamo/cantera activa en el corredor de aproximación (E-07, T-01, T-02).</t>
        </is>
      </c>
    </row>
    <row r="53">
      <c r="A53" s="57" t="inlineStr">
        <is>
          <t>10</t>
        </is>
      </c>
      <c r="B53" s="57" t="inlineStr">
        <is>
          <t>Minería informal</t>
        </is>
      </c>
      <c r="C53" s="57" t="inlineStr">
        <is>
          <t>No</t>
        </is>
      </c>
      <c r="D53" s="57" t="inlineStr">
        <is>
          <t>Nula</t>
        </is>
      </c>
      <c r="E53" s="57" t="inlineStr">
        <is>
          <t>0</t>
        </is>
      </c>
      <c r="F53" s="57" t="inlineStr"/>
      <c r="G53" s="57" t="inlineStr">
        <is>
          <t>Sin evidencia en el registro disponible.</t>
        </is>
      </c>
    </row>
    <row r="54">
      <c r="A54" s="56" t="inlineStr">
        <is>
          <t>11</t>
        </is>
      </c>
      <c r="B54" s="56" t="inlineStr">
        <is>
          <t>Extracción de áridos (cauces)</t>
        </is>
      </c>
      <c r="C54" s="56" t="inlineStr">
        <is>
          <t>No</t>
        </is>
      </c>
      <c r="D54" s="56" t="inlineStr">
        <is>
          <t>Nula</t>
        </is>
      </c>
      <c r="E54" s="56" t="inlineStr">
        <is>
          <t>0</t>
        </is>
      </c>
      <c r="F54" s="56" t="inlineStr"/>
      <c r="G54" s="56" t="inlineStr">
        <is>
          <t>Sin evidencia en el registro disponible.</t>
        </is>
      </c>
    </row>
    <row r="55">
      <c r="A55" s="57" t="inlineStr">
        <is>
          <t>12</t>
        </is>
      </c>
      <c r="B55" s="57" t="inlineStr">
        <is>
          <t>Especies invasoras</t>
        </is>
      </c>
      <c r="C55" s="57" t="inlineStr">
        <is>
          <t>Sí</t>
        </is>
      </c>
      <c r="D55" s="57" t="inlineStr">
        <is>
          <t>Ligera</t>
        </is>
      </c>
      <c r="E55" s="57" t="inlineStr">
        <is>
          <t>5</t>
        </is>
      </c>
      <c r="F55" s="57" t="inlineStr"/>
      <c r="G55" s="57" t="inlineStr">
        <is>
          <t>Higuerilla (Ricinus communis) colonizando taludes de corte, bordes de trocha y suelos removidos.</t>
        </is>
      </c>
    </row>
    <row r="56">
      <c r="A56" s="56" t="inlineStr">
        <is>
          <t>13</t>
        </is>
      </c>
      <c r="B56" s="56" t="inlineStr">
        <is>
          <t>Erosión natural severa</t>
        </is>
      </c>
      <c r="C56" s="56" t="inlineStr">
        <is>
          <t>No</t>
        </is>
      </c>
      <c r="D56" s="56" t="inlineStr">
        <is>
          <t>Nula</t>
        </is>
      </c>
      <c r="E56" s="56" t="inlineStr">
        <is>
          <t>0</t>
        </is>
      </c>
      <c r="F56" s="56" t="inlineStr"/>
      <c r="G56" s="56" t="inlineStr">
        <is>
          <t>Los procesos erosivos observados son de origen antrópico (uso del suelo), no natural severo.</t>
        </is>
      </c>
    </row>
    <row r="57">
      <c r="A57" s="57" t="inlineStr">
        <is>
          <t>14</t>
        </is>
      </c>
      <c r="B57" s="57" t="inlineStr">
        <is>
          <t>Sequía prolongada / CC</t>
        </is>
      </c>
      <c r="C57" s="57" t="inlineStr">
        <is>
          <t>Sí</t>
        </is>
      </c>
      <c r="D57" s="57" t="inlineStr">
        <is>
          <t>Ligera</t>
        </is>
      </c>
      <c r="E57" s="57" t="inlineStr"/>
      <c r="F57" s="57" t="inlineStr"/>
      <c r="G57" s="57" t="inlineStr">
        <is>
          <t>Déficit hídrico proyectado para el ámbito (MPI-ESM1-2HR, SSP5-8.5, 2021-2040). Efecto no discriminable en el registro puntual de una campaña.</t>
        </is>
      </c>
    </row>
    <row r="58">
      <c r="A58" s="56" t="inlineStr">
        <is>
          <t>15</t>
        </is>
      </c>
      <c r="B58" s="56" t="inlineStr">
        <is>
          <t>Plagas o enfermedades forestales</t>
        </is>
      </c>
      <c r="C58" s="56" t="inlineStr">
        <is>
          <t>No</t>
        </is>
      </c>
      <c r="D58" s="56" t="inlineStr">
        <is>
          <t>Nula</t>
        </is>
      </c>
      <c r="E58" s="56" t="inlineStr">
        <is>
          <t>0</t>
        </is>
      </c>
      <c r="F58" s="56" t="inlineStr"/>
      <c r="G58" s="56" t="inlineStr">
        <is>
          <t>Dosel en estado sanitario aparente sano; la defoliación observada es fenológica (caducifolia en estación seca), no patológica.</t>
        </is>
      </c>
    </row>
    <row r="59">
      <c r="A59" s="57" t="inlineStr">
        <is>
          <t>16</t>
        </is>
      </c>
      <c r="B59" s="57" t="inlineStr">
        <is>
          <t>Otro</t>
        </is>
      </c>
      <c r="C59" s="57" t="inlineStr"/>
      <c r="D59" s="57" t="inlineStr"/>
      <c r="E59" s="57" t="inlineStr"/>
      <c r="F59" s="57" t="inlineStr"/>
      <c r="G59" s="57" t="inlineStr"/>
    </row>
    <row r="61">
      <c r="A61" s="54" t="inlineStr">
        <is>
          <t>F-DT-04 · INDICADORES CUANTITATIVOS</t>
        </is>
      </c>
    </row>
    <row r="62">
      <c r="A62" s="55" t="inlineStr">
        <is>
          <t>N.o</t>
        </is>
      </c>
      <c r="B62" s="55" t="inlineStr">
        <is>
          <t>Indicador</t>
        </is>
      </c>
      <c r="C62" s="55" t="inlineStr">
        <is>
          <t>Unidad</t>
        </is>
      </c>
      <c r="D62" s="55" t="inlineStr">
        <is>
          <t>Valor</t>
        </is>
      </c>
      <c r="E62" s="55" t="inlineStr">
        <is>
          <t>Fuente</t>
        </is>
      </c>
      <c r="F62" s="55" t="inlineStr">
        <is>
          <t>Umbral</t>
        </is>
      </c>
      <c r="G62" s="55" t="inlineStr">
        <is>
          <t>Nivel</t>
        </is>
      </c>
    </row>
    <row r="63">
      <c r="A63" s="56" t="inlineStr">
        <is>
          <t>1</t>
        </is>
      </c>
      <c r="B63" s="56" t="inlineStr">
        <is>
          <t>Cobertura vegetal total</t>
        </is>
      </c>
      <c r="C63" s="56" t="inlineStr">
        <is>
          <t>%</t>
        </is>
      </c>
      <c r="D63" s="56" t="inlineStr">
        <is>
          <t>85</t>
        </is>
      </c>
      <c r="E63" s="56" t="inlineStr">
        <is>
          <t>MSAVI 2024 (Sentinel-2) + fotointerpretación RPAS 11-08-2026</t>
        </is>
      </c>
      <c r="F63" s="56" t="inlineStr">
        <is>
          <t>&gt;60% bueno; 30-60% medio; &lt;30% malo</t>
        </is>
      </c>
      <c r="G63" s="56" t="inlineStr">
        <is>
          <t>Alto</t>
        </is>
      </c>
    </row>
    <row r="64">
      <c r="A64" s="57" t="inlineStr">
        <is>
          <t>2</t>
        </is>
      </c>
      <c r="B64" s="57" t="inlineStr">
        <is>
          <t>Porcentaje de suelo desnudo</t>
        </is>
      </c>
      <c r="C64" s="57" t="inlineStr">
        <is>
          <t>%</t>
        </is>
      </c>
      <c r="D64" s="57" t="inlineStr">
        <is>
          <t>10</t>
        </is>
      </c>
      <c r="E64" s="57" t="inlineStr">
        <is>
          <t>Fotointerpretación RPAS + clasificación MSAVI</t>
        </is>
      </c>
      <c r="F64" s="57" t="inlineStr">
        <is>
          <t>&lt;10% bueno; 10-30% medio; &gt;30% malo</t>
        </is>
      </c>
      <c r="G64" s="57" t="inlineStr">
        <is>
          <t>Medio</t>
        </is>
      </c>
    </row>
    <row r="65">
      <c r="A65" s="56" t="inlineStr">
        <is>
          <t>3</t>
        </is>
      </c>
      <c r="B65" s="56" t="inlineStr">
        <is>
          <t>Densidad de cárcavas</t>
        </is>
      </c>
      <c r="C65" s="56" t="inlineStr">
        <is>
          <t>N°/ha</t>
        </is>
      </c>
      <c r="D65" s="56" t="inlineStr">
        <is>
          <t>Por determinar</t>
        </is>
      </c>
      <c r="E65" s="56" t="inlineStr">
        <is>
          <t>Pendiente de inventario instrumental</t>
        </is>
      </c>
      <c r="F65" s="56" t="inlineStr">
        <is>
          <t>0 nulo; 1-3 medio; &gt;3 alto</t>
        </is>
      </c>
      <c r="G65" s="56" t="inlineStr"/>
    </row>
    <row r="66">
      <c r="A66" s="57" t="inlineStr">
        <is>
          <t>4</t>
        </is>
      </c>
      <c r="B66" s="57" t="inlineStr">
        <is>
          <t>Presencia de especies invasoras</t>
        </is>
      </c>
      <c r="C66" s="57" t="inlineStr">
        <is>
          <t>% área</t>
        </is>
      </c>
      <c r="D66" s="57" t="inlineStr">
        <is>
          <t>5</t>
        </is>
      </c>
      <c r="E66" s="57" t="inlineStr">
        <is>
          <t>Observación RPAS — Ricinus communis en taludes</t>
        </is>
      </c>
      <c r="F66" s="57" t="inlineStr">
        <is>
          <t>&lt;5% bueno; 5-20% medio; &gt;20% alto</t>
        </is>
      </c>
      <c r="G66" s="57" t="inlineStr">
        <is>
          <t>Medio</t>
        </is>
      </c>
    </row>
    <row r="67">
      <c r="A67" s="56" t="inlineStr">
        <is>
          <t>5</t>
        </is>
      </c>
      <c r="B67" s="56" t="inlineStr">
        <is>
          <t>Carga ganadera estimada</t>
        </is>
      </c>
      <c r="C67" s="56" t="inlineStr">
        <is>
          <t>UA/ha</t>
        </is>
      </c>
      <c r="D67" s="56" t="inlineStr">
        <is>
          <t>Por determinar</t>
        </is>
      </c>
      <c r="E67" s="56" t="inlineStr">
        <is>
          <t>Censo ganadero pendiente (diagnóstico social)</t>
        </is>
      </c>
      <c r="F67" s="56" t="inlineStr">
        <is>
          <t>Según tipo de ecosistema</t>
        </is>
      </c>
      <c r="G67" s="56" t="inlineStr"/>
    </row>
    <row r="68">
      <c r="A68" s="57" t="inlineStr">
        <is>
          <t>6</t>
        </is>
      </c>
      <c r="B68" s="57" t="inlineStr">
        <is>
          <t>Frecuencia de quemas últimos 5 años</t>
        </is>
      </c>
      <c r="C68" s="57" t="inlineStr">
        <is>
          <t>N°</t>
        </is>
      </c>
      <c r="D68" s="57" t="inlineStr">
        <is>
          <t>Por determinar</t>
        </is>
      </c>
      <c r="E68" s="57" t="inlineStr">
        <is>
          <t>Pendiente de verificación con el C.P. Cambrurán</t>
        </is>
      </c>
      <c r="F68" s="57" t="inlineStr">
        <is>
          <t>0 nulo; 1-2 medio; &gt;2 alto</t>
        </is>
      </c>
      <c r="G68" s="57" t="inlineStr"/>
    </row>
    <row r="69">
      <c r="A69" s="56" t="inlineStr">
        <is>
          <t>7</t>
        </is>
      </c>
      <c r="B69" s="56" t="inlineStr">
        <is>
          <t>% área con pendiente &gt;50%</t>
        </is>
      </c>
      <c r="C69" s="56" t="inlineStr">
        <is>
          <t>%</t>
        </is>
      </c>
      <c r="D69" s="56" t="inlineStr">
        <is>
          <t>Por determinar</t>
        </is>
      </c>
      <c r="E69" s="56" t="inlineStr">
        <is>
          <t>Estadística zonal sobre MDE pendiente</t>
        </is>
      </c>
      <c r="F69" s="56" t="inlineStr">
        <is>
          <t>Factor de susceptibilidad</t>
        </is>
      </c>
      <c r="G69" s="56" t="inlineStr"/>
    </row>
    <row r="70">
      <c r="A70" s="57" t="inlineStr">
        <is>
          <t>8</t>
        </is>
      </c>
      <c r="B70" s="57" t="inlineStr">
        <is>
          <t>Distancia a vía vecinal más cercana</t>
        </is>
      </c>
      <c r="C70" s="57" t="inlineStr">
        <is>
          <t>m</t>
        </is>
      </c>
      <c r="D70" s="57" t="inlineStr">
        <is>
          <t>0</t>
        </is>
      </c>
      <c r="E70" s="57" t="inlineStr">
        <is>
          <t>Trocha carrozable atraviesa el polígono en sentido N-S</t>
        </is>
      </c>
      <c r="F70" s="57" t="inlineStr">
        <is>
          <t>A menor distancia → mayor presión</t>
        </is>
      </c>
      <c r="G70" s="57" t="inlineStr">
        <is>
          <t>Alto</t>
        </is>
      </c>
    </row>
    <row r="72">
      <c r="A72" s="54" t="inlineStr">
        <is>
          <t>F-DT-05 · FUENTES DE AGUA INVENTARIADAS</t>
        </is>
      </c>
    </row>
    <row r="73">
      <c r="A73" s="55" t="inlineStr">
        <is>
          <t>N.o</t>
        </is>
      </c>
      <c r="B73" s="55" t="inlineStr">
        <is>
          <t>Tipo de fuente</t>
        </is>
      </c>
      <c r="C73" s="55" t="inlineStr">
        <is>
          <t>UTM ESTE</t>
        </is>
      </c>
      <c r="D73" s="55" t="inlineStr">
        <is>
          <t>UTM NORTE</t>
        </is>
      </c>
      <c r="E73" s="55" t="inlineStr">
        <is>
          <t>Régimen</t>
        </is>
      </c>
      <c r="F73" s="55" t="inlineStr">
        <is>
          <t>Calidad</t>
        </is>
      </c>
      <c r="G73" s="55" t="inlineStr">
        <is>
          <t>Distancia (m)</t>
        </is>
      </c>
      <c r="H73" s="55" t="inlineStr">
        <is>
          <t>Uso / observación</t>
        </is>
      </c>
    </row>
    <row r="74">
      <c r="A74" s="56" t="inlineStr">
        <is>
          <t>1</t>
        </is>
      </c>
      <c r="B74" s="56" t="inlineStr">
        <is>
          <t>Quebrada estacional</t>
        </is>
      </c>
      <c r="C74" s="61" t="n">
        <v>660705</v>
      </c>
      <c r="D74" s="61" t="n">
        <v>9393252</v>
      </c>
      <c r="E74" s="56" t="inlineStr">
        <is>
          <t>Estacional (lluvias)</t>
        </is>
      </c>
      <c r="F74" s="56" t="inlineStr">
        <is>
          <t>No evaluable</t>
        </is>
      </c>
      <c r="G74" s="61" t="n">
        <v>337</v>
      </c>
      <c r="H74" s="56" t="inlineStr">
        <is>
          <t>Quebrada de la red de drenaje del sector, sin caudal al momento de la verificación (estación seca). Fondo ocupado por bosque de galería con Guadua angustifolia, verde en plena estación seca: indicador de humedad edáfica permanente.</t>
        </is>
      </c>
    </row>
    <row r="75">
      <c r="A75" s="57" t="inlineStr">
        <is>
          <t>2</t>
        </is>
      </c>
      <c r="B75" s="57" t="inlineStr">
        <is>
          <t>Otro</t>
        </is>
      </c>
      <c r="C75" s="62" t="n">
        <v>660702</v>
      </c>
      <c r="D75" s="62" t="n">
        <v>9393218</v>
      </c>
      <c r="E75" s="57" t="inlineStr">
        <is>
          <t>Permanente</t>
        </is>
      </c>
      <c r="F75" s="57" t="inlineStr">
        <is>
          <t>No evaluable</t>
        </is>
      </c>
      <c r="G75" s="62" t="n">
        <v>368</v>
      </c>
      <c r="H75" s="57" t="inlineStr">
        <is>
          <t>Línea de conducción entubada (tubería HDPE de superficie) tendida sobre camino de herradura, con caja de reunión de concreto. Infraestructura asociada al abastecimiento del C.P. Cambrurán; finalidad (consumo humano o riego) y titularidad por verificar.</t>
        </is>
      </c>
    </row>
    <row r="76">
      <c r="A76" s="56" t="inlineStr">
        <is>
          <t>3</t>
        </is>
      </c>
      <c r="B76" s="56" t="inlineStr">
        <is>
          <t>Otro</t>
        </is>
      </c>
      <c r="C76" s="61" t="n">
        <v>660677</v>
      </c>
      <c r="D76" s="61" t="n">
        <v>9393198</v>
      </c>
      <c r="E76" s="56" t="inlineStr">
        <is>
          <t>Permanente</t>
        </is>
      </c>
      <c r="F76" s="56" t="inlineStr">
        <is>
          <t>No evaluable</t>
        </is>
      </c>
      <c r="G76" s="61" t="n">
        <v>380</v>
      </c>
      <c r="H76" s="56" t="inlineStr">
        <is>
          <t>Segunda caja de reunión / válvula sobre el mismo tendido, aguas abajo. Elemento expuesto a los procesos erosivos del talud.</t>
        </is>
      </c>
    </row>
    <row r="79">
      <c r="A79" s="54" t="inlineStr">
        <is>
          <t>OBSERVACIONES DEL EVALUADOR POR FICHA</t>
        </is>
      </c>
    </row>
    <row r="80">
      <c r="A80" s="55" t="inlineStr">
        <is>
          <t>Ficha</t>
        </is>
      </c>
      <c r="B80" s="55" t="inlineStr">
        <is>
          <t>Observación registrada en campo</t>
        </is>
      </c>
    </row>
    <row r="81">
      <c r="A81" s="56" t="inlineStr">
        <is>
          <t>F-DT-01</t>
        </is>
      </c>
      <c r="B81" s="56" t="inlineStr">
        <is>
          <t>VERIFICACIÓN PERIMETRAL. Las 10 estaciones RPAS (DJI FC6310S, EXIF/GPS validado) y las 2 tomas terrestres del 11-08-2026 se sitúan entre 337 y 597 m al SSE del límite sur del polígono, sobre el corredor de aproximación del C.P. Cambrurán, a una cota de 1 327 msnm — 209 m por debajo de la cota mínima del bloque (1 536 msnm). El interior del Bloque 41 NO fue sobrevolado ni recorrido. Los parámetros fisiográficos proceden de estadística zonal sobre MDE y de la lectura de las curvas de nivel del plano temático; los indicios de inestabilidad corresponden al corredor de aproximación y se transfieren al bloque por analogía de vertiente, con carácter referencial. Coordenadas del punto de muestreo = centroide del polígono (catálogo Bloques V4), no punto GPS de campo.</t>
        </is>
      </c>
    </row>
    <row r="82">
      <c r="A82" s="57" t="inlineStr">
        <is>
          <t>F-DT-02</t>
        </is>
      </c>
      <c r="B82" s="57" t="inlineStr">
        <is>
          <t>Los cuatro rasgos inventariados fueron FOTOIDENTIFICADOS sobre las tomas cenitales y oblicuas del RPAS y se sitúan en el CORREDOR DE APROXIMACIÓN (C.P. Cambrurán), no en el interior del bloque. Las coordenadas consignadas corresponden a la posición GPS del RPAS en el momento de la toma (EXIF), no a una medición instrumental sobre el rasgo. Longitud, profundidad y ancho quedan pendientes de levantamiento con cinta y GPS. El valor de erosión laminar (11.9 %) corresponde a la superficie del bloque bajo el umbral MSAVI 0.4976 (7.74 ha de 64.92 ha), obtenida por clasificación digital del plano temático MSAVI 2024. Se advierte que el Bes-cm es caducifolio: en escena de estación seca el MSAVI subestima sistemáticamente la cobertura leñosa. Socavamiento de cauce registrado en la quebrada del corredor de aproximación (incisión en fondo con bosque de galería).</t>
        </is>
      </c>
    </row>
    <row r="83">
      <c r="A83" s="56" t="inlineStr">
        <is>
          <t>F-DT-03</t>
        </is>
      </c>
      <c r="B83" s="56" t="inlineStr">
        <is>
          <t>Listado florístico PRELIMINAR y REFERENCIAL. Los taxones proceden de los nombres comunes determinados por el responsable de la evaluación sobre el registro RPAS y terrestre del 11-08-2026, obtenido en el CORREDOR DE APROXIMACIÓN (C.P. Cambrurán) y no en el interior del bloque; se transfieren al Bloque 41 por analogía de microcuenca y de faja altitudinal, conforme al protocolo de transferencia analógica del proyecto. No se instalaron parcelas de muestreo, no se efectuó colecta botánica ni medición dasométrica: los valores de altura son estimaciones fotointerpretadas y el DAP queda pendiente. DISCREPANCIA DE ECOSISTEMA: el reporte oficial de ecosistemas V5 asigna al Bloque 41 «Zona agrícola» en el 100 % de su superficie (64.92 ha), mientras que el MSAVI 2024 sitúa el 88.07 % del polígono por encima del umbral 0.4976 (42.96 % por encima de 0.6139) y el NDVI mediana 2025 clasifica el 98.90 % como «Vegetación alta». Se recomienda reconciliar la capa oficial con la lectura de sensores remotos y con el reconocimiento de campo.</t>
        </is>
      </c>
    </row>
    <row r="84">
      <c r="A84" s="57" t="inlineStr">
        <is>
          <t>F-DT-04</t>
        </is>
      </c>
      <c r="B84" s="57" t="inlineStr">
        <is>
          <t>La matriz se construyó sobre el registro del CORREDOR DE APROXIMACIÓN (10 estaciones RPAS y 2 tomas terrestres del 11-08-2026, todas fuera del polígono). Las causas marcadas «No» se registran como no observadas en el material disponible; ello NO equivale a ausencia confirmada dentro del bloque, cuyo interior no fue verificado. El cierre corresponde al diagnóstico social en el C.P. Cambrurán y a una segunda visita con recorrido interior. El Bloque 41 conserva una cobertura vegetal alta para el conjunto de la microcuenca (MSAVI 0.5927, 4.º de 11 bloques, sobre el promedio local de 0.5435): la calificación de urgencia MEDIA responde a que se trata de un bloque de VALOR DE CONSERVACIÓN con degradación focalizada en los enclaves agrícolas y el eje vial, y no de un bloque extensamente degradado.</t>
        </is>
      </c>
    </row>
    <row r="85">
      <c r="A85" s="56" t="inlineStr">
        <is>
          <t>F-DT-05</t>
        </is>
      </c>
      <c r="B85" s="56" t="inlineStr">
        <is>
          <t>Las tres fuentes inventariadas se localizan en el CORREDOR DE APROXIMACIÓN, entre 337 y 380 m del límite sur del bloque; ninguna se ubica dentro del polígono. Las coordenadas corresponden a la posición GPS del RPAS (EXIF) en el momento de la toma. La distancia a la captación poblacional, la denominación de la JASS, los tiempos de viaje desde las capitales distrital y provincial, la señal celular, el alojamiento rural y el contacto de la Ronda Campesina quedan pendientes de registro. El bloque se sitúa en la ZONA DE ORIGEN de los peligros (vertiente generadora de escorrentía de la microcuenca C1076-Q9592) y no en la zona de impacto: su función hidrológica es de interceptación, infiltración y regulación del escurrimiento hacia la red de drenaje aguas abajo.</t>
        </is>
      </c>
    </row>
  </sheetData>
  <mergeCells count="5">
    <mergeCell ref="A2:I2"/>
    <mergeCell ref="A5:I5"/>
    <mergeCell ref="A1:I1"/>
    <mergeCell ref="A3:I3"/>
    <mergeCell ref="A4:I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88"/>
  <sheetViews>
    <sheetView workbookViewId="0">
      <selection activeCell="A1" sqref="A1"/>
    </sheetView>
  </sheetViews>
  <sheetFormatPr baseColWidth="8" defaultRowHeight="15"/>
  <cols>
    <col width="44" customWidth="1" min="1" max="1"/>
    <col width="18" customWidth="1" min="2" max="2"/>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GRÁFICOS DE LA INTEGRACIÓN — BLOQUE 41</t>
        </is>
      </c>
    </row>
    <row r="7">
      <c r="A7" s="54" t="inlineStr">
        <is>
          <t>Hechos declarados por fuente</t>
        </is>
      </c>
    </row>
    <row r="8">
      <c r="A8" s="55" t="inlineStr">
        <is>
          <t>Fuente</t>
        </is>
      </c>
      <c r="B8" s="55" t="inlineStr">
        <is>
          <t>Hechos</t>
        </is>
      </c>
    </row>
    <row r="9">
      <c r="A9" s="56" t="inlineStr">
        <is>
          <t>Dato de campo</t>
        </is>
      </c>
      <c r="B9" s="56" t="n">
        <v>64</v>
      </c>
    </row>
    <row r="10">
      <c r="A10" s="57" t="inlineStr">
        <is>
          <t>Gabinete (GIS / teledetección)</t>
        </is>
      </c>
      <c r="B10" s="57" t="n">
        <v>22</v>
      </c>
    </row>
    <row r="11">
      <c r="A11" s="56" t="inlineStr">
        <is>
          <t>Fuente oficial</t>
        </is>
      </c>
      <c r="B11" s="56" t="n">
        <v>14</v>
      </c>
    </row>
    <row r="26">
      <c r="A26" s="54" t="inlineStr">
        <is>
          <t>Estado del cruce entre fuentes</t>
        </is>
      </c>
    </row>
    <row r="27">
      <c r="A27" s="55" t="inlineStr">
        <is>
          <t>Estado</t>
        </is>
      </c>
      <c r="B27" s="55" t="inlineStr">
        <is>
          <t>Hechos</t>
        </is>
      </c>
    </row>
    <row r="28">
      <c r="A28" s="56" t="inlineStr">
        <is>
          <t>CONFORME</t>
        </is>
      </c>
      <c r="B28" s="56" t="n">
        <v>99</v>
      </c>
    </row>
    <row r="29">
      <c r="A29" s="57" t="inlineStr">
        <is>
          <t>COMPLEMENTADO</t>
        </is>
      </c>
      <c r="B29" s="57" t="n">
        <v>1</v>
      </c>
    </row>
    <row r="30">
      <c r="A30" s="56" t="inlineStr">
        <is>
          <t>ACTUALIZADO</t>
        </is>
      </c>
      <c r="B30" s="56" t="n">
        <v>0</v>
      </c>
    </row>
    <row r="31">
      <c r="A31" s="57" t="inlineStr">
        <is>
          <t>DISCREPANTE</t>
        </is>
      </c>
      <c r="B31" s="57" t="n">
        <v>0</v>
      </c>
    </row>
    <row r="32">
      <c r="A32" s="56" t="inlineStr">
        <is>
          <t>PENDIENTE</t>
        </is>
      </c>
      <c r="B32" s="56" t="n">
        <v>14</v>
      </c>
    </row>
    <row r="45">
      <c r="A45" s="54" t="inlineStr">
        <is>
          <t>Cobertura por estrato — campo (%)</t>
        </is>
      </c>
    </row>
    <row r="46">
      <c r="A46" s="55" t="inlineStr">
        <is>
          <t>Estrato</t>
        </is>
      </c>
      <c r="B46" s="55" t="inlineStr">
        <is>
          <t>% del área</t>
        </is>
      </c>
    </row>
    <row r="47">
      <c r="A47" s="56" t="inlineStr">
        <is>
          <t>Dosel</t>
        </is>
      </c>
      <c r="B47" s="61" t="n">
        <v>45</v>
      </c>
    </row>
    <row r="48">
      <c r="A48" s="57" t="inlineStr">
        <is>
          <t>Herbácea</t>
        </is>
      </c>
      <c r="B48" s="62" t="n">
        <v>20</v>
      </c>
    </row>
    <row r="49">
      <c r="A49" s="56" t="inlineStr">
        <is>
          <t>Suelo desnudo</t>
        </is>
      </c>
      <c r="B49" s="61" t="n">
        <v>10</v>
      </c>
    </row>
    <row r="64">
      <c r="A64" s="54" t="inlineStr">
        <is>
          <t>Causas activas de degradación (F-DT-04)</t>
        </is>
      </c>
    </row>
    <row r="65">
      <c r="A65" s="55" t="inlineStr">
        <is>
          <t>Causa</t>
        </is>
      </c>
      <c r="B65" s="55" t="inlineStr">
        <is>
          <t>Intensidad (1 ligera - 4 muy fuerte)</t>
        </is>
      </c>
    </row>
    <row r="66">
      <c r="A66" s="56" t="inlineStr">
        <is>
          <t>Cambio de uso a agricultura</t>
        </is>
      </c>
      <c r="B66" s="56" t="n">
        <v>2</v>
      </c>
    </row>
    <row r="67">
      <c r="A67" s="57" t="inlineStr">
        <is>
          <t>Cambio de uso a pastoreo</t>
        </is>
      </c>
      <c r="B67" s="57" t="n">
        <v>2</v>
      </c>
    </row>
    <row r="68">
      <c r="A68" s="56" t="inlineStr">
        <is>
          <t>Sobrepastoreo (caprino/vacuno)</t>
        </is>
      </c>
      <c r="B68" s="56" t="n">
        <v>2</v>
      </c>
    </row>
    <row r="69">
      <c r="A69" s="57" t="inlineStr">
        <is>
          <t>Especies invasoras</t>
        </is>
      </c>
      <c r="B69" s="57" t="n">
        <v>1</v>
      </c>
    </row>
    <row r="70">
      <c r="A70" s="56" t="inlineStr">
        <is>
          <t>Expansión urbana / vial</t>
        </is>
      </c>
      <c r="B70" s="56" t="n">
        <v>1</v>
      </c>
    </row>
    <row r="71">
      <c r="A71" s="57" t="inlineStr">
        <is>
          <t>Sequía prolongada / CC</t>
        </is>
      </c>
      <c r="B71" s="57" t="n">
        <v>1</v>
      </c>
    </row>
    <row r="83">
      <c r="A83" s="54" t="inlineStr">
        <is>
          <t>Control de consistencia por calificación</t>
        </is>
      </c>
    </row>
    <row r="84">
      <c r="A84" s="55" t="inlineStr">
        <is>
          <t>Calificación</t>
        </is>
      </c>
      <c r="B84" s="55" t="inlineStr">
        <is>
          <t>Verificaciones</t>
        </is>
      </c>
    </row>
    <row r="85">
      <c r="A85" s="56" t="inlineStr">
        <is>
          <t>SUSTANTIVA</t>
        </is>
      </c>
      <c r="B85" s="56" t="n">
        <v>2</v>
      </c>
    </row>
    <row r="86">
      <c r="A86" s="57" t="inlineStr">
        <is>
          <t>NO SUSTANTIVA</t>
        </is>
      </c>
      <c r="B86" s="57" t="n">
        <v>1</v>
      </c>
    </row>
    <row r="87">
      <c r="A87" s="56" t="inlineStr">
        <is>
          <t>CORREGIDO</t>
        </is>
      </c>
      <c r="B87" s="56" t="n">
        <v>0</v>
      </c>
    </row>
    <row r="88">
      <c r="A88" s="57" t="inlineStr">
        <is>
          <t>CONFORME</t>
        </is>
      </c>
      <c r="B88" s="57" t="n">
        <v>11</v>
      </c>
    </row>
  </sheetData>
  <mergeCells count="5">
    <mergeCell ref="A1:H1"/>
    <mergeCell ref="A4:H4"/>
    <mergeCell ref="A3:H3"/>
    <mergeCell ref="A2:H2"/>
    <mergeCell ref="A5:H5"/>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41 — IN Piura</dc:title>
  <dc:subject>Diagnóstico Territorial por bloque de intervención</dc:subject>
  <dcterms:created xsi:type="dcterms:W3CDTF">2026-09-08T03:39:56Z</dcterms:created>
  <dcterms:modified xsi:type="dcterms:W3CDTF">2026-09-11T21:26:26Z</dcterms:modified>
</cp:coreProperties>
</file>