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PREDIAL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CATALOGO_V6" sheetId="3" state="visible" r:id="rId3"/>
    <sheet xmlns:r="http://schemas.openxmlformats.org/officeDocument/2006/relationships" name="LISTAS" sheetId="4" state="visible" r:id="rId4"/>
  </sheets>
  <definedNames>
    <definedName name="CAT_COD">CATALOGO_V6!$A$8:$A$184</definedName>
    <definedName name="CAT_TIPO">CATALOGO_V6!$B$8:$B$184</definedName>
    <definedName name="CAT_PROV">CATALOGO_V6!$C$8:$C$184</definedName>
    <definedName name="CAT_DIST">CATALOGO_V6!$D$8:$D$184</definedName>
    <definedName name="CAT_AREA">CATALOGO_V6!$E$8:$E$184</definedName>
    <definedName name="CAT_ASIS">CATALOGO_V6!$H$8:$H$184</definedName>
    <definedName name="CAT_ASIS_NOM">CATALOGO_V6!$I$8:$I$184</definedName>
    <definedName name="L_asistente">LISTAS!$A$4:$A$10</definedName>
    <definedName name="L_si_no">LISTAS!$B$4:$B$5</definedName>
    <definedName name="L_aceptacion">LISTAS!$C$4:$C$7</definedName>
    <definedName name="L_tipo_titularidad">LISTAS!$D$4:$D$10</definedName>
    <definedName name="L_sucesion_estado">LISTAS!$E$4:$E$6</definedName>
    <definedName name="L_estado_civil">LISTAS!$F$4:$F$8</definedName>
    <definedName name="L_docs_exhibidos">LISTAS!$G$4:$G$11</definedName>
    <definedName name="L_uso_actual">LISTAS!$H$4:$H$10</definedName>
    <definedName name="L_ocupacion">LISTAS!$I$4:$I$8</definedName>
    <definedName name="L_estado_la">LISTAS!$J$4:$J$10</definedName>
    <definedName name="L_interferencias">LISTAS!$K$4:$K$12</definedName>
    <definedName name="L_conclusion_campo">LISTAS!$L$4:$L$6</definedName>
    <definedName name="L_tipo_acta">LISTAS!$M$4:$M$6</definedName>
    <definedName name="L_pt_tipo">LISTAS!$N$4:$N$6</definedName>
    <definedName name="L_modalidad">LISTAS!$O$4:$O$7</definedName>
    <definedName name="L_acceso_tipo">LISTAS!$P$4:$P$7</definedName>
    <definedName name="L_personeria">LISTAS!$Q$4:$Q$5</definedName>
    <definedName name="L_sit_registral">LISTAS!$R$4:$R$7</definedName>
    <definedName name="L_departamento">LISTAS!$S$4:$S$4</definedName>
    <definedName name="L_dep_domicilio">LISTAS!$T$4:$T$9</definedName>
    <definedName name="L_prov_domicilio">LISTAS!$U$4:$U$12</definedName>
    <definedName name="L_cargo_rep">LISTAS!$V$4:$V$8</definedName>
    <definedName name="L_tipo_predio">LISTAS!$W$4:$W$7</definedName>
    <definedName name="L_edificaciones">LISTAS!$X$4:$X$11</definedName>
    <definedName name="L_pendiente">LISTAS!$Y$4:$Y$9</definedName>
    <definedName name="L_erosion">LISTAS!$Z$4:$Z$8</definedName>
    <definedName name="L_cobertura">LISTAS!$AA$4:$AA$8</definedName>
    <definedName name="L_tipo_colindante">LISTAS!$AB$4:$AB$10</definedName>
    <definedName name="L_und_medida">LISTAS!$AC$4:$AC$8</definedName>
    <definedName name="L_material">LISTAS!$AD$4:$AD$13</definedName>
    <definedName name="L_conservacion">LISTAS!$AE$4:$AE$6</definedName>
    <definedName name="L_construccion">LISTAS!$AF$4:$AF$6</definedName>
    <definedName name="L_intervencion">LISTAS!$AG$4:$AG$13</definedName>
    <definedName name="L_cond_natural">LISTAS!$AH$4:$AH$6</definedName>
    <definedName name="L_cond_juridica">LISTAS!$AI$4:$AI$5</definedName>
    <definedName name="L_provincia">LISTAS!$AJ$4:$AJ$6</definedName>
    <definedName name="D_Ayabaca">LISTAS!$AK$4:$AK$4</definedName>
    <definedName name="D_Huancabamba">LISTAS!$AL$4:$AL$8</definedName>
    <definedName name="D_Morropon">LISTAS!$AM$4:$AM$12</definedName>
    <definedName name="L_distrito_15">LISTAS!$AN$4:$AN$18</definedName>
    <definedName name="U_AP_1">LISTAS!$AO$4:$AO$26</definedName>
    <definedName name="U_AP_2">LISTAS!$AP$4:$AP$37</definedName>
    <definedName name="U_AP_3">LISTAS!$AQ$4:$AQ$13</definedName>
    <definedName name="U_AP_4">LISTAS!$AR$4:$AR$36</definedName>
    <definedName name="U_AP_5">LISTAS!$AS$4:$AS$38</definedName>
    <definedName name="U_AP_6">LISTAS!$AT$4:$AT$32</definedName>
    <definedName name="U_ESP">LISTAS!$AU$4:$AU$180</definedName>
    <definedName name="_xlnm.Print_Area" localSheetId="0">'FICHA PREDIAL'!$A$1:$Y$161</definedName>
    <definedName name="_xlnm._FilterDatabase" localSheetId="1" hidden="1">'INSTRUCCIONES'!$A$33:$E$130</definedName>
    <definedName name="_xlnm._FilterDatabase" localSheetId="2" hidden="1">'CATALOGO_V6'!$A$7:$I$184</definedName>
    <definedName name="_xlnm.Print_Titles" localSheetId="2">'CATALOGO_V6'!$7:$7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0"/>
    <numFmt numFmtId="165" formatCode="dd/mm/yyyy"/>
    <numFmt numFmtId="166" formatCode="#,##0.0"/>
    <numFmt numFmtId="167" formatCode="0.0"/>
    <numFmt numFmtId="168" formatCode="#,##0.0000"/>
    <numFmt numFmtId="169" formatCode="0.0%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B4D2E"/>
      <sz val="15"/>
    </font>
    <font>
      <name val="Arial"/>
      <b val="1"/>
      <color rgb="00FFFFFF"/>
      <sz val="8"/>
    </font>
    <font>
      <name val="Arial"/>
      <i val="1"/>
      <color rgb="001B4D2E"/>
      <sz val="8"/>
    </font>
    <font>
      <name val="Arial"/>
      <i val="1"/>
      <color rgb="007F7F7F"/>
      <sz val="7"/>
    </font>
    <font>
      <name val="Arial"/>
      <b val="1"/>
      <color rgb="001B4D2E"/>
      <sz val="8"/>
    </font>
    <font>
      <name val="Arial"/>
      <b val="1"/>
      <sz val="8"/>
    </font>
    <font>
      <name val="Arial"/>
      <i val="1"/>
      <color rgb="001F3B2A"/>
      <sz val="9"/>
    </font>
    <font>
      <name val="Arial"/>
      <color rgb="00000000"/>
      <sz val="9"/>
    </font>
    <font>
      <name val="Arial"/>
      <b val="1"/>
      <color rgb="001B4D2E"/>
      <sz val="12"/>
    </font>
    <font>
      <name val="Arial"/>
      <b val="1"/>
      <color rgb="001B4D2E"/>
      <sz val="9"/>
    </font>
    <font>
      <name val="Arial"/>
      <b val="1"/>
      <sz val="7"/>
    </font>
    <font>
      <name val="Arial"/>
      <sz val="9"/>
    </font>
    <font>
      <name val="Arial"/>
      <sz val="7"/>
    </font>
    <font>
      <name val="Arial"/>
      <i val="1"/>
      <color rgb="007F7F7F"/>
      <sz val="6"/>
    </font>
    <font>
      <name val="Arial"/>
      <b val="1"/>
      <color rgb="001B4D2E"/>
    </font>
    <font>
      <name val="Arial"/>
      <i val="1"/>
      <sz val="9"/>
    </font>
    <font>
      <name val="Arial"/>
      <sz val="8"/>
    </font>
    <font>
      <name val="Arial"/>
      <b val="1"/>
      <color rgb="001B4D2E"/>
      <sz val="11"/>
    </font>
    <font>
      <name val="Arial"/>
      <i val="1"/>
      <color rgb="007F7F7F"/>
      <sz val="8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B4D2E"/>
      </patternFill>
    </fill>
    <fill>
      <patternFill patternType="solid">
        <fgColor rgb="00F2F5F3"/>
      </patternFill>
    </fill>
    <fill>
      <patternFill patternType="solid">
        <fgColor rgb="00EDEDED"/>
      </patternFill>
    </fill>
    <fill>
      <patternFill patternType="solid">
        <fgColor rgb="00E2F0D9"/>
      </patternFill>
    </fill>
    <fill>
      <patternFill patternType="solid">
        <fgColor rgb="00C6D9CC"/>
      </patternFill>
    </fill>
    <fill>
      <patternFill patternType="solid">
        <fgColor rgb="00FFFFFF"/>
      </patternFill>
    </fill>
    <fill>
      <patternFill patternType="solid">
        <fgColor rgb="00E8F0EA"/>
      </patternFill>
    </fill>
  </fills>
  <borders count="2">
    <border>
      <left/>
      <right/>
      <top/>
      <bottom/>
      <diagonal/>
    </border>
    <border>
      <left style="thin">
        <color rgb="008C9A90"/>
      </left>
      <right style="thin">
        <color rgb="008C9A90"/>
      </right>
      <top style="thin">
        <color rgb="008C9A90"/>
      </top>
      <bottom style="thin">
        <color rgb="008C9A90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1" applyAlignment="1" pivotButton="0" quotePrefix="0" xfId="0">
      <alignment horizontal="center"/>
    </xf>
    <xf numFmtId="0" fontId="0" fillId="2" borderId="1" pivotButton="0" quotePrefix="0" xfId="0"/>
    <xf numFmtId="0" fontId="7" fillId="0" borderId="0" pivotButton="0" quotePrefix="0" xfId="0"/>
    <xf numFmtId="0" fontId="11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vertical="center" wrapText="1"/>
    </xf>
    <xf numFmtId="0" fontId="8" fillId="3" borderId="1" applyAlignment="1" pivotButton="0" quotePrefix="0" xfId="0">
      <alignment horizontal="left" vertical="center" wrapText="1" indent="1"/>
    </xf>
    <xf numFmtId="0" fontId="0" fillId="3" borderId="1" pivotButton="0" quotePrefix="0" xfId="0"/>
    <xf numFmtId="0" fontId="9" fillId="4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6" fillId="0" borderId="0" applyAlignment="1" pivotButton="0" quotePrefix="0" xfId="0">
      <alignment vertical="center"/>
    </xf>
    <xf numFmtId="49" fontId="10" fillId="5" borderId="1" applyAlignment="1" pivotButton="0" quotePrefix="0" xfId="0">
      <alignment horizontal="left" vertical="center" wrapText="1"/>
    </xf>
    <xf numFmtId="164" fontId="9" fillId="4" borderId="1" applyAlignment="1" pivotButton="0" quotePrefix="0" xfId="0">
      <alignment horizontal="right" vertical="center" wrapText="1"/>
    </xf>
    <xf numFmtId="0" fontId="10" fillId="0" borderId="1" applyAlignment="1" pivotButton="0" quotePrefix="0" xfId="0">
      <alignment horizontal="center" vertical="center" wrapText="1"/>
    </xf>
    <xf numFmtId="165" fontId="10" fillId="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49" fontId="10" fillId="0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vertical="center" wrapText="1"/>
    </xf>
    <xf numFmtId="0" fontId="0" fillId="6" borderId="1" pivotButton="0" quotePrefix="0" xfId="0"/>
    <xf numFmtId="49" fontId="10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166" fontId="10" fillId="0" borderId="1" applyAlignment="1" pivotButton="0" quotePrefix="0" xfId="0">
      <alignment horizontal="right" vertical="center" wrapText="1"/>
    </xf>
    <xf numFmtId="3" fontId="10" fillId="0" borderId="1" applyAlignment="1" pivotButton="0" quotePrefix="0" xfId="0">
      <alignment horizontal="right" vertical="center" wrapText="1"/>
    </xf>
    <xf numFmtId="167" fontId="10" fillId="0" borderId="1" applyAlignment="1" pivotButton="0" quotePrefix="0" xfId="0">
      <alignment horizontal="right" vertical="center" wrapText="1"/>
    </xf>
    <xf numFmtId="168" fontId="10" fillId="0" borderId="1" applyAlignment="1" pivotButton="0" quotePrefix="0" xfId="0">
      <alignment horizontal="right" vertical="center" wrapText="1"/>
    </xf>
    <xf numFmtId="4" fontId="10" fillId="0" borderId="1" applyAlignment="1" pivotButton="0" quotePrefix="0" xfId="0">
      <alignment horizontal="right" vertical="center" wrapText="1"/>
    </xf>
    <xf numFmtId="4" fontId="9" fillId="4" borderId="1" applyAlignment="1" pivotButton="0" quotePrefix="0" xfId="0">
      <alignment horizontal="right" vertical="center" wrapText="1"/>
    </xf>
    <xf numFmtId="169" fontId="9" fillId="4" borderId="1" applyAlignment="1" pivotButton="0" quotePrefix="0" xfId="0">
      <alignment horizontal="right" vertical="center" wrapText="1"/>
    </xf>
    <xf numFmtId="0" fontId="8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/>
    </xf>
    <xf numFmtId="0" fontId="13" fillId="3" borderId="1" applyAlignment="1" pivotButton="0" quotePrefix="0" xfId="0">
      <alignment vertical="center" wrapText="1"/>
    </xf>
    <xf numFmtId="0" fontId="13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16" fillId="0" borderId="0" applyAlignment="1" pivotButton="0" quotePrefix="0" xfId="0">
      <alignment vertical="center" wrapText="1"/>
    </xf>
    <xf numFmtId="0" fontId="1" fillId="2" borderId="0" pivotButton="0" quotePrefix="0" xfId="0"/>
    <xf numFmtId="0" fontId="11" fillId="0" borderId="0" pivotButton="0" quotePrefix="0" xfId="0"/>
    <xf numFmtId="0" fontId="14" fillId="0" borderId="0" applyAlignment="1" pivotButton="0" quotePrefix="0" xfId="0">
      <alignment vertical="top" wrapText="1"/>
    </xf>
    <xf numFmtId="0" fontId="17" fillId="0" borderId="0" pivotButton="0" quotePrefix="0" xfId="0"/>
    <xf numFmtId="0" fontId="14" fillId="0" borderId="0" pivotButton="0" quotePrefix="0" xfId="0"/>
    <xf numFmtId="0" fontId="0" fillId="7" borderId="1" pivotButton="0" quotePrefix="0" xfId="0"/>
    <xf numFmtId="0" fontId="2" fillId="2" borderId="1" pivotButton="0" quotePrefix="0" xfId="0"/>
    <xf numFmtId="0" fontId="14" fillId="0" borderId="1" pivotButton="0" quotePrefix="0" xfId="0"/>
    <xf numFmtId="0" fontId="18" fillId="0" borderId="0" pivotButton="0" quotePrefix="0" xfId="0"/>
    <xf numFmtId="0" fontId="19" fillId="0" borderId="1" applyAlignment="1" pivotButton="0" quotePrefix="0" xfId="0">
      <alignment vertical="center" wrapText="1"/>
    </xf>
    <xf numFmtId="0" fontId="19" fillId="8" borderId="1" applyAlignment="1" pivotButton="0" quotePrefix="0" xfId="0">
      <alignment vertical="center" wrapText="1"/>
    </xf>
    <xf numFmtId="0" fontId="20" fillId="0" borderId="0" pivotButton="0" quotePrefix="0" xfId="0"/>
    <xf numFmtId="0" fontId="2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49" fontId="14" fillId="8" borderId="1" pivotButton="0" quotePrefix="0" xfId="0"/>
    <xf numFmtId="0" fontId="14" fillId="8" borderId="1" pivotButton="0" quotePrefix="0" xfId="0"/>
    <xf numFmtId="164" fontId="14" fillId="8" borderId="1" pivotButton="0" quotePrefix="0" xfId="0"/>
    <xf numFmtId="49" fontId="14" fillId="0" borderId="1" pivotButton="0" quotePrefix="0" xfId="0"/>
    <xf numFmtId="164" fontId="14" fillId="0" borderId="1" pivotButton="0" quotePrefix="0" xfId="0"/>
    <xf numFmtId="0" fontId="22" fillId="0" borderId="1" pivotButton="0" quotePrefix="0" xfId="0"/>
    <xf numFmtId="1" fontId="22" fillId="0" borderId="1" pivotButton="0" quotePrefix="0" xfId="0"/>
    <xf numFmtId="164" fontId="22" fillId="0" borderId="1" pivotButton="0" quotePrefix="0" xfId="0"/>
    <xf numFmtId="0" fontId="4" fillId="2" borderId="0" pivotButton="0" quotePrefix="0" xfId="0"/>
    <xf numFmtId="49" fontId="19" fillId="0" borderId="0" pivotButton="0" quotePrefix="0" xfId="0"/>
  </cellXfs>
  <cellStyles count="1">
    <cellStyle name="Normal" xfId="0" builtinId="0" hidden="0"/>
  </cellStyles>
  <dxfs count="2">
    <dxf>
      <font>
        <name val="Arial"/>
        <b val="1"/>
        <color rgb="009C5700"/>
      </font>
      <fill>
        <patternFill patternType="solid">
          <fgColor rgb="00FFEB9C"/>
        </patternFill>
      </fill>
    </dxf>
    <dxf>
      <font>
        <name val="Arial"/>
        <b val="1"/>
        <color rgb="001B4D2E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D2E"/>
    <outlinePr summaryBelow="1" summaryRight="1"/>
    <pageSetUpPr fitToPage="1"/>
  </sheetPr>
  <dimension ref="B1:AA161"/>
  <sheetViews>
    <sheetView showGridLines="0" zoomScale="110" workbookViewId="0">
      <selection activeCell="A1" sqref="A1"/>
    </sheetView>
  </sheetViews>
  <sheetFormatPr baseColWidth="8" defaultRowHeight="15"/>
  <cols>
    <col width="1.5" customWidth="1" min="1" max="1"/>
    <col width="4.6" customWidth="1" min="2" max="2"/>
    <col width="4.6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2" customWidth="1" min="26" max="26"/>
    <col width="30" customWidth="1" min="27" max="27"/>
  </cols>
  <sheetData>
    <row r="1">
      <c r="B1" s="1" t="inlineStr">
        <is>
          <t>AUTORIDAD NACIONAL DE INFRAESTRUCTURA - ANIN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>
      <c r="B2" s="3" t="inlineStr">
        <is>
          <t>DIRECCIÓN DE INTERVENCIONES MULTISECTORIALES Y DE EMERGENCIA - DIME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>
      <c r="B3" s="3" t="inlineStr">
        <is>
          <t>SUBDIRECCIÓN DE ESTUDIOS DE INVERSIÓN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 ht="5" customHeight="1"/>
    <row r="5">
      <c r="B5" s="4" t="inlineStr">
        <is>
          <t>FICHA TÉCNICA PREDIAL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6" t="inlineStr">
        <is>
          <t>CÓDIGO DE PREDIO</t>
        </is>
      </c>
      <c r="T5" s="7" t="n"/>
      <c r="U5" s="7" t="n"/>
      <c r="V5" s="7" t="n"/>
      <c r="W5" s="7" t="n"/>
      <c r="X5" s="7" t="n"/>
      <c r="Y5" s="7" t="n"/>
      <c r="AA5" s="8" t="inlineStr">
        <is>
          <t>CAMPO KOBO (XLSForm F-LA)</t>
        </is>
      </c>
    </row>
    <row r="6"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9">
        <f>S16</f>
        <v/>
      </c>
      <c r="T6" s="10" t="n"/>
      <c r="U6" s="10" t="n"/>
      <c r="V6" s="10" t="n"/>
      <c r="W6" s="10" t="n"/>
      <c r="X6" s="10" t="n"/>
      <c r="Y6" s="10" t="n"/>
    </row>
    <row r="7">
      <c r="B7" s="11" t="inlineStr">
        <is>
          <t>Liberación de áreas · Equivalente a los formularios KoboToolbox F-LA-02 (ficha predial y socio-territorial) y F-LA-03 (inspección in situ y croquis)</t>
        </is>
      </c>
    </row>
    <row r="8">
      <c r="B8" s="12" t="inlineStr">
        <is>
          <t>Proyecto IN Piura – CUI 2669244 · Coordenadas UTM WGS84 Zona 17S (EPSG:32717) · Versión FP-2026.10</t>
        </is>
      </c>
    </row>
    <row r="9" ht="4" customHeight="1"/>
    <row r="10" ht="18" customHeight="1">
      <c r="B10" s="13" t="inlineStr">
        <is>
          <t xml:space="preserve">  DATOS GENERALES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</row>
    <row r="11" ht="26" customHeight="1">
      <c r="B11" s="14" t="inlineStr">
        <is>
          <t>PROYECTO</t>
        </is>
      </c>
      <c r="C11" s="15" t="n"/>
      <c r="D11" s="15" t="n"/>
      <c r="E11" s="15" t="n"/>
      <c r="F11" s="15" t="n"/>
      <c r="G11" s="16" t="inlineStr">
        <is>
          <t>Recuperación del servicio de regulación de riesgos naturales y recuperación de ecosistemas degradados en la Cuenca Alta del Río Piura – Proyecto IN Piura (CUI 2669244)</t>
        </is>
      </c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</row>
    <row r="12">
      <c r="B12" s="14" t="inlineStr">
        <is>
          <t>SOLICITANTE</t>
        </is>
      </c>
      <c r="C12" s="15" t="n"/>
      <c r="D12" s="15" t="n"/>
      <c r="E12" s="15" t="n"/>
      <c r="F12" s="15" t="n"/>
      <c r="G12" s="16" t="inlineStr">
        <is>
          <t>AUTORIDAD NACIONAL DE INFRAESTRUCTURA – ANIN (DIME – SESDI)</t>
        </is>
      </c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</row>
    <row r="13">
      <c r="B13" s="14" t="inlineStr">
        <is>
          <t>ASISTENTE PREDIAL</t>
        </is>
      </c>
      <c r="C13" s="15" t="n"/>
      <c r="D13" s="15" t="n"/>
      <c r="E13" s="15" t="n"/>
      <c r="F13" s="15" t="n"/>
      <c r="G13" s="17" t="n"/>
      <c r="H13" s="18" t="n"/>
      <c r="I13" s="18" t="n"/>
      <c r="J13" s="18" t="n"/>
      <c r="K13" s="18" t="n"/>
      <c r="L13" s="18" t="n"/>
      <c r="M13" s="18" t="n"/>
      <c r="N13" s="14" t="inlineStr">
        <is>
          <t>NOMBRE DEL ASISTENTE</t>
        </is>
      </c>
      <c r="O13" s="15" t="n"/>
      <c r="P13" s="15" t="n"/>
      <c r="Q13" s="15" t="n"/>
      <c r="R13" s="15" t="n"/>
      <c r="S13" s="16">
        <f>IF(G13="","",IF(G13="ESP","Especialista (ESP)",IFERROR(INDEX(CAT_ASIS_NOM,MATCH(G13,CAT_ASIS,0)),"")))</f>
        <v/>
      </c>
      <c r="T13" s="10" t="n"/>
      <c r="U13" s="10" t="n"/>
      <c r="V13" s="10" t="n"/>
      <c r="W13" s="10" t="n"/>
      <c r="X13" s="10" t="n"/>
      <c r="Y13" s="10" t="n"/>
      <c r="AA13" s="19" t="inlineStr">
        <is>
          <t>asistente</t>
        </is>
      </c>
    </row>
    <row r="14">
      <c r="B14" s="14" t="inlineStr">
        <is>
          <t>CÓDIGO DE LA UNIDAD (BLOQUE / LOTE SUS)</t>
        </is>
      </c>
      <c r="C14" s="15" t="n"/>
      <c r="D14" s="15" t="n"/>
      <c r="E14" s="15" t="n"/>
      <c r="F14" s="15" t="n"/>
      <c r="G14" s="20" t="n"/>
      <c r="H14" s="18" t="n"/>
      <c r="I14" s="18" t="n"/>
      <c r="J14" s="18" t="n"/>
      <c r="K14" s="18" t="n"/>
      <c r="L14" s="18" t="n"/>
      <c r="M14" s="18" t="n"/>
      <c r="N14" s="14" t="inlineStr">
        <is>
          <t>TIPO DE UNIDAD</t>
        </is>
      </c>
      <c r="O14" s="15" t="n"/>
      <c r="P14" s="15" t="n"/>
      <c r="Q14" s="15" t="n"/>
      <c r="R14" s="15" t="n"/>
      <c r="S14" s="16">
        <f>IF(G14="","",IFERROR(INDEX(CAT_TIPO,MATCH(G14&amp;"",CAT_COD,0)),"⚠ No figura en el catálogo V6"))</f>
        <v/>
      </c>
      <c r="T14" s="10" t="n"/>
      <c r="U14" s="10" t="n"/>
      <c r="V14" s="10" t="n"/>
      <c r="W14" s="10" t="n"/>
      <c r="X14" s="10" t="n"/>
      <c r="Y14" s="10" t="n"/>
      <c r="AA14" s="19" t="inlineStr">
        <is>
          <t>tipo_unidad (calculado)</t>
        </is>
      </c>
    </row>
    <row r="15">
      <c r="B15" s="14" t="inlineStr">
        <is>
          <t>UBICACIÓN SEGÚN CATÁLOGO V6</t>
        </is>
      </c>
      <c r="C15" s="15" t="n"/>
      <c r="D15" s="15" t="n"/>
      <c r="E15" s="15" t="n"/>
      <c r="F15" s="15" t="n"/>
      <c r="G15" s="16">
        <f>IF(G14="","",IFERROR(INDEX(CAT_DIST,MATCH(G14&amp;"",CAT_COD,0))&amp;" – "&amp;INDEX(CAT_PROV,MATCH(G14&amp;"",CAT_COD,0))&amp;" – Piura",""))</f>
        <v/>
      </c>
      <c r="H15" s="10" t="n"/>
      <c r="I15" s="10" t="n"/>
      <c r="J15" s="10" t="n"/>
      <c r="K15" s="10" t="n"/>
      <c r="L15" s="10" t="n"/>
      <c r="M15" s="10" t="n"/>
      <c r="N15" s="14" t="inlineStr">
        <is>
          <t>ÁREA DE LA UNIDAD (ha)</t>
        </is>
      </c>
      <c r="O15" s="15" t="n"/>
      <c r="P15" s="15" t="n"/>
      <c r="Q15" s="15" t="n"/>
      <c r="R15" s="15" t="n"/>
      <c r="S15" s="21">
        <f>IF(G14="","",IFERROR(INDEX(CAT_AREA,MATCH(G14&amp;"",CAT_COD,0)),""))</f>
        <v/>
      </c>
      <c r="T15" s="10" t="n"/>
      <c r="U15" s="10" t="n"/>
      <c r="V15" s="10" t="n"/>
      <c r="W15" s="10" t="n"/>
      <c r="X15" s="10" t="n"/>
      <c r="Y15" s="10" t="n"/>
    </row>
    <row r="16">
      <c r="B16" s="14" t="inlineStr">
        <is>
          <t>N° DE PREDIO EN LA UNIDAD</t>
        </is>
      </c>
      <c r="C16" s="15" t="n"/>
      <c r="D16" s="15" t="n"/>
      <c r="E16" s="15" t="n"/>
      <c r="F16" s="15" t="n"/>
      <c r="G16" s="22" t="n"/>
      <c r="H16" s="5" t="n"/>
      <c r="I16" s="5" t="n"/>
      <c r="J16" s="5" t="n"/>
      <c r="K16" s="5" t="n"/>
      <c r="L16" s="5" t="n"/>
      <c r="M16" s="5" t="n"/>
      <c r="N16" s="14" t="inlineStr">
        <is>
          <t>CÓDIGO DE PREDIO</t>
        </is>
      </c>
      <c r="O16" s="15" t="n"/>
      <c r="P16" s="15" t="n"/>
      <c r="Q16" s="15" t="n"/>
      <c r="R16" s="15" t="n"/>
      <c r="S16" s="16">
        <f>IF(OR(G14="",G16=""),"",G14&amp;"-P"&amp;TEXT(G16,"00"))</f>
        <v/>
      </c>
      <c r="T16" s="10" t="n"/>
      <c r="U16" s="10" t="n"/>
      <c r="V16" s="10" t="n"/>
      <c r="W16" s="10" t="n"/>
      <c r="X16" s="10" t="n"/>
      <c r="Y16" s="10" t="n"/>
      <c r="AA16" s="19" t="inlineStr">
        <is>
          <t>cod_predio (calculado)</t>
        </is>
      </c>
    </row>
    <row r="17">
      <c r="B17" s="14" t="inlineStr">
        <is>
          <t>FECHA DE INSPECCIÓN</t>
        </is>
      </c>
      <c r="C17" s="15" t="n"/>
      <c r="D17" s="15" t="n"/>
      <c r="E17" s="15" t="n"/>
      <c r="F17" s="15" t="n"/>
      <c r="G17" s="23" t="n"/>
      <c r="H17" s="5" t="n"/>
      <c r="I17" s="5" t="n"/>
      <c r="J17" s="5" t="n"/>
      <c r="K17" s="5" t="n"/>
      <c r="L17" s="5" t="n"/>
      <c r="M17" s="5" t="n"/>
      <c r="N17" s="14" t="inlineStr">
        <is>
          <t>FECHA DE REGISTRO</t>
        </is>
      </c>
      <c r="O17" s="15" t="n"/>
      <c r="P17" s="15" t="n"/>
      <c r="Q17" s="15" t="n"/>
      <c r="R17" s="15" t="n"/>
      <c r="S17" s="23" t="n"/>
      <c r="T17" s="5" t="n"/>
      <c r="U17" s="5" t="n"/>
      <c r="V17" s="5" t="n"/>
      <c r="W17" s="5" t="n"/>
      <c r="X17" s="5" t="n"/>
      <c r="Y17" s="5" t="n"/>
      <c r="AA17" s="19" t="inlineStr">
        <is>
          <t>hoy</t>
        </is>
      </c>
    </row>
    <row r="18">
      <c r="B18" s="14" t="inlineStr">
        <is>
          <t>CONSENTIMIENTO USO DE DATOS PERSONALES (LEY 29733)</t>
        </is>
      </c>
      <c r="C18" s="15" t="n"/>
      <c r="D18" s="15" t="n"/>
      <c r="E18" s="15" t="n"/>
      <c r="F18" s="15" t="n"/>
      <c r="G18" s="24" t="n"/>
      <c r="H18" s="18" t="n"/>
      <c r="I18" s="18" t="n"/>
      <c r="J18" s="18" t="n"/>
      <c r="K18" s="18" t="n"/>
      <c r="L18" s="18" t="n"/>
      <c r="M18" s="18" t="n"/>
      <c r="N18" s="14" t="inlineStr">
        <is>
          <t>CONTROL DE ASIGNACIÓN</t>
        </is>
      </c>
      <c r="O18" s="15" t="n"/>
      <c r="P18" s="15" t="n"/>
      <c r="Q18" s="15" t="n"/>
      <c r="R18" s="15" t="n"/>
      <c r="S18" s="16">
        <f>IF(OR(G13="",G14=""),"",IF(ISNA(MATCH(G14&amp;"",CAT_COD,0)),"⚠ Unidad fuera del catálogo V6",IF(G13="ESP","Especialista: acceso a todas las unidades",IF(INDEX(CAT_ASIS,MATCH(G14&amp;"",CAT_COD,0))=G13,"✔ Unidad asignada al asistente","⚠ Asignada a "&amp;INDEX(CAT_ASIS,MATCH(G14&amp;"",CAT_COD,0))))))</f>
        <v/>
      </c>
      <c r="T18" s="10" t="n"/>
      <c r="U18" s="10" t="n"/>
      <c r="V18" s="10" t="n"/>
      <c r="W18" s="10" t="n"/>
      <c r="X18" s="10" t="n"/>
      <c r="Y18" s="10" t="n"/>
      <c r="AA18" s="19" t="inlineStr">
        <is>
          <t>consentimiento</t>
        </is>
      </c>
    </row>
    <row r="19" ht="4" customHeight="1"/>
    <row r="20" ht="18" customHeight="1">
      <c r="B20" s="13" t="inlineStr">
        <is>
          <t xml:space="preserve">  1. CONTROL E IDENTIFICACIÓN DEL PREDIO MATRIZ (TITULARIDAD REGISTRAL)</t>
        </is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</row>
    <row r="21">
      <c r="B21" s="14" t="inlineStr">
        <is>
          <t>SITUACIÓN REGISTRAL</t>
        </is>
      </c>
      <c r="C21" s="15" t="n"/>
      <c r="D21" s="15" t="n"/>
      <c r="E21" s="15" t="n"/>
      <c r="F21" s="15" t="n"/>
      <c r="G21" s="17" t="n"/>
      <c r="H21" s="18" t="n"/>
      <c r="I21" s="18" t="n"/>
      <c r="J21" s="18" t="n"/>
      <c r="K21" s="18" t="n"/>
      <c r="L21" s="18" t="n"/>
      <c r="M21" s="18" t="n"/>
      <c r="N21" s="14" t="inlineStr">
        <is>
          <t>PARTIDA ELECTRÓNICA / N° TÍTULO</t>
        </is>
      </c>
      <c r="O21" s="15" t="n"/>
      <c r="P21" s="15" t="n"/>
      <c r="Q21" s="15" t="n"/>
      <c r="R21" s="15" t="n"/>
      <c r="S21" s="25" t="n"/>
      <c r="T21" s="5" t="n"/>
      <c r="U21" s="5" t="n"/>
      <c r="V21" s="5" t="n"/>
      <c r="W21" s="5" t="n"/>
      <c r="X21" s="5" t="n"/>
      <c r="Y21" s="5" t="n"/>
      <c r="AA21" s="19" t="inlineStr">
        <is>
          <t>doc_partida</t>
        </is>
      </c>
    </row>
    <row r="22">
      <c r="B22" s="14" t="inlineStr">
        <is>
          <t>TIPO DE PERSONERÍA (TITULAR REGISTRAL)</t>
        </is>
      </c>
      <c r="C22" s="15" t="n"/>
      <c r="D22" s="15" t="n"/>
      <c r="E22" s="15" t="n"/>
      <c r="F22" s="15" t="n"/>
      <c r="G22" s="24" t="n"/>
      <c r="H22" s="18" t="n"/>
      <c r="I22" s="18" t="n"/>
      <c r="J22" s="18" t="n"/>
      <c r="K22" s="18" t="n"/>
      <c r="L22" s="18" t="n"/>
      <c r="M22" s="18" t="n"/>
      <c r="N22" s="14" t="inlineStr">
        <is>
          <t>OFICINA REGISTRAL</t>
        </is>
      </c>
      <c r="O22" s="15" t="n"/>
      <c r="P22" s="15" t="n"/>
      <c r="Q22" s="15" t="n"/>
      <c r="R22" s="15" t="n"/>
      <c r="S22" s="25" t="n"/>
      <c r="T22" s="5" t="n"/>
      <c r="U22" s="5" t="n"/>
      <c r="V22" s="5" t="n"/>
      <c r="W22" s="5" t="n"/>
      <c r="X22" s="5" t="n"/>
      <c r="Y22" s="5" t="n"/>
    </row>
    <row r="23">
      <c r="B23" s="14" t="inlineStr">
        <is>
          <t>TITULAR REGISTRAL (NOMBRE / RAZÓN SOCIAL)</t>
        </is>
      </c>
      <c r="C23" s="15" t="n"/>
      <c r="D23" s="15" t="n"/>
      <c r="E23" s="15" t="n"/>
      <c r="F23" s="15" t="n"/>
      <c r="G23" s="2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B24" s="14" t="inlineStr">
        <is>
          <t>DOCUMENTOS EXHIBIDOS (hasta 3)</t>
        </is>
      </c>
      <c r="C24" s="15" t="n"/>
      <c r="D24" s="15" t="n"/>
      <c r="E24" s="15" t="n"/>
      <c r="F24" s="15" t="n"/>
      <c r="G24" s="17" t="n"/>
      <c r="H24" s="18" t="n"/>
      <c r="I24" s="18" t="n"/>
      <c r="J24" s="18" t="n"/>
      <c r="K24" s="18" t="n"/>
      <c r="L24" s="18" t="n"/>
      <c r="M24" s="17" t="n"/>
      <c r="N24" s="18" t="n"/>
      <c r="O24" s="18" t="n"/>
      <c r="P24" s="18" t="n"/>
      <c r="Q24" s="18" t="n"/>
      <c r="R24" s="18" t="n"/>
      <c r="S24" s="17" t="n"/>
      <c r="T24" s="18" t="n"/>
      <c r="U24" s="18" t="n"/>
      <c r="V24" s="18" t="n"/>
      <c r="W24" s="18" t="n"/>
      <c r="X24" s="18" t="n"/>
      <c r="Y24" s="18" t="n"/>
      <c r="AA24" s="19" t="inlineStr">
        <is>
          <t>docs_exhibidos (selección múltiple)</t>
        </is>
      </c>
    </row>
    <row r="25" ht="4" customHeight="1"/>
    <row r="26" ht="18" customHeight="1">
      <c r="B26" s="13" t="inlineStr">
        <is>
          <t xml:space="preserve">  2. IDENTIFICACIÓN DEL PREDIANTE Y TENENCIA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</row>
    <row r="27">
      <c r="B27" s="14" t="inlineStr">
        <is>
          <t>CONDICIÓN JURÍDICA DEL PREDIANTE</t>
        </is>
      </c>
      <c r="C27" s="15" t="n"/>
      <c r="D27" s="15" t="n"/>
      <c r="E27" s="15" t="n"/>
      <c r="F27" s="15" t="n"/>
      <c r="G27" s="17" t="n"/>
      <c r="H27" s="18" t="n"/>
      <c r="I27" s="18" t="n"/>
      <c r="J27" s="18" t="n"/>
      <c r="K27" s="18" t="n"/>
      <c r="L27" s="18" t="n"/>
      <c r="M27" s="18" t="n"/>
      <c r="N27" s="14" t="inlineStr">
        <is>
          <t>TIPO DE PERSONERÍA</t>
        </is>
      </c>
      <c r="O27" s="15" t="n"/>
      <c r="P27" s="15" t="n"/>
      <c r="Q27" s="15" t="n"/>
      <c r="R27" s="15" t="n"/>
      <c r="S27" s="24" t="n"/>
      <c r="T27" s="18" t="n"/>
      <c r="U27" s="18" t="n"/>
      <c r="V27" s="18" t="n"/>
      <c r="W27" s="18" t="n"/>
      <c r="X27" s="18" t="n"/>
      <c r="Y27" s="18" t="n"/>
      <c r="AA27" s="19" t="inlineStr">
        <is>
          <t>tipo_titularidad</t>
        </is>
      </c>
    </row>
    <row r="28">
      <c r="B28" s="14" t="inlineStr">
        <is>
          <t>ESTADO DE LA SUCESIÓN (si aplica)</t>
        </is>
      </c>
      <c r="C28" s="15" t="n"/>
      <c r="D28" s="15" t="n"/>
      <c r="E28" s="15" t="n"/>
      <c r="F28" s="15" t="n"/>
      <c r="G28" s="17" t="n"/>
      <c r="H28" s="18" t="n"/>
      <c r="I28" s="18" t="n"/>
      <c r="J28" s="18" t="n"/>
      <c r="K28" s="18" t="n"/>
      <c r="L28" s="18" t="n"/>
      <c r="M28" s="18" t="n"/>
      <c r="N28" s="14" t="inlineStr">
        <is>
          <t>ALERTA / COHERENCIA</t>
        </is>
      </c>
      <c r="O28" s="15" t="n"/>
      <c r="P28" s="15" t="n"/>
      <c r="Q28" s="15" t="n"/>
      <c r="R28" s="15" t="n"/>
      <c r="S28" s="16">
        <f>IF(G27="","",IF(G27="Ocupante","⚠ Ocupante: ficha OBSERVADA – identificar titular o posesionario (Esp. Legal)",IF(S27="","Indique la personería",IF(AND(ISNUMBER(MATCH(G27,L_cond_natural,0)),S27&lt;&gt;"Natural"),"⚠ Corresponde persona natural",IF(AND(ISNUMBER(MATCH(G27,L_cond_juridica,0)),S27&lt;&gt;"Jurídica"),"⚠ Corresponde persona jurídica","✔ Coherente")))))</f>
        <v/>
      </c>
      <c r="T28" s="10" t="n"/>
      <c r="U28" s="10" t="n"/>
      <c r="V28" s="10" t="n"/>
      <c r="W28" s="10" t="n"/>
      <c r="X28" s="10" t="n"/>
      <c r="Y28" s="10" t="n"/>
      <c r="AA28" s="19" t="inlineStr">
        <is>
          <t>sucesion_estado</t>
        </is>
      </c>
    </row>
    <row r="29">
      <c r="B29" s="26" t="inlineStr">
        <is>
          <t xml:space="preserve">   2.1 PERSONA NATURAL (privado, posesionario, ocupante, sucesión)</t>
        </is>
      </c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</row>
    <row r="30">
      <c r="B30" s="14" t="inlineStr">
        <is>
          <t>NOMBRES</t>
        </is>
      </c>
      <c r="C30" s="15" t="n"/>
      <c r="D30" s="15" t="n"/>
      <c r="E30" s="15" t="n"/>
      <c r="F30" s="15" t="n"/>
      <c r="G30" s="25" t="n"/>
      <c r="H30" s="5" t="n"/>
      <c r="I30" s="5" t="n"/>
      <c r="J30" s="5" t="n"/>
      <c r="K30" s="5" t="n"/>
      <c r="L30" s="5" t="n"/>
      <c r="M30" s="5" t="n"/>
      <c r="N30" s="14" t="inlineStr">
        <is>
          <t>APELLIDOS</t>
        </is>
      </c>
      <c r="O30" s="15" t="n"/>
      <c r="P30" s="15" t="n"/>
      <c r="Q30" s="15" t="n"/>
      <c r="R30" s="15" t="n"/>
      <c r="S30" s="25" t="n"/>
      <c r="T30" s="5" t="n"/>
      <c r="U30" s="5" t="n"/>
      <c r="V30" s="5" t="n"/>
      <c r="W30" s="5" t="n"/>
      <c r="X30" s="5" t="n"/>
      <c r="Y30" s="5" t="n"/>
      <c r="AA30" s="19" t="inlineStr">
        <is>
          <t>tit_apellidos</t>
        </is>
      </c>
    </row>
    <row r="31">
      <c r="B31" s="14" t="inlineStr">
        <is>
          <t>DNI</t>
        </is>
      </c>
      <c r="C31" s="15" t="n"/>
      <c r="D31" s="15" t="n"/>
      <c r="E31" s="15" t="n"/>
      <c r="F31" s="15" t="n"/>
      <c r="G31" s="28" t="n"/>
      <c r="H31" s="5" t="n"/>
      <c r="I31" s="5" t="n"/>
      <c r="J31" s="5" t="n"/>
      <c r="K31" s="5" t="n"/>
      <c r="L31" s="5" t="n"/>
      <c r="M31" s="5" t="n"/>
      <c r="N31" s="14" t="inlineStr">
        <is>
          <t>CELULAR</t>
        </is>
      </c>
      <c r="O31" s="15" t="n"/>
      <c r="P31" s="15" t="n"/>
      <c r="Q31" s="15" t="n"/>
      <c r="R31" s="15" t="n"/>
      <c r="S31" s="28" t="n"/>
      <c r="T31" s="5" t="n"/>
      <c r="U31" s="5" t="n"/>
      <c r="V31" s="5" t="n"/>
      <c r="W31" s="5" t="n"/>
      <c r="X31" s="5" t="n"/>
      <c r="Y31" s="5" t="n"/>
      <c r="AA31" s="19" t="inlineStr">
        <is>
          <t>tit_celular</t>
        </is>
      </c>
    </row>
    <row r="32">
      <c r="B32" s="14" t="inlineStr">
        <is>
          <t>ESTADO CIVIL</t>
        </is>
      </c>
      <c r="C32" s="15" t="n"/>
      <c r="D32" s="15" t="n"/>
      <c r="E32" s="15" t="n"/>
      <c r="F32" s="15" t="n"/>
      <c r="G32" s="17" t="n"/>
      <c r="H32" s="18" t="n"/>
      <c r="I32" s="18" t="n"/>
      <c r="J32" s="18" t="n"/>
      <c r="K32" s="18" t="n"/>
      <c r="L32" s="18" t="n"/>
      <c r="M32" s="18" t="n"/>
      <c r="N32" s="14" t="inlineStr">
        <is>
          <t>CORREO ELECTRÓNICO (opcional)</t>
        </is>
      </c>
      <c r="O32" s="15" t="n"/>
      <c r="P32" s="15" t="n"/>
      <c r="Q32" s="15" t="n"/>
      <c r="R32" s="15" t="n"/>
      <c r="S32" s="25" t="n"/>
      <c r="T32" s="5" t="n"/>
      <c r="U32" s="5" t="n"/>
      <c r="V32" s="5" t="n"/>
      <c r="W32" s="5" t="n"/>
      <c r="X32" s="5" t="n"/>
      <c r="Y32" s="5" t="n"/>
      <c r="AA32" s="19" t="inlineStr">
        <is>
          <t>tit_estado_civil</t>
        </is>
      </c>
    </row>
    <row r="33">
      <c r="B33" s="14" t="inlineStr">
        <is>
          <t>CÓNYUGE / CONVIVIENTE</t>
        </is>
      </c>
      <c r="C33" s="15" t="n"/>
      <c r="D33" s="15" t="n"/>
      <c r="E33" s="15" t="n"/>
      <c r="F33" s="15" t="n"/>
      <c r="G33" s="25" t="n"/>
      <c r="H33" s="5" t="n"/>
      <c r="I33" s="5" t="n"/>
      <c r="J33" s="5" t="n"/>
      <c r="K33" s="5" t="n"/>
      <c r="L33" s="5" t="n"/>
      <c r="M33" s="5" t="n"/>
      <c r="N33" s="14" t="inlineStr">
        <is>
          <t>DNI DEL CÓNYUGE</t>
        </is>
      </c>
      <c r="O33" s="15" t="n"/>
      <c r="P33" s="15" t="n"/>
      <c r="Q33" s="15" t="n"/>
      <c r="R33" s="15" t="n"/>
      <c r="S33" s="28" t="n"/>
      <c r="T33" s="5" t="n"/>
      <c r="U33" s="5" t="n"/>
      <c r="V33" s="5" t="n"/>
      <c r="W33" s="5" t="n"/>
      <c r="X33" s="5" t="n"/>
      <c r="Y33" s="5" t="n"/>
      <c r="AA33" s="19" t="inlineStr">
        <is>
          <t>cony_dni</t>
        </is>
      </c>
    </row>
    <row r="34">
      <c r="B34" s="26" t="inlineStr">
        <is>
          <t xml:space="preserve">   2.2 PERSONA JURÍDICA (comunidad campesina, entidad estatal, empresa o asociación)</t>
        </is>
      </c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</row>
    <row r="35">
      <c r="B35" s="14" t="inlineStr">
        <is>
          <t>COMUNIDAD / ENTIDAD / RAZÓN SOCIAL</t>
        </is>
      </c>
      <c r="C35" s="15" t="n"/>
      <c r="D35" s="15" t="n"/>
      <c r="E35" s="15" t="n"/>
      <c r="F35" s="15" t="n"/>
      <c r="G35" s="2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AA35" s="19" t="inlineStr">
        <is>
          <t>cc_nombre / est_entidad</t>
        </is>
      </c>
    </row>
    <row r="36">
      <c r="B36" s="14" t="inlineStr">
        <is>
          <t>RUC</t>
        </is>
      </c>
      <c r="C36" s="15" t="n"/>
      <c r="D36" s="15" t="n"/>
      <c r="E36" s="15" t="n"/>
      <c r="F36" s="15" t="n"/>
      <c r="G36" s="28" t="n"/>
      <c r="H36" s="5" t="n"/>
      <c r="I36" s="5" t="n"/>
      <c r="J36" s="5" t="n"/>
      <c r="K36" s="5" t="n"/>
      <c r="L36" s="5" t="n"/>
      <c r="M36" s="5" t="n"/>
      <c r="N36" s="14" t="inlineStr">
        <is>
          <t>PARTIDA REGISTRAL (SUNARP)</t>
        </is>
      </c>
      <c r="O36" s="15" t="n"/>
      <c r="P36" s="15" t="n"/>
      <c r="Q36" s="15" t="n"/>
      <c r="R36" s="15" t="n"/>
      <c r="S36" s="25" t="n"/>
      <c r="T36" s="5" t="n"/>
      <c r="U36" s="5" t="n"/>
      <c r="V36" s="5" t="n"/>
      <c r="W36" s="5" t="n"/>
      <c r="X36" s="5" t="n"/>
      <c r="Y36" s="5" t="n"/>
      <c r="AA36" s="19" t="inlineStr">
        <is>
          <t>cc_partida</t>
        </is>
      </c>
    </row>
    <row r="37">
      <c r="B37" s="14" t="inlineStr">
        <is>
          <t>REPRESENTANTE / PRESIDENTE COMUNAL</t>
        </is>
      </c>
      <c r="C37" s="15" t="n"/>
      <c r="D37" s="15" t="n"/>
      <c r="E37" s="15" t="n"/>
      <c r="F37" s="15" t="n"/>
      <c r="G37" s="25" t="n"/>
      <c r="H37" s="5" t="n"/>
      <c r="I37" s="5" t="n"/>
      <c r="J37" s="5" t="n"/>
      <c r="K37" s="5" t="n"/>
      <c r="L37" s="5" t="n"/>
      <c r="M37" s="5" t="n"/>
      <c r="N37" s="14" t="inlineStr">
        <is>
          <t>CARGO</t>
        </is>
      </c>
      <c r="O37" s="15" t="n"/>
      <c r="P37" s="15" t="n"/>
      <c r="Q37" s="15" t="n"/>
      <c r="R37" s="15" t="n"/>
      <c r="S37" s="17" t="n"/>
      <c r="T37" s="18" t="n"/>
      <c r="U37" s="18" t="n"/>
      <c r="V37" s="18" t="n"/>
      <c r="W37" s="18" t="n"/>
      <c r="X37" s="18" t="n"/>
      <c r="Y37" s="18" t="n"/>
      <c r="AA37" s="19" t="inlineStr">
        <is>
          <t>cc_presidente / est_contacto</t>
        </is>
      </c>
    </row>
    <row r="38">
      <c r="B38" s="14" t="inlineStr">
        <is>
          <t>DNI DEL REPRESENTANTE</t>
        </is>
      </c>
      <c r="C38" s="15" t="n"/>
      <c r="D38" s="15" t="n"/>
      <c r="E38" s="15" t="n"/>
      <c r="F38" s="15" t="n"/>
      <c r="G38" s="28" t="n"/>
      <c r="H38" s="5" t="n"/>
      <c r="I38" s="5" t="n"/>
      <c r="J38" s="5" t="n"/>
      <c r="K38" s="5" t="n"/>
      <c r="L38" s="5" t="n"/>
      <c r="M38" s="5" t="n"/>
      <c r="N38" s="14" t="inlineStr">
        <is>
          <t>CELULAR DEL REPRESENTANTE</t>
        </is>
      </c>
      <c r="O38" s="15" t="n"/>
      <c r="P38" s="15" t="n"/>
      <c r="Q38" s="15" t="n"/>
      <c r="R38" s="15" t="n"/>
      <c r="S38" s="28" t="n"/>
      <c r="T38" s="5" t="n"/>
      <c r="U38" s="5" t="n"/>
      <c r="V38" s="5" t="n"/>
      <c r="W38" s="5" t="n"/>
      <c r="X38" s="5" t="n"/>
      <c r="Y38" s="5" t="n"/>
      <c r="AA38" s="19" t="inlineStr">
        <is>
          <t>cc_presidente_cel</t>
        </is>
      </c>
    </row>
    <row r="39">
      <c r="B39" s="26" t="inlineStr">
        <is>
          <t xml:space="preserve">   2.3 DOMICILIO DEL PREDIANTE</t>
        </is>
      </c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  <c r="W39" s="27" t="n"/>
      <c r="X39" s="27" t="n"/>
      <c r="Y39" s="27" t="n"/>
    </row>
    <row r="40">
      <c r="B40" s="29" t="inlineStr">
        <is>
          <t>DIRECCIÓN</t>
        </is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29" t="inlineStr">
        <is>
          <t>DISTRITO</t>
        </is>
      </c>
      <c r="M40" s="15" t="n"/>
      <c r="N40" s="15" t="n"/>
      <c r="O40" s="15" t="n"/>
      <c r="P40" s="15" t="n"/>
      <c r="Q40" s="29" t="inlineStr">
        <is>
          <t>PROVINCIA</t>
        </is>
      </c>
      <c r="R40" s="15" t="n"/>
      <c r="S40" s="15" t="n"/>
      <c r="T40" s="15" t="n"/>
      <c r="U40" s="15" t="n"/>
      <c r="V40" s="29" t="inlineStr">
        <is>
          <t>DEPARTAMENTO</t>
        </is>
      </c>
      <c r="W40" s="15" t="n"/>
      <c r="X40" s="15" t="n"/>
      <c r="Y40" s="15" t="n"/>
    </row>
    <row r="41" ht="24" customHeight="1">
      <c r="B41" s="2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17" t="n"/>
      <c r="M41" s="18" t="n"/>
      <c r="N41" s="18" t="n"/>
      <c r="O41" s="18" t="n"/>
      <c r="P41" s="18" t="n"/>
      <c r="Q41" s="17" t="n"/>
      <c r="R41" s="18" t="n"/>
      <c r="S41" s="18" t="n"/>
      <c r="T41" s="18" t="n"/>
      <c r="U41" s="18" t="n"/>
      <c r="V41" s="17" t="n"/>
      <c r="W41" s="18" t="n"/>
      <c r="X41" s="18" t="n"/>
      <c r="Y41" s="18" t="n"/>
    </row>
    <row r="42" ht="4" customHeight="1"/>
    <row r="43" ht="18" customHeight="1">
      <c r="B43" s="13" t="inlineStr">
        <is>
          <t xml:space="preserve">  3. DESCRIPCIÓN GENERAL DEL PREDIO INTERVENIDO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</row>
    <row r="44">
      <c r="B44" s="14" t="inlineStr">
        <is>
          <t>NOMBRE DEL PREDIO</t>
        </is>
      </c>
      <c r="C44" s="15" t="n"/>
      <c r="D44" s="15" t="n"/>
      <c r="E44" s="15" t="n"/>
      <c r="F44" s="15" t="n"/>
      <c r="G44" s="2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AA44" s="19" t="inlineStr">
        <is>
          <t>predio_nombre</t>
        </is>
      </c>
    </row>
    <row r="45">
      <c r="B45" s="14" t="inlineStr">
        <is>
          <t>CENTRO POBLADO / SECTOR</t>
        </is>
      </c>
      <c r="C45" s="15" t="n"/>
      <c r="D45" s="15" t="n"/>
      <c r="E45" s="15" t="n"/>
      <c r="F45" s="15" t="n"/>
      <c r="G45" s="25" t="n"/>
      <c r="H45" s="5" t="n"/>
      <c r="I45" s="5" t="n"/>
      <c r="J45" s="5" t="n"/>
      <c r="K45" s="5" t="n"/>
      <c r="L45" s="5" t="n"/>
      <c r="M45" s="5" t="n"/>
      <c r="N45" s="14" t="inlineStr">
        <is>
          <t>COMUNIDAD CAMPESINA (si aplica)</t>
        </is>
      </c>
      <c r="O45" s="15" t="n"/>
      <c r="P45" s="15" t="n"/>
      <c r="Q45" s="15" t="n"/>
      <c r="R45" s="15" t="n"/>
      <c r="S45" s="25" t="n"/>
      <c r="T45" s="5" t="n"/>
      <c r="U45" s="5" t="n"/>
      <c r="V45" s="5" t="n"/>
      <c r="W45" s="5" t="n"/>
      <c r="X45" s="5" t="n"/>
      <c r="Y45" s="5" t="n"/>
    </row>
    <row r="46" ht="26" customHeight="1">
      <c r="B46" s="14" t="inlineStr">
        <is>
          <t>REFERENCIA DE ACCESO</t>
        </is>
      </c>
      <c r="C46" s="15" t="n"/>
      <c r="D46" s="15" t="n"/>
      <c r="E46" s="15" t="n"/>
      <c r="F46" s="15" t="n"/>
      <c r="G46" s="2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B47" s="14" t="inlineStr">
        <is>
          <t>TIPO DE ACCESO</t>
        </is>
      </c>
      <c r="C47" s="15" t="n"/>
      <c r="D47" s="15" t="n"/>
      <c r="E47" s="15" t="n"/>
      <c r="F47" s="15" t="n"/>
      <c r="G47" s="17" t="n"/>
      <c r="H47" s="18" t="n"/>
      <c r="I47" s="18" t="n"/>
      <c r="J47" s="18" t="n"/>
      <c r="K47" s="18" t="n"/>
      <c r="L47" s="18" t="n"/>
      <c r="M47" s="18" t="n"/>
      <c r="N47" s="14" t="inlineStr">
        <is>
          <t>TIEMPO DESDE EL C.P. (min)</t>
        </is>
      </c>
      <c r="O47" s="15" t="n"/>
      <c r="P47" s="15" t="n"/>
      <c r="Q47" s="15" t="n"/>
      <c r="R47" s="15" t="n"/>
      <c r="S47" s="22" t="n"/>
      <c r="T47" s="5" t="n"/>
      <c r="U47" s="5" t="n"/>
      <c r="V47" s="5" t="n"/>
      <c r="W47" s="5" t="n"/>
      <c r="X47" s="5" t="n"/>
      <c r="Y47" s="5" t="n"/>
    </row>
    <row r="48">
      <c r="B48" s="14" t="inlineStr">
        <is>
          <t>SISTEMA DE COORDENADAS</t>
        </is>
      </c>
      <c r="C48" s="15" t="n"/>
      <c r="D48" s="15" t="n"/>
      <c r="E48" s="15" t="n"/>
      <c r="F48" s="15" t="n"/>
      <c r="G48" s="16" t="inlineStr">
        <is>
          <t>UTM WGS84 – Zona 17 Sur (EPSG:32717) · punto interior del predio</t>
        </is>
      </c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</row>
    <row r="49">
      <c r="B49" s="14" t="inlineStr">
        <is>
          <t>ESTE UTM (m)</t>
        </is>
      </c>
      <c r="C49" s="15" t="n"/>
      <c r="D49" s="15" t="n"/>
      <c r="E49" s="15" t="n"/>
      <c r="F49" s="15" t="n"/>
      <c r="G49" s="30" t="n"/>
      <c r="H49" s="5" t="n"/>
      <c r="I49" s="5" t="n"/>
      <c r="J49" s="5" t="n"/>
      <c r="K49" s="5" t="n"/>
      <c r="L49" s="5" t="n"/>
      <c r="M49" s="5" t="n"/>
      <c r="N49" s="14" t="inlineStr">
        <is>
          <t>NORTE UTM (m)</t>
        </is>
      </c>
      <c r="O49" s="15" t="n"/>
      <c r="P49" s="15" t="n"/>
      <c r="Q49" s="15" t="n"/>
      <c r="R49" s="15" t="n"/>
      <c r="S49" s="30" t="n"/>
      <c r="T49" s="5" t="n"/>
      <c r="U49" s="5" t="n"/>
      <c r="V49" s="5" t="n"/>
      <c r="W49" s="5" t="n"/>
      <c r="X49" s="5" t="n"/>
      <c r="Y49" s="5" t="n"/>
      <c r="AA49" s="19" t="inlineStr">
        <is>
          <t>punto_interior (Norte)</t>
        </is>
      </c>
    </row>
    <row r="50">
      <c r="B50" s="14" t="inlineStr">
        <is>
          <t>ALTITUD (m s.n.m.)</t>
        </is>
      </c>
      <c r="C50" s="15" t="n"/>
      <c r="D50" s="15" t="n"/>
      <c r="E50" s="15" t="n"/>
      <c r="F50" s="15" t="n"/>
      <c r="G50" s="31" t="n"/>
      <c r="H50" s="5" t="n"/>
      <c r="I50" s="5" t="n"/>
      <c r="J50" s="5" t="n"/>
      <c r="K50" s="5" t="n"/>
      <c r="L50" s="5" t="n"/>
      <c r="M50" s="5" t="n"/>
      <c r="N50" s="14" t="inlineStr">
        <is>
          <t>PRECISIÓN GPS (m)</t>
        </is>
      </c>
      <c r="O50" s="15" t="n"/>
      <c r="P50" s="15" t="n"/>
      <c r="Q50" s="15" t="n"/>
      <c r="R50" s="15" t="n"/>
      <c r="S50" s="32" t="n"/>
      <c r="T50" s="5" t="n"/>
      <c r="U50" s="5" t="n"/>
      <c r="V50" s="5" t="n"/>
      <c r="W50" s="5" t="n"/>
      <c r="X50" s="5" t="n"/>
      <c r="Y50" s="5" t="n"/>
      <c r="AA50" s="19" t="inlineStr">
        <is>
          <t>punto_interior (prec)</t>
        </is>
      </c>
    </row>
    <row r="51">
      <c r="B51" s="14" t="inlineStr">
        <is>
          <t>DEPARTAMENTO</t>
        </is>
      </c>
      <c r="C51" s="15" t="n"/>
      <c r="D51" s="15" t="n"/>
      <c r="E51" s="15" t="n"/>
      <c r="F51" s="15" t="n"/>
      <c r="G51" s="24" t="inlineStr">
        <is>
          <t>Piura</t>
        </is>
      </c>
      <c r="H51" s="18" t="n"/>
      <c r="I51" s="18" t="n"/>
      <c r="J51" s="18" t="n"/>
      <c r="K51" s="18" t="n"/>
      <c r="L51" s="18" t="n"/>
      <c r="M51" s="18" t="n"/>
      <c r="N51" s="14" t="inlineStr">
        <is>
          <t>PROVINCIA</t>
        </is>
      </c>
      <c r="O51" s="15" t="n"/>
      <c r="P51" s="15" t="n"/>
      <c r="Q51" s="15" t="n"/>
      <c r="R51" s="15" t="n"/>
      <c r="S51" s="24" t="n"/>
      <c r="T51" s="18" t="n"/>
      <c r="U51" s="18" t="n"/>
      <c r="V51" s="18" t="n"/>
      <c r="W51" s="18" t="n"/>
      <c r="X51" s="18" t="n"/>
      <c r="Y51" s="18" t="n"/>
    </row>
    <row r="52">
      <c r="B52" s="14" t="inlineStr">
        <is>
          <t>DISTRITO</t>
        </is>
      </c>
      <c r="C52" s="15" t="n"/>
      <c r="D52" s="15" t="n"/>
      <c r="E52" s="15" t="n"/>
      <c r="F52" s="15" t="n"/>
      <c r="G52" s="24" t="n"/>
      <c r="H52" s="18" t="n"/>
      <c r="I52" s="18" t="n"/>
      <c r="J52" s="18" t="n"/>
      <c r="K52" s="18" t="n"/>
      <c r="L52" s="18" t="n"/>
      <c r="M52" s="18" t="n"/>
      <c r="N52" s="14" t="inlineStr">
        <is>
          <t>VERIFICACIÓN CON CATÁLOGO V6</t>
        </is>
      </c>
      <c r="O52" s="15" t="n"/>
      <c r="P52" s="15" t="n"/>
      <c r="Q52" s="15" t="n"/>
      <c r="R52" s="15" t="n"/>
      <c r="S52" s="16">
        <f>IF(OR(G52="",G14=""),"",IFERROR(IF(INDEX(CAT_DIST,MATCH(G14&amp;"",CAT_COD,0))=G52,"✔ Coincide con el distrito de la unidad","⚠ La unidad figura en "&amp;INDEX(CAT_DIST,MATCH(G14&amp;"",CAT_COD,0))&amp;" – verificar"),""))</f>
        <v/>
      </c>
      <c r="T52" s="10" t="n"/>
      <c r="U52" s="10" t="n"/>
      <c r="V52" s="10" t="n"/>
      <c r="W52" s="10" t="n"/>
      <c r="X52" s="10" t="n"/>
      <c r="Y52" s="10" t="n"/>
    </row>
    <row r="53" ht="4" customHeight="1"/>
    <row r="54" ht="18" customHeight="1">
      <c r="B54" s="13" t="inlineStr">
        <is>
          <t xml:space="preserve">  4. DESCRIPCIÓN DEL PREDIO MATRIZ</t>
        </is>
      </c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</row>
    <row r="55">
      <c r="B55" s="14" t="inlineStr">
        <is>
          <t>USO ACTUAL DEL SUELO</t>
        </is>
      </c>
      <c r="C55" s="15" t="n"/>
      <c r="D55" s="15" t="n"/>
      <c r="E55" s="15" t="n"/>
      <c r="F55" s="15" t="n"/>
      <c r="G55" s="17" t="n"/>
      <c r="H55" s="18" t="n"/>
      <c r="I55" s="18" t="n"/>
      <c r="J55" s="18" t="n"/>
      <c r="K55" s="18" t="n"/>
      <c r="L55" s="18" t="n"/>
      <c r="M55" s="18" t="n"/>
      <c r="N55" s="14" t="inlineStr">
        <is>
          <t>ESPECIFIQUE SI ES «OTRO»</t>
        </is>
      </c>
      <c r="O55" s="15" t="n"/>
      <c r="P55" s="15" t="n"/>
      <c r="Q55" s="15" t="n"/>
      <c r="R55" s="15" t="n"/>
      <c r="S55" s="25" t="n"/>
      <c r="T55" s="5" t="n"/>
      <c r="U55" s="5" t="n"/>
      <c r="V55" s="5" t="n"/>
      <c r="W55" s="5" t="n"/>
      <c r="X55" s="5" t="n"/>
      <c r="Y55" s="5" t="n"/>
      <c r="AA55" s="19" t="inlineStr">
        <is>
          <t>uso_actual / uso_observado</t>
        </is>
      </c>
    </row>
    <row r="56">
      <c r="B56" s="14" t="inlineStr">
        <is>
          <t>OCUPACIÓN OBSERVADA</t>
        </is>
      </c>
      <c r="C56" s="15" t="n"/>
      <c r="D56" s="15" t="n"/>
      <c r="E56" s="15" t="n"/>
      <c r="F56" s="15" t="n"/>
      <c r="G56" s="17" t="n"/>
      <c r="H56" s="18" t="n"/>
      <c r="I56" s="18" t="n"/>
      <c r="J56" s="18" t="n"/>
      <c r="K56" s="18" t="n"/>
      <c r="L56" s="18" t="n"/>
      <c r="M56" s="18" t="n"/>
      <c r="N56" s="14" t="inlineStr">
        <is>
          <t>DETALLE DE LA OCUPACIÓN</t>
        </is>
      </c>
      <c r="O56" s="15" t="n"/>
      <c r="P56" s="15" t="n"/>
      <c r="Q56" s="15" t="n"/>
      <c r="R56" s="15" t="n"/>
      <c r="S56" s="25" t="n"/>
      <c r="T56" s="5" t="n"/>
      <c r="U56" s="5" t="n"/>
      <c r="V56" s="5" t="n"/>
      <c r="W56" s="5" t="n"/>
      <c r="X56" s="5" t="n"/>
      <c r="Y56" s="5" t="n"/>
      <c r="AA56" s="19" t="inlineStr">
        <is>
          <t>ocupacion</t>
        </is>
      </c>
    </row>
    <row r="57">
      <c r="B57" s="14" t="inlineStr">
        <is>
          <t>EDIFICACIONES / CULTIVOS</t>
        </is>
      </c>
      <c r="C57" s="15" t="n"/>
      <c r="D57" s="15" t="n"/>
      <c r="E57" s="15" t="n"/>
      <c r="F57" s="15" t="n"/>
      <c r="G57" s="17" t="n"/>
      <c r="H57" s="18" t="n"/>
      <c r="I57" s="18" t="n"/>
      <c r="J57" s="18" t="n"/>
      <c r="K57" s="18" t="n"/>
      <c r="L57" s="18" t="n"/>
      <c r="M57" s="18" t="n"/>
      <c r="N57" s="14" t="inlineStr">
        <is>
          <t>DETALLE / ESPECIFIQUE «OTRO»</t>
        </is>
      </c>
      <c r="O57" s="15" t="n"/>
      <c r="P57" s="15" t="n"/>
      <c r="Q57" s="15" t="n"/>
      <c r="R57" s="15" t="n"/>
      <c r="S57" s="25" t="n"/>
      <c r="T57" s="5" t="n"/>
      <c r="U57" s="5" t="n"/>
      <c r="V57" s="5" t="n"/>
      <c r="W57" s="5" t="n"/>
      <c r="X57" s="5" t="n"/>
      <c r="Y57" s="5" t="n"/>
    </row>
    <row r="58">
      <c r="B58" s="14" t="inlineStr">
        <is>
          <t>TOPOGRAFÍA / PENDIENTE</t>
        </is>
      </c>
      <c r="C58" s="15" t="n"/>
      <c r="D58" s="15" t="n"/>
      <c r="E58" s="15" t="n"/>
      <c r="F58" s="15" t="n"/>
      <c r="G58" s="17" t="n"/>
      <c r="H58" s="18" t="n"/>
      <c r="I58" s="18" t="n"/>
      <c r="J58" s="18" t="n"/>
      <c r="K58" s="18" t="n"/>
      <c r="L58" s="18" t="n"/>
      <c r="M58" s="18" t="n"/>
      <c r="N58" s="14" t="inlineStr">
        <is>
          <t>EROSIÓN OBSERVADA</t>
        </is>
      </c>
      <c r="O58" s="15" t="n"/>
      <c r="P58" s="15" t="n"/>
      <c r="Q58" s="15" t="n"/>
      <c r="R58" s="15" t="n"/>
      <c r="S58" s="17" t="n"/>
      <c r="T58" s="18" t="n"/>
      <c r="U58" s="18" t="n"/>
      <c r="V58" s="18" t="n"/>
      <c r="W58" s="18" t="n"/>
      <c r="X58" s="18" t="n"/>
      <c r="Y58" s="18" t="n"/>
    </row>
    <row r="59">
      <c r="B59" s="14" t="inlineStr">
        <is>
          <t>ESTADO DE LA COBERTURA VEGETAL</t>
        </is>
      </c>
      <c r="C59" s="15" t="n"/>
      <c r="D59" s="15" t="n"/>
      <c r="E59" s="15" t="n"/>
      <c r="F59" s="15" t="n"/>
      <c r="G59" s="17" t="n"/>
      <c r="H59" s="18" t="n"/>
      <c r="I59" s="18" t="n"/>
      <c r="J59" s="18" t="n"/>
      <c r="K59" s="18" t="n"/>
      <c r="L59" s="18" t="n"/>
      <c r="M59" s="18" t="n"/>
      <c r="N59" s="14" t="inlineStr">
        <is>
          <t>EVIDENCIA DE MOVIMIENTOS EN MASA</t>
        </is>
      </c>
      <c r="O59" s="15" t="n"/>
      <c r="P59" s="15" t="n"/>
      <c r="Q59" s="15" t="n"/>
      <c r="R59" s="15" t="n"/>
      <c r="S59" s="24" t="n"/>
      <c r="T59" s="18" t="n"/>
      <c r="U59" s="18" t="n"/>
      <c r="V59" s="18" t="n"/>
      <c r="W59" s="18" t="n"/>
      <c r="X59" s="18" t="n"/>
      <c r="Y59" s="18" t="n"/>
    </row>
    <row r="60" ht="40" customHeight="1">
      <c r="B60" s="14" t="inlineStr">
        <is>
          <t>OTROS / DESCRIPCIÓN DEL PREDIO</t>
        </is>
      </c>
      <c r="C60" s="15" t="n"/>
      <c r="D60" s="15" t="n"/>
      <c r="E60" s="15" t="n"/>
      <c r="F60" s="15" t="n"/>
      <c r="G60" s="2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AA60" s="19" t="inlineStr">
        <is>
          <t>descripcion_predio (F-LA-03)</t>
        </is>
      </c>
    </row>
    <row r="61">
      <c r="B61" s="26" t="inlineStr">
        <is>
          <t xml:space="preserve">   4.1 DATOS TÉCNICOS</t>
        </is>
      </c>
      <c r="C61" s="27" t="n"/>
      <c r="D61" s="27" t="n"/>
      <c r="E61" s="27" t="n"/>
      <c r="F61" s="27" t="n"/>
      <c r="G61" s="27" t="n"/>
      <c r="H61" s="27" t="n"/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  <c r="Y61" s="27" t="n"/>
    </row>
    <row r="62">
      <c r="B62" s="14" t="inlineStr">
        <is>
          <t>TIPO DE PREDIO</t>
        </is>
      </c>
      <c r="C62" s="15" t="n"/>
      <c r="D62" s="15" t="n"/>
      <c r="E62" s="15" t="n"/>
      <c r="F62" s="15" t="n"/>
      <c r="G62" s="17" t="n"/>
      <c r="H62" s="18" t="n"/>
      <c r="I62" s="18" t="n"/>
      <c r="J62" s="18" t="n"/>
      <c r="K62" s="18" t="n"/>
      <c r="L62" s="18" t="n"/>
      <c r="M62" s="18" t="n"/>
      <c r="N62" s="14" t="inlineStr">
        <is>
          <t>ÁREA MATRIZ DEL PREDIO (ha)</t>
        </is>
      </c>
      <c r="O62" s="15" t="n"/>
      <c r="P62" s="15" t="n"/>
      <c r="Q62" s="15" t="n"/>
      <c r="R62" s="15" t="n"/>
      <c r="S62" s="33" t="n"/>
      <c r="T62" s="5" t="n"/>
      <c r="U62" s="5" t="n"/>
      <c r="V62" s="5" t="n"/>
      <c r="W62" s="5" t="n"/>
      <c r="X62" s="5" t="n"/>
      <c r="Y62" s="5" t="n"/>
      <c r="AA62" s="19" t="inlineStr">
        <is>
          <t>predio_area_decl_ha</t>
        </is>
      </c>
    </row>
    <row r="63">
      <c r="B63" s="14" t="inlineStr">
        <is>
          <t>PERÍMETRO (m)</t>
        </is>
      </c>
      <c r="C63" s="15" t="n"/>
      <c r="D63" s="15" t="n"/>
      <c r="E63" s="15" t="n"/>
      <c r="F63" s="15" t="n"/>
      <c r="G63" s="34" t="n"/>
      <c r="H63" s="5" t="n"/>
      <c r="I63" s="5" t="n"/>
      <c r="J63" s="5" t="n"/>
      <c r="K63" s="5" t="n"/>
      <c r="L63" s="5" t="n"/>
      <c r="M63" s="5" t="n"/>
      <c r="N63" s="14" t="inlineStr">
        <is>
          <t>ÁREA MATRIZ DEL PREDIO (m²)</t>
        </is>
      </c>
      <c r="O63" s="15" t="n"/>
      <c r="P63" s="15" t="n"/>
      <c r="Q63" s="15" t="n"/>
      <c r="R63" s="15" t="n"/>
      <c r="S63" s="35">
        <f>IF(S62="","",S62*10000)</f>
        <v/>
      </c>
      <c r="T63" s="10" t="n"/>
      <c r="U63" s="10" t="n"/>
      <c r="V63" s="10" t="n"/>
      <c r="W63" s="10" t="n"/>
      <c r="X63" s="10" t="n"/>
      <c r="Y63" s="10" t="n"/>
    </row>
    <row r="64">
      <c r="B64" s="26" t="inlineStr">
        <is>
          <t xml:space="preserve">   4.2 COLINDANCIAS</t>
        </is>
      </c>
      <c r="C64" s="27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27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27" t="n"/>
    </row>
    <row r="65">
      <c r="B65" s="29" t="inlineStr">
        <is>
          <t>LÍMITE</t>
        </is>
      </c>
      <c r="C65" s="15" t="n"/>
      <c r="D65" s="15" t="n"/>
      <c r="E65" s="15" t="n"/>
      <c r="F65" s="29" t="inlineStr">
        <is>
          <t>COLINDANTE (nombre / referencia)</t>
        </is>
      </c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29" t="inlineStr">
        <is>
          <t>TIPO DE COLINDANTE</t>
        </is>
      </c>
      <c r="T65" s="15" t="n"/>
      <c r="U65" s="15" t="n"/>
      <c r="V65" s="15" t="n"/>
      <c r="W65" s="15" t="n"/>
      <c r="X65" s="15" t="n"/>
      <c r="Y65" s="15" t="n"/>
    </row>
    <row r="66" ht="20" customHeight="1">
      <c r="B66" s="14" t="inlineStr">
        <is>
          <t>NORTE</t>
        </is>
      </c>
      <c r="C66" s="15" t="n"/>
      <c r="D66" s="15" t="n"/>
      <c r="E66" s="15" t="n"/>
      <c r="F66" s="2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17" t="n"/>
      <c r="T66" s="18" t="n"/>
      <c r="U66" s="18" t="n"/>
      <c r="V66" s="18" t="n"/>
      <c r="W66" s="18" t="n"/>
      <c r="X66" s="18" t="n"/>
      <c r="Y66" s="18" t="n"/>
    </row>
    <row r="67" ht="20" customHeight="1">
      <c r="B67" s="14" t="inlineStr">
        <is>
          <t>ESTE</t>
        </is>
      </c>
      <c r="C67" s="15" t="n"/>
      <c r="D67" s="15" t="n"/>
      <c r="E67" s="15" t="n"/>
      <c r="F67" s="2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17" t="n"/>
      <c r="T67" s="18" t="n"/>
      <c r="U67" s="18" t="n"/>
      <c r="V67" s="18" t="n"/>
      <c r="W67" s="18" t="n"/>
      <c r="X67" s="18" t="n"/>
      <c r="Y67" s="18" t="n"/>
    </row>
    <row r="68" ht="20" customHeight="1">
      <c r="B68" s="14" t="inlineStr">
        <is>
          <t>SUR</t>
        </is>
      </c>
      <c r="C68" s="15" t="n"/>
      <c r="D68" s="15" t="n"/>
      <c r="E68" s="15" t="n"/>
      <c r="F68" s="2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17" t="n"/>
      <c r="T68" s="18" t="n"/>
      <c r="U68" s="18" t="n"/>
      <c r="V68" s="18" t="n"/>
      <c r="W68" s="18" t="n"/>
      <c r="X68" s="18" t="n"/>
      <c r="Y68" s="18" t="n"/>
    </row>
    <row r="69" ht="20" customHeight="1">
      <c r="B69" s="14" t="inlineStr">
        <is>
          <t>OESTE</t>
        </is>
      </c>
      <c r="C69" s="15" t="n"/>
      <c r="D69" s="15" t="n"/>
      <c r="E69" s="15" t="n"/>
      <c r="F69" s="2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17" t="n"/>
      <c r="T69" s="18" t="n"/>
      <c r="U69" s="18" t="n"/>
      <c r="V69" s="18" t="n"/>
      <c r="W69" s="18" t="n"/>
      <c r="X69" s="18" t="n"/>
      <c r="Y69" s="18" t="n"/>
    </row>
    <row r="70" ht="30" customHeight="1">
      <c r="B70" s="14" t="inlineStr">
        <is>
          <t>CONFLICTOS DE LINDEROS / OBSERVACIONES</t>
        </is>
      </c>
      <c r="C70" s="15" t="n"/>
      <c r="D70" s="15" t="n"/>
      <c r="E70" s="15" t="n"/>
      <c r="F70" s="15" t="n"/>
      <c r="G70" s="2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AA70" s="19" t="inlineStr">
        <is>
          <t>conflicto_linderos_det</t>
        </is>
      </c>
    </row>
    <row r="71" ht="4" customHeight="1"/>
    <row r="72" ht="18" customHeight="1">
      <c r="B72" s="13" t="inlineStr">
        <is>
          <t xml:space="preserve">  5. DESCRIPCIÓN DEL ÁREA A INTERVENIR (DENTRO DE LA UNIDAD)</t>
        </is>
      </c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</row>
    <row r="73">
      <c r="B73" s="26" t="inlineStr">
        <is>
          <t xml:space="preserve">   5.1 DATOS TÉCNICOS</t>
        </is>
      </c>
      <c r="C73" s="27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</row>
    <row r="74">
      <c r="B74" s="14" t="inlineStr">
        <is>
          <t>ÁREA DEL PREDIO DENTRO DE LA UNIDAD (ha)</t>
        </is>
      </c>
      <c r="C74" s="15" t="n"/>
      <c r="D74" s="15" t="n"/>
      <c r="E74" s="15" t="n"/>
      <c r="F74" s="15" t="n"/>
      <c r="G74" s="33" t="n"/>
      <c r="H74" s="5" t="n"/>
      <c r="I74" s="5" t="n"/>
      <c r="J74" s="5" t="n"/>
      <c r="K74" s="5" t="n"/>
      <c r="L74" s="5" t="n"/>
      <c r="M74" s="5" t="n"/>
      <c r="N74" s="14" t="inlineStr">
        <is>
          <t>ÁREA DENTRO DE LA UNIDAD (m²)</t>
        </is>
      </c>
      <c r="O74" s="15" t="n"/>
      <c r="P74" s="15" t="n"/>
      <c r="Q74" s="15" t="n"/>
      <c r="R74" s="15" t="n"/>
      <c r="S74" s="35">
        <f>IF(G74="","",G74*10000)</f>
        <v/>
      </c>
      <c r="T74" s="10" t="n"/>
      <c r="U74" s="10" t="n"/>
      <c r="V74" s="10" t="n"/>
      <c r="W74" s="10" t="n"/>
      <c r="X74" s="10" t="n"/>
      <c r="Y74" s="10" t="n"/>
      <c r="AA74" s="19" t="inlineStr">
        <is>
          <t>predio_area_unidad_ha</t>
        </is>
      </c>
    </row>
    <row r="75">
      <c r="B75" s="14" t="inlineStr">
        <is>
          <t>% DEL PREDIO MATRIZ</t>
        </is>
      </c>
      <c r="C75" s="15" t="n"/>
      <c r="D75" s="15" t="n"/>
      <c r="E75" s="15" t="n"/>
      <c r="F75" s="15" t="n"/>
      <c r="G75" s="36">
        <f>IF(OR(G74="",S62="",S62=0),"",G74/S62)</f>
        <v/>
      </c>
      <c r="H75" s="10" t="n"/>
      <c r="I75" s="10" t="n"/>
      <c r="J75" s="10" t="n"/>
      <c r="K75" s="10" t="n"/>
      <c r="L75" s="10" t="n"/>
      <c r="M75" s="10" t="n"/>
      <c r="N75" s="14" t="inlineStr">
        <is>
          <t>CONTROL DE ÁREAS</t>
        </is>
      </c>
      <c r="O75" s="15" t="n"/>
      <c r="P75" s="15" t="n"/>
      <c r="Q75" s="15" t="n"/>
      <c r="R75" s="15" t="n"/>
      <c r="S75" s="16">
        <f>IF(OR(G74="",S62=""),"",IF(G74&lt;=S62,"✔ No supera el área matriz","⚠ Supera el área matriz – verificar"))</f>
        <v/>
      </c>
      <c r="T75" s="10" t="n"/>
      <c r="U75" s="10" t="n"/>
      <c r="V75" s="10" t="n"/>
      <c r="W75" s="10" t="n"/>
      <c r="X75" s="10" t="n"/>
      <c r="Y75" s="10" t="n"/>
    </row>
    <row r="76">
      <c r="B76" s="26" t="inlineStr">
        <is>
          <t xml:space="preserve">   5.2 CARACTERÍSTICAS</t>
        </is>
      </c>
      <c r="C76" s="27" t="n"/>
      <c r="D76" s="27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</row>
    <row r="77">
      <c r="B77" s="14" t="inlineStr">
        <is>
          <t>INTERFERENCIAS (hasta 3)</t>
        </is>
      </c>
      <c r="C77" s="15" t="n"/>
      <c r="D77" s="15" t="n"/>
      <c r="E77" s="15" t="n"/>
      <c r="F77" s="15" t="n"/>
      <c r="G77" s="17" t="n"/>
      <c r="H77" s="18" t="n"/>
      <c r="I77" s="18" t="n"/>
      <c r="J77" s="18" t="n"/>
      <c r="K77" s="18" t="n"/>
      <c r="L77" s="18" t="n"/>
      <c r="M77" s="17" t="n"/>
      <c r="N77" s="18" t="n"/>
      <c r="O77" s="18" t="n"/>
      <c r="P77" s="18" t="n"/>
      <c r="Q77" s="18" t="n"/>
      <c r="R77" s="18" t="n"/>
      <c r="S77" s="17" t="n"/>
      <c r="T77" s="18" t="n"/>
      <c r="U77" s="18" t="n"/>
      <c r="V77" s="18" t="n"/>
      <c r="W77" s="18" t="n"/>
      <c r="X77" s="18" t="n"/>
      <c r="Y77" s="18" t="n"/>
      <c r="AA77" s="19" t="inlineStr">
        <is>
          <t>interferencias (selección múltiple)</t>
        </is>
      </c>
    </row>
    <row r="78" ht="30" customHeight="1">
      <c r="B78" s="14" t="inlineStr">
        <is>
          <t>DETALLE DE INTERFERENCIAS</t>
        </is>
      </c>
      <c r="C78" s="15" t="n"/>
      <c r="D78" s="15" t="n"/>
      <c r="E78" s="15" t="n"/>
      <c r="F78" s="15" t="n"/>
      <c r="G78" s="2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AA78" s="19" t="inlineStr">
        <is>
          <t>interf_detalle</t>
        </is>
      </c>
    </row>
    <row r="79" ht="24" customHeight="1">
      <c r="B79" s="14" t="inlineStr">
        <is>
          <t>INTERVENCIÓN PREVISTA (referencial)</t>
        </is>
      </c>
      <c r="C79" s="15" t="n"/>
      <c r="D79" s="15" t="n"/>
      <c r="E79" s="15" t="n"/>
      <c r="F79" s="15" t="n"/>
      <c r="G79" s="17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7" t="n"/>
      <c r="Q79" s="18" t="n"/>
      <c r="R79" s="18" t="n"/>
      <c r="S79" s="18" t="n"/>
      <c r="T79" s="18" t="n"/>
      <c r="U79" s="18" t="n"/>
      <c r="V79" s="18" t="n"/>
      <c r="W79" s="18" t="n"/>
      <c r="X79" s="18" t="n"/>
      <c r="Y79" s="18" t="n"/>
    </row>
    <row r="80">
      <c r="B80" s="26" t="inlineStr">
        <is>
          <t xml:space="preserve">   5.3 DESCRIPCIÓN DE AFECTACIONES (obras y bienes existentes en el área)</t>
        </is>
      </c>
      <c r="C80" s="27" t="n"/>
      <c r="D80" s="27" t="n"/>
      <c r="E80" s="27" t="n"/>
      <c r="F80" s="27" t="n"/>
      <c r="G80" s="27" t="n"/>
      <c r="H80" s="27" t="n"/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n"/>
      <c r="R80" s="27" t="n"/>
      <c r="S80" s="27" t="n"/>
      <c r="T80" s="27" t="n"/>
      <c r="U80" s="27" t="n"/>
      <c r="V80" s="27" t="n"/>
      <c r="W80" s="27" t="n"/>
      <c r="X80" s="27" t="n"/>
      <c r="Y80" s="27" t="n"/>
    </row>
    <row r="81" ht="22" customHeight="1">
      <c r="B81" s="29" t="inlineStr">
        <is>
          <t>CÓD.</t>
        </is>
      </c>
      <c r="C81" s="15" t="n"/>
      <c r="D81" s="29" t="inlineStr">
        <is>
          <t>DESCRIPCIÓN / USO</t>
        </is>
      </c>
      <c r="E81" s="15" t="n"/>
      <c r="F81" s="15" t="n"/>
      <c r="G81" s="15" t="n"/>
      <c r="H81" s="15" t="n"/>
      <c r="I81" s="29" t="inlineStr">
        <is>
          <t>METRADO</t>
        </is>
      </c>
      <c r="J81" s="15" t="n"/>
      <c r="K81" s="29" t="inlineStr">
        <is>
          <t>UND.</t>
        </is>
      </c>
      <c r="L81" s="15" t="n"/>
      <c r="M81" s="29" t="inlineStr">
        <is>
          <t>MATERIAL</t>
        </is>
      </c>
      <c r="N81" s="15" t="n"/>
      <c r="O81" s="15" t="n"/>
      <c r="P81" s="29" t="inlineStr">
        <is>
          <t>EST. CONSERV.</t>
        </is>
      </c>
      <c r="Q81" s="15" t="n"/>
      <c r="R81" s="15" t="n"/>
      <c r="S81" s="29" t="inlineStr">
        <is>
          <t>EST. CONSTR.</t>
        </is>
      </c>
      <c r="T81" s="15" t="n"/>
      <c r="U81" s="15" t="n"/>
      <c r="V81" s="29" t="inlineStr">
        <is>
          <t>UBICACIÓN</t>
        </is>
      </c>
      <c r="W81" s="15" t="n"/>
      <c r="X81" s="15" t="n"/>
      <c r="Y81" s="15" t="n"/>
    </row>
    <row r="82" ht="20" customHeight="1">
      <c r="B82" s="37" t="inlineStr">
        <is>
          <t>OC-01</t>
        </is>
      </c>
      <c r="C82" s="15" t="n"/>
      <c r="D82" s="25" t="n"/>
      <c r="E82" s="5" t="n"/>
      <c r="F82" s="5" t="n"/>
      <c r="G82" s="5" t="n"/>
      <c r="H82" s="5" t="n"/>
      <c r="I82" s="34" t="n"/>
      <c r="J82" s="5" t="n"/>
      <c r="K82" s="24" t="n"/>
      <c r="L82" s="18" t="n"/>
      <c r="M82" s="17" t="n"/>
      <c r="N82" s="18" t="n"/>
      <c r="O82" s="18" t="n"/>
      <c r="P82" s="17" t="n"/>
      <c r="Q82" s="18" t="n"/>
      <c r="R82" s="18" t="n"/>
      <c r="S82" s="17" t="n"/>
      <c r="T82" s="18" t="n"/>
      <c r="U82" s="18" t="n"/>
      <c r="V82" s="25" t="n"/>
      <c r="W82" s="5" t="n"/>
      <c r="X82" s="5" t="n"/>
      <c r="Y82" s="5" t="n"/>
    </row>
    <row r="83" ht="20" customHeight="1">
      <c r="B83" s="37" t="inlineStr">
        <is>
          <t>OC-02</t>
        </is>
      </c>
      <c r="C83" s="15" t="n"/>
      <c r="D83" s="25" t="n"/>
      <c r="E83" s="5" t="n"/>
      <c r="F83" s="5" t="n"/>
      <c r="G83" s="5" t="n"/>
      <c r="H83" s="5" t="n"/>
      <c r="I83" s="34" t="n"/>
      <c r="J83" s="5" t="n"/>
      <c r="K83" s="24" t="n"/>
      <c r="L83" s="18" t="n"/>
      <c r="M83" s="17" t="n"/>
      <c r="N83" s="18" t="n"/>
      <c r="O83" s="18" t="n"/>
      <c r="P83" s="17" t="n"/>
      <c r="Q83" s="18" t="n"/>
      <c r="R83" s="18" t="n"/>
      <c r="S83" s="17" t="n"/>
      <c r="T83" s="18" t="n"/>
      <c r="U83" s="18" t="n"/>
      <c r="V83" s="25" t="n"/>
      <c r="W83" s="5" t="n"/>
      <c r="X83" s="5" t="n"/>
      <c r="Y83" s="5" t="n"/>
    </row>
    <row r="84" ht="20" customHeight="1">
      <c r="B84" s="37" t="inlineStr">
        <is>
          <t>OC-03</t>
        </is>
      </c>
      <c r="C84" s="15" t="n"/>
      <c r="D84" s="25" t="n"/>
      <c r="E84" s="5" t="n"/>
      <c r="F84" s="5" t="n"/>
      <c r="G84" s="5" t="n"/>
      <c r="H84" s="5" t="n"/>
      <c r="I84" s="34" t="n"/>
      <c r="J84" s="5" t="n"/>
      <c r="K84" s="24" t="n"/>
      <c r="L84" s="18" t="n"/>
      <c r="M84" s="17" t="n"/>
      <c r="N84" s="18" t="n"/>
      <c r="O84" s="18" t="n"/>
      <c r="P84" s="17" t="n"/>
      <c r="Q84" s="18" t="n"/>
      <c r="R84" s="18" t="n"/>
      <c r="S84" s="17" t="n"/>
      <c r="T84" s="18" t="n"/>
      <c r="U84" s="18" t="n"/>
      <c r="V84" s="25" t="n"/>
      <c r="W84" s="5" t="n"/>
      <c r="X84" s="5" t="n"/>
      <c r="Y84" s="5" t="n"/>
    </row>
    <row r="85" ht="20" customHeight="1">
      <c r="B85" s="37" t="inlineStr">
        <is>
          <t>OC-04</t>
        </is>
      </c>
      <c r="C85" s="15" t="n"/>
      <c r="D85" s="25" t="n"/>
      <c r="E85" s="5" t="n"/>
      <c r="F85" s="5" t="n"/>
      <c r="G85" s="5" t="n"/>
      <c r="H85" s="5" t="n"/>
      <c r="I85" s="34" t="n"/>
      <c r="J85" s="5" t="n"/>
      <c r="K85" s="24" t="n"/>
      <c r="L85" s="18" t="n"/>
      <c r="M85" s="17" t="n"/>
      <c r="N85" s="18" t="n"/>
      <c r="O85" s="18" t="n"/>
      <c r="P85" s="17" t="n"/>
      <c r="Q85" s="18" t="n"/>
      <c r="R85" s="18" t="n"/>
      <c r="S85" s="17" t="n"/>
      <c r="T85" s="18" t="n"/>
      <c r="U85" s="18" t="n"/>
      <c r="V85" s="25" t="n"/>
      <c r="W85" s="5" t="n"/>
      <c r="X85" s="5" t="n"/>
      <c r="Y85" s="5" t="n"/>
    </row>
    <row r="86" ht="20" customHeight="1">
      <c r="B86" s="37" t="inlineStr">
        <is>
          <t>OC-05</t>
        </is>
      </c>
      <c r="C86" s="15" t="n"/>
      <c r="D86" s="25" t="n"/>
      <c r="E86" s="5" t="n"/>
      <c r="F86" s="5" t="n"/>
      <c r="G86" s="5" t="n"/>
      <c r="H86" s="5" t="n"/>
      <c r="I86" s="34" t="n"/>
      <c r="J86" s="5" t="n"/>
      <c r="K86" s="24" t="n"/>
      <c r="L86" s="18" t="n"/>
      <c r="M86" s="17" t="n"/>
      <c r="N86" s="18" t="n"/>
      <c r="O86" s="18" t="n"/>
      <c r="P86" s="17" t="n"/>
      <c r="Q86" s="18" t="n"/>
      <c r="R86" s="18" t="n"/>
      <c r="S86" s="17" t="n"/>
      <c r="T86" s="18" t="n"/>
      <c r="U86" s="18" t="n"/>
      <c r="V86" s="25" t="n"/>
      <c r="W86" s="5" t="n"/>
      <c r="X86" s="5" t="n"/>
      <c r="Y86" s="5" t="n"/>
    </row>
    <row r="87" ht="4" customHeight="1"/>
    <row r="88" ht="18" customHeight="1">
      <c r="B88" s="13" t="inlineStr">
        <is>
          <t xml:space="preserve">  6. DISPONIBILIDAD Y CONDICIÓN DE LIBERACIÓN</t>
        </is>
      </c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</row>
    <row r="89">
      <c r="B89" s="14" t="inlineStr">
        <is>
          <t>ACEPTACIÓN DEL TITULAR / PREDIANTE</t>
        </is>
      </c>
      <c r="C89" s="15" t="n"/>
      <c r="D89" s="15" t="n"/>
      <c r="E89" s="15" t="n"/>
      <c r="F89" s="15" t="n"/>
      <c r="G89" s="17" t="n"/>
      <c r="H89" s="18" t="n"/>
      <c r="I89" s="18" t="n"/>
      <c r="J89" s="18" t="n"/>
      <c r="K89" s="18" t="n"/>
      <c r="L89" s="18" t="n"/>
      <c r="M89" s="18" t="n"/>
      <c r="N89" s="14" t="inlineStr">
        <is>
          <t>MODALIDAD DE DISPONIBILIDAD</t>
        </is>
      </c>
      <c r="O89" s="15" t="n"/>
      <c r="P89" s="15" t="n"/>
      <c r="Q89" s="15" t="n"/>
      <c r="R89" s="15" t="n"/>
      <c r="S89" s="17" t="n"/>
      <c r="T89" s="18" t="n"/>
      <c r="U89" s="18" t="n"/>
      <c r="V89" s="18" t="n"/>
      <c r="W89" s="18" t="n"/>
      <c r="X89" s="18" t="n"/>
      <c r="Y89" s="18" t="n"/>
      <c r="AA89" s="19" t="inlineStr">
        <is>
          <t>aceptacion</t>
        </is>
      </c>
    </row>
    <row r="90">
      <c r="B90" s="14" t="inlineStr">
        <is>
          <t>CONCLUSIÓN DE CAMPO</t>
        </is>
      </c>
      <c r="C90" s="15" t="n"/>
      <c r="D90" s="15" t="n"/>
      <c r="E90" s="15" t="n"/>
      <c r="F90" s="15" t="n"/>
      <c r="G90" s="17" t="n"/>
      <c r="H90" s="18" t="n"/>
      <c r="I90" s="18" t="n"/>
      <c r="J90" s="18" t="n"/>
      <c r="K90" s="18" t="n"/>
      <c r="L90" s="18" t="n"/>
      <c r="M90" s="18" t="n"/>
      <c r="N90" s="14" t="inlineStr">
        <is>
          <t>ESTADO LA PROPUESTO</t>
        </is>
      </c>
      <c r="O90" s="15" t="n"/>
      <c r="P90" s="15" t="n"/>
      <c r="Q90" s="15" t="n"/>
      <c r="R90" s="15" t="n"/>
      <c r="S90" s="24" t="n"/>
      <c r="T90" s="18" t="n"/>
      <c r="U90" s="18" t="n"/>
      <c r="V90" s="18" t="n"/>
      <c r="W90" s="18" t="n"/>
      <c r="X90" s="18" t="n"/>
      <c r="Y90" s="18" t="n"/>
      <c r="AA90" s="19" t="inlineStr">
        <is>
          <t>estado_la_propuesto</t>
        </is>
      </c>
    </row>
    <row r="91">
      <c r="B91" s="14" t="inlineStr">
        <is>
          <t>ACTA PREVISTA</t>
        </is>
      </c>
      <c r="C91" s="15" t="n"/>
      <c r="D91" s="15" t="n"/>
      <c r="E91" s="15" t="n"/>
      <c r="F91" s="15" t="n"/>
      <c r="G91" s="17" t="n"/>
      <c r="H91" s="18" t="n"/>
      <c r="I91" s="18" t="n"/>
      <c r="J91" s="18" t="n"/>
      <c r="K91" s="18" t="n"/>
      <c r="L91" s="18" t="n"/>
      <c r="M91" s="18" t="n"/>
      <c r="N91" s="14" t="inlineStr">
        <is>
          <t>CÓDIGO DE TITULAR PREVIO (T0000)</t>
        </is>
      </c>
      <c r="O91" s="15" t="n"/>
      <c r="P91" s="15" t="n"/>
      <c r="Q91" s="15" t="n"/>
      <c r="R91" s="15" t="n"/>
      <c r="S91" s="28" t="n"/>
      <c r="T91" s="5" t="n"/>
      <c r="U91" s="5" t="n"/>
      <c r="V91" s="5" t="n"/>
      <c r="W91" s="5" t="n"/>
      <c r="X91" s="5" t="n"/>
      <c r="Y91" s="5" t="n"/>
      <c r="AA91" s="19" t="inlineStr">
        <is>
          <t>cod_titular_prev</t>
        </is>
      </c>
    </row>
    <row r="92" ht="36" customHeight="1">
      <c r="B92" s="14" t="inlineStr">
        <is>
          <t>OBSERVACIONES / ALERTAS SOCIALES</t>
        </is>
      </c>
      <c r="C92" s="15" t="n"/>
      <c r="D92" s="15" t="n"/>
      <c r="E92" s="15" t="n"/>
      <c r="F92" s="15" t="n"/>
      <c r="G92" s="2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 ht="4" customHeight="1"/>
    <row r="94" ht="18" customHeight="1">
      <c r="B94" s="13" t="inlineStr">
        <is>
          <t xml:space="preserve">  7. CROQUIS DEL PREDIO Y PUNTOS DE CONTROL (UTM WGS84 Zona 17S)</t>
        </is>
      </c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</row>
    <row r="95">
      <c r="B95" s="38" t="inlineStr">
        <is>
          <t>Croquis: indicar el norte, linderos, colindantes, accesos, vértices numerados e interferencias.</t>
        </is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B109" s="29" t="inlineStr">
        <is>
          <t>N°</t>
        </is>
      </c>
      <c r="C109" s="15" t="n"/>
      <c r="D109" s="29" t="inlineStr">
        <is>
          <t>TIPO DE PUNTO</t>
        </is>
      </c>
      <c r="E109" s="15" t="n"/>
      <c r="F109" s="15" t="n"/>
      <c r="G109" s="15" t="n"/>
      <c r="H109" s="15" t="n"/>
      <c r="I109" s="29" t="inlineStr">
        <is>
          <t>ESTE (m)</t>
        </is>
      </c>
      <c r="J109" s="15" t="n"/>
      <c r="K109" s="15" t="n"/>
      <c r="L109" s="15" t="n"/>
      <c r="M109" s="15" t="n"/>
      <c r="N109" s="29" t="inlineStr">
        <is>
          <t>NORTE (m)</t>
        </is>
      </c>
      <c r="O109" s="15" t="n"/>
      <c r="P109" s="15" t="n"/>
      <c r="Q109" s="15" t="n"/>
      <c r="R109" s="15" t="n"/>
      <c r="S109" s="29" t="inlineStr">
        <is>
          <t>ALTITUD</t>
        </is>
      </c>
      <c r="T109" s="15" t="n"/>
      <c r="U109" s="15" t="n"/>
      <c r="V109" s="29" t="inlineStr">
        <is>
          <t>OBSERVACIÓN</t>
        </is>
      </c>
      <c r="W109" s="15" t="n"/>
      <c r="X109" s="15" t="n"/>
      <c r="Y109" s="15" t="n"/>
    </row>
    <row r="110">
      <c r="B110" s="37" t="n">
        <v>1</v>
      </c>
      <c r="C110" s="15" t="n"/>
      <c r="D110" s="17" t="n"/>
      <c r="E110" s="18" t="n"/>
      <c r="F110" s="18" t="n"/>
      <c r="G110" s="18" t="n"/>
      <c r="H110" s="18" t="n"/>
      <c r="I110" s="30" t="n"/>
      <c r="J110" s="5" t="n"/>
      <c r="K110" s="5" t="n"/>
      <c r="L110" s="5" t="n"/>
      <c r="M110" s="5" t="n"/>
      <c r="N110" s="30" t="n"/>
      <c r="O110" s="5" t="n"/>
      <c r="P110" s="5" t="n"/>
      <c r="Q110" s="5" t="n"/>
      <c r="R110" s="5" t="n"/>
      <c r="S110" s="31" t="n"/>
      <c r="T110" s="5" t="n"/>
      <c r="U110" s="5" t="n"/>
      <c r="V110" s="25" t="n"/>
      <c r="W110" s="5" t="n"/>
      <c r="X110" s="5" t="n"/>
      <c r="Y110" s="5" t="n"/>
      <c r="AA110" s="19" t="inlineStr">
        <is>
          <t>r_puntos: pt_gps, pt_tipo</t>
        </is>
      </c>
    </row>
    <row r="111">
      <c r="B111" s="37" t="n">
        <v>2</v>
      </c>
      <c r="C111" s="15" t="n"/>
      <c r="D111" s="17" t="n"/>
      <c r="E111" s="18" t="n"/>
      <c r="F111" s="18" t="n"/>
      <c r="G111" s="18" t="n"/>
      <c r="H111" s="18" t="n"/>
      <c r="I111" s="30" t="n"/>
      <c r="J111" s="5" t="n"/>
      <c r="K111" s="5" t="n"/>
      <c r="L111" s="5" t="n"/>
      <c r="M111" s="5" t="n"/>
      <c r="N111" s="30" t="n"/>
      <c r="O111" s="5" t="n"/>
      <c r="P111" s="5" t="n"/>
      <c r="Q111" s="5" t="n"/>
      <c r="R111" s="5" t="n"/>
      <c r="S111" s="31" t="n"/>
      <c r="T111" s="5" t="n"/>
      <c r="U111" s="5" t="n"/>
      <c r="V111" s="25" t="n"/>
      <c r="W111" s="5" t="n"/>
      <c r="X111" s="5" t="n"/>
      <c r="Y111" s="5" t="n"/>
    </row>
    <row r="112">
      <c r="B112" s="37" t="n">
        <v>3</v>
      </c>
      <c r="C112" s="15" t="n"/>
      <c r="D112" s="17" t="n"/>
      <c r="E112" s="18" t="n"/>
      <c r="F112" s="18" t="n"/>
      <c r="G112" s="18" t="n"/>
      <c r="H112" s="18" t="n"/>
      <c r="I112" s="30" t="n"/>
      <c r="J112" s="5" t="n"/>
      <c r="K112" s="5" t="n"/>
      <c r="L112" s="5" t="n"/>
      <c r="M112" s="5" t="n"/>
      <c r="N112" s="30" t="n"/>
      <c r="O112" s="5" t="n"/>
      <c r="P112" s="5" t="n"/>
      <c r="Q112" s="5" t="n"/>
      <c r="R112" s="5" t="n"/>
      <c r="S112" s="31" t="n"/>
      <c r="T112" s="5" t="n"/>
      <c r="U112" s="5" t="n"/>
      <c r="V112" s="25" t="n"/>
      <c r="W112" s="5" t="n"/>
      <c r="X112" s="5" t="n"/>
      <c r="Y112" s="5" t="n"/>
    </row>
    <row r="113">
      <c r="B113" s="37" t="n">
        <v>4</v>
      </c>
      <c r="C113" s="15" t="n"/>
      <c r="D113" s="17" t="n"/>
      <c r="E113" s="18" t="n"/>
      <c r="F113" s="18" t="n"/>
      <c r="G113" s="18" t="n"/>
      <c r="H113" s="18" t="n"/>
      <c r="I113" s="30" t="n"/>
      <c r="J113" s="5" t="n"/>
      <c r="K113" s="5" t="n"/>
      <c r="L113" s="5" t="n"/>
      <c r="M113" s="5" t="n"/>
      <c r="N113" s="30" t="n"/>
      <c r="O113" s="5" t="n"/>
      <c r="P113" s="5" t="n"/>
      <c r="Q113" s="5" t="n"/>
      <c r="R113" s="5" t="n"/>
      <c r="S113" s="31" t="n"/>
      <c r="T113" s="5" t="n"/>
      <c r="U113" s="5" t="n"/>
      <c r="V113" s="25" t="n"/>
      <c r="W113" s="5" t="n"/>
      <c r="X113" s="5" t="n"/>
      <c r="Y113" s="5" t="n"/>
    </row>
    <row r="114">
      <c r="B114" s="37" t="n">
        <v>5</v>
      </c>
      <c r="C114" s="15" t="n"/>
      <c r="D114" s="17" t="n"/>
      <c r="E114" s="18" t="n"/>
      <c r="F114" s="18" t="n"/>
      <c r="G114" s="18" t="n"/>
      <c r="H114" s="18" t="n"/>
      <c r="I114" s="30" t="n"/>
      <c r="J114" s="5" t="n"/>
      <c r="K114" s="5" t="n"/>
      <c r="L114" s="5" t="n"/>
      <c r="M114" s="5" t="n"/>
      <c r="N114" s="30" t="n"/>
      <c r="O114" s="5" t="n"/>
      <c r="P114" s="5" t="n"/>
      <c r="Q114" s="5" t="n"/>
      <c r="R114" s="5" t="n"/>
      <c r="S114" s="31" t="n"/>
      <c r="T114" s="5" t="n"/>
      <c r="U114" s="5" t="n"/>
      <c r="V114" s="25" t="n"/>
      <c r="W114" s="5" t="n"/>
      <c r="X114" s="5" t="n"/>
      <c r="Y114" s="5" t="n"/>
    </row>
    <row r="115">
      <c r="B115" s="37" t="n">
        <v>6</v>
      </c>
      <c r="C115" s="15" t="n"/>
      <c r="D115" s="17" t="n"/>
      <c r="E115" s="18" t="n"/>
      <c r="F115" s="18" t="n"/>
      <c r="G115" s="18" t="n"/>
      <c r="H115" s="18" t="n"/>
      <c r="I115" s="30" t="n"/>
      <c r="J115" s="5" t="n"/>
      <c r="K115" s="5" t="n"/>
      <c r="L115" s="5" t="n"/>
      <c r="M115" s="5" t="n"/>
      <c r="N115" s="30" t="n"/>
      <c r="O115" s="5" t="n"/>
      <c r="P115" s="5" t="n"/>
      <c r="Q115" s="5" t="n"/>
      <c r="R115" s="5" t="n"/>
      <c r="S115" s="31" t="n"/>
      <c r="T115" s="5" t="n"/>
      <c r="U115" s="5" t="n"/>
      <c r="V115" s="25" t="n"/>
      <c r="W115" s="5" t="n"/>
      <c r="X115" s="5" t="n"/>
      <c r="Y115" s="5" t="n"/>
    </row>
    <row r="116">
      <c r="B116" s="37" t="n">
        <v>7</v>
      </c>
      <c r="C116" s="15" t="n"/>
      <c r="D116" s="17" t="n"/>
      <c r="E116" s="18" t="n"/>
      <c r="F116" s="18" t="n"/>
      <c r="G116" s="18" t="n"/>
      <c r="H116" s="18" t="n"/>
      <c r="I116" s="30" t="n"/>
      <c r="J116" s="5" t="n"/>
      <c r="K116" s="5" t="n"/>
      <c r="L116" s="5" t="n"/>
      <c r="M116" s="5" t="n"/>
      <c r="N116" s="30" t="n"/>
      <c r="O116" s="5" t="n"/>
      <c r="P116" s="5" t="n"/>
      <c r="Q116" s="5" t="n"/>
      <c r="R116" s="5" t="n"/>
      <c r="S116" s="31" t="n"/>
      <c r="T116" s="5" t="n"/>
      <c r="U116" s="5" t="n"/>
      <c r="V116" s="25" t="n"/>
      <c r="W116" s="5" t="n"/>
      <c r="X116" s="5" t="n"/>
      <c r="Y116" s="5" t="n"/>
    </row>
    <row r="117">
      <c r="B117" s="37" t="n">
        <v>8</v>
      </c>
      <c r="C117" s="15" t="n"/>
      <c r="D117" s="17" t="n"/>
      <c r="E117" s="18" t="n"/>
      <c r="F117" s="18" t="n"/>
      <c r="G117" s="18" t="n"/>
      <c r="H117" s="18" t="n"/>
      <c r="I117" s="30" t="n"/>
      <c r="J117" s="5" t="n"/>
      <c r="K117" s="5" t="n"/>
      <c r="L117" s="5" t="n"/>
      <c r="M117" s="5" t="n"/>
      <c r="N117" s="30" t="n"/>
      <c r="O117" s="5" t="n"/>
      <c r="P117" s="5" t="n"/>
      <c r="Q117" s="5" t="n"/>
      <c r="R117" s="5" t="n"/>
      <c r="S117" s="31" t="n"/>
      <c r="T117" s="5" t="n"/>
      <c r="U117" s="5" t="n"/>
      <c r="V117" s="25" t="n"/>
      <c r="W117" s="5" t="n"/>
      <c r="X117" s="5" t="n"/>
      <c r="Y117" s="5" t="n"/>
    </row>
    <row r="118" ht="4" customHeight="1"/>
    <row r="119" ht="18" customHeight="1">
      <c r="B119" s="13" t="inlineStr">
        <is>
          <t xml:space="preserve">  8. PANEL FOTOGRÁFICO</t>
        </is>
      </c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</row>
    <row r="120">
      <c r="B120" s="39" t="inlineStr">
        <is>
          <t>Insertar fotografía</t>
        </is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39" t="inlineStr">
        <is>
          <t>Insertar fotografía</t>
        </is>
      </c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B132" s="37" t="inlineStr">
        <is>
          <t>Foto 1 – Vista general del predio</t>
        </is>
      </c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37" t="inlineStr">
        <is>
          <t>Foto 2 – Cobertura vegetal / uso actual</t>
        </is>
      </c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AA132" s="19" t="inlineStr">
        <is>
          <t>foto_1</t>
        </is>
      </c>
    </row>
    <row r="133">
      <c r="B133" s="40" t="inlineStr">
        <is>
          <t>Archivo / N°:</t>
        </is>
      </c>
      <c r="C133" s="15" t="n"/>
      <c r="D133" s="15" t="n"/>
      <c r="E133" s="15" t="n"/>
      <c r="F133" s="25" t="n"/>
      <c r="G133" s="5" t="n"/>
      <c r="H133" s="5" t="n"/>
      <c r="I133" s="5" t="n"/>
      <c r="J133" s="5" t="n"/>
      <c r="K133" s="5" t="n"/>
      <c r="L133" s="5" t="n"/>
      <c r="M133" s="5" t="n"/>
      <c r="N133" s="40" t="inlineStr">
        <is>
          <t>Archivo / N°:</t>
        </is>
      </c>
      <c r="O133" s="15" t="n"/>
      <c r="P133" s="15" t="n"/>
      <c r="Q133" s="15" t="n"/>
      <c r="R133" s="25" t="n"/>
      <c r="S133" s="5" t="n"/>
      <c r="T133" s="5" t="n"/>
      <c r="U133" s="5" t="n"/>
      <c r="V133" s="5" t="n"/>
      <c r="W133" s="5" t="n"/>
      <c r="X133" s="5" t="n"/>
      <c r="Y133" s="5" t="n"/>
      <c r="AA133" s="19" t="inlineStr">
        <is>
          <t>foto_2</t>
        </is>
      </c>
    </row>
    <row r="134" ht="6" customHeight="1"/>
    <row r="135">
      <c r="B135" s="39" t="inlineStr">
        <is>
          <t>Insertar fotografía</t>
        </is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39" t="inlineStr">
        <is>
          <t>Insertar fotografía</t>
        </is>
      </c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B147" s="37" t="inlineStr">
        <is>
          <t>Foto 3 – Linderos, hitos o accesos</t>
        </is>
      </c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37" t="inlineStr">
        <is>
          <t>Foto 4 – Interferencias o detalle relevante</t>
        </is>
      </c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AA147" s="19" t="inlineStr">
        <is>
          <t>foto_3</t>
        </is>
      </c>
    </row>
    <row r="148">
      <c r="B148" s="40" t="inlineStr">
        <is>
          <t>Archivo / N°:</t>
        </is>
      </c>
      <c r="C148" s="15" t="n"/>
      <c r="D148" s="15" t="n"/>
      <c r="E148" s="15" t="n"/>
      <c r="F148" s="25" t="n"/>
      <c r="G148" s="5" t="n"/>
      <c r="H148" s="5" t="n"/>
      <c r="I148" s="5" t="n"/>
      <c r="J148" s="5" t="n"/>
      <c r="K148" s="5" t="n"/>
      <c r="L148" s="5" t="n"/>
      <c r="M148" s="5" t="n"/>
      <c r="N148" s="40" t="inlineStr">
        <is>
          <t>Archivo / N°:</t>
        </is>
      </c>
      <c r="O148" s="15" t="n"/>
      <c r="P148" s="15" t="n"/>
      <c r="Q148" s="15" t="n"/>
      <c r="R148" s="25" t="n"/>
      <c r="S148" s="5" t="n"/>
      <c r="T148" s="5" t="n"/>
      <c r="U148" s="5" t="n"/>
      <c r="V148" s="5" t="n"/>
      <c r="W148" s="5" t="n"/>
      <c r="X148" s="5" t="n"/>
      <c r="Y148" s="5" t="n"/>
      <c r="AA148" s="19" t="inlineStr">
        <is>
          <t>foto_4</t>
        </is>
      </c>
    </row>
    <row r="149" ht="6" customHeight="1"/>
    <row r="150" ht="18" customHeight="1">
      <c r="B150" s="13" t="inlineStr">
        <is>
          <t xml:space="preserve">  9. CONFORMIDAD Y FIRMAS</t>
        </is>
      </c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</row>
    <row r="151" ht="24" customHeight="1">
      <c r="B151" s="41" t="inlineStr">
        <is>
          <t>PREDIANTE / TITULAR (conformidad de la información)</t>
        </is>
      </c>
      <c r="C151" s="15" t="n"/>
      <c r="D151" s="15" t="n"/>
      <c r="E151" s="15" t="n"/>
      <c r="F151" s="15" t="n"/>
      <c r="G151" s="15" t="n"/>
      <c r="H151" s="15" t="n"/>
      <c r="J151" s="41" t="inlineStr">
        <is>
          <t>RESPONSABLE DE LA INFORMACIÓN</t>
        </is>
      </c>
      <c r="K151" s="15" t="n"/>
      <c r="L151" s="15" t="n"/>
      <c r="M151" s="15" t="n"/>
      <c r="N151" s="15" t="n"/>
      <c r="O151" s="15" t="n"/>
      <c r="P151" s="15" t="n"/>
      <c r="Q151" s="15" t="n"/>
      <c r="S151" s="41" t="inlineStr">
        <is>
          <t>RESPONSABLE DE LA REVISIÓN</t>
        </is>
      </c>
      <c r="T151" s="15" t="n"/>
      <c r="U151" s="15" t="n"/>
      <c r="V151" s="15" t="n"/>
      <c r="W151" s="15" t="n"/>
      <c r="X151" s="15" t="n"/>
      <c r="Y151" s="15" t="n"/>
    </row>
    <row r="152">
      <c r="B152" s="42" t="n"/>
      <c r="C152" s="5" t="n"/>
      <c r="D152" s="5" t="n"/>
      <c r="E152" s="5" t="n"/>
      <c r="F152" s="5" t="n"/>
      <c r="G152" s="5" t="n"/>
      <c r="H152" s="5" t="n"/>
      <c r="J152" s="42" t="n"/>
      <c r="K152" s="5" t="n"/>
      <c r="L152" s="5" t="n"/>
      <c r="M152" s="5" t="n"/>
      <c r="N152" s="5" t="n"/>
      <c r="O152" s="5" t="n"/>
      <c r="P152" s="5" t="n"/>
      <c r="Q152" s="5" t="n"/>
      <c r="S152" s="42" t="n"/>
      <c r="T152" s="5" t="n"/>
      <c r="U152" s="5" t="n"/>
      <c r="V152" s="5" t="n"/>
      <c r="W152" s="5" t="n"/>
      <c r="X152" s="5" t="n"/>
      <c r="Y152" s="5" t="n"/>
    </row>
    <row r="153">
      <c r="B153" s="5" t="n"/>
      <c r="C153" s="5" t="n"/>
      <c r="D153" s="5" t="n"/>
      <c r="E153" s="5" t="n"/>
      <c r="F153" s="5" t="n"/>
      <c r="G153" s="5" t="n"/>
      <c r="H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B154" s="5" t="n"/>
      <c r="C154" s="5" t="n"/>
      <c r="D154" s="5" t="n"/>
      <c r="E154" s="5" t="n"/>
      <c r="F154" s="5" t="n"/>
      <c r="G154" s="5" t="n"/>
      <c r="H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B155" s="5" t="n"/>
      <c r="C155" s="5" t="n"/>
      <c r="D155" s="5" t="n"/>
      <c r="E155" s="5" t="n"/>
      <c r="F155" s="5" t="n"/>
      <c r="G155" s="5" t="n"/>
      <c r="H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B156" s="5" t="n"/>
      <c r="C156" s="5" t="n"/>
      <c r="D156" s="5" t="n"/>
      <c r="E156" s="5" t="n"/>
      <c r="F156" s="5" t="n"/>
      <c r="G156" s="5" t="n"/>
      <c r="H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B157" s="43">
        <f>IF(G30&lt;&gt;"",G30&amp;" "&amp;S30,IF(G35&lt;&gt;"",G35,"Nombre:"))</f>
        <v/>
      </c>
      <c r="C157" s="5" t="n"/>
      <c r="D157" s="5" t="n"/>
      <c r="E157" s="5" t="n"/>
      <c r="F157" s="5" t="n"/>
      <c r="G157" s="5" t="n"/>
      <c r="H157" s="5" t="n"/>
      <c r="J157" s="43">
        <f>IF(S13&lt;&gt;"",S13,"Nombre:")</f>
        <v/>
      </c>
      <c r="K157" s="5" t="n"/>
      <c r="L157" s="5" t="n"/>
      <c r="M157" s="5" t="n"/>
      <c r="N157" s="5" t="n"/>
      <c r="O157" s="5" t="n"/>
      <c r="P157" s="5" t="n"/>
      <c r="Q157" s="5" t="n"/>
      <c r="S157" s="43" t="inlineStr">
        <is>
          <t>Nombre:</t>
        </is>
      </c>
      <c r="T157" s="5" t="n"/>
      <c r="U157" s="5" t="n"/>
      <c r="V157" s="5" t="n"/>
      <c r="W157" s="5" t="n"/>
      <c r="X157" s="5" t="n"/>
      <c r="Y157" s="5" t="n"/>
    </row>
    <row r="158">
      <c r="B158" s="44" t="inlineStr">
        <is>
          <t>Huella digital (si no firma)</t>
        </is>
      </c>
      <c r="C158" s="5" t="n"/>
      <c r="D158" s="5" t="n"/>
      <c r="E158" s="5" t="n"/>
      <c r="F158" s="5" t="n"/>
      <c r="G158" s="5" t="n"/>
      <c r="H158" s="5" t="n"/>
      <c r="J158" s="44">
        <f>IF(G13="","Asistente predial","Asistente predial "&amp;G13)</f>
        <v/>
      </c>
      <c r="K158" s="5" t="n"/>
      <c r="L158" s="5" t="n"/>
      <c r="M158" s="5" t="n"/>
      <c r="N158" s="5" t="n"/>
      <c r="O158" s="5" t="n"/>
      <c r="P158" s="5" t="n"/>
      <c r="Q158" s="5" t="n"/>
      <c r="S158" s="44" t="inlineStr">
        <is>
          <t>Especialista Legal / Técnico – SESDI</t>
        </is>
      </c>
      <c r="T158" s="5" t="n"/>
      <c r="U158" s="5" t="n"/>
      <c r="V158" s="5" t="n"/>
      <c r="W158" s="5" t="n"/>
      <c r="X158" s="5" t="n"/>
      <c r="Y158" s="5" t="n"/>
    </row>
    <row r="159" ht="6" customHeight="1"/>
    <row r="160">
      <c r="B160" s="14" t="inlineStr">
        <is>
          <t>FECHA DE ELABORACIÓN</t>
        </is>
      </c>
      <c r="C160" s="15" t="n"/>
      <c r="D160" s="15" t="n"/>
      <c r="E160" s="15" t="n"/>
      <c r="F160" s="15" t="n"/>
      <c r="G160" s="23" t="n"/>
      <c r="H160" s="5" t="n"/>
      <c r="I160" s="5" t="n"/>
      <c r="J160" s="5" t="n"/>
      <c r="K160" s="5" t="n"/>
      <c r="L160" s="5" t="n"/>
      <c r="M160" s="5" t="n"/>
      <c r="N160" s="14" t="inlineStr">
        <is>
          <t>LUGAR</t>
        </is>
      </c>
      <c r="O160" s="15" t="n"/>
      <c r="P160" s="15" t="n"/>
      <c r="Q160" s="15" t="n"/>
      <c r="R160" s="15" t="n"/>
      <c r="S160" s="25" t="n"/>
      <c r="T160" s="5" t="n"/>
      <c r="U160" s="5" t="n"/>
      <c r="V160" s="5" t="n"/>
      <c r="W160" s="5" t="n"/>
      <c r="X160" s="5" t="n"/>
      <c r="Y160" s="5" t="n"/>
    </row>
    <row r="161" ht="18" customHeight="1">
      <c r="B161" s="45" t="inlineStr">
        <is>
          <t>Los datos personales se registran con el consentimiento del titular y se tratan conforme a la Ley N.° 29733, Ley de Protección de Datos Personales. Uso exclusivo del proceso de liberación de áreas del Proyecto IN Piura.</t>
        </is>
      </c>
    </row>
  </sheetData>
  <mergeCells count="358">
    <mergeCell ref="B16:F16"/>
    <mergeCell ref="B68:E68"/>
    <mergeCell ref="M81:O81"/>
    <mergeCell ref="B18:F18"/>
    <mergeCell ref="B88:Y88"/>
    <mergeCell ref="V116:Y116"/>
    <mergeCell ref="B11:F11"/>
    <mergeCell ref="K81:L81"/>
    <mergeCell ref="G60:Y60"/>
    <mergeCell ref="G59:M59"/>
    <mergeCell ref="N33:R33"/>
    <mergeCell ref="V82:Y82"/>
    <mergeCell ref="F69:R69"/>
    <mergeCell ref="V111:Y111"/>
    <mergeCell ref="I111:M111"/>
    <mergeCell ref="N28:R28"/>
    <mergeCell ref="S38:Y38"/>
    <mergeCell ref="G62:M62"/>
    <mergeCell ref="S13:Y13"/>
    <mergeCell ref="N30:R30"/>
    <mergeCell ref="B69:E69"/>
    <mergeCell ref="G78:Y78"/>
    <mergeCell ref="B160:F160"/>
    <mergeCell ref="S15:Y15"/>
    <mergeCell ref="B161:Y161"/>
    <mergeCell ref="G16:M16"/>
    <mergeCell ref="B1:Y1"/>
    <mergeCell ref="N112:R112"/>
    <mergeCell ref="I116:M116"/>
    <mergeCell ref="B70:F70"/>
    <mergeCell ref="N56:R56"/>
    <mergeCell ref="S84:U84"/>
    <mergeCell ref="V114:Y114"/>
    <mergeCell ref="S91:Y91"/>
    <mergeCell ref="B17:F17"/>
    <mergeCell ref="B84:C84"/>
    <mergeCell ref="N59:R59"/>
    <mergeCell ref="V117:Y117"/>
    <mergeCell ref="S81:U81"/>
    <mergeCell ref="D83:H83"/>
    <mergeCell ref="S28:Y28"/>
    <mergeCell ref="V83:Y83"/>
    <mergeCell ref="P84:R84"/>
    <mergeCell ref="N49:R49"/>
    <mergeCell ref="N36:R36"/>
    <mergeCell ref="D85:H85"/>
    <mergeCell ref="N113:R113"/>
    <mergeCell ref="B81:C81"/>
    <mergeCell ref="G51:M51"/>
    <mergeCell ref="S152:Y156"/>
    <mergeCell ref="B147:M147"/>
    <mergeCell ref="V109:Y109"/>
    <mergeCell ref="M85:O85"/>
    <mergeCell ref="F133:M133"/>
    <mergeCell ref="N62:R62"/>
    <mergeCell ref="S56:Y56"/>
    <mergeCell ref="G79:O79"/>
    <mergeCell ref="B13:F13"/>
    <mergeCell ref="G17:M17"/>
    <mergeCell ref="I117:M117"/>
    <mergeCell ref="G23:Y23"/>
    <mergeCell ref="G77:L77"/>
    <mergeCell ref="B148:E148"/>
    <mergeCell ref="G58:M58"/>
    <mergeCell ref="G14:M14"/>
    <mergeCell ref="B91:F91"/>
    <mergeCell ref="S36:Y36"/>
    <mergeCell ref="B40:K40"/>
    <mergeCell ref="S30:Y30"/>
    <mergeCell ref="P86:R86"/>
    <mergeCell ref="B22:F22"/>
    <mergeCell ref="D84:H84"/>
    <mergeCell ref="N75:R75"/>
    <mergeCell ref="G24:L24"/>
    <mergeCell ref="D86:H86"/>
    <mergeCell ref="S31:Y31"/>
    <mergeCell ref="B34:Y34"/>
    <mergeCell ref="N52:R52"/>
    <mergeCell ref="F65:R65"/>
    <mergeCell ref="S62:Y62"/>
    <mergeCell ref="B38:F38"/>
    <mergeCell ref="N116:R116"/>
    <mergeCell ref="S113:U113"/>
    <mergeCell ref="B94:Y94"/>
    <mergeCell ref="V40:Y40"/>
    <mergeCell ref="S115:U115"/>
    <mergeCell ref="S57:Y57"/>
    <mergeCell ref="B33:F33"/>
    <mergeCell ref="B54:Y54"/>
    <mergeCell ref="S49:Y49"/>
    <mergeCell ref="B79:F79"/>
    <mergeCell ref="B113:C113"/>
    <mergeCell ref="B35:F35"/>
    <mergeCell ref="S151:Y151"/>
    <mergeCell ref="V41:Y41"/>
    <mergeCell ref="B43:Y43"/>
    <mergeCell ref="D81:H81"/>
    <mergeCell ref="N63:R63"/>
    <mergeCell ref="B115:C115"/>
    <mergeCell ref="N50:R50"/>
    <mergeCell ref="G91:M91"/>
    <mergeCell ref="G22:M22"/>
    <mergeCell ref="N132:Y132"/>
    <mergeCell ref="S75:Y75"/>
    <mergeCell ref="S52:Y52"/>
    <mergeCell ref="B28:F28"/>
    <mergeCell ref="G38:M38"/>
    <mergeCell ref="I83:J83"/>
    <mergeCell ref="B92:F92"/>
    <mergeCell ref="B30:F30"/>
    <mergeCell ref="Q41:U41"/>
    <mergeCell ref="I84:J84"/>
    <mergeCell ref="G33:M33"/>
    <mergeCell ref="N55:R55"/>
    <mergeCell ref="B39:Y39"/>
    <mergeCell ref="S65:Y65"/>
    <mergeCell ref="I86:J86"/>
    <mergeCell ref="S157:Y157"/>
    <mergeCell ref="S116:U116"/>
    <mergeCell ref="B56:F56"/>
    <mergeCell ref="S63:Y63"/>
    <mergeCell ref="P82:R82"/>
    <mergeCell ref="S50:Y50"/>
    <mergeCell ref="N58:R58"/>
    <mergeCell ref="V85:Y85"/>
    <mergeCell ref="B57:F57"/>
    <mergeCell ref="B66:E66"/>
    <mergeCell ref="B116:C116"/>
    <mergeCell ref="G28:M28"/>
    <mergeCell ref="B67:E67"/>
    <mergeCell ref="S14:Y14"/>
    <mergeCell ref="G30:M30"/>
    <mergeCell ref="N135:Y146"/>
    <mergeCell ref="B75:F75"/>
    <mergeCell ref="B62:F62"/>
    <mergeCell ref="S55:Y55"/>
    <mergeCell ref="B31:F31"/>
    <mergeCell ref="N21:R21"/>
    <mergeCell ref="G56:M56"/>
    <mergeCell ref="G46:Y46"/>
    <mergeCell ref="G36:M36"/>
    <mergeCell ref="S58:Y58"/>
    <mergeCell ref="P83:R83"/>
    <mergeCell ref="L41:P41"/>
    <mergeCell ref="B95:Y108"/>
    <mergeCell ref="S66:Y66"/>
    <mergeCell ref="B7:Y7"/>
    <mergeCell ref="P85:R85"/>
    <mergeCell ref="I109:M109"/>
    <mergeCell ref="D113:H113"/>
    <mergeCell ref="B63:F63"/>
    <mergeCell ref="N74:R74"/>
    <mergeCell ref="B50:F50"/>
    <mergeCell ref="S68:Y68"/>
    <mergeCell ref="M82:O82"/>
    <mergeCell ref="D110:H110"/>
    <mergeCell ref="B109:C109"/>
    <mergeCell ref="D115:H115"/>
    <mergeCell ref="B2:Y2"/>
    <mergeCell ref="B132:M132"/>
    <mergeCell ref="B133:E133"/>
    <mergeCell ref="B12:F12"/>
    <mergeCell ref="G31:M31"/>
    <mergeCell ref="B14:F14"/>
    <mergeCell ref="S21:Y21"/>
    <mergeCell ref="B5:R6"/>
    <mergeCell ref="V112:Y112"/>
    <mergeCell ref="B78:F78"/>
    <mergeCell ref="B80:Y80"/>
    <mergeCell ref="G48:Y48"/>
    <mergeCell ref="M83:O83"/>
    <mergeCell ref="G57:M57"/>
    <mergeCell ref="N31:R31"/>
    <mergeCell ref="J158:Q158"/>
    <mergeCell ref="B55:F55"/>
    <mergeCell ref="B114:C114"/>
    <mergeCell ref="N89:R89"/>
    <mergeCell ref="B65:E65"/>
    <mergeCell ref="S74:Y74"/>
    <mergeCell ref="B8:Y8"/>
    <mergeCell ref="S5:Y5"/>
    <mergeCell ref="B58:F58"/>
    <mergeCell ref="B52:F52"/>
    <mergeCell ref="M77:R77"/>
    <mergeCell ref="G75:M75"/>
    <mergeCell ref="B10:Y10"/>
    <mergeCell ref="B60:F60"/>
    <mergeCell ref="N115:R115"/>
    <mergeCell ref="I112:M112"/>
    <mergeCell ref="D116:H116"/>
    <mergeCell ref="J152:Q156"/>
    <mergeCell ref="G11:Y11"/>
    <mergeCell ref="Q40:U40"/>
    <mergeCell ref="B112:C112"/>
    <mergeCell ref="I114:M114"/>
    <mergeCell ref="B76:Y76"/>
    <mergeCell ref="B135:M146"/>
    <mergeCell ref="V84:Y84"/>
    <mergeCell ref="B15:F15"/>
    <mergeCell ref="S160:Y160"/>
    <mergeCell ref="B150:Y150"/>
    <mergeCell ref="P81:R81"/>
    <mergeCell ref="S24:Y24"/>
    <mergeCell ref="S89:Y89"/>
    <mergeCell ref="M84:O84"/>
    <mergeCell ref="B158:H158"/>
    <mergeCell ref="N32:R32"/>
    <mergeCell ref="G50:M50"/>
    <mergeCell ref="M86:O86"/>
    <mergeCell ref="N147:Y147"/>
    <mergeCell ref="G52:M52"/>
    <mergeCell ref="I115:M115"/>
    <mergeCell ref="F68:R68"/>
    <mergeCell ref="S77:Y77"/>
    <mergeCell ref="B74:F74"/>
    <mergeCell ref="G13:M13"/>
    <mergeCell ref="D117:H117"/>
    <mergeCell ref="S37:Y37"/>
    <mergeCell ref="B152:H156"/>
    <mergeCell ref="G15:M15"/>
    <mergeCell ref="N45:R45"/>
    <mergeCell ref="G55:M55"/>
    <mergeCell ref="R148:Y148"/>
    <mergeCell ref="N109:R109"/>
    <mergeCell ref="N47:R47"/>
    <mergeCell ref="N22:R22"/>
    <mergeCell ref="B21:F21"/>
    <mergeCell ref="S32:Y32"/>
    <mergeCell ref="B29:Y29"/>
    <mergeCell ref="J157:Q157"/>
    <mergeCell ref="J151:Q151"/>
    <mergeCell ref="B23:F23"/>
    <mergeCell ref="S90:Y90"/>
    <mergeCell ref="B82:C82"/>
    <mergeCell ref="S85:U85"/>
    <mergeCell ref="N111:R111"/>
    <mergeCell ref="S27:Y27"/>
    <mergeCell ref="I110:M110"/>
    <mergeCell ref="B83:C83"/>
    <mergeCell ref="B26:Y26"/>
    <mergeCell ref="G74:M74"/>
    <mergeCell ref="D82:H82"/>
    <mergeCell ref="B85:C85"/>
    <mergeCell ref="B36:F36"/>
    <mergeCell ref="N114:R114"/>
    <mergeCell ref="S111:U111"/>
    <mergeCell ref="V113:Y113"/>
    <mergeCell ref="S45:Y45"/>
    <mergeCell ref="N120:Y131"/>
    <mergeCell ref="S112:U112"/>
    <mergeCell ref="B77:F77"/>
    <mergeCell ref="S22:Y22"/>
    <mergeCell ref="B111:C111"/>
    <mergeCell ref="G21:M21"/>
    <mergeCell ref="N117:R117"/>
    <mergeCell ref="M24:R24"/>
    <mergeCell ref="B20:Y20"/>
    <mergeCell ref="G160:M160"/>
    <mergeCell ref="B151:H151"/>
    <mergeCell ref="S109:U109"/>
    <mergeCell ref="B49:F49"/>
    <mergeCell ref="B24:F24"/>
    <mergeCell ref="G18:M18"/>
    <mergeCell ref="B89:F89"/>
    <mergeCell ref="S86:U86"/>
    <mergeCell ref="B32:F32"/>
    <mergeCell ref="S33:Y33"/>
    <mergeCell ref="I81:J81"/>
    <mergeCell ref="B90:F90"/>
    <mergeCell ref="F67:R67"/>
    <mergeCell ref="N16:R16"/>
    <mergeCell ref="G35:Y35"/>
    <mergeCell ref="N51:R51"/>
    <mergeCell ref="B27:F27"/>
    <mergeCell ref="B86:C86"/>
    <mergeCell ref="S47:Y47"/>
    <mergeCell ref="V86:Y86"/>
    <mergeCell ref="S59:Y59"/>
    <mergeCell ref="B44:F44"/>
    <mergeCell ref="S114:U114"/>
    <mergeCell ref="B37:F37"/>
    <mergeCell ref="V81:Y81"/>
    <mergeCell ref="B157:H157"/>
    <mergeCell ref="G49:M49"/>
    <mergeCell ref="G92:Y92"/>
    <mergeCell ref="G89:M89"/>
    <mergeCell ref="S117:U117"/>
    <mergeCell ref="N110:R110"/>
    <mergeCell ref="G90:M90"/>
    <mergeCell ref="B73:Y73"/>
    <mergeCell ref="S51:Y51"/>
    <mergeCell ref="B117:C117"/>
    <mergeCell ref="N18:R18"/>
    <mergeCell ref="N17:R17"/>
    <mergeCell ref="N57:R57"/>
    <mergeCell ref="S67:Y67"/>
    <mergeCell ref="G37:M37"/>
    <mergeCell ref="I82:J82"/>
    <mergeCell ref="K82:L82"/>
    <mergeCell ref="S69:Y69"/>
    <mergeCell ref="B45:F45"/>
    <mergeCell ref="B120:M131"/>
    <mergeCell ref="F148:M148"/>
    <mergeCell ref="S6:Y6"/>
    <mergeCell ref="S82:U82"/>
    <mergeCell ref="K83:L83"/>
    <mergeCell ref="B47:F47"/>
    <mergeCell ref="D109:H109"/>
    <mergeCell ref="B59:F59"/>
    <mergeCell ref="N160:R160"/>
    <mergeCell ref="B46:F46"/>
    <mergeCell ref="B61:Y61"/>
    <mergeCell ref="N133:Q133"/>
    <mergeCell ref="G32:M32"/>
    <mergeCell ref="G63:M63"/>
    <mergeCell ref="N37:R37"/>
    <mergeCell ref="D111:H111"/>
    <mergeCell ref="B119:Y119"/>
    <mergeCell ref="B41:K41"/>
    <mergeCell ref="G44:Y44"/>
    <mergeCell ref="I113:M113"/>
    <mergeCell ref="B48:F48"/>
    <mergeCell ref="S16:Y16"/>
    <mergeCell ref="R133:Y133"/>
    <mergeCell ref="N14:R14"/>
    <mergeCell ref="G27:M27"/>
    <mergeCell ref="S18:Y18"/>
    <mergeCell ref="B64:Y64"/>
    <mergeCell ref="S17:Y17"/>
    <mergeCell ref="S110:U110"/>
    <mergeCell ref="V115:Y115"/>
    <mergeCell ref="N90:R90"/>
    <mergeCell ref="N148:Q148"/>
    <mergeCell ref="B3:Y3"/>
    <mergeCell ref="F66:R66"/>
    <mergeCell ref="V110:Y110"/>
    <mergeCell ref="N27:R27"/>
    <mergeCell ref="G45:M45"/>
    <mergeCell ref="S158:Y158"/>
    <mergeCell ref="N91:R91"/>
    <mergeCell ref="G47:M47"/>
    <mergeCell ref="I85:J85"/>
    <mergeCell ref="K85:L85"/>
    <mergeCell ref="P79:Y79"/>
    <mergeCell ref="S83:U83"/>
    <mergeCell ref="K84:L84"/>
    <mergeCell ref="G12:Y12"/>
    <mergeCell ref="K86:L86"/>
    <mergeCell ref="D112:H112"/>
    <mergeCell ref="N38:R38"/>
    <mergeCell ref="G70:Y70"/>
    <mergeCell ref="N13:R13"/>
    <mergeCell ref="L40:P40"/>
    <mergeCell ref="D114:H114"/>
    <mergeCell ref="N15:R15"/>
    <mergeCell ref="B51:F51"/>
    <mergeCell ref="B72:Y72"/>
    <mergeCell ref="B110:C110"/>
  </mergeCells>
  <conditionalFormatting sqref="S18">
    <cfRule type="expression" priority="1" dxfId="0">
      <formula>LEFT(S18,1)="⚠"</formula>
    </cfRule>
    <cfRule type="expression" priority="2" dxfId="1">
      <formula>LEFT(S18,1)="✔"</formula>
    </cfRule>
  </conditionalFormatting>
  <conditionalFormatting sqref="S28">
    <cfRule type="expression" priority="3" dxfId="0">
      <formula>LEFT(S28,1)="⚠"</formula>
    </cfRule>
    <cfRule type="expression" priority="4" dxfId="1">
      <formula>LEFT(S28,1)="✔"</formula>
    </cfRule>
  </conditionalFormatting>
  <conditionalFormatting sqref="S52">
    <cfRule type="expression" priority="5" dxfId="0">
      <formula>LEFT(S52,1)="⚠"</formula>
    </cfRule>
    <cfRule type="expression" priority="6" dxfId="1">
      <formula>LEFT(S52,1)="✔"</formula>
    </cfRule>
  </conditionalFormatting>
  <conditionalFormatting sqref="S75">
    <cfRule type="expression" priority="7" dxfId="0">
      <formula>LEFT(S75,1)="⚠"</formula>
    </cfRule>
    <cfRule type="expression" priority="8" dxfId="1">
      <formula>LEFT(S75,1)="✔"</formula>
    </cfRule>
  </conditionalFormatting>
  <conditionalFormatting sqref="S14">
    <cfRule type="expression" priority="9" dxfId="0">
      <formula>LEFT(S14,1)="⚠"</formula>
    </cfRule>
    <cfRule type="expression" priority="10" dxfId="1">
      <formula>LEFT(S14,1)="✔"</formula>
    </cfRule>
  </conditionalFormatting>
  <dataValidations count="54">
    <dataValidation sqref="G13" showDropDown="0" showInputMessage="1" showErrorMessage="1" allowBlank="1" errorTitle="Valor no válido" error="Elija un valor de la lista desplegable." promptTitle="Ayuda" prompt="Código del asistente predial (AP-1 … AP-6) o ESP. Define la lista de unidades." type="list" errorStyle="stop">
      <formula1>L_asistente</formula1>
    </dataValidation>
    <dataValidation sqref="G14" showDropDown="0" showInputMessage="1" showErrorMessage="1" allowBlank="1" errorTitle="Valor no válido" error="Elija una unidad asignada al asistente seleccionado (catálogo V6)." promptTitle="Ayuda" prompt="Elija primero el ASISTENTE PREDIAL: la lista muestra solo sus bloques y lotes SUS asignados." type="list" errorStyle="stop">
      <formula1>INDIRECT("U_"&amp;SUBSTITUTE(G13,"-","_"))</formula1>
    </dataValidation>
    <dataValidation sqref="G16" showDropDown="0" showInputMessage="1" showErrorMessage="1" allowBlank="1" errorTitle="Fuera de rango" error="Número entero entre 0 y 99." promptTitle="Ayuda" prompt="Correlativo del predio dentro de la unidad (1–99). Use 0 solo en actas comunales A-03." type="whole" errorStyle="stop" operator="between">
      <formula1>0</formula1>
      <formula2>99</formula2>
    </dataValidation>
    <dataValidation sqref="G17 G160 S17" showDropDown="0" showInputMessage="0" showErrorMessage="1" allowBlank="1" errorTitle="Fecha" error="Ingrese una fecha válida (dd/mm/aaaa)." type="date" errorStyle="stop" operator="between">
      <formula1>DATE(2024,1,1)</formula1>
      <formula2>DATE(2035,12,31)</formula2>
    </dataValidation>
    <dataValidation sqref="G18 S59" showDropDown="0" showInputMessage="0" showErrorMessage="1" allowBlank="1" errorTitle="Valor no válido" error="Elija un valor de la lista desplegable." type="list" errorStyle="stop">
      <formula1>L_si_no</formula1>
    </dataValidation>
    <dataValidation sqref="G21" showDropDown="0" showInputMessage="0" showErrorMessage="1" allowBlank="1" errorTitle="Valor no válido" error="Elija un valor de la lista desplegable." type="list" errorStyle="stop">
      <formula1>L_sit_registral</formula1>
    </dataValidation>
    <dataValidation sqref="G22 S27" showDropDown="0" showInputMessage="0" showErrorMessage="1" allowBlank="1" errorTitle="Valor no válido" error="Elija un valor de la lista desplegable." type="list" errorStyle="stop">
      <formula1>L_personeria</formula1>
    </dataValidation>
    <dataValidation sqref="G24 M24 S24" showDropDown="0" showInputMessage="0" showErrorMessage="1" allowBlank="1" errorTitle="Valor no válido" error="Elija un valor de la lista desplegable." type="list" errorStyle="stop">
      <formula1>L_docs_exhibidos</formula1>
    </dataValidation>
    <dataValidation sqref="G27" showDropDown="0" showInputMessage="0" showErrorMessage="1" allowBlank="1" errorTitle="Valor no válido" error="Elija un valor de la lista desplegable." type="list" errorStyle="stop">
      <formula1>L_tipo_titularidad</formula1>
    </dataValidation>
    <dataValidation sqref="G28" showDropDown="0" showInputMessage="0" showErrorMessage="1" allowBlank="1" errorTitle="Valor no válido" error="Elija un valor de la lista desplegable." type="list" errorStyle="stop">
      <formula1>L_sucesion_estado</formula1>
    </dataValidation>
    <dataValidation sqref="G31" showDropDown="0" showInputMessage="1" showErrorMessage="1" allowBlank="1" errorTitle="DNI" error="El DNI tiene 8 dígitos numéricos." promptTitle="Ayuda" prompt="8 dígitos, sin puntos ni espacios." type="custom" errorStyle="stop">
      <formula1>AND(LEN(G31)=8,ISNUMBER(--G31))</formula1>
    </dataValidation>
    <dataValidation sqref="S31" showDropDown="0" showInputMessage="1" showErrorMessage="1" allowBlank="1" errorTitle="Celular" error="El celular tiene 9 dígitos y empieza con 9." promptTitle="Ayuda" prompt="9 dígitos, empieza con 9." type="custom" errorStyle="stop">
      <formula1>AND(LEN(S31)=9,LEFT(S31,1)="9",ISNUMBER(--S31))</formula1>
    </dataValidation>
    <dataValidation sqref="G32" showDropDown="0" showInputMessage="0" showErrorMessage="1" allowBlank="1" errorTitle="Valor no válido" error="Elija un valor de la lista desplegable." type="list" errorStyle="stop">
      <formula1>L_estado_civil</formula1>
    </dataValidation>
    <dataValidation sqref="S33" showDropDown="0" showInputMessage="0" showErrorMessage="1" allowBlank="1" errorTitle="DNI" error="El DNI tiene 8 dígitos numéricos." type="custom" errorStyle="stop">
      <formula1>AND(LEN(S33)=8,ISNUMBER(--S33))</formula1>
    </dataValidation>
    <dataValidation sqref="G36" showDropDown="0" showInputMessage="0" showErrorMessage="1" allowBlank="1" errorTitle="RUC" error="El RUC tiene 11 dígitos y empieza con 10 o 20." type="custom" errorStyle="stop">
      <formula1>AND(LEN(G36)=11,ISNUMBER(--G36),OR(LEFT(G36,2)="10",LEFT(G36,2)="20"))</formula1>
    </dataValidation>
    <dataValidation sqref="S37" showDropDown="0" showInputMessage="0" showErrorMessage="1" allowBlank="1" errorTitle="Valor no válido" error="Elija un valor de la lista desplegable." type="list" errorStyle="stop">
      <formula1>L_cargo_rep</formula1>
    </dataValidation>
    <dataValidation sqref="G38" showDropDown="0" showInputMessage="0" showErrorMessage="1" allowBlank="1" errorTitle="DNI" error="El DNI tiene 8 dígitos numéricos." type="custom" errorStyle="stop">
      <formula1>AND(LEN(G38)=8,ISNUMBER(--G38))</formula1>
    </dataValidation>
    <dataValidation sqref="S38" showDropDown="0" showInputMessage="0" showErrorMessage="1" allowBlank="1" errorTitle="Celular" error="El celular tiene 9 dígitos y empieza con 9." type="custom" errorStyle="stop">
      <formula1>AND(LEN(S38)=9,LEFT(S38,1)="9",ISNUMBER(--S38))</formula1>
    </dataValidation>
    <dataValidation sqref="L41" showDropDown="0" showInputMessage="0" showErrorMessage="1" allowBlank="1" errorTitle="Valor fuera de la lista" error="El valor no está en la lista. ¿Desea mantenerlo? (válido para domicilios fuera del ámbito)" type="list" errorStyle="warning">
      <formula1>L_distrito_15</formula1>
    </dataValidation>
    <dataValidation sqref="Q41" showDropDown="0" showInputMessage="0" showErrorMessage="1" allowBlank="1" errorTitle="Valor fuera de la lista" error="El valor no está en la lista. ¿Desea mantenerlo? (válido para domicilios fuera del ámbito)" type="list" errorStyle="warning">
      <formula1>L_prov_domicilio</formula1>
    </dataValidation>
    <dataValidation sqref="V41" showDropDown="0" showInputMessage="0" showErrorMessage="1" allowBlank="1" errorTitle="Valor fuera de la lista" error="El valor no está en la lista. ¿Desea mantenerlo? (válido para domicilios fuera del ámbito)" type="list" errorStyle="warning">
      <formula1>L_dep_domicilio</formula1>
    </dataValidation>
    <dataValidation sqref="G47" showDropDown="0" showInputMessage="0" showErrorMessage="1" allowBlank="1" errorTitle="Valor no válido" error="Elija un valor de la lista desplegable." type="list" errorStyle="stop">
      <formula1>L_acceso_tipo</formula1>
    </dataValidation>
    <dataValidation sqref="S47" showDropDown="0" showInputMessage="0" showErrorMessage="1" allowBlank="1" errorTitle="Fuera de rango" error="Número entero entre 0 y 600." type="whole" errorStyle="stop" operator="between">
      <formula1>0</formula1>
      <formula2>600</formula2>
    </dataValidation>
    <dataValidation sqref="G49" showDropDown="0" showInputMessage="1" showErrorMessage="1" allowBlank="1" errorTitle="Fuera de rango" error="Este UTM 17S entre 450,000 y 750,000 m." promptTitle="Ayuda" prompt="Coordenada Este en UTM 17S (no lat/lon)." type="decimal" errorStyle="stop" operator="between">
      <formula1>450000</formula1>
      <formula2>750000</formula2>
    </dataValidation>
    <dataValidation sqref="S49" showDropDown="0" showInputMessage="1" showErrorMessage="1" allowBlank="1" errorTitle="Fuera de rango" error="Norte UTM 17S entre 9,300,000 y 9,600,000 m." promptTitle="Ayuda" prompt="Coordenada Norte en UTM 17S (no lat/lon)." type="decimal" errorStyle="stop" operator="between">
      <formula1>9300000</formula1>
      <formula2>9600000</formula2>
    </dataValidation>
    <dataValidation sqref="G50 S110 S111 S112 S113 S114 S115 S116 S117" showDropDown="0" showInputMessage="0" showErrorMessage="1" allowBlank="1" errorTitle="Fuera de rango" error="Valor entre 0 y 4,500." type="decimal" errorStyle="stop" operator="between">
      <formula1>0</formula1>
      <formula2>4500</formula2>
    </dataValidation>
    <dataValidation sqref="S50" showDropDown="0" showInputMessage="0" showErrorMessage="1" allowBlank="1" errorTitle="Fuera de rango" error="Valor entre 0 y 100." type="decimal" errorStyle="stop" operator="between">
      <formula1>0</formula1>
      <formula2>100</formula2>
    </dataValidation>
    <dataValidation sqref="G51" showDropDown="0" showInputMessage="0" showErrorMessage="1" allowBlank="1" errorTitle="Valor no válido" error="Elija un valor de la lista desplegable." type="list" errorStyle="stop">
      <formula1>L_departamento</formula1>
    </dataValidation>
    <dataValidation sqref="S51" showDropDown="0" showInputMessage="1" showErrorMessage="1" allowBlank="1" errorTitle="Valor no válido" error="Elija un valor de la lista desplegable." promptTitle="Ayuda" prompt="Ayabaca, Huancabamba o Morropón (ámbito del proyecto)." type="list" errorStyle="stop">
      <formula1>L_provincia</formula1>
    </dataValidation>
    <dataValidation sqref="G52" showDropDown="0" showInputMessage="1" showErrorMessage="1" allowBlank="1" errorTitle="Valor no válido" error="Elija primero la PROVINCIA; el distrito debe pertenecer a ella (15 distritos del ámbito)." promptTitle="Ayuda" prompt="Lista dependiente de la provincia elegida." type="list" errorStyle="stop">
      <formula1>INDIRECT("D_"&amp;SUBSTITUTE(S51,"ó","o"))</formula1>
    </dataValidation>
    <dataValidation sqref="G55" showDropDown="0" showInputMessage="0" showErrorMessage="1" allowBlank="1" errorTitle="Valor no válido" error="Elija un valor de la lista desplegable." type="list" errorStyle="stop">
      <formula1>L_uso_actual</formula1>
    </dataValidation>
    <dataValidation sqref="G56" showDropDown="0" showInputMessage="0" showErrorMessage="1" allowBlank="1" errorTitle="Valor no válido" error="Elija un valor de la lista desplegable." type="list" errorStyle="stop">
      <formula1>L_ocupacion</formula1>
    </dataValidation>
    <dataValidation sqref="G57" showDropDown="0" showInputMessage="0" showErrorMessage="1" allowBlank="1" errorTitle="Valor no válido" error="Elija un valor de la lista desplegable." type="list" errorStyle="stop">
      <formula1>L_edificaciones</formula1>
    </dataValidation>
    <dataValidation sqref="G58" showDropDown="0" showInputMessage="1" showErrorMessage="1" allowBlank="1" errorTitle="Valor no válido" error="Elija un valor de la lista desplegable." promptTitle="Ayuda" prompt="Criterio de idoneidad del proyecto: pendiente máxima 75 %." type="list" errorStyle="stop">
      <formula1>L_pendiente</formula1>
    </dataValidation>
    <dataValidation sqref="S58" showDropDown="0" showInputMessage="0" showErrorMessage="1" allowBlank="1" errorTitle="Valor no válido" error="Elija un valor de la lista desplegable." type="list" errorStyle="stop">
      <formula1>L_erosion</formula1>
    </dataValidation>
    <dataValidation sqref="G59" showDropDown="0" showInputMessage="0" showErrorMessage="1" allowBlank="1" errorTitle="Valor no válido" error="Elija un valor de la lista desplegable." type="list" errorStyle="stop">
      <formula1>L_cobertura</formula1>
    </dataValidation>
    <dataValidation sqref="G62" showDropDown="0" showInputMessage="0" showErrorMessage="1" allowBlank="1" errorTitle="Valor no válido" error="Elija un valor de la lista desplegable." type="list" errorStyle="stop">
      <formula1>L_tipo_predio</formula1>
    </dataValidation>
    <dataValidation sqref="G74 S62" showDropDown="0" showInputMessage="0" showErrorMessage="1" allowBlank="1" errorTitle="Fuera de rango" error="Valor entre 0 y 100,000." type="decimal" errorStyle="stop" operator="between">
      <formula1>0</formula1>
      <formula2>100000</formula2>
    </dataValidation>
    <dataValidation sqref="G63 I82 I83 I84 I85 I86" showDropDown="0" showInputMessage="0" showErrorMessage="1" allowBlank="1" errorTitle="Fuera de rango" error="Valor entre 0 y 1,000,000." type="decimal" errorStyle="stop" operator="between">
      <formula1>0</formula1>
      <formula2>1000000</formula2>
    </dataValidation>
    <dataValidation sqref="S66 S67 S68 S69" showDropDown="0" showInputMessage="0" showErrorMessage="1" allowBlank="1" errorTitle="Valor no válido" error="Elija un valor de la lista desplegable." type="list" errorStyle="stop">
      <formula1>L_tipo_colindante</formula1>
    </dataValidation>
    <dataValidation sqref="G77 M77 S77" showDropDown="0" showInputMessage="0" showErrorMessage="1" allowBlank="1" errorTitle="Valor no válido" error="Elija un valor de la lista desplegable." type="list" errorStyle="stop">
      <formula1>L_interferencias</formula1>
    </dataValidation>
    <dataValidation sqref="G79 P79" showDropDown="0" showInputMessage="0" showErrorMessage="1" allowBlank="1" errorTitle="Valor no válido" error="Elija un valor de la lista desplegable." type="list" errorStyle="stop">
      <formula1>L_intervencion</formula1>
    </dataValidation>
    <dataValidation sqref="K82 K83 K84 K85 K86" showDropDown="0" showInputMessage="0" showErrorMessage="1" allowBlank="1" errorTitle="Valor no válido" error="Elija un valor de la lista desplegable." type="list" errorStyle="stop">
      <formula1>L_und_medida</formula1>
    </dataValidation>
    <dataValidation sqref="M82 M83 M84 M85 M86" showDropDown="0" showInputMessage="0" showErrorMessage="1" allowBlank="1" errorTitle="Valor no válido" error="Elija un valor de la lista desplegable." type="list" errorStyle="stop">
      <formula1>L_material</formula1>
    </dataValidation>
    <dataValidation sqref="P82 P83 P84 P85 P86" showDropDown="0" showInputMessage="0" showErrorMessage="1" allowBlank="1" errorTitle="Valor no válido" error="Elija un valor de la lista desplegable." type="list" errorStyle="stop">
      <formula1>L_conservacion</formula1>
    </dataValidation>
    <dataValidation sqref="S82 S83 S84 S85 S86" showDropDown="0" showInputMessage="0" showErrorMessage="1" allowBlank="1" errorTitle="Valor no válido" error="Elija un valor de la lista desplegable." type="list" errorStyle="stop">
      <formula1>L_construccion</formula1>
    </dataValidation>
    <dataValidation sqref="G89" showDropDown="0" showInputMessage="0" showErrorMessage="1" allowBlank="1" errorTitle="Valor no válido" error="Elija un valor de la lista desplegable." type="list" errorStyle="stop">
      <formula1>L_aceptacion</formula1>
    </dataValidation>
    <dataValidation sqref="S89" showDropDown="0" showInputMessage="0" showErrorMessage="1" allowBlank="1" errorTitle="Valor no válido" error="Elija un valor de la lista desplegable." type="list" errorStyle="stop">
      <formula1>L_modalidad</formula1>
    </dataValidation>
    <dataValidation sqref="G90" showDropDown="0" showInputMessage="0" showErrorMessage="1" allowBlank="1" errorTitle="Valor no válido" error="Elija un valor de la lista desplegable." type="list" errorStyle="stop">
      <formula1>L_conclusion_campo</formula1>
    </dataValidation>
    <dataValidation sqref="S90" showDropDown="0" showInputMessage="0" showErrorMessage="1" allowBlank="1" errorTitle="Valor no válido" error="Elija un valor de la lista desplegable." type="list" errorStyle="stop">
      <formula1>L_estado_la</formula1>
    </dataValidation>
    <dataValidation sqref="G91" showDropDown="0" showInputMessage="0" showErrorMessage="1" allowBlank="1" errorTitle="Valor no válido" error="Elija un valor de la lista desplegable." type="list" errorStyle="stop">
      <formula1>L_tipo_acta</formula1>
    </dataValidation>
    <dataValidation sqref="D110 D111 D112 D113 D114 D115 D116 D117" showDropDown="0" showInputMessage="0" showErrorMessage="1" allowBlank="1" errorTitle="Valor no válido" error="Elija un valor de la lista desplegable." type="list" errorStyle="stop">
      <formula1>L_pt_tipo</formula1>
    </dataValidation>
    <dataValidation sqref="I110 I111 I112 I113 I114 I115 I116 I117" showDropDown="0" showInputMessage="0" showErrorMessage="1" allowBlank="1" errorTitle="Fuera de rango" error="Este UTM 17S entre 450,000 y 750,000 m." type="decimal" errorStyle="stop" operator="between">
      <formula1>450000</formula1>
      <formula2>750000</formula2>
    </dataValidation>
    <dataValidation sqref="N110 N111 N112 N113 N114 N115 N116 N117" showDropDown="0" showInputMessage="0" showErrorMessage="1" allowBlank="1" errorTitle="Fuera de rango" error="Norte UTM 17S entre 9,300,000 y 9,600,000 m." type="decimal" errorStyle="stop" operator="between">
      <formula1>9300000</formula1>
      <formula2>9600000</formula2>
    </dataValidation>
  </dataValidations>
  <printOptions horizontalCentered="1"/>
  <pageMargins left="0.4" right="0.4" top="0.5" bottom="0.6" header="0.5" footer="0.5"/>
  <pageSetup orientation="portrait" paperSize="9" fitToHeight="0" fitToWidth="1"/>
  <headerFooter>
    <oddHeader/>
    <oddFooter>&amp;L&amp;7 Proyecto IN Piura – CUI 2669244 · Ficha técnica predial&amp;R&amp;7 Página &amp;P de &amp;N</oddFooter>
    <evenHeader/>
    <evenFooter/>
    <firstHeader/>
    <firstFooter/>
  </headerFooter>
  <rowBreaks count="3" manualBreakCount="3">
    <brk id="42" min="0" max="16383" man="1"/>
    <brk id="71" min="0" max="16383" man="1"/>
    <brk id="118" min="0" max="16383" man="1"/>
  </rowBreaks>
</worksheet>
</file>

<file path=xl/worksheets/sheet2.xml><?xml version="1.0" encoding="utf-8"?>
<worksheet xmlns="http://schemas.openxmlformats.org/spreadsheetml/2006/main">
  <sheetPr>
    <tabColor rgb="001B4F72"/>
    <outlinePr summaryBelow="1" summaryRight="1"/>
    <pageSetUpPr fitToPage="1"/>
  </sheetPr>
  <dimension ref="A1:E1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18" customWidth="1" min="3" max="3"/>
    <col width="34" customWidth="1" min="4" max="4"/>
    <col width="20" customWidth="1" min="5" max="5"/>
  </cols>
  <sheetData>
    <row r="1">
      <c r="A1" s="46" t="inlineStr">
        <is>
          <t>AUTORIDAD NACIONAL DE INFRAESTRUCTURA - ANIN</t>
        </is>
      </c>
    </row>
    <row r="2">
      <c r="A2" s="46" t="inlineStr">
        <is>
          <t>DIRECCIÓN DE INTERVENCIONES MULTISECTORIALES Y DE EMERGENCIA - DIME</t>
        </is>
      </c>
    </row>
    <row r="3">
      <c r="A3" s="46" t="inlineStr">
        <is>
          <t>SUBDIRECCIÓN DE ESTUDIOS DE INVERSIÓN</t>
        </is>
      </c>
    </row>
    <row r="4">
      <c r="A4" s="47" t="inlineStr">
        <is>
          <t>FICHA TÉCNICA PREDIAL – INSTRUCCIONES Y CORRESPONDENCIA CON KOBOTOOLBOX</t>
        </is>
      </c>
    </row>
    <row r="6" ht="30" customHeight="1">
      <c r="A6" s="48" t="inlineStr">
        <is>
          <t>1. Elija el ASISTENTE PREDIAL: la lista de CÓDIGO DE LA UNIDAD mostrará solo los bloques y lotes SUS que tiene asignados en el catálogo V6 (hoja CATALOGO_V6). ESP (especialista) ve todas las unidades, incluidas las «por asignar».</t>
        </is>
      </c>
    </row>
    <row r="7" ht="30" customHeight="1">
      <c r="A7" s="48" t="inlineStr">
        <is>
          <t>2. Elija la PROVINCIA del predio antes del DISTRITO: el distrito se filtra por provincia (15 distritos del ámbito). La ficha avisa si el distrito difiere del que registra el catálogo para la unidad.</t>
        </is>
      </c>
    </row>
    <row r="8" ht="30" customHeight="1">
      <c r="A8" s="48" t="inlineStr">
        <is>
          <t>3. Las coordenadas van en UTM WGS84 Zona 17S: Este entre 450,000 y 750,000 m; Norte entre 9,300,000 y 9,600,000 m. Si tiene lat/lon, conviértalas antes (no se aceptan grados).</t>
        </is>
      </c>
    </row>
    <row r="9" ht="30" customHeight="1">
      <c r="A9" s="48" t="inlineStr">
        <is>
          <t>4. DNI: 8 dígitos; RUC: 11 dígitos (10… o 20…); celular: 9 dígitos que empiezan con 9. Se guardan como texto para no perder ceros iniciales.</t>
        </is>
      </c>
    </row>
    <row r="10" ht="30" customHeight="1">
      <c r="A10" s="48" t="inlineStr">
        <is>
          <t>5. Las listas con etiqueta de KoboToolbox (condición jurídica, estado civil, uso actual, ocupación, aceptación, estado LA, etc.) usan exactamente las opciones de los formularios F-LA-02 y F-LA-03, de modo que la ficha se transcribe al formulario Kobo o al aplicativo sin reinterpretar valores.</t>
        </is>
      </c>
    </row>
    <row r="11" ht="30" customHeight="1">
      <c r="A11" s="48" t="inlineStr">
        <is>
          <t>6. Las celdas grises son automáticas (no las sobrescriba). Los avisos ⚠ señalan datos a verificar antes de cerrar la ficha; ✔ indica conformidad.</t>
        </is>
      </c>
    </row>
    <row r="12" ht="30" customHeight="1">
      <c r="A12" s="48" t="inlineStr">
        <is>
          <t>7. El domicilio del prediante acepta valores fuera de la lista (Excel pedirá confirmación), porque puede residir fuera del ámbito del proyecto.</t>
        </is>
      </c>
    </row>
    <row r="13" ht="30" customHeight="1">
      <c r="A13" s="48" t="inlineStr">
        <is>
          <t>8. Para imprimir: la hoja FICHA PREDIAL está configurada en A4 vertical (4 páginas). La columna «Campo Kobo» queda fuera del área de impresión.</t>
        </is>
      </c>
    </row>
    <row r="15">
      <c r="A15" s="49" t="inlineStr">
        <is>
          <t>LEYENDA DE CELDAS</t>
        </is>
      </c>
    </row>
    <row r="16">
      <c r="A16" s="15" t="inlineStr"/>
      <c r="B16" s="50" t="inlineStr">
        <is>
          <t>Etiqueta del dato</t>
        </is>
      </c>
    </row>
    <row r="17">
      <c r="A17" s="51" t="inlineStr"/>
      <c r="B17" s="50" t="inlineStr">
        <is>
          <t>Entrada libre (texto, número, fecha)</t>
        </is>
      </c>
    </row>
    <row r="18">
      <c r="A18" s="18" t="inlineStr"/>
      <c r="B18" s="50" t="inlineStr">
        <is>
          <t>Lista desplegable (elija un valor)</t>
        </is>
      </c>
    </row>
    <row r="19">
      <c r="A19" s="10" t="inlineStr"/>
      <c r="B19" s="50" t="inlineStr">
        <is>
          <t>Automático (fórmula, no editar)</t>
        </is>
      </c>
    </row>
    <row r="21">
      <c r="A21" s="49" t="inlineStr">
        <is>
          <t>ASISTENTES PREDIALES (catálogo V6)</t>
        </is>
      </c>
    </row>
    <row r="22">
      <c r="A22" s="52" t="inlineStr">
        <is>
          <t>Código</t>
        </is>
      </c>
      <c r="B22" s="52" t="inlineStr">
        <is>
          <t>Nombre</t>
        </is>
      </c>
      <c r="C22" s="52" t="inlineStr">
        <is>
          <t>Unidades asignadas</t>
        </is>
      </c>
    </row>
    <row r="23">
      <c r="A23" s="53" t="inlineStr">
        <is>
          <t>AP-1</t>
        </is>
      </c>
      <c r="B23" s="53" t="inlineStr">
        <is>
          <t>Diusberto Peña López</t>
        </is>
      </c>
      <c r="C23" s="53">
        <f>COUNTIF(CAT_ASIS,"AP-1")</f>
        <v/>
      </c>
    </row>
    <row r="24">
      <c r="A24" s="53" t="inlineStr">
        <is>
          <t>AP-2</t>
        </is>
      </c>
      <c r="B24" s="53" t="inlineStr">
        <is>
          <t>Didier Lucrecio Salvador García</t>
        </is>
      </c>
      <c r="C24" s="53">
        <f>COUNTIF(CAT_ASIS,"AP-2")</f>
        <v/>
      </c>
    </row>
    <row r="25">
      <c r="A25" s="53" t="inlineStr">
        <is>
          <t>AP-3</t>
        </is>
      </c>
      <c r="B25" s="53" t="inlineStr">
        <is>
          <t>Miguel Ángel López Maza</t>
        </is>
      </c>
      <c r="C25" s="53">
        <f>COUNTIF(CAT_ASIS,"AP-3")</f>
        <v/>
      </c>
    </row>
    <row r="26">
      <c r="A26" s="53" t="inlineStr">
        <is>
          <t>AP-4</t>
        </is>
      </c>
      <c r="B26" s="53" t="inlineStr">
        <is>
          <t>Walter Córdova Córdova</t>
        </is>
      </c>
      <c r="C26" s="53">
        <f>COUNTIF(CAT_ASIS,"AP-4")</f>
        <v/>
      </c>
    </row>
    <row r="27">
      <c r="A27" s="53" t="inlineStr">
        <is>
          <t>AP-5</t>
        </is>
      </c>
      <c r="B27" s="53" t="inlineStr">
        <is>
          <t>Eli Moisés Tocto Padilla</t>
        </is>
      </c>
      <c r="C27" s="53">
        <f>COUNTIF(CAT_ASIS,"AP-5")</f>
        <v/>
      </c>
    </row>
    <row r="28">
      <c r="A28" s="53" t="inlineStr">
        <is>
          <t>AP-6</t>
        </is>
      </c>
      <c r="B28" s="53" t="inlineStr">
        <is>
          <t>Rubén García García</t>
        </is>
      </c>
      <c r="C28" s="53">
        <f>COUNTIF(CAT_ASIS,"AP-6")</f>
        <v/>
      </c>
    </row>
    <row r="29">
      <c r="A29" s="53" t="inlineStr">
        <is>
          <t>ESP</t>
        </is>
      </c>
      <c r="B29" s="53" t="inlineStr">
        <is>
          <t>Especialista (ESP)</t>
        </is>
      </c>
      <c r="C29" s="53">
        <f>COUNTA(CAT_COD)</f>
        <v/>
      </c>
    </row>
    <row r="30">
      <c r="B30" s="54" t="inlineStr">
        <is>
          <t>Por asignar (sin asistente; disponibles para ESP)</t>
        </is>
      </c>
      <c r="C30" s="54">
        <f>COUNTIF(CAT_ASIS,"PENDIENTE")</f>
        <v/>
      </c>
    </row>
    <row r="32">
      <c r="A32" s="49" t="inlineStr">
        <is>
          <t>CORRESPONDENCIA FICHA ↔ KOBOTOOLBOX (F-LA-02 / F-LA-03)</t>
        </is>
      </c>
    </row>
    <row r="33">
      <c r="A33" s="52" t="inlineStr">
        <is>
          <t>Sección</t>
        </is>
      </c>
      <c r="B33" s="52" t="inlineStr">
        <is>
          <t>Dato de la ficha</t>
        </is>
      </c>
      <c r="C33" s="52" t="inlineStr">
        <is>
          <t>Celda</t>
        </is>
      </c>
      <c r="D33" s="52" t="inlineStr">
        <is>
          <t>Campo Kobo (XLSForm)</t>
        </is>
      </c>
      <c r="E33" s="52" t="inlineStr">
        <is>
          <t>Tipo de entrada</t>
        </is>
      </c>
    </row>
    <row r="34">
      <c r="A34" s="55" t="inlineStr">
        <is>
          <t>DATOS GENERALES</t>
        </is>
      </c>
      <c r="B34" s="55" t="inlineStr">
        <is>
          <t>PROYECTO</t>
        </is>
      </c>
      <c r="C34" s="55" t="inlineStr">
        <is>
          <t>G11</t>
        </is>
      </c>
      <c r="D34" s="55" t="inlineStr">
        <is>
          <t>—</t>
        </is>
      </c>
      <c r="E34" s="55" t="inlineStr">
        <is>
          <t>Automático</t>
        </is>
      </c>
    </row>
    <row r="35">
      <c r="A35" s="56" t="inlineStr">
        <is>
          <t>DATOS GENERALES</t>
        </is>
      </c>
      <c r="B35" s="56" t="inlineStr">
        <is>
          <t>SOLICITANTE</t>
        </is>
      </c>
      <c r="C35" s="56" t="inlineStr">
        <is>
          <t>G12</t>
        </is>
      </c>
      <c r="D35" s="56" t="inlineStr">
        <is>
          <t>—</t>
        </is>
      </c>
      <c r="E35" s="56" t="inlineStr">
        <is>
          <t>Automático</t>
        </is>
      </c>
    </row>
    <row r="36">
      <c r="A36" s="55" t="inlineStr">
        <is>
          <t>DATOS GENERALES</t>
        </is>
      </c>
      <c r="B36" s="55" t="inlineStr">
        <is>
          <t>ASISTENTE PREDIAL</t>
        </is>
      </c>
      <c r="C36" s="55" t="inlineStr">
        <is>
          <t>G13</t>
        </is>
      </c>
      <c r="D36" s="55" t="inlineStr">
        <is>
          <t>asistente</t>
        </is>
      </c>
      <c r="E36" s="55" t="inlineStr">
        <is>
          <t>Lista desplegable</t>
        </is>
      </c>
    </row>
    <row r="37">
      <c r="A37" s="56" t="inlineStr">
        <is>
          <t>DATOS GENERALES</t>
        </is>
      </c>
      <c r="B37" s="56" t="inlineStr">
        <is>
          <t>NOMBRE DEL ASISTENTE</t>
        </is>
      </c>
      <c r="C37" s="56" t="inlineStr">
        <is>
          <t>S13</t>
        </is>
      </c>
      <c r="D37" s="56" t="inlineStr">
        <is>
          <t>—</t>
        </is>
      </c>
      <c r="E37" s="56" t="inlineStr">
        <is>
          <t>Automático</t>
        </is>
      </c>
    </row>
    <row r="38">
      <c r="A38" s="55" t="inlineStr">
        <is>
          <t>DATOS GENERALES</t>
        </is>
      </c>
      <c r="B38" s="55" t="inlineStr">
        <is>
          <t>CÓDIGO DE LA UNIDAD (BLOQUE / LOTE SUS)</t>
        </is>
      </c>
      <c r="C38" s="55" t="inlineStr">
        <is>
          <t>G14</t>
        </is>
      </c>
      <c r="D38" s="55" t="inlineStr">
        <is>
          <t>unidad</t>
        </is>
      </c>
      <c r="E38" s="55" t="inlineStr">
        <is>
          <t>Lista desplegable</t>
        </is>
      </c>
    </row>
    <row r="39">
      <c r="A39" s="56" t="inlineStr">
        <is>
          <t>DATOS GENERALES</t>
        </is>
      </c>
      <c r="B39" s="56" t="inlineStr">
        <is>
          <t>TIPO DE UNIDAD</t>
        </is>
      </c>
      <c r="C39" s="56" t="inlineStr">
        <is>
          <t>S14</t>
        </is>
      </c>
      <c r="D39" s="56" t="inlineStr">
        <is>
          <t>tipo_unidad (calculado)</t>
        </is>
      </c>
      <c r="E39" s="56" t="inlineStr">
        <is>
          <t>Automático</t>
        </is>
      </c>
    </row>
    <row r="40">
      <c r="A40" s="55" t="inlineStr">
        <is>
          <t>DATOS GENERALES</t>
        </is>
      </c>
      <c r="B40" s="55" t="inlineStr">
        <is>
          <t>UBICACIÓN SEGÚN CATÁLOGO V6</t>
        </is>
      </c>
      <c r="C40" s="55" t="inlineStr">
        <is>
          <t>G15</t>
        </is>
      </c>
      <c r="D40" s="55" t="inlineStr">
        <is>
          <t>—</t>
        </is>
      </c>
      <c r="E40" s="55" t="inlineStr">
        <is>
          <t>Automático</t>
        </is>
      </c>
    </row>
    <row r="41">
      <c r="A41" s="56" t="inlineStr">
        <is>
          <t>DATOS GENERALES</t>
        </is>
      </c>
      <c r="B41" s="56" t="inlineStr">
        <is>
          <t>ÁREA DE LA UNIDAD (ha)</t>
        </is>
      </c>
      <c r="C41" s="56" t="inlineStr">
        <is>
          <t>S15</t>
        </is>
      </c>
      <c r="D41" s="56" t="inlineStr">
        <is>
          <t>—</t>
        </is>
      </c>
      <c r="E41" s="56" t="inlineStr">
        <is>
          <t>Automático</t>
        </is>
      </c>
    </row>
    <row r="42">
      <c r="A42" s="55" t="inlineStr">
        <is>
          <t>DATOS GENERALES</t>
        </is>
      </c>
      <c r="B42" s="55" t="inlineStr">
        <is>
          <t>N° DE PREDIO EN LA UNIDAD</t>
        </is>
      </c>
      <c r="C42" s="55" t="inlineStr">
        <is>
          <t>G16</t>
        </is>
      </c>
      <c r="D42" s="55" t="inlineStr">
        <is>
          <t>n_predio</t>
        </is>
      </c>
      <c r="E42" s="55" t="inlineStr">
        <is>
          <t>Número entero</t>
        </is>
      </c>
    </row>
    <row r="43">
      <c r="A43" s="56" t="inlineStr">
        <is>
          <t>DATOS GENERALES</t>
        </is>
      </c>
      <c r="B43" s="56" t="inlineStr">
        <is>
          <t>CÓDIGO DE PREDIO</t>
        </is>
      </c>
      <c r="C43" s="56" t="inlineStr">
        <is>
          <t>S16</t>
        </is>
      </c>
      <c r="D43" s="56" t="inlineStr">
        <is>
          <t>cod_predio (calculado)</t>
        </is>
      </c>
      <c r="E43" s="56" t="inlineStr">
        <is>
          <t>Automático</t>
        </is>
      </c>
    </row>
    <row r="44">
      <c r="A44" s="55" t="inlineStr">
        <is>
          <t>DATOS GENERALES</t>
        </is>
      </c>
      <c r="B44" s="55" t="inlineStr">
        <is>
          <t>FECHA DE INSPECCIÓN</t>
        </is>
      </c>
      <c r="C44" s="55" t="inlineStr">
        <is>
          <t>G17</t>
        </is>
      </c>
      <c r="D44" s="55" t="inlineStr">
        <is>
          <t>fecha_insp (F-LA-03)</t>
        </is>
      </c>
      <c r="E44" s="55" t="inlineStr">
        <is>
          <t>Fecha</t>
        </is>
      </c>
    </row>
    <row r="45">
      <c r="A45" s="56" t="inlineStr">
        <is>
          <t>DATOS GENERALES</t>
        </is>
      </c>
      <c r="B45" s="56" t="inlineStr">
        <is>
          <t>FECHA DE REGISTRO</t>
        </is>
      </c>
      <c r="C45" s="56" t="inlineStr">
        <is>
          <t>S17</t>
        </is>
      </c>
      <c r="D45" s="56" t="inlineStr">
        <is>
          <t>hoy</t>
        </is>
      </c>
      <c r="E45" s="56" t="inlineStr">
        <is>
          <t>Fecha</t>
        </is>
      </c>
    </row>
    <row r="46">
      <c r="A46" s="55" t="inlineStr">
        <is>
          <t>DATOS GENERALES</t>
        </is>
      </c>
      <c r="B46" s="55" t="inlineStr">
        <is>
          <t>CONSENTIMIENTO USO DE DATOS PERSONALES (LEY 29733)</t>
        </is>
      </c>
      <c r="C46" s="55" t="inlineStr">
        <is>
          <t>G18</t>
        </is>
      </c>
      <c r="D46" s="55" t="inlineStr">
        <is>
          <t>consentimiento</t>
        </is>
      </c>
      <c r="E46" s="55" t="inlineStr">
        <is>
          <t>Lista desplegable</t>
        </is>
      </c>
    </row>
    <row r="47">
      <c r="A47" s="56" t="inlineStr">
        <is>
          <t>DATOS GENERALES</t>
        </is>
      </c>
      <c r="B47" s="56" t="inlineStr">
        <is>
          <t>CONTROL DE ASIGNACIÓN</t>
        </is>
      </c>
      <c r="C47" s="56" t="inlineStr">
        <is>
          <t>S18</t>
        </is>
      </c>
      <c r="D47" s="56" t="inlineStr">
        <is>
          <t>—</t>
        </is>
      </c>
      <c r="E47" s="56" t="inlineStr">
        <is>
          <t>Automático</t>
        </is>
      </c>
    </row>
    <row r="48">
      <c r="A48" s="55" t="inlineStr">
        <is>
          <t>1. CONTROL E IDENTIFICACIÓN DEL PREDIO MATRIZ (TITULARIDAD REGISTRAL)</t>
        </is>
      </c>
      <c r="B48" s="55" t="inlineStr">
        <is>
          <t>SITUACIÓN REGISTRAL</t>
        </is>
      </c>
      <c r="C48" s="55" t="inlineStr">
        <is>
          <t>G21</t>
        </is>
      </c>
      <c r="D48" s="55" t="inlineStr">
        <is>
          <t>—</t>
        </is>
      </c>
      <c r="E48" s="55" t="inlineStr">
        <is>
          <t>Lista desplegable</t>
        </is>
      </c>
    </row>
    <row r="49">
      <c r="A49" s="56" t="inlineStr">
        <is>
          <t>1. CONTROL E IDENTIFICACIÓN DEL PREDIO MATRIZ (TITULARIDAD REGISTRAL)</t>
        </is>
      </c>
      <c r="B49" s="56" t="inlineStr">
        <is>
          <t>PARTIDA ELECTRÓNICA / N° TÍTULO</t>
        </is>
      </c>
      <c r="C49" s="56" t="inlineStr">
        <is>
          <t>S21</t>
        </is>
      </c>
      <c r="D49" s="56" t="inlineStr">
        <is>
          <t>doc_partida</t>
        </is>
      </c>
      <c r="E49" s="56" t="inlineStr">
        <is>
          <t>Texto</t>
        </is>
      </c>
    </row>
    <row r="50">
      <c r="A50" s="55" t="inlineStr">
        <is>
          <t>1. CONTROL E IDENTIFICACIÓN DEL PREDIO MATRIZ (TITULARIDAD REGISTRAL)</t>
        </is>
      </c>
      <c r="B50" s="55" t="inlineStr">
        <is>
          <t>TIPO DE PERSONERÍA (TITULAR REGISTRAL)</t>
        </is>
      </c>
      <c r="C50" s="55" t="inlineStr">
        <is>
          <t>G22</t>
        </is>
      </c>
      <c r="D50" s="55" t="inlineStr">
        <is>
          <t>—</t>
        </is>
      </c>
      <c r="E50" s="55" t="inlineStr">
        <is>
          <t>Lista desplegable</t>
        </is>
      </c>
    </row>
    <row r="51">
      <c r="A51" s="56" t="inlineStr">
        <is>
          <t>1. CONTROL E IDENTIFICACIÓN DEL PREDIO MATRIZ (TITULARIDAD REGISTRAL)</t>
        </is>
      </c>
      <c r="B51" s="56" t="inlineStr">
        <is>
          <t>OFICINA REGISTRAL</t>
        </is>
      </c>
      <c r="C51" s="56" t="inlineStr">
        <is>
          <t>S22</t>
        </is>
      </c>
      <c r="D51" s="56" t="inlineStr">
        <is>
          <t>—</t>
        </is>
      </c>
      <c r="E51" s="56" t="inlineStr">
        <is>
          <t>Texto</t>
        </is>
      </c>
    </row>
    <row r="52">
      <c r="A52" s="55" t="inlineStr">
        <is>
          <t>1. CONTROL E IDENTIFICACIÓN DEL PREDIO MATRIZ (TITULARIDAD REGISTRAL)</t>
        </is>
      </c>
      <c r="B52" s="55" t="inlineStr">
        <is>
          <t>TITULAR REGISTRAL (NOMBRE / RAZÓN SOCIAL)</t>
        </is>
      </c>
      <c r="C52" s="55" t="inlineStr">
        <is>
          <t>G23</t>
        </is>
      </c>
      <c r="D52" s="55" t="inlineStr">
        <is>
          <t>—</t>
        </is>
      </c>
      <c r="E52" s="55" t="inlineStr">
        <is>
          <t>Texto</t>
        </is>
      </c>
    </row>
    <row r="53">
      <c r="A53" s="56" t="inlineStr">
        <is>
          <t>1. CONTROL E IDENTIFICACIÓN DEL PREDIO MATRIZ (TITULARIDAD REGISTRAL)</t>
        </is>
      </c>
      <c r="B53" s="56" t="inlineStr">
        <is>
          <t>Documentos exhibidos</t>
        </is>
      </c>
      <c r="C53" s="56" t="inlineStr">
        <is>
          <t>G24:Y24</t>
        </is>
      </c>
      <c r="D53" s="56" t="inlineStr">
        <is>
          <t>docs_exhibidos (selección múltiple)</t>
        </is>
      </c>
      <c r="E53" s="56" t="inlineStr">
        <is>
          <t>Lista desplegable</t>
        </is>
      </c>
    </row>
    <row r="54">
      <c r="A54" s="55" t="inlineStr">
        <is>
          <t>2. IDENTIFICACIÓN DEL PREDIANTE Y TENENCIA</t>
        </is>
      </c>
      <c r="B54" s="55" t="inlineStr">
        <is>
          <t>CONDICIÓN JURÍDICA DEL PREDIANTE</t>
        </is>
      </c>
      <c r="C54" s="55" t="inlineStr">
        <is>
          <t>G27</t>
        </is>
      </c>
      <c r="D54" s="55" t="inlineStr">
        <is>
          <t>tipo_titularidad</t>
        </is>
      </c>
      <c r="E54" s="55" t="inlineStr">
        <is>
          <t>Lista desplegable</t>
        </is>
      </c>
    </row>
    <row r="55">
      <c r="A55" s="56" t="inlineStr">
        <is>
          <t>2. IDENTIFICACIÓN DEL PREDIANTE Y TENENCIA</t>
        </is>
      </c>
      <c r="B55" s="56" t="inlineStr">
        <is>
          <t>TIPO DE PERSONERÍA</t>
        </is>
      </c>
      <c r="C55" s="56" t="inlineStr">
        <is>
          <t>S27</t>
        </is>
      </c>
      <c r="D55" s="56" t="inlineStr">
        <is>
          <t>—</t>
        </is>
      </c>
      <c r="E55" s="56" t="inlineStr">
        <is>
          <t>Lista desplegable</t>
        </is>
      </c>
    </row>
    <row r="56">
      <c r="A56" s="55" t="inlineStr">
        <is>
          <t>2. IDENTIFICACIÓN DEL PREDIANTE Y TENENCIA</t>
        </is>
      </c>
      <c r="B56" s="55" t="inlineStr">
        <is>
          <t>ESTADO DE LA SUCESIÓN (si aplica)</t>
        </is>
      </c>
      <c r="C56" s="55" t="inlineStr">
        <is>
          <t>G28</t>
        </is>
      </c>
      <c r="D56" s="55" t="inlineStr">
        <is>
          <t>sucesion_estado</t>
        </is>
      </c>
      <c r="E56" s="55" t="inlineStr">
        <is>
          <t>Lista desplegable</t>
        </is>
      </c>
    </row>
    <row r="57">
      <c r="A57" s="56" t="inlineStr">
        <is>
          <t>2. IDENTIFICACIÓN DEL PREDIANTE Y TENENCIA</t>
        </is>
      </c>
      <c r="B57" s="56" t="inlineStr">
        <is>
          <t>ALERTA / COHERENCIA</t>
        </is>
      </c>
      <c r="C57" s="56" t="inlineStr">
        <is>
          <t>S28</t>
        </is>
      </c>
      <c r="D57" s="56" t="inlineStr">
        <is>
          <t>—</t>
        </is>
      </c>
      <c r="E57" s="56" t="inlineStr">
        <is>
          <t>Automático</t>
        </is>
      </c>
    </row>
    <row r="58">
      <c r="A58" s="55" t="inlineStr">
        <is>
          <t>2. IDENTIFICACIÓN DEL PREDIANTE Y TENENCIA</t>
        </is>
      </c>
      <c r="B58" s="55" t="inlineStr">
        <is>
          <t>NOMBRES</t>
        </is>
      </c>
      <c r="C58" s="55" t="inlineStr">
        <is>
          <t>G30</t>
        </is>
      </c>
      <c r="D58" s="55" t="inlineStr">
        <is>
          <t>tit_nombres</t>
        </is>
      </c>
      <c r="E58" s="55" t="inlineStr">
        <is>
          <t>Texto</t>
        </is>
      </c>
    </row>
    <row r="59">
      <c r="A59" s="56" t="inlineStr">
        <is>
          <t>2. IDENTIFICACIÓN DEL PREDIANTE Y TENENCIA</t>
        </is>
      </c>
      <c r="B59" s="56" t="inlineStr">
        <is>
          <t>APELLIDOS</t>
        </is>
      </c>
      <c r="C59" s="56" t="inlineStr">
        <is>
          <t>S30</t>
        </is>
      </c>
      <c r="D59" s="56" t="inlineStr">
        <is>
          <t>tit_apellidos</t>
        </is>
      </c>
      <c r="E59" s="56" t="inlineStr">
        <is>
          <t>Texto</t>
        </is>
      </c>
    </row>
    <row r="60">
      <c r="A60" s="55" t="inlineStr">
        <is>
          <t>2. IDENTIFICACIÓN DEL PREDIANTE Y TENENCIA</t>
        </is>
      </c>
      <c r="B60" s="55" t="inlineStr">
        <is>
          <t>DNI</t>
        </is>
      </c>
      <c r="C60" s="55" t="inlineStr">
        <is>
          <t>G31</t>
        </is>
      </c>
      <c r="D60" s="55" t="inlineStr">
        <is>
          <t>tit_dni</t>
        </is>
      </c>
      <c r="E60" s="55" t="inlineStr">
        <is>
          <t>DNI (8 dígitos)</t>
        </is>
      </c>
    </row>
    <row r="61">
      <c r="A61" s="56" t="inlineStr">
        <is>
          <t>2. IDENTIFICACIÓN DEL PREDIANTE Y TENENCIA</t>
        </is>
      </c>
      <c r="B61" s="56" t="inlineStr">
        <is>
          <t>CELULAR</t>
        </is>
      </c>
      <c r="C61" s="56" t="inlineStr">
        <is>
          <t>S31</t>
        </is>
      </c>
      <c r="D61" s="56" t="inlineStr">
        <is>
          <t>tit_celular</t>
        </is>
      </c>
      <c r="E61" s="56" t="inlineStr">
        <is>
          <t>Celular (9 dígitos)</t>
        </is>
      </c>
    </row>
    <row r="62">
      <c r="A62" s="55" t="inlineStr">
        <is>
          <t>2. IDENTIFICACIÓN DEL PREDIANTE Y TENENCIA</t>
        </is>
      </c>
      <c r="B62" s="55" t="inlineStr">
        <is>
          <t>ESTADO CIVIL</t>
        </is>
      </c>
      <c r="C62" s="55" t="inlineStr">
        <is>
          <t>G32</t>
        </is>
      </c>
      <c r="D62" s="55" t="inlineStr">
        <is>
          <t>tit_estado_civil</t>
        </is>
      </c>
      <c r="E62" s="55" t="inlineStr">
        <is>
          <t>Lista desplegable</t>
        </is>
      </c>
    </row>
    <row r="63">
      <c r="A63" s="56" t="inlineStr">
        <is>
          <t>2. IDENTIFICACIÓN DEL PREDIANTE Y TENENCIA</t>
        </is>
      </c>
      <c r="B63" s="56" t="inlineStr">
        <is>
          <t>CORREO ELECTRÓNICO (opcional)</t>
        </is>
      </c>
      <c r="C63" s="56" t="inlineStr">
        <is>
          <t>S32</t>
        </is>
      </c>
      <c r="D63" s="56" t="inlineStr">
        <is>
          <t>—</t>
        </is>
      </c>
      <c r="E63" s="56" t="inlineStr">
        <is>
          <t>Texto</t>
        </is>
      </c>
    </row>
    <row r="64">
      <c r="A64" s="55" t="inlineStr">
        <is>
          <t>2. IDENTIFICACIÓN DEL PREDIANTE Y TENENCIA</t>
        </is>
      </c>
      <c r="B64" s="55" t="inlineStr">
        <is>
          <t>CÓNYUGE / CONVIVIENTE</t>
        </is>
      </c>
      <c r="C64" s="55" t="inlineStr">
        <is>
          <t>G33</t>
        </is>
      </c>
      <c r="D64" s="55" t="inlineStr">
        <is>
          <t>cony_nombre</t>
        </is>
      </c>
      <c r="E64" s="55" t="inlineStr">
        <is>
          <t>Texto</t>
        </is>
      </c>
    </row>
    <row r="65">
      <c r="A65" s="56" t="inlineStr">
        <is>
          <t>2. IDENTIFICACIÓN DEL PREDIANTE Y TENENCIA</t>
        </is>
      </c>
      <c r="B65" s="56" t="inlineStr">
        <is>
          <t>DNI DEL CÓNYUGE</t>
        </is>
      </c>
      <c r="C65" s="56" t="inlineStr">
        <is>
          <t>S33</t>
        </is>
      </c>
      <c r="D65" s="56" t="inlineStr">
        <is>
          <t>cony_dni</t>
        </is>
      </c>
      <c r="E65" s="56" t="inlineStr">
        <is>
          <t>DNI (8 dígitos)</t>
        </is>
      </c>
    </row>
    <row r="66">
      <c r="A66" s="55" t="inlineStr">
        <is>
          <t>2. IDENTIFICACIÓN DEL PREDIANTE Y TENENCIA</t>
        </is>
      </c>
      <c r="B66" s="55" t="inlineStr">
        <is>
          <t>COMUNIDAD / ENTIDAD / RAZÓN SOCIAL</t>
        </is>
      </c>
      <c r="C66" s="55" t="inlineStr">
        <is>
          <t>G35</t>
        </is>
      </c>
      <c r="D66" s="55" t="inlineStr">
        <is>
          <t>cc_nombre / est_entidad</t>
        </is>
      </c>
      <c r="E66" s="55" t="inlineStr">
        <is>
          <t>Texto</t>
        </is>
      </c>
    </row>
    <row r="67">
      <c r="A67" s="56" t="inlineStr">
        <is>
          <t>2. IDENTIFICACIÓN DEL PREDIANTE Y TENENCIA</t>
        </is>
      </c>
      <c r="B67" s="56" t="inlineStr">
        <is>
          <t>RUC</t>
        </is>
      </c>
      <c r="C67" s="56" t="inlineStr">
        <is>
          <t>G36</t>
        </is>
      </c>
      <c r="D67" s="56" t="inlineStr">
        <is>
          <t>cc_ruc</t>
        </is>
      </c>
      <c r="E67" s="56" t="inlineStr">
        <is>
          <t>RUC (11 dígitos)</t>
        </is>
      </c>
    </row>
    <row r="68">
      <c r="A68" s="55" t="inlineStr">
        <is>
          <t>2. IDENTIFICACIÓN DEL PREDIANTE Y TENENCIA</t>
        </is>
      </c>
      <c r="B68" s="55" t="inlineStr">
        <is>
          <t>PARTIDA REGISTRAL (SUNARP)</t>
        </is>
      </c>
      <c r="C68" s="55" t="inlineStr">
        <is>
          <t>S36</t>
        </is>
      </c>
      <c r="D68" s="55" t="inlineStr">
        <is>
          <t>cc_partida</t>
        </is>
      </c>
      <c r="E68" s="55" t="inlineStr">
        <is>
          <t>Texto</t>
        </is>
      </c>
    </row>
    <row r="69">
      <c r="A69" s="56" t="inlineStr">
        <is>
          <t>2. IDENTIFICACIÓN DEL PREDIANTE Y TENENCIA</t>
        </is>
      </c>
      <c r="B69" s="56" t="inlineStr">
        <is>
          <t>REPRESENTANTE / PRESIDENTE COMUNAL</t>
        </is>
      </c>
      <c r="C69" s="56" t="inlineStr">
        <is>
          <t>G37</t>
        </is>
      </c>
      <c r="D69" s="56" t="inlineStr">
        <is>
          <t>cc_presidente / est_contacto</t>
        </is>
      </c>
      <c r="E69" s="56" t="inlineStr">
        <is>
          <t>Texto</t>
        </is>
      </c>
    </row>
    <row r="70">
      <c r="A70" s="55" t="inlineStr">
        <is>
          <t>2. IDENTIFICACIÓN DEL PREDIANTE Y TENENCIA</t>
        </is>
      </c>
      <c r="B70" s="55" t="inlineStr">
        <is>
          <t>CARGO</t>
        </is>
      </c>
      <c r="C70" s="55" t="inlineStr">
        <is>
          <t>S37</t>
        </is>
      </c>
      <c r="D70" s="55" t="inlineStr">
        <is>
          <t>—</t>
        </is>
      </c>
      <c r="E70" s="55" t="inlineStr">
        <is>
          <t>Lista desplegable</t>
        </is>
      </c>
    </row>
    <row r="71">
      <c r="A71" s="56" t="inlineStr">
        <is>
          <t>2. IDENTIFICACIÓN DEL PREDIANTE Y TENENCIA</t>
        </is>
      </c>
      <c r="B71" s="56" t="inlineStr">
        <is>
          <t>DNI DEL REPRESENTANTE</t>
        </is>
      </c>
      <c r="C71" s="56" t="inlineStr">
        <is>
          <t>G38</t>
        </is>
      </c>
      <c r="D71" s="56" t="inlineStr">
        <is>
          <t>cc_presidente_dni</t>
        </is>
      </c>
      <c r="E71" s="56" t="inlineStr">
        <is>
          <t>DNI (8 dígitos)</t>
        </is>
      </c>
    </row>
    <row r="72">
      <c r="A72" s="55" t="inlineStr">
        <is>
          <t>2. IDENTIFICACIÓN DEL PREDIANTE Y TENENCIA</t>
        </is>
      </c>
      <c r="B72" s="55" t="inlineStr">
        <is>
          <t>CELULAR DEL REPRESENTANTE</t>
        </is>
      </c>
      <c r="C72" s="55" t="inlineStr">
        <is>
          <t>S38</t>
        </is>
      </c>
      <c r="D72" s="55" t="inlineStr">
        <is>
          <t>cc_presidente_cel</t>
        </is>
      </c>
      <c r="E72" s="55" t="inlineStr">
        <is>
          <t>Celular (9 dígitos)</t>
        </is>
      </c>
    </row>
    <row r="73">
      <c r="A73" s="56" t="inlineStr">
        <is>
          <t>2. IDENTIFICACIÓN DEL PREDIANTE Y TENENCIA</t>
        </is>
      </c>
      <c r="B73" s="56" t="inlineStr">
        <is>
          <t>Domicilio (dirección, distrito, provincia, departamento)</t>
        </is>
      </c>
      <c r="C73" s="56" t="inlineStr">
        <is>
          <t>B41:Y41</t>
        </is>
      </c>
      <c r="D73" s="56" t="inlineStr">
        <is>
          <t>—</t>
        </is>
      </c>
      <c r="E73" s="56" t="inlineStr">
        <is>
          <t>Texto / lista abierta</t>
        </is>
      </c>
    </row>
    <row r="74">
      <c r="A74" s="55" t="inlineStr">
        <is>
          <t>3. DESCRIPCIÓN GENERAL DEL PREDIO INTERVENIDO</t>
        </is>
      </c>
      <c r="B74" s="55" t="inlineStr">
        <is>
          <t>NOMBRE DEL PREDIO</t>
        </is>
      </c>
      <c r="C74" s="55" t="inlineStr">
        <is>
          <t>G44</t>
        </is>
      </c>
      <c r="D74" s="55" t="inlineStr">
        <is>
          <t>predio_nombre</t>
        </is>
      </c>
      <c r="E74" s="55" t="inlineStr">
        <is>
          <t>Texto</t>
        </is>
      </c>
    </row>
    <row r="75">
      <c r="A75" s="56" t="inlineStr">
        <is>
          <t>3. DESCRIPCIÓN GENERAL DEL PREDIO INTERVENIDO</t>
        </is>
      </c>
      <c r="B75" s="56" t="inlineStr">
        <is>
          <t>CENTRO POBLADO / SECTOR</t>
        </is>
      </c>
      <c r="C75" s="56" t="inlineStr">
        <is>
          <t>G45</t>
        </is>
      </c>
      <c r="D75" s="56" t="inlineStr">
        <is>
          <t>—</t>
        </is>
      </c>
      <c r="E75" s="56" t="inlineStr">
        <is>
          <t>Texto</t>
        </is>
      </c>
    </row>
    <row r="76">
      <c r="A76" s="55" t="inlineStr">
        <is>
          <t>3. DESCRIPCIÓN GENERAL DEL PREDIO INTERVENIDO</t>
        </is>
      </c>
      <c r="B76" s="55" t="inlineStr">
        <is>
          <t>COMUNIDAD CAMPESINA (si aplica)</t>
        </is>
      </c>
      <c r="C76" s="55" t="inlineStr">
        <is>
          <t>S45</t>
        </is>
      </c>
      <c r="D76" s="55" t="inlineStr">
        <is>
          <t>—</t>
        </is>
      </c>
      <c r="E76" s="55" t="inlineStr">
        <is>
          <t>Texto</t>
        </is>
      </c>
    </row>
    <row r="77">
      <c r="A77" s="56" t="inlineStr">
        <is>
          <t>3. DESCRIPCIÓN GENERAL DEL PREDIO INTERVENIDO</t>
        </is>
      </c>
      <c r="B77" s="56" t="inlineStr">
        <is>
          <t>REFERENCIA DE ACCESO</t>
        </is>
      </c>
      <c r="C77" s="56" t="inlineStr">
        <is>
          <t>G46</t>
        </is>
      </c>
      <c r="D77" s="56" t="inlineStr">
        <is>
          <t>—</t>
        </is>
      </c>
      <c r="E77" s="56" t="inlineStr">
        <is>
          <t>Texto</t>
        </is>
      </c>
    </row>
    <row r="78">
      <c r="A78" s="55" t="inlineStr">
        <is>
          <t>3. DESCRIPCIÓN GENERAL DEL PREDIO INTERVENIDO</t>
        </is>
      </c>
      <c r="B78" s="55" t="inlineStr">
        <is>
          <t>TIPO DE ACCESO</t>
        </is>
      </c>
      <c r="C78" s="55" t="inlineStr">
        <is>
          <t>G47</t>
        </is>
      </c>
      <c r="D78" s="55" t="inlineStr">
        <is>
          <t>—</t>
        </is>
      </c>
      <c r="E78" s="55" t="inlineStr">
        <is>
          <t>Lista desplegable</t>
        </is>
      </c>
    </row>
    <row r="79">
      <c r="A79" s="56" t="inlineStr">
        <is>
          <t>3. DESCRIPCIÓN GENERAL DEL PREDIO INTERVENIDO</t>
        </is>
      </c>
      <c r="B79" s="56" t="inlineStr">
        <is>
          <t>TIEMPO DESDE EL C.P. (min)</t>
        </is>
      </c>
      <c r="C79" s="56" t="inlineStr">
        <is>
          <t>S47</t>
        </is>
      </c>
      <c r="D79" s="56" t="inlineStr">
        <is>
          <t>—</t>
        </is>
      </c>
      <c r="E79" s="56" t="inlineStr">
        <is>
          <t>Número entero</t>
        </is>
      </c>
    </row>
    <row r="80">
      <c r="A80" s="55" t="inlineStr">
        <is>
          <t>3. DESCRIPCIÓN GENERAL DEL PREDIO INTERVENIDO</t>
        </is>
      </c>
      <c r="B80" s="55" t="inlineStr">
        <is>
          <t>SISTEMA DE COORDENADAS</t>
        </is>
      </c>
      <c r="C80" s="55" t="inlineStr">
        <is>
          <t>G48</t>
        </is>
      </c>
      <c r="D80" s="55" t="inlineStr">
        <is>
          <t>—</t>
        </is>
      </c>
      <c r="E80" s="55" t="inlineStr">
        <is>
          <t>Automático</t>
        </is>
      </c>
    </row>
    <row r="81">
      <c r="A81" s="56" t="inlineStr">
        <is>
          <t>3. DESCRIPCIÓN GENERAL DEL PREDIO INTERVENIDO</t>
        </is>
      </c>
      <c r="B81" s="56" t="inlineStr">
        <is>
          <t>ESTE UTM (m)</t>
        </is>
      </c>
      <c r="C81" s="56" t="inlineStr">
        <is>
          <t>G49</t>
        </is>
      </c>
      <c r="D81" s="56" t="inlineStr">
        <is>
          <t>punto_interior (Este)</t>
        </is>
      </c>
      <c r="E81" s="56" t="inlineStr">
        <is>
          <t>Número</t>
        </is>
      </c>
    </row>
    <row r="82">
      <c r="A82" s="55" t="inlineStr">
        <is>
          <t>3. DESCRIPCIÓN GENERAL DEL PREDIO INTERVENIDO</t>
        </is>
      </c>
      <c r="B82" s="55" t="inlineStr">
        <is>
          <t>NORTE UTM (m)</t>
        </is>
      </c>
      <c r="C82" s="55" t="inlineStr">
        <is>
          <t>S49</t>
        </is>
      </c>
      <c r="D82" s="55" t="inlineStr">
        <is>
          <t>punto_interior (Norte)</t>
        </is>
      </c>
      <c r="E82" s="55" t="inlineStr">
        <is>
          <t>Número</t>
        </is>
      </c>
    </row>
    <row r="83">
      <c r="A83" s="56" t="inlineStr">
        <is>
          <t>3. DESCRIPCIÓN GENERAL DEL PREDIO INTERVENIDO</t>
        </is>
      </c>
      <c r="B83" s="56" t="inlineStr">
        <is>
          <t>ALTITUD (m s.n.m.)</t>
        </is>
      </c>
      <c r="C83" s="56" t="inlineStr">
        <is>
          <t>G50</t>
        </is>
      </c>
      <c r="D83" s="56" t="inlineStr">
        <is>
          <t>punto_interior (alt)</t>
        </is>
      </c>
      <c r="E83" s="56" t="inlineStr">
        <is>
          <t>Número</t>
        </is>
      </c>
    </row>
    <row r="84">
      <c r="A84" s="55" t="inlineStr">
        <is>
          <t>3. DESCRIPCIÓN GENERAL DEL PREDIO INTERVENIDO</t>
        </is>
      </c>
      <c r="B84" s="55" t="inlineStr">
        <is>
          <t>PRECISIÓN GPS (m)</t>
        </is>
      </c>
      <c r="C84" s="55" t="inlineStr">
        <is>
          <t>S50</t>
        </is>
      </c>
      <c r="D84" s="55" t="inlineStr">
        <is>
          <t>punto_interior (prec)</t>
        </is>
      </c>
      <c r="E84" s="55" t="inlineStr">
        <is>
          <t>Número</t>
        </is>
      </c>
    </row>
    <row r="85">
      <c r="A85" s="56" t="inlineStr">
        <is>
          <t>3. DESCRIPCIÓN GENERAL DEL PREDIO INTERVENIDO</t>
        </is>
      </c>
      <c r="B85" s="56" t="inlineStr">
        <is>
          <t>DEPARTAMENTO</t>
        </is>
      </c>
      <c r="C85" s="56" t="inlineStr">
        <is>
          <t>G51</t>
        </is>
      </c>
      <c r="D85" s="56" t="inlineStr">
        <is>
          <t>—</t>
        </is>
      </c>
      <c r="E85" s="56" t="inlineStr">
        <is>
          <t>Lista desplegable</t>
        </is>
      </c>
    </row>
    <row r="86">
      <c r="A86" s="55" t="inlineStr">
        <is>
          <t>3. DESCRIPCIÓN GENERAL DEL PREDIO INTERVENIDO</t>
        </is>
      </c>
      <c r="B86" s="55" t="inlineStr">
        <is>
          <t>PROVINCIA</t>
        </is>
      </c>
      <c r="C86" s="55" t="inlineStr">
        <is>
          <t>S51</t>
        </is>
      </c>
      <c r="D86" s="55" t="inlineStr">
        <is>
          <t>—</t>
        </is>
      </c>
      <c r="E86" s="55" t="inlineStr">
        <is>
          <t>Lista desplegable</t>
        </is>
      </c>
    </row>
    <row r="87">
      <c r="A87" s="56" t="inlineStr">
        <is>
          <t>3. DESCRIPCIÓN GENERAL DEL PREDIO INTERVENIDO</t>
        </is>
      </c>
      <c r="B87" s="56" t="inlineStr">
        <is>
          <t>DISTRITO</t>
        </is>
      </c>
      <c r="C87" s="56" t="inlineStr">
        <is>
          <t>G52</t>
        </is>
      </c>
      <c r="D87" s="56" t="inlineStr">
        <is>
          <t>—</t>
        </is>
      </c>
      <c r="E87" s="56" t="inlineStr">
        <is>
          <t>Lista desplegable</t>
        </is>
      </c>
    </row>
    <row r="88">
      <c r="A88" s="55" t="inlineStr">
        <is>
          <t>3. DESCRIPCIÓN GENERAL DEL PREDIO INTERVENIDO</t>
        </is>
      </c>
      <c r="B88" s="55" t="inlineStr">
        <is>
          <t>VERIFICACIÓN CON CATÁLOGO V6</t>
        </is>
      </c>
      <c r="C88" s="55" t="inlineStr">
        <is>
          <t>S52</t>
        </is>
      </c>
      <c r="D88" s="55" t="inlineStr">
        <is>
          <t>—</t>
        </is>
      </c>
      <c r="E88" s="55" t="inlineStr">
        <is>
          <t>Automático</t>
        </is>
      </c>
    </row>
    <row r="89">
      <c r="A89" s="56" t="inlineStr">
        <is>
          <t>4. DESCRIPCIÓN DEL PREDIO MATRIZ</t>
        </is>
      </c>
      <c r="B89" s="56" t="inlineStr">
        <is>
          <t>USO ACTUAL DEL SUELO</t>
        </is>
      </c>
      <c r="C89" s="56" t="inlineStr">
        <is>
          <t>G55</t>
        </is>
      </c>
      <c r="D89" s="56" t="inlineStr">
        <is>
          <t>uso_actual / uso_observado</t>
        </is>
      </c>
      <c r="E89" s="56" t="inlineStr">
        <is>
          <t>Lista desplegable</t>
        </is>
      </c>
    </row>
    <row r="90">
      <c r="A90" s="55" t="inlineStr">
        <is>
          <t>4. DESCRIPCIÓN DEL PREDIO MATRIZ</t>
        </is>
      </c>
      <c r="B90" s="55" t="inlineStr">
        <is>
          <t>ESPECIFIQUE SI ES «OTRO»</t>
        </is>
      </c>
      <c r="C90" s="55" t="inlineStr">
        <is>
          <t>S55</t>
        </is>
      </c>
      <c r="D90" s="55" t="inlineStr">
        <is>
          <t>—</t>
        </is>
      </c>
      <c r="E90" s="55" t="inlineStr">
        <is>
          <t>Texto</t>
        </is>
      </c>
    </row>
    <row r="91">
      <c r="A91" s="56" t="inlineStr">
        <is>
          <t>4. DESCRIPCIÓN DEL PREDIO MATRIZ</t>
        </is>
      </c>
      <c r="B91" s="56" t="inlineStr">
        <is>
          <t>OCUPACIÓN OBSERVADA</t>
        </is>
      </c>
      <c r="C91" s="56" t="inlineStr">
        <is>
          <t>G56</t>
        </is>
      </c>
      <c r="D91" s="56" t="inlineStr">
        <is>
          <t>ocupacion</t>
        </is>
      </c>
      <c r="E91" s="56" t="inlineStr">
        <is>
          <t>Lista desplegable</t>
        </is>
      </c>
    </row>
    <row r="92">
      <c r="A92" s="55" t="inlineStr">
        <is>
          <t>4. DESCRIPCIÓN DEL PREDIO MATRIZ</t>
        </is>
      </c>
      <c r="B92" s="55" t="inlineStr">
        <is>
          <t>DETALLE DE LA OCUPACIÓN</t>
        </is>
      </c>
      <c r="C92" s="55" t="inlineStr">
        <is>
          <t>S56</t>
        </is>
      </c>
      <c r="D92" s="55" t="inlineStr">
        <is>
          <t>—</t>
        </is>
      </c>
      <c r="E92" s="55" t="inlineStr">
        <is>
          <t>Texto</t>
        </is>
      </c>
    </row>
    <row r="93">
      <c r="A93" s="56" t="inlineStr">
        <is>
          <t>4. DESCRIPCIÓN DEL PREDIO MATRIZ</t>
        </is>
      </c>
      <c r="B93" s="56" t="inlineStr">
        <is>
          <t>EDIFICACIONES / CULTIVOS</t>
        </is>
      </c>
      <c r="C93" s="56" t="inlineStr">
        <is>
          <t>G57</t>
        </is>
      </c>
      <c r="D93" s="56" t="inlineStr">
        <is>
          <t>—</t>
        </is>
      </c>
      <c r="E93" s="56" t="inlineStr">
        <is>
          <t>Lista desplegable</t>
        </is>
      </c>
    </row>
    <row r="94">
      <c r="A94" s="55" t="inlineStr">
        <is>
          <t>4. DESCRIPCIÓN DEL PREDIO MATRIZ</t>
        </is>
      </c>
      <c r="B94" s="55" t="inlineStr">
        <is>
          <t>DETALLE / ESPECIFIQUE «OTRO»</t>
        </is>
      </c>
      <c r="C94" s="55" t="inlineStr">
        <is>
          <t>S57</t>
        </is>
      </c>
      <c r="D94" s="55" t="inlineStr">
        <is>
          <t>—</t>
        </is>
      </c>
      <c r="E94" s="55" t="inlineStr">
        <is>
          <t>Texto</t>
        </is>
      </c>
    </row>
    <row r="95">
      <c r="A95" s="56" t="inlineStr">
        <is>
          <t>4. DESCRIPCIÓN DEL PREDIO MATRIZ</t>
        </is>
      </c>
      <c r="B95" s="56" t="inlineStr">
        <is>
          <t>TOPOGRAFÍA / PENDIENTE</t>
        </is>
      </c>
      <c r="C95" s="56" t="inlineStr">
        <is>
          <t>G58</t>
        </is>
      </c>
      <c r="D95" s="56" t="inlineStr">
        <is>
          <t>—</t>
        </is>
      </c>
      <c r="E95" s="56" t="inlineStr">
        <is>
          <t>Lista desplegable</t>
        </is>
      </c>
    </row>
    <row r="96">
      <c r="A96" s="55" t="inlineStr">
        <is>
          <t>4. DESCRIPCIÓN DEL PREDIO MATRIZ</t>
        </is>
      </c>
      <c r="B96" s="55" t="inlineStr">
        <is>
          <t>EROSIÓN OBSERVADA</t>
        </is>
      </c>
      <c r="C96" s="55" t="inlineStr">
        <is>
          <t>S58</t>
        </is>
      </c>
      <c r="D96" s="55" t="inlineStr">
        <is>
          <t>—</t>
        </is>
      </c>
      <c r="E96" s="55" t="inlineStr">
        <is>
          <t>Lista desplegable</t>
        </is>
      </c>
    </row>
    <row r="97">
      <c r="A97" s="56" t="inlineStr">
        <is>
          <t>4. DESCRIPCIÓN DEL PREDIO MATRIZ</t>
        </is>
      </c>
      <c r="B97" s="56" t="inlineStr">
        <is>
          <t>ESTADO DE LA COBERTURA VEGETAL</t>
        </is>
      </c>
      <c r="C97" s="56" t="inlineStr">
        <is>
          <t>G59</t>
        </is>
      </c>
      <c r="D97" s="56" t="inlineStr">
        <is>
          <t>—</t>
        </is>
      </c>
      <c r="E97" s="56" t="inlineStr">
        <is>
          <t>Lista desplegable</t>
        </is>
      </c>
    </row>
    <row r="98">
      <c r="A98" s="55" t="inlineStr">
        <is>
          <t>4. DESCRIPCIÓN DEL PREDIO MATRIZ</t>
        </is>
      </c>
      <c r="B98" s="55" t="inlineStr">
        <is>
          <t>EVIDENCIA DE MOVIMIENTOS EN MASA</t>
        </is>
      </c>
      <c r="C98" s="55" t="inlineStr">
        <is>
          <t>S59</t>
        </is>
      </c>
      <c r="D98" s="55" t="inlineStr">
        <is>
          <t>—</t>
        </is>
      </c>
      <c r="E98" s="55" t="inlineStr">
        <is>
          <t>Lista desplegable</t>
        </is>
      </c>
    </row>
    <row r="99">
      <c r="A99" s="56" t="inlineStr">
        <is>
          <t>4. DESCRIPCIÓN DEL PREDIO MATRIZ</t>
        </is>
      </c>
      <c r="B99" s="56" t="inlineStr">
        <is>
          <t>OTROS / DESCRIPCIÓN DEL PREDIO</t>
        </is>
      </c>
      <c r="C99" s="56" t="inlineStr">
        <is>
          <t>G60</t>
        </is>
      </c>
      <c r="D99" s="56" t="inlineStr">
        <is>
          <t>descripcion_predio (F-LA-03)</t>
        </is>
      </c>
      <c r="E99" s="56" t="inlineStr">
        <is>
          <t>Texto</t>
        </is>
      </c>
    </row>
    <row r="100">
      <c r="A100" s="55" t="inlineStr">
        <is>
          <t>4. DESCRIPCIÓN DEL PREDIO MATRIZ</t>
        </is>
      </c>
      <c r="B100" s="55" t="inlineStr">
        <is>
          <t>TIPO DE PREDIO</t>
        </is>
      </c>
      <c r="C100" s="55" t="inlineStr">
        <is>
          <t>G62</t>
        </is>
      </c>
      <c r="D100" s="55" t="inlineStr">
        <is>
          <t>—</t>
        </is>
      </c>
      <c r="E100" s="55" t="inlineStr">
        <is>
          <t>Lista desplegable</t>
        </is>
      </c>
    </row>
    <row r="101">
      <c r="A101" s="56" t="inlineStr">
        <is>
          <t>4. DESCRIPCIÓN DEL PREDIO MATRIZ</t>
        </is>
      </c>
      <c r="B101" s="56" t="inlineStr">
        <is>
          <t>ÁREA MATRIZ DEL PREDIO (ha)</t>
        </is>
      </c>
      <c r="C101" s="56" t="inlineStr">
        <is>
          <t>S62</t>
        </is>
      </c>
      <c r="D101" s="56" t="inlineStr">
        <is>
          <t>predio_area_decl_ha</t>
        </is>
      </c>
      <c r="E101" s="56" t="inlineStr">
        <is>
          <t>Número</t>
        </is>
      </c>
    </row>
    <row r="102">
      <c r="A102" s="55" t="inlineStr">
        <is>
          <t>4. DESCRIPCIÓN DEL PREDIO MATRIZ</t>
        </is>
      </c>
      <c r="B102" s="55" t="inlineStr">
        <is>
          <t>PERÍMETRO (m)</t>
        </is>
      </c>
      <c r="C102" s="55" t="inlineStr">
        <is>
          <t>G63</t>
        </is>
      </c>
      <c r="D102" s="55" t="inlineStr">
        <is>
          <t>—</t>
        </is>
      </c>
      <c r="E102" s="55" t="inlineStr">
        <is>
          <t>Número</t>
        </is>
      </c>
    </row>
    <row r="103">
      <c r="A103" s="56" t="inlineStr">
        <is>
          <t>4. DESCRIPCIÓN DEL PREDIO MATRIZ</t>
        </is>
      </c>
      <c r="B103" s="56" t="inlineStr">
        <is>
          <t>ÁREA MATRIZ DEL PREDIO (m²)</t>
        </is>
      </c>
      <c r="C103" s="56" t="inlineStr">
        <is>
          <t>S63</t>
        </is>
      </c>
      <c r="D103" s="56" t="inlineStr">
        <is>
          <t>—</t>
        </is>
      </c>
      <c r="E103" s="56" t="inlineStr">
        <is>
          <t>Automático</t>
        </is>
      </c>
    </row>
    <row r="104">
      <c r="A104" s="55" t="inlineStr">
        <is>
          <t>4. DESCRIPCIÓN DEL PREDIO MATRIZ</t>
        </is>
      </c>
      <c r="B104" s="55" t="inlineStr">
        <is>
          <t>Colindancia norte</t>
        </is>
      </c>
      <c r="C104" s="55" t="inlineStr">
        <is>
          <t>F66:Y66</t>
        </is>
      </c>
      <c r="D104" s="55" t="inlineStr">
        <is>
          <t>—</t>
        </is>
      </c>
      <c r="E104" s="55" t="inlineStr">
        <is>
          <t>Texto / lista</t>
        </is>
      </c>
    </row>
    <row r="105">
      <c r="A105" s="56" t="inlineStr">
        <is>
          <t>4. DESCRIPCIÓN DEL PREDIO MATRIZ</t>
        </is>
      </c>
      <c r="B105" s="56" t="inlineStr">
        <is>
          <t>Colindancia este</t>
        </is>
      </c>
      <c r="C105" s="56" t="inlineStr">
        <is>
          <t>F67:Y67</t>
        </is>
      </c>
      <c r="D105" s="56" t="inlineStr">
        <is>
          <t>—</t>
        </is>
      </c>
      <c r="E105" s="56" t="inlineStr">
        <is>
          <t>Texto / lista</t>
        </is>
      </c>
    </row>
    <row r="106">
      <c r="A106" s="55" t="inlineStr">
        <is>
          <t>4. DESCRIPCIÓN DEL PREDIO MATRIZ</t>
        </is>
      </c>
      <c r="B106" s="55" t="inlineStr">
        <is>
          <t>Colindancia sur</t>
        </is>
      </c>
      <c r="C106" s="55" t="inlineStr">
        <is>
          <t>F68:Y68</t>
        </is>
      </c>
      <c r="D106" s="55" t="inlineStr">
        <is>
          <t>—</t>
        </is>
      </c>
      <c r="E106" s="55" t="inlineStr">
        <is>
          <t>Texto / lista</t>
        </is>
      </c>
    </row>
    <row r="107">
      <c r="A107" s="56" t="inlineStr">
        <is>
          <t>4. DESCRIPCIÓN DEL PREDIO MATRIZ</t>
        </is>
      </c>
      <c r="B107" s="56" t="inlineStr">
        <is>
          <t>Colindancia oeste</t>
        </is>
      </c>
      <c r="C107" s="56" t="inlineStr">
        <is>
          <t>F69:Y69</t>
        </is>
      </c>
      <c r="D107" s="56" t="inlineStr">
        <is>
          <t>—</t>
        </is>
      </c>
      <c r="E107" s="56" t="inlineStr">
        <is>
          <t>Texto / lista</t>
        </is>
      </c>
    </row>
    <row r="108">
      <c r="A108" s="55" t="inlineStr">
        <is>
          <t>4. DESCRIPCIÓN DEL PREDIO MATRIZ</t>
        </is>
      </c>
      <c r="B108" s="55" t="inlineStr">
        <is>
          <t>CONFLICTOS DE LINDEROS / OBSERVACIONES</t>
        </is>
      </c>
      <c r="C108" s="55" t="inlineStr">
        <is>
          <t>G70</t>
        </is>
      </c>
      <c r="D108" s="55" t="inlineStr">
        <is>
          <t>conflicto_linderos_det</t>
        </is>
      </c>
      <c r="E108" s="55" t="inlineStr">
        <is>
          <t>Texto</t>
        </is>
      </c>
    </row>
    <row r="109">
      <c r="A109" s="56" t="inlineStr">
        <is>
          <t>5. DESCRIPCIÓN DEL ÁREA A INTERVENIR (DENTRO DE LA UNIDAD)</t>
        </is>
      </c>
      <c r="B109" s="56" t="inlineStr">
        <is>
          <t>ÁREA DEL PREDIO DENTRO DE LA UNIDAD (ha)</t>
        </is>
      </c>
      <c r="C109" s="56" t="inlineStr">
        <is>
          <t>G74</t>
        </is>
      </c>
      <c r="D109" s="56" t="inlineStr">
        <is>
          <t>predio_area_unidad_ha</t>
        </is>
      </c>
      <c r="E109" s="56" t="inlineStr">
        <is>
          <t>Número</t>
        </is>
      </c>
    </row>
    <row r="110">
      <c r="A110" s="55" t="inlineStr">
        <is>
          <t>5. DESCRIPCIÓN DEL ÁREA A INTERVENIR (DENTRO DE LA UNIDAD)</t>
        </is>
      </c>
      <c r="B110" s="55" t="inlineStr">
        <is>
          <t>ÁREA DENTRO DE LA UNIDAD (m²)</t>
        </is>
      </c>
      <c r="C110" s="55" t="inlineStr">
        <is>
          <t>S74</t>
        </is>
      </c>
      <c r="D110" s="55" t="inlineStr">
        <is>
          <t>—</t>
        </is>
      </c>
      <c r="E110" s="55" t="inlineStr">
        <is>
          <t>Automático</t>
        </is>
      </c>
    </row>
    <row r="111">
      <c r="A111" s="56" t="inlineStr">
        <is>
          <t>5. DESCRIPCIÓN DEL ÁREA A INTERVENIR (DENTRO DE LA UNIDAD)</t>
        </is>
      </c>
      <c r="B111" s="56" t="inlineStr">
        <is>
          <t>% DEL PREDIO MATRIZ</t>
        </is>
      </c>
      <c r="C111" s="56" t="inlineStr">
        <is>
          <t>G75</t>
        </is>
      </c>
      <c r="D111" s="56" t="inlineStr">
        <is>
          <t>—</t>
        </is>
      </c>
      <c r="E111" s="56" t="inlineStr">
        <is>
          <t>Automático</t>
        </is>
      </c>
    </row>
    <row r="112">
      <c r="A112" s="55" t="inlineStr">
        <is>
          <t>5. DESCRIPCIÓN DEL ÁREA A INTERVENIR (DENTRO DE LA UNIDAD)</t>
        </is>
      </c>
      <c r="B112" s="55" t="inlineStr">
        <is>
          <t>CONTROL DE ÁREAS</t>
        </is>
      </c>
      <c r="C112" s="55" t="inlineStr">
        <is>
          <t>S75</t>
        </is>
      </c>
      <c r="D112" s="55" t="inlineStr">
        <is>
          <t>—</t>
        </is>
      </c>
      <c r="E112" s="55" t="inlineStr">
        <is>
          <t>Automático</t>
        </is>
      </c>
    </row>
    <row r="113">
      <c r="A113" s="56" t="inlineStr">
        <is>
          <t>5. DESCRIPCIÓN DEL ÁREA A INTERVENIR (DENTRO DE LA UNIDAD)</t>
        </is>
      </c>
      <c r="B113" s="56" t="inlineStr">
        <is>
          <t>Interferencias</t>
        </is>
      </c>
      <c r="C113" s="56" t="inlineStr">
        <is>
          <t>G77:Y77</t>
        </is>
      </c>
      <c r="D113" s="56" t="inlineStr">
        <is>
          <t>interferencias (selección múltiple)</t>
        </is>
      </c>
      <c r="E113" s="56" t="inlineStr">
        <is>
          <t>Lista desplegable</t>
        </is>
      </c>
    </row>
    <row r="114">
      <c r="A114" s="55" t="inlineStr">
        <is>
          <t>5. DESCRIPCIÓN DEL ÁREA A INTERVENIR (DENTRO DE LA UNIDAD)</t>
        </is>
      </c>
      <c r="B114" s="55" t="inlineStr">
        <is>
          <t>DETALLE DE INTERFERENCIAS</t>
        </is>
      </c>
      <c r="C114" s="55" t="inlineStr">
        <is>
          <t>G78</t>
        </is>
      </c>
      <c r="D114" s="55" t="inlineStr">
        <is>
          <t>interf_detalle</t>
        </is>
      </c>
      <c r="E114" s="55" t="inlineStr">
        <is>
          <t>Texto</t>
        </is>
      </c>
    </row>
    <row r="115">
      <c r="A115" s="56" t="inlineStr">
        <is>
          <t>5. DESCRIPCIÓN DEL ÁREA A INTERVENIR (DENTRO DE LA UNIDAD)</t>
        </is>
      </c>
      <c r="B115" s="56" t="inlineStr">
        <is>
          <t>Intervención prevista</t>
        </is>
      </c>
      <c r="C115" s="56" t="inlineStr">
        <is>
          <t>G79:Y79</t>
        </is>
      </c>
      <c r="D115" s="56" t="inlineStr">
        <is>
          <t>—</t>
        </is>
      </c>
      <c r="E115" s="56" t="inlineStr">
        <is>
          <t>Lista desplegable</t>
        </is>
      </c>
    </row>
    <row r="116">
      <c r="A116" s="55" t="inlineStr">
        <is>
          <t>5. DESCRIPCIÓN DEL ÁREA A INTERVENIR (DENTRO DE LA UNIDAD)</t>
        </is>
      </c>
      <c r="B116" s="55" t="inlineStr">
        <is>
          <t>Afectaciones OC-01 … OC-05</t>
        </is>
      </c>
      <c r="C116" s="55" t="inlineStr">
        <is>
          <t>B82:Y86</t>
        </is>
      </c>
      <c r="D116" s="55" t="inlineStr">
        <is>
          <t>—</t>
        </is>
      </c>
      <c r="E116" s="55" t="inlineStr">
        <is>
          <t>Tabla</t>
        </is>
      </c>
    </row>
    <row r="117">
      <c r="A117" s="56" t="inlineStr">
        <is>
          <t>6. DISPONIBILIDAD Y CONDICIÓN DE LIBERACIÓN</t>
        </is>
      </c>
      <c r="B117" s="56" t="inlineStr">
        <is>
          <t>ACEPTACIÓN DEL TITULAR / PREDIANTE</t>
        </is>
      </c>
      <c r="C117" s="56" t="inlineStr">
        <is>
          <t>G89</t>
        </is>
      </c>
      <c r="D117" s="56" t="inlineStr">
        <is>
          <t>aceptacion</t>
        </is>
      </c>
      <c r="E117" s="56" t="inlineStr">
        <is>
          <t>Lista desplegable</t>
        </is>
      </c>
    </row>
    <row r="118">
      <c r="A118" s="55" t="inlineStr">
        <is>
          <t>6. DISPONIBILIDAD Y CONDICIÓN DE LIBERACIÓN</t>
        </is>
      </c>
      <c r="B118" s="55" t="inlineStr">
        <is>
          <t>MODALIDAD DE DISPONIBILIDAD</t>
        </is>
      </c>
      <c r="C118" s="55" t="inlineStr">
        <is>
          <t>S89</t>
        </is>
      </c>
      <c r="D118" s="55" t="inlineStr">
        <is>
          <t>—</t>
        </is>
      </c>
      <c r="E118" s="55" t="inlineStr">
        <is>
          <t>Lista desplegable</t>
        </is>
      </c>
    </row>
    <row r="119">
      <c r="A119" s="56" t="inlineStr">
        <is>
          <t>6. DISPONIBILIDAD Y CONDICIÓN DE LIBERACIÓN</t>
        </is>
      </c>
      <c r="B119" s="56" t="inlineStr">
        <is>
          <t>CONCLUSIÓN DE CAMPO</t>
        </is>
      </c>
      <c r="C119" s="56" t="inlineStr">
        <is>
          <t>G90</t>
        </is>
      </c>
      <c r="D119" s="56" t="inlineStr">
        <is>
          <t>conclusion_campo (F-LA-03)</t>
        </is>
      </c>
      <c r="E119" s="56" t="inlineStr">
        <is>
          <t>Lista desplegable</t>
        </is>
      </c>
    </row>
    <row r="120">
      <c r="A120" s="55" t="inlineStr">
        <is>
          <t>6. DISPONIBILIDAD Y CONDICIÓN DE LIBERACIÓN</t>
        </is>
      </c>
      <c r="B120" s="55" t="inlineStr">
        <is>
          <t>ESTADO LA PROPUESTO</t>
        </is>
      </c>
      <c r="C120" s="55" t="inlineStr">
        <is>
          <t>S90</t>
        </is>
      </c>
      <c r="D120" s="55" t="inlineStr">
        <is>
          <t>estado_la_propuesto</t>
        </is>
      </c>
      <c r="E120" s="55" t="inlineStr">
        <is>
          <t>Lista desplegable</t>
        </is>
      </c>
    </row>
    <row r="121">
      <c r="A121" s="56" t="inlineStr">
        <is>
          <t>6. DISPONIBILIDAD Y CONDICIÓN DE LIBERACIÓN</t>
        </is>
      </c>
      <c r="B121" s="56" t="inlineStr">
        <is>
          <t>ACTA PREVISTA</t>
        </is>
      </c>
      <c r="C121" s="56" t="inlineStr">
        <is>
          <t>G91</t>
        </is>
      </c>
      <c r="D121" s="56" t="inlineStr">
        <is>
          <t>—</t>
        </is>
      </c>
      <c r="E121" s="56" t="inlineStr">
        <is>
          <t>Lista desplegable</t>
        </is>
      </c>
    </row>
    <row r="122">
      <c r="A122" s="55" t="inlineStr">
        <is>
          <t>6. DISPONIBILIDAD Y CONDICIÓN DE LIBERACIÓN</t>
        </is>
      </c>
      <c r="B122" s="55" t="inlineStr">
        <is>
          <t>CÓDIGO DE TITULAR PREVIO (T0000)</t>
        </is>
      </c>
      <c r="C122" s="55" t="inlineStr">
        <is>
          <t>S91</t>
        </is>
      </c>
      <c r="D122" s="55" t="inlineStr">
        <is>
          <t>cod_titular_prev</t>
        </is>
      </c>
      <c r="E122" s="55" t="inlineStr">
        <is>
          <t>Texto</t>
        </is>
      </c>
    </row>
    <row r="123">
      <c r="A123" s="56" t="inlineStr">
        <is>
          <t>6. DISPONIBILIDAD Y CONDICIÓN DE LIBERACIÓN</t>
        </is>
      </c>
      <c r="B123" s="56" t="inlineStr">
        <is>
          <t>OBSERVACIONES / ALERTAS SOCIALES</t>
        </is>
      </c>
      <c r="C123" s="56" t="inlineStr">
        <is>
          <t>G92</t>
        </is>
      </c>
      <c r="D123" s="56" t="inlineStr">
        <is>
          <t>—</t>
        </is>
      </c>
      <c r="E123" s="56" t="inlineStr">
        <is>
          <t>Texto</t>
        </is>
      </c>
    </row>
    <row r="124">
      <c r="A124" s="55" t="inlineStr">
        <is>
          <t>7. CROQUIS DEL PREDIO Y PUNTOS DE CONTROL (UTM WGS84 Zona 17S)</t>
        </is>
      </c>
      <c r="B124" s="55" t="inlineStr">
        <is>
          <t>Puntos de control / vértices</t>
        </is>
      </c>
      <c r="C124" s="55" t="inlineStr">
        <is>
          <t>B110:Y117</t>
        </is>
      </c>
      <c r="D124" s="55" t="inlineStr">
        <is>
          <t>r_puntos: pt_gps, pt_tipo</t>
        </is>
      </c>
      <c r="E124" s="55" t="inlineStr">
        <is>
          <t>Tabla</t>
        </is>
      </c>
    </row>
    <row r="125">
      <c r="A125" s="56" t="inlineStr">
        <is>
          <t>8. PANEL FOTOGRÁFICO</t>
        </is>
      </c>
      <c r="B125" s="56" t="inlineStr">
        <is>
          <t>Foto 1 – Vista general del predio</t>
        </is>
      </c>
      <c r="C125" s="56" t="inlineStr">
        <is>
          <t>B120</t>
        </is>
      </c>
      <c r="D125" s="56" t="inlineStr">
        <is>
          <t>foto_1</t>
        </is>
      </c>
      <c r="E125" s="56" t="inlineStr">
        <is>
          <t>Imagen</t>
        </is>
      </c>
    </row>
    <row r="126">
      <c r="A126" s="55" t="inlineStr">
        <is>
          <t>8. PANEL FOTOGRÁFICO</t>
        </is>
      </c>
      <c r="B126" s="55" t="inlineStr">
        <is>
          <t>Foto 2 – Cobertura vegetal / uso actual</t>
        </is>
      </c>
      <c r="C126" s="55" t="inlineStr">
        <is>
          <t>N120</t>
        </is>
      </c>
      <c r="D126" s="55" t="inlineStr">
        <is>
          <t>foto_2</t>
        </is>
      </c>
      <c r="E126" s="55" t="inlineStr">
        <is>
          <t>Imagen</t>
        </is>
      </c>
    </row>
    <row r="127">
      <c r="A127" s="56" t="inlineStr">
        <is>
          <t>8. PANEL FOTOGRÁFICO</t>
        </is>
      </c>
      <c r="B127" s="56" t="inlineStr">
        <is>
          <t>Foto 3 – Linderos, hitos o accesos</t>
        </is>
      </c>
      <c r="C127" s="56" t="inlineStr">
        <is>
          <t>B135</t>
        </is>
      </c>
      <c r="D127" s="56" t="inlineStr">
        <is>
          <t>foto_3</t>
        </is>
      </c>
      <c r="E127" s="56" t="inlineStr">
        <is>
          <t>Imagen</t>
        </is>
      </c>
    </row>
    <row r="128">
      <c r="A128" s="55" t="inlineStr">
        <is>
          <t>8. PANEL FOTOGRÁFICO</t>
        </is>
      </c>
      <c r="B128" s="55" t="inlineStr">
        <is>
          <t>Foto 4 – Interferencias o detalle relevante</t>
        </is>
      </c>
      <c r="C128" s="55" t="inlineStr">
        <is>
          <t>N135</t>
        </is>
      </c>
      <c r="D128" s="55" t="inlineStr">
        <is>
          <t>foto_4</t>
        </is>
      </c>
      <c r="E128" s="55" t="inlineStr">
        <is>
          <t>Imagen</t>
        </is>
      </c>
    </row>
    <row r="129">
      <c r="A129" s="56" t="inlineStr">
        <is>
          <t>9. CONFORMIDAD Y FIRMAS</t>
        </is>
      </c>
      <c r="B129" s="56" t="inlineStr">
        <is>
          <t>FECHA DE ELABORACIÓN</t>
        </is>
      </c>
      <c r="C129" s="56" t="inlineStr">
        <is>
          <t>G160</t>
        </is>
      </c>
      <c r="D129" s="56" t="inlineStr">
        <is>
          <t>—</t>
        </is>
      </c>
      <c r="E129" s="56" t="inlineStr">
        <is>
          <t>Fecha</t>
        </is>
      </c>
    </row>
    <row r="130">
      <c r="A130" s="55" t="inlineStr">
        <is>
          <t>9. CONFORMIDAD Y FIRMAS</t>
        </is>
      </c>
      <c r="B130" s="55" t="inlineStr">
        <is>
          <t>LUGAR</t>
        </is>
      </c>
      <c r="C130" s="55" t="inlineStr">
        <is>
          <t>S160</t>
        </is>
      </c>
      <c r="D130" s="55" t="inlineStr">
        <is>
          <t>—</t>
        </is>
      </c>
      <c r="E130" s="55" t="inlineStr">
        <is>
          <t>Texto</t>
        </is>
      </c>
    </row>
  </sheetData>
  <autoFilter ref="A33:E130"/>
  <mergeCells count="11">
    <mergeCell ref="A12:E12"/>
    <mergeCell ref="A2:E2"/>
    <mergeCell ref="A7:E7"/>
    <mergeCell ref="A10:E10"/>
    <mergeCell ref="A11:E11"/>
    <mergeCell ref="A1:E1"/>
    <mergeCell ref="A13:E13"/>
    <mergeCell ref="A8:E8"/>
    <mergeCell ref="A6:E6"/>
    <mergeCell ref="A9:E9"/>
    <mergeCell ref="A3:E3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1B4F72"/>
    <outlinePr summaryBelow="1" summaryRight="1"/>
    <pageSetUpPr fitToPage="1"/>
  </sheetPr>
  <dimension ref="A1:I190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22" customWidth="1" min="4" max="4"/>
    <col width="11" customWidth="1" min="5" max="5"/>
    <col width="12" customWidth="1" min="6" max="6"/>
    <col width="12" customWidth="1" min="7" max="7"/>
    <col width="10" customWidth="1" min="8" max="8"/>
    <col width="30" customWidth="1" min="9" max="9"/>
  </cols>
  <sheetData>
    <row r="1">
      <c r="A1" s="46" t="inlineStr">
        <is>
          <t>AUTORIDAD NACIONAL DE INFRAESTRUCTURA - ANIN</t>
        </is>
      </c>
    </row>
    <row r="2">
      <c r="A2" s="46" t="inlineStr">
        <is>
          <t>DIRECCIÓN DE INTERVENCIONES MULTISECTORIALES Y DE EMERGENCIA - DIME</t>
        </is>
      </c>
    </row>
    <row r="3">
      <c r="A3" s="46" t="inlineStr">
        <is>
          <t>SUBDIRECCIÓN DE ESTUDIOS DE INVERSIÓN</t>
        </is>
      </c>
    </row>
    <row r="4">
      <c r="A4" s="57" t="inlineStr">
        <is>
          <t>CATÁLOGO V6 DE UNIDADES (bloques y lotes SUS) CON ASISTENTE PREDIAL ASIGNADO</t>
        </is>
      </c>
    </row>
    <row r="5">
      <c r="A5" s="58" t="inlineStr">
        <is>
          <t>Fuente: datos/unidades_liberacion_areas.csv (mismo catálogo de los formularios Kobo F-LA). Proyecto IN Piura – CUI 2669244 · UTM WGS84 Zona 17S</t>
        </is>
      </c>
    </row>
    <row r="7">
      <c r="A7" s="59" t="inlineStr">
        <is>
          <t>Código</t>
        </is>
      </c>
      <c r="B7" s="59" t="inlineStr">
        <is>
          <t>Tipo de unidad</t>
        </is>
      </c>
      <c r="C7" s="59" t="inlineStr">
        <is>
          <t>Provincia</t>
        </is>
      </c>
      <c r="D7" s="59" t="inlineStr">
        <is>
          <t>Distrito</t>
        </is>
      </c>
      <c r="E7" s="59" t="inlineStr">
        <is>
          <t>Área (ha)</t>
        </is>
      </c>
      <c r="F7" s="59" t="inlineStr">
        <is>
          <t>Bloque de referencia</t>
        </is>
      </c>
      <c r="G7" s="59" t="inlineStr">
        <is>
          <t>Posición SUS</t>
        </is>
      </c>
      <c r="H7" s="59" t="inlineStr">
        <is>
          <t>Asistente</t>
        </is>
      </c>
      <c r="I7" s="59" t="inlineStr">
        <is>
          <t>Nombre del asistente</t>
        </is>
      </c>
    </row>
    <row r="8">
      <c r="A8" s="60" t="inlineStr">
        <is>
          <t>2</t>
        </is>
      </c>
      <c r="B8" s="61" t="inlineStr">
        <is>
          <t>Bloque</t>
        </is>
      </c>
      <c r="C8" s="61" t="inlineStr">
        <is>
          <t>Morropón</t>
        </is>
      </c>
      <c r="D8" s="61" t="inlineStr">
        <is>
          <t>Chulucanas</t>
        </is>
      </c>
      <c r="E8" s="62" t="n">
        <v>330.599</v>
      </c>
      <c r="F8" s="60" t="inlineStr">
        <is>
          <t>2</t>
        </is>
      </c>
      <c r="G8" s="61" t="inlineStr"/>
      <c r="H8" s="61" t="inlineStr">
        <is>
          <t>AP-1</t>
        </is>
      </c>
      <c r="I8" s="61" t="inlineStr">
        <is>
          <t>Diusberto Peña López</t>
        </is>
      </c>
    </row>
    <row r="9">
      <c r="A9" s="63" t="inlineStr">
        <is>
          <t>3</t>
        </is>
      </c>
      <c r="B9" s="53" t="inlineStr">
        <is>
          <t>Bloque</t>
        </is>
      </c>
      <c r="C9" s="53" t="inlineStr">
        <is>
          <t>Ayabaca</t>
        </is>
      </c>
      <c r="D9" s="53" t="inlineStr">
        <is>
          <t>Frías</t>
        </is>
      </c>
      <c r="E9" s="64" t="n">
        <v>459.295</v>
      </c>
      <c r="F9" s="63" t="inlineStr">
        <is>
          <t>3</t>
        </is>
      </c>
      <c r="G9" s="53" t="inlineStr"/>
      <c r="H9" s="53" t="inlineStr">
        <is>
          <t>AP-1</t>
        </is>
      </c>
      <c r="I9" s="53" t="inlineStr">
        <is>
          <t>Diusberto Peña López</t>
        </is>
      </c>
    </row>
    <row r="10">
      <c r="A10" s="60" t="inlineStr">
        <is>
          <t>4</t>
        </is>
      </c>
      <c r="B10" s="61" t="inlineStr">
        <is>
          <t>Bloque</t>
        </is>
      </c>
      <c r="C10" s="61" t="inlineStr">
        <is>
          <t>Huancabamba</t>
        </is>
      </c>
      <c r="D10" s="61" t="inlineStr">
        <is>
          <t>Huarmaca</t>
        </is>
      </c>
      <c r="E10" s="62" t="n">
        <v>230.098</v>
      </c>
      <c r="F10" s="60" t="inlineStr">
        <is>
          <t>4</t>
        </is>
      </c>
      <c r="G10" s="61" t="inlineStr"/>
      <c r="H10" s="61" t="inlineStr">
        <is>
          <t>AP-5</t>
        </is>
      </c>
      <c r="I10" s="61" t="inlineStr">
        <is>
          <t>Eli Moisés Tocto Padilla</t>
        </is>
      </c>
    </row>
    <row r="11">
      <c r="A11" s="63" t="inlineStr">
        <is>
          <t>5</t>
        </is>
      </c>
      <c r="B11" s="53" t="inlineStr">
        <is>
          <t>Bloque</t>
        </is>
      </c>
      <c r="C11" s="53" t="inlineStr">
        <is>
          <t>Morropón</t>
        </is>
      </c>
      <c r="D11" s="53" t="inlineStr">
        <is>
          <t>Buenos Aires</t>
        </is>
      </c>
      <c r="E11" s="64" t="n">
        <v>295.726</v>
      </c>
      <c r="F11" s="63" t="inlineStr">
        <is>
          <t>5</t>
        </is>
      </c>
      <c r="G11" s="53" t="inlineStr"/>
      <c r="H11" s="53" t="inlineStr">
        <is>
          <t>AP-2</t>
        </is>
      </c>
      <c r="I11" s="53" t="inlineStr">
        <is>
          <t>Didier Lucrecio Salvador García</t>
        </is>
      </c>
    </row>
    <row r="12">
      <c r="A12" s="60" t="inlineStr">
        <is>
          <t>6</t>
        </is>
      </c>
      <c r="B12" s="61" t="inlineStr">
        <is>
          <t>Bloque</t>
        </is>
      </c>
      <c r="C12" s="61" t="inlineStr">
        <is>
          <t>Ayabaca</t>
        </is>
      </c>
      <c r="D12" s="61" t="inlineStr">
        <is>
          <t>Frías</t>
        </is>
      </c>
      <c r="E12" s="62" t="n">
        <v>168.411</v>
      </c>
      <c r="F12" s="60" t="inlineStr">
        <is>
          <t>6</t>
        </is>
      </c>
      <c r="G12" s="61" t="inlineStr"/>
      <c r="H12" s="61" t="inlineStr">
        <is>
          <t>AP-1</t>
        </is>
      </c>
      <c r="I12" s="61" t="inlineStr">
        <is>
          <t>Diusberto Peña López</t>
        </is>
      </c>
    </row>
    <row r="13">
      <c r="A13" s="63" t="inlineStr">
        <is>
          <t>8</t>
        </is>
      </c>
      <c r="B13" s="53" t="inlineStr">
        <is>
          <t>Bloque</t>
        </is>
      </c>
      <c r="C13" s="53" t="inlineStr">
        <is>
          <t>Huancabamba</t>
        </is>
      </c>
      <c r="D13" s="53" t="inlineStr">
        <is>
          <t>Huarmaca</t>
        </is>
      </c>
      <c r="E13" s="64" t="n">
        <v>126.952</v>
      </c>
      <c r="F13" s="63" t="inlineStr">
        <is>
          <t>8</t>
        </is>
      </c>
      <c r="G13" s="53" t="inlineStr"/>
      <c r="H13" s="53" t="inlineStr">
        <is>
          <t>AP-5</t>
        </is>
      </c>
      <c r="I13" s="53" t="inlineStr">
        <is>
          <t>Eli Moisés Tocto Padilla</t>
        </is>
      </c>
    </row>
    <row r="14">
      <c r="A14" s="60" t="inlineStr">
        <is>
          <t>9</t>
        </is>
      </c>
      <c r="B14" s="61" t="inlineStr">
        <is>
          <t>Bloque</t>
        </is>
      </c>
      <c r="C14" s="61" t="inlineStr">
        <is>
          <t>Huancabamba</t>
        </is>
      </c>
      <c r="D14" s="61" t="inlineStr">
        <is>
          <t>San Miguel de El Faique</t>
        </is>
      </c>
      <c r="E14" s="62" t="n">
        <v>109.861</v>
      </c>
      <c r="F14" s="60" t="inlineStr">
        <is>
          <t>9</t>
        </is>
      </c>
      <c r="G14" s="61" t="inlineStr"/>
      <c r="H14" s="61" t="inlineStr">
        <is>
          <t>AP-6</t>
        </is>
      </c>
      <c r="I14" s="61" t="inlineStr">
        <is>
          <t>Rubén García García</t>
        </is>
      </c>
    </row>
    <row r="15">
      <c r="A15" s="63" t="inlineStr">
        <is>
          <t>10</t>
        </is>
      </c>
      <c r="B15" s="53" t="inlineStr">
        <is>
          <t>Bloque</t>
        </is>
      </c>
      <c r="C15" s="53" t="inlineStr">
        <is>
          <t>Huancabamba</t>
        </is>
      </c>
      <c r="D15" s="53" t="inlineStr">
        <is>
          <t>Huarmaca</t>
        </is>
      </c>
      <c r="E15" s="64" t="n">
        <v>150.214</v>
      </c>
      <c r="F15" s="63" t="inlineStr">
        <is>
          <t>10</t>
        </is>
      </c>
      <c r="G15" s="53" t="inlineStr"/>
      <c r="H15" s="53" t="inlineStr">
        <is>
          <t>AP-5</t>
        </is>
      </c>
      <c r="I15" s="53" t="inlineStr">
        <is>
          <t>Eli Moisés Tocto Padilla</t>
        </is>
      </c>
    </row>
    <row r="16">
      <c r="A16" s="60" t="inlineStr">
        <is>
          <t>11</t>
        </is>
      </c>
      <c r="B16" s="61" t="inlineStr">
        <is>
          <t>Bloque</t>
        </is>
      </c>
      <c r="C16" s="61" t="inlineStr">
        <is>
          <t>Morropón</t>
        </is>
      </c>
      <c r="D16" s="61" t="inlineStr">
        <is>
          <t>Santo Domingo</t>
        </is>
      </c>
      <c r="E16" s="62" t="n">
        <v>103.948</v>
      </c>
      <c r="F16" s="60" t="inlineStr">
        <is>
          <t>11</t>
        </is>
      </c>
      <c r="G16" s="61" t="inlineStr"/>
      <c r="H16" s="61" t="inlineStr">
        <is>
          <t>AP-4</t>
        </is>
      </c>
      <c r="I16" s="61" t="inlineStr">
        <is>
          <t>Walter Córdova Córdova</t>
        </is>
      </c>
    </row>
    <row r="17">
      <c r="A17" s="63" t="inlineStr">
        <is>
          <t>12</t>
        </is>
      </c>
      <c r="B17" s="53" t="inlineStr">
        <is>
          <t>Bloque</t>
        </is>
      </c>
      <c r="C17" s="53" t="inlineStr">
        <is>
          <t>Morropón</t>
        </is>
      </c>
      <c r="D17" s="53" t="inlineStr">
        <is>
          <t>Santo Domingo</t>
        </is>
      </c>
      <c r="E17" s="64" t="n">
        <v>119.538</v>
      </c>
      <c r="F17" s="63" t="inlineStr">
        <is>
          <t>12</t>
        </is>
      </c>
      <c r="G17" s="53" t="inlineStr"/>
      <c r="H17" s="53" t="inlineStr">
        <is>
          <t>AP-4</t>
        </is>
      </c>
      <c r="I17" s="53" t="inlineStr">
        <is>
          <t>Walter Córdova Córdova</t>
        </is>
      </c>
    </row>
    <row r="18">
      <c r="A18" s="60" t="inlineStr">
        <is>
          <t>13</t>
        </is>
      </c>
      <c r="B18" s="61" t="inlineStr">
        <is>
          <t>Bloque</t>
        </is>
      </c>
      <c r="C18" s="61" t="inlineStr">
        <is>
          <t>Morropón</t>
        </is>
      </c>
      <c r="D18" s="61" t="inlineStr">
        <is>
          <t>Santo Domingo</t>
        </is>
      </c>
      <c r="E18" s="62" t="n">
        <v>100.514</v>
      </c>
      <c r="F18" s="60" t="inlineStr">
        <is>
          <t>13</t>
        </is>
      </c>
      <c r="G18" s="61" t="inlineStr"/>
      <c r="H18" s="61" t="inlineStr">
        <is>
          <t>AP-4</t>
        </is>
      </c>
      <c r="I18" s="61" t="inlineStr">
        <is>
          <t>Walter Córdova Córdova</t>
        </is>
      </c>
    </row>
    <row r="19">
      <c r="A19" s="63" t="inlineStr">
        <is>
          <t>14</t>
        </is>
      </c>
      <c r="B19" s="53" t="inlineStr">
        <is>
          <t>Bloque</t>
        </is>
      </c>
      <c r="C19" s="53" t="inlineStr">
        <is>
          <t>Morropón</t>
        </is>
      </c>
      <c r="D19" s="53" t="inlineStr">
        <is>
          <t>Santa Catalina de Mossa</t>
        </is>
      </c>
      <c r="E19" s="64" t="n">
        <v>92.905</v>
      </c>
      <c r="F19" s="63" t="inlineStr">
        <is>
          <t>14</t>
        </is>
      </c>
      <c r="G19" s="53" t="inlineStr"/>
      <c r="H19" s="53" t="inlineStr">
        <is>
          <t>AP-4</t>
        </is>
      </c>
      <c r="I19" s="53" t="inlineStr">
        <is>
          <t>Walter Córdova Córdova</t>
        </is>
      </c>
    </row>
    <row r="20">
      <c r="A20" s="60" t="inlineStr">
        <is>
          <t>15</t>
        </is>
      </c>
      <c r="B20" s="61" t="inlineStr">
        <is>
          <t>Bloque</t>
        </is>
      </c>
      <c r="C20" s="61" t="inlineStr">
        <is>
          <t>Morropón</t>
        </is>
      </c>
      <c r="D20" s="61" t="inlineStr">
        <is>
          <t>Santo Domingo</t>
        </is>
      </c>
      <c r="E20" s="62" t="n">
        <v>86.14700000000001</v>
      </c>
      <c r="F20" s="60" t="inlineStr">
        <is>
          <t>15</t>
        </is>
      </c>
      <c r="G20" s="61" t="inlineStr"/>
      <c r="H20" s="61" t="inlineStr">
        <is>
          <t>AP-4</t>
        </is>
      </c>
      <c r="I20" s="61" t="inlineStr">
        <is>
          <t>Walter Córdova Córdova</t>
        </is>
      </c>
    </row>
    <row r="21">
      <c r="A21" s="63" t="inlineStr">
        <is>
          <t>16</t>
        </is>
      </c>
      <c r="B21" s="53" t="inlineStr">
        <is>
          <t>Bloque</t>
        </is>
      </c>
      <c r="C21" s="53" t="inlineStr">
        <is>
          <t>Huancabamba</t>
        </is>
      </c>
      <c r="D21" s="53" t="inlineStr">
        <is>
          <t>Huarmaca</t>
        </is>
      </c>
      <c r="E21" s="64" t="n">
        <v>83.327</v>
      </c>
      <c r="F21" s="63" t="inlineStr">
        <is>
          <t>16</t>
        </is>
      </c>
      <c r="G21" s="53" t="inlineStr"/>
      <c r="H21" s="53" t="inlineStr">
        <is>
          <t>AP-5</t>
        </is>
      </c>
      <c r="I21" s="53" t="inlineStr">
        <is>
          <t>Eli Moisés Tocto Padilla</t>
        </is>
      </c>
    </row>
    <row r="22">
      <c r="A22" s="60" t="inlineStr">
        <is>
          <t>17</t>
        </is>
      </c>
      <c r="B22" s="61" t="inlineStr">
        <is>
          <t>Bloque</t>
        </is>
      </c>
      <c r="C22" s="61" t="inlineStr">
        <is>
          <t>Morropón</t>
        </is>
      </c>
      <c r="D22" s="61" t="inlineStr">
        <is>
          <t>Santo Domingo</t>
        </is>
      </c>
      <c r="E22" s="62" t="n">
        <v>96.07899999999999</v>
      </c>
      <c r="F22" s="60" t="inlineStr">
        <is>
          <t>17</t>
        </is>
      </c>
      <c r="G22" s="61" t="inlineStr"/>
      <c r="H22" s="61" t="inlineStr">
        <is>
          <t>AP-4</t>
        </is>
      </c>
      <c r="I22" s="61" t="inlineStr">
        <is>
          <t>Walter Córdova Córdova</t>
        </is>
      </c>
    </row>
    <row r="23">
      <c r="A23" s="63" t="inlineStr">
        <is>
          <t>18</t>
        </is>
      </c>
      <c r="B23" s="53" t="inlineStr">
        <is>
          <t>Bloque</t>
        </is>
      </c>
      <c r="C23" s="53" t="inlineStr">
        <is>
          <t>Huancabamba</t>
        </is>
      </c>
      <c r="D23" s="53" t="inlineStr">
        <is>
          <t>Huarmaca</t>
        </is>
      </c>
      <c r="E23" s="64" t="n">
        <v>103.617</v>
      </c>
      <c r="F23" s="63" t="inlineStr">
        <is>
          <t>18</t>
        </is>
      </c>
      <c r="G23" s="53" t="inlineStr"/>
      <c r="H23" s="53" t="inlineStr">
        <is>
          <t>AP-6</t>
        </is>
      </c>
      <c r="I23" s="53" t="inlineStr">
        <is>
          <t>Rubén García García</t>
        </is>
      </c>
    </row>
    <row r="24">
      <c r="A24" s="60" t="inlineStr">
        <is>
          <t>19</t>
        </is>
      </c>
      <c r="B24" s="61" t="inlineStr">
        <is>
          <t>Bloque</t>
        </is>
      </c>
      <c r="C24" s="61" t="inlineStr">
        <is>
          <t>Huancabamba</t>
        </is>
      </c>
      <c r="D24" s="61" t="inlineStr">
        <is>
          <t>Huarmaca</t>
        </is>
      </c>
      <c r="E24" s="62" t="n">
        <v>82.08799999999999</v>
      </c>
      <c r="F24" s="60" t="inlineStr">
        <is>
          <t>19</t>
        </is>
      </c>
      <c r="G24" s="61" t="inlineStr"/>
      <c r="H24" s="61" t="inlineStr">
        <is>
          <t>AP-6</t>
        </is>
      </c>
      <c r="I24" s="61" t="inlineStr">
        <is>
          <t>Rubén García García</t>
        </is>
      </c>
    </row>
    <row r="25">
      <c r="A25" s="63" t="inlineStr">
        <is>
          <t>20</t>
        </is>
      </c>
      <c r="B25" s="53" t="inlineStr">
        <is>
          <t>Bloque</t>
        </is>
      </c>
      <c r="C25" s="53" t="inlineStr">
        <is>
          <t>Huancabamba</t>
        </is>
      </c>
      <c r="D25" s="53" t="inlineStr">
        <is>
          <t>Huarmaca</t>
        </is>
      </c>
      <c r="E25" s="64" t="n">
        <v>81.334</v>
      </c>
      <c r="F25" s="63" t="inlineStr">
        <is>
          <t>20</t>
        </is>
      </c>
      <c r="G25" s="53" t="inlineStr"/>
      <c r="H25" s="53" t="inlineStr">
        <is>
          <t>AP-5</t>
        </is>
      </c>
      <c r="I25" s="53" t="inlineStr">
        <is>
          <t>Eli Moisés Tocto Padilla</t>
        </is>
      </c>
    </row>
    <row r="26">
      <c r="A26" s="60" t="inlineStr">
        <is>
          <t>21</t>
        </is>
      </c>
      <c r="B26" s="61" t="inlineStr">
        <is>
          <t>Bloque</t>
        </is>
      </c>
      <c r="C26" s="61" t="inlineStr">
        <is>
          <t>Huancabamba</t>
        </is>
      </c>
      <c r="D26" s="61" t="inlineStr">
        <is>
          <t>Canchaque</t>
        </is>
      </c>
      <c r="E26" s="62" t="n">
        <v>84.227</v>
      </c>
      <c r="F26" s="60" t="inlineStr">
        <is>
          <t>21</t>
        </is>
      </c>
      <c r="G26" s="61" t="inlineStr"/>
      <c r="H26" s="61" t="inlineStr">
        <is>
          <t>AP-5</t>
        </is>
      </c>
      <c r="I26" s="61" t="inlineStr">
        <is>
          <t>Eli Moisés Tocto Padilla</t>
        </is>
      </c>
    </row>
    <row r="27">
      <c r="A27" s="63" t="inlineStr">
        <is>
          <t>22</t>
        </is>
      </c>
      <c r="B27" s="53" t="inlineStr">
        <is>
          <t>Bloque</t>
        </is>
      </c>
      <c r="C27" s="53" t="inlineStr">
        <is>
          <t>Morropón</t>
        </is>
      </c>
      <c r="D27" s="53" t="inlineStr">
        <is>
          <t>Chulucanas</t>
        </is>
      </c>
      <c r="E27" s="64" t="n">
        <v>79.33</v>
      </c>
      <c r="F27" s="63" t="inlineStr">
        <is>
          <t>22</t>
        </is>
      </c>
      <c r="G27" s="53" t="inlineStr"/>
      <c r="H27" s="53" t="inlineStr">
        <is>
          <t>AP-1</t>
        </is>
      </c>
      <c r="I27" s="53" t="inlineStr">
        <is>
          <t>Diusberto Peña López</t>
        </is>
      </c>
    </row>
    <row r="28">
      <c r="A28" s="60" t="inlineStr">
        <is>
          <t>23</t>
        </is>
      </c>
      <c r="B28" s="61" t="inlineStr">
        <is>
          <t>Bloque</t>
        </is>
      </c>
      <c r="C28" s="61" t="inlineStr">
        <is>
          <t>Morropón</t>
        </is>
      </c>
      <c r="D28" s="61" t="inlineStr">
        <is>
          <t>Santo Domingo</t>
        </is>
      </c>
      <c r="E28" s="62" t="n">
        <v>81.776</v>
      </c>
      <c r="F28" s="60" t="inlineStr">
        <is>
          <t>23</t>
        </is>
      </c>
      <c r="G28" s="61" t="inlineStr"/>
      <c r="H28" s="61" t="inlineStr">
        <is>
          <t>AP-4</t>
        </is>
      </c>
      <c r="I28" s="61" t="inlineStr">
        <is>
          <t>Walter Córdova Córdova</t>
        </is>
      </c>
    </row>
    <row r="29">
      <c r="A29" s="63" t="inlineStr">
        <is>
          <t>24</t>
        </is>
      </c>
      <c r="B29" s="53" t="inlineStr">
        <is>
          <t>Bloque</t>
        </is>
      </c>
      <c r="C29" s="53" t="inlineStr">
        <is>
          <t>Huancabamba</t>
        </is>
      </c>
      <c r="D29" s="53" t="inlineStr">
        <is>
          <t>Canchaque</t>
        </is>
      </c>
      <c r="E29" s="64" t="n">
        <v>90.15900000000001</v>
      </c>
      <c r="F29" s="63" t="inlineStr">
        <is>
          <t>24</t>
        </is>
      </c>
      <c r="G29" s="53" t="inlineStr"/>
      <c r="H29" s="53" t="inlineStr">
        <is>
          <t>AP-5</t>
        </is>
      </c>
      <c r="I29" s="53" t="inlineStr">
        <is>
          <t>Eli Moisés Tocto Padilla</t>
        </is>
      </c>
    </row>
    <row r="30">
      <c r="A30" s="60" t="inlineStr">
        <is>
          <t>26</t>
        </is>
      </c>
      <c r="B30" s="61" t="inlineStr">
        <is>
          <t>Bloque</t>
        </is>
      </c>
      <c r="C30" s="61" t="inlineStr">
        <is>
          <t>Huancabamba</t>
        </is>
      </c>
      <c r="D30" s="61" t="inlineStr">
        <is>
          <t>Lalaquiz</t>
        </is>
      </c>
      <c r="E30" s="62" t="n">
        <v>46.962</v>
      </c>
      <c r="F30" s="60" t="inlineStr">
        <is>
          <t>26</t>
        </is>
      </c>
      <c r="G30" s="61" t="inlineStr"/>
      <c r="H30" s="61" t="inlineStr">
        <is>
          <t>PENDIENTE</t>
        </is>
      </c>
      <c r="I30" s="61" t="inlineStr">
        <is>
          <t>Por asignar (Lalaquiz)</t>
        </is>
      </c>
    </row>
    <row r="31">
      <c r="A31" s="63" t="inlineStr">
        <is>
          <t>27</t>
        </is>
      </c>
      <c r="B31" s="53" t="inlineStr">
        <is>
          <t>Bloque</t>
        </is>
      </c>
      <c r="C31" s="53" t="inlineStr">
        <is>
          <t>Ayabaca</t>
        </is>
      </c>
      <c r="D31" s="53" t="inlineStr">
        <is>
          <t>Frías</t>
        </is>
      </c>
      <c r="E31" s="64" t="n">
        <v>78.154</v>
      </c>
      <c r="F31" s="63" t="inlineStr">
        <is>
          <t>27</t>
        </is>
      </c>
      <c r="G31" s="53" t="inlineStr"/>
      <c r="H31" s="53" t="inlineStr">
        <is>
          <t>AP-1</t>
        </is>
      </c>
      <c r="I31" s="53" t="inlineStr">
        <is>
          <t>Diusberto Peña López</t>
        </is>
      </c>
    </row>
    <row r="32">
      <c r="A32" s="60" t="inlineStr">
        <is>
          <t>28</t>
        </is>
      </c>
      <c r="B32" s="61" t="inlineStr">
        <is>
          <t>Bloque</t>
        </is>
      </c>
      <c r="C32" s="61" t="inlineStr">
        <is>
          <t>Huancabamba</t>
        </is>
      </c>
      <c r="D32" s="61" t="inlineStr">
        <is>
          <t>Canchaque</t>
        </is>
      </c>
      <c r="E32" s="62" t="n">
        <v>52.966</v>
      </c>
      <c r="F32" s="60" t="inlineStr">
        <is>
          <t>28</t>
        </is>
      </c>
      <c r="G32" s="61" t="inlineStr"/>
      <c r="H32" s="61" t="inlineStr">
        <is>
          <t>AP-5</t>
        </is>
      </c>
      <c r="I32" s="61" t="inlineStr">
        <is>
          <t>Eli Moisés Tocto Padilla</t>
        </is>
      </c>
    </row>
    <row r="33">
      <c r="A33" s="63" t="inlineStr">
        <is>
          <t>30</t>
        </is>
      </c>
      <c r="B33" s="53" t="inlineStr">
        <is>
          <t>Bloque</t>
        </is>
      </c>
      <c r="C33" s="53" t="inlineStr">
        <is>
          <t>Huancabamba</t>
        </is>
      </c>
      <c r="D33" s="53" t="inlineStr">
        <is>
          <t>Canchaque</t>
        </is>
      </c>
      <c r="E33" s="64" t="n">
        <v>34.874</v>
      </c>
      <c r="F33" s="63" t="inlineStr">
        <is>
          <t>30</t>
        </is>
      </c>
      <c r="G33" s="53" t="inlineStr"/>
      <c r="H33" s="53" t="inlineStr">
        <is>
          <t>AP-5</t>
        </is>
      </c>
      <c r="I33" s="53" t="inlineStr">
        <is>
          <t>Eli Moisés Tocto Padilla</t>
        </is>
      </c>
    </row>
    <row r="34">
      <c r="A34" s="60" t="inlineStr">
        <is>
          <t>31</t>
        </is>
      </c>
      <c r="B34" s="61" t="inlineStr">
        <is>
          <t>Bloque</t>
        </is>
      </c>
      <c r="C34" s="61" t="inlineStr">
        <is>
          <t>Huancabamba</t>
        </is>
      </c>
      <c r="D34" s="61" t="inlineStr">
        <is>
          <t>Huarmaca</t>
        </is>
      </c>
      <c r="E34" s="62" t="n">
        <v>47.581</v>
      </c>
      <c r="F34" s="60" t="inlineStr">
        <is>
          <t>31</t>
        </is>
      </c>
      <c r="G34" s="61" t="inlineStr"/>
      <c r="H34" s="61" t="inlineStr">
        <is>
          <t>AP-6</t>
        </is>
      </c>
      <c r="I34" s="61" t="inlineStr">
        <is>
          <t>Rubén García García</t>
        </is>
      </c>
    </row>
    <row r="35">
      <c r="A35" s="63" t="inlineStr">
        <is>
          <t>34</t>
        </is>
      </c>
      <c r="B35" s="53" t="inlineStr">
        <is>
          <t>Bloque</t>
        </is>
      </c>
      <c r="C35" s="53" t="inlineStr">
        <is>
          <t>Huancabamba</t>
        </is>
      </c>
      <c r="D35" s="53" t="inlineStr">
        <is>
          <t>Lalaquiz</t>
        </is>
      </c>
      <c r="E35" s="64" t="n">
        <v>28.45</v>
      </c>
      <c r="F35" s="63" t="inlineStr">
        <is>
          <t>34</t>
        </is>
      </c>
      <c r="G35" s="53" t="inlineStr"/>
      <c r="H35" s="53" t="inlineStr">
        <is>
          <t>PENDIENTE</t>
        </is>
      </c>
      <c r="I35" s="53" t="inlineStr">
        <is>
          <t>Por asignar (Lalaquiz)</t>
        </is>
      </c>
    </row>
    <row r="36">
      <c r="A36" s="60" t="inlineStr">
        <is>
          <t>35</t>
        </is>
      </c>
      <c r="B36" s="61" t="inlineStr">
        <is>
          <t>Bloque</t>
        </is>
      </c>
      <c r="C36" s="61" t="inlineStr">
        <is>
          <t>Huancabamba</t>
        </is>
      </c>
      <c r="D36" s="61" t="inlineStr">
        <is>
          <t>San Miguel de El Faique</t>
        </is>
      </c>
      <c r="E36" s="62" t="n">
        <v>30.804</v>
      </c>
      <c r="F36" s="60" t="inlineStr">
        <is>
          <t>35</t>
        </is>
      </c>
      <c r="G36" s="61" t="inlineStr"/>
      <c r="H36" s="61" t="inlineStr">
        <is>
          <t>AP-6</t>
        </is>
      </c>
      <c r="I36" s="61" t="inlineStr">
        <is>
          <t>Rubén García García</t>
        </is>
      </c>
    </row>
    <row r="37">
      <c r="A37" s="63" t="inlineStr">
        <is>
          <t>36</t>
        </is>
      </c>
      <c r="B37" s="53" t="inlineStr">
        <is>
          <t>Bloque</t>
        </is>
      </c>
      <c r="C37" s="53" t="inlineStr">
        <is>
          <t>Ayabaca</t>
        </is>
      </c>
      <c r="D37" s="53" t="inlineStr">
        <is>
          <t>Frías</t>
        </is>
      </c>
      <c r="E37" s="64" t="n">
        <v>24.843</v>
      </c>
      <c r="F37" s="63" t="inlineStr">
        <is>
          <t>36</t>
        </is>
      </c>
      <c r="G37" s="53" t="inlineStr"/>
      <c r="H37" s="53" t="inlineStr">
        <is>
          <t>AP-1</t>
        </is>
      </c>
      <c r="I37" s="53" t="inlineStr">
        <is>
          <t>Diusberto Peña López</t>
        </is>
      </c>
    </row>
    <row r="38">
      <c r="A38" s="60" t="inlineStr">
        <is>
          <t>37</t>
        </is>
      </c>
      <c r="B38" s="61" t="inlineStr">
        <is>
          <t>Bloque</t>
        </is>
      </c>
      <c r="C38" s="61" t="inlineStr">
        <is>
          <t>Huancabamba</t>
        </is>
      </c>
      <c r="D38" s="61" t="inlineStr">
        <is>
          <t>Lalaquiz</t>
        </is>
      </c>
      <c r="E38" s="62" t="n">
        <v>35.491</v>
      </c>
      <c r="F38" s="60" t="inlineStr">
        <is>
          <t>37</t>
        </is>
      </c>
      <c r="G38" s="61" t="inlineStr"/>
      <c r="H38" s="61" t="inlineStr">
        <is>
          <t>PENDIENTE</t>
        </is>
      </c>
      <c r="I38" s="61" t="inlineStr">
        <is>
          <t>Por asignar (Lalaquiz)</t>
        </is>
      </c>
    </row>
    <row r="39">
      <c r="A39" s="63" t="inlineStr">
        <is>
          <t>38</t>
        </is>
      </c>
      <c r="B39" s="53" t="inlineStr">
        <is>
          <t>Bloque</t>
        </is>
      </c>
      <c r="C39" s="53" t="inlineStr">
        <is>
          <t>Huancabamba</t>
        </is>
      </c>
      <c r="D39" s="53" t="inlineStr">
        <is>
          <t>Lalaquiz</t>
        </is>
      </c>
      <c r="E39" s="64" t="n">
        <v>44.201</v>
      </c>
      <c r="F39" s="63" t="inlineStr">
        <is>
          <t>38</t>
        </is>
      </c>
      <c r="G39" s="53" t="inlineStr"/>
      <c r="H39" s="53" t="inlineStr">
        <is>
          <t>PENDIENTE</t>
        </is>
      </c>
      <c r="I39" s="53" t="inlineStr">
        <is>
          <t>Por asignar (Lalaquiz)</t>
        </is>
      </c>
    </row>
    <row r="40">
      <c r="A40" s="60" t="inlineStr">
        <is>
          <t>39</t>
        </is>
      </c>
      <c r="B40" s="61" t="inlineStr">
        <is>
          <t>Bloque</t>
        </is>
      </c>
      <c r="C40" s="61" t="inlineStr">
        <is>
          <t>Ayabaca</t>
        </is>
      </c>
      <c r="D40" s="61" t="inlineStr">
        <is>
          <t>Frías</t>
        </is>
      </c>
      <c r="E40" s="62" t="n">
        <v>68.569</v>
      </c>
      <c r="F40" s="60" t="inlineStr">
        <is>
          <t>39</t>
        </is>
      </c>
      <c r="G40" s="61" t="inlineStr"/>
      <c r="H40" s="61" t="inlineStr">
        <is>
          <t>AP-1</t>
        </is>
      </c>
      <c r="I40" s="61" t="inlineStr">
        <is>
          <t>Diusberto Peña López</t>
        </is>
      </c>
    </row>
    <row r="41">
      <c r="A41" s="63" t="inlineStr">
        <is>
          <t>40</t>
        </is>
      </c>
      <c r="B41" s="53" t="inlineStr">
        <is>
          <t>Bloque</t>
        </is>
      </c>
      <c r="C41" s="53" t="inlineStr">
        <is>
          <t>Huancabamba</t>
        </is>
      </c>
      <c r="D41" s="53" t="inlineStr">
        <is>
          <t>Canchaque</t>
        </is>
      </c>
      <c r="E41" s="64" t="n">
        <v>28.523</v>
      </c>
      <c r="F41" s="63" t="inlineStr">
        <is>
          <t>40</t>
        </is>
      </c>
      <c r="G41" s="53" t="inlineStr"/>
      <c r="H41" s="53" t="inlineStr">
        <is>
          <t>AP-5</t>
        </is>
      </c>
      <c r="I41" s="53" t="inlineStr">
        <is>
          <t>Eli Moisés Tocto Padilla</t>
        </is>
      </c>
    </row>
    <row r="42">
      <c r="A42" s="60" t="inlineStr">
        <is>
          <t>41</t>
        </is>
      </c>
      <c r="B42" s="61" t="inlineStr">
        <is>
          <t>Bloque</t>
        </is>
      </c>
      <c r="C42" s="61" t="inlineStr">
        <is>
          <t>Huancabamba</t>
        </is>
      </c>
      <c r="D42" s="61" t="inlineStr">
        <is>
          <t>Huarmaca</t>
        </is>
      </c>
      <c r="E42" s="62" t="n">
        <v>64.923</v>
      </c>
      <c r="F42" s="60" t="inlineStr">
        <is>
          <t>41</t>
        </is>
      </c>
      <c r="G42" s="61" t="inlineStr"/>
      <c r="H42" s="61" t="inlineStr">
        <is>
          <t>AP-6</t>
        </is>
      </c>
      <c r="I42" s="61" t="inlineStr">
        <is>
          <t>Rubén García García</t>
        </is>
      </c>
    </row>
    <row r="43">
      <c r="A43" s="63" t="inlineStr">
        <is>
          <t>42</t>
        </is>
      </c>
      <c r="B43" s="53" t="inlineStr">
        <is>
          <t>Bloque</t>
        </is>
      </c>
      <c r="C43" s="53" t="inlineStr">
        <is>
          <t>Morropón</t>
        </is>
      </c>
      <c r="D43" s="53" t="inlineStr">
        <is>
          <t>Santa Catalina de Mossa</t>
        </is>
      </c>
      <c r="E43" s="64" t="n">
        <v>80.616</v>
      </c>
      <c r="F43" s="63" t="inlineStr">
        <is>
          <t>42</t>
        </is>
      </c>
      <c r="G43" s="53" t="inlineStr"/>
      <c r="H43" s="53" t="inlineStr">
        <is>
          <t>AP-4</t>
        </is>
      </c>
      <c r="I43" s="53" t="inlineStr">
        <is>
          <t>Walter Córdova Córdova</t>
        </is>
      </c>
    </row>
    <row r="44">
      <c r="A44" s="60" t="inlineStr">
        <is>
          <t>43</t>
        </is>
      </c>
      <c r="B44" s="61" t="inlineStr">
        <is>
          <t>Bloque</t>
        </is>
      </c>
      <c r="C44" s="61" t="inlineStr">
        <is>
          <t>Huancabamba</t>
        </is>
      </c>
      <c r="D44" s="61" t="inlineStr">
        <is>
          <t>San Miguel de El Faique</t>
        </is>
      </c>
      <c r="E44" s="62" t="n">
        <v>23.171</v>
      </c>
      <c r="F44" s="60" t="inlineStr">
        <is>
          <t>43</t>
        </is>
      </c>
      <c r="G44" s="61" t="inlineStr"/>
      <c r="H44" s="61" t="inlineStr">
        <is>
          <t>AP-6</t>
        </is>
      </c>
      <c r="I44" s="61" t="inlineStr">
        <is>
          <t>Rubén García García</t>
        </is>
      </c>
    </row>
    <row r="45">
      <c r="A45" s="63" t="inlineStr">
        <is>
          <t>44</t>
        </is>
      </c>
      <c r="B45" s="53" t="inlineStr">
        <is>
          <t>Bloque</t>
        </is>
      </c>
      <c r="C45" s="53" t="inlineStr">
        <is>
          <t>Huancabamba</t>
        </is>
      </c>
      <c r="D45" s="53" t="inlineStr">
        <is>
          <t>San Miguel de El Faique</t>
        </is>
      </c>
      <c r="E45" s="64" t="n">
        <v>28.234</v>
      </c>
      <c r="F45" s="63" t="inlineStr">
        <is>
          <t>44</t>
        </is>
      </c>
      <c r="G45" s="53" t="inlineStr"/>
      <c r="H45" s="53" t="inlineStr">
        <is>
          <t>AP-6</t>
        </is>
      </c>
      <c r="I45" s="53" t="inlineStr">
        <is>
          <t>Rubén García García</t>
        </is>
      </c>
    </row>
    <row r="46">
      <c r="A46" s="60" t="inlineStr">
        <is>
          <t>47</t>
        </is>
      </c>
      <c r="B46" s="61" t="inlineStr">
        <is>
          <t>Bloque</t>
        </is>
      </c>
      <c r="C46" s="61" t="inlineStr">
        <is>
          <t>Huancabamba</t>
        </is>
      </c>
      <c r="D46" s="61" t="inlineStr">
        <is>
          <t>San Miguel de El Faique</t>
        </is>
      </c>
      <c r="E46" s="62" t="n">
        <v>13.551</v>
      </c>
      <c r="F46" s="60" t="inlineStr">
        <is>
          <t>47</t>
        </is>
      </c>
      <c r="G46" s="61" t="inlineStr"/>
      <c r="H46" s="61" t="inlineStr">
        <is>
          <t>AP-6</t>
        </is>
      </c>
      <c r="I46" s="61" t="inlineStr">
        <is>
          <t>Rubén García García</t>
        </is>
      </c>
    </row>
    <row r="47">
      <c r="A47" s="63" t="inlineStr">
        <is>
          <t>49</t>
        </is>
      </c>
      <c r="B47" s="53" t="inlineStr">
        <is>
          <t>Bloque</t>
        </is>
      </c>
      <c r="C47" s="53" t="inlineStr">
        <is>
          <t>Morropón</t>
        </is>
      </c>
      <c r="D47" s="53" t="inlineStr">
        <is>
          <t>Yamango</t>
        </is>
      </c>
      <c r="E47" s="64" t="n">
        <v>15.839</v>
      </c>
      <c r="F47" s="63" t="inlineStr">
        <is>
          <t>49</t>
        </is>
      </c>
      <c r="G47" s="53" t="inlineStr"/>
      <c r="H47" s="53" t="inlineStr">
        <is>
          <t>AP-3</t>
        </is>
      </c>
      <c r="I47" s="53" t="inlineStr">
        <is>
          <t>Miguel Ángel López Maza</t>
        </is>
      </c>
    </row>
    <row r="48">
      <c r="A48" s="60" t="inlineStr">
        <is>
          <t>50</t>
        </is>
      </c>
      <c r="B48" s="61" t="inlineStr">
        <is>
          <t>Bloque</t>
        </is>
      </c>
      <c r="C48" s="61" t="inlineStr">
        <is>
          <t>Huancabamba</t>
        </is>
      </c>
      <c r="D48" s="61" t="inlineStr">
        <is>
          <t>Lalaquiz</t>
        </is>
      </c>
      <c r="E48" s="62" t="n">
        <v>19.266</v>
      </c>
      <c r="F48" s="60" t="inlineStr">
        <is>
          <t>50</t>
        </is>
      </c>
      <c r="G48" s="61" t="inlineStr"/>
      <c r="H48" s="61" t="inlineStr">
        <is>
          <t>PENDIENTE</t>
        </is>
      </c>
      <c r="I48" s="61" t="inlineStr">
        <is>
          <t>Por asignar (Lalaquiz)</t>
        </is>
      </c>
    </row>
    <row r="49">
      <c r="A49" s="63" t="inlineStr">
        <is>
          <t>51</t>
        </is>
      </c>
      <c r="B49" s="53" t="inlineStr">
        <is>
          <t>Bloque</t>
        </is>
      </c>
      <c r="C49" s="53" t="inlineStr">
        <is>
          <t>Huancabamba</t>
        </is>
      </c>
      <c r="D49" s="53" t="inlineStr">
        <is>
          <t>Huarmaca</t>
        </is>
      </c>
      <c r="E49" s="64" t="n">
        <v>22.927</v>
      </c>
      <c r="F49" s="63" t="inlineStr">
        <is>
          <t>51</t>
        </is>
      </c>
      <c r="G49" s="53" t="inlineStr"/>
      <c r="H49" s="53" t="inlineStr">
        <is>
          <t>AP-5</t>
        </is>
      </c>
      <c r="I49" s="53" t="inlineStr">
        <is>
          <t>Eli Moisés Tocto Padilla</t>
        </is>
      </c>
    </row>
    <row r="50">
      <c r="A50" s="60" t="inlineStr">
        <is>
          <t>52</t>
        </is>
      </c>
      <c r="B50" s="61" t="inlineStr">
        <is>
          <t>Bloque</t>
        </is>
      </c>
      <c r="C50" s="61" t="inlineStr">
        <is>
          <t>Morropón</t>
        </is>
      </c>
      <c r="D50" s="61" t="inlineStr">
        <is>
          <t>Yamango</t>
        </is>
      </c>
      <c r="E50" s="62" t="n">
        <v>11.059</v>
      </c>
      <c r="F50" s="60" t="inlineStr">
        <is>
          <t>52</t>
        </is>
      </c>
      <c r="G50" s="61" t="inlineStr"/>
      <c r="H50" s="61" t="inlineStr">
        <is>
          <t>AP-3</t>
        </is>
      </c>
      <c r="I50" s="61" t="inlineStr">
        <is>
          <t>Miguel Ángel López Maza</t>
        </is>
      </c>
    </row>
    <row r="51">
      <c r="A51" s="63" t="inlineStr">
        <is>
          <t>53</t>
        </is>
      </c>
      <c r="B51" s="53" t="inlineStr">
        <is>
          <t>Bloque</t>
        </is>
      </c>
      <c r="C51" s="53" t="inlineStr">
        <is>
          <t>Huancabamba</t>
        </is>
      </c>
      <c r="D51" s="53" t="inlineStr">
        <is>
          <t>Huarmaca</t>
        </is>
      </c>
      <c r="E51" s="64" t="n">
        <v>13.065</v>
      </c>
      <c r="F51" s="63" t="inlineStr">
        <is>
          <t>53</t>
        </is>
      </c>
      <c r="G51" s="53" t="inlineStr"/>
      <c r="H51" s="53" t="inlineStr">
        <is>
          <t>AP-6</t>
        </is>
      </c>
      <c r="I51" s="53" t="inlineStr">
        <is>
          <t>Rubén García García</t>
        </is>
      </c>
    </row>
    <row r="52">
      <c r="A52" s="60" t="inlineStr">
        <is>
          <t>55</t>
        </is>
      </c>
      <c r="B52" s="61" t="inlineStr">
        <is>
          <t>Bloque</t>
        </is>
      </c>
      <c r="C52" s="61" t="inlineStr">
        <is>
          <t>Morropón</t>
        </is>
      </c>
      <c r="D52" s="61" t="inlineStr">
        <is>
          <t>Yamango</t>
        </is>
      </c>
      <c r="E52" s="62" t="n">
        <v>0.859</v>
      </c>
      <c r="F52" s="60" t="inlineStr">
        <is>
          <t>55</t>
        </is>
      </c>
      <c r="G52" s="61" t="inlineStr"/>
      <c r="H52" s="61" t="inlineStr">
        <is>
          <t>AP-3</t>
        </is>
      </c>
      <c r="I52" s="61" t="inlineStr">
        <is>
          <t>Miguel Ángel López Maza</t>
        </is>
      </c>
    </row>
    <row r="53">
      <c r="A53" s="63" t="inlineStr">
        <is>
          <t>56</t>
        </is>
      </c>
      <c r="B53" s="53" t="inlineStr">
        <is>
          <t>Bloque</t>
        </is>
      </c>
      <c r="C53" s="53" t="inlineStr">
        <is>
          <t>Ayabaca</t>
        </is>
      </c>
      <c r="D53" s="53" t="inlineStr">
        <is>
          <t>Frías</t>
        </is>
      </c>
      <c r="E53" s="64" t="n">
        <v>77.666</v>
      </c>
      <c r="F53" s="63" t="inlineStr">
        <is>
          <t>56</t>
        </is>
      </c>
      <c r="G53" s="53" t="inlineStr"/>
      <c r="H53" s="53" t="inlineStr">
        <is>
          <t>AP-1</t>
        </is>
      </c>
      <c r="I53" s="53" t="inlineStr">
        <is>
          <t>Diusberto Peña López</t>
        </is>
      </c>
    </row>
    <row r="54">
      <c r="A54" s="60" t="inlineStr">
        <is>
          <t>57</t>
        </is>
      </c>
      <c r="B54" s="61" t="inlineStr">
        <is>
          <t>Bloque</t>
        </is>
      </c>
      <c r="C54" s="61" t="inlineStr">
        <is>
          <t>Morropón</t>
        </is>
      </c>
      <c r="D54" s="61" t="inlineStr">
        <is>
          <t>Chalaco</t>
        </is>
      </c>
      <c r="E54" s="62" t="n">
        <v>25.668</v>
      </c>
      <c r="F54" s="60" t="inlineStr">
        <is>
          <t>57</t>
        </is>
      </c>
      <c r="G54" s="61" t="inlineStr"/>
      <c r="H54" s="61" t="inlineStr">
        <is>
          <t>AP-4</t>
        </is>
      </c>
      <c r="I54" s="61" t="inlineStr">
        <is>
          <t>Walter Córdova Córdova</t>
        </is>
      </c>
    </row>
    <row r="55">
      <c r="A55" s="63" t="inlineStr">
        <is>
          <t>58</t>
        </is>
      </c>
      <c r="B55" s="53" t="inlineStr">
        <is>
          <t>Bloque</t>
        </is>
      </c>
      <c r="C55" s="53" t="inlineStr">
        <is>
          <t>Morropón</t>
        </is>
      </c>
      <c r="D55" s="53" t="inlineStr">
        <is>
          <t>Santa Catalina de Mossa</t>
        </is>
      </c>
      <c r="E55" s="64" t="n">
        <v>11.475</v>
      </c>
      <c r="F55" s="63" t="inlineStr">
        <is>
          <t>58</t>
        </is>
      </c>
      <c r="G55" s="53" t="inlineStr"/>
      <c r="H55" s="53" t="inlineStr">
        <is>
          <t>AP-4</t>
        </is>
      </c>
      <c r="I55" s="53" t="inlineStr">
        <is>
          <t>Walter Córdova Córdova</t>
        </is>
      </c>
    </row>
    <row r="56">
      <c r="A56" s="60" t="inlineStr">
        <is>
          <t>59</t>
        </is>
      </c>
      <c r="B56" s="61" t="inlineStr">
        <is>
          <t>Bloque</t>
        </is>
      </c>
      <c r="C56" s="61" t="inlineStr">
        <is>
          <t>Morropón</t>
        </is>
      </c>
      <c r="D56" s="61" t="inlineStr">
        <is>
          <t>Chalaco</t>
        </is>
      </c>
      <c r="E56" s="62" t="n">
        <v>13.554</v>
      </c>
      <c r="F56" s="60" t="inlineStr">
        <is>
          <t>59</t>
        </is>
      </c>
      <c r="G56" s="61" t="inlineStr"/>
      <c r="H56" s="61" t="inlineStr">
        <is>
          <t>AP-4</t>
        </is>
      </c>
      <c r="I56" s="61" t="inlineStr">
        <is>
          <t>Walter Córdova Córdova</t>
        </is>
      </c>
    </row>
    <row r="57">
      <c r="A57" s="63" t="inlineStr">
        <is>
          <t>60</t>
        </is>
      </c>
      <c r="B57" s="53" t="inlineStr">
        <is>
          <t>Bloque</t>
        </is>
      </c>
      <c r="C57" s="53" t="inlineStr">
        <is>
          <t>Huancabamba</t>
        </is>
      </c>
      <c r="D57" s="53" t="inlineStr">
        <is>
          <t>Canchaque</t>
        </is>
      </c>
      <c r="E57" s="64" t="n">
        <v>40.132</v>
      </c>
      <c r="F57" s="63" t="inlineStr">
        <is>
          <t>60</t>
        </is>
      </c>
      <c r="G57" s="53" t="inlineStr"/>
      <c r="H57" s="53" t="inlineStr">
        <is>
          <t>AP-5</t>
        </is>
      </c>
      <c r="I57" s="53" t="inlineStr">
        <is>
          <t>Eli Moisés Tocto Padilla</t>
        </is>
      </c>
    </row>
    <row r="58">
      <c r="A58" s="60" t="inlineStr">
        <is>
          <t>61</t>
        </is>
      </c>
      <c r="B58" s="61" t="inlineStr">
        <is>
          <t>Bloque</t>
        </is>
      </c>
      <c r="C58" s="61" t="inlineStr">
        <is>
          <t>Huancabamba</t>
        </is>
      </c>
      <c r="D58" s="61" t="inlineStr">
        <is>
          <t>Lalaquiz</t>
        </is>
      </c>
      <c r="E58" s="62" t="n">
        <v>26.826</v>
      </c>
      <c r="F58" s="60" t="inlineStr">
        <is>
          <t>61</t>
        </is>
      </c>
      <c r="G58" s="61" t="inlineStr"/>
      <c r="H58" s="61" t="inlineStr">
        <is>
          <t>PENDIENTE</t>
        </is>
      </c>
      <c r="I58" s="61" t="inlineStr">
        <is>
          <t>Por asignar (Lalaquiz)</t>
        </is>
      </c>
    </row>
    <row r="59">
      <c r="A59" s="63" t="inlineStr">
        <is>
          <t>63</t>
        </is>
      </c>
      <c r="B59" s="53" t="inlineStr">
        <is>
          <t>Bloque</t>
        </is>
      </c>
      <c r="C59" s="53" t="inlineStr">
        <is>
          <t>Huancabamba</t>
        </is>
      </c>
      <c r="D59" s="53" t="inlineStr">
        <is>
          <t>Canchaque</t>
        </is>
      </c>
      <c r="E59" s="64" t="n">
        <v>50.459</v>
      </c>
      <c r="F59" s="63" t="inlineStr">
        <is>
          <t>63</t>
        </is>
      </c>
      <c r="G59" s="53" t="inlineStr"/>
      <c r="H59" s="53" t="inlineStr">
        <is>
          <t>AP-5</t>
        </is>
      </c>
      <c r="I59" s="53" t="inlineStr">
        <is>
          <t>Eli Moisés Tocto Padilla</t>
        </is>
      </c>
    </row>
    <row r="60">
      <c r="A60" s="60" t="inlineStr">
        <is>
          <t>64</t>
        </is>
      </c>
      <c r="B60" s="61" t="inlineStr">
        <is>
          <t>Bloque</t>
        </is>
      </c>
      <c r="C60" s="61" t="inlineStr">
        <is>
          <t>Huancabamba</t>
        </is>
      </c>
      <c r="D60" s="61" t="inlineStr">
        <is>
          <t>Huancabamba</t>
        </is>
      </c>
      <c r="E60" s="62" t="n">
        <v>35.774</v>
      </c>
      <c r="F60" s="60" t="inlineStr">
        <is>
          <t>64</t>
        </is>
      </c>
      <c r="G60" s="61" t="inlineStr"/>
      <c r="H60" s="61" t="inlineStr">
        <is>
          <t>AP-5</t>
        </is>
      </c>
      <c r="I60" s="61" t="inlineStr">
        <is>
          <t>Eli Moisés Tocto Padilla</t>
        </is>
      </c>
    </row>
    <row r="61">
      <c r="A61" s="63" t="inlineStr">
        <is>
          <t>66</t>
        </is>
      </c>
      <c r="B61" s="53" t="inlineStr">
        <is>
          <t>Bloque</t>
        </is>
      </c>
      <c r="C61" s="53" t="inlineStr">
        <is>
          <t>Huancabamba</t>
        </is>
      </c>
      <c r="D61" s="53" t="inlineStr">
        <is>
          <t>Canchaque</t>
        </is>
      </c>
      <c r="E61" s="64" t="n">
        <v>102.335</v>
      </c>
      <c r="F61" s="63" t="inlineStr">
        <is>
          <t>66</t>
        </is>
      </c>
      <c r="G61" s="53" t="inlineStr"/>
      <c r="H61" s="53" t="inlineStr">
        <is>
          <t>AP-5</t>
        </is>
      </c>
      <c r="I61" s="53" t="inlineStr">
        <is>
          <t>Eli Moisés Tocto Padilla</t>
        </is>
      </c>
    </row>
    <row r="62">
      <c r="A62" s="60" t="inlineStr">
        <is>
          <t>67</t>
        </is>
      </c>
      <c r="B62" s="61" t="inlineStr">
        <is>
          <t>Bloque</t>
        </is>
      </c>
      <c r="C62" s="61" t="inlineStr">
        <is>
          <t>Huancabamba</t>
        </is>
      </c>
      <c r="D62" s="61" t="inlineStr">
        <is>
          <t>San Miguel de El Faique</t>
        </is>
      </c>
      <c r="E62" s="62" t="n">
        <v>13.184</v>
      </c>
      <c r="F62" s="60" t="inlineStr">
        <is>
          <t>67</t>
        </is>
      </c>
      <c r="G62" s="61" t="inlineStr"/>
      <c r="H62" s="61" t="inlineStr">
        <is>
          <t>AP-6</t>
        </is>
      </c>
      <c r="I62" s="61" t="inlineStr">
        <is>
          <t>Rubén García García</t>
        </is>
      </c>
    </row>
    <row r="63">
      <c r="A63" s="63" t="inlineStr">
        <is>
          <t>69</t>
        </is>
      </c>
      <c r="B63" s="53" t="inlineStr">
        <is>
          <t>Bloque</t>
        </is>
      </c>
      <c r="C63" s="53" t="inlineStr">
        <is>
          <t>Huancabamba</t>
        </is>
      </c>
      <c r="D63" s="53" t="inlineStr">
        <is>
          <t>Huarmaca</t>
        </is>
      </c>
      <c r="E63" s="64" t="n">
        <v>19.425</v>
      </c>
      <c r="F63" s="63" t="inlineStr">
        <is>
          <t>69</t>
        </is>
      </c>
      <c r="G63" s="53" t="inlineStr"/>
      <c r="H63" s="53" t="inlineStr">
        <is>
          <t>AP-6</t>
        </is>
      </c>
      <c r="I63" s="53" t="inlineStr">
        <is>
          <t>Rubén García García</t>
        </is>
      </c>
    </row>
    <row r="64">
      <c r="A64" s="60" t="inlineStr">
        <is>
          <t>70</t>
        </is>
      </c>
      <c r="B64" s="61" t="inlineStr">
        <is>
          <t>Bloque</t>
        </is>
      </c>
      <c r="C64" s="61" t="inlineStr">
        <is>
          <t>Huancabamba</t>
        </is>
      </c>
      <c r="D64" s="61" t="inlineStr">
        <is>
          <t>Huarmaca</t>
        </is>
      </c>
      <c r="E64" s="62" t="n">
        <v>22.388</v>
      </c>
      <c r="F64" s="60" t="inlineStr">
        <is>
          <t>70</t>
        </is>
      </c>
      <c r="G64" s="61" t="inlineStr"/>
      <c r="H64" s="61" t="inlineStr">
        <is>
          <t>AP-6</t>
        </is>
      </c>
      <c r="I64" s="61" t="inlineStr">
        <is>
          <t>Rubén García García</t>
        </is>
      </c>
    </row>
    <row r="65">
      <c r="A65" s="63" t="inlineStr">
        <is>
          <t>71</t>
        </is>
      </c>
      <c r="B65" s="53" t="inlineStr">
        <is>
          <t>Bloque</t>
        </is>
      </c>
      <c r="C65" s="53" t="inlineStr">
        <is>
          <t>Huancabamba</t>
        </is>
      </c>
      <c r="D65" s="53" t="inlineStr">
        <is>
          <t>Huarmaca</t>
        </is>
      </c>
      <c r="E65" s="64" t="n">
        <v>10.673</v>
      </c>
      <c r="F65" s="63" t="inlineStr">
        <is>
          <t>71</t>
        </is>
      </c>
      <c r="G65" s="53" t="inlineStr"/>
      <c r="H65" s="53" t="inlineStr">
        <is>
          <t>AP-5</t>
        </is>
      </c>
      <c r="I65" s="53" t="inlineStr">
        <is>
          <t>Eli Moisés Tocto Padilla</t>
        </is>
      </c>
    </row>
    <row r="66">
      <c r="A66" s="60" t="inlineStr">
        <is>
          <t>72</t>
        </is>
      </c>
      <c r="B66" s="61" t="inlineStr">
        <is>
          <t>Bloque</t>
        </is>
      </c>
      <c r="C66" s="61" t="inlineStr">
        <is>
          <t>Huancabamba</t>
        </is>
      </c>
      <c r="D66" s="61" t="inlineStr">
        <is>
          <t>Huarmaca</t>
        </is>
      </c>
      <c r="E66" s="62" t="n">
        <v>12.398</v>
      </c>
      <c r="F66" s="60" t="inlineStr">
        <is>
          <t>72</t>
        </is>
      </c>
      <c r="G66" s="61" t="inlineStr"/>
      <c r="H66" s="61" t="inlineStr">
        <is>
          <t>AP-6</t>
        </is>
      </c>
      <c r="I66" s="61" t="inlineStr">
        <is>
          <t>Rubén García García</t>
        </is>
      </c>
    </row>
    <row r="67">
      <c r="A67" s="63" t="inlineStr">
        <is>
          <t>73</t>
        </is>
      </c>
      <c r="B67" s="53" t="inlineStr">
        <is>
          <t>Bloque</t>
        </is>
      </c>
      <c r="C67" s="53" t="inlineStr">
        <is>
          <t>Huancabamba</t>
        </is>
      </c>
      <c r="D67" s="53" t="inlineStr">
        <is>
          <t>Huarmaca</t>
        </is>
      </c>
      <c r="E67" s="64" t="n">
        <v>54.29</v>
      </c>
      <c r="F67" s="63" t="inlineStr">
        <is>
          <t>73</t>
        </is>
      </c>
      <c r="G67" s="53" t="inlineStr"/>
      <c r="H67" s="53" t="inlineStr">
        <is>
          <t>AP-6</t>
        </is>
      </c>
      <c r="I67" s="53" t="inlineStr">
        <is>
          <t>Rubén García García</t>
        </is>
      </c>
    </row>
    <row r="68">
      <c r="A68" s="60" t="inlineStr">
        <is>
          <t>76</t>
        </is>
      </c>
      <c r="B68" s="61" t="inlineStr">
        <is>
          <t>Bloque</t>
        </is>
      </c>
      <c r="C68" s="61" t="inlineStr">
        <is>
          <t>Huancabamba</t>
        </is>
      </c>
      <c r="D68" s="61" t="inlineStr">
        <is>
          <t>Huarmaca</t>
        </is>
      </c>
      <c r="E68" s="62" t="n">
        <v>19.615</v>
      </c>
      <c r="F68" s="60" t="inlineStr">
        <is>
          <t>76</t>
        </is>
      </c>
      <c r="G68" s="61" t="inlineStr"/>
      <c r="H68" s="61" t="inlineStr">
        <is>
          <t>AP-5</t>
        </is>
      </c>
      <c r="I68" s="61" t="inlineStr">
        <is>
          <t>Eli Moisés Tocto Padilla</t>
        </is>
      </c>
    </row>
    <row r="69">
      <c r="A69" s="63" t="inlineStr">
        <is>
          <t>77</t>
        </is>
      </c>
      <c r="B69" s="53" t="inlineStr">
        <is>
          <t>Bloque</t>
        </is>
      </c>
      <c r="C69" s="53" t="inlineStr">
        <is>
          <t>Morropón</t>
        </is>
      </c>
      <c r="D69" s="53" t="inlineStr">
        <is>
          <t>San Juan de Bigote</t>
        </is>
      </c>
      <c r="E69" s="64" t="n">
        <v>17.821</v>
      </c>
      <c r="F69" s="63" t="inlineStr">
        <is>
          <t>77</t>
        </is>
      </c>
      <c r="G69" s="53" t="inlineStr"/>
      <c r="H69" s="53" t="inlineStr">
        <is>
          <t>AP-2</t>
        </is>
      </c>
      <c r="I69" s="53" t="inlineStr">
        <is>
          <t>Didier Lucrecio Salvador García</t>
        </is>
      </c>
    </row>
    <row r="70">
      <c r="A70" s="60" t="inlineStr">
        <is>
          <t>78</t>
        </is>
      </c>
      <c r="B70" s="61" t="inlineStr">
        <is>
          <t>Bloque</t>
        </is>
      </c>
      <c r="C70" s="61" t="inlineStr">
        <is>
          <t>Morropón</t>
        </is>
      </c>
      <c r="D70" s="61" t="inlineStr">
        <is>
          <t>Santo Domingo</t>
        </is>
      </c>
      <c r="E70" s="62" t="n">
        <v>35.1</v>
      </c>
      <c r="F70" s="60" t="inlineStr">
        <is>
          <t>78</t>
        </is>
      </c>
      <c r="G70" s="61" t="inlineStr"/>
      <c r="H70" s="61" t="inlineStr">
        <is>
          <t>AP-4</t>
        </is>
      </c>
      <c r="I70" s="61" t="inlineStr">
        <is>
          <t>Walter Córdova Córdova</t>
        </is>
      </c>
    </row>
    <row r="71">
      <c r="A71" s="63" t="inlineStr">
        <is>
          <t>79</t>
        </is>
      </c>
      <c r="B71" s="53" t="inlineStr">
        <is>
          <t>Bloque</t>
        </is>
      </c>
      <c r="C71" s="53" t="inlineStr">
        <is>
          <t>Huancabamba</t>
        </is>
      </c>
      <c r="D71" s="53" t="inlineStr">
        <is>
          <t>Canchaque</t>
        </is>
      </c>
      <c r="E71" s="64" t="n">
        <v>94.812</v>
      </c>
      <c r="F71" s="63" t="inlineStr">
        <is>
          <t>79</t>
        </is>
      </c>
      <c r="G71" s="53" t="inlineStr"/>
      <c r="H71" s="53" t="inlineStr">
        <is>
          <t>AP-5</t>
        </is>
      </c>
      <c r="I71" s="53" t="inlineStr">
        <is>
          <t>Eli Moisés Tocto Padilla</t>
        </is>
      </c>
    </row>
    <row r="72">
      <c r="A72" s="60" t="inlineStr">
        <is>
          <t>80</t>
        </is>
      </c>
      <c r="B72" s="61" t="inlineStr">
        <is>
          <t>Bloque</t>
        </is>
      </c>
      <c r="C72" s="61" t="inlineStr">
        <is>
          <t>Huancabamba</t>
        </is>
      </c>
      <c r="D72" s="61" t="inlineStr">
        <is>
          <t>Huarmaca</t>
        </is>
      </c>
      <c r="E72" s="62" t="n">
        <v>28.83</v>
      </c>
      <c r="F72" s="60" t="inlineStr">
        <is>
          <t>80</t>
        </is>
      </c>
      <c r="G72" s="61" t="inlineStr"/>
      <c r="H72" s="61" t="inlineStr">
        <is>
          <t>AP-5</t>
        </is>
      </c>
      <c r="I72" s="61" t="inlineStr">
        <is>
          <t>Eli Moisés Tocto Padilla</t>
        </is>
      </c>
    </row>
    <row r="73">
      <c r="A73" s="63" t="inlineStr">
        <is>
          <t>81</t>
        </is>
      </c>
      <c r="B73" s="53" t="inlineStr">
        <is>
          <t>Bloque</t>
        </is>
      </c>
      <c r="C73" s="53" t="inlineStr">
        <is>
          <t>Huancabamba</t>
        </is>
      </c>
      <c r="D73" s="53" t="inlineStr">
        <is>
          <t>Canchaque</t>
        </is>
      </c>
      <c r="E73" s="64" t="n">
        <v>8.929</v>
      </c>
      <c r="F73" s="63" t="inlineStr">
        <is>
          <t>81</t>
        </is>
      </c>
      <c r="G73" s="53" t="inlineStr"/>
      <c r="H73" s="53" t="inlineStr">
        <is>
          <t>AP-5</t>
        </is>
      </c>
      <c r="I73" s="53" t="inlineStr">
        <is>
          <t>Eli Moisés Tocto Padilla</t>
        </is>
      </c>
    </row>
    <row r="74">
      <c r="A74" s="60" t="inlineStr">
        <is>
          <t>82</t>
        </is>
      </c>
      <c r="B74" s="61" t="inlineStr">
        <is>
          <t>Bloque</t>
        </is>
      </c>
      <c r="C74" s="61" t="inlineStr">
        <is>
          <t>Morropón</t>
        </is>
      </c>
      <c r="D74" s="61" t="inlineStr">
        <is>
          <t>Santo Domingo</t>
        </is>
      </c>
      <c r="E74" s="62" t="n">
        <v>35.661</v>
      </c>
      <c r="F74" s="60" t="inlineStr">
        <is>
          <t>82</t>
        </is>
      </c>
      <c r="G74" s="61" t="inlineStr"/>
      <c r="H74" s="61" t="inlineStr">
        <is>
          <t>AP-4</t>
        </is>
      </c>
      <c r="I74" s="61" t="inlineStr">
        <is>
          <t>Walter Córdova Córdova</t>
        </is>
      </c>
    </row>
    <row r="75">
      <c r="A75" s="63" t="inlineStr">
        <is>
          <t>83</t>
        </is>
      </c>
      <c r="B75" s="53" t="inlineStr">
        <is>
          <t>Bloque</t>
        </is>
      </c>
      <c r="C75" s="53" t="inlineStr">
        <is>
          <t>Morropón</t>
        </is>
      </c>
      <c r="D75" s="53" t="inlineStr">
        <is>
          <t>San Juan de Bigote</t>
        </is>
      </c>
      <c r="E75" s="64" t="n">
        <v>24.344</v>
      </c>
      <c r="F75" s="63" t="inlineStr">
        <is>
          <t>83</t>
        </is>
      </c>
      <c r="G75" s="53" t="inlineStr"/>
      <c r="H75" s="53" t="inlineStr">
        <is>
          <t>AP-2</t>
        </is>
      </c>
      <c r="I75" s="53" t="inlineStr">
        <is>
          <t>Didier Lucrecio Salvador García</t>
        </is>
      </c>
    </row>
    <row r="76">
      <c r="A76" s="60" t="inlineStr">
        <is>
          <t>84</t>
        </is>
      </c>
      <c r="B76" s="61" t="inlineStr">
        <is>
          <t>Bloque</t>
        </is>
      </c>
      <c r="C76" s="61" t="inlineStr">
        <is>
          <t>Morropón</t>
        </is>
      </c>
      <c r="D76" s="61" t="inlineStr">
        <is>
          <t>San Juan de Bigote</t>
        </is>
      </c>
      <c r="E76" s="62" t="n">
        <v>5.097</v>
      </c>
      <c r="F76" s="60" t="inlineStr">
        <is>
          <t>84</t>
        </is>
      </c>
      <c r="G76" s="61" t="inlineStr"/>
      <c r="H76" s="61" t="inlineStr">
        <is>
          <t>AP-2</t>
        </is>
      </c>
      <c r="I76" s="61" t="inlineStr">
        <is>
          <t>Didier Lucrecio Salvador García</t>
        </is>
      </c>
    </row>
    <row r="77">
      <c r="A77" s="63" t="inlineStr">
        <is>
          <t>85</t>
        </is>
      </c>
      <c r="B77" s="53" t="inlineStr">
        <is>
          <t>Bloque</t>
        </is>
      </c>
      <c r="C77" s="53" t="inlineStr">
        <is>
          <t>Morropón</t>
        </is>
      </c>
      <c r="D77" s="53" t="inlineStr">
        <is>
          <t>San Juan de Bigote</t>
        </is>
      </c>
      <c r="E77" s="64" t="n">
        <v>11.906</v>
      </c>
      <c r="F77" s="63" t="inlineStr">
        <is>
          <t>85</t>
        </is>
      </c>
      <c r="G77" s="53" t="inlineStr"/>
      <c r="H77" s="53" t="inlineStr">
        <is>
          <t>AP-2</t>
        </is>
      </c>
      <c r="I77" s="53" t="inlineStr">
        <is>
          <t>Didier Lucrecio Salvador García</t>
        </is>
      </c>
    </row>
    <row r="78">
      <c r="A78" s="60" t="inlineStr">
        <is>
          <t>86</t>
        </is>
      </c>
      <c r="B78" s="61" t="inlineStr">
        <is>
          <t>Bloque</t>
        </is>
      </c>
      <c r="C78" s="61" t="inlineStr">
        <is>
          <t>Morropón</t>
        </is>
      </c>
      <c r="D78" s="61" t="inlineStr">
        <is>
          <t>San Juan de Bigote</t>
        </is>
      </c>
      <c r="E78" s="62" t="n">
        <v>30.001</v>
      </c>
      <c r="F78" s="60" t="inlineStr">
        <is>
          <t>86</t>
        </is>
      </c>
      <c r="G78" s="61" t="inlineStr"/>
      <c r="H78" s="61" t="inlineStr">
        <is>
          <t>AP-2</t>
        </is>
      </c>
      <c r="I78" s="61" t="inlineStr">
        <is>
          <t>Didier Lucrecio Salvador García</t>
        </is>
      </c>
    </row>
    <row r="79">
      <c r="A79" s="63" t="inlineStr">
        <is>
          <t>87</t>
        </is>
      </c>
      <c r="B79" s="53" t="inlineStr">
        <is>
          <t>Bloque</t>
        </is>
      </c>
      <c r="C79" s="53" t="inlineStr">
        <is>
          <t>Morropón</t>
        </is>
      </c>
      <c r="D79" s="53" t="inlineStr">
        <is>
          <t>San Juan de Bigote</t>
        </is>
      </c>
      <c r="E79" s="64" t="n">
        <v>62.219</v>
      </c>
      <c r="F79" s="63" t="inlineStr">
        <is>
          <t>87</t>
        </is>
      </c>
      <c r="G79" s="53" t="inlineStr"/>
      <c r="H79" s="53" t="inlineStr">
        <is>
          <t>AP-2</t>
        </is>
      </c>
      <c r="I79" s="53" t="inlineStr">
        <is>
          <t>Didier Lucrecio Salvador García</t>
        </is>
      </c>
    </row>
    <row r="80">
      <c r="A80" s="60" t="inlineStr">
        <is>
          <t>M1B1</t>
        </is>
      </c>
      <c r="B80" s="61" t="inlineStr">
        <is>
          <t>Bloque</t>
        </is>
      </c>
      <c r="C80" s="61" t="inlineStr">
        <is>
          <t>Morropón</t>
        </is>
      </c>
      <c r="D80" s="61" t="inlineStr">
        <is>
          <t>Buenos Aires</t>
        </is>
      </c>
      <c r="E80" s="62" t="n">
        <v>188.797</v>
      </c>
      <c r="F80" s="60" t="inlineStr">
        <is>
          <t>M1B1</t>
        </is>
      </c>
      <c r="G80" s="61" t="inlineStr"/>
      <c r="H80" s="61" t="inlineStr">
        <is>
          <t>AP-2</t>
        </is>
      </c>
      <c r="I80" s="61" t="inlineStr">
        <is>
          <t>Didier Lucrecio Salvador García</t>
        </is>
      </c>
    </row>
    <row r="81">
      <c r="A81" s="63" t="inlineStr">
        <is>
          <t>M2B1</t>
        </is>
      </c>
      <c r="B81" s="53" t="inlineStr">
        <is>
          <t>Bloque</t>
        </is>
      </c>
      <c r="C81" s="53" t="inlineStr">
        <is>
          <t>Morropón</t>
        </is>
      </c>
      <c r="D81" s="53" t="inlineStr">
        <is>
          <t>Salitral</t>
        </is>
      </c>
      <c r="E81" s="64" t="n">
        <v>81.795</v>
      </c>
      <c r="F81" s="63" t="inlineStr">
        <is>
          <t>M2B1</t>
        </is>
      </c>
      <c r="G81" s="53" t="inlineStr"/>
      <c r="H81" s="53" t="inlineStr">
        <is>
          <t>AP-2</t>
        </is>
      </c>
      <c r="I81" s="53" t="inlineStr">
        <is>
          <t>Didier Lucrecio Salvador García</t>
        </is>
      </c>
    </row>
    <row r="82">
      <c r="A82" s="60" t="inlineStr">
        <is>
          <t>M2B5</t>
        </is>
      </c>
      <c r="B82" s="61" t="inlineStr">
        <is>
          <t>Bloque</t>
        </is>
      </c>
      <c r="C82" s="61" t="inlineStr">
        <is>
          <t>Morropón</t>
        </is>
      </c>
      <c r="D82" s="61" t="inlineStr">
        <is>
          <t>Salitral</t>
        </is>
      </c>
      <c r="E82" s="62" t="n">
        <v>30.909</v>
      </c>
      <c r="F82" s="60" t="inlineStr">
        <is>
          <t>M2B5</t>
        </is>
      </c>
      <c r="G82" s="61" t="inlineStr"/>
      <c r="H82" s="61" t="inlineStr">
        <is>
          <t>AP-2</t>
        </is>
      </c>
      <c r="I82" s="61" t="inlineStr">
        <is>
          <t>Didier Lucrecio Salvador García</t>
        </is>
      </c>
    </row>
    <row r="83">
      <c r="A83" s="63" t="inlineStr">
        <is>
          <t>M2B8</t>
        </is>
      </c>
      <c r="B83" s="53" t="inlineStr">
        <is>
          <t>Bloque</t>
        </is>
      </c>
      <c r="C83" s="53" t="inlineStr">
        <is>
          <t>Huancabamba</t>
        </is>
      </c>
      <c r="D83" s="53" t="inlineStr">
        <is>
          <t>San Miguel de El Faique</t>
        </is>
      </c>
      <c r="E83" s="64" t="n">
        <v>116.099</v>
      </c>
      <c r="F83" s="63" t="inlineStr">
        <is>
          <t>M2B8</t>
        </is>
      </c>
      <c r="G83" s="53" t="inlineStr"/>
      <c r="H83" s="53" t="inlineStr">
        <is>
          <t>AP-6</t>
        </is>
      </c>
      <c r="I83" s="53" t="inlineStr">
        <is>
          <t>Rubén García García</t>
        </is>
      </c>
    </row>
    <row r="84">
      <c r="A84" s="60" t="inlineStr">
        <is>
          <t>M3B1</t>
        </is>
      </c>
      <c r="B84" s="61" t="inlineStr">
        <is>
          <t>Bloque</t>
        </is>
      </c>
      <c r="C84" s="61" t="inlineStr">
        <is>
          <t>Morropón</t>
        </is>
      </c>
      <c r="D84" s="61" t="inlineStr">
        <is>
          <t>Salitral</t>
        </is>
      </c>
      <c r="E84" s="62" t="n">
        <v>80.983</v>
      </c>
      <c r="F84" s="60" t="inlineStr">
        <is>
          <t>M3B1</t>
        </is>
      </c>
      <c r="G84" s="61" t="inlineStr"/>
      <c r="H84" s="61" t="inlineStr">
        <is>
          <t>AP-2</t>
        </is>
      </c>
      <c r="I84" s="61" t="inlineStr">
        <is>
          <t>Didier Lucrecio Salvador García</t>
        </is>
      </c>
    </row>
    <row r="85">
      <c r="A85" s="63" t="inlineStr">
        <is>
          <t>M3B3</t>
        </is>
      </c>
      <c r="B85" s="53" t="inlineStr">
        <is>
          <t>Bloque</t>
        </is>
      </c>
      <c r="C85" s="53" t="inlineStr">
        <is>
          <t>Morropón</t>
        </is>
      </c>
      <c r="D85" s="53" t="inlineStr">
        <is>
          <t>San Juan de Bigote</t>
        </is>
      </c>
      <c r="E85" s="64" t="n">
        <v>84.825</v>
      </c>
      <c r="F85" s="63" t="inlineStr">
        <is>
          <t>M3B3</t>
        </is>
      </c>
      <c r="G85" s="53" t="inlineStr"/>
      <c r="H85" s="53" t="inlineStr">
        <is>
          <t>AP-2</t>
        </is>
      </c>
      <c r="I85" s="53" t="inlineStr">
        <is>
          <t>Didier Lucrecio Salvador García</t>
        </is>
      </c>
    </row>
    <row r="86">
      <c r="A86" s="60" t="inlineStr">
        <is>
          <t>M3B5</t>
        </is>
      </c>
      <c r="B86" s="61" t="inlineStr">
        <is>
          <t>Bloque</t>
        </is>
      </c>
      <c r="C86" s="61" t="inlineStr">
        <is>
          <t>Morropón</t>
        </is>
      </c>
      <c r="D86" s="61" t="inlineStr">
        <is>
          <t>San Juan de Bigote</t>
        </is>
      </c>
      <c r="E86" s="62" t="n">
        <v>52.743</v>
      </c>
      <c r="F86" s="60" t="inlineStr">
        <is>
          <t>M3B5</t>
        </is>
      </c>
      <c r="G86" s="61" t="inlineStr"/>
      <c r="H86" s="61" t="inlineStr">
        <is>
          <t>AP-2</t>
        </is>
      </c>
      <c r="I86" s="61" t="inlineStr">
        <is>
          <t>Didier Lucrecio Salvador García</t>
        </is>
      </c>
    </row>
    <row r="87">
      <c r="A87" s="63" t="inlineStr">
        <is>
          <t>M3B6</t>
        </is>
      </c>
      <c r="B87" s="53" t="inlineStr">
        <is>
          <t>Bloque</t>
        </is>
      </c>
      <c r="C87" s="53" t="inlineStr">
        <is>
          <t>Morropón</t>
        </is>
      </c>
      <c r="D87" s="53" t="inlineStr">
        <is>
          <t>San Juan de Bigote</t>
        </is>
      </c>
      <c r="E87" s="64" t="n">
        <v>60.352</v>
      </c>
      <c r="F87" s="63" t="inlineStr">
        <is>
          <t>M3B6</t>
        </is>
      </c>
      <c r="G87" s="53" t="inlineStr"/>
      <c r="H87" s="53" t="inlineStr">
        <is>
          <t>AP-2</t>
        </is>
      </c>
      <c r="I87" s="53" t="inlineStr">
        <is>
          <t>Didier Lucrecio Salvador García</t>
        </is>
      </c>
    </row>
    <row r="88">
      <c r="A88" s="60" t="inlineStr">
        <is>
          <t>M3B7</t>
        </is>
      </c>
      <c r="B88" s="61" t="inlineStr">
        <is>
          <t>Bloque</t>
        </is>
      </c>
      <c r="C88" s="61" t="inlineStr">
        <is>
          <t>Morropón</t>
        </is>
      </c>
      <c r="D88" s="61" t="inlineStr">
        <is>
          <t>San Juan de Bigote</t>
        </is>
      </c>
      <c r="E88" s="62" t="n">
        <v>122.946</v>
      </c>
      <c r="F88" s="60" t="inlineStr">
        <is>
          <t>M3B7</t>
        </is>
      </c>
      <c r="G88" s="61" t="inlineStr"/>
      <c r="H88" s="61" t="inlineStr">
        <is>
          <t>AP-2</t>
        </is>
      </c>
      <c r="I88" s="61" t="inlineStr">
        <is>
          <t>Didier Lucrecio Salvador García</t>
        </is>
      </c>
    </row>
    <row r="89">
      <c r="A89" s="63" t="inlineStr">
        <is>
          <t>M3B8</t>
        </is>
      </c>
      <c r="B89" s="53" t="inlineStr">
        <is>
          <t>Bloque</t>
        </is>
      </c>
      <c r="C89" s="53" t="inlineStr">
        <is>
          <t>Morropón</t>
        </is>
      </c>
      <c r="D89" s="53" t="inlineStr">
        <is>
          <t>San Juan de Bigote</t>
        </is>
      </c>
      <c r="E89" s="64" t="n">
        <v>565.5839999999999</v>
      </c>
      <c r="F89" s="63" t="inlineStr">
        <is>
          <t>M3B8</t>
        </is>
      </c>
      <c r="G89" s="53" t="inlineStr"/>
      <c r="H89" s="53" t="inlineStr">
        <is>
          <t>AP-2</t>
        </is>
      </c>
      <c r="I89" s="53" t="inlineStr">
        <is>
          <t>Didier Lucrecio Salvador García</t>
        </is>
      </c>
    </row>
    <row r="90">
      <c r="A90" s="60" t="inlineStr">
        <is>
          <t>M3B9</t>
        </is>
      </c>
      <c r="B90" s="61" t="inlineStr">
        <is>
          <t>Bloque</t>
        </is>
      </c>
      <c r="C90" s="61" t="inlineStr">
        <is>
          <t>Morropón</t>
        </is>
      </c>
      <c r="D90" s="61" t="inlineStr">
        <is>
          <t>Salitral</t>
        </is>
      </c>
      <c r="E90" s="62" t="n">
        <v>294.204</v>
      </c>
      <c r="F90" s="60" t="inlineStr">
        <is>
          <t>M3B9</t>
        </is>
      </c>
      <c r="G90" s="61" t="inlineStr"/>
      <c r="H90" s="61" t="inlineStr">
        <is>
          <t>AP-2</t>
        </is>
      </c>
      <c r="I90" s="61" t="inlineStr">
        <is>
          <t>Didier Lucrecio Salvador García</t>
        </is>
      </c>
    </row>
    <row r="91">
      <c r="A91" s="63" t="inlineStr">
        <is>
          <t>M4B3</t>
        </is>
      </c>
      <c r="B91" s="53" t="inlineStr">
        <is>
          <t>Bloque</t>
        </is>
      </c>
      <c r="C91" s="53" t="inlineStr">
        <is>
          <t>Huancabamba</t>
        </is>
      </c>
      <c r="D91" s="53" t="inlineStr">
        <is>
          <t>Huarmaca</t>
        </is>
      </c>
      <c r="E91" s="64" t="n">
        <v>234.069</v>
      </c>
      <c r="F91" s="63" t="inlineStr">
        <is>
          <t>M4B3</t>
        </is>
      </c>
      <c r="G91" s="53" t="inlineStr"/>
      <c r="H91" s="53" t="inlineStr">
        <is>
          <t>AP-6</t>
        </is>
      </c>
      <c r="I91" s="53" t="inlineStr">
        <is>
          <t>Rubén García García</t>
        </is>
      </c>
    </row>
    <row r="92">
      <c r="A92" s="60" t="inlineStr">
        <is>
          <t>M4B4</t>
        </is>
      </c>
      <c r="B92" s="61" t="inlineStr">
        <is>
          <t>Bloque</t>
        </is>
      </c>
      <c r="C92" s="61" t="inlineStr">
        <is>
          <t>Huancabamba</t>
        </is>
      </c>
      <c r="D92" s="61" t="inlineStr">
        <is>
          <t>Huarmaca</t>
        </is>
      </c>
      <c r="E92" s="62" t="n">
        <v>289.914</v>
      </c>
      <c r="F92" s="60" t="inlineStr">
        <is>
          <t>M4B4</t>
        </is>
      </c>
      <c r="G92" s="61" t="inlineStr"/>
      <c r="H92" s="61" t="inlineStr">
        <is>
          <t>AP-6</t>
        </is>
      </c>
      <c r="I92" s="61" t="inlineStr">
        <is>
          <t>Rubén García García</t>
        </is>
      </c>
    </row>
    <row r="93">
      <c r="A93" s="63" t="inlineStr">
        <is>
          <t>M6B2-1</t>
        </is>
      </c>
      <c r="B93" s="53" t="inlineStr">
        <is>
          <t>Bloque</t>
        </is>
      </c>
      <c r="C93" s="53" t="inlineStr">
        <is>
          <t>Morropón</t>
        </is>
      </c>
      <c r="D93" s="53" t="inlineStr">
        <is>
          <t>Buenos Aires</t>
        </is>
      </c>
      <c r="E93" s="64" t="n">
        <v>514.359</v>
      </c>
      <c r="F93" s="63" t="inlineStr">
        <is>
          <t>M6B2-1</t>
        </is>
      </c>
      <c r="G93" s="53" t="inlineStr"/>
      <c r="H93" s="53" t="inlineStr">
        <is>
          <t>AP-2</t>
        </is>
      </c>
      <c r="I93" s="53" t="inlineStr">
        <is>
          <t>Didier Lucrecio Salvador García</t>
        </is>
      </c>
    </row>
    <row r="94">
      <c r="A94" s="60" t="inlineStr">
        <is>
          <t>M6B2-2</t>
        </is>
      </c>
      <c r="B94" s="61" t="inlineStr">
        <is>
          <t>Bloque</t>
        </is>
      </c>
      <c r="C94" s="61" t="inlineStr">
        <is>
          <t>Morropón</t>
        </is>
      </c>
      <c r="D94" s="61" t="inlineStr">
        <is>
          <t>Buenos Aires</t>
        </is>
      </c>
      <c r="E94" s="62" t="n">
        <v>333.011</v>
      </c>
      <c r="F94" s="60" t="inlineStr">
        <is>
          <t>M6B2-2</t>
        </is>
      </c>
      <c r="G94" s="61" t="inlineStr"/>
      <c r="H94" s="61" t="inlineStr">
        <is>
          <t>AP-2</t>
        </is>
      </c>
      <c r="I94" s="61" t="inlineStr">
        <is>
          <t>Didier Lucrecio Salvador García</t>
        </is>
      </c>
    </row>
    <row r="95">
      <c r="A95" s="63" t="inlineStr">
        <is>
          <t>M6B2-3</t>
        </is>
      </c>
      <c r="B95" s="53" t="inlineStr">
        <is>
          <t>Bloque</t>
        </is>
      </c>
      <c r="C95" s="53" t="inlineStr">
        <is>
          <t>Morropón</t>
        </is>
      </c>
      <c r="D95" s="53" t="inlineStr">
        <is>
          <t>Buenos Aires</t>
        </is>
      </c>
      <c r="E95" s="64" t="n">
        <v>160.978</v>
      </c>
      <c r="F95" s="63" t="inlineStr">
        <is>
          <t>M6B2-3</t>
        </is>
      </c>
      <c r="G95" s="53" t="inlineStr"/>
      <c r="H95" s="53" t="inlineStr">
        <is>
          <t>AP-2</t>
        </is>
      </c>
      <c r="I95" s="53" t="inlineStr">
        <is>
          <t>Didier Lucrecio Salvador García</t>
        </is>
      </c>
    </row>
    <row r="96">
      <c r="A96" s="60" t="inlineStr">
        <is>
          <t>M6B10</t>
        </is>
      </c>
      <c r="B96" s="61" t="inlineStr">
        <is>
          <t>Bloque</t>
        </is>
      </c>
      <c r="C96" s="61" t="inlineStr">
        <is>
          <t>Morropón</t>
        </is>
      </c>
      <c r="D96" s="61" t="inlineStr">
        <is>
          <t>Buenos Aires</t>
        </is>
      </c>
      <c r="E96" s="62" t="n">
        <v>249.89</v>
      </c>
      <c r="F96" s="60" t="inlineStr">
        <is>
          <t>M6B10</t>
        </is>
      </c>
      <c r="G96" s="61" t="inlineStr"/>
      <c r="H96" s="61" t="inlineStr">
        <is>
          <t>AP-2</t>
        </is>
      </c>
      <c r="I96" s="61" t="inlineStr">
        <is>
          <t>Didier Lucrecio Salvador García</t>
        </is>
      </c>
    </row>
    <row r="97">
      <c r="A97" s="63" t="inlineStr">
        <is>
          <t>M7B1</t>
        </is>
      </c>
      <c r="B97" s="53" t="inlineStr">
        <is>
          <t>Bloque</t>
        </is>
      </c>
      <c r="C97" s="53" t="inlineStr">
        <is>
          <t>Morropón</t>
        </is>
      </c>
      <c r="D97" s="53" t="inlineStr">
        <is>
          <t>Salitral</t>
        </is>
      </c>
      <c r="E97" s="64" t="n">
        <v>130.425</v>
      </c>
      <c r="F97" s="63" t="inlineStr">
        <is>
          <t>M7B1</t>
        </is>
      </c>
      <c r="G97" s="53" t="inlineStr"/>
      <c r="H97" s="53" t="inlineStr">
        <is>
          <t>AP-2</t>
        </is>
      </c>
      <c r="I97" s="53" t="inlineStr">
        <is>
          <t>Didier Lucrecio Salvador García</t>
        </is>
      </c>
    </row>
    <row r="98">
      <c r="A98" s="60" t="inlineStr">
        <is>
          <t>M7B2</t>
        </is>
      </c>
      <c r="B98" s="61" t="inlineStr">
        <is>
          <t>Bloque</t>
        </is>
      </c>
      <c r="C98" s="61" t="inlineStr">
        <is>
          <t>Morropón</t>
        </is>
      </c>
      <c r="D98" s="61" t="inlineStr">
        <is>
          <t>Salitral</t>
        </is>
      </c>
      <c r="E98" s="62" t="n">
        <v>115.379</v>
      </c>
      <c r="F98" s="60" t="inlineStr">
        <is>
          <t>M7B2</t>
        </is>
      </c>
      <c r="G98" s="61" t="inlineStr"/>
      <c r="H98" s="61" t="inlineStr">
        <is>
          <t>AP-2</t>
        </is>
      </c>
      <c r="I98" s="61" t="inlineStr">
        <is>
          <t>Didier Lucrecio Salvador García</t>
        </is>
      </c>
    </row>
    <row r="99">
      <c r="A99" s="63" t="inlineStr">
        <is>
          <t>M7B3</t>
        </is>
      </c>
      <c r="B99" s="53" t="inlineStr">
        <is>
          <t>Bloque</t>
        </is>
      </c>
      <c r="C99" s="53" t="inlineStr">
        <is>
          <t>Morropón</t>
        </is>
      </c>
      <c r="D99" s="53" t="inlineStr">
        <is>
          <t>Salitral</t>
        </is>
      </c>
      <c r="E99" s="64" t="n">
        <v>65.745</v>
      </c>
      <c r="F99" s="63" t="inlineStr">
        <is>
          <t>M7B3</t>
        </is>
      </c>
      <c r="G99" s="53" t="inlineStr"/>
      <c r="H99" s="53" t="inlineStr">
        <is>
          <t>AP-2</t>
        </is>
      </c>
      <c r="I99" s="53" t="inlineStr">
        <is>
          <t>Didier Lucrecio Salvador García</t>
        </is>
      </c>
    </row>
    <row r="100">
      <c r="A100" s="60" t="inlineStr">
        <is>
          <t>M7B6</t>
        </is>
      </c>
      <c r="B100" s="61" t="inlineStr">
        <is>
          <t>Bloque</t>
        </is>
      </c>
      <c r="C100" s="61" t="inlineStr">
        <is>
          <t>Morropón</t>
        </is>
      </c>
      <c r="D100" s="61" t="inlineStr">
        <is>
          <t>Salitral</t>
        </is>
      </c>
      <c r="E100" s="62" t="n">
        <v>91.285</v>
      </c>
      <c r="F100" s="60" t="inlineStr">
        <is>
          <t>M7B6</t>
        </is>
      </c>
      <c r="G100" s="61" t="inlineStr"/>
      <c r="H100" s="61" t="inlineStr">
        <is>
          <t>AP-2</t>
        </is>
      </c>
      <c r="I100" s="61" t="inlineStr">
        <is>
          <t>Didier Lucrecio Salvador García</t>
        </is>
      </c>
    </row>
    <row r="101">
      <c r="A101" s="63" t="inlineStr">
        <is>
          <t>M8B2</t>
        </is>
      </c>
      <c r="B101" s="53" t="inlineStr">
        <is>
          <t>Bloque</t>
        </is>
      </c>
      <c r="C101" s="53" t="inlineStr">
        <is>
          <t>Morropón</t>
        </is>
      </c>
      <c r="D101" s="53" t="inlineStr">
        <is>
          <t>Santo Domingo</t>
        </is>
      </c>
      <c r="E101" s="64" t="n">
        <v>35.347</v>
      </c>
      <c r="F101" s="63" t="inlineStr">
        <is>
          <t>M8B2</t>
        </is>
      </c>
      <c r="G101" s="53" t="inlineStr"/>
      <c r="H101" s="53" t="inlineStr">
        <is>
          <t>AP-4</t>
        </is>
      </c>
      <c r="I101" s="53" t="inlineStr">
        <is>
          <t>Walter Córdova Córdova</t>
        </is>
      </c>
    </row>
    <row r="102">
      <c r="A102" s="60" t="inlineStr">
        <is>
          <t>M9B1</t>
        </is>
      </c>
      <c r="B102" s="61" t="inlineStr">
        <is>
          <t>Bloque</t>
        </is>
      </c>
      <c r="C102" s="61" t="inlineStr">
        <is>
          <t>Morropón</t>
        </is>
      </c>
      <c r="D102" s="61" t="inlineStr">
        <is>
          <t>Chulucanas</t>
        </is>
      </c>
      <c r="E102" s="62" t="n">
        <v>355.364</v>
      </c>
      <c r="F102" s="60" t="inlineStr">
        <is>
          <t>M9B1</t>
        </is>
      </c>
      <c r="G102" s="61" t="inlineStr"/>
      <c r="H102" s="61" t="inlineStr">
        <is>
          <t>AP-1</t>
        </is>
      </c>
      <c r="I102" s="61" t="inlineStr">
        <is>
          <t>Diusberto Peña López</t>
        </is>
      </c>
    </row>
    <row r="103">
      <c r="A103" s="63" t="inlineStr">
        <is>
          <t>M10B4</t>
        </is>
      </c>
      <c r="B103" s="53" t="inlineStr">
        <is>
          <t>Bloque</t>
        </is>
      </c>
      <c r="C103" s="53" t="inlineStr">
        <is>
          <t>Morropón</t>
        </is>
      </c>
      <c r="D103" s="53" t="inlineStr">
        <is>
          <t>Chulucanas</t>
        </is>
      </c>
      <c r="E103" s="64" t="n">
        <v>68.887</v>
      </c>
      <c r="F103" s="63" t="inlineStr">
        <is>
          <t>M10B4</t>
        </is>
      </c>
      <c r="G103" s="53" t="inlineStr"/>
      <c r="H103" s="53" t="inlineStr">
        <is>
          <t>AP-1</t>
        </is>
      </c>
      <c r="I103" s="53" t="inlineStr">
        <is>
          <t>Diusberto Peña López</t>
        </is>
      </c>
    </row>
    <row r="104">
      <c r="A104" s="60" t="inlineStr">
        <is>
          <t>M11B3</t>
        </is>
      </c>
      <c r="B104" s="61" t="inlineStr">
        <is>
          <t>Bloque</t>
        </is>
      </c>
      <c r="C104" s="61" t="inlineStr">
        <is>
          <t>Morropón</t>
        </is>
      </c>
      <c r="D104" s="61" t="inlineStr">
        <is>
          <t>San Juan de Bigote</t>
        </is>
      </c>
      <c r="E104" s="62" t="n">
        <v>106.027</v>
      </c>
      <c r="F104" s="60" t="inlineStr">
        <is>
          <t>M11B3</t>
        </is>
      </c>
      <c r="G104" s="61" t="inlineStr"/>
      <c r="H104" s="61" t="inlineStr">
        <is>
          <t>AP-2</t>
        </is>
      </c>
      <c r="I104" s="61" t="inlineStr">
        <is>
          <t>Didier Lucrecio Salvador García</t>
        </is>
      </c>
    </row>
    <row r="105">
      <c r="A105" s="63" t="inlineStr">
        <is>
          <t>M12B1</t>
        </is>
      </c>
      <c r="B105" s="53" t="inlineStr">
        <is>
          <t>Bloque</t>
        </is>
      </c>
      <c r="C105" s="53" t="inlineStr">
        <is>
          <t>Huancabamba</t>
        </is>
      </c>
      <c r="D105" s="53" t="inlineStr">
        <is>
          <t>Huarmaca</t>
        </is>
      </c>
      <c r="E105" s="64" t="n">
        <v>268.393</v>
      </c>
      <c r="F105" s="63" t="inlineStr">
        <is>
          <t>M12B1</t>
        </is>
      </c>
      <c r="G105" s="53" t="inlineStr"/>
      <c r="H105" s="53" t="inlineStr">
        <is>
          <t>AP-5</t>
        </is>
      </c>
      <c r="I105" s="53" t="inlineStr">
        <is>
          <t>Eli Moisés Tocto Padilla</t>
        </is>
      </c>
    </row>
    <row r="106">
      <c r="A106" s="60" t="inlineStr">
        <is>
          <t>M17B1</t>
        </is>
      </c>
      <c r="B106" s="61" t="inlineStr">
        <is>
          <t>Bloque</t>
        </is>
      </c>
      <c r="C106" s="61" t="inlineStr">
        <is>
          <t>Morropón</t>
        </is>
      </c>
      <c r="D106" s="61" t="inlineStr">
        <is>
          <t>Chulucanas</t>
        </is>
      </c>
      <c r="E106" s="62" t="n">
        <v>42.449</v>
      </c>
      <c r="F106" s="60" t="inlineStr">
        <is>
          <t>M17B1</t>
        </is>
      </c>
      <c r="G106" s="61" t="inlineStr"/>
      <c r="H106" s="61" t="inlineStr">
        <is>
          <t>AP-1</t>
        </is>
      </c>
      <c r="I106" s="61" t="inlineStr">
        <is>
          <t>Diusberto Peña López</t>
        </is>
      </c>
    </row>
    <row r="107">
      <c r="A107" s="63" t="inlineStr">
        <is>
          <t>M17B4</t>
        </is>
      </c>
      <c r="B107" s="53" t="inlineStr">
        <is>
          <t>Bloque</t>
        </is>
      </c>
      <c r="C107" s="53" t="inlineStr">
        <is>
          <t>Morropón</t>
        </is>
      </c>
      <c r="D107" s="53" t="inlineStr">
        <is>
          <t>Chulucanas</t>
        </is>
      </c>
      <c r="E107" s="64" t="n">
        <v>124.709</v>
      </c>
      <c r="F107" s="63" t="inlineStr">
        <is>
          <t>M17B4</t>
        </is>
      </c>
      <c r="G107" s="53" t="inlineStr"/>
      <c r="H107" s="53" t="inlineStr">
        <is>
          <t>AP-1</t>
        </is>
      </c>
      <c r="I107" s="53" t="inlineStr">
        <is>
          <t>Diusberto Peña López</t>
        </is>
      </c>
    </row>
    <row r="108">
      <c r="A108" s="60" t="inlineStr">
        <is>
          <t>M17B5</t>
        </is>
      </c>
      <c r="B108" s="61" t="inlineStr">
        <is>
          <t>Bloque</t>
        </is>
      </c>
      <c r="C108" s="61" t="inlineStr">
        <is>
          <t>Ayabaca</t>
        </is>
      </c>
      <c r="D108" s="61" t="inlineStr">
        <is>
          <t>Frías</t>
        </is>
      </c>
      <c r="E108" s="62" t="n">
        <v>74.02800000000001</v>
      </c>
      <c r="F108" s="60" t="inlineStr">
        <is>
          <t>M17B5</t>
        </is>
      </c>
      <c r="G108" s="61" t="inlineStr"/>
      <c r="H108" s="61" t="inlineStr">
        <is>
          <t>AP-1</t>
        </is>
      </c>
      <c r="I108" s="61" t="inlineStr">
        <is>
          <t>Diusberto Peña López</t>
        </is>
      </c>
    </row>
    <row r="109">
      <c r="A109" s="63" t="inlineStr">
        <is>
          <t>M17B6</t>
        </is>
      </c>
      <c r="B109" s="53" t="inlineStr">
        <is>
          <t>Bloque</t>
        </is>
      </c>
      <c r="C109" s="53" t="inlineStr">
        <is>
          <t>Ayabaca</t>
        </is>
      </c>
      <c r="D109" s="53" t="inlineStr">
        <is>
          <t>Frías</t>
        </is>
      </c>
      <c r="E109" s="64" t="n">
        <v>106.538</v>
      </c>
      <c r="F109" s="63" t="inlineStr">
        <is>
          <t>M17B6</t>
        </is>
      </c>
      <c r="G109" s="53" t="inlineStr"/>
      <c r="H109" s="53" t="inlineStr">
        <is>
          <t>AP-1</t>
        </is>
      </c>
      <c r="I109" s="53" t="inlineStr">
        <is>
          <t>Diusberto Peña López</t>
        </is>
      </c>
    </row>
    <row r="110">
      <c r="A110" s="60" t="inlineStr">
        <is>
          <t>M17B7</t>
        </is>
      </c>
      <c r="B110" s="61" t="inlineStr">
        <is>
          <t>Bloque</t>
        </is>
      </c>
      <c r="C110" s="61" t="inlineStr">
        <is>
          <t>Ayabaca</t>
        </is>
      </c>
      <c r="D110" s="61" t="inlineStr">
        <is>
          <t>Frías</t>
        </is>
      </c>
      <c r="E110" s="62" t="n">
        <v>258.837</v>
      </c>
      <c r="F110" s="60" t="inlineStr">
        <is>
          <t>M17B7</t>
        </is>
      </c>
      <c r="G110" s="61" t="inlineStr"/>
      <c r="H110" s="61" t="inlineStr">
        <is>
          <t>AP-1</t>
        </is>
      </c>
      <c r="I110" s="61" t="inlineStr">
        <is>
          <t>Diusberto Peña López</t>
        </is>
      </c>
    </row>
    <row r="111">
      <c r="A111" s="63" t="inlineStr">
        <is>
          <t>M17B10</t>
        </is>
      </c>
      <c r="B111" s="53" t="inlineStr">
        <is>
          <t>Bloque</t>
        </is>
      </c>
      <c r="C111" s="53" t="inlineStr">
        <is>
          <t>Ayabaca</t>
        </is>
      </c>
      <c r="D111" s="53" t="inlineStr">
        <is>
          <t>Frías</t>
        </is>
      </c>
      <c r="E111" s="64" t="n">
        <v>75.363</v>
      </c>
      <c r="F111" s="63" t="inlineStr">
        <is>
          <t>M17B10</t>
        </is>
      </c>
      <c r="G111" s="53" t="inlineStr"/>
      <c r="H111" s="53" t="inlineStr">
        <is>
          <t>AP-1</t>
        </is>
      </c>
      <c r="I111" s="53" t="inlineStr">
        <is>
          <t>Diusberto Peña López</t>
        </is>
      </c>
    </row>
    <row r="112">
      <c r="A112" s="60" t="inlineStr">
        <is>
          <t>M18B1</t>
        </is>
      </c>
      <c r="B112" s="61" t="inlineStr">
        <is>
          <t>Bloque</t>
        </is>
      </c>
      <c r="C112" s="61" t="inlineStr">
        <is>
          <t>Morropón</t>
        </is>
      </c>
      <c r="D112" s="61" t="inlineStr">
        <is>
          <t>Buenos Aires</t>
        </is>
      </c>
      <c r="E112" s="62" t="n">
        <v>160.36</v>
      </c>
      <c r="F112" s="60" t="inlineStr">
        <is>
          <t>M18B1</t>
        </is>
      </c>
      <c r="G112" s="61" t="inlineStr"/>
      <c r="H112" s="61" t="inlineStr">
        <is>
          <t>AP-2</t>
        </is>
      </c>
      <c r="I112" s="61" t="inlineStr">
        <is>
          <t>Didier Lucrecio Salvador García</t>
        </is>
      </c>
    </row>
    <row r="113">
      <c r="A113" s="63" t="inlineStr">
        <is>
          <t>M18B3</t>
        </is>
      </c>
      <c r="B113" s="53" t="inlineStr">
        <is>
          <t>Bloque</t>
        </is>
      </c>
      <c r="C113" s="53" t="inlineStr">
        <is>
          <t>Morropón</t>
        </is>
      </c>
      <c r="D113" s="53" t="inlineStr">
        <is>
          <t>Salitral</t>
        </is>
      </c>
      <c r="E113" s="64" t="n">
        <v>373.807</v>
      </c>
      <c r="F113" s="63" t="inlineStr">
        <is>
          <t>M18B3</t>
        </is>
      </c>
      <c r="G113" s="53" t="inlineStr"/>
      <c r="H113" s="53" t="inlineStr">
        <is>
          <t>AP-2</t>
        </is>
      </c>
      <c r="I113" s="53" t="inlineStr">
        <is>
          <t>Didier Lucrecio Salvador García</t>
        </is>
      </c>
    </row>
    <row r="114">
      <c r="A114" s="60" t="inlineStr">
        <is>
          <t>M19B2</t>
        </is>
      </c>
      <c r="B114" s="61" t="inlineStr">
        <is>
          <t>Bloque</t>
        </is>
      </c>
      <c r="C114" s="61" t="inlineStr">
        <is>
          <t>Morropón</t>
        </is>
      </c>
      <c r="D114" s="61" t="inlineStr">
        <is>
          <t>Morropón</t>
        </is>
      </c>
      <c r="E114" s="62" t="n">
        <v>74.372</v>
      </c>
      <c r="F114" s="60" t="inlineStr">
        <is>
          <t>M19B2</t>
        </is>
      </c>
      <c r="G114" s="61" t="inlineStr"/>
      <c r="H114" s="61" t="inlineStr">
        <is>
          <t>AP-2</t>
        </is>
      </c>
      <c r="I114" s="61" t="inlineStr">
        <is>
          <t>Didier Lucrecio Salvador García</t>
        </is>
      </c>
    </row>
    <row r="115">
      <c r="A115" s="63" t="inlineStr">
        <is>
          <t>M19B7</t>
        </is>
      </c>
      <c r="B115" s="53" t="inlineStr">
        <is>
          <t>Bloque</t>
        </is>
      </c>
      <c r="C115" s="53" t="inlineStr">
        <is>
          <t>Morropón</t>
        </is>
      </c>
      <c r="D115" s="53" t="inlineStr">
        <is>
          <t>Santo Domingo</t>
        </is>
      </c>
      <c r="E115" s="64" t="n">
        <v>34.171</v>
      </c>
      <c r="F115" s="63" t="inlineStr">
        <is>
          <t>M19B7</t>
        </is>
      </c>
      <c r="G115" s="53" t="inlineStr"/>
      <c r="H115" s="53" t="inlineStr">
        <is>
          <t>AP-4</t>
        </is>
      </c>
      <c r="I115" s="53" t="inlineStr">
        <is>
          <t>Walter Córdova Córdova</t>
        </is>
      </c>
    </row>
    <row r="116">
      <c r="A116" s="60" t="inlineStr">
        <is>
          <t>M20B1</t>
        </is>
      </c>
      <c r="B116" s="61" t="inlineStr">
        <is>
          <t>Bloque</t>
        </is>
      </c>
      <c r="C116" s="61" t="inlineStr">
        <is>
          <t>Huancabamba</t>
        </is>
      </c>
      <c r="D116" s="61" t="inlineStr">
        <is>
          <t>San Miguel de El Faique</t>
        </is>
      </c>
      <c r="E116" s="62" t="n">
        <v>279.68</v>
      </c>
      <c r="F116" s="60" t="inlineStr">
        <is>
          <t>M20B1</t>
        </is>
      </c>
      <c r="G116" s="61" t="inlineStr"/>
      <c r="H116" s="61" t="inlineStr">
        <is>
          <t>AP-6</t>
        </is>
      </c>
      <c r="I116" s="61" t="inlineStr">
        <is>
          <t>Rubén García García</t>
        </is>
      </c>
    </row>
    <row r="117">
      <c r="A117" s="63" t="inlineStr">
        <is>
          <t>M22B1</t>
        </is>
      </c>
      <c r="B117" s="53" t="inlineStr">
        <is>
          <t>Bloque</t>
        </is>
      </c>
      <c r="C117" s="53" t="inlineStr">
        <is>
          <t>Huancabamba</t>
        </is>
      </c>
      <c r="D117" s="53" t="inlineStr">
        <is>
          <t>San Miguel de El Faique</t>
        </is>
      </c>
      <c r="E117" s="64" t="n">
        <v>55.17</v>
      </c>
      <c r="F117" s="63" t="inlineStr">
        <is>
          <t>M22B1</t>
        </is>
      </c>
      <c r="G117" s="53" t="inlineStr"/>
      <c r="H117" s="53" t="inlineStr">
        <is>
          <t>AP-6</t>
        </is>
      </c>
      <c r="I117" s="53" t="inlineStr">
        <is>
          <t>Rubén García García</t>
        </is>
      </c>
    </row>
    <row r="118">
      <c r="A118" s="60" t="inlineStr">
        <is>
          <t>M27B1</t>
        </is>
      </c>
      <c r="B118" s="61" t="inlineStr">
        <is>
          <t>Bloque</t>
        </is>
      </c>
      <c r="C118" s="61" t="inlineStr">
        <is>
          <t>Morropón</t>
        </is>
      </c>
      <c r="D118" s="61" t="inlineStr">
        <is>
          <t>Chulucanas</t>
        </is>
      </c>
      <c r="E118" s="62" t="n">
        <v>448.804</v>
      </c>
      <c r="F118" s="60" t="inlineStr">
        <is>
          <t>M27B1</t>
        </is>
      </c>
      <c r="G118" s="61" t="inlineStr"/>
      <c r="H118" s="61" t="inlineStr">
        <is>
          <t>AP-1</t>
        </is>
      </c>
      <c r="I118" s="61" t="inlineStr">
        <is>
          <t>Diusberto Peña López</t>
        </is>
      </c>
    </row>
    <row r="119">
      <c r="A119" s="63" t="inlineStr">
        <is>
          <t>M28B2</t>
        </is>
      </c>
      <c r="B119" s="53" t="inlineStr">
        <is>
          <t>Bloque</t>
        </is>
      </c>
      <c r="C119" s="53" t="inlineStr">
        <is>
          <t>Morropón</t>
        </is>
      </c>
      <c r="D119" s="53" t="inlineStr">
        <is>
          <t>Yamango</t>
        </is>
      </c>
      <c r="E119" s="64" t="n">
        <v>90.197</v>
      </c>
      <c r="F119" s="63" t="inlineStr">
        <is>
          <t>M28B2</t>
        </is>
      </c>
      <c r="G119" s="53" t="inlineStr"/>
      <c r="H119" s="53" t="inlineStr">
        <is>
          <t>AP-3</t>
        </is>
      </c>
      <c r="I119" s="53" t="inlineStr">
        <is>
          <t>Miguel Ángel López Maza</t>
        </is>
      </c>
    </row>
    <row r="120">
      <c r="A120" s="60" t="inlineStr">
        <is>
          <t>M28B3</t>
        </is>
      </c>
      <c r="B120" s="61" t="inlineStr">
        <is>
          <t>Bloque</t>
        </is>
      </c>
      <c r="C120" s="61" t="inlineStr">
        <is>
          <t>Morropón</t>
        </is>
      </c>
      <c r="D120" s="61" t="inlineStr">
        <is>
          <t>Yamango</t>
        </is>
      </c>
      <c r="E120" s="62" t="n">
        <v>58.292</v>
      </c>
      <c r="F120" s="60" t="inlineStr">
        <is>
          <t>M28B3</t>
        </is>
      </c>
      <c r="G120" s="61" t="inlineStr"/>
      <c r="H120" s="61" t="inlineStr">
        <is>
          <t>AP-3</t>
        </is>
      </c>
      <c r="I120" s="61" t="inlineStr">
        <is>
          <t>Miguel Ángel López Maza</t>
        </is>
      </c>
    </row>
    <row r="121">
      <c r="A121" s="63" t="inlineStr">
        <is>
          <t>M28B4</t>
        </is>
      </c>
      <c r="B121" s="53" t="inlineStr">
        <is>
          <t>Bloque</t>
        </is>
      </c>
      <c r="C121" s="53" t="inlineStr">
        <is>
          <t>Morropón</t>
        </is>
      </c>
      <c r="D121" s="53" t="inlineStr">
        <is>
          <t>Yamango</t>
        </is>
      </c>
      <c r="E121" s="64" t="n">
        <v>283.428</v>
      </c>
      <c r="F121" s="63" t="inlineStr">
        <is>
          <t>M28B4</t>
        </is>
      </c>
      <c r="G121" s="53" t="inlineStr"/>
      <c r="H121" s="53" t="inlineStr">
        <is>
          <t>AP-3</t>
        </is>
      </c>
      <c r="I121" s="53" t="inlineStr">
        <is>
          <t>Miguel Ángel López Maza</t>
        </is>
      </c>
    </row>
    <row r="122">
      <c r="A122" s="60" t="inlineStr">
        <is>
          <t>M30B5</t>
        </is>
      </c>
      <c r="B122" s="61" t="inlineStr">
        <is>
          <t>Bloque</t>
        </is>
      </c>
      <c r="C122" s="61" t="inlineStr">
        <is>
          <t>Huancabamba</t>
        </is>
      </c>
      <c r="D122" s="61" t="inlineStr">
        <is>
          <t>Huancabamba</t>
        </is>
      </c>
      <c r="E122" s="62" t="n">
        <v>90.90300000000001</v>
      </c>
      <c r="F122" s="60" t="inlineStr">
        <is>
          <t>M30B5</t>
        </is>
      </c>
      <c r="G122" s="61" t="inlineStr"/>
      <c r="H122" s="61" t="inlineStr">
        <is>
          <t>AP-5</t>
        </is>
      </c>
      <c r="I122" s="61" t="inlineStr">
        <is>
          <t>Eli Moisés Tocto Padilla</t>
        </is>
      </c>
    </row>
    <row r="123">
      <c r="A123" s="63" t="inlineStr">
        <is>
          <t>M32B3</t>
        </is>
      </c>
      <c r="B123" s="53" t="inlineStr">
        <is>
          <t>Bloque</t>
        </is>
      </c>
      <c r="C123" s="53" t="inlineStr">
        <is>
          <t>Morropón</t>
        </is>
      </c>
      <c r="D123" s="53" t="inlineStr">
        <is>
          <t>Morropón</t>
        </is>
      </c>
      <c r="E123" s="64" t="n">
        <v>50.972</v>
      </c>
      <c r="F123" s="63" t="inlineStr">
        <is>
          <t>M32B3</t>
        </is>
      </c>
      <c r="G123" s="53" t="inlineStr"/>
      <c r="H123" s="53" t="inlineStr">
        <is>
          <t>AP-2</t>
        </is>
      </c>
      <c r="I123" s="53" t="inlineStr">
        <is>
          <t>Didier Lucrecio Salvador García</t>
        </is>
      </c>
    </row>
    <row r="124">
      <c r="A124" s="60" t="inlineStr">
        <is>
          <t>M36B2</t>
        </is>
      </c>
      <c r="B124" s="61" t="inlineStr">
        <is>
          <t>Bloque</t>
        </is>
      </c>
      <c r="C124" s="61" t="inlineStr">
        <is>
          <t>Morropón</t>
        </is>
      </c>
      <c r="D124" s="61" t="inlineStr">
        <is>
          <t>Santa Catalina de Mossa</t>
        </is>
      </c>
      <c r="E124" s="62" t="n">
        <v>28.19</v>
      </c>
      <c r="F124" s="60" t="inlineStr">
        <is>
          <t>M36B2</t>
        </is>
      </c>
      <c r="G124" s="61" t="inlineStr"/>
      <c r="H124" s="61" t="inlineStr">
        <is>
          <t>AP-4</t>
        </is>
      </c>
      <c r="I124" s="61" t="inlineStr">
        <is>
          <t>Walter Córdova Córdova</t>
        </is>
      </c>
    </row>
    <row r="125">
      <c r="A125" s="63" t="inlineStr">
        <is>
          <t>SUS-001</t>
        </is>
      </c>
      <c r="B125" s="53" t="inlineStr">
        <is>
          <t>Lote SUS</t>
        </is>
      </c>
      <c r="C125" s="53" t="inlineStr">
        <is>
          <t>Ayabaca</t>
        </is>
      </c>
      <c r="D125" s="53" t="inlineStr">
        <is>
          <t>Frías</t>
        </is>
      </c>
      <c r="E125" s="64" t="n">
        <v>3.296</v>
      </c>
      <c r="F125" s="63" t="inlineStr">
        <is>
          <t>27</t>
        </is>
      </c>
      <c r="G125" s="53" t="inlineStr">
        <is>
          <t>CONTIGUO</t>
        </is>
      </c>
      <c r="H125" s="53" t="inlineStr">
        <is>
          <t>AP-1</t>
        </is>
      </c>
      <c r="I125" s="53" t="inlineStr">
        <is>
          <t>Diusberto Peña López</t>
        </is>
      </c>
    </row>
    <row r="126">
      <c r="A126" s="60" t="inlineStr">
        <is>
          <t>SUS-002</t>
        </is>
      </c>
      <c r="B126" s="61" t="inlineStr">
        <is>
          <t>Lote SUS</t>
        </is>
      </c>
      <c r="C126" s="61" t="inlineStr">
        <is>
          <t>Ayabaca</t>
        </is>
      </c>
      <c r="D126" s="61" t="inlineStr">
        <is>
          <t>Frías</t>
        </is>
      </c>
      <c r="E126" s="62" t="n">
        <v>3.519</v>
      </c>
      <c r="F126" s="60" t="inlineStr">
        <is>
          <t>27</t>
        </is>
      </c>
      <c r="G126" s="61" t="inlineStr">
        <is>
          <t>DENTRO</t>
        </is>
      </c>
      <c r="H126" s="61" t="inlineStr">
        <is>
          <t>AP-1</t>
        </is>
      </c>
      <c r="I126" s="61" t="inlineStr">
        <is>
          <t>Diusberto Peña López</t>
        </is>
      </c>
    </row>
    <row r="127">
      <c r="A127" s="63" t="inlineStr">
        <is>
          <t>SUS-003</t>
        </is>
      </c>
      <c r="B127" s="53" t="inlineStr">
        <is>
          <t>Lote SUS</t>
        </is>
      </c>
      <c r="C127" s="53" t="inlineStr">
        <is>
          <t>Ayabaca</t>
        </is>
      </c>
      <c r="D127" s="53" t="inlineStr">
        <is>
          <t>Frías</t>
        </is>
      </c>
      <c r="E127" s="64" t="n">
        <v>44.192</v>
      </c>
      <c r="F127" s="63" t="inlineStr">
        <is>
          <t>3</t>
        </is>
      </c>
      <c r="G127" s="53" t="inlineStr">
        <is>
          <t>CONTIGUO</t>
        </is>
      </c>
      <c r="H127" s="53" t="inlineStr">
        <is>
          <t>AP-1</t>
        </is>
      </c>
      <c r="I127" s="53" t="inlineStr">
        <is>
          <t>Diusberto Peña López</t>
        </is>
      </c>
    </row>
    <row r="128">
      <c r="A128" s="60" t="inlineStr">
        <is>
          <t>SUS-004</t>
        </is>
      </c>
      <c r="B128" s="61" t="inlineStr">
        <is>
          <t>Lote SUS</t>
        </is>
      </c>
      <c r="C128" s="61" t="inlineStr">
        <is>
          <t>Ayabaca</t>
        </is>
      </c>
      <c r="D128" s="61" t="inlineStr">
        <is>
          <t>Frías</t>
        </is>
      </c>
      <c r="E128" s="62" t="n">
        <v>1.635</v>
      </c>
      <c r="F128" s="60" t="inlineStr">
        <is>
          <t>3</t>
        </is>
      </c>
      <c r="G128" s="61" t="inlineStr">
        <is>
          <t>CONTIGUO</t>
        </is>
      </c>
      <c r="H128" s="61" t="inlineStr">
        <is>
          <t>AP-1</t>
        </is>
      </c>
      <c r="I128" s="61" t="inlineStr">
        <is>
          <t>Diusberto Peña López</t>
        </is>
      </c>
    </row>
    <row r="129">
      <c r="A129" s="63" t="inlineStr">
        <is>
          <t>SUS-005</t>
        </is>
      </c>
      <c r="B129" s="53" t="inlineStr">
        <is>
          <t>Lote SUS</t>
        </is>
      </c>
      <c r="C129" s="53" t="inlineStr">
        <is>
          <t>Morropón</t>
        </is>
      </c>
      <c r="D129" s="53" t="inlineStr">
        <is>
          <t>Chalaco</t>
        </is>
      </c>
      <c r="E129" s="64" t="n">
        <v>1.1</v>
      </c>
      <c r="F129" s="63" t="inlineStr">
        <is>
          <t>59</t>
        </is>
      </c>
      <c r="G129" s="53" t="inlineStr">
        <is>
          <t>CONTIGUO</t>
        </is>
      </c>
      <c r="H129" s="53" t="inlineStr">
        <is>
          <t>AP-4</t>
        </is>
      </c>
      <c r="I129" s="53" t="inlineStr">
        <is>
          <t>Walter Córdova Córdova</t>
        </is>
      </c>
    </row>
    <row r="130">
      <c r="A130" s="60" t="inlineStr">
        <is>
          <t>SUS-006</t>
        </is>
      </c>
      <c r="B130" s="61" t="inlineStr">
        <is>
          <t>Lote SUS</t>
        </is>
      </c>
      <c r="C130" s="61" t="inlineStr">
        <is>
          <t>Morropón</t>
        </is>
      </c>
      <c r="D130" s="61" t="inlineStr">
        <is>
          <t>Chulucanas</t>
        </is>
      </c>
      <c r="E130" s="62" t="n">
        <v>4.376</v>
      </c>
      <c r="F130" s="60" t="inlineStr">
        <is>
          <t>M27B1</t>
        </is>
      </c>
      <c r="G130" s="61" t="inlineStr">
        <is>
          <t>CONTIGUO</t>
        </is>
      </c>
      <c r="H130" s="61" t="inlineStr">
        <is>
          <t>AP-1</t>
        </is>
      </c>
      <c r="I130" s="61" t="inlineStr">
        <is>
          <t>Diusberto Peña López</t>
        </is>
      </c>
    </row>
    <row r="131">
      <c r="A131" s="63" t="inlineStr">
        <is>
          <t>SUS-007</t>
        </is>
      </c>
      <c r="B131" s="53" t="inlineStr">
        <is>
          <t>Lote SUS</t>
        </is>
      </c>
      <c r="C131" s="53" t="inlineStr">
        <is>
          <t>Morropón</t>
        </is>
      </c>
      <c r="D131" s="53" t="inlineStr">
        <is>
          <t>Chulucanas</t>
        </is>
      </c>
      <c r="E131" s="64" t="n">
        <v>1.388</v>
      </c>
      <c r="F131" s="63" t="inlineStr">
        <is>
          <t>M27B1</t>
        </is>
      </c>
      <c r="G131" s="53" t="inlineStr">
        <is>
          <t>DENTRO</t>
        </is>
      </c>
      <c r="H131" s="53" t="inlineStr">
        <is>
          <t>AP-1</t>
        </is>
      </c>
      <c r="I131" s="53" t="inlineStr">
        <is>
          <t>Diusberto Peña López</t>
        </is>
      </c>
    </row>
    <row r="132">
      <c r="A132" s="60" t="inlineStr">
        <is>
          <t>SUS-008</t>
        </is>
      </c>
      <c r="B132" s="61" t="inlineStr">
        <is>
          <t>Lote SUS</t>
        </is>
      </c>
      <c r="C132" s="61" t="inlineStr">
        <is>
          <t>Morropón</t>
        </is>
      </c>
      <c r="D132" s="61" t="inlineStr">
        <is>
          <t>San Juan de Bigote</t>
        </is>
      </c>
      <c r="E132" s="62" t="n">
        <v>1.838</v>
      </c>
      <c r="F132" s="60" t="inlineStr">
        <is>
          <t>86</t>
        </is>
      </c>
      <c r="G132" s="61" t="inlineStr">
        <is>
          <t>CONTIGUO</t>
        </is>
      </c>
      <c r="H132" s="61" t="inlineStr">
        <is>
          <t>AP-2</t>
        </is>
      </c>
      <c r="I132" s="61" t="inlineStr">
        <is>
          <t>Didier Lucrecio Salvador García</t>
        </is>
      </c>
    </row>
    <row r="133">
      <c r="A133" s="63" t="inlineStr">
        <is>
          <t>SUS-009</t>
        </is>
      </c>
      <c r="B133" s="53" t="inlineStr">
        <is>
          <t>Lote SUS</t>
        </is>
      </c>
      <c r="C133" s="53" t="inlineStr">
        <is>
          <t>Morropón</t>
        </is>
      </c>
      <c r="D133" s="53" t="inlineStr">
        <is>
          <t>San Juan de Bigote</t>
        </is>
      </c>
      <c r="E133" s="64" t="n">
        <v>1.162</v>
      </c>
      <c r="F133" s="63" t="inlineStr">
        <is>
          <t>86</t>
        </is>
      </c>
      <c r="G133" s="53" t="inlineStr">
        <is>
          <t>DENTRO</t>
        </is>
      </c>
      <c r="H133" s="53" t="inlineStr">
        <is>
          <t>AP-2</t>
        </is>
      </c>
      <c r="I133" s="53" t="inlineStr">
        <is>
          <t>Didier Lucrecio Salvador García</t>
        </is>
      </c>
    </row>
    <row r="134">
      <c r="A134" s="60" t="inlineStr">
        <is>
          <t>SUS-010</t>
        </is>
      </c>
      <c r="B134" s="61" t="inlineStr">
        <is>
          <t>Lote SUS</t>
        </is>
      </c>
      <c r="C134" s="61" t="inlineStr">
        <is>
          <t>Morropón</t>
        </is>
      </c>
      <c r="D134" s="61" t="inlineStr">
        <is>
          <t>San Juan de Bigote</t>
        </is>
      </c>
      <c r="E134" s="62" t="n">
        <v>5.043</v>
      </c>
      <c r="F134" s="60" t="inlineStr">
        <is>
          <t>87</t>
        </is>
      </c>
      <c r="G134" s="61" t="inlineStr">
        <is>
          <t>DENTRO</t>
        </is>
      </c>
      <c r="H134" s="61" t="inlineStr">
        <is>
          <t>AP-2</t>
        </is>
      </c>
      <c r="I134" s="61" t="inlineStr">
        <is>
          <t>Didier Lucrecio Salvador García</t>
        </is>
      </c>
    </row>
    <row r="135">
      <c r="A135" s="63" t="inlineStr">
        <is>
          <t>SUS-011</t>
        </is>
      </c>
      <c r="B135" s="53" t="inlineStr">
        <is>
          <t>Lote SUS</t>
        </is>
      </c>
      <c r="C135" s="53" t="inlineStr">
        <is>
          <t>Morropón</t>
        </is>
      </c>
      <c r="D135" s="53" t="inlineStr">
        <is>
          <t>San Juan de Bigote</t>
        </is>
      </c>
      <c r="E135" s="64" t="n">
        <v>1.179</v>
      </c>
      <c r="F135" s="63" t="inlineStr">
        <is>
          <t>87</t>
        </is>
      </c>
      <c r="G135" s="53" t="inlineStr">
        <is>
          <t>DENTRO</t>
        </is>
      </c>
      <c r="H135" s="53" t="inlineStr">
        <is>
          <t>AP-2</t>
        </is>
      </c>
      <c r="I135" s="53" t="inlineStr">
        <is>
          <t>Didier Lucrecio Salvador García</t>
        </is>
      </c>
    </row>
    <row r="136">
      <c r="A136" s="60" t="inlineStr">
        <is>
          <t>SUS-012</t>
        </is>
      </c>
      <c r="B136" s="61" t="inlineStr">
        <is>
          <t>Lote SUS</t>
        </is>
      </c>
      <c r="C136" s="61" t="inlineStr">
        <is>
          <t>Morropón</t>
        </is>
      </c>
      <c r="D136" s="61" t="inlineStr">
        <is>
          <t>Santa Catalina de Mossa</t>
        </is>
      </c>
      <c r="E136" s="62" t="n">
        <v>5.405</v>
      </c>
      <c r="F136" s="60" t="inlineStr">
        <is>
          <t>14</t>
        </is>
      </c>
      <c r="G136" s="61" t="inlineStr">
        <is>
          <t>CONTIGUO</t>
        </is>
      </c>
      <c r="H136" s="61" t="inlineStr">
        <is>
          <t>AP-4</t>
        </is>
      </c>
      <c r="I136" s="61" t="inlineStr">
        <is>
          <t>Walter Córdova Córdova</t>
        </is>
      </c>
    </row>
    <row r="137">
      <c r="A137" s="63" t="inlineStr">
        <is>
          <t>SUS-013</t>
        </is>
      </c>
      <c r="B137" s="53" t="inlineStr">
        <is>
          <t>Lote SUS</t>
        </is>
      </c>
      <c r="C137" s="53" t="inlineStr">
        <is>
          <t>Morropón</t>
        </is>
      </c>
      <c r="D137" s="53" t="inlineStr">
        <is>
          <t>Santa Catalina de Mossa</t>
        </is>
      </c>
      <c r="E137" s="64" t="n">
        <v>1.83</v>
      </c>
      <c r="F137" s="63" t="inlineStr">
        <is>
          <t>14</t>
        </is>
      </c>
      <c r="G137" s="53" t="inlineStr">
        <is>
          <t>DENTRO</t>
        </is>
      </c>
      <c r="H137" s="53" t="inlineStr">
        <is>
          <t>AP-4</t>
        </is>
      </c>
      <c r="I137" s="53" t="inlineStr">
        <is>
          <t>Walter Córdova Córdova</t>
        </is>
      </c>
    </row>
    <row r="138">
      <c r="A138" s="60" t="inlineStr">
        <is>
          <t>SUS-014</t>
        </is>
      </c>
      <c r="B138" s="61" t="inlineStr">
        <is>
          <t>Lote SUS</t>
        </is>
      </c>
      <c r="C138" s="61" t="inlineStr">
        <is>
          <t>Morropón</t>
        </is>
      </c>
      <c r="D138" s="61" t="inlineStr">
        <is>
          <t>Santa Catalina de Mossa</t>
        </is>
      </c>
      <c r="E138" s="62" t="n">
        <v>1.045</v>
      </c>
      <c r="F138" s="60" t="inlineStr">
        <is>
          <t>14</t>
        </is>
      </c>
      <c r="G138" s="61" t="inlineStr">
        <is>
          <t>DENTRO</t>
        </is>
      </c>
      <c r="H138" s="61" t="inlineStr">
        <is>
          <t>AP-4</t>
        </is>
      </c>
      <c r="I138" s="61" t="inlineStr">
        <is>
          <t>Walter Córdova Córdova</t>
        </is>
      </c>
    </row>
    <row r="139">
      <c r="A139" s="63" t="inlineStr">
        <is>
          <t>SUS-015</t>
        </is>
      </c>
      <c r="B139" s="53" t="inlineStr">
        <is>
          <t>Lote SUS</t>
        </is>
      </c>
      <c r="C139" s="53" t="inlineStr">
        <is>
          <t>Morropón</t>
        </is>
      </c>
      <c r="D139" s="53" t="inlineStr">
        <is>
          <t>Santa Catalina de Mossa</t>
        </is>
      </c>
      <c r="E139" s="64" t="n">
        <v>1.011</v>
      </c>
      <c r="F139" s="63" t="inlineStr">
        <is>
          <t>14</t>
        </is>
      </c>
      <c r="G139" s="53" t="inlineStr">
        <is>
          <t>DENTRO</t>
        </is>
      </c>
      <c r="H139" s="53" t="inlineStr">
        <is>
          <t>AP-4</t>
        </is>
      </c>
      <c r="I139" s="53" t="inlineStr">
        <is>
          <t>Walter Córdova Córdova</t>
        </is>
      </c>
    </row>
    <row r="140">
      <c r="A140" s="60" t="inlineStr">
        <is>
          <t>SUS-016</t>
        </is>
      </c>
      <c r="B140" s="61" t="inlineStr">
        <is>
          <t>Lote SUS</t>
        </is>
      </c>
      <c r="C140" s="61" t="inlineStr">
        <is>
          <t>Morropón</t>
        </is>
      </c>
      <c r="D140" s="61" t="inlineStr">
        <is>
          <t>Santo Domingo</t>
        </is>
      </c>
      <c r="E140" s="62" t="n">
        <v>1.208</v>
      </c>
      <c r="F140" s="60" t="inlineStr">
        <is>
          <t>13</t>
        </is>
      </c>
      <c r="G140" s="61" t="inlineStr">
        <is>
          <t>CONTIGUO</t>
        </is>
      </c>
      <c r="H140" s="61" t="inlineStr">
        <is>
          <t>AP-4</t>
        </is>
      </c>
      <c r="I140" s="61" t="inlineStr">
        <is>
          <t>Walter Córdova Córdova</t>
        </is>
      </c>
    </row>
    <row r="141">
      <c r="A141" s="63" t="inlineStr">
        <is>
          <t>SUS-017</t>
        </is>
      </c>
      <c r="B141" s="53" t="inlineStr">
        <is>
          <t>Lote SUS</t>
        </is>
      </c>
      <c r="C141" s="53" t="inlineStr">
        <is>
          <t>Morropón</t>
        </is>
      </c>
      <c r="D141" s="53" t="inlineStr">
        <is>
          <t>Santo Domingo</t>
        </is>
      </c>
      <c r="E141" s="64" t="n">
        <v>1.105</v>
      </c>
      <c r="F141" s="63" t="inlineStr">
        <is>
          <t>15</t>
        </is>
      </c>
      <c r="G141" s="53" t="inlineStr">
        <is>
          <t>CONTIGUO</t>
        </is>
      </c>
      <c r="H141" s="53" t="inlineStr">
        <is>
          <t>AP-4</t>
        </is>
      </c>
      <c r="I141" s="53" t="inlineStr">
        <is>
          <t>Walter Córdova Córdova</t>
        </is>
      </c>
    </row>
    <row r="142">
      <c r="A142" s="60" t="inlineStr">
        <is>
          <t>SUS-018</t>
        </is>
      </c>
      <c r="B142" s="61" t="inlineStr">
        <is>
          <t>Lote SUS</t>
        </is>
      </c>
      <c r="C142" s="61" t="inlineStr">
        <is>
          <t>Morropón</t>
        </is>
      </c>
      <c r="D142" s="61" t="inlineStr">
        <is>
          <t>Santo Domingo</t>
        </is>
      </c>
      <c r="E142" s="62" t="n">
        <v>1.943</v>
      </c>
      <c r="F142" s="60" t="inlineStr">
        <is>
          <t>15</t>
        </is>
      </c>
      <c r="G142" s="61" t="inlineStr">
        <is>
          <t>DENTRO</t>
        </is>
      </c>
      <c r="H142" s="61" t="inlineStr">
        <is>
          <t>AP-4</t>
        </is>
      </c>
      <c r="I142" s="61" t="inlineStr">
        <is>
          <t>Walter Córdova Córdova</t>
        </is>
      </c>
    </row>
    <row r="143">
      <c r="A143" s="63" t="inlineStr">
        <is>
          <t>SUS-019</t>
        </is>
      </c>
      <c r="B143" s="53" t="inlineStr">
        <is>
          <t>Lote SUS</t>
        </is>
      </c>
      <c r="C143" s="53" t="inlineStr">
        <is>
          <t>Morropón</t>
        </is>
      </c>
      <c r="D143" s="53" t="inlineStr">
        <is>
          <t>Santo Domingo</t>
        </is>
      </c>
      <c r="E143" s="64" t="n">
        <v>1.708</v>
      </c>
      <c r="F143" s="63" t="inlineStr">
        <is>
          <t>15</t>
        </is>
      </c>
      <c r="G143" s="53" t="inlineStr">
        <is>
          <t>DENTRO</t>
        </is>
      </c>
      <c r="H143" s="53" t="inlineStr">
        <is>
          <t>AP-4</t>
        </is>
      </c>
      <c r="I143" s="53" t="inlineStr">
        <is>
          <t>Walter Córdova Córdova</t>
        </is>
      </c>
    </row>
    <row r="144">
      <c r="A144" s="60" t="inlineStr">
        <is>
          <t>SUS-020</t>
        </is>
      </c>
      <c r="B144" s="61" t="inlineStr">
        <is>
          <t>Lote SUS</t>
        </is>
      </c>
      <c r="C144" s="61" t="inlineStr">
        <is>
          <t>Morropón</t>
        </is>
      </c>
      <c r="D144" s="61" t="inlineStr">
        <is>
          <t>Santo Domingo</t>
        </is>
      </c>
      <c r="E144" s="62" t="n">
        <v>1.417</v>
      </c>
      <c r="F144" s="60" t="inlineStr">
        <is>
          <t>15</t>
        </is>
      </c>
      <c r="G144" s="61" t="inlineStr">
        <is>
          <t>DENTRO</t>
        </is>
      </c>
      <c r="H144" s="61" t="inlineStr">
        <is>
          <t>AP-4</t>
        </is>
      </c>
      <c r="I144" s="61" t="inlineStr">
        <is>
          <t>Walter Córdova Córdova</t>
        </is>
      </c>
    </row>
    <row r="145">
      <c r="A145" s="63" t="inlineStr">
        <is>
          <t>SUS-021</t>
        </is>
      </c>
      <c r="B145" s="53" t="inlineStr">
        <is>
          <t>Lote SUS</t>
        </is>
      </c>
      <c r="C145" s="53" t="inlineStr">
        <is>
          <t>Morropón</t>
        </is>
      </c>
      <c r="D145" s="53" t="inlineStr">
        <is>
          <t>Santo Domingo</t>
        </is>
      </c>
      <c r="E145" s="64" t="n">
        <v>4.288</v>
      </c>
      <c r="F145" s="63" t="inlineStr">
        <is>
          <t>17</t>
        </is>
      </c>
      <c r="G145" s="53" t="inlineStr">
        <is>
          <t>CONTIGUO</t>
        </is>
      </c>
      <c r="H145" s="53" t="inlineStr">
        <is>
          <t>AP-4</t>
        </is>
      </c>
      <c r="I145" s="53" t="inlineStr">
        <is>
          <t>Walter Córdova Córdova</t>
        </is>
      </c>
    </row>
    <row r="146">
      <c r="A146" s="60" t="inlineStr">
        <is>
          <t>SUS-022</t>
        </is>
      </c>
      <c r="B146" s="61" t="inlineStr">
        <is>
          <t>Lote SUS</t>
        </is>
      </c>
      <c r="C146" s="61" t="inlineStr">
        <is>
          <t>Morropón</t>
        </is>
      </c>
      <c r="D146" s="61" t="inlineStr">
        <is>
          <t>Santo Domingo</t>
        </is>
      </c>
      <c r="E146" s="62" t="n">
        <v>3.851</v>
      </c>
      <c r="F146" s="60" t="inlineStr">
        <is>
          <t>17</t>
        </is>
      </c>
      <c r="G146" s="61" t="inlineStr">
        <is>
          <t>DENTRO</t>
        </is>
      </c>
      <c r="H146" s="61" t="inlineStr">
        <is>
          <t>AP-4</t>
        </is>
      </c>
      <c r="I146" s="61" t="inlineStr">
        <is>
          <t>Walter Córdova Córdova</t>
        </is>
      </c>
    </row>
    <row r="147">
      <c r="A147" s="63" t="inlineStr">
        <is>
          <t>SUS-023</t>
        </is>
      </c>
      <c r="B147" s="53" t="inlineStr">
        <is>
          <t>Lote SUS</t>
        </is>
      </c>
      <c r="C147" s="53" t="inlineStr">
        <is>
          <t>Morropón</t>
        </is>
      </c>
      <c r="D147" s="53" t="inlineStr">
        <is>
          <t>Santo Domingo</t>
        </is>
      </c>
      <c r="E147" s="64" t="n">
        <v>1.795</v>
      </c>
      <c r="F147" s="63" t="inlineStr">
        <is>
          <t>23</t>
        </is>
      </c>
      <c r="G147" s="53" t="inlineStr">
        <is>
          <t>CONTIGUO</t>
        </is>
      </c>
      <c r="H147" s="53" t="inlineStr">
        <is>
          <t>AP-4</t>
        </is>
      </c>
      <c r="I147" s="53" t="inlineStr">
        <is>
          <t>Walter Córdova Córdova</t>
        </is>
      </c>
    </row>
    <row r="148">
      <c r="A148" s="60" t="inlineStr">
        <is>
          <t>SUS-024</t>
        </is>
      </c>
      <c r="B148" s="61" t="inlineStr">
        <is>
          <t>Lote SUS</t>
        </is>
      </c>
      <c r="C148" s="61" t="inlineStr">
        <is>
          <t>Morropón</t>
        </is>
      </c>
      <c r="D148" s="61" t="inlineStr">
        <is>
          <t>Santo Domingo</t>
        </is>
      </c>
      <c r="E148" s="62" t="n">
        <v>2.336</v>
      </c>
      <c r="F148" s="60" t="inlineStr">
        <is>
          <t>82</t>
        </is>
      </c>
      <c r="G148" s="61" t="inlineStr">
        <is>
          <t>CONTIGUO</t>
        </is>
      </c>
      <c r="H148" s="61" t="inlineStr">
        <is>
          <t>AP-4</t>
        </is>
      </c>
      <c r="I148" s="61" t="inlineStr">
        <is>
          <t>Walter Córdova Córdova</t>
        </is>
      </c>
    </row>
    <row r="149">
      <c r="A149" s="63" t="inlineStr">
        <is>
          <t>SUS-025</t>
        </is>
      </c>
      <c r="B149" s="53" t="inlineStr">
        <is>
          <t>Lote SUS</t>
        </is>
      </c>
      <c r="C149" s="53" t="inlineStr">
        <is>
          <t>Morropón</t>
        </is>
      </c>
      <c r="D149" s="53" t="inlineStr">
        <is>
          <t>Santo Domingo</t>
        </is>
      </c>
      <c r="E149" s="64" t="n">
        <v>1.23</v>
      </c>
      <c r="F149" s="63" t="inlineStr">
        <is>
          <t>82</t>
        </is>
      </c>
      <c r="G149" s="53" t="inlineStr">
        <is>
          <t>DENTRO</t>
        </is>
      </c>
      <c r="H149" s="53" t="inlineStr">
        <is>
          <t>AP-4</t>
        </is>
      </c>
      <c r="I149" s="53" t="inlineStr">
        <is>
          <t>Walter Córdova Córdova</t>
        </is>
      </c>
    </row>
    <row r="150">
      <c r="A150" s="60" t="inlineStr">
        <is>
          <t>SUS-026</t>
        </is>
      </c>
      <c r="B150" s="61" t="inlineStr">
        <is>
          <t>Lote SUS</t>
        </is>
      </c>
      <c r="C150" s="61" t="inlineStr">
        <is>
          <t>Morropón</t>
        </is>
      </c>
      <c r="D150" s="61" t="inlineStr">
        <is>
          <t>Santo Domingo</t>
        </is>
      </c>
      <c r="E150" s="62" t="n">
        <v>1.209</v>
      </c>
      <c r="F150" s="60" t="inlineStr">
        <is>
          <t>M8B2</t>
        </is>
      </c>
      <c r="G150" s="61" t="inlineStr">
        <is>
          <t>CONTIGUO</t>
        </is>
      </c>
      <c r="H150" s="61" t="inlineStr">
        <is>
          <t>AP-4</t>
        </is>
      </c>
      <c r="I150" s="61" t="inlineStr">
        <is>
          <t>Walter Córdova Córdova</t>
        </is>
      </c>
    </row>
    <row r="151">
      <c r="A151" s="63" t="inlineStr">
        <is>
          <t>SUS-027</t>
        </is>
      </c>
      <c r="B151" s="53" t="inlineStr">
        <is>
          <t>Lote SUS</t>
        </is>
      </c>
      <c r="C151" s="53" t="inlineStr">
        <is>
          <t>Morropón</t>
        </is>
      </c>
      <c r="D151" s="53" t="inlineStr">
        <is>
          <t>Santo Domingo</t>
        </is>
      </c>
      <c r="E151" s="64" t="n">
        <v>2.325</v>
      </c>
      <c r="F151" s="63" t="inlineStr">
        <is>
          <t>M8B2</t>
        </is>
      </c>
      <c r="G151" s="53" t="inlineStr">
        <is>
          <t>DENTRO</t>
        </is>
      </c>
      <c r="H151" s="53" t="inlineStr">
        <is>
          <t>AP-4</t>
        </is>
      </c>
      <c r="I151" s="53" t="inlineStr">
        <is>
          <t>Walter Córdova Córdova</t>
        </is>
      </c>
    </row>
    <row r="152">
      <c r="A152" s="60" t="inlineStr">
        <is>
          <t>SUS-028</t>
        </is>
      </c>
      <c r="B152" s="61" t="inlineStr">
        <is>
          <t>Lote SUS</t>
        </is>
      </c>
      <c r="C152" s="61" t="inlineStr">
        <is>
          <t>Morropón</t>
        </is>
      </c>
      <c r="D152" s="61" t="inlineStr">
        <is>
          <t>Yamango</t>
        </is>
      </c>
      <c r="E152" s="62" t="n">
        <v>3.82</v>
      </c>
      <c r="F152" s="60" t="inlineStr">
        <is>
          <t>M28B2</t>
        </is>
      </c>
      <c r="G152" s="61" t="inlineStr">
        <is>
          <t>DENTRO</t>
        </is>
      </c>
      <c r="H152" s="61" t="inlineStr">
        <is>
          <t>AP-3</t>
        </is>
      </c>
      <c r="I152" s="61" t="inlineStr">
        <is>
          <t>Miguel Ángel López Maza</t>
        </is>
      </c>
    </row>
    <row r="153">
      <c r="A153" s="63" t="inlineStr">
        <is>
          <t>SUS-029</t>
        </is>
      </c>
      <c r="B153" s="53" t="inlineStr">
        <is>
          <t>Lote SUS</t>
        </is>
      </c>
      <c r="C153" s="53" t="inlineStr">
        <is>
          <t>Morropón</t>
        </is>
      </c>
      <c r="D153" s="53" t="inlineStr">
        <is>
          <t>Yamango</t>
        </is>
      </c>
      <c r="E153" s="64" t="n">
        <v>3.767</v>
      </c>
      <c r="F153" s="63" t="inlineStr">
        <is>
          <t>M28B2</t>
        </is>
      </c>
      <c r="G153" s="53" t="inlineStr">
        <is>
          <t>DENTRO</t>
        </is>
      </c>
      <c r="H153" s="53" t="inlineStr">
        <is>
          <t>AP-3</t>
        </is>
      </c>
      <c r="I153" s="53" t="inlineStr">
        <is>
          <t>Miguel Ángel López Maza</t>
        </is>
      </c>
    </row>
    <row r="154">
      <c r="A154" s="60" t="inlineStr">
        <is>
          <t>SUS-030</t>
        </is>
      </c>
      <c r="B154" s="61" t="inlineStr">
        <is>
          <t>Lote SUS</t>
        </is>
      </c>
      <c r="C154" s="61" t="inlineStr">
        <is>
          <t>Morropón</t>
        </is>
      </c>
      <c r="D154" s="61" t="inlineStr">
        <is>
          <t>Yamango</t>
        </is>
      </c>
      <c r="E154" s="62" t="n">
        <v>1.433</v>
      </c>
      <c r="F154" s="60" t="inlineStr">
        <is>
          <t>M28B2</t>
        </is>
      </c>
      <c r="G154" s="61" t="inlineStr">
        <is>
          <t>DENTRO</t>
        </is>
      </c>
      <c r="H154" s="61" t="inlineStr">
        <is>
          <t>AP-3</t>
        </is>
      </c>
      <c r="I154" s="61" t="inlineStr">
        <is>
          <t>Miguel Ángel López Maza</t>
        </is>
      </c>
    </row>
    <row r="155">
      <c r="A155" s="63" t="inlineStr">
        <is>
          <t>SUS-031</t>
        </is>
      </c>
      <c r="B155" s="53" t="inlineStr">
        <is>
          <t>Lote SUS</t>
        </is>
      </c>
      <c r="C155" s="53" t="inlineStr">
        <is>
          <t>Morropón</t>
        </is>
      </c>
      <c r="D155" s="53" t="inlineStr">
        <is>
          <t>Yamango</t>
        </is>
      </c>
      <c r="E155" s="64" t="n">
        <v>2.698</v>
      </c>
      <c r="F155" s="63" t="inlineStr">
        <is>
          <t>M28B3</t>
        </is>
      </c>
      <c r="G155" s="53" t="inlineStr">
        <is>
          <t>CONTIGUO</t>
        </is>
      </c>
      <c r="H155" s="53" t="inlineStr">
        <is>
          <t>AP-3</t>
        </is>
      </c>
      <c r="I155" s="53" t="inlineStr">
        <is>
          <t>Miguel Ángel López Maza</t>
        </is>
      </c>
    </row>
    <row r="156">
      <c r="A156" s="60" t="inlineStr">
        <is>
          <t>SUS-032</t>
        </is>
      </c>
      <c r="B156" s="61" t="inlineStr">
        <is>
          <t>Lote SUS</t>
        </is>
      </c>
      <c r="C156" s="61" t="inlineStr">
        <is>
          <t>Huancabamba</t>
        </is>
      </c>
      <c r="D156" s="61" t="inlineStr">
        <is>
          <t>Canchaque</t>
        </is>
      </c>
      <c r="E156" s="62" t="n">
        <v>7.58</v>
      </c>
      <c r="F156" s="60" t="inlineStr">
        <is>
          <t>21</t>
        </is>
      </c>
      <c r="G156" s="61" t="inlineStr">
        <is>
          <t>CONTIGUO</t>
        </is>
      </c>
      <c r="H156" s="61" t="inlineStr">
        <is>
          <t>AP-5</t>
        </is>
      </c>
      <c r="I156" s="61" t="inlineStr">
        <is>
          <t>Eli Moisés Tocto Padilla</t>
        </is>
      </c>
    </row>
    <row r="157">
      <c r="A157" s="63" t="inlineStr">
        <is>
          <t>SUS-033</t>
        </is>
      </c>
      <c r="B157" s="53" t="inlineStr">
        <is>
          <t>Lote SUS</t>
        </is>
      </c>
      <c r="C157" s="53" t="inlineStr">
        <is>
          <t>Huancabamba</t>
        </is>
      </c>
      <c r="D157" s="53" t="inlineStr">
        <is>
          <t>Canchaque</t>
        </is>
      </c>
      <c r="E157" s="64" t="n">
        <v>1.845</v>
      </c>
      <c r="F157" s="63" t="inlineStr">
        <is>
          <t>30</t>
        </is>
      </c>
      <c r="G157" s="53" t="inlineStr">
        <is>
          <t>CONTIGUO</t>
        </is>
      </c>
      <c r="H157" s="53" t="inlineStr">
        <is>
          <t>AP-5</t>
        </is>
      </c>
      <c r="I157" s="53" t="inlineStr">
        <is>
          <t>Eli Moisés Tocto Padilla</t>
        </is>
      </c>
    </row>
    <row r="158">
      <c r="A158" s="60" t="inlineStr">
        <is>
          <t>SUS-034</t>
        </is>
      </c>
      <c r="B158" s="61" t="inlineStr">
        <is>
          <t>Lote SUS</t>
        </is>
      </c>
      <c r="C158" s="61" t="inlineStr">
        <is>
          <t>Huancabamba</t>
        </is>
      </c>
      <c r="D158" s="61" t="inlineStr">
        <is>
          <t>Canchaque</t>
        </is>
      </c>
      <c r="E158" s="62" t="n">
        <v>1.642</v>
      </c>
      <c r="F158" s="60" t="inlineStr">
        <is>
          <t>30</t>
        </is>
      </c>
      <c r="G158" s="61" t="inlineStr">
        <is>
          <t>DENTRO</t>
        </is>
      </c>
      <c r="H158" s="61" t="inlineStr">
        <is>
          <t>AP-5</t>
        </is>
      </c>
      <c r="I158" s="61" t="inlineStr">
        <is>
          <t>Eli Moisés Tocto Padilla</t>
        </is>
      </c>
    </row>
    <row r="159">
      <c r="A159" s="63" t="inlineStr">
        <is>
          <t>SUS-035</t>
        </is>
      </c>
      <c r="B159" s="53" t="inlineStr">
        <is>
          <t>Lote SUS</t>
        </is>
      </c>
      <c r="C159" s="53" t="inlineStr">
        <is>
          <t>Huancabamba</t>
        </is>
      </c>
      <c r="D159" s="53" t="inlineStr">
        <is>
          <t>Canchaque</t>
        </is>
      </c>
      <c r="E159" s="64" t="n">
        <v>9.805</v>
      </c>
      <c r="F159" s="63" t="inlineStr">
        <is>
          <t>66</t>
        </is>
      </c>
      <c r="G159" s="53" t="inlineStr">
        <is>
          <t>CONTIGUO</t>
        </is>
      </c>
      <c r="H159" s="53" t="inlineStr">
        <is>
          <t>AP-5</t>
        </is>
      </c>
      <c r="I159" s="53" t="inlineStr">
        <is>
          <t>Eli Moisés Tocto Padilla</t>
        </is>
      </c>
    </row>
    <row r="160">
      <c r="A160" s="60" t="inlineStr">
        <is>
          <t>SUS-036</t>
        </is>
      </c>
      <c r="B160" s="61" t="inlineStr">
        <is>
          <t>Lote SUS</t>
        </is>
      </c>
      <c r="C160" s="61" t="inlineStr">
        <is>
          <t>Huancabamba</t>
        </is>
      </c>
      <c r="D160" s="61" t="inlineStr">
        <is>
          <t>Huancabamba</t>
        </is>
      </c>
      <c r="E160" s="62" t="n">
        <v>9.09</v>
      </c>
      <c r="F160" s="60" t="inlineStr">
        <is>
          <t>M30B5</t>
        </is>
      </c>
      <c r="G160" s="61" t="inlineStr">
        <is>
          <t>DENTRO</t>
        </is>
      </c>
      <c r="H160" s="61" t="inlineStr">
        <is>
          <t>AP-5</t>
        </is>
      </c>
      <c r="I160" s="61" t="inlineStr">
        <is>
          <t>Eli Moisés Tocto Padilla</t>
        </is>
      </c>
    </row>
    <row r="161">
      <c r="A161" s="63" t="inlineStr">
        <is>
          <t>SUS-037</t>
        </is>
      </c>
      <c r="B161" s="53" t="inlineStr">
        <is>
          <t>Lote SUS</t>
        </is>
      </c>
      <c r="C161" s="53" t="inlineStr">
        <is>
          <t>Huancabamba</t>
        </is>
      </c>
      <c r="D161" s="53" t="inlineStr">
        <is>
          <t>Huarmaca</t>
        </is>
      </c>
      <c r="E161" s="64" t="n">
        <v>3.595</v>
      </c>
      <c r="F161" s="63" t="inlineStr">
        <is>
          <t>16</t>
        </is>
      </c>
      <c r="G161" s="53" t="inlineStr">
        <is>
          <t>CONTIGUO</t>
        </is>
      </c>
      <c r="H161" s="53" t="inlineStr">
        <is>
          <t>AP-5</t>
        </is>
      </c>
      <c r="I161" s="53" t="inlineStr">
        <is>
          <t>Eli Moisés Tocto Padilla</t>
        </is>
      </c>
    </row>
    <row r="162">
      <c r="A162" s="60" t="inlineStr">
        <is>
          <t>SUS-038</t>
        </is>
      </c>
      <c r="B162" s="61" t="inlineStr">
        <is>
          <t>Lote SUS</t>
        </is>
      </c>
      <c r="C162" s="61" t="inlineStr">
        <is>
          <t>Huancabamba</t>
        </is>
      </c>
      <c r="D162" s="61" t="inlineStr">
        <is>
          <t>Huarmaca</t>
        </is>
      </c>
      <c r="E162" s="62" t="n">
        <v>2.246</v>
      </c>
      <c r="F162" s="60" t="inlineStr">
        <is>
          <t>16</t>
        </is>
      </c>
      <c r="G162" s="61" t="inlineStr">
        <is>
          <t>CONTIGUO</t>
        </is>
      </c>
      <c r="H162" s="61" t="inlineStr">
        <is>
          <t>AP-5</t>
        </is>
      </c>
      <c r="I162" s="61" t="inlineStr">
        <is>
          <t>Eli Moisés Tocto Padilla</t>
        </is>
      </c>
    </row>
    <row r="163">
      <c r="A163" s="63" t="inlineStr">
        <is>
          <t>SUS-039</t>
        </is>
      </c>
      <c r="B163" s="53" t="inlineStr">
        <is>
          <t>Lote SUS</t>
        </is>
      </c>
      <c r="C163" s="53" t="inlineStr">
        <is>
          <t>Huancabamba</t>
        </is>
      </c>
      <c r="D163" s="53" t="inlineStr">
        <is>
          <t>Huarmaca</t>
        </is>
      </c>
      <c r="E163" s="64" t="n">
        <v>6.806</v>
      </c>
      <c r="F163" s="63" t="inlineStr">
        <is>
          <t>18</t>
        </is>
      </c>
      <c r="G163" s="53" t="inlineStr">
        <is>
          <t>CONTIGUO</t>
        </is>
      </c>
      <c r="H163" s="53" t="inlineStr">
        <is>
          <t>AP-6</t>
        </is>
      </c>
      <c r="I163" s="53" t="inlineStr">
        <is>
          <t>Rubén García García</t>
        </is>
      </c>
    </row>
    <row r="164">
      <c r="A164" s="60" t="inlineStr">
        <is>
          <t>SUS-040</t>
        </is>
      </c>
      <c r="B164" s="61" t="inlineStr">
        <is>
          <t>Lote SUS</t>
        </is>
      </c>
      <c r="C164" s="61" t="inlineStr">
        <is>
          <t>Huancabamba</t>
        </is>
      </c>
      <c r="D164" s="61" t="inlineStr">
        <is>
          <t>Huarmaca</t>
        </is>
      </c>
      <c r="E164" s="62" t="n">
        <v>9.276999999999999</v>
      </c>
      <c r="F164" s="60" t="inlineStr">
        <is>
          <t>4</t>
        </is>
      </c>
      <c r="G164" s="61" t="inlineStr">
        <is>
          <t>CONTIGUO</t>
        </is>
      </c>
      <c r="H164" s="61" t="inlineStr">
        <is>
          <t>AP-5</t>
        </is>
      </c>
      <c r="I164" s="61" t="inlineStr">
        <is>
          <t>Eli Moisés Tocto Padilla</t>
        </is>
      </c>
    </row>
    <row r="165">
      <c r="A165" s="63" t="inlineStr">
        <is>
          <t>SUS-041</t>
        </is>
      </c>
      <c r="B165" s="53" t="inlineStr">
        <is>
          <t>Lote SUS</t>
        </is>
      </c>
      <c r="C165" s="53" t="inlineStr">
        <is>
          <t>Huancabamba</t>
        </is>
      </c>
      <c r="D165" s="53" t="inlineStr">
        <is>
          <t>Huarmaca</t>
        </is>
      </c>
      <c r="E165" s="64" t="n">
        <v>1.306</v>
      </c>
      <c r="F165" s="63" t="inlineStr">
        <is>
          <t>53</t>
        </is>
      </c>
      <c r="G165" s="53" t="inlineStr">
        <is>
          <t>CONTIGUO</t>
        </is>
      </c>
      <c r="H165" s="53" t="inlineStr">
        <is>
          <t>AP-6</t>
        </is>
      </c>
      <c r="I165" s="53" t="inlineStr">
        <is>
          <t>Rubén García García</t>
        </is>
      </c>
    </row>
    <row r="166">
      <c r="A166" s="60" t="inlineStr">
        <is>
          <t>SUS-042</t>
        </is>
      </c>
      <c r="B166" s="61" t="inlineStr">
        <is>
          <t>Lote SUS</t>
        </is>
      </c>
      <c r="C166" s="61" t="inlineStr">
        <is>
          <t>Huancabamba</t>
        </is>
      </c>
      <c r="D166" s="61" t="inlineStr">
        <is>
          <t>Huarmaca</t>
        </is>
      </c>
      <c r="E166" s="62" t="n">
        <v>1.936</v>
      </c>
      <c r="F166" s="60" t="inlineStr">
        <is>
          <t>69</t>
        </is>
      </c>
      <c r="G166" s="61" t="inlineStr">
        <is>
          <t>CONTIGUO</t>
        </is>
      </c>
      <c r="H166" s="61" t="inlineStr">
        <is>
          <t>AP-6</t>
        </is>
      </c>
      <c r="I166" s="61" t="inlineStr">
        <is>
          <t>Rubén García García</t>
        </is>
      </c>
    </row>
    <row r="167">
      <c r="A167" s="63" t="inlineStr">
        <is>
          <t>SUS-043</t>
        </is>
      </c>
      <c r="B167" s="53" t="inlineStr">
        <is>
          <t>Lote SUS</t>
        </is>
      </c>
      <c r="C167" s="53" t="inlineStr">
        <is>
          <t>Huancabamba</t>
        </is>
      </c>
      <c r="D167" s="53" t="inlineStr">
        <is>
          <t>Huarmaca</t>
        </is>
      </c>
      <c r="E167" s="64" t="n">
        <v>2.239</v>
      </c>
      <c r="F167" s="63" t="inlineStr">
        <is>
          <t>70</t>
        </is>
      </c>
      <c r="G167" s="53" t="inlineStr">
        <is>
          <t>DENTRO</t>
        </is>
      </c>
      <c r="H167" s="53" t="inlineStr">
        <is>
          <t>AP-6</t>
        </is>
      </c>
      <c r="I167" s="53" t="inlineStr">
        <is>
          <t>Rubén García García</t>
        </is>
      </c>
    </row>
    <row r="168">
      <c r="A168" s="60" t="inlineStr">
        <is>
          <t>SUS-044</t>
        </is>
      </c>
      <c r="B168" s="61" t="inlineStr">
        <is>
          <t>Lote SUS</t>
        </is>
      </c>
      <c r="C168" s="61" t="inlineStr">
        <is>
          <t>Huancabamba</t>
        </is>
      </c>
      <c r="D168" s="61" t="inlineStr">
        <is>
          <t>Huarmaca</t>
        </is>
      </c>
      <c r="E168" s="62" t="n">
        <v>1.067</v>
      </c>
      <c r="F168" s="60" t="inlineStr">
        <is>
          <t>71</t>
        </is>
      </c>
      <c r="G168" s="61" t="inlineStr">
        <is>
          <t>CONTIGUO</t>
        </is>
      </c>
      <c r="H168" s="61" t="inlineStr">
        <is>
          <t>AP-5</t>
        </is>
      </c>
      <c r="I168" s="61" t="inlineStr">
        <is>
          <t>Eli Moisés Tocto Padilla</t>
        </is>
      </c>
    </row>
    <row r="169">
      <c r="A169" s="63" t="inlineStr">
        <is>
          <t>SUS-045</t>
        </is>
      </c>
      <c r="B169" s="53" t="inlineStr">
        <is>
          <t>Lote SUS</t>
        </is>
      </c>
      <c r="C169" s="53" t="inlineStr">
        <is>
          <t>Huancabamba</t>
        </is>
      </c>
      <c r="D169" s="53" t="inlineStr">
        <is>
          <t>Huarmaca</t>
        </is>
      </c>
      <c r="E169" s="64" t="n">
        <v>1.626</v>
      </c>
      <c r="F169" s="63" t="inlineStr">
        <is>
          <t>76</t>
        </is>
      </c>
      <c r="G169" s="53" t="inlineStr">
        <is>
          <t>CONTIGUO</t>
        </is>
      </c>
      <c r="H169" s="53" t="inlineStr">
        <is>
          <t>AP-5</t>
        </is>
      </c>
      <c r="I169" s="53" t="inlineStr">
        <is>
          <t>Eli Moisés Tocto Padilla</t>
        </is>
      </c>
    </row>
    <row r="170">
      <c r="A170" s="60" t="inlineStr">
        <is>
          <t>SUS-046</t>
        </is>
      </c>
      <c r="B170" s="61" t="inlineStr">
        <is>
          <t>Lote SUS</t>
        </is>
      </c>
      <c r="C170" s="61" t="inlineStr">
        <is>
          <t>Huancabamba</t>
        </is>
      </c>
      <c r="D170" s="61" t="inlineStr">
        <is>
          <t>Huarmaca</t>
        </is>
      </c>
      <c r="E170" s="62" t="n">
        <v>1.988</v>
      </c>
      <c r="F170" s="60" t="inlineStr">
        <is>
          <t>80</t>
        </is>
      </c>
      <c r="G170" s="61" t="inlineStr">
        <is>
          <t>CONTIGUO</t>
        </is>
      </c>
      <c r="H170" s="61" t="inlineStr">
        <is>
          <t>AP-5</t>
        </is>
      </c>
      <c r="I170" s="61" t="inlineStr">
        <is>
          <t>Eli Moisés Tocto Padilla</t>
        </is>
      </c>
    </row>
    <row r="171">
      <c r="A171" s="63" t="inlineStr">
        <is>
          <t>SUS-047</t>
        </is>
      </c>
      <c r="B171" s="53" t="inlineStr">
        <is>
          <t>Lote SUS</t>
        </is>
      </c>
      <c r="C171" s="53" t="inlineStr">
        <is>
          <t>Huancabamba</t>
        </is>
      </c>
      <c r="D171" s="53" t="inlineStr">
        <is>
          <t>Huarmaca</t>
        </is>
      </c>
      <c r="E171" s="64" t="n">
        <v>8.074999999999999</v>
      </c>
      <c r="F171" s="63" t="inlineStr">
        <is>
          <t>M12B1</t>
        </is>
      </c>
      <c r="G171" s="53" t="inlineStr">
        <is>
          <t>CONTIGUO</t>
        </is>
      </c>
      <c r="H171" s="53" t="inlineStr">
        <is>
          <t>AP-5</t>
        </is>
      </c>
      <c r="I171" s="53" t="inlineStr">
        <is>
          <t>Eli Moisés Tocto Padilla</t>
        </is>
      </c>
    </row>
    <row r="172">
      <c r="A172" s="60" t="inlineStr">
        <is>
          <t>SUS-048</t>
        </is>
      </c>
      <c r="B172" s="61" t="inlineStr">
        <is>
          <t>Lote SUS</t>
        </is>
      </c>
      <c r="C172" s="61" t="inlineStr">
        <is>
          <t>Huancabamba</t>
        </is>
      </c>
      <c r="D172" s="61" t="inlineStr">
        <is>
          <t>Huarmaca</t>
        </is>
      </c>
      <c r="E172" s="62" t="n">
        <v>1.352</v>
      </c>
      <c r="F172" s="60" t="inlineStr">
        <is>
          <t>M12B1</t>
        </is>
      </c>
      <c r="G172" s="61" t="inlineStr">
        <is>
          <t>DENTRO</t>
        </is>
      </c>
      <c r="H172" s="61" t="inlineStr">
        <is>
          <t>AP-5</t>
        </is>
      </c>
      <c r="I172" s="61" t="inlineStr">
        <is>
          <t>Eli Moisés Tocto Padilla</t>
        </is>
      </c>
    </row>
    <row r="173">
      <c r="A173" s="63" t="inlineStr">
        <is>
          <t>SUS-049</t>
        </is>
      </c>
      <c r="B173" s="53" t="inlineStr">
        <is>
          <t>Lote SUS</t>
        </is>
      </c>
      <c r="C173" s="53" t="inlineStr">
        <is>
          <t>Huancabamba</t>
        </is>
      </c>
      <c r="D173" s="53" t="inlineStr">
        <is>
          <t>Huarmaca</t>
        </is>
      </c>
      <c r="E173" s="64" t="n">
        <v>14.201</v>
      </c>
      <c r="F173" s="63" t="inlineStr">
        <is>
          <t>M4B3</t>
        </is>
      </c>
      <c r="G173" s="53" t="inlineStr">
        <is>
          <t>CONTIGUO</t>
        </is>
      </c>
      <c r="H173" s="53" t="inlineStr">
        <is>
          <t>AP-6</t>
        </is>
      </c>
      <c r="I173" s="53" t="inlineStr">
        <is>
          <t>Rubén García García</t>
        </is>
      </c>
    </row>
    <row r="174">
      <c r="A174" s="60" t="inlineStr">
        <is>
          <t>SUS-050</t>
        </is>
      </c>
      <c r="B174" s="61" t="inlineStr">
        <is>
          <t>Lote SUS</t>
        </is>
      </c>
      <c r="C174" s="61" t="inlineStr">
        <is>
          <t>Huancabamba</t>
        </is>
      </c>
      <c r="D174" s="61" t="inlineStr">
        <is>
          <t>Huarmaca</t>
        </is>
      </c>
      <c r="E174" s="62" t="n">
        <v>5.687</v>
      </c>
      <c r="F174" s="60" t="inlineStr">
        <is>
          <t>M4B4</t>
        </is>
      </c>
      <c r="G174" s="61" t="inlineStr">
        <is>
          <t>CONTIGUO</t>
        </is>
      </c>
      <c r="H174" s="61" t="inlineStr">
        <is>
          <t>AP-6</t>
        </is>
      </c>
      <c r="I174" s="61" t="inlineStr">
        <is>
          <t>Rubén García García</t>
        </is>
      </c>
    </row>
    <row r="175">
      <c r="A175" s="63" t="inlineStr">
        <is>
          <t>SUS-051</t>
        </is>
      </c>
      <c r="B175" s="53" t="inlineStr">
        <is>
          <t>Lote SUS</t>
        </is>
      </c>
      <c r="C175" s="53" t="inlineStr">
        <is>
          <t>Huancabamba</t>
        </is>
      </c>
      <c r="D175" s="53" t="inlineStr">
        <is>
          <t>Lalaquiz</t>
        </is>
      </c>
      <c r="E175" s="64" t="n">
        <v>4.696</v>
      </c>
      <c r="F175" s="63" t="inlineStr">
        <is>
          <t>26</t>
        </is>
      </c>
      <c r="G175" s="53" t="inlineStr">
        <is>
          <t>CONTIGUO</t>
        </is>
      </c>
      <c r="H175" s="53" t="inlineStr">
        <is>
          <t>PENDIENTE</t>
        </is>
      </c>
      <c r="I175" s="53" t="inlineStr">
        <is>
          <t>Por asignar (Lalaquiz)</t>
        </is>
      </c>
    </row>
    <row r="176">
      <c r="A176" s="60" t="inlineStr">
        <is>
          <t>SUS-052</t>
        </is>
      </c>
      <c r="B176" s="61" t="inlineStr">
        <is>
          <t>Lote SUS</t>
        </is>
      </c>
      <c r="C176" s="61" t="inlineStr">
        <is>
          <t>Huancabamba</t>
        </is>
      </c>
      <c r="D176" s="61" t="inlineStr">
        <is>
          <t>Lalaquiz</t>
        </is>
      </c>
      <c r="E176" s="62" t="n">
        <v>1.398</v>
      </c>
      <c r="F176" s="60" t="inlineStr">
        <is>
          <t>34</t>
        </is>
      </c>
      <c r="G176" s="61" t="inlineStr">
        <is>
          <t>CONTIGUO</t>
        </is>
      </c>
      <c r="H176" s="61" t="inlineStr">
        <is>
          <t>PENDIENTE</t>
        </is>
      </c>
      <c r="I176" s="61" t="inlineStr">
        <is>
          <t>Por asignar (Lalaquiz)</t>
        </is>
      </c>
    </row>
    <row r="177">
      <c r="A177" s="63" t="inlineStr">
        <is>
          <t>SUS-053</t>
        </is>
      </c>
      <c r="B177" s="53" t="inlineStr">
        <is>
          <t>Lote SUS</t>
        </is>
      </c>
      <c r="C177" s="53" t="inlineStr">
        <is>
          <t>Huancabamba</t>
        </is>
      </c>
      <c r="D177" s="53" t="inlineStr">
        <is>
          <t>Lalaquiz</t>
        </is>
      </c>
      <c r="E177" s="64" t="n">
        <v>1.209</v>
      </c>
      <c r="F177" s="63" t="inlineStr">
        <is>
          <t>34</t>
        </is>
      </c>
      <c r="G177" s="53" t="inlineStr">
        <is>
          <t>DENTRO</t>
        </is>
      </c>
      <c r="H177" s="53" t="inlineStr">
        <is>
          <t>PENDIENTE</t>
        </is>
      </c>
      <c r="I177" s="53" t="inlineStr">
        <is>
          <t>Por asignar (Lalaquiz)</t>
        </is>
      </c>
    </row>
    <row r="178">
      <c r="A178" s="60" t="inlineStr">
        <is>
          <t>SUS-054</t>
        </is>
      </c>
      <c r="B178" s="61" t="inlineStr">
        <is>
          <t>Lote SUS</t>
        </is>
      </c>
      <c r="C178" s="61" t="inlineStr">
        <is>
          <t>Huancabamba</t>
        </is>
      </c>
      <c r="D178" s="61" t="inlineStr">
        <is>
          <t>Lalaquiz</t>
        </is>
      </c>
      <c r="E178" s="62" t="n">
        <v>2.038</v>
      </c>
      <c r="F178" s="60" t="inlineStr">
        <is>
          <t>37</t>
        </is>
      </c>
      <c r="G178" s="61" t="inlineStr">
        <is>
          <t>CONTIGUO</t>
        </is>
      </c>
      <c r="H178" s="61" t="inlineStr">
        <is>
          <t>PENDIENTE</t>
        </is>
      </c>
      <c r="I178" s="61" t="inlineStr">
        <is>
          <t>Por asignar (Lalaquiz)</t>
        </is>
      </c>
    </row>
    <row r="179">
      <c r="A179" s="63" t="inlineStr">
        <is>
          <t>SUS-055</t>
        </is>
      </c>
      <c r="B179" s="53" t="inlineStr">
        <is>
          <t>Lote SUS</t>
        </is>
      </c>
      <c r="C179" s="53" t="inlineStr">
        <is>
          <t>Huancabamba</t>
        </is>
      </c>
      <c r="D179" s="53" t="inlineStr">
        <is>
          <t>Lalaquiz</t>
        </is>
      </c>
      <c r="E179" s="64" t="n">
        <v>1.511</v>
      </c>
      <c r="F179" s="63" t="inlineStr">
        <is>
          <t>37</t>
        </is>
      </c>
      <c r="G179" s="53" t="inlineStr">
        <is>
          <t>DENTRO</t>
        </is>
      </c>
      <c r="H179" s="53" t="inlineStr">
        <is>
          <t>PENDIENTE</t>
        </is>
      </c>
      <c r="I179" s="53" t="inlineStr">
        <is>
          <t>Por asignar (Lalaquiz)</t>
        </is>
      </c>
    </row>
    <row r="180">
      <c r="A180" s="60" t="inlineStr">
        <is>
          <t>SUS-056</t>
        </is>
      </c>
      <c r="B180" s="61" t="inlineStr">
        <is>
          <t>Lote SUS</t>
        </is>
      </c>
      <c r="C180" s="61" t="inlineStr">
        <is>
          <t>Huancabamba</t>
        </is>
      </c>
      <c r="D180" s="61" t="inlineStr">
        <is>
          <t>Lalaquiz</t>
        </is>
      </c>
      <c r="E180" s="62" t="n">
        <v>1.019</v>
      </c>
      <c r="F180" s="60" t="inlineStr">
        <is>
          <t>38</t>
        </is>
      </c>
      <c r="G180" s="61" t="inlineStr">
        <is>
          <t>CONTIGUO</t>
        </is>
      </c>
      <c r="H180" s="61" t="inlineStr">
        <is>
          <t>PENDIENTE</t>
        </is>
      </c>
      <c r="I180" s="61" t="inlineStr">
        <is>
          <t>Por asignar (Lalaquiz)</t>
        </is>
      </c>
    </row>
    <row r="181">
      <c r="A181" s="63" t="inlineStr">
        <is>
          <t>SUS-057</t>
        </is>
      </c>
      <c r="B181" s="53" t="inlineStr">
        <is>
          <t>Lote SUS</t>
        </is>
      </c>
      <c r="C181" s="53" t="inlineStr">
        <is>
          <t>Huancabamba</t>
        </is>
      </c>
      <c r="D181" s="53" t="inlineStr">
        <is>
          <t>Lalaquiz</t>
        </is>
      </c>
      <c r="E181" s="64" t="n">
        <v>2.45</v>
      </c>
      <c r="F181" s="63" t="inlineStr">
        <is>
          <t>61</t>
        </is>
      </c>
      <c r="G181" s="53" t="inlineStr">
        <is>
          <t>CONTIGUO</t>
        </is>
      </c>
      <c r="H181" s="53" t="inlineStr">
        <is>
          <t>PENDIENTE</t>
        </is>
      </c>
      <c r="I181" s="53" t="inlineStr">
        <is>
          <t>Por asignar (Lalaquiz)</t>
        </is>
      </c>
    </row>
    <row r="182">
      <c r="A182" s="60" t="inlineStr">
        <is>
          <t>SUS-058</t>
        </is>
      </c>
      <c r="B182" s="61" t="inlineStr">
        <is>
          <t>Lote SUS</t>
        </is>
      </c>
      <c r="C182" s="61" t="inlineStr">
        <is>
          <t>Huancabamba</t>
        </is>
      </c>
      <c r="D182" s="61" t="inlineStr">
        <is>
          <t>San Miguel de El Faique</t>
        </is>
      </c>
      <c r="E182" s="62" t="n">
        <v>26.689</v>
      </c>
      <c r="F182" s="60" t="inlineStr">
        <is>
          <t>M20B1</t>
        </is>
      </c>
      <c r="G182" s="61" t="inlineStr">
        <is>
          <t>CONTIGUO</t>
        </is>
      </c>
      <c r="H182" s="61" t="inlineStr">
        <is>
          <t>AP-6</t>
        </is>
      </c>
      <c r="I182" s="61" t="inlineStr">
        <is>
          <t>Rubén García García</t>
        </is>
      </c>
    </row>
    <row r="183">
      <c r="A183" s="63" t="inlineStr">
        <is>
          <t>SUS-059</t>
        </is>
      </c>
      <c r="B183" s="53" t="inlineStr">
        <is>
          <t>Lote SUS</t>
        </is>
      </c>
      <c r="C183" s="53" t="inlineStr">
        <is>
          <t>Huancabamba</t>
        </is>
      </c>
      <c r="D183" s="53" t="inlineStr">
        <is>
          <t>San Miguel de El Faique</t>
        </is>
      </c>
      <c r="E183" s="64" t="n">
        <v>1.279</v>
      </c>
      <c r="F183" s="63" t="inlineStr">
        <is>
          <t>M20B1</t>
        </is>
      </c>
      <c r="G183" s="53" t="inlineStr">
        <is>
          <t>DENTRO</t>
        </is>
      </c>
      <c r="H183" s="53" t="inlineStr">
        <is>
          <t>AP-6</t>
        </is>
      </c>
      <c r="I183" s="53" t="inlineStr">
        <is>
          <t>Rubén García García</t>
        </is>
      </c>
    </row>
    <row r="184">
      <c r="A184" s="60" t="inlineStr">
        <is>
          <t>SUS-060</t>
        </is>
      </c>
      <c r="B184" s="61" t="inlineStr">
        <is>
          <t>Lote SUS</t>
        </is>
      </c>
      <c r="C184" s="61" t="inlineStr">
        <is>
          <t>Huancabamba</t>
        </is>
      </c>
      <c r="D184" s="61" t="inlineStr">
        <is>
          <t>San Miguel de El Faique</t>
        </is>
      </c>
      <c r="E184" s="62" t="n">
        <v>9.167</v>
      </c>
      <c r="F184" s="60" t="inlineStr">
        <is>
          <t>M2B8</t>
        </is>
      </c>
      <c r="G184" s="61" t="inlineStr">
        <is>
          <t>CONTIGUO</t>
        </is>
      </c>
      <c r="H184" s="61" t="inlineStr">
        <is>
          <t>AP-6</t>
        </is>
      </c>
      <c r="I184" s="61" t="inlineStr">
        <is>
          <t>Rubén García García</t>
        </is>
      </c>
    </row>
    <row r="186">
      <c r="D186" s="65" t="inlineStr">
        <is>
          <t>Bloques (n.°)</t>
        </is>
      </c>
      <c r="E186" s="66">
        <f>COUNTIF(B8:B184,"Bloque")</f>
        <v/>
      </c>
    </row>
    <row r="187">
      <c r="D187" s="65" t="inlineStr">
        <is>
          <t>Área de bloques (ha)</t>
        </is>
      </c>
      <c r="E187" s="67">
        <f>SUMIF(B8:B184,"Bloque",E8:E184)</f>
        <v/>
      </c>
    </row>
    <row r="188">
      <c r="D188" s="65" t="inlineStr">
        <is>
          <t>Lotes SUS (n.°)</t>
        </is>
      </c>
      <c r="E188" s="66">
        <f>COUNTIF(B8:B184,"Lote SUS")</f>
        <v/>
      </c>
    </row>
    <row r="189">
      <c r="D189" s="65" t="inlineStr">
        <is>
          <t>Área de lotes SUS (ha)</t>
        </is>
      </c>
      <c r="E189" s="67">
        <f>SUMIF(B8:B184,"Lote SUS",E8:E184)</f>
        <v/>
      </c>
    </row>
    <row r="190">
      <c r="D190" s="58" t="inlineStr">
        <is>
          <t>Control: 117 bloques que suman 12,270.235 ha (catálogo V6).</t>
        </is>
      </c>
    </row>
  </sheetData>
  <autoFilter ref="A7:I184"/>
  <mergeCells count="3">
    <mergeCell ref="A1:I1"/>
    <mergeCell ref="A3:I3"/>
    <mergeCell ref="A2:I2"/>
  </mergeCells>
  <pageMargins left="0.75" right="0.75" top="1" bottom="1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tabColor rgb="007F7F7F"/>
    <outlinePr summaryBelow="1" summaryRight="1"/>
    <pageSetUpPr/>
  </sheetPr>
  <dimension ref="A1:AU1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28" customWidth="1" min="4" max="4"/>
    <col width="20" customWidth="1" min="5" max="5"/>
    <col width="16" customWidth="1" min="6" max="6"/>
    <col width="27" customWidth="1" min="7" max="7"/>
    <col width="24" customWidth="1" min="8" max="8"/>
    <col width="15" customWidth="1" min="9" max="9"/>
    <col width="13" customWidth="1" min="10" max="10"/>
    <col width="22" customWidth="1" min="11" max="11"/>
    <col width="20" customWidth="1" min="12" max="12"/>
    <col width="34" customWidth="1" min="13" max="13"/>
    <col width="21" customWidth="1" min="14" max="14"/>
    <col width="15" customWidth="1" min="15" max="15"/>
    <col width="21" customWidth="1" min="16" max="16"/>
    <col width="14" customWidth="1" min="17" max="17"/>
    <col width="27" customWidth="1" min="18" max="18"/>
    <col width="16" customWidth="1" min="19" max="19"/>
    <col width="17" customWidth="1" min="20" max="20"/>
    <col width="18" customWidth="1" min="21" max="21"/>
    <col width="21" customWidth="1" min="22" max="22"/>
    <col width="15" customWidth="1" min="23" max="23"/>
    <col width="33" customWidth="1" min="24" max="24"/>
    <col width="34" customWidth="1" min="25" max="25"/>
    <col width="21" customWidth="1" min="26" max="26"/>
    <col width="32" customWidth="1" min="27" max="27"/>
    <col width="21" customWidth="1" min="28" max="28"/>
    <col width="14" customWidth="1" min="29" max="29"/>
    <col width="17" customWidth="1" min="30" max="30"/>
    <col width="16" customWidth="1" min="31" max="31"/>
    <col width="17" customWidth="1" min="32" max="32"/>
    <col width="34" customWidth="1" min="33" max="33"/>
    <col width="16" customWidth="1" min="34" max="34"/>
    <col width="21" customWidth="1" min="35" max="35"/>
    <col width="13" customWidth="1" min="36" max="36"/>
    <col width="11" customWidth="1" min="37" max="37"/>
    <col width="25" customWidth="1" min="38" max="38"/>
    <col width="25" customWidth="1" min="39" max="39"/>
    <col width="25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</cols>
  <sheetData>
    <row r="1">
      <c r="A1" s="49" t="inlineStr">
        <is>
          <t>LISTAS DESPLEGABLES DE LA FICHA PREDIAL – no cambie el orden de las columnas ni los nombres de la fila 3</t>
        </is>
      </c>
    </row>
    <row r="2">
      <c r="A2" s="58" t="inlineStr">
        <is>
          <t>Fila 3: nombre del rango con nombre usado por la validación. Las listas de Kobo (prefijo L_) llevan las mismas etiquetas que los formularios F-LA de KoboToolbox (liberacion_areas/la_campos.py).</t>
        </is>
      </c>
    </row>
    <row r="3">
      <c r="A3" s="68" t="inlineStr">
        <is>
          <t>L_asistente</t>
        </is>
      </c>
      <c r="B3" s="68" t="inlineStr">
        <is>
          <t>L_si_no</t>
        </is>
      </c>
      <c r="C3" s="68" t="inlineStr">
        <is>
          <t>L_aceptacion</t>
        </is>
      </c>
      <c r="D3" s="68" t="inlineStr">
        <is>
          <t>L_tipo_titularidad</t>
        </is>
      </c>
      <c r="E3" s="68" t="inlineStr">
        <is>
          <t>L_sucesion_estado</t>
        </is>
      </c>
      <c r="F3" s="68" t="inlineStr">
        <is>
          <t>L_estado_civil</t>
        </is>
      </c>
      <c r="G3" s="68" t="inlineStr">
        <is>
          <t>L_docs_exhibidos</t>
        </is>
      </c>
      <c r="H3" s="68" t="inlineStr">
        <is>
          <t>L_uso_actual</t>
        </is>
      </c>
      <c r="I3" s="68" t="inlineStr">
        <is>
          <t>L_ocupacion</t>
        </is>
      </c>
      <c r="J3" s="68" t="inlineStr">
        <is>
          <t>L_estado_la</t>
        </is>
      </c>
      <c r="K3" s="68" t="inlineStr">
        <is>
          <t>L_interferencias</t>
        </is>
      </c>
      <c r="L3" s="68" t="inlineStr">
        <is>
          <t>L_conclusion_campo</t>
        </is>
      </c>
      <c r="M3" s="68" t="inlineStr">
        <is>
          <t>L_tipo_acta</t>
        </is>
      </c>
      <c r="N3" s="68" t="inlineStr">
        <is>
          <t>L_pt_tipo</t>
        </is>
      </c>
      <c r="O3" s="68" t="inlineStr">
        <is>
          <t>L_modalidad</t>
        </is>
      </c>
      <c r="P3" s="68" t="inlineStr">
        <is>
          <t>L_acceso_tipo</t>
        </is>
      </c>
      <c r="Q3" s="68" t="inlineStr">
        <is>
          <t>L_personeria</t>
        </is>
      </c>
      <c r="R3" s="68" t="inlineStr">
        <is>
          <t>L_sit_registral</t>
        </is>
      </c>
      <c r="S3" s="68" t="inlineStr">
        <is>
          <t>L_departamento</t>
        </is>
      </c>
      <c r="T3" s="68" t="inlineStr">
        <is>
          <t>L_dep_domicilio</t>
        </is>
      </c>
      <c r="U3" s="68" t="inlineStr">
        <is>
          <t>L_prov_domicilio</t>
        </is>
      </c>
      <c r="V3" s="68" t="inlineStr">
        <is>
          <t>L_cargo_rep</t>
        </is>
      </c>
      <c r="W3" s="68" t="inlineStr">
        <is>
          <t>L_tipo_predio</t>
        </is>
      </c>
      <c r="X3" s="68" t="inlineStr">
        <is>
          <t>L_edificaciones</t>
        </is>
      </c>
      <c r="Y3" s="68" t="inlineStr">
        <is>
          <t>L_pendiente</t>
        </is>
      </c>
      <c r="Z3" s="68" t="inlineStr">
        <is>
          <t>L_erosion</t>
        </is>
      </c>
      <c r="AA3" s="68" t="inlineStr">
        <is>
          <t>L_cobertura</t>
        </is>
      </c>
      <c r="AB3" s="68" t="inlineStr">
        <is>
          <t>L_tipo_colindante</t>
        </is>
      </c>
      <c r="AC3" s="68" t="inlineStr">
        <is>
          <t>L_und_medida</t>
        </is>
      </c>
      <c r="AD3" s="68" t="inlineStr">
        <is>
          <t>L_material</t>
        </is>
      </c>
      <c r="AE3" s="68" t="inlineStr">
        <is>
          <t>L_conservacion</t>
        </is>
      </c>
      <c r="AF3" s="68" t="inlineStr">
        <is>
          <t>L_construccion</t>
        </is>
      </c>
      <c r="AG3" s="68" t="inlineStr">
        <is>
          <t>L_intervencion</t>
        </is>
      </c>
      <c r="AH3" s="68" t="inlineStr">
        <is>
          <t>L_cond_natural</t>
        </is>
      </c>
      <c r="AI3" s="68" t="inlineStr">
        <is>
          <t>L_cond_juridica</t>
        </is>
      </c>
      <c r="AJ3" s="68" t="inlineStr">
        <is>
          <t>L_provincia</t>
        </is>
      </c>
      <c r="AK3" s="68" t="inlineStr">
        <is>
          <t>D_Ayabaca</t>
        </is>
      </c>
      <c r="AL3" s="68" t="inlineStr">
        <is>
          <t>D_Huancabamba</t>
        </is>
      </c>
      <c r="AM3" s="68" t="inlineStr">
        <is>
          <t>D_Morropon</t>
        </is>
      </c>
      <c r="AN3" s="68" t="inlineStr">
        <is>
          <t>L_distrito_15</t>
        </is>
      </c>
      <c r="AO3" s="68" t="inlineStr">
        <is>
          <t>U_AP_1</t>
        </is>
      </c>
      <c r="AP3" s="68" t="inlineStr">
        <is>
          <t>U_AP_2</t>
        </is>
      </c>
      <c r="AQ3" s="68" t="inlineStr">
        <is>
          <t>U_AP_3</t>
        </is>
      </c>
      <c r="AR3" s="68" t="inlineStr">
        <is>
          <t>U_AP_4</t>
        </is>
      </c>
      <c r="AS3" s="68" t="inlineStr">
        <is>
          <t>U_AP_5</t>
        </is>
      </c>
      <c r="AT3" s="68" t="inlineStr">
        <is>
          <t>U_AP_6</t>
        </is>
      </c>
      <c r="AU3" s="68" t="inlineStr">
        <is>
          <t>U_ESP</t>
        </is>
      </c>
    </row>
    <row r="4">
      <c r="A4" s="69" t="inlineStr">
        <is>
          <t>AP-1</t>
        </is>
      </c>
      <c r="B4" s="69" t="inlineStr">
        <is>
          <t>Sí</t>
        </is>
      </c>
      <c r="C4" s="69" t="inlineStr">
        <is>
          <t>Favorable</t>
        </is>
      </c>
      <c r="D4" s="69" t="inlineStr">
        <is>
          <t>Comunidad campesina</t>
        </is>
      </c>
      <c r="E4" s="69" t="inlineStr">
        <is>
          <t>Sucesión declarada</t>
        </is>
      </c>
      <c r="F4" s="69" t="inlineStr">
        <is>
          <t>Soltero(a)</t>
        </is>
      </c>
      <c r="G4" s="69" t="inlineStr">
        <is>
          <t>Título de propiedad</t>
        </is>
      </c>
      <c r="H4" s="69" t="inlineStr">
        <is>
          <t>Bosque seco</t>
        </is>
      </c>
      <c r="I4" s="69" t="inlineStr">
        <is>
          <t>Sin ocupación</t>
        </is>
      </c>
      <c r="J4" s="69" t="inlineStr">
        <is>
          <t>LA-0</t>
        </is>
      </c>
      <c r="K4" s="69" t="inlineStr">
        <is>
          <t>Ninguna</t>
        </is>
      </c>
      <c r="L4" s="69" t="inlineStr">
        <is>
          <t>Sin restricción</t>
        </is>
      </c>
      <c r="M4" s="69" t="inlineStr">
        <is>
          <t>A-03 · Acta de asamblea comunal</t>
        </is>
      </c>
      <c r="N4" s="69" t="inlineStr">
        <is>
          <t>Vértice</t>
        </is>
      </c>
      <c r="O4" s="69" t="inlineStr">
        <is>
          <t>Donación</t>
        </is>
      </c>
      <c r="P4" s="69" t="inlineStr">
        <is>
          <t>Carretera</t>
        </is>
      </c>
      <c r="Q4" s="69" t="inlineStr">
        <is>
          <t>Natural</t>
        </is>
      </c>
      <c r="R4" s="69" t="inlineStr">
        <is>
          <t>Inscrito en SUNARP</t>
        </is>
      </c>
      <c r="S4" s="69" t="inlineStr">
        <is>
          <t>Piura</t>
        </is>
      </c>
      <c r="T4" s="69" t="inlineStr">
        <is>
          <t>Piura</t>
        </is>
      </c>
      <c r="U4" s="69" t="inlineStr">
        <is>
          <t>Ayabaca</t>
        </is>
      </c>
      <c r="V4" s="69" t="inlineStr">
        <is>
          <t>Presidente comunal</t>
        </is>
      </c>
      <c r="W4" s="69" t="inlineStr">
        <is>
          <t>Rústico</t>
        </is>
      </c>
      <c r="X4" s="69" t="inlineStr">
        <is>
          <t>Ninguna</t>
        </is>
      </c>
      <c r="Y4" s="69" t="inlineStr">
        <is>
          <t>Plana (0–4 %)</t>
        </is>
      </c>
      <c r="Z4" s="69" t="inlineStr">
        <is>
          <t>Sin erosión visible</t>
        </is>
      </c>
      <c r="AA4" s="69" t="inlineStr">
        <is>
          <t>Bosque seco conservado</t>
        </is>
      </c>
      <c r="AB4" s="69" t="inlineStr">
        <is>
          <t>Predio privado</t>
        </is>
      </c>
      <c r="AC4" s="69" t="inlineStr">
        <is>
          <t>m</t>
        </is>
      </c>
      <c r="AD4" s="69" t="inlineStr">
        <is>
          <t>Madera</t>
        </is>
      </c>
      <c r="AE4" s="69" t="inlineStr">
        <is>
          <t>Bueno</t>
        </is>
      </c>
      <c r="AF4" s="69" t="inlineStr">
        <is>
          <t>Terminado</t>
        </is>
      </c>
      <c r="AG4" s="69" t="inlineStr">
        <is>
          <t>Revegetación con especies nativas</t>
        </is>
      </c>
      <c r="AH4" s="69" t="inlineStr">
        <is>
          <t>Posesionario</t>
        </is>
      </c>
      <c r="AI4" s="69" t="inlineStr">
        <is>
          <t>Comunidad campesina</t>
        </is>
      </c>
      <c r="AJ4" s="69" t="inlineStr">
        <is>
          <t>Ayabaca</t>
        </is>
      </c>
      <c r="AK4" s="69" t="inlineStr">
        <is>
          <t>Frías</t>
        </is>
      </c>
      <c r="AL4" s="69" t="inlineStr">
        <is>
          <t>Canchaque</t>
        </is>
      </c>
      <c r="AM4" s="69" t="inlineStr">
        <is>
          <t>Buenos Aires</t>
        </is>
      </c>
      <c r="AN4" s="69" t="inlineStr">
        <is>
          <t>Buenos Aires</t>
        </is>
      </c>
      <c r="AO4" s="69" t="inlineStr">
        <is>
          <t>2</t>
        </is>
      </c>
      <c r="AP4" s="69" t="inlineStr">
        <is>
          <t>5</t>
        </is>
      </c>
      <c r="AQ4" s="69" t="inlineStr">
        <is>
          <t>49</t>
        </is>
      </c>
      <c r="AR4" s="69" t="inlineStr">
        <is>
          <t>11</t>
        </is>
      </c>
      <c r="AS4" s="69" t="inlineStr">
        <is>
          <t>4</t>
        </is>
      </c>
      <c r="AT4" s="69" t="inlineStr">
        <is>
          <t>9</t>
        </is>
      </c>
      <c r="AU4" s="69" t="inlineStr">
        <is>
          <t>2</t>
        </is>
      </c>
    </row>
    <row r="5">
      <c r="A5" s="69" t="inlineStr">
        <is>
          <t>AP-2</t>
        </is>
      </c>
      <c r="B5" s="69" t="inlineStr">
        <is>
          <t>No</t>
        </is>
      </c>
      <c r="C5" s="69" t="inlineStr">
        <is>
          <t>Condicionada</t>
        </is>
      </c>
      <c r="D5" s="69" t="inlineStr">
        <is>
          <t>Privado (con título)</t>
        </is>
      </c>
      <c r="E5" s="69" t="inlineStr">
        <is>
          <t>En trámite</t>
        </is>
      </c>
      <c r="F5" s="69" t="inlineStr">
        <is>
          <t>Casado(a)</t>
        </is>
      </c>
      <c r="G5" s="69" t="inlineStr">
        <is>
          <t>Partida registral</t>
        </is>
      </c>
      <c r="H5" s="69" t="inlineStr">
        <is>
          <t>Matorral</t>
        </is>
      </c>
      <c r="I5" s="69" t="inlineStr">
        <is>
          <t>Pastoreo</t>
        </is>
      </c>
      <c r="J5" s="69" t="inlineStr">
        <is>
          <t>LA-1</t>
        </is>
      </c>
      <c r="K5" s="69" t="inlineStr">
        <is>
          <t>Bosque natural</t>
        </is>
      </c>
      <c r="L5" s="69" t="inlineStr">
        <is>
          <t>Con restricción</t>
        </is>
      </c>
      <c r="M5" s="69" t="inlineStr">
        <is>
          <t>A-04 · Acta del titular / posesionario</t>
        </is>
      </c>
      <c r="N5" s="69" t="inlineStr">
        <is>
          <t>Hito</t>
        </is>
      </c>
      <c r="O5" s="69" t="inlineStr">
        <is>
          <t>Cesión en uso</t>
        </is>
      </c>
      <c r="P5" s="69" t="inlineStr">
        <is>
          <t>Trocha carrozable</t>
        </is>
      </c>
      <c r="Q5" s="69" t="inlineStr">
        <is>
          <t>Jurídica</t>
        </is>
      </c>
      <c r="R5" s="69" t="inlineStr">
        <is>
          <t>No inscrito</t>
        </is>
      </c>
      <c r="T5" s="69" t="inlineStr">
        <is>
          <t>Tumbes</t>
        </is>
      </c>
      <c r="U5" s="69" t="inlineStr">
        <is>
          <t>Huancabamba</t>
        </is>
      </c>
      <c r="V5" s="69" t="inlineStr">
        <is>
          <t>Representante legal</t>
        </is>
      </c>
      <c r="W5" s="69" t="inlineStr">
        <is>
          <t>Eriazo</t>
        </is>
      </c>
      <c r="X5" s="69" t="inlineStr">
        <is>
          <t>Vivienda</t>
        </is>
      </c>
      <c r="Y5" s="69" t="inlineStr">
        <is>
          <t>Moderada (4–15 %)</t>
        </is>
      </c>
      <c r="Z5" s="69" t="inlineStr">
        <is>
          <t>Laminar</t>
        </is>
      </c>
      <c r="AA5" s="69" t="inlineStr">
        <is>
          <t>Bosque seco intervenido / ralo</t>
        </is>
      </c>
      <c r="AB5" s="69" t="inlineStr">
        <is>
          <t>Comunidad campesina</t>
        </is>
      </c>
      <c r="AC5" s="69" t="inlineStr">
        <is>
          <t>m²</t>
        </is>
      </c>
      <c r="AD5" s="69" t="inlineStr">
        <is>
          <t>Adobe</t>
        </is>
      </c>
      <c r="AE5" s="69" t="inlineStr">
        <is>
          <t>Regular</t>
        </is>
      </c>
      <c r="AF5" s="69" t="inlineStr">
        <is>
          <t>En construcción</t>
        </is>
      </c>
      <c r="AG5" s="69" t="inlineStr">
        <is>
          <t>Reforestación con especies nativas</t>
        </is>
      </c>
      <c r="AH5" s="69" t="inlineStr">
        <is>
          <t>Ocupante</t>
        </is>
      </c>
      <c r="AI5" s="69" t="inlineStr">
        <is>
          <t>Estatal</t>
        </is>
      </c>
      <c r="AJ5" s="69" t="inlineStr">
        <is>
          <t>Huancabamba</t>
        </is>
      </c>
      <c r="AL5" s="69" t="inlineStr">
        <is>
          <t>Huancabamba</t>
        </is>
      </c>
      <c r="AM5" s="69" t="inlineStr">
        <is>
          <t>Chalaco</t>
        </is>
      </c>
      <c r="AN5" s="69" t="inlineStr">
        <is>
          <t>Canchaque</t>
        </is>
      </c>
      <c r="AO5" s="69" t="inlineStr">
        <is>
          <t>3</t>
        </is>
      </c>
      <c r="AP5" s="69" t="inlineStr">
        <is>
          <t>77</t>
        </is>
      </c>
      <c r="AQ5" s="69" t="inlineStr">
        <is>
          <t>52</t>
        </is>
      </c>
      <c r="AR5" s="69" t="inlineStr">
        <is>
          <t>12</t>
        </is>
      </c>
      <c r="AS5" s="69" t="inlineStr">
        <is>
          <t>8</t>
        </is>
      </c>
      <c r="AT5" s="69" t="inlineStr">
        <is>
          <t>18</t>
        </is>
      </c>
      <c r="AU5" s="69" t="inlineStr">
        <is>
          <t>3</t>
        </is>
      </c>
    </row>
    <row r="6">
      <c r="A6" s="69" t="inlineStr">
        <is>
          <t>AP-3</t>
        </is>
      </c>
      <c r="C6" s="69" t="inlineStr">
        <is>
          <t>Rechazo</t>
        </is>
      </c>
      <c r="D6" s="69" t="inlineStr">
        <is>
          <t>Posesionario</t>
        </is>
      </c>
      <c r="E6" s="69" t="inlineStr">
        <is>
          <t>Sin trámite</t>
        </is>
      </c>
      <c r="F6" s="69" t="inlineStr">
        <is>
          <t>Conviviente</t>
        </is>
      </c>
      <c r="G6" s="69" t="inlineStr">
        <is>
          <t>Constancia de posesión</t>
        </is>
      </c>
      <c r="H6" s="69" t="inlineStr">
        <is>
          <t>Pastizal / pastoreo</t>
        </is>
      </c>
      <c r="I6" s="69" t="inlineStr">
        <is>
          <t>Cultivo</t>
        </is>
      </c>
      <c r="J6" s="69" t="inlineStr">
        <is>
          <t>LA-2</t>
        </is>
      </c>
      <c r="K6" s="69" t="inlineStr">
        <is>
          <t>Cultivos</t>
        </is>
      </c>
      <c r="L6" s="69" t="inlineStr">
        <is>
          <t>No apto</t>
        </is>
      </c>
      <c r="M6" s="69" t="inlineStr">
        <is>
          <t>A-07 · Acta de terreno para vivero</t>
        </is>
      </c>
      <c r="N6" s="69" t="inlineStr">
        <is>
          <t>Punto de referencia</t>
        </is>
      </c>
      <c r="O6" s="69" t="inlineStr">
        <is>
          <t>Convenio</t>
        </is>
      </c>
      <c r="P6" s="69" t="inlineStr">
        <is>
          <t>Camino de herradura</t>
        </is>
      </c>
      <c r="R6" s="69" t="inlineStr">
        <is>
          <t>En trámite de inscripción</t>
        </is>
      </c>
      <c r="T6" s="69" t="inlineStr">
        <is>
          <t>Lambayeque</t>
        </is>
      </c>
      <c r="U6" s="69" t="inlineStr">
        <is>
          <t>Morropón</t>
        </is>
      </c>
      <c r="V6" s="69" t="inlineStr">
        <is>
          <t>Apoderado</t>
        </is>
      </c>
      <c r="W6" s="69" t="inlineStr">
        <is>
          <t>Urbano</t>
        </is>
      </c>
      <c r="X6" s="69" t="inlineStr">
        <is>
          <t>Corral / cobertizo</t>
        </is>
      </c>
      <c r="Y6" s="69" t="inlineStr">
        <is>
          <t>Fuerte (15–25 %)</t>
        </is>
      </c>
      <c r="Z6" s="69" t="inlineStr">
        <is>
          <t>En surcos</t>
        </is>
      </c>
      <c r="AA6" s="69" t="inlineStr">
        <is>
          <t>Matorral</t>
        </is>
      </c>
      <c r="AB6" s="69" t="inlineStr">
        <is>
          <t>Terreno del Estado</t>
        </is>
      </c>
      <c r="AC6" s="69" t="inlineStr">
        <is>
          <t>m³</t>
        </is>
      </c>
      <c r="AD6" s="69" t="inlineStr">
        <is>
          <t>Tapial</t>
        </is>
      </c>
      <c r="AE6" s="69" t="inlineStr">
        <is>
          <t>Malo</t>
        </is>
      </c>
      <c r="AF6" s="69" t="inlineStr">
        <is>
          <t>Abandonado</t>
        </is>
      </c>
      <c r="AG6" s="69" t="inlineStr">
        <is>
          <t>Zanjas de infiltración</t>
        </is>
      </c>
      <c r="AH6" s="69" t="inlineStr">
        <is>
          <t>Sucesión</t>
        </is>
      </c>
      <c r="AJ6" s="69" t="inlineStr">
        <is>
          <t>Morropón</t>
        </is>
      </c>
      <c r="AL6" s="69" t="inlineStr">
        <is>
          <t>Huarmaca</t>
        </is>
      </c>
      <c r="AM6" s="69" t="inlineStr">
        <is>
          <t>Chulucanas</t>
        </is>
      </c>
      <c r="AN6" s="69" t="inlineStr">
        <is>
          <t>Chalaco</t>
        </is>
      </c>
      <c r="AO6" s="69" t="inlineStr">
        <is>
          <t>6</t>
        </is>
      </c>
      <c r="AP6" s="69" t="inlineStr">
        <is>
          <t>83</t>
        </is>
      </c>
      <c r="AQ6" s="69" t="inlineStr">
        <is>
          <t>55</t>
        </is>
      </c>
      <c r="AR6" s="69" t="inlineStr">
        <is>
          <t>13</t>
        </is>
      </c>
      <c r="AS6" s="69" t="inlineStr">
        <is>
          <t>10</t>
        </is>
      </c>
      <c r="AT6" s="69" t="inlineStr">
        <is>
          <t>19</t>
        </is>
      </c>
      <c r="AU6" s="69" t="inlineStr">
        <is>
          <t>4</t>
        </is>
      </c>
    </row>
    <row r="7">
      <c r="A7" s="69" t="inlineStr">
        <is>
          <t>AP-4</t>
        </is>
      </c>
      <c r="C7" s="69" t="inlineStr">
        <is>
          <t>Sin definir</t>
        </is>
      </c>
      <c r="D7" s="69" t="inlineStr">
        <is>
          <t>Ocupante</t>
        </is>
      </c>
      <c r="F7" s="69" t="inlineStr">
        <is>
          <t>Viudo(a)</t>
        </is>
      </c>
      <c r="G7" s="69" t="inlineStr">
        <is>
          <t>Certificado de posesión</t>
        </is>
      </c>
      <c r="H7" s="69" t="inlineStr">
        <is>
          <t>Agrícola</t>
        </is>
      </c>
      <c r="I7" s="69" t="inlineStr">
        <is>
          <t>Vivienda</t>
        </is>
      </c>
      <c r="J7" s="69" t="inlineStr">
        <is>
          <t>LA-3</t>
        </is>
      </c>
      <c r="K7" s="69" t="inlineStr">
        <is>
          <t>Vivienda</t>
        </is>
      </c>
      <c r="O7" s="69" t="inlineStr">
        <is>
          <t>Alquiler</t>
        </is>
      </c>
      <c r="P7" s="69" t="inlineStr">
        <is>
          <t>Sin camino</t>
        </is>
      </c>
      <c r="R7" s="69" t="inlineStr">
        <is>
          <t>Por verificar</t>
        </is>
      </c>
      <c r="T7" s="69" t="inlineStr">
        <is>
          <t>Cajamarca</t>
        </is>
      </c>
      <c r="U7" s="69" t="inlineStr">
        <is>
          <t>Piura</t>
        </is>
      </c>
      <c r="V7" s="69" t="inlineStr">
        <is>
          <t>Funcionario público</t>
        </is>
      </c>
      <c r="W7" s="69" t="inlineStr">
        <is>
          <t>Por verificar</t>
        </is>
      </c>
      <c r="X7" s="69" t="inlineStr">
        <is>
          <t>Cultivos anuales</t>
        </is>
      </c>
      <c r="Y7" s="69" t="inlineStr">
        <is>
          <t>Empinada (25–50 %)</t>
        </is>
      </c>
      <c r="Z7" s="69" t="inlineStr">
        <is>
          <t>En cárcavas</t>
        </is>
      </c>
      <c r="AA7" s="69" t="inlineStr">
        <is>
          <t>Pastizal</t>
        </is>
      </c>
      <c r="AB7" s="69" t="inlineStr">
        <is>
          <t>Quebrada / río</t>
        </is>
      </c>
      <c r="AC7" s="69" t="inlineStr">
        <is>
          <t>und</t>
        </is>
      </c>
      <c r="AD7" s="69" t="inlineStr">
        <is>
          <t>Piedra</t>
        </is>
      </c>
      <c r="AG7" s="69" t="inlineStr">
        <is>
          <t>Terrazas de formación lenta</t>
        </is>
      </c>
      <c r="AL7" s="69" t="inlineStr">
        <is>
          <t>Lalaquiz</t>
        </is>
      </c>
      <c r="AM7" s="69" t="inlineStr">
        <is>
          <t>Morropón</t>
        </is>
      </c>
      <c r="AN7" s="69" t="inlineStr">
        <is>
          <t>Chulucanas</t>
        </is>
      </c>
      <c r="AO7" s="69" t="inlineStr">
        <is>
          <t>22</t>
        </is>
      </c>
      <c r="AP7" s="69" t="inlineStr">
        <is>
          <t>84</t>
        </is>
      </c>
      <c r="AQ7" s="69" t="inlineStr">
        <is>
          <t>M28B2</t>
        </is>
      </c>
      <c r="AR7" s="69" t="inlineStr">
        <is>
          <t>14</t>
        </is>
      </c>
      <c r="AS7" s="69" t="inlineStr">
        <is>
          <t>16</t>
        </is>
      </c>
      <c r="AT7" s="69" t="inlineStr">
        <is>
          <t>31</t>
        </is>
      </c>
      <c r="AU7" s="69" t="inlineStr">
        <is>
          <t>5</t>
        </is>
      </c>
    </row>
    <row r="8">
      <c r="A8" s="69" t="inlineStr">
        <is>
          <t>AP-5</t>
        </is>
      </c>
      <c r="D8" s="69" t="inlineStr">
        <is>
          <t>Sucesión</t>
        </is>
      </c>
      <c r="F8" s="69" t="inlineStr">
        <is>
          <t>Divorciado(a)</t>
        </is>
      </c>
      <c r="G8" s="69" t="inlineStr">
        <is>
          <t>Acta de asamblea</t>
        </is>
      </c>
      <c r="H8" s="69" t="inlineStr">
        <is>
          <t>Purma / descanso</t>
        </is>
      </c>
      <c r="I8" s="69" t="inlineStr">
        <is>
          <t>Mixta</t>
        </is>
      </c>
      <c r="J8" s="69" t="inlineStr">
        <is>
          <t>LA-4</t>
        </is>
      </c>
      <c r="K8" s="69" t="inlineStr">
        <is>
          <t>Infraestructura</t>
        </is>
      </c>
      <c r="T8" s="69" t="inlineStr">
        <is>
          <t>Lima</t>
        </is>
      </c>
      <c r="U8" s="69" t="inlineStr">
        <is>
          <t>Sullana</t>
        </is>
      </c>
      <c r="V8" s="69" t="inlineStr">
        <is>
          <t>Otro</t>
        </is>
      </c>
      <c r="X8" s="69" t="inlineStr">
        <is>
          <t>Cultivos permanentes / frutales</t>
        </is>
      </c>
      <c r="Y8" s="69" t="inlineStr">
        <is>
          <t>Muy empinada (50–75 %)</t>
        </is>
      </c>
      <c r="Z8" s="69" t="inlineStr">
        <is>
          <t>Movimientos en masa</t>
        </is>
      </c>
      <c r="AA8" s="69" t="inlineStr">
        <is>
          <t>Suelo desnudo / degradado</t>
        </is>
      </c>
      <c r="AB8" s="69" t="inlineStr">
        <is>
          <t>Camino / trocha</t>
        </is>
      </c>
      <c r="AC8" s="69" t="inlineStr">
        <is>
          <t>ha</t>
        </is>
      </c>
      <c r="AD8" s="69" t="inlineStr">
        <is>
          <t>Concreto</t>
        </is>
      </c>
      <c r="AG8" s="69" t="inlineStr">
        <is>
          <t>Diques para control de cárcavas</t>
        </is>
      </c>
      <c r="AL8" s="69" t="inlineStr">
        <is>
          <t>San Miguel de El Faique</t>
        </is>
      </c>
      <c r="AM8" s="69" t="inlineStr">
        <is>
          <t>Salitral</t>
        </is>
      </c>
      <c r="AN8" s="69" t="inlineStr">
        <is>
          <t>Frías</t>
        </is>
      </c>
      <c r="AO8" s="69" t="inlineStr">
        <is>
          <t>27</t>
        </is>
      </c>
      <c r="AP8" s="69" t="inlineStr">
        <is>
          <t>85</t>
        </is>
      </c>
      <c r="AQ8" s="69" t="inlineStr">
        <is>
          <t>M28B3</t>
        </is>
      </c>
      <c r="AR8" s="69" t="inlineStr">
        <is>
          <t>15</t>
        </is>
      </c>
      <c r="AS8" s="69" t="inlineStr">
        <is>
          <t>20</t>
        </is>
      </c>
      <c r="AT8" s="69" t="inlineStr">
        <is>
          <t>35</t>
        </is>
      </c>
      <c r="AU8" s="69" t="inlineStr">
        <is>
          <t>6</t>
        </is>
      </c>
    </row>
    <row r="9">
      <c r="A9" s="69" t="inlineStr">
        <is>
          <t>AP-6</t>
        </is>
      </c>
      <c r="D9" s="69" t="inlineStr">
        <is>
          <t>Estatal</t>
        </is>
      </c>
      <c r="G9" s="69" t="inlineStr">
        <is>
          <t>Declaratoria de herederos</t>
        </is>
      </c>
      <c r="H9" s="69" t="inlineStr">
        <is>
          <t>Eriazo / suelo desnudo</t>
        </is>
      </c>
      <c r="J9" s="69" t="inlineStr">
        <is>
          <t>LA-5</t>
        </is>
      </c>
      <c r="K9" s="69" t="inlineStr">
        <is>
          <t>Restos arqueológicos</t>
        </is>
      </c>
      <c r="T9" s="69" t="inlineStr">
        <is>
          <t>Otro</t>
        </is>
      </c>
      <c r="U9" s="69" t="inlineStr">
        <is>
          <t>Paita</t>
        </is>
      </c>
      <c r="X9" s="69" t="inlineStr">
        <is>
          <t>Cercos</t>
        </is>
      </c>
      <c r="Y9" s="69" t="inlineStr">
        <is>
          <t>Extremadamente empinada (&gt; 75 %)</t>
        </is>
      </c>
      <c r="AB9" s="69" t="inlineStr">
        <is>
          <t>Divisoria / cerro</t>
        </is>
      </c>
      <c r="AD9" s="69" t="inlineStr">
        <is>
          <t>Acero / metal</t>
        </is>
      </c>
      <c r="AG9" s="69" t="inlineStr">
        <is>
          <t>Clausura temporal y manejo de pastizales</t>
        </is>
      </c>
      <c r="AM9" s="69" t="inlineStr">
        <is>
          <t>San Juan de Bigote</t>
        </is>
      </c>
      <c r="AN9" s="69" t="inlineStr">
        <is>
          <t>Huancabamba</t>
        </is>
      </c>
      <c r="AO9" s="69" t="inlineStr">
        <is>
          <t>36</t>
        </is>
      </c>
      <c r="AP9" s="69" t="inlineStr">
        <is>
          <t>86</t>
        </is>
      </c>
      <c r="AQ9" s="69" t="inlineStr">
        <is>
          <t>M28B4</t>
        </is>
      </c>
      <c r="AR9" s="69" t="inlineStr">
        <is>
          <t>17</t>
        </is>
      </c>
      <c r="AS9" s="69" t="inlineStr">
        <is>
          <t>21</t>
        </is>
      </c>
      <c r="AT9" s="69" t="inlineStr">
        <is>
          <t>41</t>
        </is>
      </c>
      <c r="AU9" s="69" t="inlineStr">
        <is>
          <t>8</t>
        </is>
      </c>
    </row>
    <row r="10">
      <c r="A10" s="69" t="inlineStr">
        <is>
          <t>ESP</t>
        </is>
      </c>
      <c r="D10" s="69" t="inlineStr">
        <is>
          <t>Sin titular / en conflicto</t>
        </is>
      </c>
      <c r="G10" s="69" t="inlineStr">
        <is>
          <t>DNI</t>
        </is>
      </c>
      <c r="H10" s="69" t="inlineStr">
        <is>
          <t>Otro</t>
        </is>
      </c>
      <c r="J10" s="69" t="inlineStr">
        <is>
          <t>LA-6</t>
        </is>
      </c>
      <c r="K10" s="69" t="inlineStr">
        <is>
          <t>Concesión minera</t>
        </is>
      </c>
      <c r="U10" s="69" t="inlineStr">
        <is>
          <t>Talara</t>
        </is>
      </c>
      <c r="X10" s="69" t="inlineStr">
        <is>
          <t>Pozo / reservorio</t>
        </is>
      </c>
      <c r="AB10" s="69" t="inlineStr">
        <is>
          <t>Otro</t>
        </is>
      </c>
      <c r="AD10" s="69" t="inlineStr">
        <is>
          <t>Alambre de púas</t>
        </is>
      </c>
      <c r="AG10" s="69" t="inlineStr">
        <is>
          <t>Barreras vivas / cercos vivos</t>
        </is>
      </c>
      <c r="AM10" s="69" t="inlineStr">
        <is>
          <t>Santa Catalina de Mossa</t>
        </is>
      </c>
      <c r="AN10" s="69" t="inlineStr">
        <is>
          <t>Huarmaca</t>
        </is>
      </c>
      <c r="AO10" s="69" t="inlineStr">
        <is>
          <t>39</t>
        </is>
      </c>
      <c r="AP10" s="69" t="inlineStr">
        <is>
          <t>87</t>
        </is>
      </c>
      <c r="AQ10" s="69" t="inlineStr">
        <is>
          <t>SUS-028</t>
        </is>
      </c>
      <c r="AR10" s="69" t="inlineStr">
        <is>
          <t>23</t>
        </is>
      </c>
      <c r="AS10" s="69" t="inlineStr">
        <is>
          <t>24</t>
        </is>
      </c>
      <c r="AT10" s="69" t="inlineStr">
        <is>
          <t>43</t>
        </is>
      </c>
      <c r="AU10" s="69" t="inlineStr">
        <is>
          <t>9</t>
        </is>
      </c>
    </row>
    <row r="11">
      <c r="G11" s="69" t="inlineStr">
        <is>
          <t>Ninguno</t>
        </is>
      </c>
      <c r="K11" s="69" t="inlineStr">
        <is>
          <t>Línea eléctrica</t>
        </is>
      </c>
      <c r="U11" s="69" t="inlineStr">
        <is>
          <t>Sechura</t>
        </is>
      </c>
      <c r="X11" s="69" t="inlineStr">
        <is>
          <t>Otro</t>
        </is>
      </c>
      <c r="AD11" s="69" t="inlineStr">
        <is>
          <t>Malla</t>
        </is>
      </c>
      <c r="AG11" s="69" t="inlineStr">
        <is>
          <t>Vivero temporal o de aclimatación</t>
        </is>
      </c>
      <c r="AM11" s="69" t="inlineStr">
        <is>
          <t>Santo Domingo</t>
        </is>
      </c>
      <c r="AN11" s="69" t="inlineStr">
        <is>
          <t>Lalaquiz</t>
        </is>
      </c>
      <c r="AO11" s="69" t="inlineStr">
        <is>
          <t>56</t>
        </is>
      </c>
      <c r="AP11" s="69" t="inlineStr">
        <is>
          <t>M1B1</t>
        </is>
      </c>
      <c r="AQ11" s="69" t="inlineStr">
        <is>
          <t>SUS-029</t>
        </is>
      </c>
      <c r="AR11" s="69" t="inlineStr">
        <is>
          <t>42</t>
        </is>
      </c>
      <c r="AS11" s="69" t="inlineStr">
        <is>
          <t>28</t>
        </is>
      </c>
      <c r="AT11" s="69" t="inlineStr">
        <is>
          <t>44</t>
        </is>
      </c>
      <c r="AU11" s="69" t="inlineStr">
        <is>
          <t>10</t>
        </is>
      </c>
    </row>
    <row r="12">
      <c r="K12" s="69" t="inlineStr">
        <is>
          <t>Otro</t>
        </is>
      </c>
      <c r="U12" s="69" t="inlineStr">
        <is>
          <t>Otra</t>
        </is>
      </c>
      <c r="AD12" s="69" t="inlineStr">
        <is>
          <t>Calamina</t>
        </is>
      </c>
      <c r="AG12" s="69" t="inlineStr">
        <is>
          <t>Obras complementarias (estabilización / drenaje)</t>
        </is>
      </c>
      <c r="AM12" s="69" t="inlineStr">
        <is>
          <t>Yamango</t>
        </is>
      </c>
      <c r="AN12" s="69" t="inlineStr">
        <is>
          <t>Morropón</t>
        </is>
      </c>
      <c r="AO12" s="69" t="inlineStr">
        <is>
          <t>M9B1</t>
        </is>
      </c>
      <c r="AP12" s="69" t="inlineStr">
        <is>
          <t>M2B1</t>
        </is>
      </c>
      <c r="AQ12" s="69" t="inlineStr">
        <is>
          <t>SUS-030</t>
        </is>
      </c>
      <c r="AR12" s="69" t="inlineStr">
        <is>
          <t>57</t>
        </is>
      </c>
      <c r="AS12" s="69" t="inlineStr">
        <is>
          <t>30</t>
        </is>
      </c>
      <c r="AT12" s="69" t="inlineStr">
        <is>
          <t>47</t>
        </is>
      </c>
      <c r="AU12" s="69" t="inlineStr">
        <is>
          <t>11</t>
        </is>
      </c>
    </row>
    <row r="13">
      <c r="AD13" s="69" t="inlineStr">
        <is>
          <t>Otro</t>
        </is>
      </c>
      <c r="AG13" s="69" t="inlineStr">
        <is>
          <t>Por definir</t>
        </is>
      </c>
      <c r="AN13" s="69" t="inlineStr">
        <is>
          <t>Salitral</t>
        </is>
      </c>
      <c r="AO13" s="69" t="inlineStr">
        <is>
          <t>M10B4</t>
        </is>
      </c>
      <c r="AP13" s="69" t="inlineStr">
        <is>
          <t>M2B5</t>
        </is>
      </c>
      <c r="AQ13" s="69" t="inlineStr">
        <is>
          <t>SUS-031</t>
        </is>
      </c>
      <c r="AR13" s="69" t="inlineStr">
        <is>
          <t>58</t>
        </is>
      </c>
      <c r="AS13" s="69" t="inlineStr">
        <is>
          <t>40</t>
        </is>
      </c>
      <c r="AT13" s="69" t="inlineStr">
        <is>
          <t>53</t>
        </is>
      </c>
      <c r="AU13" s="69" t="inlineStr">
        <is>
          <t>12</t>
        </is>
      </c>
    </row>
    <row r="14">
      <c r="AN14" s="69" t="inlineStr">
        <is>
          <t>San Juan de Bigote</t>
        </is>
      </c>
      <c r="AO14" s="69" t="inlineStr">
        <is>
          <t>M17B1</t>
        </is>
      </c>
      <c r="AP14" s="69" t="inlineStr">
        <is>
          <t>M3B1</t>
        </is>
      </c>
      <c r="AR14" s="69" t="inlineStr">
        <is>
          <t>59</t>
        </is>
      </c>
      <c r="AS14" s="69" t="inlineStr">
        <is>
          <t>51</t>
        </is>
      </c>
      <c r="AT14" s="69" t="inlineStr">
        <is>
          <t>67</t>
        </is>
      </c>
      <c r="AU14" s="69" t="inlineStr">
        <is>
          <t>13</t>
        </is>
      </c>
    </row>
    <row r="15">
      <c r="AN15" s="69" t="inlineStr">
        <is>
          <t>San Miguel de El Faique</t>
        </is>
      </c>
      <c r="AO15" s="69" t="inlineStr">
        <is>
          <t>M17B4</t>
        </is>
      </c>
      <c r="AP15" s="69" t="inlineStr">
        <is>
          <t>M3B3</t>
        </is>
      </c>
      <c r="AR15" s="69" t="inlineStr">
        <is>
          <t>78</t>
        </is>
      </c>
      <c r="AS15" s="69" t="inlineStr">
        <is>
          <t>60</t>
        </is>
      </c>
      <c r="AT15" s="69" t="inlineStr">
        <is>
          <t>69</t>
        </is>
      </c>
      <c r="AU15" s="69" t="inlineStr">
        <is>
          <t>14</t>
        </is>
      </c>
    </row>
    <row r="16">
      <c r="AN16" s="69" t="inlineStr">
        <is>
          <t>Santa Catalina de Mossa</t>
        </is>
      </c>
      <c r="AO16" s="69" t="inlineStr">
        <is>
          <t>M17B5</t>
        </is>
      </c>
      <c r="AP16" s="69" t="inlineStr">
        <is>
          <t>M3B5</t>
        </is>
      </c>
      <c r="AR16" s="69" t="inlineStr">
        <is>
          <t>82</t>
        </is>
      </c>
      <c r="AS16" s="69" t="inlineStr">
        <is>
          <t>63</t>
        </is>
      </c>
      <c r="AT16" s="69" t="inlineStr">
        <is>
          <t>70</t>
        </is>
      </c>
      <c r="AU16" s="69" t="inlineStr">
        <is>
          <t>15</t>
        </is>
      </c>
    </row>
    <row r="17">
      <c r="AN17" s="69" t="inlineStr">
        <is>
          <t>Santo Domingo</t>
        </is>
      </c>
      <c r="AO17" s="69" t="inlineStr">
        <is>
          <t>M17B6</t>
        </is>
      </c>
      <c r="AP17" s="69" t="inlineStr">
        <is>
          <t>M3B6</t>
        </is>
      </c>
      <c r="AR17" s="69" t="inlineStr">
        <is>
          <t>M8B2</t>
        </is>
      </c>
      <c r="AS17" s="69" t="inlineStr">
        <is>
          <t>64</t>
        </is>
      </c>
      <c r="AT17" s="69" t="inlineStr">
        <is>
          <t>72</t>
        </is>
      </c>
      <c r="AU17" s="69" t="inlineStr">
        <is>
          <t>16</t>
        </is>
      </c>
    </row>
    <row r="18">
      <c r="AN18" s="69" t="inlineStr">
        <is>
          <t>Yamango</t>
        </is>
      </c>
      <c r="AO18" s="69" t="inlineStr">
        <is>
          <t>M17B7</t>
        </is>
      </c>
      <c r="AP18" s="69" t="inlineStr">
        <is>
          <t>M3B7</t>
        </is>
      </c>
      <c r="AR18" s="69" t="inlineStr">
        <is>
          <t>M19B7</t>
        </is>
      </c>
      <c r="AS18" s="69" t="inlineStr">
        <is>
          <t>66</t>
        </is>
      </c>
      <c r="AT18" s="69" t="inlineStr">
        <is>
          <t>73</t>
        </is>
      </c>
      <c r="AU18" s="69" t="inlineStr">
        <is>
          <t>17</t>
        </is>
      </c>
    </row>
    <row r="19">
      <c r="AO19" s="69" t="inlineStr">
        <is>
          <t>M17B10</t>
        </is>
      </c>
      <c r="AP19" s="69" t="inlineStr">
        <is>
          <t>M3B8</t>
        </is>
      </c>
      <c r="AR19" s="69" t="inlineStr">
        <is>
          <t>M36B2</t>
        </is>
      </c>
      <c r="AS19" s="69" t="inlineStr">
        <is>
          <t>71</t>
        </is>
      </c>
      <c r="AT19" s="69" t="inlineStr">
        <is>
          <t>M2B8</t>
        </is>
      </c>
      <c r="AU19" s="69" t="inlineStr">
        <is>
          <t>18</t>
        </is>
      </c>
    </row>
    <row r="20">
      <c r="AO20" s="69" t="inlineStr">
        <is>
          <t>M27B1</t>
        </is>
      </c>
      <c r="AP20" s="69" t="inlineStr">
        <is>
          <t>M3B9</t>
        </is>
      </c>
      <c r="AR20" s="69" t="inlineStr">
        <is>
          <t>SUS-005</t>
        </is>
      </c>
      <c r="AS20" s="69" t="inlineStr">
        <is>
          <t>76</t>
        </is>
      </c>
      <c r="AT20" s="69" t="inlineStr">
        <is>
          <t>M4B3</t>
        </is>
      </c>
      <c r="AU20" s="69" t="inlineStr">
        <is>
          <t>19</t>
        </is>
      </c>
    </row>
    <row r="21">
      <c r="AO21" s="69" t="inlineStr">
        <is>
          <t>SUS-001</t>
        </is>
      </c>
      <c r="AP21" s="69" t="inlineStr">
        <is>
          <t>M6B2-1</t>
        </is>
      </c>
      <c r="AR21" s="69" t="inlineStr">
        <is>
          <t>SUS-012</t>
        </is>
      </c>
      <c r="AS21" s="69" t="inlineStr">
        <is>
          <t>79</t>
        </is>
      </c>
      <c r="AT21" s="69" t="inlineStr">
        <is>
          <t>M4B4</t>
        </is>
      </c>
      <c r="AU21" s="69" t="inlineStr">
        <is>
          <t>20</t>
        </is>
      </c>
    </row>
    <row r="22">
      <c r="AO22" s="69" t="inlineStr">
        <is>
          <t>SUS-002</t>
        </is>
      </c>
      <c r="AP22" s="69" t="inlineStr">
        <is>
          <t>M6B2-2</t>
        </is>
      </c>
      <c r="AR22" s="69" t="inlineStr">
        <is>
          <t>SUS-013</t>
        </is>
      </c>
      <c r="AS22" s="69" t="inlineStr">
        <is>
          <t>80</t>
        </is>
      </c>
      <c r="AT22" s="69" t="inlineStr">
        <is>
          <t>M20B1</t>
        </is>
      </c>
      <c r="AU22" s="69" t="inlineStr">
        <is>
          <t>21</t>
        </is>
      </c>
    </row>
    <row r="23">
      <c r="AO23" s="69" t="inlineStr">
        <is>
          <t>SUS-003</t>
        </is>
      </c>
      <c r="AP23" s="69" t="inlineStr">
        <is>
          <t>M6B2-3</t>
        </is>
      </c>
      <c r="AR23" s="69" t="inlineStr">
        <is>
          <t>SUS-014</t>
        </is>
      </c>
      <c r="AS23" s="69" t="inlineStr">
        <is>
          <t>81</t>
        </is>
      </c>
      <c r="AT23" s="69" t="inlineStr">
        <is>
          <t>M22B1</t>
        </is>
      </c>
      <c r="AU23" s="69" t="inlineStr">
        <is>
          <t>22</t>
        </is>
      </c>
    </row>
    <row r="24">
      <c r="AO24" s="69" t="inlineStr">
        <is>
          <t>SUS-004</t>
        </is>
      </c>
      <c r="AP24" s="69" t="inlineStr">
        <is>
          <t>M6B10</t>
        </is>
      </c>
      <c r="AR24" s="69" t="inlineStr">
        <is>
          <t>SUS-015</t>
        </is>
      </c>
      <c r="AS24" s="69" t="inlineStr">
        <is>
          <t>M12B1</t>
        </is>
      </c>
      <c r="AT24" s="69" t="inlineStr">
        <is>
          <t>SUS-039</t>
        </is>
      </c>
      <c r="AU24" s="69" t="inlineStr">
        <is>
          <t>23</t>
        </is>
      </c>
    </row>
    <row r="25">
      <c r="AO25" s="69" t="inlineStr">
        <is>
          <t>SUS-006</t>
        </is>
      </c>
      <c r="AP25" s="69" t="inlineStr">
        <is>
          <t>M7B1</t>
        </is>
      </c>
      <c r="AR25" s="69" t="inlineStr">
        <is>
          <t>SUS-016</t>
        </is>
      </c>
      <c r="AS25" s="69" t="inlineStr">
        <is>
          <t>M30B5</t>
        </is>
      </c>
      <c r="AT25" s="69" t="inlineStr">
        <is>
          <t>SUS-041</t>
        </is>
      </c>
      <c r="AU25" s="69" t="inlineStr">
        <is>
          <t>24</t>
        </is>
      </c>
    </row>
    <row r="26">
      <c r="AO26" s="69" t="inlineStr">
        <is>
          <t>SUS-007</t>
        </is>
      </c>
      <c r="AP26" s="69" t="inlineStr">
        <is>
          <t>M7B2</t>
        </is>
      </c>
      <c r="AR26" s="69" t="inlineStr">
        <is>
          <t>SUS-017</t>
        </is>
      </c>
      <c r="AS26" s="69" t="inlineStr">
        <is>
          <t>SUS-032</t>
        </is>
      </c>
      <c r="AT26" s="69" t="inlineStr">
        <is>
          <t>SUS-042</t>
        </is>
      </c>
      <c r="AU26" s="69" t="inlineStr">
        <is>
          <t>26</t>
        </is>
      </c>
    </row>
    <row r="27">
      <c r="AP27" s="69" t="inlineStr">
        <is>
          <t>M7B3</t>
        </is>
      </c>
      <c r="AR27" s="69" t="inlineStr">
        <is>
          <t>SUS-018</t>
        </is>
      </c>
      <c r="AS27" s="69" t="inlineStr">
        <is>
          <t>SUS-033</t>
        </is>
      </c>
      <c r="AT27" s="69" t="inlineStr">
        <is>
          <t>SUS-043</t>
        </is>
      </c>
      <c r="AU27" s="69" t="inlineStr">
        <is>
          <t>27</t>
        </is>
      </c>
    </row>
    <row r="28">
      <c r="AP28" s="69" t="inlineStr">
        <is>
          <t>M7B6</t>
        </is>
      </c>
      <c r="AR28" s="69" t="inlineStr">
        <is>
          <t>SUS-019</t>
        </is>
      </c>
      <c r="AS28" s="69" t="inlineStr">
        <is>
          <t>SUS-034</t>
        </is>
      </c>
      <c r="AT28" s="69" t="inlineStr">
        <is>
          <t>SUS-049</t>
        </is>
      </c>
      <c r="AU28" s="69" t="inlineStr">
        <is>
          <t>28</t>
        </is>
      </c>
    </row>
    <row r="29">
      <c r="AP29" s="69" t="inlineStr">
        <is>
          <t>M11B3</t>
        </is>
      </c>
      <c r="AR29" s="69" t="inlineStr">
        <is>
          <t>SUS-020</t>
        </is>
      </c>
      <c r="AS29" s="69" t="inlineStr">
        <is>
          <t>SUS-035</t>
        </is>
      </c>
      <c r="AT29" s="69" t="inlineStr">
        <is>
          <t>SUS-050</t>
        </is>
      </c>
      <c r="AU29" s="69" t="inlineStr">
        <is>
          <t>30</t>
        </is>
      </c>
    </row>
    <row r="30">
      <c r="AP30" s="69" t="inlineStr">
        <is>
          <t>M18B1</t>
        </is>
      </c>
      <c r="AR30" s="69" t="inlineStr">
        <is>
          <t>SUS-021</t>
        </is>
      </c>
      <c r="AS30" s="69" t="inlineStr">
        <is>
          <t>SUS-036</t>
        </is>
      </c>
      <c r="AT30" s="69" t="inlineStr">
        <is>
          <t>SUS-058</t>
        </is>
      </c>
      <c r="AU30" s="69" t="inlineStr">
        <is>
          <t>31</t>
        </is>
      </c>
    </row>
    <row r="31">
      <c r="AP31" s="69" t="inlineStr">
        <is>
          <t>M18B3</t>
        </is>
      </c>
      <c r="AR31" s="69" t="inlineStr">
        <is>
          <t>SUS-022</t>
        </is>
      </c>
      <c r="AS31" s="69" t="inlineStr">
        <is>
          <t>SUS-037</t>
        </is>
      </c>
      <c r="AT31" s="69" t="inlineStr">
        <is>
          <t>SUS-059</t>
        </is>
      </c>
      <c r="AU31" s="69" t="inlineStr">
        <is>
          <t>34</t>
        </is>
      </c>
    </row>
    <row r="32">
      <c r="AP32" s="69" t="inlineStr">
        <is>
          <t>M19B2</t>
        </is>
      </c>
      <c r="AR32" s="69" t="inlineStr">
        <is>
          <t>SUS-023</t>
        </is>
      </c>
      <c r="AS32" s="69" t="inlineStr">
        <is>
          <t>SUS-038</t>
        </is>
      </c>
      <c r="AT32" s="69" t="inlineStr">
        <is>
          <t>SUS-060</t>
        </is>
      </c>
      <c r="AU32" s="69" t="inlineStr">
        <is>
          <t>35</t>
        </is>
      </c>
    </row>
    <row r="33">
      <c r="AP33" s="69" t="inlineStr">
        <is>
          <t>M32B3</t>
        </is>
      </c>
      <c r="AR33" s="69" t="inlineStr">
        <is>
          <t>SUS-024</t>
        </is>
      </c>
      <c r="AS33" s="69" t="inlineStr">
        <is>
          <t>SUS-040</t>
        </is>
      </c>
      <c r="AU33" s="69" t="inlineStr">
        <is>
          <t>36</t>
        </is>
      </c>
    </row>
    <row r="34">
      <c r="AP34" s="69" t="inlineStr">
        <is>
          <t>SUS-008</t>
        </is>
      </c>
      <c r="AR34" s="69" t="inlineStr">
        <is>
          <t>SUS-025</t>
        </is>
      </c>
      <c r="AS34" s="69" t="inlineStr">
        <is>
          <t>SUS-044</t>
        </is>
      </c>
      <c r="AU34" s="69" t="inlineStr">
        <is>
          <t>37</t>
        </is>
      </c>
    </row>
    <row r="35">
      <c r="AP35" s="69" t="inlineStr">
        <is>
          <t>SUS-009</t>
        </is>
      </c>
      <c r="AR35" s="69" t="inlineStr">
        <is>
          <t>SUS-026</t>
        </is>
      </c>
      <c r="AS35" s="69" t="inlineStr">
        <is>
          <t>SUS-045</t>
        </is>
      </c>
      <c r="AU35" s="69" t="inlineStr">
        <is>
          <t>38</t>
        </is>
      </c>
    </row>
    <row r="36">
      <c r="AP36" s="69" t="inlineStr">
        <is>
          <t>SUS-010</t>
        </is>
      </c>
      <c r="AR36" s="69" t="inlineStr">
        <is>
          <t>SUS-027</t>
        </is>
      </c>
      <c r="AS36" s="69" t="inlineStr">
        <is>
          <t>SUS-046</t>
        </is>
      </c>
      <c r="AU36" s="69" t="inlineStr">
        <is>
          <t>39</t>
        </is>
      </c>
    </row>
    <row r="37">
      <c r="AP37" s="69" t="inlineStr">
        <is>
          <t>SUS-011</t>
        </is>
      </c>
      <c r="AS37" s="69" t="inlineStr">
        <is>
          <t>SUS-047</t>
        </is>
      </c>
      <c r="AU37" s="69" t="inlineStr">
        <is>
          <t>40</t>
        </is>
      </c>
    </row>
    <row r="38">
      <c r="AS38" s="69" t="inlineStr">
        <is>
          <t>SUS-048</t>
        </is>
      </c>
      <c r="AU38" s="69" t="inlineStr">
        <is>
          <t>41</t>
        </is>
      </c>
    </row>
    <row r="39">
      <c r="AU39" s="69" t="inlineStr">
        <is>
          <t>42</t>
        </is>
      </c>
    </row>
    <row r="40">
      <c r="AU40" s="69" t="inlineStr">
        <is>
          <t>43</t>
        </is>
      </c>
    </row>
    <row r="41">
      <c r="AU41" s="69" t="inlineStr">
        <is>
          <t>44</t>
        </is>
      </c>
    </row>
    <row r="42">
      <c r="AU42" s="69" t="inlineStr">
        <is>
          <t>47</t>
        </is>
      </c>
    </row>
    <row r="43">
      <c r="AU43" s="69" t="inlineStr">
        <is>
          <t>49</t>
        </is>
      </c>
    </row>
    <row r="44">
      <c r="AU44" s="69" t="inlineStr">
        <is>
          <t>50</t>
        </is>
      </c>
    </row>
    <row r="45">
      <c r="AU45" s="69" t="inlineStr">
        <is>
          <t>51</t>
        </is>
      </c>
    </row>
    <row r="46">
      <c r="AU46" s="69" t="inlineStr">
        <is>
          <t>52</t>
        </is>
      </c>
    </row>
    <row r="47">
      <c r="AU47" s="69" t="inlineStr">
        <is>
          <t>53</t>
        </is>
      </c>
    </row>
    <row r="48">
      <c r="AU48" s="69" t="inlineStr">
        <is>
          <t>55</t>
        </is>
      </c>
    </row>
    <row r="49">
      <c r="AU49" s="69" t="inlineStr">
        <is>
          <t>56</t>
        </is>
      </c>
    </row>
    <row r="50">
      <c r="AU50" s="69" t="inlineStr">
        <is>
          <t>57</t>
        </is>
      </c>
    </row>
    <row r="51">
      <c r="AU51" s="69" t="inlineStr">
        <is>
          <t>58</t>
        </is>
      </c>
    </row>
    <row r="52">
      <c r="AU52" s="69" t="inlineStr">
        <is>
          <t>59</t>
        </is>
      </c>
    </row>
    <row r="53">
      <c r="AU53" s="69" t="inlineStr">
        <is>
          <t>60</t>
        </is>
      </c>
    </row>
    <row r="54">
      <c r="AU54" s="69" t="inlineStr">
        <is>
          <t>61</t>
        </is>
      </c>
    </row>
    <row r="55">
      <c r="AU55" s="69" t="inlineStr">
        <is>
          <t>63</t>
        </is>
      </c>
    </row>
    <row r="56">
      <c r="AU56" s="69" t="inlineStr">
        <is>
          <t>64</t>
        </is>
      </c>
    </row>
    <row r="57">
      <c r="AU57" s="69" t="inlineStr">
        <is>
          <t>66</t>
        </is>
      </c>
    </row>
    <row r="58">
      <c r="AU58" s="69" t="inlineStr">
        <is>
          <t>67</t>
        </is>
      </c>
    </row>
    <row r="59">
      <c r="AU59" s="69" t="inlineStr">
        <is>
          <t>69</t>
        </is>
      </c>
    </row>
    <row r="60">
      <c r="AU60" s="69" t="inlineStr">
        <is>
          <t>70</t>
        </is>
      </c>
    </row>
    <row r="61">
      <c r="AU61" s="69" t="inlineStr">
        <is>
          <t>71</t>
        </is>
      </c>
    </row>
    <row r="62">
      <c r="AU62" s="69" t="inlineStr">
        <is>
          <t>72</t>
        </is>
      </c>
    </row>
    <row r="63">
      <c r="AU63" s="69" t="inlineStr">
        <is>
          <t>73</t>
        </is>
      </c>
    </row>
    <row r="64">
      <c r="AU64" s="69" t="inlineStr">
        <is>
          <t>76</t>
        </is>
      </c>
    </row>
    <row r="65">
      <c r="AU65" s="69" t="inlineStr">
        <is>
          <t>77</t>
        </is>
      </c>
    </row>
    <row r="66">
      <c r="AU66" s="69" t="inlineStr">
        <is>
          <t>78</t>
        </is>
      </c>
    </row>
    <row r="67">
      <c r="AU67" s="69" t="inlineStr">
        <is>
          <t>79</t>
        </is>
      </c>
    </row>
    <row r="68">
      <c r="AU68" s="69" t="inlineStr">
        <is>
          <t>80</t>
        </is>
      </c>
    </row>
    <row r="69">
      <c r="AU69" s="69" t="inlineStr">
        <is>
          <t>81</t>
        </is>
      </c>
    </row>
    <row r="70">
      <c r="AU70" s="69" t="inlineStr">
        <is>
          <t>82</t>
        </is>
      </c>
    </row>
    <row r="71">
      <c r="AU71" s="69" t="inlineStr">
        <is>
          <t>83</t>
        </is>
      </c>
    </row>
    <row r="72">
      <c r="AU72" s="69" t="inlineStr">
        <is>
          <t>84</t>
        </is>
      </c>
    </row>
    <row r="73">
      <c r="AU73" s="69" t="inlineStr">
        <is>
          <t>85</t>
        </is>
      </c>
    </row>
    <row r="74">
      <c r="AU74" s="69" t="inlineStr">
        <is>
          <t>86</t>
        </is>
      </c>
    </row>
    <row r="75">
      <c r="AU75" s="69" t="inlineStr">
        <is>
          <t>87</t>
        </is>
      </c>
    </row>
    <row r="76">
      <c r="AU76" s="69" t="inlineStr">
        <is>
          <t>M1B1</t>
        </is>
      </c>
    </row>
    <row r="77">
      <c r="AU77" s="69" t="inlineStr">
        <is>
          <t>M2B1</t>
        </is>
      </c>
    </row>
    <row r="78">
      <c r="AU78" s="69" t="inlineStr">
        <is>
          <t>M2B5</t>
        </is>
      </c>
    </row>
    <row r="79">
      <c r="AU79" s="69" t="inlineStr">
        <is>
          <t>M2B8</t>
        </is>
      </c>
    </row>
    <row r="80">
      <c r="AU80" s="69" t="inlineStr">
        <is>
          <t>M3B1</t>
        </is>
      </c>
    </row>
    <row r="81">
      <c r="AU81" s="69" t="inlineStr">
        <is>
          <t>M3B3</t>
        </is>
      </c>
    </row>
    <row r="82">
      <c r="AU82" s="69" t="inlineStr">
        <is>
          <t>M3B5</t>
        </is>
      </c>
    </row>
    <row r="83">
      <c r="AU83" s="69" t="inlineStr">
        <is>
          <t>M3B6</t>
        </is>
      </c>
    </row>
    <row r="84">
      <c r="AU84" s="69" t="inlineStr">
        <is>
          <t>M3B7</t>
        </is>
      </c>
    </row>
    <row r="85">
      <c r="AU85" s="69" t="inlineStr">
        <is>
          <t>M3B8</t>
        </is>
      </c>
    </row>
    <row r="86">
      <c r="AU86" s="69" t="inlineStr">
        <is>
          <t>M3B9</t>
        </is>
      </c>
    </row>
    <row r="87">
      <c r="AU87" s="69" t="inlineStr">
        <is>
          <t>M4B3</t>
        </is>
      </c>
    </row>
    <row r="88">
      <c r="AU88" s="69" t="inlineStr">
        <is>
          <t>M4B4</t>
        </is>
      </c>
    </row>
    <row r="89">
      <c r="AU89" s="69" t="inlineStr">
        <is>
          <t>M6B2-1</t>
        </is>
      </c>
    </row>
    <row r="90">
      <c r="AU90" s="69" t="inlineStr">
        <is>
          <t>M6B2-2</t>
        </is>
      </c>
    </row>
    <row r="91">
      <c r="AU91" s="69" t="inlineStr">
        <is>
          <t>M6B2-3</t>
        </is>
      </c>
    </row>
    <row r="92">
      <c r="AU92" s="69" t="inlineStr">
        <is>
          <t>M6B10</t>
        </is>
      </c>
    </row>
    <row r="93">
      <c r="AU93" s="69" t="inlineStr">
        <is>
          <t>M7B1</t>
        </is>
      </c>
    </row>
    <row r="94">
      <c r="AU94" s="69" t="inlineStr">
        <is>
          <t>M7B2</t>
        </is>
      </c>
    </row>
    <row r="95">
      <c r="AU95" s="69" t="inlineStr">
        <is>
          <t>M7B3</t>
        </is>
      </c>
    </row>
    <row r="96">
      <c r="AU96" s="69" t="inlineStr">
        <is>
          <t>M7B6</t>
        </is>
      </c>
    </row>
    <row r="97">
      <c r="AU97" s="69" t="inlineStr">
        <is>
          <t>M8B2</t>
        </is>
      </c>
    </row>
    <row r="98">
      <c r="AU98" s="69" t="inlineStr">
        <is>
          <t>M9B1</t>
        </is>
      </c>
    </row>
    <row r="99">
      <c r="AU99" s="69" t="inlineStr">
        <is>
          <t>M10B4</t>
        </is>
      </c>
    </row>
    <row r="100">
      <c r="AU100" s="69" t="inlineStr">
        <is>
          <t>M11B3</t>
        </is>
      </c>
    </row>
    <row r="101">
      <c r="AU101" s="69" t="inlineStr">
        <is>
          <t>M12B1</t>
        </is>
      </c>
    </row>
    <row r="102">
      <c r="AU102" s="69" t="inlineStr">
        <is>
          <t>M17B1</t>
        </is>
      </c>
    </row>
    <row r="103">
      <c r="AU103" s="69" t="inlineStr">
        <is>
          <t>M17B4</t>
        </is>
      </c>
    </row>
    <row r="104">
      <c r="AU104" s="69" t="inlineStr">
        <is>
          <t>M17B5</t>
        </is>
      </c>
    </row>
    <row r="105">
      <c r="AU105" s="69" t="inlineStr">
        <is>
          <t>M17B6</t>
        </is>
      </c>
    </row>
    <row r="106">
      <c r="AU106" s="69" t="inlineStr">
        <is>
          <t>M17B7</t>
        </is>
      </c>
    </row>
    <row r="107">
      <c r="AU107" s="69" t="inlineStr">
        <is>
          <t>M17B10</t>
        </is>
      </c>
    </row>
    <row r="108">
      <c r="AU108" s="69" t="inlineStr">
        <is>
          <t>M18B1</t>
        </is>
      </c>
    </row>
    <row r="109">
      <c r="AU109" s="69" t="inlineStr">
        <is>
          <t>M18B3</t>
        </is>
      </c>
    </row>
    <row r="110">
      <c r="AU110" s="69" t="inlineStr">
        <is>
          <t>M19B2</t>
        </is>
      </c>
    </row>
    <row r="111">
      <c r="AU111" s="69" t="inlineStr">
        <is>
          <t>M19B7</t>
        </is>
      </c>
    </row>
    <row r="112">
      <c r="AU112" s="69" t="inlineStr">
        <is>
          <t>M20B1</t>
        </is>
      </c>
    </row>
    <row r="113">
      <c r="AU113" s="69" t="inlineStr">
        <is>
          <t>M22B1</t>
        </is>
      </c>
    </row>
    <row r="114">
      <c r="AU114" s="69" t="inlineStr">
        <is>
          <t>M27B1</t>
        </is>
      </c>
    </row>
    <row r="115">
      <c r="AU115" s="69" t="inlineStr">
        <is>
          <t>M28B2</t>
        </is>
      </c>
    </row>
    <row r="116">
      <c r="AU116" s="69" t="inlineStr">
        <is>
          <t>M28B3</t>
        </is>
      </c>
    </row>
    <row r="117">
      <c r="AU117" s="69" t="inlineStr">
        <is>
          <t>M28B4</t>
        </is>
      </c>
    </row>
    <row r="118">
      <c r="AU118" s="69" t="inlineStr">
        <is>
          <t>M30B5</t>
        </is>
      </c>
    </row>
    <row r="119">
      <c r="AU119" s="69" t="inlineStr">
        <is>
          <t>M32B3</t>
        </is>
      </c>
    </row>
    <row r="120">
      <c r="AU120" s="69" t="inlineStr">
        <is>
          <t>M36B2</t>
        </is>
      </c>
    </row>
    <row r="121">
      <c r="AU121" s="69" t="inlineStr">
        <is>
          <t>SUS-001</t>
        </is>
      </c>
    </row>
    <row r="122">
      <c r="AU122" s="69" t="inlineStr">
        <is>
          <t>SUS-002</t>
        </is>
      </c>
    </row>
    <row r="123">
      <c r="AU123" s="69" t="inlineStr">
        <is>
          <t>SUS-003</t>
        </is>
      </c>
    </row>
    <row r="124">
      <c r="AU124" s="69" t="inlineStr">
        <is>
          <t>SUS-004</t>
        </is>
      </c>
    </row>
    <row r="125">
      <c r="AU125" s="69" t="inlineStr">
        <is>
          <t>SUS-005</t>
        </is>
      </c>
    </row>
    <row r="126">
      <c r="AU126" s="69" t="inlineStr">
        <is>
          <t>SUS-006</t>
        </is>
      </c>
    </row>
    <row r="127">
      <c r="AU127" s="69" t="inlineStr">
        <is>
          <t>SUS-007</t>
        </is>
      </c>
    </row>
    <row r="128">
      <c r="AU128" s="69" t="inlineStr">
        <is>
          <t>SUS-008</t>
        </is>
      </c>
    </row>
    <row r="129">
      <c r="AU129" s="69" t="inlineStr">
        <is>
          <t>SUS-009</t>
        </is>
      </c>
    </row>
    <row r="130">
      <c r="AU130" s="69" t="inlineStr">
        <is>
          <t>SUS-010</t>
        </is>
      </c>
    </row>
    <row r="131">
      <c r="AU131" s="69" t="inlineStr">
        <is>
          <t>SUS-011</t>
        </is>
      </c>
    </row>
    <row r="132">
      <c r="AU132" s="69" t="inlineStr">
        <is>
          <t>SUS-012</t>
        </is>
      </c>
    </row>
    <row r="133">
      <c r="AU133" s="69" t="inlineStr">
        <is>
          <t>SUS-013</t>
        </is>
      </c>
    </row>
    <row r="134">
      <c r="AU134" s="69" t="inlineStr">
        <is>
          <t>SUS-014</t>
        </is>
      </c>
    </row>
    <row r="135">
      <c r="AU135" s="69" t="inlineStr">
        <is>
          <t>SUS-015</t>
        </is>
      </c>
    </row>
    <row r="136">
      <c r="AU136" s="69" t="inlineStr">
        <is>
          <t>SUS-016</t>
        </is>
      </c>
    </row>
    <row r="137">
      <c r="AU137" s="69" t="inlineStr">
        <is>
          <t>SUS-017</t>
        </is>
      </c>
    </row>
    <row r="138">
      <c r="AU138" s="69" t="inlineStr">
        <is>
          <t>SUS-018</t>
        </is>
      </c>
    </row>
    <row r="139">
      <c r="AU139" s="69" t="inlineStr">
        <is>
          <t>SUS-019</t>
        </is>
      </c>
    </row>
    <row r="140">
      <c r="AU140" s="69" t="inlineStr">
        <is>
          <t>SUS-020</t>
        </is>
      </c>
    </row>
    <row r="141">
      <c r="AU141" s="69" t="inlineStr">
        <is>
          <t>SUS-021</t>
        </is>
      </c>
    </row>
    <row r="142">
      <c r="AU142" s="69" t="inlineStr">
        <is>
          <t>SUS-022</t>
        </is>
      </c>
    </row>
    <row r="143">
      <c r="AU143" s="69" t="inlineStr">
        <is>
          <t>SUS-023</t>
        </is>
      </c>
    </row>
    <row r="144">
      <c r="AU144" s="69" t="inlineStr">
        <is>
          <t>SUS-024</t>
        </is>
      </c>
    </row>
    <row r="145">
      <c r="AU145" s="69" t="inlineStr">
        <is>
          <t>SUS-025</t>
        </is>
      </c>
    </row>
    <row r="146">
      <c r="AU146" s="69" t="inlineStr">
        <is>
          <t>SUS-026</t>
        </is>
      </c>
    </row>
    <row r="147">
      <c r="AU147" s="69" t="inlineStr">
        <is>
          <t>SUS-027</t>
        </is>
      </c>
    </row>
    <row r="148">
      <c r="AU148" s="69" t="inlineStr">
        <is>
          <t>SUS-028</t>
        </is>
      </c>
    </row>
    <row r="149">
      <c r="AU149" s="69" t="inlineStr">
        <is>
          <t>SUS-029</t>
        </is>
      </c>
    </row>
    <row r="150">
      <c r="AU150" s="69" t="inlineStr">
        <is>
          <t>SUS-030</t>
        </is>
      </c>
    </row>
    <row r="151">
      <c r="AU151" s="69" t="inlineStr">
        <is>
          <t>SUS-031</t>
        </is>
      </c>
    </row>
    <row r="152">
      <c r="AU152" s="69" t="inlineStr">
        <is>
          <t>SUS-032</t>
        </is>
      </c>
    </row>
    <row r="153">
      <c r="AU153" s="69" t="inlineStr">
        <is>
          <t>SUS-033</t>
        </is>
      </c>
    </row>
    <row r="154">
      <c r="AU154" s="69" t="inlineStr">
        <is>
          <t>SUS-034</t>
        </is>
      </c>
    </row>
    <row r="155">
      <c r="AU155" s="69" t="inlineStr">
        <is>
          <t>SUS-035</t>
        </is>
      </c>
    </row>
    <row r="156">
      <c r="AU156" s="69" t="inlineStr">
        <is>
          <t>SUS-036</t>
        </is>
      </c>
    </row>
    <row r="157">
      <c r="AU157" s="69" t="inlineStr">
        <is>
          <t>SUS-037</t>
        </is>
      </c>
    </row>
    <row r="158">
      <c r="AU158" s="69" t="inlineStr">
        <is>
          <t>SUS-038</t>
        </is>
      </c>
    </row>
    <row r="159">
      <c r="AU159" s="69" t="inlineStr">
        <is>
          <t>SUS-039</t>
        </is>
      </c>
    </row>
    <row r="160">
      <c r="AU160" s="69" t="inlineStr">
        <is>
          <t>SUS-040</t>
        </is>
      </c>
    </row>
    <row r="161">
      <c r="AU161" s="69" t="inlineStr">
        <is>
          <t>SUS-041</t>
        </is>
      </c>
    </row>
    <row r="162">
      <c r="AU162" s="69" t="inlineStr">
        <is>
          <t>SUS-042</t>
        </is>
      </c>
    </row>
    <row r="163">
      <c r="AU163" s="69" t="inlineStr">
        <is>
          <t>SUS-043</t>
        </is>
      </c>
    </row>
    <row r="164">
      <c r="AU164" s="69" t="inlineStr">
        <is>
          <t>SUS-044</t>
        </is>
      </c>
    </row>
    <row r="165">
      <c r="AU165" s="69" t="inlineStr">
        <is>
          <t>SUS-045</t>
        </is>
      </c>
    </row>
    <row r="166">
      <c r="AU166" s="69" t="inlineStr">
        <is>
          <t>SUS-046</t>
        </is>
      </c>
    </row>
    <row r="167">
      <c r="AU167" s="69" t="inlineStr">
        <is>
          <t>SUS-047</t>
        </is>
      </c>
    </row>
    <row r="168">
      <c r="AU168" s="69" t="inlineStr">
        <is>
          <t>SUS-048</t>
        </is>
      </c>
    </row>
    <row r="169">
      <c r="AU169" s="69" t="inlineStr">
        <is>
          <t>SUS-049</t>
        </is>
      </c>
    </row>
    <row r="170">
      <c r="AU170" s="69" t="inlineStr">
        <is>
          <t>SUS-050</t>
        </is>
      </c>
    </row>
    <row r="171">
      <c r="AU171" s="69" t="inlineStr">
        <is>
          <t>SUS-051</t>
        </is>
      </c>
    </row>
    <row r="172">
      <c r="AU172" s="69" t="inlineStr">
        <is>
          <t>SUS-052</t>
        </is>
      </c>
    </row>
    <row r="173">
      <c r="AU173" s="69" t="inlineStr">
        <is>
          <t>SUS-053</t>
        </is>
      </c>
    </row>
    <row r="174">
      <c r="AU174" s="69" t="inlineStr">
        <is>
          <t>SUS-054</t>
        </is>
      </c>
    </row>
    <row r="175">
      <c r="AU175" s="69" t="inlineStr">
        <is>
          <t>SUS-055</t>
        </is>
      </c>
    </row>
    <row r="176">
      <c r="AU176" s="69" t="inlineStr">
        <is>
          <t>SUS-056</t>
        </is>
      </c>
    </row>
    <row r="177">
      <c r="AU177" s="69" t="inlineStr">
        <is>
          <t>SUS-057</t>
        </is>
      </c>
    </row>
    <row r="178">
      <c r="AU178" s="69" t="inlineStr">
        <is>
          <t>SUS-058</t>
        </is>
      </c>
    </row>
    <row r="179">
      <c r="AU179" s="69" t="inlineStr">
        <is>
          <t>SUS-059</t>
        </is>
      </c>
    </row>
    <row r="180">
      <c r="AU180" s="69" t="inlineStr">
        <is>
          <t>SUS-060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ANIN – DIME – SESDI</dc:creator>
  <dc:title xmlns:dc="http://purl.org/dc/elements/1.1/">Ficha Técnica Predial – Proyecto IN Piura</dc:title>
  <dcterms:created xmlns:dcterms="http://purl.org/dc/terms/" xmlns:xsi="http://www.w3.org/2001/XMLSchema-instance" xsi:type="dcterms:W3CDTF">2026-10-25T22:06:49Z</dcterms:created>
  <dcterms:modified xmlns:dcterms="http://purl.org/dc/terms/" xmlns:xsi="http://www.w3.org/2001/XMLSchema-instance" xsi:type="dcterms:W3CDTF">2026-10-25T22:06:50Z</dcterms:modified>
</cp:coreProperties>
</file>