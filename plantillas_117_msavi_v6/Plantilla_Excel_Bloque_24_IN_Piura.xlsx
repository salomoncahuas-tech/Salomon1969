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24</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24</t>
        </is>
      </c>
      <c r="C9" s="6" t="inlineStr">
        <is>
          <t>Microcuenca (catálogo)</t>
        </is>
      </c>
      <c r="D9" s="7" t="inlineStr">
        <is>
          <t>C1081-Q9583</t>
        </is>
      </c>
      <c r="E9" s="8" t="n"/>
      <c r="F9" s="8" t="n"/>
    </row>
    <row r="10">
      <c r="A10" s="6" t="inlineStr">
        <is>
          <t>Zona de planificación</t>
        </is>
      </c>
      <c r="B10" s="7" t="inlineStr">
        <is>
          <t>Z11</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Canchaque</t>
        </is>
      </c>
      <c r="C12" s="6" t="inlineStr">
        <is>
          <t>Capital distrital</t>
        </is>
      </c>
      <c r="D12" s="7" t="inlineStr">
        <is>
          <t>Canchaque</t>
        </is>
      </c>
      <c r="E12" s="8" t="n"/>
      <c r="F12" s="8" t="n"/>
    </row>
    <row r="13">
      <c r="A13" s="6" t="inlineStr">
        <is>
          <t>Centro poblado asociado</t>
        </is>
      </c>
      <c r="B13" s="7" t="inlineStr">
        <is>
          <t>Coyona</t>
        </is>
      </c>
      <c r="C13" s="6" t="inlineStr">
        <is>
          <t>Comunidad campesina</t>
        </is>
      </c>
      <c r="D13" s="7" t="inlineStr">
        <is>
          <t>Por verificar</t>
        </is>
      </c>
      <c r="E13" s="8" t="n"/>
      <c r="F13" s="8" t="n"/>
    </row>
    <row r="14">
      <c r="A14" s="6" t="inlineStr">
        <is>
          <t>Superficie de catálogo (V5/V6), ha</t>
        </is>
      </c>
      <c r="B14" s="7" t="n">
        <v>90.16</v>
      </c>
      <c r="C14" s="6" t="inlineStr">
        <is>
          <t>Fuente de superficie</t>
        </is>
      </c>
      <c r="D14" s="7" t="inlineStr">
        <is>
          <t>Catálogo maestro Bloques V5/V6</t>
        </is>
      </c>
      <c r="E14" s="8" t="n"/>
      <c r="F14" s="8" t="n"/>
    </row>
    <row r="15">
      <c r="A15" s="6" t="inlineStr">
        <is>
          <t>Centroide UTM ESTE (m)</t>
        </is>
      </c>
      <c r="B15" s="7" t="n">
        <v>652191</v>
      </c>
      <c r="C15" s="6" t="inlineStr">
        <is>
          <t>Centroide UTM NORTE (m)</t>
        </is>
      </c>
      <c r="D15" s="7" t="n">
        <v>9414358</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1319</v>
      </c>
      <c r="C19" s="6" t="inlineStr">
        <is>
          <t>Altitud máxima (msnm)</t>
        </is>
      </c>
      <c r="D19" s="7" t="n">
        <v>1887</v>
      </c>
      <c r="E19" s="8" t="n"/>
      <c r="F19" s="8" t="n"/>
    </row>
    <row r="20">
      <c r="A20" s="6" t="inlineStr">
        <is>
          <t>Amplitud altitudinal (m)</t>
        </is>
      </c>
      <c r="B20" s="7" t="n">
        <v>568</v>
      </c>
      <c r="C20" s="6" t="inlineStr">
        <is>
          <t>Piso altitudinal dominante</t>
        </is>
      </c>
      <c r="D20" s="7" t="inlineStr">
        <is>
          <t>1500-2000 m (Quechua media)</t>
        </is>
      </c>
      <c r="E20" s="8" t="n"/>
      <c r="F20" s="8" t="n"/>
    </row>
    <row r="21">
      <c r="A21" s="6" t="inlineStr">
        <is>
          <t>Pendiente promedio (%)</t>
        </is>
      </c>
      <c r="B21" s="7" t="n">
        <v>32.98</v>
      </c>
      <c r="C21" s="6" t="inlineStr">
        <is>
          <t>Pendiente promedio (grados)</t>
        </is>
      </c>
      <c r="D21" s="7" t="n">
        <v>18.3</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t>
        </is>
      </c>
      <c r="C24" s="6" t="inlineStr">
        <is>
          <t>Afloramientos rocosos</t>
        </is>
      </c>
      <c r="D24" s="7" t="inlineStr">
        <is>
          <t>No</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0.6748</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(98.51 %)</t>
        </is>
      </c>
      <c r="E29" s="8" t="n"/>
      <c r="F29" s="8" t="n"/>
    </row>
    <row r="30">
      <c r="A30" s="6" t="inlineStr">
        <is>
          <t>Superficie clasificada NDVI 2025 (ha)</t>
        </is>
      </c>
      <c r="B30" s="7" t="n">
        <v>90.18000000000001</v>
      </c>
      <c r="C30" s="6" t="inlineStr">
        <is>
          <t>Desviación frente al catálogo (%)</t>
        </is>
      </c>
      <c r="D30" s="7" t="n">
        <v>0.02</v>
      </c>
      <c r="E30" s="8" t="n"/>
      <c r="F30" s="8" t="n"/>
    </row>
    <row r="31">
      <c r="A31" s="6" t="inlineStr">
        <is>
          <t>Superficie clasificada MSAVI 2024 (ha)</t>
        </is>
      </c>
      <c r="B31" s="38" t="n">
        <v>90.16</v>
      </c>
      <c r="C31" s="6" t="inlineStr">
        <is>
          <t>Desviación MSAVI frente al catálogo (%)</t>
        </is>
      </c>
      <c r="D31" s="39" t="n">
        <v>0</v>
      </c>
      <c r="E31" s="8" t="n"/>
      <c r="F31" s="8" t="n"/>
    </row>
    <row r="32">
      <c r="A32" s="6" t="inlineStr">
        <is>
          <t>Superficie bajo umbral MSAVI 0.4976 (ha)</t>
        </is>
      </c>
      <c r="B32" s="38" t="n">
        <v>2.061</v>
      </c>
      <c r="C32" s="6" t="inlineStr">
        <is>
          <t>% del bloque bajo umbral (brecha espectral)</t>
        </is>
      </c>
      <c r="D32" s="39" t="n">
        <v>2.29</v>
      </c>
      <c r="E32" s="8" t="n"/>
      <c r="F32" s="8" t="n"/>
    </row>
    <row r="33">
      <c r="A33" s="6" t="inlineStr">
        <is>
          <t>Clase DN dominante (MSAVI 2024)</t>
        </is>
      </c>
      <c r="B33" s="7" t="inlineStr">
        <is>
          <t>DN 5 · &gt; 0.6139 (Vigor alto)</t>
        </is>
      </c>
      <c r="C33" s="6" t="inlineStr">
        <is>
          <t>N.° de polígonos MSAVI del bloque</t>
        </is>
      </c>
      <c r="D33" s="40" t="n">
        <v>175</v>
      </c>
      <c r="E33" s="8" t="n"/>
      <c r="F33" s="8" t="n"/>
    </row>
    <row r="34"/>
    <row r="35" ht="18" customHeight="1">
      <c r="A35" s="5" t="inlineStr">
        <is>
          <t>4. ECOSISTEMA Y ESTADO DE CONSERVACIÓN</t>
        </is>
      </c>
    </row>
    <row r="36">
      <c r="A36" s="6" t="inlineStr">
        <is>
          <t>Tipo de ecosistema (UP)</t>
        </is>
      </c>
      <c r="B36" s="7" t="inlineStr">
        <is>
          <t>Matorral Andino subhúmedo</t>
        </is>
      </c>
      <c r="C36" s="6" t="inlineStr">
        <is>
          <t>Superficie de ecosistema (ha)</t>
        </is>
      </c>
      <c r="D36" s="7" t="inlineStr">
        <is>
          <t>Por determinar</t>
        </is>
      </c>
      <c r="E36" s="8" t="n"/>
      <c r="F36" s="8" t="n"/>
    </row>
    <row r="37">
      <c r="A37" s="6" t="inlineStr">
        <is>
          <t>Estado de conservación</t>
        </is>
      </c>
      <c r="B37" s="7" t="inlineStr">
        <is>
          <t>Medianamente alterado</t>
        </is>
      </c>
      <c r="C37" s="6" t="inlineStr">
        <is>
          <t>Uso actual dominante del suelo</t>
        </is>
      </c>
      <c r="D37" s="7" t="inlineStr">
        <is>
          <t>Pastoreo extensivo</t>
        </is>
      </c>
      <c r="E37" s="8" t="n"/>
      <c r="F37" s="8" t="n"/>
    </row>
    <row r="38">
      <c r="A38" s="6" t="inlineStr">
        <is>
          <t>Tipo de cobertura dominante</t>
        </is>
      </c>
      <c r="B38" s="7" t="inlineStr">
        <is>
          <t>Matorral denso</t>
        </is>
      </c>
      <c r="C38" s="6" t="inlineStr">
        <is>
          <t>Cobertura vegetal total — campo (%)</t>
        </is>
      </c>
      <c r="D38" s="7" t="inlineStr">
        <is>
          <t>Por determinar</t>
        </is>
      </c>
      <c r="E38" s="8" t="n"/>
      <c r="F38" s="8" t="n"/>
    </row>
    <row r="39">
      <c r="A39" s="6" t="inlineStr">
        <is>
          <t>Suelo desnudo — campo (%)</t>
        </is>
      </c>
      <c r="B39" s="7" t="inlineStr">
        <is>
          <t>Por determinar</t>
        </is>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n">
        <v>0</v>
      </c>
      <c r="E40" s="8" t="n"/>
      <c r="F40" s="8" t="n"/>
    </row>
    <row r="41">
      <c r="A41" s="6" t="inlineStr">
        <is>
          <t>Elenco florístico (n.° de taxones)</t>
        </is>
      </c>
      <c r="B41" s="7" t="n">
        <v>10</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Juan Domínguez y Blgo. Abel Aucasime</t>
        </is>
      </c>
      <c r="C44" s="6" t="inlineStr">
        <is>
          <t>Fecha de evaluación</t>
        </is>
      </c>
      <c r="D44" s="7" t="inlineStr">
        <is>
          <t>2026-07-21</t>
        </is>
      </c>
      <c r="E44" s="8" t="n"/>
      <c r="F44" s="8" t="n"/>
    </row>
    <row r="45">
      <c r="A45" s="6" t="inlineStr">
        <is>
          <t>Hora de registro</t>
        </is>
      </c>
      <c r="B45" s="7" t="inlineStr">
        <is>
          <t>Por registrar</t>
        </is>
      </c>
      <c r="C45" s="6" t="inlineStr">
        <is>
          <t>Correlativo de ficha</t>
        </is>
      </c>
      <c r="D45" s="7" t="inlineStr">
        <is>
          <t>F-DT-01-24</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Por determinar</t>
        </is>
      </c>
      <c r="E47" s="8" t="n"/>
      <c r="F47" s="8" t="n"/>
    </row>
    <row r="48">
      <c r="A48" s="6" t="inlineStr">
        <is>
          <t>Estaciones fotográficas georreferenciadas</t>
        </is>
      </c>
      <c r="B48" s="7" t="inlineStr">
        <is>
          <t>Sin registro en la ficha DT</t>
        </is>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Ocupación productiva de laderas de fuerte pendiente sin prácticas de conservación de suelos, favorecida por la accesibilidad vial</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24</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1" t="n">
        <v>68.0839</v>
      </c>
      <c r="C10" s="30">
        <f>ROUND(B10/$B$15*100,2)</f>
        <v/>
      </c>
      <c r="D10" s="12" t="inlineStr">
        <is>
          <t>Vigor alto</t>
        </is>
      </c>
      <c r="E10" s="12" t="inlineStr">
        <is>
          <t>Sobre umbral</t>
        </is>
      </c>
    </row>
    <row r="11">
      <c r="A11" s="13" t="inlineStr">
        <is>
          <t>0.4976 - 0.6139 · DN 4</t>
        </is>
      </c>
      <c r="B11" s="20" t="n">
        <v>20.0145</v>
      </c>
      <c r="C11" s="21">
        <f>ROUND(B11/$B$15*100,2)</f>
        <v/>
      </c>
      <c r="D11" s="14" t="inlineStr">
        <is>
          <t>Vigor moderado</t>
        </is>
      </c>
      <c r="E11" s="14" t="inlineStr">
        <is>
          <t>Sobre umbral</t>
        </is>
      </c>
    </row>
    <row r="12">
      <c r="A12" s="7" t="inlineStr">
        <is>
          <t>0.3813 - 0.4976 · DN 3</t>
        </is>
      </c>
      <c r="B12" s="18" t="n">
        <v>2.0611</v>
      </c>
      <c r="C12" s="19">
        <f>ROUND(B12/$B$15*100,2)</f>
        <v/>
      </c>
      <c r="D12" s="15" t="inlineStr">
        <is>
          <t>Vigor bajo</t>
        </is>
      </c>
      <c r="E12" s="15" t="inlineStr">
        <is>
          <t>BAJO umbral 0.4976</t>
        </is>
      </c>
    </row>
    <row r="13">
      <c r="A13" s="13" t="inlineStr">
        <is>
          <t>0.2650 - 0.3813 · DN 2</t>
        </is>
      </c>
      <c r="B13" s="20" t="n">
        <v>0</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175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90.16</v>
      </c>
      <c r="C18" s="49" t="inlineStr">
        <is>
          <t>—</t>
        </is>
      </c>
      <c r="D18" s="46" t="inlineStr">
        <is>
          <t>Desviación planimétrica frente al catálogo</t>
        </is>
      </c>
      <c r="E18" s="46" t="inlineStr">
        <is>
          <t>+0.00 %</t>
        </is>
      </c>
    </row>
    <row r="19">
      <c r="A19" s="16" t="inlineStr">
        <is>
          <t>MSAVI 2024 — MEDIA DEL BLOQUE</t>
        </is>
      </c>
      <c r="B19" s="17" t="n">
        <v>0.674839</v>
      </c>
      <c r="C19" s="17" t="inlineStr">
        <is>
          <t>—</t>
        </is>
      </c>
      <c r="D19" s="17" t="inlineStr">
        <is>
          <t>Vigor alto · clase &gt;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175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(0.6748)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88.8379</v>
      </c>
      <c r="C25" s="19" t="n">
        <v>98.51000000000001</v>
      </c>
      <c r="D25" s="15" t="inlineStr">
        <is>
          <t>Dosel continuo, matorral denso o mosaico agroforestal</t>
        </is>
      </c>
      <c r="E25" s="15" t="inlineStr"/>
    </row>
    <row r="26">
      <c r="A26" s="13" t="inlineStr">
        <is>
          <t>Vegetación mediana</t>
        </is>
      </c>
      <c r="B26" s="20" t="n">
        <v>1.3421</v>
      </c>
      <c r="C26" s="21" t="n">
        <v>1.49</v>
      </c>
      <c r="D26" s="14" t="inlineStr">
        <is>
          <t>Pastizal cultivado, matorral ralo, parcelas agrícolas</t>
        </is>
      </c>
      <c r="E26" s="14" t="inlineStr"/>
    </row>
    <row r="27">
      <c r="A27" s="16" t="inlineStr">
        <is>
          <t>TOTAL CLASIFICADO</t>
        </is>
      </c>
      <c r="B27" s="22">
        <f>SUM(B25:B26)</f>
        <v/>
      </c>
      <c r="C27" s="23">
        <f>SUM(C25:C26)</f>
        <v/>
      </c>
      <c r="D27" s="17" t="inlineStr"/>
      <c r="E27" s="17" t="inlineStr"/>
    </row>
    <row r="28">
      <c r="A28" s="24" t="inlineStr">
        <is>
          <t>Superficie de catálogo (V5/V6)</t>
        </is>
      </c>
      <c r="B28" s="25" t="n">
        <v>90.16</v>
      </c>
      <c r="C28" s="25" t="inlineStr">
        <is>
          <t>—</t>
        </is>
      </c>
      <c r="D28" s="25" t="inlineStr">
        <is>
          <t>Desviación planimétrica frente al catálogo</t>
        </is>
      </c>
      <c r="E28" s="25" t="inlineStr">
        <is>
          <t>+0.02 %</t>
        </is>
      </c>
    </row>
    <row r="29"/>
    <row r="30" ht="72"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24</t>
        </is>
      </c>
    </row>
    <row r="6" ht="24" customHeight="1">
      <c r="A6" s="4" t="inlineStr">
        <is>
          <t>Levantamiento del 2026-07-21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652191</v>
      </c>
      <c r="D10" s="26" t="n">
        <v>9414358</v>
      </c>
      <c r="E10" s="15" t="n">
        <v>0</v>
      </c>
      <c r="F10" s="15" t="inlineStr"/>
      <c r="G10" s="15" t="inlineStr">
        <is>
          <t>Coordenada consignada en F-DT-01</t>
        </is>
      </c>
    </row>
    <row r="11">
      <c r="A11" s="13" t="inlineStr">
        <is>
          <t>H-01</t>
        </is>
      </c>
      <c r="B11" s="14" t="inlineStr">
        <is>
          <t>Fuente de agua — Quebrada estacional</t>
        </is>
      </c>
      <c r="C11" s="27" t="inlineStr">
        <is>
          <t>Por determinar</t>
        </is>
      </c>
      <c r="D11" s="27" t="inlineStr">
        <is>
          <t>Por determinar</t>
        </is>
      </c>
      <c r="E11" s="14" t="inlineStr"/>
      <c r="F11" s="14" t="inlineStr">
        <is>
          <t>Efímero</t>
        </is>
      </c>
      <c r="G11" s="14" t="inlineStr">
        <is>
          <t>Quebradas secas identificadas</t>
        </is>
      </c>
    </row>
    <row r="12">
      <c r="A12" s="7" t="inlineStr">
        <is>
          <t>H-02</t>
        </is>
      </c>
      <c r="B12" s="15" t="inlineStr">
        <is>
          <t>Fuente de agua — Quebrada estacional</t>
        </is>
      </c>
      <c r="C12" s="26" t="inlineStr">
        <is>
          <t>Por determinar</t>
        </is>
      </c>
      <c r="D12" s="26" t="inlineStr">
        <is>
          <t>Por determinar</t>
        </is>
      </c>
      <c r="E12" s="15" t="inlineStr"/>
      <c r="F12" s="15" t="inlineStr">
        <is>
          <t>Estacional</t>
        </is>
      </c>
      <c r="G12" s="15" t="inlineStr">
        <is>
          <t>Quebrada s/n colindante</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652191</v>
      </c>
      <c r="C15" s="6" t="inlineStr">
        <is>
          <t>Centroide del bloque — UTM NORTE (m)</t>
        </is>
      </c>
      <c r="D15" s="7" t="n">
        <v>9414358</v>
      </c>
      <c r="E15" s="8" t="n"/>
      <c r="F15" s="8" t="n"/>
      <c r="G15" s="8" t="n"/>
      <c r="H15" s="8" t="n"/>
    </row>
    <row r="16">
      <c r="A16" s="6" t="inlineStr">
        <is>
          <t>N.° de estaciones fotográficas declaradas</t>
        </is>
      </c>
      <c r="B16" s="7" t="inlineStr">
        <is>
          <t>Sin registro en la ficha DT</t>
        </is>
      </c>
      <c r="C16" s="6" t="inlineStr">
        <is>
          <t>Estaciones dentro del polígono</t>
        </is>
      </c>
      <c r="D16" s="7" t="inlineStr">
        <is>
          <t>Por determinar</t>
        </is>
      </c>
      <c r="E16" s="8" t="n"/>
      <c r="F16" s="8" t="n"/>
      <c r="G16" s="8" t="n"/>
      <c r="H16" s="8" t="n"/>
    </row>
    <row r="18" ht="108"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Coordenadas correspondientes al CENTROIDE del polígono (Bloques V4/V5), no a un punto de muestreo GPS. Altitud GPS de campo 1370 msnm. Rango altitudinal del bloque según MDE: 1319-1887 msnm (amplitud 568 m); pendiente promedio 32.98%. Acceso: vía afirmada Canchaque – Coyona, margen derecha de una quebrada s/n.</t>
        </is>
      </c>
      <c r="B18" s="41" t="n"/>
      <c r="C18" s="41" t="n"/>
      <c r="D18" s="41" t="n"/>
      <c r="E18" s="41" t="n"/>
      <c r="F18" s="41" t="n"/>
      <c r="G18" s="42"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C1081-Q9583 — BLOQUE 24</t>
        </is>
      </c>
    </row>
    <row r="6" ht="24" customHeight="1">
      <c r="A6" s="4" t="inlineStr">
        <is>
          <t>Distrito de Canchaque · Provincia de Huancabamba · Comparación de los bloques preliminares de intervención de la misma microcuenca</t>
        </is>
      </c>
    </row>
    <row r="7"/>
    <row r="8" ht="18" customHeight="1">
      <c r="A8" s="5" t="inlineStr">
        <is>
          <t>BLOQUES DE LA MICROCUENCA C1081-Q9583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M11B3</t>
        </is>
      </c>
      <c r="B10" s="28" t="n">
        <v>106.03</v>
      </c>
      <c r="C10" s="19" t="n">
        <v>26.64</v>
      </c>
      <c r="D10" s="15" t="inlineStr">
        <is>
          <t>278 – 477</t>
        </is>
      </c>
      <c r="E10" s="15" t="n">
        <v>199</v>
      </c>
      <c r="F10" s="15" t="n">
        <v>18.11</v>
      </c>
      <c r="G10" s="18" t="n">
        <v>0.3956</v>
      </c>
      <c r="H10" s="19" t="n">
        <v>21.16</v>
      </c>
      <c r="I10" s="19" t="n">
        <v>88.87</v>
      </c>
    </row>
    <row r="11">
      <c r="A11" s="11" t="inlineStr">
        <is>
          <t>► 24</t>
        </is>
      </c>
      <c r="B11" s="29" t="n">
        <v>90.16</v>
      </c>
      <c r="C11" s="30" t="n">
        <v>22.65</v>
      </c>
      <c r="D11" s="12" t="inlineStr">
        <is>
          <t>1319 – 1887</t>
        </is>
      </c>
      <c r="E11" s="12" t="n">
        <v>568</v>
      </c>
      <c r="F11" s="12" t="n">
        <v>32.98</v>
      </c>
      <c r="G11" s="31" t="n">
        <v>0.6748</v>
      </c>
      <c r="H11" s="30" t="n">
        <v>98.51000000000001</v>
      </c>
      <c r="I11" s="30" t="n">
        <v>2.29</v>
      </c>
    </row>
    <row r="12">
      <c r="A12" s="7" t="inlineStr">
        <is>
          <t>87</t>
        </is>
      </c>
      <c r="B12" s="28" t="n">
        <v>62.219</v>
      </c>
      <c r="C12" s="19" t="n">
        <v>15.63</v>
      </c>
      <c r="D12" s="15" t="inlineStr">
        <is>
          <t>Por determinar</t>
        </is>
      </c>
      <c r="E12" s="15" t="inlineStr">
        <is>
          <t>Por determinar</t>
        </is>
      </c>
      <c r="F12" s="15" t="inlineStr">
        <is>
          <t>Por determinar</t>
        </is>
      </c>
      <c r="G12" s="18" t="n">
        <v>0.2487</v>
      </c>
      <c r="H12" s="19" t="n">
        <v>0.34</v>
      </c>
      <c r="I12" s="19" t="n">
        <v>99.72</v>
      </c>
    </row>
    <row r="13">
      <c r="A13" s="13" t="inlineStr">
        <is>
          <t>63</t>
        </is>
      </c>
      <c r="B13" s="32" t="n">
        <v>50.46</v>
      </c>
      <c r="C13" s="21" t="n">
        <v>12.68</v>
      </c>
      <c r="D13" s="14" t="inlineStr">
        <is>
          <t>1508 – 2080</t>
        </is>
      </c>
      <c r="E13" s="14" t="n">
        <v>572</v>
      </c>
      <c r="F13" s="14" t="n">
        <v>35.5</v>
      </c>
      <c r="G13" s="20" t="n">
        <v>0.6036</v>
      </c>
      <c r="H13" s="21" t="n">
        <v>99.2</v>
      </c>
      <c r="I13" s="21" t="n">
        <v>2.95</v>
      </c>
    </row>
    <row r="14">
      <c r="A14" s="7" t="inlineStr">
        <is>
          <t>86</t>
        </is>
      </c>
      <c r="B14" s="28" t="n">
        <v>30.001</v>
      </c>
      <c r="C14" s="19" t="n">
        <v>7.54</v>
      </c>
      <c r="D14" s="15" t="inlineStr">
        <is>
          <t>Por determinar</t>
        </is>
      </c>
      <c r="E14" s="15" t="inlineStr">
        <is>
          <t>Por determinar</t>
        </is>
      </c>
      <c r="F14" s="15" t="inlineStr">
        <is>
          <t>Por determinar</t>
        </is>
      </c>
      <c r="G14" s="18" t="n">
        <v>0.2735</v>
      </c>
      <c r="H14" s="19" t="n">
        <v>1.05</v>
      </c>
      <c r="I14" s="19" t="n">
        <v>99.62</v>
      </c>
    </row>
    <row r="15">
      <c r="A15" s="13" t="inlineStr">
        <is>
          <t>83</t>
        </is>
      </c>
      <c r="B15" s="32" t="n">
        <v>24.344</v>
      </c>
      <c r="C15" s="21" t="n">
        <v>6.12</v>
      </c>
      <c r="D15" s="14" t="inlineStr">
        <is>
          <t>Por determinar</t>
        </is>
      </c>
      <c r="E15" s="14" t="inlineStr">
        <is>
          <t>Por determinar</t>
        </is>
      </c>
      <c r="F15" s="14" t="inlineStr">
        <is>
          <t>Por determinar</t>
        </is>
      </c>
      <c r="G15" s="20" t="n">
        <v>0.3055</v>
      </c>
      <c r="H15" s="21" t="n">
        <v>2.88</v>
      </c>
      <c r="I15" s="21" t="n">
        <v>99.39</v>
      </c>
    </row>
    <row r="16">
      <c r="A16" s="7" t="inlineStr">
        <is>
          <t>77</t>
        </is>
      </c>
      <c r="B16" s="28" t="n">
        <v>17.82</v>
      </c>
      <c r="C16" s="19" t="n">
        <v>4.48</v>
      </c>
      <c r="D16" s="15" t="inlineStr">
        <is>
          <t>242 – 346</t>
        </is>
      </c>
      <c r="E16" s="15" t="n">
        <v>104</v>
      </c>
      <c r="F16" s="15" t="n">
        <v>13.71</v>
      </c>
      <c r="G16" s="18" t="n">
        <v>0.2725</v>
      </c>
      <c r="H16" s="19" t="n">
        <v>0.11</v>
      </c>
      <c r="I16" s="19" t="n">
        <v>99.78</v>
      </c>
    </row>
    <row r="17">
      <c r="A17" s="13" t="inlineStr">
        <is>
          <t>85</t>
        </is>
      </c>
      <c r="B17" s="32" t="n">
        <v>11.906</v>
      </c>
      <c r="C17" s="21" t="n">
        <v>2.99</v>
      </c>
      <c r="D17" s="14" t="inlineStr">
        <is>
          <t>Por determinar</t>
        </is>
      </c>
      <c r="E17" s="14" t="inlineStr">
        <is>
          <t>Por determinar</t>
        </is>
      </c>
      <c r="F17" s="14" t="inlineStr">
        <is>
          <t>Por determinar</t>
        </is>
      </c>
      <c r="G17" s="20" t="n">
        <v>0.2289</v>
      </c>
      <c r="H17" s="21" t="n">
        <v>0</v>
      </c>
      <c r="I17" s="21" t="n">
        <v>100</v>
      </c>
    </row>
    <row r="18">
      <c r="A18" s="7" t="inlineStr">
        <is>
          <t>84</t>
        </is>
      </c>
      <c r="B18" s="28" t="n">
        <v>5.097</v>
      </c>
      <c r="C18" s="19" t="n">
        <v>1.28</v>
      </c>
      <c r="D18" s="15" t="inlineStr">
        <is>
          <t>Por determinar</t>
        </is>
      </c>
      <c r="E18" s="15" t="inlineStr">
        <is>
          <t>Por determinar</t>
        </is>
      </c>
      <c r="F18" s="15" t="inlineStr">
        <is>
          <t>Por determinar</t>
        </is>
      </c>
      <c r="G18" s="18" t="n">
        <v>0.2516</v>
      </c>
      <c r="H18" s="19" t="n">
        <v>0</v>
      </c>
      <c r="I18" s="19" t="n">
        <v>100</v>
      </c>
    </row>
    <row r="19">
      <c r="A19" s="16" t="inlineStr">
        <is>
          <t>TOTAL / PROMEDIO</t>
        </is>
      </c>
      <c r="B19" s="33">
        <f>SUM(B10:B18)</f>
        <v/>
      </c>
      <c r="C19" s="23">
        <f>SUM(C10:C18)</f>
        <v/>
      </c>
      <c r="D19" s="17" t="inlineStr">
        <is>
          <t>242 – 2080</t>
        </is>
      </c>
      <c r="E19" s="17" t="inlineStr"/>
      <c r="F19" s="17">
        <f>ROUND(AVERAGE(F10:F18),2)</f>
        <v/>
      </c>
      <c r="G19" s="22">
        <f>ROUND(AVERAGE(G10:G18),4)</f>
        <v/>
      </c>
      <c r="H19" s="23">
        <f>ROUND(AVERAGE(H10:H18),2)</f>
        <v/>
      </c>
      <c r="I19" s="23">
        <f>ROUND(AVERAGE(I10:I18),2)</f>
        <v/>
      </c>
    </row>
    <row r="20" ht="48" customHeight="1">
      <c r="A20" s="9" t="inlineStr">
        <is>
          <t>ALCANCE DE LOS PROMEDIOS. La fila TOTAL / PROMEDIO omite las celdas «Por determinar»: los promedios de PENDIENTE y MSAVI 2024 se calculan sobre 4 de los 9 bloques de la microcuenca; los 5 bloques restantes carecen de dato derivado del MDE. Los totales de ÁREA y % de microcuenca sí comprenden la totalidad de los 9 bloques. No se estima ningún valor ausente.</t>
        </is>
      </c>
      <c r="B20" s="41" t="n"/>
      <c r="C20" s="41" t="n"/>
      <c r="D20" s="41" t="n"/>
      <c r="E20" s="41" t="n"/>
      <c r="F20" s="41" t="n"/>
      <c r="G20" s="41" t="n"/>
      <c r="H20" s="42" t="n"/>
    </row>
    <row r="21"/>
    <row r="22" ht="84" customHeight="1">
      <c r="A22" s="9" t="inlineStr">
        <is>
          <t>LECTURA INTRAMICROCUENCA. El bloque 24 ocupa el puesto 2 de 9 por superficie dentro de la microcuenca C1081-Q9583 (22.65 % de las 398.04 ha preliminares de la microcuenca). Su pendiente promedio (32.98 %, clase «25-50% (Mod. escarpado)») es la 3.ª más baja de 4 y se sitúa por encima del promedio de la microcuenca (25.08 %). Su MSAVI 2024 (0.6748) es el 1.º de 9 y queda por encima del promedio local (0.3616). Amplitud altitudinal del bloque: 568 m (1319–1887 msnm). El cuadro conserva todos los bloques catalogados en la microcuenca, incluidos los descartados en el tamizaje, para referencia del conjunto. Los bloques sin ficha DT figuran con sus parámetros de gabinete. BRECHA ESPECTRAL. El 2.29 % de la superficie del bloque (2.061 ha de 90.160 ha) se sitúa bajo el umbral MSAVI 0.4976, por debajo del promedio local de la microcuenca (76.96 %) calculado sobre los bloques con dato MSAVI disponible.</t>
        </is>
      </c>
      <c r="B22" s="41" t="n"/>
      <c r="C22" s="41" t="n"/>
      <c r="D22" s="41" t="n"/>
      <c r="E22" s="41" t="n"/>
      <c r="F22" s="41" t="n"/>
      <c r="G22" s="41" t="n"/>
      <c r="H22" s="42" t="n"/>
    </row>
    <row r="23"/>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2" t="n"/>
    </row>
  </sheetData>
  <mergeCells count="10">
    <mergeCell ref="A1:I1"/>
    <mergeCell ref="A4:I4"/>
    <mergeCell ref="A3:I3"/>
    <mergeCell ref="A20:I20"/>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24</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La ficha DT declara «C1076-Q9584»; el catálogo maestro V5/V6 asigna el bloque a «C1081-Q9583»</t>
        </is>
      </c>
      <c r="D10" s="35" t="inlineStr">
        <is>
          <t>SUSTANTIVA</t>
        </is>
      </c>
      <c r="E10" s="34" t="inlineStr">
        <is>
          <t>Se conserva el código del catálogo maestro para todo cálculo intramicrocuenca. La declaración de la ficha debe corregirse en la siguiente versión del formato V5.</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7" t="inlineStr">
        <is>
          <t>CONFORME</t>
        </is>
      </c>
      <c r="E11" s="36" t="inlineStr">
        <is>
          <t>Sin acción.</t>
        </is>
      </c>
    </row>
    <row r="12" ht="48" customHeight="1">
      <c r="A12" s="34" t="inlineStr">
        <is>
          <t>D-03</t>
        </is>
      </c>
      <c r="B12" s="34" t="inlineStr">
        <is>
          <t>Superficie del polígono</t>
        </is>
      </c>
      <c r="C12" s="34" t="inlineStr">
        <is>
          <t>La superficie clasificada por el NDVI 2025 (90.180 ha) coincide con la de catálogo (90.16 ha) dentro del ±2 % (+0.02 %)</t>
        </is>
      </c>
      <c r="D12" s="37" t="inlineStr">
        <is>
          <t>CONFORME</t>
        </is>
      </c>
      <c r="E12" s="34" t="inlineStr">
        <is>
          <t>Sin acción: la segmentación valida la geometría del bloque.</t>
        </is>
      </c>
    </row>
    <row r="13" ht="48" customHeight="1">
      <c r="A13" s="36" t="inlineStr">
        <is>
          <t>D-04</t>
        </is>
      </c>
      <c r="B13" s="36" t="inlineStr">
        <is>
          <t>Rango altitudinal / piso ecológico</t>
        </is>
      </c>
      <c r="C13" s="36" t="inlineStr">
        <is>
          <t>La ficha DT declara «1000-1500 m (Quechua baja)»; el MDE sitúa el bloque entre 1319 y 1887 msnm, cuyo punto medio corresponde a «1500-2000 m (Quechua media)»</t>
        </is>
      </c>
      <c r="D13" s="12" t="inlineStr">
        <is>
          <t>NO SUSTANTIVA</t>
        </is>
      </c>
      <c r="E13" s="36" t="inlineStr">
        <is>
          <t>Se declara la divergencia. El bloque abarca más de un piso altitudinal cuando la amplitud supera el ancho de la clase; el registro de campo corresponde al sector recorrido.</t>
        </is>
      </c>
    </row>
    <row r="14" ht="48" customHeight="1">
      <c r="A14" s="34" t="inlineStr">
        <is>
          <t>D-05</t>
        </is>
      </c>
      <c r="B14" s="34" t="inlineStr">
        <is>
          <t>Elenco florístico</t>
        </is>
      </c>
      <c r="C14" s="34" t="inlineStr">
        <is>
          <t>La ficha registra 10 taxones, por debajo del mínimo de 15 que exige el formato V5</t>
        </is>
      </c>
      <c r="D14" s="35" t="inlineStr">
        <is>
          <t>SUSTANTIVA</t>
        </is>
      </c>
      <c r="E14" s="34" t="inlineStr">
        <is>
          <t>Registro florístico preliminar, sin colecta ni determinación botánica formal. Debe cerrarse con colecta botánica en la siguiente campaña.</t>
        </is>
      </c>
    </row>
    <row r="15" ht="48" customHeight="1">
      <c r="A15" s="36" t="inlineStr">
        <is>
          <t>D-06</t>
        </is>
      </c>
      <c r="B15" s="36" t="inlineStr">
        <is>
          <t>Centro poblado asociado</t>
        </is>
      </c>
      <c r="C15" s="36" t="inlineStr">
        <is>
          <t>La ficha DT declara «Coyona»; el cruce INEI-Bloques V5 identifica 1 centro(s) poblado(s) en el bloque: COYONA</t>
        </is>
      </c>
      <c r="D15" s="37" t="inlineStr">
        <is>
          <t>CONFORME</t>
        </is>
      </c>
      <c r="E15" s="36" t="inlineStr">
        <is>
          <t>Se conserva el registro de campo como referencia y se adopta el listado INEI para el diagnóstico social y el cálculo de población beneficiaria.</t>
        </is>
      </c>
    </row>
    <row r="16" ht="48" customHeight="1">
      <c r="A16" s="34" t="inlineStr">
        <is>
          <t>D-07</t>
        </is>
      </c>
      <c r="B16" s="34" t="inlineStr">
        <is>
          <t>Peligro integrado (MCA-AHP)</t>
        </is>
      </c>
      <c r="C16" s="34" t="inlineStr">
        <is>
          <t>El nivel de peligro integrado no está disponible en los insumos de este entregable</t>
        </is>
      </c>
      <c r="D16" s="35" t="inlineStr">
        <is>
          <t>SUSTANTIVA</t>
        </is>
      </c>
      <c r="E16" s="34" t="inlineStr">
        <is>
          <t>Debe tomarse del modelamiento de mesolocalización (PMM + EPH + PGI ponderados por AHP) antes de fijar la prioridad definitiva de intervención del bloque.</t>
        </is>
      </c>
    </row>
    <row r="17" ht="48" customHeight="1">
      <c r="A17" s="34" t="inlineStr">
        <is>
          <t>D-08</t>
        </is>
      </c>
      <c r="B17" s="34" t="inlineStr">
        <is>
          <t>Distribución areal MSAVI 2024</t>
        </is>
      </c>
      <c r="C17" s="34" t="inlineStr">
        <is>
          <t>La distribución por clase de MSAVI no figuraba en los insumos del entregable y se consignaba «Por determinar»; se incorpora la estadística zonal del ráster MSAVI clasificado (175 polígonos, 90.160 ha)</t>
        </is>
      </c>
      <c r="D17" s="35" t="inlineStr">
        <is>
          <t>CORREGIDO</t>
        </is>
      </c>
      <c r="E17"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18" ht="48" customHeight="1">
      <c r="A18" s="34" t="inlineStr">
        <is>
          <t>D-09</t>
        </is>
      </c>
      <c r="B18" s="34" t="inlineStr">
        <is>
          <t>Superficie MSAVI vs. catálogo</t>
        </is>
      </c>
      <c r="C18" s="34" t="inlineStr">
        <is>
          <t>La superficie total clasificada por el MSAVI 2024 (90.160 ha) frente a la de catálogo V5/V6 (90.160 ha): desviación de +0.00 %</t>
        </is>
      </c>
      <c r="D18" s="35" t="inlineStr">
        <is>
          <t>CONFORME</t>
        </is>
      </c>
      <c r="E18" s="34" t="inlineStr">
        <is>
          <t>Sin acción: la segmentación del ráster valida la geometría del bloque dentro del ±2 %.</t>
        </is>
      </c>
    </row>
    <row r="19" ht="48" customHeight="1">
      <c r="A19" s="34" t="inlineStr">
        <is>
          <t>D-10</t>
        </is>
      </c>
      <c r="B19" s="34" t="inlineStr">
        <is>
          <t>Media MSAVI vs. clase DN dominante</t>
        </is>
      </c>
      <c r="C19" s="34" t="inlineStr">
        <is>
          <t>La media del bloque (0.6748) cae en la clase «DN 5 · &gt; 0.6139 (Vigor alto)»; la clase de mayor superficie es «DN 5 · &gt; 0.6139 (Vigor alto)», con 75.51 % del bloque. Superficie bajo el umbral 0.4976: 2.061 ha (2.29 %)</t>
        </is>
      </c>
      <c r="D19" s="35" t="inlineStr">
        <is>
          <t>CONFORME</t>
        </is>
      </c>
      <c r="E19" s="34" t="inlineStr">
        <is>
          <t>Sin acción: la media del bloque y la clase de mayor superficie coinciden.</t>
        </is>
      </c>
    </row>
    <row r="20"/>
    <row r="21">
      <c r="A21" s="16" t="inlineStr">
        <is>
          <t>RESUMEN</t>
        </is>
      </c>
      <c r="B21" s="17" t="inlineStr">
        <is>
          <t>10 verificaciones</t>
        </is>
      </c>
      <c r="C21" s="17" t="inlineStr">
        <is>
          <t>CONFORME: 5 · CORREGIDO: 1 · NO SUSTANTIVA: 1 · SUSTANTIVA: 3</t>
        </is>
      </c>
      <c r="D21" s="17" t="inlineStr"/>
      <c r="E21" s="17" t="inlineStr"/>
    </row>
    <row r="22"/>
    <row r="23" ht="60" customHeight="1">
      <c r="A23"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3" s="41" t="n"/>
      <c r="C23" s="41" t="n"/>
      <c r="D23" s="41" t="n"/>
      <c r="E23" s="42" t="n"/>
    </row>
  </sheetData>
  <mergeCells count="8">
    <mergeCell ref="A4:E4"/>
    <mergeCell ref="A2:E2"/>
    <mergeCell ref="A5:E5"/>
    <mergeCell ref="A1:E1"/>
    <mergeCell ref="A23:E23"/>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24 — IN Piura</dc:title>
  <dc:subject>Diagnóstico Territorial por bloque de intervención</dc:subject>
  <dcterms:created xsi:type="dcterms:W3CDTF">2026-09-08T03:39:56Z</dcterms:created>
  <dcterms:modified xsi:type="dcterms:W3CDTF">2026-09-09T23:30:51Z</dcterms:modified>
</cp:coreProperties>
</file>