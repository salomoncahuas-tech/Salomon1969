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24</t>
        </is>
      </c>
      <c r="C9" s="6" t="inlineStr">
        <is>
          <t>Microcuenca (catálogo)</t>
        </is>
      </c>
      <c r="D9" s="7" t="inlineStr">
        <is>
          <t>C1081-Q9583</t>
        </is>
      </c>
      <c r="E9" s="8" t="n"/>
      <c r="F9" s="8" t="n"/>
    </row>
    <row r="10">
      <c r="A10" s="6" t="inlineStr">
        <is>
          <t>Zona de planificación</t>
        </is>
      </c>
      <c r="B10" s="7" t="inlineStr">
        <is>
          <t>Z11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Coyona</t>
        </is>
      </c>
      <c r="C13" s="6" t="inlineStr">
        <is>
          <t>Comunidad campesina</t>
        </is>
      </c>
      <c r="D13" s="7" t="inlineStr">
        <is>
          <t>Por verificar</t>
        </is>
      </c>
      <c r="E13" s="8" t="n"/>
      <c r="F13" s="8" t="n"/>
    </row>
    <row r="14">
      <c r="A14" s="6" t="inlineStr">
        <is>
          <t>Superficie de catálogo (V5/V6), ha</t>
        </is>
      </c>
      <c r="B14" s="7" t="n">
        <v>90.16</v>
      </c>
      <c r="C14" s="6" t="inlineStr">
        <is>
          <t>Fuente de superficie</t>
        </is>
      </c>
      <c r="D14" s="7" t="inlineStr">
        <is>
          <t>Catálogo maestro Bloques V5/V6</t>
        </is>
      </c>
      <c r="E14" s="8" t="n"/>
      <c r="F14" s="8" t="n"/>
    </row>
    <row r="15">
      <c r="A15" s="6" t="inlineStr">
        <is>
          <t>Centroide UTM ESTE (m)</t>
        </is>
      </c>
      <c r="B15" s="7" t="n">
        <v>652191</v>
      </c>
      <c r="C15" s="6" t="inlineStr">
        <is>
          <t>Centroide UTM NORTE (m)</t>
        </is>
      </c>
      <c r="D15" s="7" t="n">
        <v>9414358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1319</v>
      </c>
      <c r="C19" s="6" t="inlineStr">
        <is>
          <t>Altitud máxima (msnm)</t>
        </is>
      </c>
      <c r="D19" s="7" t="n">
        <v>1887</v>
      </c>
      <c r="E19" s="8" t="n"/>
      <c r="F19" s="8" t="n"/>
    </row>
    <row r="20">
      <c r="A20" s="6" t="inlineStr">
        <is>
          <t>Amplitud altitudinal (m)</t>
        </is>
      </c>
      <c r="B20" s="7" t="n">
        <v>568</v>
      </c>
      <c r="C20" s="6" t="inlineStr">
        <is>
          <t>Piso altitudinal dominante</t>
        </is>
      </c>
      <c r="D20" s="7" t="inlineStr">
        <is>
          <t>1500-2000 m (Quechua media)</t>
        </is>
      </c>
      <c r="E20" s="8" t="n"/>
      <c r="F20" s="8" t="n"/>
    </row>
    <row r="21">
      <c r="A21" s="6" t="inlineStr">
        <is>
          <t>Pendiente promedio (%)</t>
        </is>
      </c>
      <c r="B21" s="7" t="n">
        <v>32.98</v>
      </c>
      <c r="C21" s="6" t="inlineStr">
        <is>
          <t>Pendiente promedio (grados)</t>
        </is>
      </c>
      <c r="D21" s="7" t="n">
        <v>18.3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0.6748</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(98.51 %)</t>
        </is>
      </c>
      <c r="E29" s="8" t="n"/>
      <c r="F29" s="8" t="n"/>
    </row>
    <row r="30">
      <c r="A30" s="6" t="inlineStr">
        <is>
          <t>Superficie clasificada NDVI 2025 (ha)</t>
        </is>
      </c>
      <c r="B30" s="7" t="n">
        <v>90.18000000000001</v>
      </c>
      <c r="C30" s="6" t="inlineStr">
        <is>
          <t>Desviación frente al catálogo (%)</t>
        </is>
      </c>
      <c r="D30" s="7" t="n">
        <v>0.02</v>
      </c>
      <c r="E30" s="8" t="n"/>
      <c r="F30" s="8" t="n"/>
    </row>
    <row r="31">
      <c r="A31" s="6" t="inlineStr">
        <is>
          <t>Superficie clasificada MSAVI 2024 (ha)</t>
        </is>
      </c>
      <c r="B31" s="38" t="n">
        <v>90.16</v>
      </c>
      <c r="C31" s="6" t="inlineStr">
        <is>
          <t>Desviación MSAVI frente al catálogo (%)</t>
        </is>
      </c>
      <c r="D31" s="39" t="n">
        <v>0</v>
      </c>
      <c r="E31" s="8" t="n"/>
      <c r="F31" s="8" t="n"/>
    </row>
    <row r="32">
      <c r="A32" s="6" t="inlineStr">
        <is>
          <t>Superficie bajo umbral MSAVI 0.4976 (ha)</t>
        </is>
      </c>
      <c r="B32" s="38" t="n">
        <v>2.061</v>
      </c>
      <c r="C32" s="6" t="inlineStr">
        <is>
          <t>% del bloque bajo umbral (brecha espectral)</t>
        </is>
      </c>
      <c r="D32" s="39" t="n">
        <v>2.29</v>
      </c>
      <c r="E32" s="8" t="n"/>
      <c r="F32" s="8" t="n"/>
    </row>
    <row r="33">
      <c r="A33" s="6" t="inlineStr">
        <is>
          <t>Clase DN dominante (MSAVI 2024)</t>
        </is>
      </c>
      <c r="B33" s="7" t="inlineStr">
        <is>
          <t>DN 5 · &gt; 0.6139 (Vigor alto)</t>
        </is>
      </c>
      <c r="C33" s="6" t="inlineStr">
        <is>
          <t>N.° de polígonos MSAVI del bloque</t>
        </is>
      </c>
      <c r="D33" s="40" t="n">
        <v>175</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Matorral denso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y Blgo. Abel Aucasime</t>
        </is>
      </c>
      <c r="C44" s="6" t="inlineStr">
        <is>
          <t>Fecha de evaluación</t>
        </is>
      </c>
      <c r="D44" s="7" t="inlineStr">
        <is>
          <t>2026-07-21</t>
        </is>
      </c>
      <c r="E44" s="8" t="n"/>
      <c r="F44" s="8" t="n"/>
    </row>
    <row r="45">
      <c r="A45" s="6" t="inlineStr">
        <is>
          <t>Hora de registro</t>
        </is>
      </c>
      <c r="B45" s="7" t="inlineStr">
        <is>
          <t>Por registrar</t>
        </is>
      </c>
      <c r="C45" s="6" t="inlineStr">
        <is>
          <t>Correlativo de ficha</t>
        </is>
      </c>
      <c r="D45" s="7" t="inlineStr">
        <is>
          <t>F-DT-01-24</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 vial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1" t="n">
        <v>68.0839</v>
      </c>
      <c r="C10" s="30">
        <f>ROUND(B10/$B$15*100,2)</f>
        <v>75.51</v>
      </c>
      <c r="D10" s="12" t="inlineStr">
        <is>
          <t>Vigor alto</t>
        </is>
      </c>
      <c r="E10" s="12" t="inlineStr">
        <is>
          <t>Sobre umbral</t>
        </is>
      </c>
    </row>
    <row r="11">
      <c r="A11" s="13" t="inlineStr">
        <is>
          <t>0.4976 - 0.6139 · DN 4</t>
        </is>
      </c>
      <c r="B11" s="20" t="n">
        <v>20.0145</v>
      </c>
      <c r="C11" s="21">
        <f>ROUND(B11/$B$15*100,2)</f>
        <v>22.2</v>
      </c>
      <c r="D11" s="14" t="inlineStr">
        <is>
          <t>Vigor moderado</t>
        </is>
      </c>
      <c r="E11" s="14" t="inlineStr">
        <is>
          <t>Sobre umbral</t>
        </is>
      </c>
    </row>
    <row r="12">
      <c r="A12" s="7" t="inlineStr">
        <is>
          <t>0.3813 - 0.4976 · DN 3</t>
        </is>
      </c>
      <c r="B12" s="18" t="n">
        <v>2.0611</v>
      </c>
      <c r="C12" s="19">
        <f>ROUND(B12/$B$15*100,2)</f>
        <v>2.29</v>
      </c>
      <c r="D12" s="15" t="inlineStr">
        <is>
          <t>Vigor bajo</t>
        </is>
      </c>
      <c r="E12" s="15" t="inlineStr">
        <is>
          <t>BAJO umbral 0.4976</t>
        </is>
      </c>
    </row>
    <row r="13">
      <c r="A13" s="13" t="inlineStr">
        <is>
          <t>0.2650 - 0.3813 · DN 2</t>
        </is>
      </c>
      <c r="B13" s="20" t="n">
        <v>0</v>
      </c>
      <c r="C13" s="21">
        <f>ROUND(B13/$B$15*100,2)</f>
        <v>0.0</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90.1595</v>
      </c>
      <c r="C15" s="45">
        <f>SUM(C10:C14)</f>
        <v>100.0</v>
      </c>
      <c r="D15" s="43" t="inlineStr">
        <is>
          <t>Suma de la distribución areal · 175 polígonos</t>
        </is>
      </c>
      <c r="E15" s="43" t="inlineStr">
        <is>
          <t>—</t>
        </is>
      </c>
    </row>
    <row r="16" ht="30" customHeight="1">
      <c r="A16" s="46" t="inlineStr">
        <is>
          <t>Superficie SOBRE umbral 0.4976 (ha)</t>
        </is>
      </c>
      <c r="B16" s="47">
        <f>SUM(B10:B11)</f>
        <v>88.0984</v>
      </c>
      <c r="C16" s="48">
        <f>ROUND(B16/B15*100,2)</f>
        <v>97.71</v>
      </c>
      <c r="D16" s="46" t="inlineStr">
        <is>
          <t>Vigor alto y moderado (DN 4 y DN 5)</t>
        </is>
      </c>
      <c r="E16" s="46" t="inlineStr">
        <is>
          <t>Sobre umbral 0.4976</t>
        </is>
      </c>
    </row>
    <row r="17" ht="30" customHeight="1">
      <c r="A17" s="46" t="inlineStr">
        <is>
          <t>Superficie BAJO umbral 0.4976 (ha) — brecha</t>
        </is>
      </c>
      <c r="B17" s="47">
        <f>SUM(B12:B14)</f>
        <v>2.0611</v>
      </c>
      <c r="C17" s="48">
        <f>ROUND(B17/B15*100,2)</f>
        <v>2.29</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90.16</v>
      </c>
      <c r="C18" s="49" t="inlineStr">
        <is>
          <t>—</t>
        </is>
      </c>
      <c r="D18" s="46" t="inlineStr">
        <is>
          <t>Desviación planimétrica frente al catálogo</t>
        </is>
      </c>
      <c r="E18" s="46" t="inlineStr">
        <is>
          <t>+0.00 %</t>
        </is>
      </c>
    </row>
    <row r="19">
      <c r="A19" s="16" t="inlineStr">
        <is>
          <t>MSAVI 2024 — MEDIA DEL BLOQUE</t>
        </is>
      </c>
      <c r="B19" s="17" t="n">
        <v>0.674839</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175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(0.6748)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88.8379</v>
      </c>
      <c r="C25" s="19" t="n">
        <v>98.51000000000001</v>
      </c>
      <c r="D25" s="15" t="inlineStr">
        <is>
          <t>Dosel continuo, matorral denso o mosaico agroforestal</t>
        </is>
      </c>
      <c r="E25" s="15" t="inlineStr"/>
    </row>
    <row r="26">
      <c r="A26" s="13" t="inlineStr">
        <is>
          <t>Vegetación mediana</t>
        </is>
      </c>
      <c r="B26" s="20" t="n">
        <v>1.3421</v>
      </c>
      <c r="C26" s="21" t="n">
        <v>1.49</v>
      </c>
      <c r="D26" s="14" t="inlineStr">
        <is>
          <t>Pastizal cultivado, matorral ralo, parcelas agrícolas</t>
        </is>
      </c>
      <c r="E26" s="14" t="inlineStr"/>
    </row>
    <row r="27">
      <c r="A27" s="16" t="inlineStr">
        <is>
          <t>TOTAL CLASIFICADO</t>
        </is>
      </c>
      <c r="B27" s="22">
        <f>SUM(B25:B26)</f>
        <v>90.18</v>
      </c>
      <c r="C27" s="23">
        <f>SUM(C25:C26)</f>
        <v>100.0</v>
      </c>
      <c r="D27" s="17" t="inlineStr"/>
      <c r="E27" s="17" t="inlineStr"/>
    </row>
    <row r="28">
      <c r="A28" s="24" t="inlineStr">
        <is>
          <t>Superficie de catálogo (V5/V6)</t>
        </is>
      </c>
      <c r="B28" s="25" t="n">
        <v>90.16</v>
      </c>
      <c r="C28" s="25" t="inlineStr">
        <is>
          <t>—</t>
        </is>
      </c>
      <c r="D28" s="25" t="inlineStr">
        <is>
          <t>Desviación planimétrica frente al catálogo</t>
        </is>
      </c>
      <c r="E28" s="25" t="inlineStr">
        <is>
          <t>+0.02 %</t>
        </is>
      </c>
    </row>
    <row r="29"/>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24</t>
        </is>
      </c>
    </row>
    <row r="6" ht="24" customHeight="1">
      <c r="A6" s="4" t="inlineStr">
        <is>
          <t>Levantamiento del 2026-07-21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652191</v>
      </c>
      <c r="D10" s="26" t="n">
        <v>9414358</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Efímero</t>
        </is>
      </c>
      <c r="G11" s="14" t="inlineStr">
        <is>
          <t>Quebradas secas identificadas</t>
        </is>
      </c>
    </row>
    <row r="12">
      <c r="A12" s="7" t="inlineStr">
        <is>
          <t>H-02</t>
        </is>
      </c>
      <c r="B12" s="15" t="inlineStr">
        <is>
          <t>Fuente de agua — Quebrada estacional</t>
        </is>
      </c>
      <c r="C12" s="26" t="inlineStr">
        <is>
          <t>Por determinar</t>
        </is>
      </c>
      <c r="D12" s="26" t="inlineStr">
        <is>
          <t>Por determinar</t>
        </is>
      </c>
      <c r="E12" s="15" t="inlineStr"/>
      <c r="F12" s="15" t="inlineStr">
        <is>
          <t>Estacional</t>
        </is>
      </c>
      <c r="G12" s="15" t="inlineStr">
        <is>
          <t>Quebrada s/n colindante</t>
        </is>
      </c>
    </row>
    <row r="13">
      <c r="A13" s="16" t="inlineStr">
        <is>
          <t>TOTAL: 3 puntos</t>
        </is>
      </c>
      <c r="B13" s="17" t="inlineStr"/>
      <c r="C13" s="17" t="inlineStr"/>
      <c r="D13" s="17" t="inlineStr"/>
      <c r="E13" s="17" t="inlineStr"/>
      <c r="F13" s="17" t="inlineStr"/>
      <c r="G13" s="17" t="inlineStr"/>
    </row>
    <row r="14"/>
    <row r="15">
      <c r="A15" s="6" t="inlineStr">
        <is>
          <t>Centroide del bloque — UTM ESTE (m)</t>
        </is>
      </c>
      <c r="B15" s="7" t="n">
        <v>652191</v>
      </c>
      <c r="C15" s="6" t="inlineStr">
        <is>
          <t>Centroide del bloque — UTM NORTE (m)</t>
        </is>
      </c>
      <c r="D15" s="7" t="n">
        <v>9414358</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7"/>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1370 msnm. Rango altitudinal del bloque según MDE: 1319-1887 msnm (amplitud 568 m); pendiente promedio 32.98%. Acceso: vía afirmada Canchaque – Coyona, margen derecha de una quebrada s/n.</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24</t>
        </is>
      </c>
    </row>
    <row r="6" ht="24" customHeight="1">
      <c r="A6" s="4" t="inlineStr">
        <is>
          <t>Distrito de Canchaque · Provincia de Huancabamba · Comparación de los bloques preliminares de intervención de la misma microcuenca</t>
        </is>
      </c>
    </row>
    <row r="7"/>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5" t="inlineStr">
        <is>
          <t>278 – 477</t>
        </is>
      </c>
      <c r="E10" s="15" t="n">
        <v>199</v>
      </c>
      <c r="F10" s="15" t="n">
        <v>18.11</v>
      </c>
      <c r="G10" s="18" t="n">
        <v>0.3956</v>
      </c>
      <c r="H10" s="19" t="n">
        <v>21.16</v>
      </c>
      <c r="I10" s="19" t="n">
        <v>88.87</v>
      </c>
    </row>
    <row r="11">
      <c r="A11" s="11" t="inlineStr">
        <is>
          <t>► 24</t>
        </is>
      </c>
      <c r="B11" s="29" t="n">
        <v>90.16</v>
      </c>
      <c r="C11" s="30" t="n">
        <v>22.65</v>
      </c>
      <c r="D11" s="12" t="inlineStr">
        <is>
          <t>1319 – 1887</t>
        </is>
      </c>
      <c r="E11" s="12" t="n">
        <v>568</v>
      </c>
      <c r="F11" s="12" t="n">
        <v>32.98</v>
      </c>
      <c r="G11" s="31" t="n">
        <v>0.6748</v>
      </c>
      <c r="H11" s="30" t="n">
        <v>98.51000000000001</v>
      </c>
      <c r="I11" s="30" t="n">
        <v>2.29</v>
      </c>
    </row>
    <row r="12">
      <c r="A12" s="7" t="inlineStr">
        <is>
          <t>87</t>
        </is>
      </c>
      <c r="B12" s="28" t="n">
        <v>62.219</v>
      </c>
      <c r="C12" s="19" t="n">
        <v>15.63</v>
      </c>
      <c r="D12" s="15" t="inlineStr">
        <is>
          <t>Por determinar</t>
        </is>
      </c>
      <c r="E12" s="15" t="inlineStr">
        <is>
          <t>Por determinar</t>
        </is>
      </c>
      <c r="F12" s="15" t="inlineStr">
        <is>
          <t>Por determinar</t>
        </is>
      </c>
      <c r="G12" s="18" t="n">
        <v>0.2487</v>
      </c>
      <c r="H12" s="19" t="n">
        <v>0.34</v>
      </c>
      <c r="I12" s="19" t="n">
        <v>99.72</v>
      </c>
    </row>
    <row r="13">
      <c r="A13" s="13" t="inlineStr">
        <is>
          <t>63</t>
        </is>
      </c>
      <c r="B13" s="32" t="n">
        <v>50.46</v>
      </c>
      <c r="C13" s="21" t="n">
        <v>12.68</v>
      </c>
      <c r="D13" s="14" t="inlineStr">
        <is>
          <t>1508 – 2080</t>
        </is>
      </c>
      <c r="E13" s="14" t="n">
        <v>572</v>
      </c>
      <c r="F13" s="14" t="n">
        <v>35.5</v>
      </c>
      <c r="G13" s="20" t="n">
        <v>0.6036</v>
      </c>
      <c r="H13" s="21" t="n">
        <v>99.2</v>
      </c>
      <c r="I13" s="21" t="n">
        <v>2.95</v>
      </c>
    </row>
    <row r="14">
      <c r="A14" s="7" t="inlineStr">
        <is>
          <t>86</t>
        </is>
      </c>
      <c r="B14" s="28" t="n">
        <v>30.001</v>
      </c>
      <c r="C14" s="19" t="n">
        <v>7.54</v>
      </c>
      <c r="D14" s="15" t="inlineStr">
        <is>
          <t>Por determinar</t>
        </is>
      </c>
      <c r="E14" s="15" t="inlineStr">
        <is>
          <t>Por determinar</t>
        </is>
      </c>
      <c r="F14" s="15" t="inlineStr">
        <is>
          <t>Por determinar</t>
        </is>
      </c>
      <c r="G14" s="18" t="n">
        <v>0.2735</v>
      </c>
      <c r="H14" s="19" t="n">
        <v>1.05</v>
      </c>
      <c r="I14" s="19" t="n">
        <v>99.62</v>
      </c>
    </row>
    <row r="15">
      <c r="A15" s="13" t="inlineStr">
        <is>
          <t>83</t>
        </is>
      </c>
      <c r="B15" s="32" t="n">
        <v>24.344</v>
      </c>
      <c r="C15" s="21" t="n">
        <v>6.12</v>
      </c>
      <c r="D15" s="14" t="inlineStr">
        <is>
          <t>Por determinar</t>
        </is>
      </c>
      <c r="E15" s="14" t="inlineStr">
        <is>
          <t>Por determinar</t>
        </is>
      </c>
      <c r="F15" s="14" t="inlineStr">
        <is>
          <t>Por determinar</t>
        </is>
      </c>
      <c r="G15" s="20" t="n">
        <v>0.3055</v>
      </c>
      <c r="H15" s="21" t="n">
        <v>2.88</v>
      </c>
      <c r="I15" s="21" t="n">
        <v>99.39</v>
      </c>
    </row>
    <row r="16">
      <c r="A16" s="7" t="inlineStr">
        <is>
          <t>77</t>
        </is>
      </c>
      <c r="B16" s="28" t="n">
        <v>17.82</v>
      </c>
      <c r="C16" s="19" t="n">
        <v>4.48</v>
      </c>
      <c r="D16" s="15" t="inlineStr">
        <is>
          <t>242 – 346</t>
        </is>
      </c>
      <c r="E16" s="15" t="n">
        <v>104</v>
      </c>
      <c r="F16" s="15" t="n">
        <v>13.71</v>
      </c>
      <c r="G16" s="18" t="n">
        <v>0.2725</v>
      </c>
      <c r="H16" s="19" t="n">
        <v>0.11</v>
      </c>
      <c r="I16" s="19" t="n">
        <v>99.78</v>
      </c>
    </row>
    <row r="17">
      <c r="A17" s="13" t="inlineStr">
        <is>
          <t>85</t>
        </is>
      </c>
      <c r="B17" s="32" t="n">
        <v>11.906</v>
      </c>
      <c r="C17" s="21" t="n">
        <v>2.99</v>
      </c>
      <c r="D17" s="14" t="inlineStr">
        <is>
          <t>Por determinar</t>
        </is>
      </c>
      <c r="E17" s="14" t="inlineStr">
        <is>
          <t>Por determinar</t>
        </is>
      </c>
      <c r="F17" s="14" t="inlineStr">
        <is>
          <t>Por determinar</t>
        </is>
      </c>
      <c r="G17" s="20" t="n">
        <v>0.2289</v>
      </c>
      <c r="H17" s="21" t="n">
        <v>0</v>
      </c>
      <c r="I17" s="21" t="n">
        <v>100</v>
      </c>
    </row>
    <row r="18">
      <c r="A18" s="7" t="inlineStr">
        <is>
          <t>84</t>
        </is>
      </c>
      <c r="B18" s="28" t="n">
        <v>5.097</v>
      </c>
      <c r="C18" s="19" t="n">
        <v>1.28</v>
      </c>
      <c r="D18" s="15" t="inlineStr">
        <is>
          <t>Por determinar</t>
        </is>
      </c>
      <c r="E18" s="15" t="inlineStr">
        <is>
          <t>Por determinar</t>
        </is>
      </c>
      <c r="F18" s="15" t="inlineStr">
        <is>
          <t>Por determinar</t>
        </is>
      </c>
      <c r="G18" s="18" t="n">
        <v>0.2516</v>
      </c>
      <c r="H18" s="19" t="n">
        <v>0</v>
      </c>
      <c r="I18" s="19" t="n">
        <v>100</v>
      </c>
    </row>
    <row r="19">
      <c r="A19" s="16" t="inlineStr">
        <is>
          <t>TOTAL / PROMEDIO</t>
        </is>
      </c>
      <c r="B19" s="33">
        <f>SUM(B10:B18)</f>
        <v>398.037</v>
      </c>
      <c r="C19" s="23">
        <f>SUM(C10:C18)</f>
        <v>100.01</v>
      </c>
      <c r="D19" s="17" t="inlineStr">
        <is>
          <t>242 – 2080</t>
        </is>
      </c>
      <c r="E19" s="17" t="inlineStr"/>
      <c r="F19" s="17">
        <f>ROUND(AVERAGE(F10:F18),2)</f>
        <v>25.07</v>
      </c>
      <c r="G19" s="22">
        <f>ROUND(AVERAGE(G10:G18),4)</f>
        <v>0.3616</v>
      </c>
      <c r="H19" s="23">
        <f>ROUND(AVERAGE(H10:H18),2)</f>
        <v>24.81</v>
      </c>
      <c r="I19" s="23">
        <f>ROUND(AVERAGE(I10:I18),2)</f>
        <v>76.96</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2" t="n"/>
    </row>
    <row r="21"/>
    <row r="22" ht="84" customHeight="1">
      <c r="A22" s="9" t="inlineStr">
        <is>
          <t>LECTURA INTRAMICROCUENCA. El bloque 24 ocupa el puesto 2 de 9 por superficie dentro de la microcuenca C1081-Q9583 (22.65 % de las 398.04 ha preliminares de la microcuenca). Su pendiente promedio (32.98 %, clase «25-50% (Mod. escarpado)») es la 3.ª más baja de 4 y se sitúa por encima del promedio de la microcuenca (25.08 %). Su MSAVI 2024 (0.6748) es el 1.º de 9 y queda por encima del promedio local (0.3616). Amplitud altitudinal del bloque: 568 m (1319–1887 msnm). El cuadro conserva todos los bloques catalogados en la microcuenca, incluidos los descartados en el tamizaje, para referencia del conjunto. Los bloques sin ficha DT figuran con sus parámetros de gabinete. BRECHA ESPECTRAL. El 2.29 % de la superficie del bloque (2.061 ha de 90.160 ha) se sitúa bajo el umbral MSAVI 0.4976, por debajo del promedio local de la microcuenca (76.96 %)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«C1081-Q9583»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(90.180 ha) coincide con la de catálogo (90.16 ha) dentro del ±2 % (+0.02 %)</t>
        </is>
      </c>
      <c r="D12" s="37"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1319 y 1887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Elenco florístico</t>
        </is>
      </c>
      <c r="C14" s="34" t="inlineStr">
        <is>
          <t>La ficha registra 10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«Coyona»; el cruce INEI-Bloques V5 identifica 1 centro(s) poblado(s) en el bloque: COYONA</t>
        </is>
      </c>
      <c r="D15" s="37"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7" ht="48" customHeight="1">
      <c r="A17" s="34" t="inlineStr">
        <is>
          <t>D-08</t>
        </is>
      </c>
      <c r="B17" s="34" t="inlineStr">
        <is>
          <t>Distribución areal MSAVI 2024</t>
        </is>
      </c>
      <c r="C17" s="34" t="inlineStr">
        <is>
          <t>La distribución por clase de MSAVI no figuraba en los insumos del entregable y se consignaba «Por determinar»; se incorpora la estadística zonal del ráster MSAVI clasificado (175 polígonos, 90.160 ha)</t>
        </is>
      </c>
      <c r="D17" s="35" t="inlineStr">
        <is>
          <t>CORREGIDO</t>
        </is>
      </c>
      <c r="E1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8" ht="48" customHeight="1">
      <c r="A18" s="34" t="inlineStr">
        <is>
          <t>D-09</t>
        </is>
      </c>
      <c r="B18" s="34" t="inlineStr">
        <is>
          <t>Superficie MSAVI vs. catálogo</t>
        </is>
      </c>
      <c r="C18" s="34" t="inlineStr">
        <is>
          <t>La superficie total clasificada por el MSAVI 2024 (90.160 ha) frente a la de catálogo V5/V6 (90.160 ha): desviación de +0.00 %</t>
        </is>
      </c>
      <c r="D18" s="35" t="inlineStr">
        <is>
          <t>CONFORME</t>
        </is>
      </c>
      <c r="E18" s="34" t="inlineStr">
        <is>
          <t>Sin acción: la segmentación del ráster valida la geometría del bloque dentro del ±2 %.</t>
        </is>
      </c>
    </row>
    <row r="19" ht="48" customHeight="1">
      <c r="A19" s="34" t="inlineStr">
        <is>
          <t>D-10</t>
        </is>
      </c>
      <c r="B19" s="34" t="inlineStr">
        <is>
          <t>Media MSAVI vs. clase DN dominante</t>
        </is>
      </c>
      <c r="C19" s="34" t="inlineStr">
        <is>
          <t>La media del bloque (0.6748) cae en la clase «DN 5 · &gt; 0.6139 (Vigor alto)»; la clase de mayor superficie es «DN 5 · &gt; 0.6139 (Vigor alto)», con 75.51 % del bloque. Superficie bajo el umbral 0.4976: 2.061 ha (2.29 %)</t>
        </is>
      </c>
      <c r="D19" s="35" t="inlineStr">
        <is>
          <t>CONFORME</t>
        </is>
      </c>
      <c r="E19" s="34" t="inlineStr">
        <is>
          <t>Sin acción: la media del bloque y la clase de mayor superficie coinciden.</t>
        </is>
      </c>
    </row>
    <row r="20"/>
    <row r="21">
      <c r="A21" s="16" t="inlineStr">
        <is>
          <t>RESUMEN</t>
        </is>
      </c>
      <c r="B21" s="17" t="inlineStr">
        <is>
          <t>10 verificaciones</t>
        </is>
      </c>
      <c r="C21" s="17" t="inlineStr">
        <is>
          <t>CONFORME: 5 · CORREGIDO: 1 · NO SUSTANTIVA: 1 · SUSTANTIVA: 3</t>
        </is>
      </c>
      <c r="D21" s="17" t="inlineStr"/>
      <c r="E21" s="17" t="inlineStr"/>
    </row>
    <row r="22"/>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41" t="n"/>
      <c r="C23" s="41" t="n"/>
      <c r="D23" s="41" t="n"/>
      <c r="E23" s="42"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24 — IN Piura</dc:title>
  <dc:subject>Diagnóstico Territorial por bloque de intervención</dc:subject>
  <dcterms:created xsi:type="dcterms:W3CDTF">2026-09-08T03:39:56Z</dcterms:created>
  <dcterms:modified xsi:type="dcterms:W3CDTF">2026-09-10T00:28:26Z</dcterms:modified>
</cp:coreProperties>
</file>