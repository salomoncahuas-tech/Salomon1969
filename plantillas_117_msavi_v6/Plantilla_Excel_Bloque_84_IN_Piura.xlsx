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84</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 (Miguelpampa)</t>
        </is>
      </c>
      <c r="C13" s="6" t="inlineStr">
        <is>
          <t>Comunidad campesina</t>
        </is>
      </c>
      <c r="D13" s="7" t="inlineStr">
        <is>
          <t>POR VERIFICAR — no consignada</t>
        </is>
      </c>
      <c r="E13" s="8" t="n"/>
      <c r="F13" s="8" t="n"/>
    </row>
    <row r="14">
      <c r="A14" s="6" t="inlineStr">
        <is>
          <t>Superficie de catálogo (V5/V6), ha</t>
        </is>
      </c>
      <c r="B14" s="7" t="n">
        <v>5.097</v>
      </c>
      <c r="C14" s="6" t="inlineStr">
        <is>
          <t>Fuente de superficie</t>
        </is>
      </c>
      <c r="D14" s="7" t="inlineStr">
        <is>
          <t>Catálogo maestro Bloques V5/V6</t>
        </is>
      </c>
      <c r="E14" s="8" t="n"/>
      <c r="F14" s="8" t="n"/>
    </row>
    <row r="15">
      <c r="A15" s="6" t="inlineStr">
        <is>
          <t>Centroide UTM ESTE (m)</t>
        </is>
      </c>
      <c r="B15" s="7" t="n">
        <v>640237</v>
      </c>
      <c r="C15" s="6" t="inlineStr">
        <is>
          <t>Centroide UTM NORTE (m)</t>
        </is>
      </c>
      <c r="D15" s="7" t="n">
        <v>9410714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0.2516</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Vegetación ligera (78.09 %)</t>
        </is>
      </c>
      <c r="E29" s="8" t="n"/>
      <c r="F29" s="8" t="n"/>
    </row>
    <row r="30">
      <c r="A30" s="6" t="inlineStr">
        <is>
          <t>Superficie clasificada NDVI 2025 (ha)</t>
        </is>
      </c>
      <c r="B30" s="7" t="n">
        <v>5.099</v>
      </c>
      <c r="C30" s="6" t="inlineStr">
        <is>
          <t>Desviación frente al catálogo (%)</t>
        </is>
      </c>
      <c r="D30" s="7" t="n">
        <v>0.03</v>
      </c>
      <c r="E30" s="8" t="n"/>
      <c r="F30" s="8" t="n"/>
    </row>
    <row r="31">
      <c r="A31" s="6" t="inlineStr">
        <is>
          <t>Superficie clasificada MSAVI 2024 (ha)</t>
        </is>
      </c>
      <c r="B31" s="38" t="n">
        <v>5.097</v>
      </c>
      <c r="C31" s="6" t="inlineStr">
        <is>
          <t>Desviación MSAVI frente al catálogo (%)</t>
        </is>
      </c>
      <c r="D31" s="39" t="n">
        <v>0</v>
      </c>
      <c r="E31" s="8" t="n"/>
      <c r="F31" s="8" t="n"/>
    </row>
    <row r="32">
      <c r="A32" s="6" t="inlineStr">
        <is>
          <t>Superficie bajo umbral MSAVI 0.4976 (ha)</t>
        </is>
      </c>
      <c r="B32" s="38" t="n">
        <v>5.097</v>
      </c>
      <c r="C32" s="6" t="inlineStr">
        <is>
          <t>% del bloque bajo umbral (brecha espectral)</t>
        </is>
      </c>
      <c r="D32" s="39" t="n">
        <v>100</v>
      </c>
      <c r="E32" s="8" t="n"/>
      <c r="F32" s="8" t="n"/>
    </row>
    <row r="33">
      <c r="A33" s="6" t="inlineStr">
        <is>
          <t>Clase DN dominante (MSAVI 2024)</t>
        </is>
      </c>
      <c r="B33" s="7" t="inlineStr">
        <is>
          <t>DN 1 · &lt;= 0.2650 (Suelo desnudo / no vegetal)</t>
        </is>
      </c>
      <c r="C33" s="6" t="inlineStr">
        <is>
          <t>N.° de polígonos MSAVI del bloque</t>
        </is>
      </c>
      <c r="D33" s="40" t="n">
        <v>37</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5.099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11</v>
      </c>
      <c r="E38" s="8" t="n"/>
      <c r="F38" s="8" t="n"/>
    </row>
    <row r="39">
      <c r="A39" s="6" t="inlineStr">
        <is>
          <t>Suelo desnudo — campo (%)</t>
        </is>
      </c>
      <c r="B39" s="7" t="n">
        <v>77</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No inventariadas</t>
        </is>
      </c>
      <c r="E40" s="8" t="n"/>
      <c r="F40" s="8" t="n"/>
    </row>
    <row r="41">
      <c r="A41" s="6" t="inlineStr">
        <is>
          <t>Elenco florístico (n.° de taxones)</t>
        </is>
      </c>
      <c r="B41" s="7" t="n">
        <v>15</v>
      </c>
      <c r="C41" s="6" t="inlineStr">
        <is>
          <t>Estado sanitario</t>
        </is>
      </c>
      <c r="D41" s="7" t="inlineStr">
        <is>
          <t>Sin consignar (sin mediciones)</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 SESDI</t>
        </is>
      </c>
      <c r="C44" s="6" t="inlineStr">
        <is>
          <t>Fecha de evaluación</t>
        </is>
      </c>
      <c r="D44" s="7" t="inlineStr">
        <is>
          <t>2026-08-14</t>
        </is>
      </c>
      <c r="E44" s="8" t="n"/>
      <c r="F44" s="8" t="n"/>
    </row>
    <row r="45">
      <c r="A45" s="6" t="inlineStr">
        <is>
          <t>Hora de registro</t>
        </is>
      </c>
      <c r="B45" s="7" t="inlineStr">
        <is>
          <t>10:36 h</t>
        </is>
      </c>
      <c r="C45" s="6" t="inlineStr">
        <is>
          <t>Correlativo de ficha</t>
        </is>
      </c>
      <c r="D45" s="7" t="inlineStr">
        <is>
          <t>F-DT-B84-01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fotointerpretación de ortofoto RPA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régimen de manejo del pastoreo comunal, agravada por la ocupación efectiva del bloque y de su contorno</t>
        </is>
      </c>
      <c r="C51" s="6" t="inlineStr">
        <is>
          <t>Velocidad de degradación</t>
        </is>
      </c>
      <c r="D51" s="7" t="inlineStr">
        <is>
          <t>SIN CONSIGNAR — no se dispone de la serie Theil-Sen (TAU) ni de MSAVI multianual para el bloque</t>
        </is>
      </c>
      <c r="E51" s="8" t="n"/>
      <c r="F51" s="8" t="n"/>
    </row>
    <row r="52">
      <c r="A52" s="6" t="inlineStr">
        <is>
          <t>Reversibilidad técnica</t>
        </is>
      </c>
      <c r="B52" s="7" t="inlineStr">
        <is>
          <t>Difícilmente reversible</t>
        </is>
      </c>
      <c r="C52" s="6" t="inlineStr">
        <is>
          <t>Urgencia de intervención</t>
        </is>
      </c>
      <c r="D52" s="7" t="inlineStr">
        <is>
          <t>Crítica</t>
        </is>
      </c>
      <c r="E52" s="8" t="n"/>
      <c r="F52" s="8" t="n"/>
    </row>
    <row r="53">
      <c r="A53" s="6" t="inlineStr">
        <is>
          <t>Urgencia de control de erosión</t>
        </is>
      </c>
      <c r="B53" s="7" t="inlineStr">
        <is>
          <t>Crítica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0.0174</v>
      </c>
      <c r="C12" s="19">
        <f>ROUND(B12/$B$15*100,2)</f>
        <v/>
      </c>
      <c r="D12" s="11" t="inlineStr">
        <is>
          <t>Vigor bajo</t>
        </is>
      </c>
      <c r="E12" s="11" t="inlineStr">
        <is>
          <t>BAJO umbral 0.4976</t>
        </is>
      </c>
    </row>
    <row r="13">
      <c r="A13" s="12" t="inlineStr">
        <is>
          <t>0.2650 - 0.3813 · DN 2</t>
        </is>
      </c>
      <c r="B13" s="20" t="n">
        <v>1.7504</v>
      </c>
      <c r="C13" s="21">
        <f>ROUND(B13/$B$15*100,2)</f>
        <v/>
      </c>
      <c r="D13" s="13" t="inlineStr">
        <is>
          <t>Vigor muy bajo</t>
        </is>
      </c>
      <c r="E13" s="13" t="inlineStr">
        <is>
          <t>BAJO umbral 0.4976</t>
        </is>
      </c>
    </row>
    <row r="14">
      <c r="A14" s="14" t="inlineStr">
        <is>
          <t>&lt;= 0.2650 · DN 1</t>
        </is>
      </c>
      <c r="B14" s="32" t="n">
        <v>3.3293</v>
      </c>
      <c r="C14" s="31">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37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5.097</v>
      </c>
      <c r="C18" s="49" t="inlineStr">
        <is>
          <t>—</t>
        </is>
      </c>
      <c r="D18" s="46" t="inlineStr">
        <is>
          <t>Desviación planimétrica frente al catálogo</t>
        </is>
      </c>
      <c r="E18" s="46" t="inlineStr">
        <is>
          <t>+0.00 %</t>
        </is>
      </c>
    </row>
    <row r="19">
      <c r="A19" s="16" t="inlineStr">
        <is>
          <t>MSAVI 2024 — MEDIA DEL BLOQUE</t>
        </is>
      </c>
      <c r="B19" s="17" t="n">
        <v>0.251596</v>
      </c>
      <c r="C19" s="17" t="inlineStr">
        <is>
          <t>—</t>
        </is>
      </c>
      <c r="D19" s="17" t="inlineStr">
        <is>
          <t>Suelo desnudo / no vegetal · clase &lt;= 0.2650</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(0.2516)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0.0693</v>
      </c>
      <c r="C25" s="19" t="n">
        <v>1.36</v>
      </c>
      <c r="D25" s="11" t="inlineStr">
        <is>
          <t>Pastizal cultivado, matorral ralo, parcelas agrícolas</t>
        </is>
      </c>
      <c r="E25" s="11" t="inlineStr"/>
    </row>
    <row r="26">
      <c r="A26" s="12" t="inlineStr">
        <is>
          <t>Vegetación ligera</t>
        </is>
      </c>
      <c r="B26" s="20" t="n">
        <v>3.9816</v>
      </c>
      <c r="C26" s="21" t="n">
        <v>78.09</v>
      </c>
      <c r="D26" s="13" t="inlineStr">
        <is>
          <t>Cobertura discontinua, suelo parcialmente expuesto</t>
        </is>
      </c>
      <c r="E26" s="13" t="inlineStr"/>
    </row>
    <row r="27">
      <c r="A27" s="7" t="inlineStr">
        <is>
          <t>Tierra desnuda</t>
        </is>
      </c>
      <c r="B27" s="18" t="n">
        <v>1.0478</v>
      </c>
      <c r="C27" s="19" t="n">
        <v>20.55</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5.097</v>
      </c>
      <c r="C29" s="25" t="inlineStr">
        <is>
          <t>—</t>
        </is>
      </c>
      <c r="D29" s="25" t="inlineStr">
        <is>
          <t>Desviación planimétrica frente al catálogo</t>
        </is>
      </c>
      <c r="E29" s="25" t="inlineStr">
        <is>
          <t>+0.03 %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11 % frente a un 0.00 % del polígono clasificado como «Vegetación alta» por el NDVI 2025; la observación de campo corresponde a una parcela o recorrido puntual y no es estadísticamente representativa de las 5.097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84</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640174</v>
      </c>
      <c r="D10" s="26" t="n">
        <v>9410693</v>
      </c>
      <c r="E10" s="11" t="n">
        <v>66.40000000000001</v>
      </c>
      <c r="F10" s="11" t="inlineStr"/>
      <c r="G10" s="11" t="inlineStr">
        <is>
          <t>Coordenada consignada en F-DT-01</t>
        </is>
      </c>
    </row>
    <row r="11">
      <c r="A11" s="12" t="inlineStr">
        <is>
          <t>H-01</t>
        </is>
      </c>
      <c r="B11" s="13" t="inlineStr">
        <is>
          <t>Fuente de agua — Río</t>
        </is>
      </c>
      <c r="C11" s="27" t="n">
        <v>640140</v>
      </c>
      <c r="D11" s="27" t="n">
        <v>9410947</v>
      </c>
      <c r="E11" s="13" t="n">
        <v>252.4</v>
      </c>
      <c r="F11" s="13" t="inlineStr">
        <is>
          <t>Permanente</t>
        </is>
      </c>
      <c r="G11" s="13" t="inlineStr">
        <is>
          <t>Cauce principal que limita el bloque por el norte</t>
        </is>
      </c>
    </row>
    <row r="12">
      <c r="A12" s="7" t="inlineStr">
        <is>
          <t>H-02</t>
        </is>
      </c>
      <c r="B12" s="11" t="inlineStr">
        <is>
          <t>Fuente de agua — Quebrada estacional</t>
        </is>
      </c>
      <c r="C12" s="26" t="n">
        <v>640174</v>
      </c>
      <c r="D12" s="26" t="n">
        <v>9410693</v>
      </c>
      <c r="E12" s="11" t="n">
        <v>66.40000000000001</v>
      </c>
      <c r="F12" s="11" t="inlineStr">
        <is>
          <t>Estacional</t>
        </is>
      </c>
      <c r="G12" s="11" t="inlineStr">
        <is>
          <t>Cauce interior con incisión</t>
        </is>
      </c>
    </row>
    <row r="13">
      <c r="A13" s="12" t="inlineStr">
        <is>
          <t>H-03</t>
        </is>
      </c>
      <c r="B13" s="13" t="inlineStr">
        <is>
          <t>Fuente de agua — Quebrada estacional</t>
        </is>
      </c>
      <c r="C13" s="27" t="n">
        <v>640361</v>
      </c>
      <c r="D13" s="27" t="n">
        <v>9410542</v>
      </c>
      <c r="E13" s="13" t="n">
        <v>212</v>
      </c>
      <c r="F13" s="13" t="inlineStr">
        <is>
          <t>Estacional</t>
        </is>
      </c>
      <c r="G13" s="13" t="inlineStr">
        <is>
          <t>Cauce del flanco suroriental</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640237</v>
      </c>
      <c r="C16" s="6" t="inlineStr">
        <is>
          <t>Centroide del bloque — UTM NORTE (m)</t>
        </is>
      </c>
      <c r="D16" s="7" t="n">
        <v>9410714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32"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NO REGISTRADO EN LOS CATÁLOGOS «Bloques V4» NI «Bloques V5»; procede del REPORTE_BLOQUES_V6 y de la capa «Bloques extras». Registro añadido a la hoja auxiliar exclusivamente para habilitar los VLOOKUP (D-02). CENTROIDE POR RESTITUCIÓN CARTOGRÁFICA (±30 m). ALTITUD GPS SIN CONSIGNAR: la cota EXIF de los fotogramas corresponde a LA AERONAVE y no al terreno (≈230-270 msnm). Rango altitudinal y pendiente REFERENCIALES, derivados de un transecto de 214 m en Google Earth (mín. 232 · media 241 · máx. 253 msnm; pendiente media 9.8%, máxima 37.5%); NO equivalen a estadística zonal del DEM, no disponible para este bloque.</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84</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14" t="inlineStr">
        <is>
          <t>► 84</t>
        </is>
      </c>
      <c r="B18" s="30" t="n">
        <v>5.097</v>
      </c>
      <c r="C18" s="31" t="n">
        <v>1.28</v>
      </c>
      <c r="D18" s="15" t="inlineStr">
        <is>
          <t>Por determinar</t>
        </is>
      </c>
      <c r="E18" s="15" t="inlineStr">
        <is>
          <t>Por determinar</t>
        </is>
      </c>
      <c r="F18" s="15" t="inlineStr">
        <is>
          <t>Por determinar</t>
        </is>
      </c>
      <c r="G18" s="32" t="n">
        <v>0.2516</v>
      </c>
      <c r="H18" s="31" t="n">
        <v>0</v>
      </c>
      <c r="I18" s="31"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48" customHeight="1">
      <c r="A22" s="9" t="inlineStr">
        <is>
          <t>LECTURA INTRAMICROCUENCA. El bloque 84 ocupa el puesto 9 de 9 por superficie dentro de la microcuenca C1081-Q9583 (1.28 % de las 398.04 ha preliminares de la microcuenca). El cuadro conserva todos los bloques catalogados en la microcuenca, incluidos los descartados en el tamizaje, para referencia del conjunto. Los bloques sin ficha DT figuran con sus parámetros de gabinete. BRECHA ESPECTRAL. El 100.00 % de la superficie del bloque (5.097 ha de 5.097 ha) se sitúa bajo el umbral MSAVI 0.4976, por encima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66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(5.099 ha) coincide con la de catálogo (5.097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«8-15% (Mod.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11 % de cobertura vegetal en campo; el NDVI mediana 2025 clasifica 79.45 %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D-02: bloque NO registrado en «Bloques V4» ni «Bloques V5»; procede del REPORTE_BLOQUES_V6 y de «Bloques extras»</t>
        </is>
      </c>
      <c r="D17" s="37" t="inlineStr">
        <is>
          <t>SUSTANTIVA</t>
        </is>
      </c>
      <c r="E17" s="36" t="inlineStr">
        <is>
          <t>Regularizar en el catálogo maestro</t>
        </is>
      </c>
    </row>
    <row r="18" ht="48" customHeight="1">
      <c r="A18" s="34" t="inlineStr">
        <is>
          <t>D-09</t>
        </is>
      </c>
      <c r="B18" s="34" t="inlineStr">
        <is>
          <t>F-DT-01</t>
        </is>
      </c>
      <c r="C18" s="34" t="inlineStr">
        <is>
          <t>Centroide por restitución cartográfica (±30 m); altitud GPS sin consignar (la cota EXIF es de la aeronave)</t>
        </is>
      </c>
      <c r="D18" s="37" t="inlineStr">
        <is>
          <t>SUSTANTIVA</t>
        </is>
      </c>
      <c r="E18" s="34" t="inlineStr">
        <is>
          <t>Georreferencia y altitud por levantar</t>
        </is>
      </c>
    </row>
    <row r="19" ht="48" customHeight="1">
      <c r="A19" s="36" t="inlineStr">
        <is>
          <t>D-10</t>
        </is>
      </c>
      <c r="B19" s="36" t="inlineStr">
        <is>
          <t>F-DT-01</t>
        </is>
      </c>
      <c r="C19" s="36" t="inlineStr">
        <is>
          <t>Rango altitudinal y pendiente referenciales de transecto Google Earth; sin estadística zonal del DEM</t>
        </is>
      </c>
      <c r="D19" s="37" t="inlineStr">
        <is>
          <t>SUSTANTIVA</t>
        </is>
      </c>
      <c r="E19" s="36" t="inlineStr">
        <is>
          <t>Calcular estadística zonal del MDE</t>
        </is>
      </c>
    </row>
    <row r="20" ht="48" customHeight="1">
      <c r="A20" s="34" t="inlineStr">
        <is>
          <t>D-11</t>
        </is>
      </c>
      <c r="B20" s="34" t="inlineStr">
        <is>
          <t>F-DT-02</t>
        </is>
      </c>
      <c r="C20" s="34" t="inlineStr">
        <is>
          <t>Inventario georreferenciado de cárcavas no ejecutado pese a calificar la erosión como Fuerte y la urgencia como Crítica</t>
        </is>
      </c>
      <c r="D20" s="37" t="inlineStr">
        <is>
          <t>SUSTANTIVA</t>
        </is>
      </c>
      <c r="E20" s="34" t="inlineStr">
        <is>
          <t>Levantamiento prioritario</t>
        </is>
      </c>
    </row>
    <row r="21" ht="48" customHeight="1">
      <c r="A21" s="36" t="inlineStr">
        <is>
          <t>D-12</t>
        </is>
      </c>
      <c r="B21" s="36" t="inlineStr">
        <is>
          <t>F-DT-03</t>
        </is>
      </c>
      <c r="C21" s="36" t="inlineStr">
        <is>
          <t>Las 15 especies se REPLICAN de los bloques 85, 86 y 87; no hay muestreo propio del bloque 84</t>
        </is>
      </c>
      <c r="D21" s="37" t="inlineStr">
        <is>
          <t>SUSTANTIVA</t>
        </is>
      </c>
      <c r="E21" s="36" t="inlineStr">
        <is>
          <t>No constituye inventario del bloque</t>
        </is>
      </c>
    </row>
    <row r="22" ht="48" customHeight="1">
      <c r="A22" s="34" t="inlineStr">
        <is>
          <t>D-13</t>
        </is>
      </c>
      <c r="B22" s="34" t="inlineStr">
        <is>
          <t>F-DT-04</t>
        </is>
      </c>
      <c r="C22" s="34" t="inlineStr">
        <is>
          <t>Velocidad de degradación sin consignar (falta serie TAU y MSAVI multianual)</t>
        </is>
      </c>
      <c r="D22" s="37" t="inlineStr">
        <is>
          <t>SUSTANTIVA</t>
        </is>
      </c>
      <c r="E22" s="34" t="inlineStr">
        <is>
          <t>Procesar serie temporal</t>
        </is>
      </c>
    </row>
    <row r="23" ht="48" customHeight="1">
      <c r="A23" s="36" t="inlineStr">
        <is>
          <t>D-14</t>
        </is>
      </c>
      <c r="B23" s="36" t="inlineStr">
        <is>
          <t>F-DT-05</t>
        </is>
      </c>
      <c r="C23" s="36" t="inlineStr">
        <is>
          <t>Viviendas, corrales, cercos de piedra y terrazas de cultivo en el borde y posiblemente DENTRO del polígono</t>
        </is>
      </c>
      <c r="D23" s="37" t="inlineStr">
        <is>
          <t>SUSTANTIVA</t>
        </is>
      </c>
      <c r="E23" s="36" t="inlineStr">
        <is>
          <t>Elevado a la Subdirección: redelimitación y tamizaje predial previos al Expediente de Liberación de Áreas</t>
        </is>
      </c>
    </row>
    <row r="24" ht="48" customHeight="1">
      <c r="A24" s="34" t="inlineStr">
        <is>
          <t>D-15</t>
        </is>
      </c>
      <c r="B24" s="34" t="inlineStr">
        <is>
          <t>F-DT-05</t>
        </is>
      </c>
      <c r="C24" s="34" t="inlineStr">
        <is>
          <t>Coordenadas de las fuentes = centro del fotograma, no punto exacto de la fuente</t>
        </is>
      </c>
      <c r="D24" s="15" t="inlineStr">
        <is>
          <t>NO SUSTANTIVA</t>
        </is>
      </c>
      <c r="E24" s="34" t="inlineStr">
        <is>
          <t>Relevar con GPS</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(37 polígonos, 5.097 ha)</t>
        </is>
      </c>
      <c r="D25" s="15"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(5.097 ha) frente a la de catálogo V5/V6 (5.097 ha): desviación de +0.00 %</t>
        </is>
      </c>
      <c r="D26" s="15"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(0.2516) cae en la clase «DN 1 · &lt;= 0.2650 (Suelo desnudo / no vegetal)»; la clase de mayor superficie es «DN 1 · &lt;= 0.2650 (Suelo desnudo / no vegetal)», con 65.32 % del bloque. Superficie bajo el umbral 0.4976: 5.097 ha (100.00 %)</t>
        </is>
      </c>
      <c r="D27" s="15"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5 · CORREGIDO: 1 · NO SUSTANTIVA: 3 · SUSTANTIVA: 9</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84 — IN Piura</dc:title>
  <dc:subject>Diagnóstico Territorial por bloque de intervención</dc:subject>
  <dcterms:created xsi:type="dcterms:W3CDTF">2026-09-08T03:39:59Z</dcterms:created>
  <dcterms:modified xsi:type="dcterms:W3CDTF">2026-09-09T23:30:53Z</dcterms:modified>
</cp:coreProperties>
</file>