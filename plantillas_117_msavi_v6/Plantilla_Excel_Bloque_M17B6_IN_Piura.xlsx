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M17B6</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Platanal Alto (≈0.6 km al SO); El Guabo</t>
        </is>
      </c>
      <c r="C13" s="6" t="inlineStr">
        <is>
          <t>Comunidad campesina</t>
        </is>
      </c>
      <c r="D13" s="7" t="inlineStr">
        <is>
          <t>Por verificar</t>
        </is>
      </c>
      <c r="E13" s="8" t="n"/>
      <c r="F13" s="8" t="n"/>
    </row>
    <row r="14">
      <c r="A14" s="6" t="inlineStr">
        <is>
          <t>Superficie de catálogo (V5/V6), ha</t>
        </is>
      </c>
      <c r="B14" s="7" t="n">
        <v>106.54</v>
      </c>
      <c r="C14" s="6" t="inlineStr">
        <is>
          <t>Fuente de superficie</t>
        </is>
      </c>
      <c r="D14" s="7" t="inlineStr">
        <is>
          <t>Catálogo maestro Bloques V5/V6</t>
        </is>
      </c>
      <c r="E14" s="8" t="n"/>
      <c r="F14" s="8" t="n"/>
    </row>
    <row r="15">
      <c r="A15" s="6" t="inlineStr">
        <is>
          <t>Centroide UTM ESTE (m)</t>
        </is>
      </c>
      <c r="B15" s="7" t="n">
        <v>607036</v>
      </c>
      <c r="C15" s="6" t="inlineStr">
        <is>
          <t>Centroide UTM NORTE (m)</t>
        </is>
      </c>
      <c r="D15" s="7" t="n">
        <v>9446211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403</v>
      </c>
      <c r="C19" s="6" t="inlineStr">
        <is>
          <t>Altitud máxima (msnm)</t>
        </is>
      </c>
      <c r="D19" s="7" t="n">
        <v>1049</v>
      </c>
      <c r="E19" s="8" t="n"/>
      <c r="F19" s="8" t="n"/>
    </row>
    <row r="20">
      <c r="A20" s="6" t="inlineStr">
        <is>
          <t>Amplitud altitudinal (m)</t>
        </is>
      </c>
      <c r="B20" s="7" t="n">
        <v>646</v>
      </c>
      <c r="C20" s="6" t="inlineStr">
        <is>
          <t>Piso altitudinal dominante</t>
        </is>
      </c>
      <c r="D20" s="7" t="inlineStr">
        <is>
          <t>&lt;1000 m (Yunga)</t>
        </is>
      </c>
      <c r="E20" s="8" t="n"/>
      <c r="F20" s="8" t="n"/>
    </row>
    <row r="21">
      <c r="A21" s="6" t="inlineStr">
        <is>
          <t>Pendiente promedio (%)</t>
        </is>
      </c>
      <c r="B21" s="7" t="n">
        <v>23.42</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 (taludes de corte de la vía)</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0.4464</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(75.29 %)</t>
        </is>
      </c>
      <c r="E29" s="8" t="n"/>
      <c r="F29" s="8" t="n"/>
    </row>
    <row r="30">
      <c r="A30" s="6" t="inlineStr">
        <is>
          <t>Superficie clasificada NDVI 2025 (ha)</t>
        </is>
      </c>
      <c r="B30" s="7" t="n">
        <v>106.593</v>
      </c>
      <c r="C30" s="6" t="inlineStr">
        <is>
          <t>Desviación frente al catálogo (%)</t>
        </is>
      </c>
      <c r="D30" s="7" t="n">
        <v>0.05</v>
      </c>
      <c r="E30" s="8" t="n"/>
      <c r="F30" s="8" t="n"/>
    </row>
    <row r="31">
      <c r="A31" s="6" t="inlineStr">
        <is>
          <t>Superficie clasificada MSAVI 2024 (ha)</t>
        </is>
      </c>
      <c r="B31" s="38" t="n">
        <v>106.539</v>
      </c>
      <c r="C31" s="6" t="inlineStr">
        <is>
          <t>Desviación MSAVI frente al catálogo (%)</t>
        </is>
      </c>
      <c r="D31" s="39" t="n">
        <v>0</v>
      </c>
      <c r="E31" s="8" t="n"/>
      <c r="F31" s="8" t="n"/>
    </row>
    <row r="32">
      <c r="A32" s="6" t="inlineStr">
        <is>
          <t>Superficie bajo umbral MSAVI 0.4976 (ha)</t>
        </is>
      </c>
      <c r="B32" s="38" t="n">
        <v>87.169</v>
      </c>
      <c r="C32" s="6" t="inlineStr">
        <is>
          <t>% del bloque bajo umbral (brecha espectral)</t>
        </is>
      </c>
      <c r="D32" s="39" t="n">
        <v>81.81999999999999</v>
      </c>
      <c r="E32" s="8" t="n"/>
      <c r="F32" s="8" t="n"/>
    </row>
    <row r="33">
      <c r="A33" s="6" t="inlineStr">
        <is>
          <t>Clase DN dominante (MSAVI 2024)</t>
        </is>
      </c>
      <c r="B33" s="7" t="inlineStr">
        <is>
          <t>DN 3 · 0.3813 - 0.4976 (Vigor bajo)</t>
        </is>
      </c>
      <c r="C33" s="6" t="inlineStr">
        <is>
          <t>N.° de polígonos MSAVI del bloque</t>
        </is>
      </c>
      <c r="D33" s="40" t="n">
        <v>478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 (Bes-cm dominante en más del 85% de las 106.54 ha; estimación preliminar)</t>
        </is>
      </c>
      <c r="E36" s="8" t="n"/>
      <c r="F36" s="8" t="n"/>
    </row>
    <row r="37">
      <c r="A37" s="6" t="inlineStr">
        <is>
          <t>Estado de conservación</t>
        </is>
      </c>
      <c r="B37" s="7" t="inlineStr">
        <is>
          <t>Levemente alterado</t>
        </is>
      </c>
      <c r="C37" s="6" t="inlineStr">
        <is>
          <t>Uso actual dominante del suelo</t>
        </is>
      </c>
      <c r="D37" s="7" t="inlineStr">
        <is>
          <t>Forestal de protección</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Fuerte (cárcavas incipientes) en el punto de muestreo — síntesis de bloque: 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demás integrantes por confirmar</t>
        </is>
      </c>
      <c r="C44" s="6" t="inlineStr">
        <is>
          <t>Fecha de evaluación</t>
        </is>
      </c>
      <c r="D44" s="7" t="inlineStr">
        <is>
          <t>2026-07-14</t>
        </is>
      </c>
      <c r="E44" s="8" t="n"/>
      <c r="F44" s="8" t="n"/>
    </row>
    <row r="45">
      <c r="A45" s="6" t="inlineStr">
        <is>
          <t>Hora de registro</t>
        </is>
      </c>
      <c r="B45" s="7" t="inlineStr">
        <is>
          <t>13:09 - 13:13 h</t>
        </is>
      </c>
      <c r="C45" s="6" t="inlineStr">
        <is>
          <t>Correlativo de ficha</t>
        </is>
      </c>
      <c r="D45" s="7" t="inlineStr">
        <is>
          <t>F-DT-01 / M17B6-01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instaló parcela; inventario florístico rápido por observación externa y registro fotográfico</t>
        </is>
      </c>
      <c r="E47" s="8" t="n"/>
      <c r="F47" s="8" t="n"/>
    </row>
    <row r="48">
      <c r="A48" s="6" t="inlineStr">
        <is>
          <t>Estaciones fotográficas georreferenciadas</t>
        </is>
      </c>
      <c r="B48" s="7" t="n">
        <v>6</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gestión del corredor vial en fase de mejoramiento (taludes sin estabilizar ni revegetar)</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1.6916</v>
      </c>
      <c r="C10" s="19">
        <f>ROUND(B10/$B$15*100,2)</f>
        <v/>
      </c>
      <c r="D10" s="11" t="inlineStr">
        <is>
          <t>Vigor alto</t>
        </is>
      </c>
      <c r="E10" s="11" t="inlineStr">
        <is>
          <t>Sobre umbral</t>
        </is>
      </c>
    </row>
    <row r="11">
      <c r="A11" s="12" t="inlineStr">
        <is>
          <t>0.4976 - 0.6139 · DN 4</t>
        </is>
      </c>
      <c r="B11" s="20" t="n">
        <v>17.6783</v>
      </c>
      <c r="C11" s="21">
        <f>ROUND(B11/$B$15*100,2)</f>
        <v/>
      </c>
      <c r="D11" s="13" t="inlineStr">
        <is>
          <t>Vigor moderado</t>
        </is>
      </c>
      <c r="E11" s="13" t="inlineStr">
        <is>
          <t>Sobre umbral</t>
        </is>
      </c>
    </row>
    <row r="12">
      <c r="A12" s="14" t="inlineStr">
        <is>
          <t>0.3813 - 0.4976 · DN 3</t>
        </is>
      </c>
      <c r="B12" s="32" t="n">
        <v>73.8064</v>
      </c>
      <c r="C12" s="31">
        <f>ROUND(B12/$B$15*100,2)</f>
        <v/>
      </c>
      <c r="D12" s="15" t="inlineStr">
        <is>
          <t>Vigor bajo</t>
        </is>
      </c>
      <c r="E12" s="15" t="inlineStr">
        <is>
          <t>BAJO umbral 0.4976</t>
        </is>
      </c>
    </row>
    <row r="13">
      <c r="A13" s="12" t="inlineStr">
        <is>
          <t>0.2650 - 0.3813 · DN 2</t>
        </is>
      </c>
      <c r="B13" s="20" t="n">
        <v>13.3443</v>
      </c>
      <c r="C13" s="21">
        <f>ROUND(B13/$B$15*100,2)</f>
        <v/>
      </c>
      <c r="D13" s="13" t="inlineStr">
        <is>
          <t>Vigor muy bajo</t>
        </is>
      </c>
      <c r="E13" s="13" t="inlineStr">
        <is>
          <t>BAJO umbral 0.4976</t>
        </is>
      </c>
    </row>
    <row r="14">
      <c r="A14" s="7" t="inlineStr">
        <is>
          <t>&lt;= 0.2650 · DN 1</t>
        </is>
      </c>
      <c r="B14" s="18" t="n">
        <v>0.0179</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106.54</v>
      </c>
      <c r="C18" s="49" t="inlineStr">
        <is>
          <t>—</t>
        </is>
      </c>
      <c r="D18" s="46" t="inlineStr">
        <is>
          <t>Desviación planimétrica frente al catálogo</t>
        </is>
      </c>
      <c r="E18" s="46" t="inlineStr">
        <is>
          <t>+0.00 %</t>
        </is>
      </c>
    </row>
    <row r="19">
      <c r="A19" s="16" t="inlineStr">
        <is>
          <t>MSAVI 2024 — MEDIA DEL BLOQUE</t>
        </is>
      </c>
      <c r="B19" s="17" t="n">
        <v>0.446441</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(0.4464)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19.7527</v>
      </c>
      <c r="C25" s="19" t="n">
        <v>18.53</v>
      </c>
      <c r="D25" s="11" t="inlineStr">
        <is>
          <t>Dosel continuo, matorral denso o mosaico agroforestal</t>
        </is>
      </c>
      <c r="E25" s="11" t="inlineStr"/>
    </row>
    <row r="26">
      <c r="A26" s="12" t="inlineStr">
        <is>
          <t>Vegetación mediana</t>
        </is>
      </c>
      <c r="B26" s="20" t="n">
        <v>80.25069999999999</v>
      </c>
      <c r="C26" s="21" t="n">
        <v>75.29000000000001</v>
      </c>
      <c r="D26" s="13" t="inlineStr">
        <is>
          <t>Pastizal cultivado, matorral ralo, parcelas agrícolas</t>
        </is>
      </c>
      <c r="E26" s="13" t="inlineStr"/>
    </row>
    <row r="27">
      <c r="A27" s="7" t="inlineStr">
        <is>
          <t>Vegetación ligera</t>
        </is>
      </c>
      <c r="B27" s="18" t="n">
        <v>6.5763</v>
      </c>
      <c r="C27" s="19" t="n">
        <v>6.17</v>
      </c>
      <c r="D27" s="11" t="inlineStr">
        <is>
          <t>Cobertura discontinua, suelo parcialmente expuesto</t>
        </is>
      </c>
      <c r="E27" s="11" t="inlineStr"/>
    </row>
    <row r="28">
      <c r="A28" s="12" t="inlineStr">
        <is>
          <t>Tierra desnuda</t>
        </is>
      </c>
      <c r="B28" s="20" t="n">
        <v>0.0137</v>
      </c>
      <c r="C28" s="21" t="n">
        <v>0.01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106.54</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18.53 % del polígono clasificado como «Vegetación alta» por el NDVI 2025; la observación de campo corresponde a una parcela o recorrido puntual y no es estadísticamente representativa de las 106.540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M17B6</t>
        </is>
      </c>
    </row>
    <row r="6" ht="24" customHeight="1">
      <c r="A6" s="4" t="inlineStr">
        <is>
          <t>Levantamiento del 2026-07-14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605682</v>
      </c>
      <c r="D10" s="26" t="n">
        <v>9445753</v>
      </c>
      <c r="E10" s="11" t="n">
        <v>1429.4</v>
      </c>
      <c r="F10" s="11" t="inlineStr"/>
      <c r="G10" s="11" t="inlineStr">
        <is>
          <t>Coordenada consignada en F-DT-01</t>
        </is>
      </c>
    </row>
    <row r="11">
      <c r="A11" s="12" t="inlineStr">
        <is>
          <t>F-01</t>
        </is>
      </c>
      <c r="B11" s="13" t="inlineStr">
        <is>
          <t>Estación fotográfica</t>
        </is>
      </c>
      <c r="C11" s="27" t="n">
        <v>605663</v>
      </c>
      <c r="D11" s="27" t="n">
        <v>9445732</v>
      </c>
      <c r="E11" s="13" t="n">
        <v>1454.2</v>
      </c>
      <c r="F11" s="13" t="inlineStr"/>
      <c r="G11" s="13" t="inlineStr">
        <is>
          <t>Registro fotográfico georreferenciado</t>
        </is>
      </c>
    </row>
    <row r="12">
      <c r="A12" s="7" t="inlineStr">
        <is>
          <t>F-02</t>
        </is>
      </c>
      <c r="B12" s="11" t="inlineStr">
        <is>
          <t>Estación fotográfica</t>
        </is>
      </c>
      <c r="C12" s="26" t="n">
        <v>605710</v>
      </c>
      <c r="D12" s="26" t="n">
        <v>9445765</v>
      </c>
      <c r="E12" s="11" t="n">
        <v>1399</v>
      </c>
      <c r="F12" s="11" t="inlineStr"/>
      <c r="G12" s="11" t="inlineStr">
        <is>
          <t>Registro fotográfico georreferenciado</t>
        </is>
      </c>
    </row>
    <row r="13">
      <c r="A13" s="12" t="inlineStr">
        <is>
          <t>F-05</t>
        </is>
      </c>
      <c r="B13" s="13" t="inlineStr">
        <is>
          <t>Estación fotográfica</t>
        </is>
      </c>
      <c r="C13" s="27" t="n">
        <v>605811</v>
      </c>
      <c r="D13" s="27" t="n">
        <v>9445811</v>
      </c>
      <c r="E13" s="13" t="n">
        <v>1288.7</v>
      </c>
      <c r="F13" s="13" t="inlineStr"/>
      <c r="G13" s="13" t="inlineStr">
        <is>
          <t>Registro fotográfico georreferenciado</t>
        </is>
      </c>
    </row>
    <row r="14">
      <c r="A14" s="7" t="inlineStr">
        <is>
          <t>F-06</t>
        </is>
      </c>
      <c r="B14" s="11" t="inlineStr">
        <is>
          <t>Estación fotográfica</t>
        </is>
      </c>
      <c r="C14" s="26" t="n">
        <v>605885</v>
      </c>
      <c r="D14" s="26" t="n">
        <v>9445824</v>
      </c>
      <c r="E14" s="11" t="n">
        <v>1214.3</v>
      </c>
      <c r="F14" s="11" t="inlineStr"/>
      <c r="G14" s="11" t="inlineStr">
        <is>
          <t>Registro fotográfico georreferenciado</t>
        </is>
      </c>
    </row>
    <row r="15">
      <c r="A15" s="12" t="inlineStr">
        <is>
          <t>C-01</t>
        </is>
      </c>
      <c r="B15" s="13" t="inlineStr">
        <is>
          <t>Rasgo erosivo — Surco (&lt;30 cm)</t>
        </is>
      </c>
      <c r="C15" s="27" t="n">
        <v>605663</v>
      </c>
      <c r="D15" s="27" t="n">
        <v>9445732</v>
      </c>
      <c r="E15" s="13" t="n">
        <v>1454.2</v>
      </c>
      <c r="F15" s="13" t="inlineStr">
        <is>
          <t>Activa</t>
        </is>
      </c>
      <c r="G15" s="13" t="inlineStr">
        <is>
          <t>Otro (corte y ensanche de la plataforma vial)</t>
        </is>
      </c>
    </row>
    <row r="16">
      <c r="A16" s="7" t="inlineStr">
        <is>
          <t>C-02</t>
        </is>
      </c>
      <c r="B16" s="11" t="inlineStr">
        <is>
          <t>Rasgo erosivo — Surco (&lt;30 cm)</t>
        </is>
      </c>
      <c r="C16" s="26" t="n">
        <v>605811</v>
      </c>
      <c r="D16" s="26" t="n">
        <v>9445811</v>
      </c>
      <c r="E16" s="11" t="n">
        <v>1288.7</v>
      </c>
      <c r="F16" s="11" t="inlineStr">
        <is>
          <t>Activa</t>
        </is>
      </c>
      <c r="G16" s="11" t="inlineStr">
        <is>
          <t>Otro (corte y ensanche de la plataforma vial)</t>
        </is>
      </c>
    </row>
    <row r="17">
      <c r="A17" s="12" t="inlineStr">
        <is>
          <t>C-03</t>
        </is>
      </c>
      <c r="B17" s="13" t="inlineStr">
        <is>
          <t>Rasgo erosivo — Cárcava incipiente</t>
        </is>
      </c>
      <c r="C17" s="27" t="n">
        <v>605885</v>
      </c>
      <c r="D17" s="27" t="n">
        <v>9445824</v>
      </c>
      <c r="E17" s="13" t="n">
        <v>1214.3</v>
      </c>
      <c r="F17" s="13" t="inlineStr">
        <is>
          <t>Activa</t>
        </is>
      </c>
      <c r="G17" s="13" t="inlineStr">
        <is>
          <t>Concentración natural de escorrentía</t>
        </is>
      </c>
    </row>
    <row r="18">
      <c r="A18" s="7" t="inlineStr">
        <is>
          <t>H-01</t>
        </is>
      </c>
      <c r="B18" s="11" t="inlineStr">
        <is>
          <t>Fuente de agua — Quebrada estacional</t>
        </is>
      </c>
      <c r="C18" s="26" t="n">
        <v>605710</v>
      </c>
      <c r="D18" s="26" t="n">
        <v>9445765</v>
      </c>
      <c r="E18" s="11" t="n">
        <v>1399</v>
      </c>
      <c r="F18" s="11" t="inlineStr">
        <is>
          <t>Estacional</t>
        </is>
      </c>
      <c r="G18" s="11" t="inlineStr">
        <is>
          <t>Quebrada tributaria cruzada por la vía</t>
        </is>
      </c>
    </row>
    <row r="19">
      <c r="A19" s="12" t="inlineStr">
        <is>
          <t>H-02</t>
        </is>
      </c>
      <c r="B19" s="13" t="inlineStr">
        <is>
          <t>Fuente de agua — Otro (catarata)</t>
        </is>
      </c>
      <c r="C19" s="27" t="inlineStr">
        <is>
          <t>Por determinar</t>
        </is>
      </c>
      <c r="D19" s="27" t="inlineStr">
        <is>
          <t>Por determinar</t>
        </is>
      </c>
      <c r="E19" s="13" t="inlineStr"/>
      <c r="F19" s="13" t="inlineStr">
        <is>
          <t>Estacional</t>
        </is>
      </c>
      <c r="G19" s="13" t="inlineStr">
        <is>
          <t>Catarata El Guabo (referencia cartográfica)</t>
        </is>
      </c>
    </row>
    <row r="20">
      <c r="A20" s="7" t="inlineStr">
        <is>
          <t>H-03</t>
        </is>
      </c>
      <c r="B20" s="11" t="inlineStr">
        <is>
          <t>Fuente de agua — Laguna / Humedal</t>
        </is>
      </c>
      <c r="C20" s="26" t="inlineStr">
        <is>
          <t>Por determinar</t>
        </is>
      </c>
      <c r="D20" s="26" t="inlineStr">
        <is>
          <t>Por determinar</t>
        </is>
      </c>
      <c r="E20" s="11" t="inlineStr"/>
      <c r="F20" s="11" t="inlineStr">
        <is>
          <t>Permanente</t>
        </is>
      </c>
      <c r="G20" s="11" t="inlineStr">
        <is>
          <t>Laguna del Amor El Huabo (referencia cartográfica)</t>
        </is>
      </c>
    </row>
    <row r="21">
      <c r="A21" s="12" t="inlineStr">
        <is>
          <t>H-04</t>
        </is>
      </c>
      <c r="B21" s="13" t="inlineStr">
        <is>
          <t>Fuente de agua — Laguna / Humedal</t>
        </is>
      </c>
      <c r="C21" s="27" t="inlineStr">
        <is>
          <t>Por determinar</t>
        </is>
      </c>
      <c r="D21" s="27" t="inlineStr">
        <is>
          <t>Por determinar</t>
        </is>
      </c>
      <c r="E21" s="13" t="inlineStr"/>
      <c r="F21" s="13" t="inlineStr">
        <is>
          <t>Permanente</t>
        </is>
      </c>
      <c r="G21" s="13" t="inlineStr">
        <is>
          <t>Laguna El Checo (referencia cartográfica)</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607036</v>
      </c>
      <c r="C24" s="6" t="inlineStr">
        <is>
          <t>Centroide del bloque — UTM NORTE (m)</t>
        </is>
      </c>
      <c r="D24" s="7" t="n">
        <v>9446211</v>
      </c>
      <c r="E24" s="8" t="n"/>
      <c r="F24" s="8" t="n"/>
      <c r="G24" s="8" t="n"/>
      <c r="H24" s="8" t="n"/>
    </row>
    <row r="25">
      <c r="A25" s="6" t="inlineStr">
        <is>
          <t>N.° de estaciones fotográficas declaradas</t>
        </is>
      </c>
      <c r="B25" s="7" t="n">
        <v>6</v>
      </c>
      <c r="C25" s="6" t="inlineStr">
        <is>
          <t>Estaciones dentro del polígono</t>
        </is>
      </c>
      <c r="D25" s="7" t="n">
        <v>0</v>
      </c>
      <c r="E25" s="8" t="n"/>
      <c r="F25" s="8" t="n"/>
      <c r="G25" s="8" t="n"/>
      <c r="H25" s="8" t="n"/>
    </row>
    <row r="27" ht="144"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RECONOCIMIENTO EXTERNO DESDE LA CARRETERA CHULUCANAS-FRÍAS (14/07/2026, 13:09-13:13 h). NO SE REALIZÓ TRAVESÍA POR EL INTERIOR DEL BLOQUE; COMPLETITUD FÍSICA ESTIMADA ≈10%. Los seis puntos de observación se sitúan entre 605 663-605 885 E / 9 445 732-9 445 824 N, sobre el límite NO del lóbulo occidental, A 1.3-1.6 km DEL CENTROIDE DE CATÁLOGO. ESCARPES ACTIVOS: taludes de corte de la vía, DE 4 A 8 m DE ALTURA, CON RETROCESO ACTIVO, RAÍCES COLGANTES Y DESPRENDIMIENTOS AL PIE. No se verificaron escarpes de origen natural en el interior. REMOCIONES ACTIVAS: caída de bloques y derrumbes de talud sobre la plataforma vial. ALTITUD GPS: el aplicativo no consignó cota; el valor deriva del MDE. Rango del bloque 403-1 049 msnm; pendiente promedio 23.42%.</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M17B6</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14" t="inlineStr">
        <is>
          <t>► M17B6</t>
        </is>
      </c>
      <c r="B12" s="30" t="n">
        <v>106.54</v>
      </c>
      <c r="C12" s="31" t="n">
        <v>12.17</v>
      </c>
      <c r="D12" s="15" t="inlineStr">
        <is>
          <t>403 – 1049</t>
        </is>
      </c>
      <c r="E12" s="15" t="n">
        <v>646</v>
      </c>
      <c r="F12" s="15" t="n">
        <v>23.42</v>
      </c>
      <c r="G12" s="32" t="n">
        <v>0.4464</v>
      </c>
      <c r="H12" s="31" t="n">
        <v>18.53</v>
      </c>
      <c r="I12" s="31"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2" t="inlineStr">
        <is>
          <t>M17B10</t>
        </is>
      </c>
      <c r="B15" s="29" t="n">
        <v>75.36</v>
      </c>
      <c r="C15" s="21" t="n">
        <v>8.609999999999999</v>
      </c>
      <c r="D15" s="13" t="inlineStr">
        <is>
          <t>466 – 902</t>
        </is>
      </c>
      <c r="E15" s="13" t="n">
        <v>436</v>
      </c>
      <c r="F15" s="13"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2" t="inlineStr">
        <is>
          <t>M17B1</t>
        </is>
      </c>
      <c r="B17" s="29" t="n">
        <v>42.45</v>
      </c>
      <c r="C17" s="21" t="n">
        <v>4.85</v>
      </c>
      <c r="D17" s="13" t="inlineStr">
        <is>
          <t>177 – 313</t>
        </is>
      </c>
      <c r="E17" s="13" t="n">
        <v>136</v>
      </c>
      <c r="F17" s="13"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M17B6 ocupa el puesto 3 de 9 por superficie dentro de la microcuenca C1096-Q9556 (12.17 % de las 875.24 ha preliminares de la microcuenca). Su pendiente promedio (23.42 %, clase «15-25% (Fuert. inclinado)») es la 5.ª más baja de 9 y se sitúa por encima del promedio de la microcuenca (22.85 %). Su MSAVI 2024 (0.4464) es el 5.º de 9 y queda por debajo del promedio local (0.4510). Amplitud altitudinal del bloque: 646 m (403–1049 msnm). El cuadro conserva todos los bloques catalogados en la microcuenca, incluidos los descartados en el tamizaje, para referencia del conjunto. Los bloques sin ficha DT figuran con sus parámetros de gabinete. BRECHA ESPECTRAL. El 81.82 % de la superficie del bloque (87.169 ha de 106.539 ha) se sitúa bajo el umbral MSAVI 0.4976, por encima del promedio local de la microcuenca (69.38 %)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(605682 E / 9445753 N) dista 1,429 m del centroide de catálogo (607036 E / 9446211 N), distancia incompatible con la superficie del bloque (106.54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(106.593 ha) coincide con la de catálogo (106.54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99.99 %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5"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«Platanal Alto (≈0.6 km al SO); El Guabo»; el cruce INEI-Bloques V5 identifica 3 centro(s) poblado(s) en el bloque: CHILILIQUE ALTO, EL GUABO, PLATANAL ALTO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Reconocimiento EXTERNO desde la carretera; completitud física ≈10%; los puntos se sitúan a 1.3-1.6 km del centroide</t>
        </is>
      </c>
      <c r="D18" s="37" t="inlineStr">
        <is>
          <t>SUSTANTIVA</t>
        </is>
      </c>
      <c r="E18" s="34" t="inlineStr">
        <is>
          <t>Travesía interior pendiente</t>
        </is>
      </c>
    </row>
    <row r="19" ht="48" customHeight="1">
      <c r="A19" s="36" t="inlineStr">
        <is>
          <t>D-10</t>
        </is>
      </c>
      <c r="B19" s="36" t="inlineStr">
        <is>
          <t>F-DT-01</t>
        </is>
      </c>
      <c r="C19" s="36" t="inlineStr">
        <is>
          <t>Altitud GPS no consignada por el aplicativo; el valor deriva del MDE</t>
        </is>
      </c>
      <c r="D19" s="15" t="inlineStr">
        <is>
          <t>NO SUSTANTIVA</t>
        </is>
      </c>
      <c r="E19" s="36" t="inlineStr">
        <is>
          <t>Por levantar</t>
        </is>
      </c>
    </row>
    <row r="20" ht="48" customHeight="1">
      <c r="A20" s="34" t="inlineStr">
        <is>
          <t>D-11</t>
        </is>
      </c>
      <c r="B20" s="34" t="inlineStr">
        <is>
          <t>F-DT-02</t>
        </is>
      </c>
      <c r="C20" s="34" t="inlineStr">
        <is>
          <t>Nivel de erosión puntual «Fuerte» frente a síntesis de bloque «Moderada»</t>
        </is>
      </c>
      <c r="D20" s="15" t="inlineStr">
        <is>
          <t>NO SUSTANTIVA</t>
        </is>
      </c>
      <c r="E20" s="34" t="inlineStr">
        <is>
          <t>Diferenciación declarada y justificada en la propia ficha</t>
        </is>
      </c>
    </row>
    <row r="21" ht="48" customHeight="1">
      <c r="A21" s="36" t="inlineStr">
        <is>
          <t>D-12</t>
        </is>
      </c>
      <c r="B21" s="36" t="inlineStr">
        <is>
          <t>F-DT-02</t>
        </is>
      </c>
      <c r="C21" s="36" t="inlineStr">
        <is>
          <t>Dimensiones y coordenadas de cierre de las 3 cárcavas sin medir</t>
        </is>
      </c>
      <c r="D21" s="37" t="inlineStr">
        <is>
          <t>SUSTANTIVA</t>
        </is>
      </c>
      <c r="E21" s="36" t="inlineStr">
        <is>
          <t>Levantamiento pendiente</t>
        </is>
      </c>
    </row>
    <row r="22" ht="48" customHeight="1">
      <c r="A22" s="34" t="inlineStr">
        <is>
          <t>D-13</t>
        </is>
      </c>
      <c r="B22" s="34" t="inlineStr">
        <is>
          <t>F-DT-03</t>
        </is>
      </c>
      <c r="C22" s="34" t="inlineStr">
        <is>
          <t>Sin parcela ni mediciones dendrométricas; coberturas y alturas estimadas visualmente desde puntos externos</t>
        </is>
      </c>
      <c r="D22" s="37" t="inlineStr">
        <is>
          <t>SUSTANTIVA</t>
        </is>
      </c>
      <c r="E22" s="34" t="inlineStr">
        <is>
          <t>Inventario con parcelas pendiente</t>
        </is>
      </c>
    </row>
    <row r="23" ht="48" customHeight="1">
      <c r="A23" s="36" t="inlineStr">
        <is>
          <t>D-14</t>
        </is>
      </c>
      <c r="B23" s="36" t="inlineStr">
        <is>
          <t>F-DT-03</t>
        </is>
      </c>
      <c r="C23" s="36" t="inlineStr">
        <is>
          <t>Tres especies en Peligro Crítico (hualtaco, palo santo, sapote) sin censo de individuos</t>
        </is>
      </c>
      <c r="D23" s="37" t="inlineStr">
        <is>
          <t>SUSTANTIVA</t>
        </is>
      </c>
      <c r="E23" s="36" t="inlineStr">
        <is>
          <t>Censo pendiente: alto valor de conservación</t>
        </is>
      </c>
    </row>
    <row r="24" ht="48" customHeight="1">
      <c r="A24" s="34" t="inlineStr">
        <is>
          <t>D-15</t>
        </is>
      </c>
      <c r="B24" s="34" t="inlineStr">
        <is>
          <t>F-DT-03</t>
        </is>
      </c>
      <c r="C24" s="34" t="inlineStr">
        <is>
          <t>Estado «Levemente alterado» con NDVI de vegetación media a alta y emergentes maduros de Ceiba</t>
        </is>
      </c>
      <c r="D24" s="37" t="inlineStr">
        <is>
          <t>SUSTANTIVA</t>
        </is>
      </c>
      <c r="E24" s="34" t="inlineStr">
        <is>
          <t>OBSERVACIÓN DE TIPOLOGÍA ELEVADA A LA SUBDIRECCIÓN</t>
        </is>
      </c>
    </row>
    <row r="25" ht="48" customHeight="1">
      <c r="A25" s="36" t="inlineStr">
        <is>
          <t>D-16</t>
        </is>
      </c>
      <c r="B25" s="36" t="inlineStr">
        <is>
          <t>F-DT-04</t>
        </is>
      </c>
      <c r="C25" s="36" t="inlineStr">
        <is>
          <t>La carretera Chulucanas-Frías, en obras de mejoramiento, se superpone al límite NO del bloque</t>
        </is>
      </c>
      <c r="D25" s="37" t="inlineStr">
        <is>
          <t>SUSTANTIVA</t>
        </is>
      </c>
      <c r="E25" s="36" t="inlineStr">
        <is>
          <t>Causa dominante de la degradación: la intervención debe incluir estabilización y revegetación de taludes</t>
        </is>
      </c>
    </row>
    <row r="26" ht="48" customHeight="1">
      <c r="A26" s="34" t="inlineStr">
        <is>
          <t>D-17</t>
        </is>
      </c>
      <c r="B26" s="34" t="inlineStr">
        <is>
          <t>F-DT-05</t>
        </is>
      </c>
      <c r="C26" s="34" t="inlineStr">
        <is>
          <t>Las fuentes 2 a 4 son referencias cartográficas de Google Earth, no verificadas en campo</t>
        </is>
      </c>
      <c r="D26" s="15" t="inlineStr">
        <is>
          <t>NO SUSTANTIVA</t>
        </is>
      </c>
      <c r="E26" s="34" t="inlineStr">
        <is>
          <t>Georreferenciación pendiente</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(478 polígonos, 106.539 ha)</t>
        </is>
      </c>
      <c r="D27" s="15"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(106.539 ha) frente a la de catálogo V5/V6 (106.540 ha): desviación de +0.00 %</t>
        </is>
      </c>
      <c r="D28" s="15"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(0.4464) cae en la clase «DN 3 · 0.3813 - 0.4976 (Vigor bajo)»; la clase de mayor superficie es «DN 3 · 0.3813 - 0.4976 (Vigor bajo)», con 69.28 % del bloque. Superficie bajo el umbral 0.4976: 87.169 ha (81.82 %)</t>
        </is>
      </c>
      <c r="D29" s="15"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5 · CORREGIDO: 1 · NO SUSTANTIVA: 5 · SUSTANTIVA: 9</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1" t="n"/>
      <c r="C33" s="41" t="n"/>
      <c r="D33" s="41" t="n"/>
      <c r="E33" s="42"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M17B6 — IN Piura</dc:title>
  <dc:subject>Diagnóstico Territorial por bloque de intervención</dc:subject>
  <dcterms:created xsi:type="dcterms:W3CDTF">2026-09-08T03:39:57Z</dcterms:created>
  <dcterms:modified xsi:type="dcterms:W3CDTF">2026-09-09T23:30:54Z</dcterms:modified>
</cp:coreProperties>
</file>