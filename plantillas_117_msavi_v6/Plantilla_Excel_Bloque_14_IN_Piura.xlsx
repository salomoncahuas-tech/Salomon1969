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14</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Overazal / La Laja (CC.PP. del bloque); caserío Las Vegas (próximo)</t>
        </is>
      </c>
      <c r="C13" s="6" t="inlineStr">
        <is>
          <t>Comunidad campesina</t>
        </is>
      </c>
      <c r="D13" s="7" t="inlineStr">
        <is>
          <t>Predios de propiedad privada, comunal y del Estado</t>
        </is>
      </c>
      <c r="E13" s="8" t="n"/>
      <c r="F13" s="8" t="n"/>
    </row>
    <row r="14">
      <c r="A14" s="6" t="inlineStr">
        <is>
          <t>Superficie de catálogo (V5/V6), ha</t>
        </is>
      </c>
      <c r="B14" s="7" t="n">
        <v>92.90000000000001</v>
      </c>
      <c r="C14" s="6" t="inlineStr">
        <is>
          <t>Fuente de superficie</t>
        </is>
      </c>
      <c r="D14" s="7" t="inlineStr">
        <is>
          <t>Catálogo maestro Bloques V5/V6</t>
        </is>
      </c>
      <c r="E14" s="8" t="n"/>
      <c r="F14" s="8" t="n"/>
    </row>
    <row r="15">
      <c r="A15" s="6" t="inlineStr">
        <is>
          <t>Centroide UTM ESTE (m)</t>
        </is>
      </c>
      <c r="B15" s="7" t="n">
        <v>624397</v>
      </c>
      <c r="C15" s="6" t="inlineStr">
        <is>
          <t>Centroide UTM NORTE (m)</t>
        </is>
      </c>
      <c r="D15" s="7" t="n">
        <v>9437085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87</v>
      </c>
      <c r="C19" s="6" t="inlineStr">
        <is>
          <t>Altitud máxima (msnm)</t>
        </is>
      </c>
      <c r="D19" s="7" t="n">
        <v>1355</v>
      </c>
      <c r="E19" s="8" t="n"/>
      <c r="F19" s="8" t="n"/>
    </row>
    <row r="20">
      <c r="A20" s="6" t="inlineStr">
        <is>
          <t>Amplitud altitudinal (m)</t>
        </is>
      </c>
      <c r="B20" s="7" t="n">
        <v>1268</v>
      </c>
      <c r="C20" s="6" t="inlineStr">
        <is>
          <t>Piso altitudinal dominante</t>
        </is>
      </c>
      <c r="D20" s="7" t="inlineStr">
        <is>
          <t>&lt;1000 m (Yunga)</t>
        </is>
      </c>
      <c r="E20" s="8" t="n"/>
      <c r="F20" s="8" t="n"/>
    </row>
    <row r="21">
      <c r="A21" s="6" t="inlineStr">
        <is>
          <t>Pendiente promedio (%)</t>
        </is>
      </c>
      <c r="B21" s="7" t="n">
        <v>23.75</v>
      </c>
      <c r="C21" s="6" t="inlineStr">
        <is>
          <t>Pendiente promedio (grados)</t>
        </is>
      </c>
      <c r="D21" s="7" t="n">
        <v>13.4</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0.5197000000000001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(58.89 %)</t>
        </is>
      </c>
      <c r="E29" s="8" t="n"/>
      <c r="F29" s="8" t="n"/>
    </row>
    <row r="30">
      <c r="A30" s="6" t="inlineStr">
        <is>
          <t>Superficie clasificada NDVI 2025 (ha)</t>
        </is>
      </c>
      <c r="B30" s="7" t="n">
        <v>92.944</v>
      </c>
      <c r="C30" s="6" t="inlineStr">
        <is>
          <t>Desviación frente al catálogo (%)</t>
        </is>
      </c>
      <c r="D30" s="7" t="n">
        <v>0.05</v>
      </c>
      <c r="E30" s="8" t="n"/>
      <c r="F30" s="8" t="n"/>
    </row>
    <row r="31">
      <c r="A31" s="6" t="inlineStr">
        <is>
          <t>Superficie clasificada MSAVI 2024 (ha)</t>
        </is>
      </c>
      <c r="B31" s="38" t="n">
        <v>92.905</v>
      </c>
      <c r="C31" s="6" t="inlineStr">
        <is>
          <t>Desviación MSAVI frente al catálogo (%)</t>
        </is>
      </c>
      <c r="D31" s="39" t="n">
        <v>0.01</v>
      </c>
      <c r="E31" s="8" t="n"/>
      <c r="F31" s="8" t="n"/>
    </row>
    <row r="32">
      <c r="A32" s="6" t="inlineStr">
        <is>
          <t>Superficie bajo umbral MSAVI 0.4976 (ha)</t>
        </is>
      </c>
      <c r="B32" s="38" t="n">
        <v>36.253</v>
      </c>
      <c r="C32" s="6" t="inlineStr">
        <is>
          <t>% del bloque bajo umbral (brecha espectral)</t>
        </is>
      </c>
      <c r="D32" s="39" t="n">
        <v>39.02</v>
      </c>
      <c r="E32" s="8" t="n"/>
      <c r="F32" s="8" t="n"/>
    </row>
    <row r="33">
      <c r="A33" s="6" t="inlineStr">
        <is>
          <t>Clase DN dominante (MSAVI 2024)</t>
        </is>
      </c>
      <c r="B33" s="7" t="inlineStr">
        <is>
          <t>DN 4 · 0.4976 - 0.6139 (Vigor moderado)</t>
        </is>
      </c>
      <c r="C33" s="6" t="inlineStr">
        <is>
          <t>N.° de polígonos MSAVI del bloque</t>
        </is>
      </c>
      <c r="D33" s="40" t="n">
        <v>373</v>
      </c>
      <c r="E33" s="8" t="n"/>
      <c r="F33" s="8" t="n"/>
    </row>
    <row r="34"/>
    <row r="35" ht="18" customHeight="1">
      <c r="A35" s="5" t="inlineStr">
        <is>
          <t>4. ECOSISTEMA Y ESTADO DE CONSERVACIÓN</t>
        </is>
      </c>
    </row>
    <row r="36">
      <c r="A36" s="6" t="inlineStr">
        <is>
          <t>Tipo de ecosistema (UP)</t>
        </is>
      </c>
      <c r="B36" s="7" t="inlineStr">
        <is>
          <t>Matorral Andino semiárido</t>
        </is>
      </c>
      <c r="C36" s="6" t="inlineStr">
        <is>
          <t>Superficie de ecosistema (ha)</t>
        </is>
      </c>
      <c r="D36" s="7" t="inlineStr">
        <is>
          <t>69.66 ha Matorral andino (~75%) + 23.25 ha Zona agrícola (~25%); total 92.90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Ing. Pedro Talledo Hernández</t>
        </is>
      </c>
      <c r="C44" s="6" t="inlineStr">
        <is>
          <t>Fecha de evaluación</t>
        </is>
      </c>
      <c r="D44" s="7" t="inlineStr">
        <is>
          <t>2026-06-03</t>
        </is>
      </c>
      <c r="E44" s="8" t="n"/>
      <c r="F44" s="8" t="n"/>
    </row>
    <row r="45">
      <c r="A45" s="6" t="inlineStr">
        <is>
          <t>Hora de registro</t>
        </is>
      </c>
      <c r="B45" s="7" t="inlineStr">
        <is>
          <t>10:00 a.m. (aprox.)</t>
        </is>
      </c>
      <c r="C45" s="6" t="inlineStr">
        <is>
          <t>Correlativo de ficha</t>
        </is>
      </c>
      <c r="D45" s="7" t="inlineStr">
        <is>
          <t>DT-B14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a pie del bloque (rápido)</t>
        </is>
      </c>
      <c r="E47" s="8" t="n"/>
      <c r="F47" s="8" t="n"/>
    </row>
    <row r="48">
      <c r="A48" s="6" t="inlineStr">
        <is>
          <t>Estaciones fotográficas georreferenciadas</t>
        </is>
      </c>
      <c r="B48" s="7" t="n">
        <v>16</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de subsistencia familiar (ganadería + agricultura) sobre suelos frágiles, con débil ordenamiento del uso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12.8168</v>
      </c>
      <c r="C10" s="19">
        <f>ROUND(B10/$B$15*100,2)</f>
        <v/>
      </c>
      <c r="D10" s="11" t="inlineStr">
        <is>
          <t>Vigor alto</t>
        </is>
      </c>
      <c r="E10" s="11" t="inlineStr">
        <is>
          <t>Sobre umbral</t>
        </is>
      </c>
    </row>
    <row r="11">
      <c r="A11" s="12" t="inlineStr">
        <is>
          <t>0.4976 - 0.6139 · DN 4</t>
        </is>
      </c>
      <c r="B11" s="32" t="n">
        <v>43.8355</v>
      </c>
      <c r="C11" s="31">
        <f>ROUND(B11/$B$15*100,2)</f>
        <v/>
      </c>
      <c r="D11" s="13" t="inlineStr">
        <is>
          <t>Vigor moderado</t>
        </is>
      </c>
      <c r="E11" s="13" t="inlineStr">
        <is>
          <t>Sobre umbral</t>
        </is>
      </c>
    </row>
    <row r="12">
      <c r="A12" s="7" t="inlineStr">
        <is>
          <t>0.3813 - 0.4976 · DN 3</t>
        </is>
      </c>
      <c r="B12" s="18" t="n">
        <v>31.4516</v>
      </c>
      <c r="C12" s="19">
        <f>ROUND(B12/$B$15*100,2)</f>
        <v/>
      </c>
      <c r="D12" s="11" t="inlineStr">
        <is>
          <t>Vigor bajo</t>
        </is>
      </c>
      <c r="E12" s="11" t="inlineStr">
        <is>
          <t>BAJO umbral 0.4976</t>
        </is>
      </c>
    </row>
    <row r="13">
      <c r="A13" s="14" t="inlineStr">
        <is>
          <t>0.2650 - 0.3813 · DN 2</t>
        </is>
      </c>
      <c r="B13" s="20" t="n">
        <v>4.8011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373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92.90000000000001</v>
      </c>
      <c r="C18" s="49" t="inlineStr">
        <is>
          <t>—</t>
        </is>
      </c>
      <c r="D18" s="46" t="inlineStr">
        <is>
          <t>Desviación planimétrica frente al catálogo</t>
        </is>
      </c>
      <c r="E18" s="46" t="inlineStr">
        <is>
          <t>+0.01 %</t>
        </is>
      </c>
    </row>
    <row r="19">
      <c r="A19" s="16" t="inlineStr">
        <is>
          <t>MSAVI 2024 — MEDIA DEL BLOQUE</t>
        </is>
      </c>
      <c r="B19" s="17" t="n">
        <v>0.51974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373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(0.5197)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54.7331</v>
      </c>
      <c r="C25" s="19" t="n">
        <v>58.89</v>
      </c>
      <c r="D25" s="11" t="inlineStr">
        <is>
          <t>Dosel continuo, matorral denso o mosaico agroforestal</t>
        </is>
      </c>
      <c r="E25" s="11" t="inlineStr"/>
    </row>
    <row r="26">
      <c r="A26" s="14" t="inlineStr">
        <is>
          <t>Vegetación mediana</t>
        </is>
      </c>
      <c r="B26" s="20" t="n">
        <v>33.9957</v>
      </c>
      <c r="C26" s="21" t="n">
        <v>36.58</v>
      </c>
      <c r="D26" s="15" t="inlineStr">
        <is>
          <t>Pastizal cultivado, matorral ralo, parcelas agrícolas</t>
        </is>
      </c>
      <c r="E26" s="15" t="inlineStr"/>
    </row>
    <row r="27">
      <c r="A27" s="7" t="inlineStr">
        <is>
          <t>Vegetación ligera</t>
        </is>
      </c>
      <c r="B27" s="18" t="n">
        <v>4.2106</v>
      </c>
      <c r="C27" s="19" t="n">
        <v>4.53</v>
      </c>
      <c r="D27" s="11" t="inlineStr">
        <is>
          <t>Cobertura discontinua, suelo parcialmente expuesto</t>
        </is>
      </c>
      <c r="E27" s="11" t="inlineStr"/>
    </row>
    <row r="28">
      <c r="A28" s="14" t="inlineStr">
        <is>
          <t>Tierra desnuda</t>
        </is>
      </c>
      <c r="B28" s="20" t="n">
        <v>0.0043</v>
      </c>
      <c r="C28" s="21" t="n">
        <v>0</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92.90000000000001</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58.89 % del polígono clasificado como «Vegetación alta» por el NDVI 2025; la observación de campo corresponde a una parcela o recorrido puntual y no es estadísticamente representativa de las 92.900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14</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624625</v>
      </c>
      <c r="D10" s="26" t="n">
        <v>9437569</v>
      </c>
      <c r="E10" s="11" t="n">
        <v>535</v>
      </c>
      <c r="F10" s="11" t="inlineStr"/>
      <c r="G10" s="11" t="inlineStr">
        <is>
          <t>Coordenada consignada en F-DT-01</t>
        </is>
      </c>
    </row>
    <row r="11">
      <c r="A11" s="14" t="inlineStr">
        <is>
          <t>C-01</t>
        </is>
      </c>
      <c r="B11" s="15" t="inlineStr">
        <is>
          <t>Rasgo erosivo — Cárcava somera (0.5-2 m)</t>
        </is>
      </c>
      <c r="C11" s="27" t="n">
        <v>624582</v>
      </c>
      <c r="D11" s="27" t="n">
        <v>9437598</v>
      </c>
      <c r="E11" s="15" t="n">
        <v>545.3</v>
      </c>
      <c r="F11" s="15" t="inlineStr">
        <is>
          <t>Activa</t>
        </is>
      </c>
      <c r="G11" s="15" t="inlineStr">
        <is>
          <t>Caminos / huellas de ganado</t>
        </is>
      </c>
    </row>
    <row r="12">
      <c r="A12" s="7" t="inlineStr">
        <is>
          <t>C-02</t>
        </is>
      </c>
      <c r="B12" s="11" t="inlineStr">
        <is>
          <t>Rasgo erosivo — Cárcava incipiente (30-50 cm)</t>
        </is>
      </c>
      <c r="C12" s="26" t="n">
        <v>624527</v>
      </c>
      <c r="D12" s="26" t="n">
        <v>9437653</v>
      </c>
      <c r="E12" s="11" t="n">
        <v>582.7</v>
      </c>
      <c r="F12" s="11" t="inlineStr">
        <is>
          <t>Activa</t>
        </is>
      </c>
      <c r="G12" s="11" t="inlineStr">
        <is>
          <t>Concentración natural de escorrentía</t>
        </is>
      </c>
    </row>
    <row r="13">
      <c r="A13" s="14" t="inlineStr">
        <is>
          <t>C-03</t>
        </is>
      </c>
      <c r="B13" s="15" t="inlineStr">
        <is>
          <t>Rasgo erosivo — Cárcava incipiente (30-50 cm)</t>
        </is>
      </c>
      <c r="C13" s="27" t="n">
        <v>624651</v>
      </c>
      <c r="D13" s="27" t="n">
        <v>9438013</v>
      </c>
      <c r="E13" s="15" t="n">
        <v>962.1</v>
      </c>
      <c r="F13" s="15" t="inlineStr">
        <is>
          <t>Activa</t>
        </is>
      </c>
      <c r="G13" s="15" t="inlineStr">
        <is>
          <t>Caminos / huellas de ganado</t>
        </is>
      </c>
    </row>
    <row r="14">
      <c r="A14" s="7" t="inlineStr">
        <is>
          <t>H-01</t>
        </is>
      </c>
      <c r="B14" s="11" t="inlineStr">
        <is>
          <t>Fuente de agua — Quebrada estacional</t>
        </is>
      </c>
      <c r="C14" s="26" t="n"/>
      <c r="D14" s="26" t="n"/>
      <c r="E14" s="11" t="inlineStr"/>
      <c r="F14" s="11" t="inlineStr">
        <is>
          <t>Estacional (lluvias)</t>
        </is>
      </c>
      <c r="G14" s="11" t="inlineStr">
        <is>
          <t>Drenaje natural del eje oeste</t>
        </is>
      </c>
    </row>
    <row r="15">
      <c r="A15" s="14" t="inlineStr">
        <is>
          <t>B-01</t>
        </is>
      </c>
      <c r="B15" s="15" t="inlineStr">
        <is>
          <t>Especie clave — Podocarpus sp. (Ulcumano/Galilea)</t>
        </is>
      </c>
      <c r="C15" s="27" t="n">
        <v>624625</v>
      </c>
      <c r="D15" s="27" t="n">
        <v>9437569</v>
      </c>
      <c r="E15" s="15" t="n">
        <v>535</v>
      </c>
      <c r="F15" s="15" t="inlineStr">
        <is>
          <t>Indicadora de buen estado</t>
        </is>
      </c>
      <c r="G15" s="15" t="inlineStr">
        <is>
          <t>NE</t>
        </is>
      </c>
    </row>
    <row r="16">
      <c r="A16" s="7" t="inlineStr">
        <is>
          <t>B-02</t>
        </is>
      </c>
      <c r="B16" s="11" t="inlineStr">
        <is>
          <t>Especie clave — Ficus sp. (Higuerón)</t>
        </is>
      </c>
      <c r="C16" s="26" t="n">
        <v>624658</v>
      </c>
      <c r="D16" s="26" t="n">
        <v>9438080</v>
      </c>
      <c r="E16" s="11" t="n">
        <v>1028.7</v>
      </c>
      <c r="F16" s="11" t="inlineStr">
        <is>
          <t>Indicadora de buen estado</t>
        </is>
      </c>
      <c r="G16" s="11" t="inlineStr">
        <is>
          <t>LC</t>
        </is>
      </c>
    </row>
    <row r="17">
      <c r="A17" s="14" t="inlineStr">
        <is>
          <t>B-03</t>
        </is>
      </c>
      <c r="B17" s="15" t="inlineStr">
        <is>
          <t>Especie clave — Vachellia macracantha (Faique)</t>
        </is>
      </c>
      <c r="C17" s="27" t="n">
        <v>624581</v>
      </c>
      <c r="D17" s="27" t="n">
        <v>9437615</v>
      </c>
      <c r="E17" s="15" t="n">
        <v>561</v>
      </c>
      <c r="F17" s="15" t="inlineStr">
        <is>
          <t>Amenazada D.S. 043</t>
        </is>
      </c>
      <c r="G17" s="15" t="inlineStr">
        <is>
          <t>NT — Casi Amenazado</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624397</v>
      </c>
      <c r="C20" s="6" t="inlineStr">
        <is>
          <t>Centroide del bloque — UTM NORTE (m)</t>
        </is>
      </c>
      <c r="D20" s="7" t="n">
        <v>9437085</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Verificado el 02-03/06/2026. Acceso desde la carretera PI-805, empalme con trocha carrozable y camino de herradura. Pendiente media de transecto = 20.3% (máx 36.8%); altitud del transecto 1016-1197 msnm. Inestabilidad concentrada en taludes de corte del camino; deslizamiento localizado que volcó un faique. Discrepancia toponímica: los CC.PP. titulares en la tabla maestra son La Laja y Overazal, mientras la cartografía rotula «Brasal», «Las Velas/Las Vegas» y «Laguna La Román».</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14</t>
        </is>
      </c>
    </row>
    <row r="6" ht="24" customHeight="1">
      <c r="A6" s="4" t="inlineStr">
        <is>
          <t>Distrito de Santa Catalina de Mossa · Provincia de Morropon · Comparación de los bloques preliminares de intervención de la misma microcuenca</t>
        </is>
      </c>
    </row>
    <row r="7"/>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2" t="inlineStr">
        <is>
          <t>► 14</t>
        </is>
      </c>
      <c r="B13" s="30" t="n">
        <v>92.90000000000001</v>
      </c>
      <c r="C13" s="31" t="n">
        <v>10.88</v>
      </c>
      <c r="D13" s="13" t="inlineStr">
        <is>
          <t>87 – 1355</t>
        </is>
      </c>
      <c r="E13" s="13" t="n">
        <v>1268</v>
      </c>
      <c r="F13" s="13" t="n">
        <v>23.75</v>
      </c>
      <c r="G13" s="32" t="n">
        <v>0.5197000000000001</v>
      </c>
      <c r="H13" s="31" t="n">
        <v>58.89</v>
      </c>
      <c r="I13" s="3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7" t="inlineStr">
        <is>
          <t>M19B7</t>
        </is>
      </c>
      <c r="B20" s="28" t="n">
        <v>34.17</v>
      </c>
      <c r="C20" s="19" t="n">
        <v>4</v>
      </c>
      <c r="D20" s="11" t="inlineStr">
        <is>
          <t>1213 – 1578</t>
        </is>
      </c>
      <c r="E20" s="11" t="n">
        <v>365</v>
      </c>
      <c r="F20" s="11" t="n">
        <v>28.15</v>
      </c>
      <c r="G20" s="18" t="n">
        <v>0.5919</v>
      </c>
      <c r="H20" s="19" t="n">
        <v>78.52</v>
      </c>
      <c r="I20" s="19"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3"/>
    <row r="24" ht="84" customHeight="1">
      <c r="A24" s="9" t="inlineStr">
        <is>
          <t>LECTURA INTRAMICROCUENCA. El bloque 14 ocupa el puesto 4 de 12 por superficie dentro de la microcuenca C1086-Q9570 (10.88 % de las 853.87 ha preliminares de la microcuenca). Su pendiente promedio (23.75 %, clase «15-25% (Fuert. inclinado)») es la 3.ª más baja de 12 y se sitúa por debajo del promedio de la microcuenca (28.51 %). Su MSAVI 2024 (0.5197) es el 11.º de 12 y queda por debajo del promedio local (0.5993). Amplitud altitudinal del bloque: 1268 m (87–1355 msnm). El cuadro conserva todos los bloques catalogados en la microcuenca, incluidos los descartados en el tamizaje, para referencia del conjunto. Los bloques sin ficha DT figuran con sus parámetros de gabinete. BRECHA ESPECTRAL. El 39.02 % de la superficie del bloque (36.253 ha de 92.905 ha) se sitúa bajo el umbral MSAVI 0.4976, por encima del promedio local de la microcuenca (19.14 %)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9">
    <mergeCell ref="A1:I1"/>
    <mergeCell ref="A4:I4"/>
    <mergeCell ref="A3:I3"/>
    <mergeCell ref="A26:I26"/>
    <mergeCell ref="A24:I24"/>
    <mergeCell ref="A2:I2"/>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535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(92.944 ha) coincide con la de catálogo (92.9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23.75 %,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«1000-1500 m (Quechua baja)»; el MDE sitúa el bloque entre 87 y 1355 msnm, cuyo punto medio corresponde a «&lt;1000 m (Yunga)»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Cobertura vegetal total</t>
        </is>
      </c>
      <c r="C15" s="36" t="inlineStr">
        <is>
          <t>La ficha DT estima 65 % de cobertura vegetal en campo; el NDVI mediana 2025 clasifica 100.00 % del polígono en clases de vegetación</t>
        </is>
      </c>
      <c r="D15" s="13" t="inlineStr">
        <is>
          <t>NO SUSTANTIVA</t>
        </is>
      </c>
      <c r="E15" s="36" t="inlineStr">
        <is>
          <t>Se declaran ambos valores. La observación de campo corresponde a una parcela o recorrido puntual y no es representativa de la totalidad del bloque; el índice espectral no discrimina composición ni integridad ecosistémica.</t>
        </is>
      </c>
    </row>
    <row r="16" ht="48" customHeight="1">
      <c r="A16" s="34" t="inlineStr">
        <is>
          <t>D-07</t>
        </is>
      </c>
      <c r="B16" s="34" t="inlineStr">
        <is>
          <t>Dimensiones del inventario de cárcavas</t>
        </is>
      </c>
      <c r="C16" s="34" t="inlineStr">
        <is>
          <t>Se registran 3 rasgos erosivos, pero longitud, profundidad y ancho no fueron medidos instrumentalmente</t>
        </is>
      </c>
      <c r="D16" s="13"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Elenco florístico</t>
        </is>
      </c>
      <c r="C17" s="36" t="inlineStr">
        <is>
          <t>La ficha registra 14 taxones, por debajo del mínimo de 15 que exige el formato V5</t>
        </is>
      </c>
      <c r="D17" s="37" t="inlineStr">
        <is>
          <t>SUSTANTIVA</t>
        </is>
      </c>
      <c r="E17" s="36" t="inlineStr">
        <is>
          <t>Registro florístico preliminar, sin colecta ni determinación botánica formal. Debe cerrarse con colecta botánica en la siguiente campaña.</t>
        </is>
      </c>
    </row>
    <row r="18" ht="48" customHeight="1">
      <c r="A18" s="34" t="inlineStr">
        <is>
          <t>D-09</t>
        </is>
      </c>
      <c r="B18" s="34" t="inlineStr">
        <is>
          <t>Centro poblado asociado</t>
        </is>
      </c>
      <c r="C18" s="34" t="inlineStr">
        <is>
          <t>La ficha DT declara «Overazal / La Laja (CC.PP. del bloque); caserío Las Vegas (próximo)»; el cruce INEI-Bloques V5 identifica 2 centro(s) poblado(s) en el bloque: LA LAJA, OVERAZAL</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6" t="inlineStr">
        <is>
          <t>D-11</t>
        </is>
      </c>
      <c r="B20" s="36" t="inlineStr">
        <is>
          <t>Distribución areal MSAVI 2024</t>
        </is>
      </c>
      <c r="C20" s="36" t="inlineStr">
        <is>
          <t>La distribución por clase de MSAVI no figuraba en los insumos del entregable y se consignaba «Por determinar»; se incorpora la estadística zonal del ráster MSAVI clasificado (373 polígonos, 92.905 ha)</t>
        </is>
      </c>
      <c r="D20" s="37" t="inlineStr">
        <is>
          <t>CORREGIDO</t>
        </is>
      </c>
      <c r="E20"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1" ht="48" customHeight="1">
      <c r="A21" s="36" t="inlineStr">
        <is>
          <t>D-12</t>
        </is>
      </c>
      <c r="B21" s="36" t="inlineStr">
        <is>
          <t>Superficie MSAVI vs. catálogo</t>
        </is>
      </c>
      <c r="C21" s="36" t="inlineStr">
        <is>
          <t>La superficie total clasificada por el MSAVI 2024 (92.905 ha) frente a la de catálogo V5/V6 (92.900 ha): desviación de +0.01 %</t>
        </is>
      </c>
      <c r="D21" s="37" t="inlineStr">
        <is>
          <t>CONFORME</t>
        </is>
      </c>
      <c r="E21" s="36" t="inlineStr">
        <is>
          <t>Sin acción: la segmentación del ráster valida la geometría del bloque dentro del ±2 %.</t>
        </is>
      </c>
    </row>
    <row r="22" ht="48" customHeight="1">
      <c r="A22" s="36" t="inlineStr">
        <is>
          <t>D-13</t>
        </is>
      </c>
      <c r="B22" s="36" t="inlineStr">
        <is>
          <t>Media MSAVI vs. clase DN dominante</t>
        </is>
      </c>
      <c r="C22" s="36" t="inlineStr">
        <is>
          <t>La media del bloque (0.5197) cae en la clase «DN 4 · 0.4976 - 0.6139 (Vigor moderado)»; la clase de mayor superficie es «DN 4 · 0.4976 - 0.6139 (Vigor moderado)», con 47.18 % del bloque. Superficie bajo el umbral 0.4976: 36.253 ha (39.02 %)</t>
        </is>
      </c>
      <c r="D22" s="37" t="inlineStr">
        <is>
          <t>CONFORME</t>
        </is>
      </c>
      <c r="E22" s="36" t="inlineStr">
        <is>
          <t>Sin acción: la media del bloque y la clase de mayor superficie coinciden.</t>
        </is>
      </c>
    </row>
    <row r="23" ht="48" customHeight="1">
      <c r="A23" s="34" t="inlineStr">
        <is>
          <t>C-01</t>
        </is>
      </c>
      <c r="B23" s="34" t="inlineStr">
        <is>
          <t>Duplicidad parcial de fichas en el archivo DT</t>
        </is>
      </c>
      <c r="C23" s="34" t="inlineStr">
        <is>
          <t>El PDF del bloque 14 incluye un segundo juego parcial (F-DT-01, 02 y 05) fechado 2026-06-03 con microcuenca C1076-Q9584, C.P. Paltashaco y UTM 645575/9393500, que declara pendiente 50-75%, remociones en masa activas «Sí», erosión «Fuerte (cárcavas incipientes)» y 4 cárcavas someras medidas (14_01 a 14_04, prof. 0.60-0.81 m, ancho 1.65-1.92 m) en el entorno 624527-624651 E / 9437569-9438013 N</t>
        </is>
      </c>
      <c r="D23" s="37" t="inlineStr">
        <is>
          <t>SUSTANTIVA</t>
        </is>
      </c>
      <c r="E23" s="34" t="inlineStr">
        <is>
          <t>Se adopta el primer juego (DT-B14) como registro principal por estar completo. El segundo juego aporta el ÚNICO inventario de cárcavas con dimensiones medidas del bloque y se conserva como anexo; su cabecera (microcuenca, C.P. y UTM del punto de muestreo) es inconsistente con el bloque 14 y debe corregirse</t>
        </is>
      </c>
    </row>
    <row r="24"/>
    <row r="25">
      <c r="A25" s="16" t="inlineStr">
        <is>
          <t>RESUMEN</t>
        </is>
      </c>
      <c r="B25" s="17" t="inlineStr">
        <is>
          <t>13 verificaciones</t>
        </is>
      </c>
      <c r="C25" s="17" t="inlineStr">
        <is>
          <t>CONFORME: 6 · CORREGIDO: 1 · NO SUSTANTIVA: 4 · SUSTANTIVA: 2</t>
        </is>
      </c>
      <c r="D25" s="17" t="inlineStr"/>
      <c r="E25" s="17" t="inlineStr"/>
    </row>
    <row r="26"/>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7" s="41" t="n"/>
      <c r="C27" s="41" t="n"/>
      <c r="D27" s="41" t="n"/>
      <c r="E27" s="42" t="n"/>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14 — IN Piura</dc:title>
  <dc:subject>Diagnóstico Territorial por bloque de intervención</dc:subject>
  <dcterms:created xsi:type="dcterms:W3CDTF">2026-09-08T03:39:55Z</dcterms:created>
  <dcterms:modified xsi:type="dcterms:W3CDTF">2026-09-09T23:30:50Z</dcterms:modified>
</cp:coreProperties>
</file>