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50</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Ullma (no intercepta CP; ~1.3 km al N)</t>
        </is>
      </c>
      <c r="C13" s="6" t="inlineStr">
        <is>
          <t>Comunidad campesina</t>
        </is>
      </c>
      <c r="D13" s="7" t="inlineStr">
        <is>
          <t>Por determinar</t>
        </is>
      </c>
      <c r="E13" s="8" t="n"/>
      <c r="F13" s="8" t="n"/>
    </row>
    <row r="14">
      <c r="A14" s="6" t="inlineStr">
        <is>
          <t>Superficie de catálogo (V5/V6), ha</t>
        </is>
      </c>
      <c r="B14" s="7" t="n">
        <v>19.27</v>
      </c>
      <c r="C14" s="6" t="inlineStr">
        <is>
          <t>Fuente de superficie</t>
        </is>
      </c>
      <c r="D14" s="7" t="inlineStr">
        <is>
          <t>Catálogo maestro Bloques V5/V6</t>
        </is>
      </c>
      <c r="E14" s="8" t="n"/>
      <c r="F14" s="8" t="n"/>
    </row>
    <row r="15">
      <c r="A15" s="6" t="inlineStr">
        <is>
          <t>Centroide UTM ESTE (m)</t>
        </is>
      </c>
      <c r="B15" s="7" t="n">
        <v>647350</v>
      </c>
      <c r="C15" s="6" t="inlineStr">
        <is>
          <t>Centroide UTM NORTE (m)</t>
        </is>
      </c>
      <c r="D15" s="7" t="n">
        <v>9427252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1468</v>
      </c>
      <c r="C19" s="6" t="inlineStr">
        <is>
          <t>Altitud máxima (msnm)</t>
        </is>
      </c>
      <c r="D19" s="7" t="n">
        <v>1725</v>
      </c>
      <c r="E19" s="8" t="n"/>
      <c r="F19" s="8" t="n"/>
    </row>
    <row r="20">
      <c r="A20" s="6" t="inlineStr">
        <is>
          <t>Amplitud altitudinal (m)</t>
        </is>
      </c>
      <c r="B20" s="7" t="n">
        <v>257</v>
      </c>
      <c r="C20" s="6" t="inlineStr">
        <is>
          <t>Piso altitudinal dominante</t>
        </is>
      </c>
      <c r="D20" s="7" t="inlineStr">
        <is>
          <t>1500-2000 m (Quechua media)</t>
        </is>
      </c>
      <c r="E20" s="8" t="n"/>
      <c r="F20" s="8" t="n"/>
    </row>
    <row r="21">
      <c r="A21" s="6" t="inlineStr">
        <is>
          <t>Pendiente promedio (%)</t>
        </is>
      </c>
      <c r="B21" s="7" t="n">
        <v>30.47</v>
      </c>
      <c r="C21" s="6" t="inlineStr">
        <is>
          <t>Pendiente promedio (grados)</t>
        </is>
      </c>
      <c r="D21" s="7" t="n">
        <v>16.9</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0.6831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(99.57 %)</t>
        </is>
      </c>
      <c r="E29" s="8" t="n"/>
      <c r="F29" s="8" t="n"/>
    </row>
    <row r="30">
      <c r="A30" s="6" t="inlineStr">
        <is>
          <t>Superficie clasificada NDVI 2025 (ha)</t>
        </is>
      </c>
      <c r="B30" s="7" t="n">
        <v>19.271</v>
      </c>
      <c r="C30" s="6" t="inlineStr">
        <is>
          <t>Desviación frente al catálogo (%)</t>
        </is>
      </c>
      <c r="D30" s="7" t="n">
        <v>0.01</v>
      </c>
      <c r="E30" s="8" t="n"/>
      <c r="F30" s="8" t="n"/>
    </row>
    <row r="31">
      <c r="A31" s="6" t="inlineStr">
        <is>
          <t>Superficie clasificada MSAVI 2024 (ha)</t>
        </is>
      </c>
      <c r="B31" s="38" t="n">
        <v>19.266</v>
      </c>
      <c r="C31" s="6" t="inlineStr">
        <is>
          <t>Desviación MSAVI frente al catálogo (%)</t>
        </is>
      </c>
      <c r="D31" s="39" t="n">
        <v>-0.02</v>
      </c>
      <c r="E31" s="8" t="n"/>
      <c r="F31" s="8" t="n"/>
    </row>
    <row r="32">
      <c r="A32" s="6" t="inlineStr">
        <is>
          <t>Superficie bajo umbral MSAVI 0.4976 (ha)</t>
        </is>
      </c>
      <c r="B32" s="38" t="n">
        <v>0.06900000000000001</v>
      </c>
      <c r="C32" s="6" t="inlineStr">
        <is>
          <t>% del bloque bajo umbral (brecha espectral)</t>
        </is>
      </c>
      <c r="D32" s="39" t="n">
        <v>0.36</v>
      </c>
      <c r="E32" s="8" t="n"/>
      <c r="F32" s="8" t="n"/>
    </row>
    <row r="33">
      <c r="A33" s="6" t="inlineStr">
        <is>
          <t>Clase DN dominante (MSAVI 2024)</t>
        </is>
      </c>
      <c r="B33" s="7" t="inlineStr">
        <is>
          <t>DN 5 · &gt; 0.6139 (Vigor alto)</t>
        </is>
      </c>
      <c r="C33" s="6" t="inlineStr">
        <is>
          <t>N.° de polígonos MSAVI del bloque</t>
        </is>
      </c>
      <c r="D33" s="40" t="n">
        <v>39</v>
      </c>
      <c r="E33" s="8" t="n"/>
      <c r="F33" s="8" t="n"/>
    </row>
    <row r="34"/>
    <row r="35" ht="18" customHeight="1">
      <c r="A35" s="5" t="inlineStr">
        <is>
          <t>4. ECOSISTEMA Y ESTADO DE CONSERVACIÓN</t>
        </is>
      </c>
    </row>
    <row r="36">
      <c r="A36" s="6" t="inlineStr">
        <is>
          <t>Tipo de ecosistema (UP)</t>
        </is>
      </c>
      <c r="B36" s="7" t="inlineStr">
        <is>
          <t>Matorral Andino húmedo</t>
        </is>
      </c>
      <c r="C36" s="6" t="inlineStr">
        <is>
          <t>Superficie de ecosistema (ha)</t>
        </is>
      </c>
      <c r="D36" s="7" t="inlineStr">
        <is>
          <t>Matorral andino 18.4495 ha (95.8%) + Zona agrícola 0.8169 ha (4.2%); total 19.2665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2026-07-08</t>
        </is>
      </c>
      <c r="E44" s="8" t="n"/>
      <c r="F44" s="8" t="n"/>
    </row>
    <row r="45">
      <c r="A45" s="6" t="inlineStr">
        <is>
          <t>Hora de registro</t>
        </is>
      </c>
      <c r="B45" s="7" t="inlineStr">
        <is>
          <t>08:55 - 10:11 h</t>
        </is>
      </c>
      <c r="C45" s="6" t="inlineStr">
        <is>
          <t>Correlativo de ficha</t>
        </is>
      </c>
      <c r="D45" s="7" t="inlineStr">
        <is>
          <t>F-DT-B50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15.644</v>
      </c>
      <c r="C10" s="31">
        <f>ROUND(B10/$B$15*100,2)</f>
        <v/>
      </c>
      <c r="D10" s="12" t="inlineStr">
        <is>
          <t>Vigor alto</t>
        </is>
      </c>
      <c r="E10" s="12" t="inlineStr">
        <is>
          <t>Sobre umbral</t>
        </is>
      </c>
    </row>
    <row r="11">
      <c r="A11" s="13" t="inlineStr">
        <is>
          <t>0.4976 - 0.6139 · DN 4</t>
        </is>
      </c>
      <c r="B11" s="20" t="n">
        <v>3.5532</v>
      </c>
      <c r="C11" s="21">
        <f>ROUND(B11/$B$15*100,2)</f>
        <v/>
      </c>
      <c r="D11" s="14" t="inlineStr">
        <is>
          <t>Vigor moderado</t>
        </is>
      </c>
      <c r="E11" s="14" t="inlineStr">
        <is>
          <t>Sobre umbral</t>
        </is>
      </c>
    </row>
    <row r="12">
      <c r="A12" s="7" t="inlineStr">
        <is>
          <t>0.3813 - 0.4976 · DN 3</t>
        </is>
      </c>
      <c r="B12" s="18" t="n">
        <v>0.0693</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39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19.27</v>
      </c>
      <c r="C18" s="49" t="inlineStr">
        <is>
          <t>—</t>
        </is>
      </c>
      <c r="D18" s="46" t="inlineStr">
        <is>
          <t>Desviación planimétrica frente al catálogo</t>
        </is>
      </c>
      <c r="E18" s="46" t="inlineStr">
        <is>
          <t>-0.02 %</t>
        </is>
      </c>
    </row>
    <row r="19">
      <c r="A19" s="16" t="inlineStr">
        <is>
          <t>MSAVI 2024 — MEDIA DEL BLOQUE</t>
        </is>
      </c>
      <c r="B19" s="17" t="n">
        <v>0.68307</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(0.6831)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19.1886</v>
      </c>
      <c r="C25" s="19" t="n">
        <v>99.56999999999999</v>
      </c>
      <c r="D25" s="15" t="inlineStr">
        <is>
          <t>Dosel continuo, matorral denso o mosaico agroforestal</t>
        </is>
      </c>
      <c r="E25" s="15" t="inlineStr"/>
    </row>
    <row r="26">
      <c r="A26" s="13" t="inlineStr">
        <is>
          <t>Vegetación mediana</t>
        </is>
      </c>
      <c r="B26" s="20" t="n">
        <v>0.0829</v>
      </c>
      <c r="C26" s="21" t="n">
        <v>0.43</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19.27</v>
      </c>
      <c r="C28" s="25" t="inlineStr">
        <is>
          <t>—</t>
        </is>
      </c>
      <c r="D28" s="25" t="inlineStr">
        <is>
          <t>Desviación planimétrica frente al catálogo</t>
        </is>
      </c>
      <c r="E28" s="25" t="inlineStr">
        <is>
          <t>+0.01 %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99.57 % del polígono clasificado como «Vegetación alta» por el NDVI 2025; la observación de campo corresponde a una parcela o recorrido puntual y no es estadísticamente representativa de las 19.270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50</t>
        </is>
      </c>
    </row>
    <row r="6" ht="24" customHeight="1">
      <c r="A6" s="4" t="inlineStr">
        <is>
          <t>Levantamiento del 2026-07-08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647020</v>
      </c>
      <c r="D10" s="26" t="n">
        <v>9427149</v>
      </c>
      <c r="E10" s="15" t="n">
        <v>345.7</v>
      </c>
      <c r="F10" s="15" t="inlineStr"/>
      <c r="G10" s="15" t="inlineStr">
        <is>
          <t>Coordenada consignada en F-DT-01</t>
        </is>
      </c>
    </row>
    <row r="11">
      <c r="A11" s="13" t="inlineStr">
        <is>
          <t>C-01</t>
        </is>
      </c>
      <c r="B11" s="14" t="inlineStr">
        <is>
          <t>Rasgo erosivo — Cauce encajonado con socavamiento</t>
        </is>
      </c>
      <c r="C11" s="27" t="n">
        <v>647202</v>
      </c>
      <c r="D11" s="27" t="n">
        <v>9427237</v>
      </c>
      <c r="E11" s="14" t="n">
        <v>148.8</v>
      </c>
      <c r="F11" s="14" t="inlineStr">
        <is>
          <t>Activa</t>
        </is>
      </c>
      <c r="G11" s="14" t="inlineStr">
        <is>
          <t>Socavamiento de cauce</t>
        </is>
      </c>
    </row>
    <row r="12">
      <c r="A12" s="7" t="inlineStr">
        <is>
          <t>C-02</t>
        </is>
      </c>
      <c r="B12" s="15" t="inlineStr">
        <is>
          <t>Rasgo erosivo — Talud de corte de trocha</t>
        </is>
      </c>
      <c r="C12" s="26" t="n">
        <v>647310</v>
      </c>
      <c r="D12" s="26" t="n">
        <v>9427564</v>
      </c>
      <c r="E12" s="15" t="n">
        <v>314.6</v>
      </c>
      <c r="F12" s="15" t="inlineStr">
        <is>
          <t>Activa</t>
        </is>
      </c>
      <c r="G12" s="15" t="inlineStr">
        <is>
          <t>Caminos / huellas de ganado</t>
        </is>
      </c>
    </row>
    <row r="13">
      <c r="A13" s="13" t="inlineStr">
        <is>
          <t>C-03</t>
        </is>
      </c>
      <c r="B13" s="14" t="inlineStr">
        <is>
          <t>Rasgo erosivo — Surcos en huella de trocha</t>
        </is>
      </c>
      <c r="C13" s="27" t="n">
        <v>646833</v>
      </c>
      <c r="D13" s="27" t="n">
        <v>9426997</v>
      </c>
      <c r="E13" s="14" t="n">
        <v>576.5</v>
      </c>
      <c r="F13" s="14" t="inlineStr">
        <is>
          <t>Activa</t>
        </is>
      </c>
      <c r="G13" s="14" t="inlineStr">
        <is>
          <t>Caminos / huellas de ganado</t>
        </is>
      </c>
    </row>
    <row r="14">
      <c r="A14" s="7" t="inlineStr">
        <is>
          <t>H-01</t>
        </is>
      </c>
      <c r="B14" s="15" t="inlineStr">
        <is>
          <t>Fuente de agua — Quebrada permanente</t>
        </is>
      </c>
      <c r="C14" s="26" t="n">
        <v>647201</v>
      </c>
      <c r="D14" s="26" t="n">
        <v>9427237</v>
      </c>
      <c r="E14" s="15" t="n">
        <v>149.8</v>
      </c>
      <c r="F14" s="15" t="inlineStr">
        <is>
          <t>Permanente</t>
        </is>
      </c>
      <c r="G14" s="15" t="inlineStr">
        <is>
          <t>Quebrada que delimita el bloque por el NO</t>
        </is>
      </c>
    </row>
    <row r="15">
      <c r="A15" s="13" t="inlineStr">
        <is>
          <t>B-06</t>
        </is>
      </c>
      <c r="B15" s="14" t="inlineStr">
        <is>
          <t>Especie clave — Passiflora sp.</t>
        </is>
      </c>
      <c r="C15" s="27" t="n">
        <v>647119</v>
      </c>
      <c r="D15" s="27" t="n">
        <v>9427229</v>
      </c>
      <c r="E15" s="14" t="n">
        <v>232.1</v>
      </c>
      <c r="F15" s="14" t="inlineStr">
        <is>
          <t>Indicadora de buen estado</t>
        </is>
      </c>
      <c r="G15" s="14" t="inlineStr">
        <is>
          <t>NE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647350</v>
      </c>
      <c r="C18" s="6" t="inlineStr">
        <is>
          <t>Centroide del bloque — UTM NORTE (m)</t>
        </is>
      </c>
      <c r="D18" s="7" t="n">
        <v>9427252</v>
      </c>
      <c r="E18" s="8" t="n"/>
      <c r="F18" s="8" t="n"/>
      <c r="G18" s="8" t="n"/>
      <c r="H18" s="8" t="n"/>
    </row>
    <row r="19">
      <c r="A19" s="6" t="inlineStr">
        <is>
          <t>N.° de estaciones fotográficas declaradas</t>
        </is>
      </c>
      <c r="B19" s="7" t="n">
        <v>10</v>
      </c>
      <c r="C19" s="6" t="inlineStr">
        <is>
          <t>Estaciones dentro del polígono</t>
        </is>
      </c>
      <c r="D19" s="7" t="inlineStr">
        <is>
          <t>Por determinar</t>
        </is>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declarado = CENTROIDE del bloque. La altitud GPS no fue registrada: POR DETERMINAR. Referencia de gabinete: 1489-1686 msnm, media 1587; pendiente media 34.0% y máxima 59.6% sobre 566 m de recorrido. Escarpes activos y afloramientos observados en taludes de corte de la trocha y márgenes encajonadas de la quebrada; no se observaron remociones en masa activas en la superficie natural.</t>
        </is>
      </c>
      <c r="B21" s="41" t="n"/>
      <c r="C21" s="41" t="n"/>
      <c r="D21" s="41" t="n"/>
      <c r="E21" s="41" t="n"/>
      <c r="F21" s="41" t="n"/>
      <c r="G21" s="42"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50</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8" t="n">
        <v>44.2</v>
      </c>
      <c r="C10" s="19" t="n">
        <v>29.78</v>
      </c>
      <c r="D10" s="15" t="inlineStr">
        <is>
          <t>1302 – 1533</t>
        </is>
      </c>
      <c r="E10" s="15" t="n">
        <v>231</v>
      </c>
      <c r="F10" s="15" t="n">
        <v>24.25</v>
      </c>
      <c r="G10" s="18" t="n">
        <v>0.6725</v>
      </c>
      <c r="H10" s="19" t="n">
        <v>99.3</v>
      </c>
      <c r="I10" s="19" t="n">
        <v>0.41</v>
      </c>
    </row>
    <row r="11">
      <c r="A11" s="13" t="inlineStr">
        <is>
          <t>33</t>
        </is>
      </c>
      <c r="B11" s="29" t="n">
        <v>29.68</v>
      </c>
      <c r="C11" s="21" t="n">
        <v>20</v>
      </c>
      <c r="D11" s="14" t="inlineStr">
        <is>
          <t>1841 – 2226</t>
        </is>
      </c>
      <c r="E11" s="14" t="n">
        <v>385</v>
      </c>
      <c r="F11" s="14" t="n">
        <v>36.6</v>
      </c>
      <c r="G11" s="20" t="n">
        <v>0.7192</v>
      </c>
      <c r="H11" s="21" t="inlineStr">
        <is>
          <t>Por determinar</t>
        </is>
      </c>
      <c r="I11" s="14" t="inlineStr">
        <is>
          <t>s/d</t>
        </is>
      </c>
    </row>
    <row r="12">
      <c r="A12" s="7" t="inlineStr">
        <is>
          <t>34</t>
        </is>
      </c>
      <c r="B12" s="28" t="n">
        <v>28.45</v>
      </c>
      <c r="C12" s="19" t="n">
        <v>19.17</v>
      </c>
      <c r="D12" s="15" t="inlineStr">
        <is>
          <t>1286 – 1514</t>
        </is>
      </c>
      <c r="E12" s="15" t="n">
        <v>228</v>
      </c>
      <c r="F12" s="15" t="n">
        <v>26.78</v>
      </c>
      <c r="G12" s="18" t="n">
        <v>0.649</v>
      </c>
      <c r="H12" s="19" t="n">
        <v>99.42</v>
      </c>
      <c r="I12" s="19" t="n">
        <v>0.17</v>
      </c>
    </row>
    <row r="13">
      <c r="A13" s="13" t="inlineStr">
        <is>
          <t>61</t>
        </is>
      </c>
      <c r="B13" s="29" t="n">
        <v>26.83</v>
      </c>
      <c r="C13" s="21" t="n">
        <v>18.08</v>
      </c>
      <c r="D13" s="14" t="inlineStr">
        <is>
          <t>1098 – 1336</t>
        </is>
      </c>
      <c r="E13" s="14" t="n">
        <v>238</v>
      </c>
      <c r="F13" s="14" t="n">
        <v>22.61</v>
      </c>
      <c r="G13" s="20" t="n">
        <v>0.6112</v>
      </c>
      <c r="H13" s="21" t="n">
        <v>80.15000000000001</v>
      </c>
      <c r="I13" s="21" t="n">
        <v>21.1</v>
      </c>
    </row>
    <row r="14">
      <c r="A14" s="11" t="inlineStr">
        <is>
          <t>► 50</t>
        </is>
      </c>
      <c r="B14" s="30" t="n">
        <v>19.27</v>
      </c>
      <c r="C14" s="31" t="n">
        <v>12.98</v>
      </c>
      <c r="D14" s="12" t="inlineStr">
        <is>
          <t>1468 – 1725</t>
        </is>
      </c>
      <c r="E14" s="12" t="n">
        <v>257</v>
      </c>
      <c r="F14" s="12" t="n">
        <v>30.47</v>
      </c>
      <c r="G14" s="32" t="n">
        <v>0.6831</v>
      </c>
      <c r="H14" s="31" t="n">
        <v>99.56999999999999</v>
      </c>
      <c r="I14" s="31" t="n">
        <v>0.36</v>
      </c>
    </row>
    <row r="15">
      <c r="A15" s="16" t="inlineStr">
        <is>
          <t>TOTAL / PROMEDIO</t>
        </is>
      </c>
      <c r="B15" s="33">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1" t="n"/>
      <c r="C16" s="41" t="n"/>
      <c r="D16" s="41" t="n"/>
      <c r="E16" s="41" t="n"/>
      <c r="F16" s="41" t="n"/>
      <c r="G16" s="41" t="n"/>
      <c r="H16" s="42" t="n"/>
    </row>
    <row r="17"/>
    <row r="18" ht="84" customHeight="1">
      <c r="A18" s="9" t="inlineStr">
        <is>
          <t>LECTURA INTRAMICROCUENCA. El bloque 50 ocupa el puesto 5 de 5 por superficie dentro de la microcuenca C1081-Q9590 (12.98 % de las 148.43 ha preliminares de la microcuenca). Su pendiente promedio (30.47 %, clase «25-50% (Mod. escarpado)») es la 4.ª más baja de 5 y se sitúa por encima del promedio de la microcuenca (28.14 %). Su MSAVI 2024 (0.6831) es el 2.º de 5 y queda por encima del promedio local (0.6670). Amplitud altitudinal del bloque: 257 m (1468–1725 msnm). El cuadro conserva todos los bloques catalogados en la microcuenca, incluidos los descartados en el tamizaje, para referencia del conjunto. Los bloques sin ficha DT figuran con sus parámetros de gabinete. BRECHA ESPECTRAL. El 0.36 % de la superficie del bloque (0.069 ha de 19.266 ha) se sitúa bajo el umbral MSAVI 0.4976, por debajo del promedio local de la microcuenca (5.51 %) calculado sobre los bloques con dato MSAVI disponible.</t>
        </is>
      </c>
      <c r="B18" s="41" t="n"/>
      <c r="C18" s="41" t="n"/>
      <c r="D18" s="41" t="n"/>
      <c r="E18" s="41" t="n"/>
      <c r="F18" s="41" t="n"/>
      <c r="G18" s="41" t="n"/>
      <c r="H18" s="42"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1" t="n"/>
      <c r="C20" s="41" t="n"/>
      <c r="D20" s="41" t="n"/>
      <c r="E20" s="41" t="n"/>
      <c r="F20" s="41" t="n"/>
      <c r="G20" s="41" t="n"/>
      <c r="H20" s="42"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50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«C1081-Q9590»</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346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(19.271 ha) coincide con la de catálogo (19.27 ha) dentro del ±2 % (+0.01 %)</t>
        </is>
      </c>
      <c r="D12" s="35" t="inlineStr">
        <is>
          <t>CONFORME</t>
        </is>
      </c>
      <c r="E12" s="34" t="inlineStr">
        <is>
          <t>Sin acción: la segmentación valida la geometría del bloque.</t>
        </is>
      </c>
    </row>
    <row r="13" ht="48" customHeight="1">
      <c r="A13" s="36" t="inlineStr">
        <is>
          <t>D-04</t>
        </is>
      </c>
      <c r="B13" s="36" t="inlineStr">
        <is>
          <t>Altitud GPS del punto de muestreo</t>
        </is>
      </c>
      <c r="C13" s="36" t="inlineStr">
        <is>
          <t>La aplicación de captura no registró altitud GPS en campo</t>
        </is>
      </c>
      <c r="D13" s="12" t="inlineStr">
        <is>
          <t>NO SUSTANTIVA</t>
        </is>
      </c>
      <c r="E13" s="36" t="inlineStr">
        <is>
          <t>El rango altitudinal del bloque (1468–1725 msnm) y la pendiente promedio (30.47 %) se toman de la estadística zonal sobre el MDE, no de medición de campo. Se declara la fuente.</t>
        </is>
      </c>
    </row>
    <row r="14" ht="48" customHeight="1">
      <c r="A14" s="34" t="inlineStr">
        <is>
          <t>D-05</t>
        </is>
      </c>
      <c r="B14" s="34" t="inlineStr">
        <is>
          <t>Dimensiones del inventario de cárcavas</t>
        </is>
      </c>
      <c r="C14" s="34" t="inlineStr">
        <is>
          <t>Se registran 3 rasgos erosivos, pero longitud, profundidad y ancho no fueron medidos instrumentalmente</t>
        </is>
      </c>
      <c r="D14" s="12" t="inlineStr">
        <is>
          <t>NO SUSTANTIVA</t>
        </is>
      </c>
      <c r="E14" s="34" t="inlineStr">
        <is>
          <t>El conteo registrado no debe usarse para calcular densidad de cárcavas por hectárea. Pendiente de levantamiento con GPS submétrico.</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ht="48" customHeight="1">
      <c r="A16" s="36" t="inlineStr">
        <is>
          <t>D-07</t>
        </is>
      </c>
      <c r="B16" s="36" t="inlineStr">
        <is>
          <t>Distribución areal MSAVI 2024</t>
        </is>
      </c>
      <c r="C16" s="36" t="inlineStr">
        <is>
          <t>La distribución por clase de MSAVI no figuraba en los insumos del entregable y se consignaba «Por determinar»; se incorpora la estadística zonal del ráster MSAVI clasificado (39 polígonos, 19.266 ha)</t>
        </is>
      </c>
      <c r="D16" s="37" t="inlineStr">
        <is>
          <t>CORREGIDO</t>
        </is>
      </c>
      <c r="E1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7" ht="48" customHeight="1">
      <c r="A17" s="36" t="inlineStr">
        <is>
          <t>D-08</t>
        </is>
      </c>
      <c r="B17" s="36" t="inlineStr">
        <is>
          <t>Superficie MSAVI vs. catálogo</t>
        </is>
      </c>
      <c r="C17" s="36" t="inlineStr">
        <is>
          <t>La superficie total clasificada por el MSAVI 2024 (19.266 ha) frente a la de catálogo V5/V6 (19.270 ha): desviación de -0.02 %</t>
        </is>
      </c>
      <c r="D17" s="37" t="inlineStr">
        <is>
          <t>CONFORME</t>
        </is>
      </c>
      <c r="E17" s="36" t="inlineStr">
        <is>
          <t>Sin acción: la segmentación del ráster valida la geometría del bloque dentro del ±2 %.</t>
        </is>
      </c>
    </row>
    <row r="18" ht="48" customHeight="1">
      <c r="A18" s="36" t="inlineStr">
        <is>
          <t>D-09</t>
        </is>
      </c>
      <c r="B18" s="36" t="inlineStr">
        <is>
          <t>Media MSAVI vs. clase DN dominante</t>
        </is>
      </c>
      <c r="C18" s="36" t="inlineStr">
        <is>
          <t>La media del bloque (0.6831) cae en la clase «DN 5 · &gt; 0.6139 (Vigor alto)»; la clase de mayor superficie es «DN 5 · &gt; 0.6139 (Vigor alto)», con 81.20 % del bloque. Superficie bajo el umbral 0.4976: 0.069 ha (0.36 %)</t>
        </is>
      </c>
      <c r="D18" s="37" t="inlineStr">
        <is>
          <t>CONFORME</t>
        </is>
      </c>
      <c r="E18" s="36" t="inlineStr">
        <is>
          <t>Sin acción: la media del bloque y la clase de mayor superficie coinciden.</t>
        </is>
      </c>
    </row>
    <row r="19"/>
    <row r="20">
      <c r="A20" s="16" t="inlineStr">
        <is>
          <t>RESUMEN</t>
        </is>
      </c>
      <c r="B20" s="17" t="inlineStr">
        <is>
          <t>9 verificaciones</t>
        </is>
      </c>
      <c r="C20" s="17" t="inlineStr">
        <is>
          <t>CONFORME: 5 · CORREGIDO: 1 · NO SUSTANTIVA: 2 · SUSTANTIVA: 1</t>
        </is>
      </c>
      <c r="D20" s="17" t="inlineStr"/>
      <c r="E20" s="17" t="inlineStr"/>
    </row>
    <row r="21"/>
    <row r="22" ht="60" customHeight="1">
      <c r="A2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2" s="41" t="n"/>
      <c r="C22" s="41" t="n"/>
      <c r="D22" s="41" t="n"/>
      <c r="E22" s="42" t="n"/>
    </row>
  </sheetData>
  <mergeCells count="8">
    <mergeCell ref="A4:E4"/>
    <mergeCell ref="A2:E2"/>
    <mergeCell ref="A1:E1"/>
    <mergeCell ref="A5:E5"/>
    <mergeCell ref="A8:E8"/>
    <mergeCell ref="A6:E6"/>
    <mergeCell ref="A22:E22"/>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50 — IN Piura</dc:title>
  <dc:subject>Diagnóstico Territorial por bloque de intervención</dc:subject>
  <dcterms:created xsi:type="dcterms:W3CDTF">2026-09-08T03:39:56Z</dcterms:created>
  <dcterms:modified xsi:type="dcterms:W3CDTF">2026-09-09T23:30:52Z</dcterms:modified>
</cp:coreProperties>
</file>