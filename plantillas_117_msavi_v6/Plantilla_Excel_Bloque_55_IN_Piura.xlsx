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55</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t>
        </is>
      </c>
      <c r="C13" s="6" t="inlineStr">
        <is>
          <t>Comunidad campesina</t>
        </is>
      </c>
      <c r="D13" s="7" t="inlineStr">
        <is>
          <t>No aplica (predios de propiedad privada)</t>
        </is>
      </c>
      <c r="E13" s="8" t="n"/>
      <c r="F13" s="8" t="n"/>
    </row>
    <row r="14">
      <c r="A14" s="6" t="inlineStr">
        <is>
          <t>Superficie de catálogo (V5/V6), ha</t>
        </is>
      </c>
      <c r="B14" s="7" t="n">
        <v>0.86</v>
      </c>
      <c r="C14" s="6" t="inlineStr">
        <is>
          <t>Fuente de superficie</t>
        </is>
      </c>
      <c r="D14" s="7" t="inlineStr">
        <is>
          <t>Catálogo maestro Bloques V5/V6</t>
        </is>
      </c>
      <c r="E14" s="8" t="n"/>
      <c r="F14" s="8" t="n"/>
    </row>
    <row r="15">
      <c r="A15" s="6" t="inlineStr">
        <is>
          <t>Centroide UTM ESTE (m)</t>
        </is>
      </c>
      <c r="B15" s="7" t="n">
        <v>642690</v>
      </c>
      <c r="C15" s="6" t="inlineStr">
        <is>
          <t>Centroide UTM NORTE (m)</t>
        </is>
      </c>
      <c r="D15" s="7" t="n">
        <v>9438409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3066</v>
      </c>
      <c r="C19" s="6" t="inlineStr">
        <is>
          <t>Altitud máxima (msnm)</t>
        </is>
      </c>
      <c r="D19" s="7" t="n">
        <v>3131</v>
      </c>
      <c r="E19" s="8" t="n"/>
      <c r="F19" s="8" t="n"/>
    </row>
    <row r="20">
      <c r="A20" s="6" t="inlineStr">
        <is>
          <t>Amplitud altitudinal (m)</t>
        </is>
      </c>
      <c r="B20" s="7" t="n">
        <v>65</v>
      </c>
      <c r="C20" s="6" t="inlineStr">
        <is>
          <t>Piso altitudinal dominante</t>
        </is>
      </c>
      <c r="D20" s="7" t="inlineStr">
        <is>
          <t>3000-3500 m (Puna baja)</t>
        </is>
      </c>
      <c r="E20" s="8" t="n"/>
      <c r="F20" s="8" t="n"/>
    </row>
    <row r="21">
      <c r="A21" s="6" t="inlineStr">
        <is>
          <t>Pendiente promedio (%)</t>
        </is>
      </c>
      <c r="B21" s="7" t="n">
        <v>30.04</v>
      </c>
      <c r="C21" s="6" t="inlineStr">
        <is>
          <t>Pendiente promedio (grados)</t>
        </is>
      </c>
      <c r="D21" s="7" t="n">
        <v>16.7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(100.00 %)</t>
        </is>
      </c>
      <c r="E29" s="8" t="n"/>
      <c r="F29" s="8" t="n"/>
    </row>
    <row r="30">
      <c r="A30" s="6" t="inlineStr">
        <is>
          <t>Superficie clasificada NDVI 2025 (ha)</t>
        </is>
      </c>
      <c r="B30" s="7" t="n">
        <v>0.86</v>
      </c>
      <c r="C30" s="6" t="inlineStr">
        <is>
          <t>Desviación frente al catálogo (%)</t>
        </is>
      </c>
      <c r="D30" s="7" t="n">
        <v>-0.06</v>
      </c>
      <c r="E30" s="8" t="n"/>
      <c r="F30" s="8" t="n"/>
    </row>
    <row r="31">
      <c r="A31" s="6" t="inlineStr">
        <is>
          <t>Superficie clasificada MSAVI 2024 (ha)</t>
        </is>
      </c>
      <c r="B31" s="38" t="n">
        <v>0.859</v>
      </c>
      <c r="C31" s="6" t="inlineStr">
        <is>
          <t>Desviación MSAVI frente al catálogo (%)</t>
        </is>
      </c>
      <c r="D31" s="39" t="n">
        <v>-0.09</v>
      </c>
      <c r="E31" s="8" t="n"/>
      <c r="F31" s="8" t="n"/>
    </row>
    <row r="32">
      <c r="A32" s="6" t="inlineStr">
        <is>
          <t>Superficie bajo umbral MSAVI 0.4976 (ha)</t>
        </is>
      </c>
      <c r="B32" s="38" t="n">
        <v>0.015</v>
      </c>
      <c r="C32" s="6" t="inlineStr">
        <is>
          <t>% del bloque bajo umbral (brecha espectral)</t>
        </is>
      </c>
      <c r="D32" s="39" t="n">
        <v>1.76</v>
      </c>
      <c r="E32" s="8" t="n"/>
      <c r="F32" s="8" t="n"/>
    </row>
    <row r="33">
      <c r="A33" s="6" t="inlineStr">
        <is>
          <t>Clase DN dominante (MSAVI 2024)</t>
        </is>
      </c>
      <c r="B33" s="7" t="inlineStr">
        <is>
          <t>DN 5 · &gt; 0.6139 (Vigor alto)</t>
        </is>
      </c>
      <c r="C33" s="6" t="inlineStr">
        <is>
          <t>N.° de polígonos MSAVI del bloque</t>
        </is>
      </c>
      <c r="D33" s="40" t="n">
        <v>11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0.86 ha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con Ing. Juan Carlos Domínguez Varas y Biól. Abel Aucasime Orihuela</t>
        </is>
      </c>
      <c r="C44" s="6" t="inlineStr">
        <is>
          <t>Fecha de evaluación</t>
        </is>
      </c>
      <c r="D44" s="7" t="inlineStr">
        <is>
          <t>2026-05-26</t>
        </is>
      </c>
      <c r="E44" s="8" t="n"/>
      <c r="F44" s="8" t="n"/>
    </row>
    <row r="45">
      <c r="A45" s="6" t="inlineStr">
        <is>
          <t>Hora de registro</t>
        </is>
      </c>
      <c r="B45" s="7" t="inlineStr">
        <is>
          <t>11:14 a.m. - 12:30 p.m.</t>
        </is>
      </c>
      <c r="C45" s="6" t="inlineStr">
        <is>
          <t>Correlativo de ficha</t>
        </is>
      </c>
      <c r="D45" s="7" t="inlineStr">
        <is>
          <t>F-DT-B55-2026-01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14</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ganadera de subsistencia en predios privados sin manejo silvopastoril, sumada a la debilidad de la gobernanza del territorio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0.4771</v>
      </c>
      <c r="C10" s="31">
        <f>ROUND(B10/$B$15*100,2)</f>
        <v/>
      </c>
      <c r="D10" s="12" t="inlineStr">
        <is>
          <t>Vigor alto</t>
        </is>
      </c>
      <c r="E10" s="12" t="inlineStr">
        <is>
          <t>Sobre umbral</t>
        </is>
      </c>
    </row>
    <row r="11">
      <c r="A11" s="13" t="inlineStr">
        <is>
          <t>0.4976 - 0.6139 · DN 4</t>
        </is>
      </c>
      <c r="B11" s="29" t="n">
        <v>0.367</v>
      </c>
      <c r="C11" s="28">
        <f>ROUND(B11/$B$15*100,2)</f>
        <v/>
      </c>
      <c r="D11" s="14" t="inlineStr">
        <is>
          <t>Vigor moderado</t>
        </is>
      </c>
      <c r="E11" s="14" t="inlineStr">
        <is>
          <t>Sobre umbral</t>
        </is>
      </c>
    </row>
    <row r="12">
      <c r="A12" s="7" t="inlineStr">
        <is>
          <t>0.3813 - 0.4976 · DN 3</t>
        </is>
      </c>
      <c r="B12" s="18" t="n">
        <v>0.0151</v>
      </c>
      <c r="C12" s="19">
        <f>ROUND(B12/$B$15*100,2)</f>
        <v/>
      </c>
      <c r="D12" s="15" t="inlineStr">
        <is>
          <t>Vigor bajo</t>
        </is>
      </c>
      <c r="E12" s="15" t="inlineStr">
        <is>
          <t>BAJO umbral 0.4976</t>
        </is>
      </c>
    </row>
    <row r="13">
      <c r="A13" s="13" t="inlineStr">
        <is>
          <t>0.2650 - 0.3813 · DN 2</t>
        </is>
      </c>
      <c r="B13" s="29" t="n">
        <v>0</v>
      </c>
      <c r="C13" s="28">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0.86</v>
      </c>
      <c r="C18" s="49" t="inlineStr">
        <is>
          <t>—</t>
        </is>
      </c>
      <c r="D18" s="46" t="inlineStr">
        <is>
          <t>Desviación planimétrica frente al catálogo</t>
        </is>
      </c>
      <c r="E18" s="46" t="inlineStr">
        <is>
          <t>-0.09 %</t>
        </is>
      </c>
    </row>
    <row r="19">
      <c r="A19" s="16" t="inlineStr">
        <is>
          <t>MSAVI 2024 — MEDIA DEL BLOQUE</t>
        </is>
      </c>
      <c r="B19" s="17" t="n">
        <v>0.630032</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(0.6300)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0.8595</v>
      </c>
      <c r="C25" s="19" t="n">
        <v>100</v>
      </c>
      <c r="D25" s="15" t="inlineStr">
        <is>
          <t>Dosel continuo, matorral denso o mosaico agroforestal</t>
        </is>
      </c>
      <c r="E25" s="15" t="inlineStr"/>
    </row>
    <row r="26">
      <c r="A26" s="16" t="inlineStr">
        <is>
          <t>TOTAL CLASIFICADO</t>
        </is>
      </c>
      <c r="B26" s="20">
        <f>SUM(B25:B25)</f>
        <v/>
      </c>
      <c r="C26" s="21">
        <f>SUM(C25:C25)</f>
        <v/>
      </c>
      <c r="D26" s="17" t="inlineStr"/>
      <c r="E26" s="17" t="inlineStr"/>
    </row>
    <row r="27">
      <c r="A27" s="22" t="inlineStr">
        <is>
          <t>Superficie de catálogo (V5/V6)</t>
        </is>
      </c>
      <c r="B27" s="23" t="n">
        <v>0.86</v>
      </c>
      <c r="C27" s="23" t="inlineStr">
        <is>
          <t>—</t>
        </is>
      </c>
      <c r="D27" s="23" t="inlineStr">
        <is>
          <t>Desviación planimétrica frente al catálogo</t>
        </is>
      </c>
      <c r="E27" s="23" t="inlineStr">
        <is>
          <t>-0.06 %</t>
        </is>
      </c>
    </row>
    <row r="28"/>
    <row r="29" ht="108" customHeight="1">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100.00 % del polígono clasificado como «Vegetación alta» por el NDVI 2025; la observación de campo corresponde a una parcela o recorrido puntual y no es estadísticamente representativa de las 0.860 ha del bloque.</t>
        </is>
      </c>
      <c r="B29" s="41" t="n"/>
      <c r="C29" s="41" t="n"/>
      <c r="D29" s="41" t="n"/>
      <c r="E29" s="42" t="n"/>
    </row>
  </sheetData>
  <mergeCells count="10">
    <mergeCell ref="A21:E21"/>
    <mergeCell ref="A29:E29"/>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55</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4" t="n">
        <v>642690</v>
      </c>
      <c r="D10" s="24" t="n">
        <v>9438400</v>
      </c>
      <c r="E10" s="15" t="n">
        <v>9</v>
      </c>
      <c r="F10" s="15" t="inlineStr"/>
      <c r="G10" s="15" t="inlineStr">
        <is>
          <t>Coordenada consignada en F-DT-01</t>
        </is>
      </c>
    </row>
    <row r="11">
      <c r="A11" s="13" t="inlineStr">
        <is>
          <t>C-01</t>
        </is>
      </c>
      <c r="B11" s="14" t="inlineStr">
        <is>
          <t>Rasgo erosivo — Surco (&lt;30 cm)</t>
        </is>
      </c>
      <c r="C11" s="25" t="n">
        <v>641610</v>
      </c>
      <c r="D11" s="25" t="n">
        <v>9437872</v>
      </c>
      <c r="E11" s="14" t="n">
        <v>1206.1</v>
      </c>
      <c r="F11" s="14" t="inlineStr">
        <is>
          <t>Activa</t>
        </is>
      </c>
      <c r="G11" s="14" t="inlineStr">
        <is>
          <t>Caminos / huellas de ganado</t>
        </is>
      </c>
    </row>
    <row r="12">
      <c r="A12" s="7" t="inlineStr">
        <is>
          <t>C-02</t>
        </is>
      </c>
      <c r="B12" s="15" t="inlineStr">
        <is>
          <t>Rasgo erosivo — Cárcava incipiente (30-50 cm)</t>
        </is>
      </c>
      <c r="C12" s="24" t="n">
        <v>641586</v>
      </c>
      <c r="D12" s="24" t="n">
        <v>9437832</v>
      </c>
      <c r="E12" s="15" t="n">
        <v>1245.7</v>
      </c>
      <c r="F12" s="15" t="inlineStr">
        <is>
          <t>Semi-activa</t>
        </is>
      </c>
      <c r="G12" s="15" t="inlineStr">
        <is>
          <t>Sobrepastoreo</t>
        </is>
      </c>
    </row>
    <row r="13">
      <c r="A13" s="13" t="inlineStr">
        <is>
          <t>C-03</t>
        </is>
      </c>
      <c r="B13" s="14" t="inlineStr">
        <is>
          <t>Rasgo erosivo — Cárcava somera (0.5-2 m)</t>
        </is>
      </c>
      <c r="C13" s="25" t="n">
        <v>641360</v>
      </c>
      <c r="D13" s="25" t="n">
        <v>9437903</v>
      </c>
      <c r="E13" s="14" t="n">
        <v>1423</v>
      </c>
      <c r="F13" s="14" t="inlineStr">
        <is>
          <t>Activa</t>
        </is>
      </c>
      <c r="G13" s="14" t="inlineStr">
        <is>
          <t>Concentración natural de escorrentía</t>
        </is>
      </c>
    </row>
    <row r="14">
      <c r="A14" s="7" t="inlineStr">
        <is>
          <t>H-01</t>
        </is>
      </c>
      <c r="B14" s="15" t="inlineStr">
        <is>
          <t>Fuente de agua — Quebrada estacional</t>
        </is>
      </c>
      <c r="C14" s="24" t="n">
        <v>641450</v>
      </c>
      <c r="D14" s="24" t="n">
        <v>9438050</v>
      </c>
      <c r="E14" s="15" t="n">
        <v>1290.9</v>
      </c>
      <c r="F14" s="15" t="inlineStr">
        <is>
          <t>Estacional (lluvias)</t>
        </is>
      </c>
      <c r="G14" s="15" t="inlineStr">
        <is>
          <t>Drenaje natural Q9575</t>
        </is>
      </c>
    </row>
    <row r="15">
      <c r="A15" s="13" t="inlineStr">
        <is>
          <t>H-02</t>
        </is>
      </c>
      <c r="B15" s="14" t="inlineStr">
        <is>
          <t>Fuente de agua — Manantial / Puquio</t>
        </is>
      </c>
      <c r="C15" s="25" t="n">
        <v>641680</v>
      </c>
      <c r="D15" s="25" t="n">
        <v>9437950</v>
      </c>
      <c r="E15" s="14" t="n">
        <v>1109.4</v>
      </c>
      <c r="F15" s="14" t="inlineStr">
        <is>
          <t>Permanente</t>
        </is>
      </c>
      <c r="G15" s="14" t="inlineStr">
        <is>
          <t>Manantial pequeño</t>
        </is>
      </c>
    </row>
    <row r="16">
      <c r="A16" s="7" t="inlineStr">
        <is>
          <t>B-01</t>
        </is>
      </c>
      <c r="B16" s="15" t="inlineStr">
        <is>
          <t>Especie clave — Polylepis racemosa (Queñual)</t>
        </is>
      </c>
      <c r="C16" s="24" t="n">
        <v>641675</v>
      </c>
      <c r="D16" s="24" t="n">
        <v>9437943</v>
      </c>
      <c r="E16" s="15" t="n">
        <v>1116.9</v>
      </c>
      <c r="F16" s="15" t="inlineStr">
        <is>
          <t>Amenazada D.S. 043</t>
        </is>
      </c>
      <c r="G16" s="15" t="inlineStr">
        <is>
          <t>VU — Vulnerable</t>
        </is>
      </c>
    </row>
    <row r="17">
      <c r="A17" s="13" t="inlineStr">
        <is>
          <t>B-02</t>
        </is>
      </c>
      <c r="B17" s="14" t="inlineStr">
        <is>
          <t>Especie clave — Juglans neotropica (Nogal)</t>
        </is>
      </c>
      <c r="C17" s="25" t="n">
        <v>641675</v>
      </c>
      <c r="D17" s="25" t="n">
        <v>9437943</v>
      </c>
      <c r="E17" s="14" t="n">
        <v>1116.9</v>
      </c>
      <c r="F17" s="14" t="inlineStr">
        <is>
          <t>Amenazada D.S. 043</t>
        </is>
      </c>
      <c r="G17" s="14" t="inlineStr">
        <is>
          <t>EN — En Peligro</t>
        </is>
      </c>
    </row>
    <row r="18">
      <c r="A18" s="7" t="inlineStr">
        <is>
          <t>B-03</t>
        </is>
      </c>
      <c r="B18" s="15" t="inlineStr">
        <is>
          <t>Especie clave — Cedrela montana (Cedro)</t>
        </is>
      </c>
      <c r="C18" s="24" t="n">
        <v>641675</v>
      </c>
      <c r="D18" s="24" t="n">
        <v>9437943</v>
      </c>
      <c r="E18" s="15" t="n">
        <v>1116.9</v>
      </c>
      <c r="F18" s="15" t="inlineStr">
        <is>
          <t>Amenazada D.S. 043</t>
        </is>
      </c>
      <c r="G18" s="15" t="inlineStr">
        <is>
          <t>VU — Vulnerable</t>
        </is>
      </c>
    </row>
    <row r="19">
      <c r="A19" s="13" t="inlineStr">
        <is>
          <t>B-04</t>
        </is>
      </c>
      <c r="B19" s="14" t="inlineStr">
        <is>
          <t>Especie clave — Podocarpus oleifolius (Romerillo)</t>
        </is>
      </c>
      <c r="C19" s="25" t="n">
        <v>641675</v>
      </c>
      <c r="D19" s="25" t="n">
        <v>9437943</v>
      </c>
      <c r="E19" s="14" t="n">
        <v>1116.9</v>
      </c>
      <c r="F19" s="14" t="inlineStr">
        <is>
          <t>Amenazada D.S. 043</t>
        </is>
      </c>
      <c r="G19" s="14" t="inlineStr">
        <is>
          <t>NT — Casi Amenazado</t>
        </is>
      </c>
    </row>
    <row r="20">
      <c r="A20" s="7" t="inlineStr">
        <is>
          <t>B-05</t>
        </is>
      </c>
      <c r="B20" s="15" t="inlineStr">
        <is>
          <t>Especie clave — Alnus acuminata (Aliso)</t>
        </is>
      </c>
      <c r="C20" s="24" t="n">
        <v>641618</v>
      </c>
      <c r="D20" s="24" t="n">
        <v>9437881</v>
      </c>
      <c r="E20" s="15" t="n">
        <v>1195</v>
      </c>
      <c r="F20" s="15" t="inlineStr">
        <is>
          <t>Indicadora de buen estado</t>
        </is>
      </c>
      <c r="G20" s="15" t="inlineStr">
        <is>
          <t>LC</t>
        </is>
      </c>
    </row>
    <row r="21">
      <c r="A21" s="16" t="inlineStr">
        <is>
          <t>TOTAL: 11 puntos</t>
        </is>
      </c>
      <c r="B21" s="17" t="inlineStr"/>
      <c r="C21" s="17" t="inlineStr"/>
      <c r="D21" s="17" t="inlineStr"/>
      <c r="E21" s="17" t="inlineStr"/>
      <c r="F21" s="17" t="inlineStr"/>
      <c r="G21" s="17" t="inlineStr"/>
    </row>
    <row r="23">
      <c r="A23" s="6" t="inlineStr">
        <is>
          <t>Centroide del bloque — UTM ESTE (m)</t>
        </is>
      </c>
      <c r="B23" s="7" t="n">
        <v>642690</v>
      </c>
      <c r="C23" s="6" t="inlineStr">
        <is>
          <t>Centroide del bloque — UTM NORTE (m)</t>
        </is>
      </c>
      <c r="D23" s="7" t="n">
        <v>9438409</v>
      </c>
      <c r="E23" s="8" t="n"/>
      <c r="F23" s="8" t="n"/>
      <c r="G23" s="8" t="n"/>
      <c r="H23" s="8" t="n"/>
    </row>
    <row r="24">
      <c r="A24" s="6" t="inlineStr">
        <is>
          <t>N.° de estaciones fotográficas declaradas</t>
        </is>
      </c>
      <c r="B24" s="7" t="n">
        <v>14</v>
      </c>
      <c r="C24" s="6" t="inlineStr">
        <is>
          <t>Estaciones dentro del polígono</t>
        </is>
      </c>
      <c r="D24" s="7" t="inlineStr">
        <is>
          <t>Por determinar</t>
        </is>
      </c>
      <c r="E24" s="8" t="n"/>
      <c r="F24" s="8" t="n"/>
      <c r="G24" s="8" t="n"/>
      <c r="H24" s="8" t="n"/>
    </row>
    <row r="26" ht="120" customHeight="1">
      <c r="A2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carretera PI-124 desde Yamango, empalmando con trocha carrozable; ingreso final a pie (~40 min) desde 643951 E / 9438198 N. La MORFOLOGÍA EN HONDONADA/ANFITEATRO CÓNCAVO sugiere un proceso de remoción en masa RELICTO (antiguo), hoy estabilizado por cobertura vegetal. En el corte de talud de la trocha se observan suelos residuales (saprolíticos) y raíces expuestas, susceptibles a desprendimientos en época lluviosa.</t>
        </is>
      </c>
      <c r="B26" s="41" t="n"/>
      <c r="C26" s="41" t="n"/>
      <c r="D26" s="41" t="n"/>
      <c r="E26" s="41" t="n"/>
      <c r="F26" s="41" t="n"/>
      <c r="G26" s="42" t="n"/>
    </row>
  </sheetData>
  <mergeCells count="8">
    <mergeCell ref="A1:G1"/>
    <mergeCell ref="A8:G8"/>
    <mergeCell ref="A3:G3"/>
    <mergeCell ref="A6:G6"/>
    <mergeCell ref="A4:G4"/>
    <mergeCell ref="A26:G26"/>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55</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6" t="n">
        <v>283.43</v>
      </c>
      <c r="C10" s="19" t="n">
        <v>58.52</v>
      </c>
      <c r="D10" s="15" t="inlineStr">
        <is>
          <t>297 – 634</t>
        </is>
      </c>
      <c r="E10" s="15" t="n">
        <v>337</v>
      </c>
      <c r="F10" s="15" t="n">
        <v>13.75</v>
      </c>
      <c r="G10" s="18" t="n">
        <v>0.4275</v>
      </c>
      <c r="H10" s="19" t="n">
        <v>18.09</v>
      </c>
      <c r="I10" s="19" t="n">
        <v>74.81</v>
      </c>
    </row>
    <row r="11">
      <c r="A11" s="13" t="inlineStr">
        <is>
          <t>M28B2</t>
        </is>
      </c>
      <c r="B11" s="27" t="n">
        <v>90.2</v>
      </c>
      <c r="C11" s="28" t="n">
        <v>18.62</v>
      </c>
      <c r="D11" s="14" t="inlineStr">
        <is>
          <t>754 – 1111</t>
        </is>
      </c>
      <c r="E11" s="14" t="n">
        <v>357</v>
      </c>
      <c r="F11" s="14" t="n">
        <v>20.65</v>
      </c>
      <c r="G11" s="29" t="n">
        <v>0.4753</v>
      </c>
      <c r="H11" s="28" t="n">
        <v>37.12</v>
      </c>
      <c r="I11" s="28" t="n">
        <v>62.19</v>
      </c>
    </row>
    <row r="12">
      <c r="A12" s="7" t="inlineStr">
        <is>
          <t>M28B3</t>
        </is>
      </c>
      <c r="B12" s="26" t="n">
        <v>58.29</v>
      </c>
      <c r="C12" s="19" t="n">
        <v>12.04</v>
      </c>
      <c r="D12" s="15" t="inlineStr">
        <is>
          <t>73 – 777</t>
        </is>
      </c>
      <c r="E12" s="15" t="n">
        <v>704</v>
      </c>
      <c r="F12" s="15" t="n">
        <v>22.13</v>
      </c>
      <c r="G12" s="18" t="n">
        <v>0.5075</v>
      </c>
      <c r="H12" s="19" t="n">
        <v>45.27</v>
      </c>
      <c r="I12" s="19" t="n">
        <v>49.67</v>
      </c>
    </row>
    <row r="13">
      <c r="A13" s="13" t="inlineStr">
        <is>
          <t>46</t>
        </is>
      </c>
      <c r="B13" s="27" t="n">
        <v>18.87</v>
      </c>
      <c r="C13" s="28" t="n">
        <v>3.9</v>
      </c>
      <c r="D13" s="14" t="inlineStr">
        <is>
          <t>1371 – 1655</t>
        </is>
      </c>
      <c r="E13" s="14" t="n">
        <v>284</v>
      </c>
      <c r="F13" s="14" t="n">
        <v>31.77</v>
      </c>
      <c r="G13" s="29" t="n">
        <v>0.7244</v>
      </c>
      <c r="H13" s="28" t="inlineStr">
        <is>
          <t>Por determinar</t>
        </is>
      </c>
      <c r="I13" s="14" t="inlineStr">
        <is>
          <t>s/d</t>
        </is>
      </c>
    </row>
    <row r="14">
      <c r="A14" s="7" t="inlineStr">
        <is>
          <t>49</t>
        </is>
      </c>
      <c r="B14" s="26" t="n">
        <v>15.84</v>
      </c>
      <c r="C14" s="19" t="n">
        <v>3.27</v>
      </c>
      <c r="D14" s="15" t="inlineStr">
        <is>
          <t>3065 – 3246</t>
        </is>
      </c>
      <c r="E14" s="15" t="n">
        <v>181</v>
      </c>
      <c r="F14" s="15" t="n">
        <v>25.96</v>
      </c>
      <c r="G14" s="18" t="n">
        <v>0.6860000000000001</v>
      </c>
      <c r="H14" s="19" t="n">
        <v>98.8</v>
      </c>
      <c r="I14" s="19" t="n">
        <v>3.64</v>
      </c>
    </row>
    <row r="15">
      <c r="A15" s="13" t="inlineStr">
        <is>
          <t>52</t>
        </is>
      </c>
      <c r="B15" s="27" t="n">
        <v>11.06</v>
      </c>
      <c r="C15" s="28" t="n">
        <v>2.28</v>
      </c>
      <c r="D15" s="14" t="inlineStr">
        <is>
          <t>3011 – 3164</t>
        </is>
      </c>
      <c r="E15" s="14" t="n">
        <v>153</v>
      </c>
      <c r="F15" s="14" t="n">
        <v>26.16</v>
      </c>
      <c r="G15" s="29" t="n">
        <v>0.6685</v>
      </c>
      <c r="H15" s="28" t="n">
        <v>97.31999999999999</v>
      </c>
      <c r="I15" s="28" t="n">
        <v>3.8</v>
      </c>
    </row>
    <row r="16">
      <c r="A16" s="7" t="inlineStr">
        <is>
          <t>48</t>
        </is>
      </c>
      <c r="B16" s="26" t="n">
        <v>5.75</v>
      </c>
      <c r="C16" s="19" t="n">
        <v>1.19</v>
      </c>
      <c r="D16" s="15" t="inlineStr">
        <is>
          <t>1458 – 1595</t>
        </is>
      </c>
      <c r="E16" s="15" t="n">
        <v>137</v>
      </c>
      <c r="F16" s="15" t="n">
        <v>33.6</v>
      </c>
      <c r="G16" s="18" t="n">
        <v>0.6978</v>
      </c>
      <c r="H16" s="19" t="inlineStr">
        <is>
          <t>Por determinar</t>
        </is>
      </c>
      <c r="I16" s="15" t="inlineStr">
        <is>
          <t>s/d</t>
        </is>
      </c>
    </row>
    <row r="17">
      <c r="A17" s="11" t="inlineStr">
        <is>
          <t>► 55</t>
        </is>
      </c>
      <c r="B17" s="30" t="n">
        <v>0.86</v>
      </c>
      <c r="C17" s="31" t="n">
        <v>0.18</v>
      </c>
      <c r="D17" s="12" t="inlineStr">
        <is>
          <t>3066 – 3131</t>
        </is>
      </c>
      <c r="E17" s="12" t="n">
        <v>65</v>
      </c>
      <c r="F17" s="12" t="n">
        <v>30.04</v>
      </c>
      <c r="G17" s="32" t="n">
        <v>0.63</v>
      </c>
      <c r="H17" s="31" t="n">
        <v>100</v>
      </c>
      <c r="I17" s="31" t="n">
        <v>1.76</v>
      </c>
    </row>
    <row r="18">
      <c r="A18" s="16" t="inlineStr">
        <is>
          <t>TOTAL / PROMEDIO</t>
        </is>
      </c>
      <c r="B18" s="33">
        <f>SUM(B10:B17)</f>
        <v/>
      </c>
      <c r="C18" s="21">
        <f>SUM(C10:C17)</f>
        <v/>
      </c>
      <c r="D18" s="17" t="inlineStr">
        <is>
          <t>73 – 3246</t>
        </is>
      </c>
      <c r="E18" s="17" t="inlineStr"/>
      <c r="F18" s="17">
        <f>ROUND(AVERAGE(F10:F17),2)</f>
        <v/>
      </c>
      <c r="G18" s="20">
        <f>ROUND(AVERAGE(G10:G17),4)</f>
        <v/>
      </c>
      <c r="H18" s="21">
        <f>ROUND(AVERAGE(H10:H17),2)</f>
        <v/>
      </c>
      <c r="I18" s="21">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2" t="n"/>
    </row>
    <row r="20"/>
    <row r="21" ht="84" customHeight="1">
      <c r="A21" s="9" t="inlineStr">
        <is>
          <t>LECTURA INTRAMICROCUENCA. El bloque 55 ocupa el puesto 8 de 8 por superficie dentro de la microcuenca C1086-Q9575 (0.18 % de las 484.30 ha preliminares de la microcuenca). Su pendiente promedio (30.04 %, clase «25-50% (Mod. escarpado)») es la 6.ª más baja de 8 y se sitúa por encima del promedio de la microcuenca (25.51 %). Su MSAVI 2024 (0.6300) es el 5.º de 8 y queda por encima del promedio local (0.6021). Amplitud altitudinal del bloque: 65 m (3066–3131 msnm). El cuadro conserva todos los bloques catalogados en la microcuenca, incluidos los descartados en el tamizaje, para referencia del conjunto. Los bloques sin ficha DT figuran con sus parámetros de gabinete. BRECHA ESPECTRAL. El 1.76 % de la superficie del bloque (0.015 ha de 0.859 ha) se sitúa bajo el umbral MSAVI 0.4976, por debajo del promedio local de la microcuenca (32.64 %) calculado sobre los bloques con dato MSAVI disponible.</t>
        </is>
      </c>
      <c r="B21" s="41" t="n"/>
      <c r="C21" s="41" t="n"/>
      <c r="D21" s="41" t="n"/>
      <c r="E21" s="41" t="n"/>
      <c r="F21" s="41" t="n"/>
      <c r="G21" s="41" t="n"/>
      <c r="H21" s="42"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2"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(0.860 ha) coincide con la de catálogo (0.86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«Huacas»; el cruce INEI-Bloques V5 identifica 1 centro(s) poblado(s) en el bloque: LAS HUACAS</t>
        </is>
      </c>
      <c r="D15" s="12"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(11 polígonos, 0.859 ha)</t>
        </is>
      </c>
      <c r="D17" s="37"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(0.859 ha) frente a la de catálogo V5/V6 (0.860 ha): desviación de -0.09 %</t>
        </is>
      </c>
      <c r="D18" s="37"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(0.6300) cae en la clase «DN 5 · &gt; 0.6139 (Vigor alto)»; la clase de mayor superficie es «DN 5 · &gt; 0.6139 (Vigor alto)», con 55.53 % del bloque. Superficie bajo el umbral 0.4976: 0.015 ha (1.76 %)</t>
        </is>
      </c>
      <c r="D19" s="37"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5 · CORREGIDO: 1 · NO SUSTANTIVA: 2 · SUSTANTIVA: 2</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55 — IN Piura</dc:title>
  <dc:subject>Diagnóstico Territorial por bloque de intervención</dc:subject>
  <dcterms:created xsi:type="dcterms:W3CDTF">2026-09-08T03:39:54Z</dcterms:created>
  <dcterms:modified xsi:type="dcterms:W3CDTF">2026-09-09T23:30:52Z</dcterms:modified>
</cp:coreProperties>
</file>