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55</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55</t>
        </is>
      </c>
      <c r="C9" s="6" t="inlineStr">
        <is>
          <t>Microcuenca (catálogo)</t>
        </is>
      </c>
      <c r="D9" s="7" t="inlineStr">
        <is>
          <t>C1086-Q9575</t>
        </is>
      </c>
      <c r="E9" s="8" t="n"/>
      <c r="F9" s="8" t="n"/>
    </row>
    <row r="10">
      <c r="A10" s="6" t="inlineStr">
        <is>
          <t>Zona de planificación</t>
        </is>
      </c>
      <c r="B10" s="7" t="inlineStr">
        <is>
          <t>Z09</t>
        </is>
      </c>
      <c r="C10" s="6" t="inlineStr">
        <is>
          <t>Microcuenca declarada en ficha DT</t>
        </is>
      </c>
      <c r="D10" s="7" t="inlineStr">
        <is>
          <t>C1086-Q9575</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Yamango</t>
        </is>
      </c>
      <c r="C12" s="6" t="inlineStr">
        <is>
          <t>Capital distrital</t>
        </is>
      </c>
      <c r="D12" s="7" t="inlineStr">
        <is>
          <t>Yamango</t>
        </is>
      </c>
      <c r="E12" s="8" t="n"/>
      <c r="F12" s="8" t="n"/>
    </row>
    <row r="13">
      <c r="A13" s="6" t="inlineStr">
        <is>
          <t>Centro poblado asociado</t>
        </is>
      </c>
      <c r="B13" s="7" t="inlineStr">
        <is>
          <t>Huacas</t>
        </is>
      </c>
      <c r="C13" s="6" t="inlineStr">
        <is>
          <t>Comunidad campesina</t>
        </is>
      </c>
      <c r="D13" s="7" t="inlineStr">
        <is>
          <t>No aplica (predios de propiedad privada)</t>
        </is>
      </c>
      <c r="E13" s="8" t="n"/>
      <c r="F13" s="8" t="n"/>
    </row>
    <row r="14">
      <c r="A14" s="6" t="inlineStr">
        <is>
          <t>Superficie de catálogo (V5/V6), ha</t>
        </is>
      </c>
      <c r="B14" s="7" t="n">
        <v>0.86</v>
      </c>
      <c r="C14" s="6" t="inlineStr">
        <is>
          <t>Fuente de superficie</t>
        </is>
      </c>
      <c r="D14" s="7" t="inlineStr">
        <is>
          <t>Catálogo maestro Bloques V5/V6</t>
        </is>
      </c>
      <c r="E14" s="8" t="n"/>
      <c r="F14" s="8" t="n"/>
    </row>
    <row r="15">
      <c r="A15" s="6" t="inlineStr">
        <is>
          <t>Centroide UTM ESTE (m)</t>
        </is>
      </c>
      <c r="B15" s="7" t="n">
        <v>642690</v>
      </c>
      <c r="C15" s="6" t="inlineStr">
        <is>
          <t>Centroide UTM NORTE (m)</t>
        </is>
      </c>
      <c r="D15" s="7" t="n">
        <v>9438409</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3066</v>
      </c>
      <c r="C19" s="6" t="inlineStr">
        <is>
          <t>Altitud máxima (msnm)</t>
        </is>
      </c>
      <c r="D19" s="7" t="n">
        <v>3131</v>
      </c>
      <c r="E19" s="8" t="n"/>
      <c r="F19" s="8" t="n"/>
    </row>
    <row r="20">
      <c r="A20" s="6" t="inlineStr">
        <is>
          <t>Amplitud altitudinal (m)</t>
        </is>
      </c>
      <c r="B20" s="7" t="n">
        <v>65</v>
      </c>
      <c r="C20" s="6" t="inlineStr">
        <is>
          <t>Piso altitudinal dominante</t>
        </is>
      </c>
      <c r="D20" s="7" t="inlineStr">
        <is>
          <t>3000-3500 m (Puna baja)</t>
        </is>
      </c>
      <c r="E20" s="8" t="n"/>
      <c r="F20" s="8" t="n"/>
    </row>
    <row r="21">
      <c r="A21" s="6" t="inlineStr">
        <is>
          <t>Pendiente promedio (%)</t>
        </is>
      </c>
      <c r="B21" s="7" t="n">
        <v>30.04</v>
      </c>
      <c r="C21" s="6" t="inlineStr">
        <is>
          <t>Pendiente promedio (grados)</t>
        </is>
      </c>
      <c r="D21" s="7" t="n">
        <v>16.7</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Noreste</t>
        </is>
      </c>
      <c r="C24" s="6" t="inlineStr">
        <is>
          <t>Afloramientos rocosos</t>
        </is>
      </c>
      <c r="D24" s="7" t="inlineStr">
        <is>
          <t>No</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0.63</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(100.00 %)</t>
        </is>
      </c>
      <c r="E29" s="8" t="n"/>
      <c r="F29" s="8" t="n"/>
    </row>
    <row r="30">
      <c r="A30" s="6" t="inlineStr">
        <is>
          <t>Superficie clasificada NDVI 2025 (ha)</t>
        </is>
      </c>
      <c r="B30" s="7" t="n">
        <v>0.86</v>
      </c>
      <c r="C30" s="6" t="inlineStr">
        <is>
          <t>Desviación frente al catálogo (%)</t>
        </is>
      </c>
      <c r="D30" s="7" t="n">
        <v>-0.06</v>
      </c>
      <c r="E30" s="8" t="n"/>
      <c r="F30" s="8" t="n"/>
    </row>
    <row r="31">
      <c r="A31" s="6" t="inlineStr">
        <is>
          <t>Superficie clasificada MSAVI 2024 (ha)</t>
        </is>
      </c>
      <c r="B31" s="38" t="n">
        <v>0.859</v>
      </c>
      <c r="C31" s="6" t="inlineStr">
        <is>
          <t>Desviación MSAVI frente al catálogo (%)</t>
        </is>
      </c>
      <c r="D31" s="39" t="n">
        <v>-0.09</v>
      </c>
      <c r="E31" s="8" t="n"/>
      <c r="F31" s="8" t="n"/>
    </row>
    <row r="32">
      <c r="A32" s="6" t="inlineStr">
        <is>
          <t>Superficie bajo umbral MSAVI 0.4976 (ha)</t>
        </is>
      </c>
      <c r="B32" s="38" t="n">
        <v>0.015</v>
      </c>
      <c r="C32" s="6" t="inlineStr">
        <is>
          <t>% del bloque bajo umbral (brecha espectral)</t>
        </is>
      </c>
      <c r="D32" s="39" t="n">
        <v>1.76</v>
      </c>
      <c r="E32" s="8" t="n"/>
      <c r="F32" s="8" t="n"/>
    </row>
    <row r="33">
      <c r="A33" s="6" t="inlineStr">
        <is>
          <t>Clase DN dominante (MSAVI 2024)</t>
        </is>
      </c>
      <c r="B33" s="7" t="inlineStr">
        <is>
          <t>DN 5 · &gt; 0.6139 (Vigor alto)</t>
        </is>
      </c>
      <c r="C33" s="6" t="inlineStr">
        <is>
          <t>N.° de polígonos MSAVI del bloque</t>
        </is>
      </c>
      <c r="D33" s="40" t="n">
        <v>11</v>
      </c>
      <c r="E33" s="8" t="n"/>
      <c r="F33" s="8" t="n"/>
    </row>
    <row r="34"/>
    <row r="35" ht="18" customHeight="1">
      <c r="A35" s="5" t="inlineStr">
        <is>
          <t>4. ECOSISTEMA Y ESTADO DE CONSERVACIÓN</t>
        </is>
      </c>
    </row>
    <row r="36">
      <c r="A36" s="6" t="inlineStr">
        <is>
          <t>Tipo de ecosistema (UP)</t>
        </is>
      </c>
      <c r="B36" s="7" t="inlineStr">
        <is>
          <t>Agroecosistema / Mosaico</t>
        </is>
      </c>
      <c r="C36" s="6" t="inlineStr">
        <is>
          <t>Superficie de ecosistema (ha)</t>
        </is>
      </c>
      <c r="D36" s="7" t="inlineStr">
        <is>
          <t>0.86 ha</t>
        </is>
      </c>
      <c r="E36" s="8" t="n"/>
      <c r="F36" s="8" t="n"/>
    </row>
    <row r="37">
      <c r="A37" s="6" t="inlineStr">
        <is>
          <t>Estado de conservación</t>
        </is>
      </c>
      <c r="B37" s="7" t="inlineStr">
        <is>
          <t>Alterado (intervención marcada)</t>
        </is>
      </c>
      <c r="C37" s="6" t="inlineStr">
        <is>
          <t>Uso actual dominante del suelo</t>
        </is>
      </c>
      <c r="D37" s="7" t="inlineStr">
        <is>
          <t>Pastoreo extensivo</t>
        </is>
      </c>
      <c r="E37" s="8" t="n"/>
      <c r="F37" s="8" t="n"/>
    </row>
    <row r="38">
      <c r="A38" s="6" t="inlineStr">
        <is>
          <t>Tipo de cobertura dominante</t>
        </is>
      </c>
      <c r="B38" s="7" t="inlineStr">
        <is>
          <t>Mixto / Mosaico</t>
        </is>
      </c>
      <c r="C38" s="6" t="inlineStr">
        <is>
          <t>Cobertura vegetal total — campo (%)</t>
        </is>
      </c>
      <c r="D38" s="7" t="n">
        <v>80</v>
      </c>
      <c r="E38" s="8" t="n"/>
      <c r="F38" s="8" t="n"/>
    </row>
    <row r="39">
      <c r="A39" s="6" t="inlineStr">
        <is>
          <t>Suelo desnudo — campo (%)</t>
        </is>
      </c>
      <c r="B39" s="7" t="n">
        <v>20</v>
      </c>
      <c r="C39" s="6" t="inlineStr">
        <is>
          <t>Regeneración natural</t>
        </is>
      </c>
      <c r="D39" s="7" t="inlineStr">
        <is>
          <t>Escasa (&lt;10 pl./100m²)</t>
        </is>
      </c>
      <c r="E39" s="8" t="n"/>
      <c r="F39" s="8" t="n"/>
    </row>
    <row r="40">
      <c r="A40" s="6" t="inlineStr">
        <is>
          <t>Nivel general de erosión</t>
        </is>
      </c>
      <c r="B40" s="7" t="inlineStr">
        <is>
          <t>Ligera (laminar)</t>
        </is>
      </c>
      <c r="C40" s="6" t="inlineStr">
        <is>
          <t>N.° de cárcavas registradas</t>
        </is>
      </c>
      <c r="D40" s="7" t="n">
        <v>1</v>
      </c>
      <c r="E40" s="8" t="n"/>
      <c r="F40" s="8" t="n"/>
    </row>
    <row r="41">
      <c r="A41" s="6" t="inlineStr">
        <is>
          <t>Elenco florístico (n.° de taxones)</t>
        </is>
      </c>
      <c r="B41" s="7" t="n">
        <v>14</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 Cahuas Miller (ANIN-DIME-SESDI), con Ing. Juan Carlos Domínguez Varas y Biól. Abel Aucasime Orihuela</t>
        </is>
      </c>
      <c r="C44" s="6" t="inlineStr">
        <is>
          <t>Fecha de evaluación</t>
        </is>
      </c>
      <c r="D44" s="7" t="inlineStr">
        <is>
          <t>2026-05-26</t>
        </is>
      </c>
      <c r="E44" s="8" t="n"/>
      <c r="F44" s="8" t="n"/>
    </row>
    <row r="45">
      <c r="A45" s="6" t="inlineStr">
        <is>
          <t>Hora de registro</t>
        </is>
      </c>
      <c r="B45" s="7" t="inlineStr">
        <is>
          <t>11:14 a.m. - 12:30 p.m.</t>
        </is>
      </c>
      <c r="C45" s="6" t="inlineStr">
        <is>
          <t>Correlativo de ficha</t>
        </is>
      </c>
      <c r="D45" s="7" t="inlineStr">
        <is>
          <t>F-DT-B55-2026-01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instalada</t>
        </is>
      </c>
      <c r="E47" s="8" t="n"/>
      <c r="F47" s="8" t="n"/>
    </row>
    <row r="48">
      <c r="A48" s="6" t="inlineStr">
        <is>
          <t>Estaciones fotográficas georreferenciadas</t>
        </is>
      </c>
      <c r="B48" s="7" t="n">
        <v>14</v>
      </c>
      <c r="C48" s="6" t="inlineStr">
        <is>
          <t>Modalidad de acceso</t>
        </is>
      </c>
      <c r="D48" s="7" t="inlineStr">
        <is>
          <t>Vehicular + caminata 30-90 min</t>
        </is>
      </c>
      <c r="E48" s="8" t="n"/>
      <c r="F48" s="8" t="n"/>
    </row>
    <row r="49"/>
    <row r="50" ht="18" customHeight="1">
      <c r="A50" s="5" t="inlineStr">
        <is>
          <t>6. SÍNTESIS PARA LA GESTIÓN DEL RIESGO EN CONTEXTO DE CAMBIO CLIMÁTICO</t>
        </is>
      </c>
    </row>
    <row r="51">
      <c r="A51" s="6" t="inlineStr">
        <is>
          <t>Causa subyacente principal</t>
        </is>
      </c>
      <c r="B51" s="7" t="inlineStr">
        <is>
          <t>Economía ganadera de subsistencia en predios privados sin manejo silvopastoril, sumada a la debilidad de la gobernanza del territorio</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Baja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9"/>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55</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2" t="n">
        <v>0.4771</v>
      </c>
      <c r="C10" s="31">
        <f>ROUND(B10/$B$15*100,2)</f>
        <v>55.53</v>
      </c>
      <c r="D10" s="12" t="inlineStr">
        <is>
          <t>Vigor alto</t>
        </is>
      </c>
      <c r="E10" s="12" t="inlineStr">
        <is>
          <t>Sobre umbral</t>
        </is>
      </c>
    </row>
    <row r="11">
      <c r="A11" s="13" t="inlineStr">
        <is>
          <t>0.4976 - 0.6139 · DN 4</t>
        </is>
      </c>
      <c r="B11" s="29" t="n">
        <v>0.367</v>
      </c>
      <c r="C11" s="28">
        <f>ROUND(B11/$B$15*100,2)</f>
        <v>42.71</v>
      </c>
      <c r="D11" s="14" t="inlineStr">
        <is>
          <t>Vigor moderado</t>
        </is>
      </c>
      <c r="E11" s="14" t="inlineStr">
        <is>
          <t>Sobre umbral</t>
        </is>
      </c>
    </row>
    <row r="12">
      <c r="A12" s="7" t="inlineStr">
        <is>
          <t>0.3813 - 0.4976 · DN 3</t>
        </is>
      </c>
      <c r="B12" s="18" t="n">
        <v>0.0151</v>
      </c>
      <c r="C12" s="19">
        <f>ROUND(B12/$B$15*100,2)</f>
        <v>1.76</v>
      </c>
      <c r="D12" s="15" t="inlineStr">
        <is>
          <t>Vigor bajo</t>
        </is>
      </c>
      <c r="E12" s="15" t="inlineStr">
        <is>
          <t>BAJO umbral 0.4976</t>
        </is>
      </c>
    </row>
    <row r="13">
      <c r="A13" s="13" t="inlineStr">
        <is>
          <t>0.2650 - 0.3813 · DN 2</t>
        </is>
      </c>
      <c r="B13" s="29" t="n">
        <v>0</v>
      </c>
      <c r="C13" s="28">
        <f>ROUND(B13/$B$15*100,2)</f>
        <v>0.0</v>
      </c>
      <c r="D13" s="14" t="inlineStr">
        <is>
          <t>Vigor muy bajo</t>
        </is>
      </c>
      <c r="E13" s="14" t="inlineStr">
        <is>
          <t>BAJO umbral 0.4976</t>
        </is>
      </c>
    </row>
    <row r="14">
      <c r="A14" s="7" t="inlineStr">
        <is>
          <t>&lt;= 0.2650 · DN 1</t>
        </is>
      </c>
      <c r="B14" s="18" t="n">
        <v>0</v>
      </c>
      <c r="C14" s="19">
        <f>ROUND(B14/$B$15*100,2)</f>
        <v>0.0</v>
      </c>
      <c r="D14" s="15" t="inlineStr">
        <is>
          <t>Suelo desnudo / no vegetal</t>
        </is>
      </c>
      <c r="E14" s="15" t="inlineStr">
        <is>
          <t>BAJO umbral 0.4976</t>
        </is>
      </c>
    </row>
    <row r="15" ht="30" customHeight="1">
      <c r="A15" s="43" t="inlineStr">
        <is>
          <t>TOTAL CLASIFICADO MSAVI 2024</t>
        </is>
      </c>
      <c r="B15" s="44">
        <f>SUM(B10:B14)</f>
        <v>0.8592</v>
      </c>
      <c r="C15" s="45">
        <f>SUM(C10:C14)</f>
        <v>100.0</v>
      </c>
      <c r="D15" s="43" t="inlineStr">
        <is>
          <t>Suma de la distribución areal · 11 polígonos</t>
        </is>
      </c>
      <c r="E15" s="43" t="inlineStr">
        <is>
          <t>—</t>
        </is>
      </c>
    </row>
    <row r="16" ht="30" customHeight="1">
      <c r="A16" s="46" t="inlineStr">
        <is>
          <t>Superficie SOBRE umbral 0.4976 (ha)</t>
        </is>
      </c>
      <c r="B16" s="47">
        <f>SUM(B10:B11)</f>
        <v>0.8441</v>
      </c>
      <c r="C16" s="48">
        <f>ROUND(B16/B15*100,2)</f>
        <v>98.24</v>
      </c>
      <c r="D16" s="46" t="inlineStr">
        <is>
          <t>Vigor alto y moderado (DN 4 y DN 5)</t>
        </is>
      </c>
      <c r="E16" s="46" t="inlineStr">
        <is>
          <t>Sobre umbral 0.4976</t>
        </is>
      </c>
    </row>
    <row r="17" ht="30" customHeight="1">
      <c r="A17" s="46" t="inlineStr">
        <is>
          <t>Superficie BAJO umbral 0.4976 (ha) — brecha</t>
        </is>
      </c>
      <c r="B17" s="47">
        <f>SUM(B12:B14)</f>
        <v>0.0151</v>
      </c>
      <c r="C17" s="48">
        <f>ROUND(B17/B15*100,2)</f>
        <v>1.76</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0.86</v>
      </c>
      <c r="C18" s="49" t="inlineStr">
        <is>
          <t>—</t>
        </is>
      </c>
      <c r="D18" s="46" t="inlineStr">
        <is>
          <t>Desviación planimétrica frente al catálogo</t>
        </is>
      </c>
      <c r="E18" s="46" t="inlineStr">
        <is>
          <t>-0.09 %</t>
        </is>
      </c>
    </row>
    <row r="19">
      <c r="A19" s="16" t="inlineStr">
        <is>
          <t>MSAVI 2024 — MEDIA DEL BLOQUE</t>
        </is>
      </c>
      <c r="B19" s="17" t="n">
        <v>0.630032</v>
      </c>
      <c r="C19" s="17" t="inlineStr">
        <is>
          <t>—</t>
        </is>
      </c>
      <c r="D19" s="17" t="inlineStr">
        <is>
          <t>Vigor alto · clase &gt;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11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(0.6300)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0.8595</v>
      </c>
      <c r="C25" s="19" t="n">
        <v>100</v>
      </c>
      <c r="D25" s="15" t="inlineStr">
        <is>
          <t>Dosel continuo, matorral denso o mosaico agroforestal</t>
        </is>
      </c>
      <c r="E25" s="15" t="inlineStr"/>
    </row>
    <row r="26">
      <c r="A26" s="16" t="inlineStr">
        <is>
          <t>TOTAL CLASIFICADO</t>
        </is>
      </c>
      <c r="B26" s="20">
        <f>SUM(B25:B25)</f>
        <v>0.8595</v>
      </c>
      <c r="C26" s="21">
        <f>SUM(C25:C25)</f>
        <v>100.0</v>
      </c>
      <c r="D26" s="17" t="inlineStr"/>
      <c r="E26" s="17" t="inlineStr"/>
    </row>
    <row r="27">
      <c r="A27" s="22" t="inlineStr">
        <is>
          <t>Superficie de catálogo (V5/V6)</t>
        </is>
      </c>
      <c r="B27" s="23" t="n">
        <v>0.86</v>
      </c>
      <c r="C27" s="23" t="inlineStr">
        <is>
          <t>—</t>
        </is>
      </c>
      <c r="D27" s="23" t="inlineStr">
        <is>
          <t>Desviación planimétrica frente al catálogo</t>
        </is>
      </c>
      <c r="E27" s="23" t="inlineStr">
        <is>
          <t>-0.06 %</t>
        </is>
      </c>
    </row>
    <row r="28"/>
    <row r="29" ht="108" customHeight="1">
      <c r="A29"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80 % frente a un 100.00 % del polígono clasificado como «Vegetación alta» por el NDVI 2025; la observación de campo corresponde a una parcela o recorrido puntual y no es estadísticamente representativa de las 0.860 ha del bloque.</t>
        </is>
      </c>
      <c r="B29" s="41" t="n"/>
      <c r="C29" s="41" t="n"/>
      <c r="D29" s="41" t="n"/>
      <c r="E29" s="42" t="n"/>
    </row>
  </sheetData>
  <mergeCells count="10">
    <mergeCell ref="A21:E21"/>
    <mergeCell ref="A29:E29"/>
    <mergeCell ref="A4:E4"/>
    <mergeCell ref="A2:E2"/>
    <mergeCell ref="A1:E1"/>
    <mergeCell ref="A23:E23"/>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55</t>
        </is>
      </c>
    </row>
    <row r="6" ht="24" customHeight="1">
      <c r="A6" s="4" t="inlineStr">
        <is>
          <t>Levantamiento del 2026-05-26 · Sistema de referencia UTM WGS 84 Zona 17S (EPSG:32717)</t>
        </is>
      </c>
    </row>
    <row r="7"/>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4" t="n">
        <v>642690</v>
      </c>
      <c r="D10" s="24" t="n">
        <v>9438400</v>
      </c>
      <c r="E10" s="15" t="n">
        <v>9</v>
      </c>
      <c r="F10" s="15" t="inlineStr"/>
      <c r="G10" s="15" t="inlineStr">
        <is>
          <t>Coordenada consignada en F-DT-01</t>
        </is>
      </c>
    </row>
    <row r="11">
      <c r="A11" s="13" t="inlineStr">
        <is>
          <t>C-01</t>
        </is>
      </c>
      <c r="B11" s="14" t="inlineStr">
        <is>
          <t>Rasgo erosivo — Surco (&lt;30 cm)</t>
        </is>
      </c>
      <c r="C11" s="25" t="n">
        <v>641610</v>
      </c>
      <c r="D11" s="25" t="n">
        <v>9437872</v>
      </c>
      <c r="E11" s="14" t="n">
        <v>1206.1</v>
      </c>
      <c r="F11" s="14" t="inlineStr">
        <is>
          <t>Activa</t>
        </is>
      </c>
      <c r="G11" s="14" t="inlineStr">
        <is>
          <t>Caminos / huellas de ganado</t>
        </is>
      </c>
    </row>
    <row r="12">
      <c r="A12" s="7" t="inlineStr">
        <is>
          <t>C-02</t>
        </is>
      </c>
      <c r="B12" s="15" t="inlineStr">
        <is>
          <t>Rasgo erosivo — Cárcava incipiente (30-50 cm)</t>
        </is>
      </c>
      <c r="C12" s="24" t="n">
        <v>641586</v>
      </c>
      <c r="D12" s="24" t="n">
        <v>9437832</v>
      </c>
      <c r="E12" s="15" t="n">
        <v>1245.7</v>
      </c>
      <c r="F12" s="15" t="inlineStr">
        <is>
          <t>Semi-activa</t>
        </is>
      </c>
      <c r="G12" s="15" t="inlineStr">
        <is>
          <t>Sobrepastoreo</t>
        </is>
      </c>
    </row>
    <row r="13">
      <c r="A13" s="13" t="inlineStr">
        <is>
          <t>C-03</t>
        </is>
      </c>
      <c r="B13" s="14" t="inlineStr">
        <is>
          <t>Rasgo erosivo — Cárcava somera (0.5-2 m)</t>
        </is>
      </c>
      <c r="C13" s="25" t="n">
        <v>641360</v>
      </c>
      <c r="D13" s="25" t="n">
        <v>9437903</v>
      </c>
      <c r="E13" s="14" t="n">
        <v>1423</v>
      </c>
      <c r="F13" s="14" t="inlineStr">
        <is>
          <t>Activa</t>
        </is>
      </c>
      <c r="G13" s="14" t="inlineStr">
        <is>
          <t>Concentración natural de escorrentía</t>
        </is>
      </c>
    </row>
    <row r="14">
      <c r="A14" s="7" t="inlineStr">
        <is>
          <t>H-01</t>
        </is>
      </c>
      <c r="B14" s="15" t="inlineStr">
        <is>
          <t>Fuente de agua — Quebrada estacional</t>
        </is>
      </c>
      <c r="C14" s="24" t="n">
        <v>641450</v>
      </c>
      <c r="D14" s="24" t="n">
        <v>9438050</v>
      </c>
      <c r="E14" s="15" t="n">
        <v>1290.9</v>
      </c>
      <c r="F14" s="15" t="inlineStr">
        <is>
          <t>Estacional (lluvias)</t>
        </is>
      </c>
      <c r="G14" s="15" t="inlineStr">
        <is>
          <t>Drenaje natural Q9575</t>
        </is>
      </c>
    </row>
    <row r="15">
      <c r="A15" s="13" t="inlineStr">
        <is>
          <t>H-02</t>
        </is>
      </c>
      <c r="B15" s="14" t="inlineStr">
        <is>
          <t>Fuente de agua — Manantial / Puquio</t>
        </is>
      </c>
      <c r="C15" s="25" t="n">
        <v>641680</v>
      </c>
      <c r="D15" s="25" t="n">
        <v>9437950</v>
      </c>
      <c r="E15" s="14" t="n">
        <v>1109.4</v>
      </c>
      <c r="F15" s="14" t="inlineStr">
        <is>
          <t>Permanente</t>
        </is>
      </c>
      <c r="G15" s="14" t="inlineStr">
        <is>
          <t>Manantial pequeño</t>
        </is>
      </c>
    </row>
    <row r="16">
      <c r="A16" s="7" t="inlineStr">
        <is>
          <t>B-01</t>
        </is>
      </c>
      <c r="B16" s="15" t="inlineStr">
        <is>
          <t>Especie clave — Polylepis racemosa (Queñual)</t>
        </is>
      </c>
      <c r="C16" s="24" t="n">
        <v>641675</v>
      </c>
      <c r="D16" s="24" t="n">
        <v>9437943</v>
      </c>
      <c r="E16" s="15" t="n">
        <v>1116.9</v>
      </c>
      <c r="F16" s="15" t="inlineStr">
        <is>
          <t>Amenazada D.S. 043</t>
        </is>
      </c>
      <c r="G16" s="15" t="inlineStr">
        <is>
          <t>VU — Vulnerable</t>
        </is>
      </c>
    </row>
    <row r="17">
      <c r="A17" s="13" t="inlineStr">
        <is>
          <t>B-02</t>
        </is>
      </c>
      <c r="B17" s="14" t="inlineStr">
        <is>
          <t>Especie clave — Juglans neotropica (Nogal)</t>
        </is>
      </c>
      <c r="C17" s="25" t="n">
        <v>641675</v>
      </c>
      <c r="D17" s="25" t="n">
        <v>9437943</v>
      </c>
      <c r="E17" s="14" t="n">
        <v>1116.9</v>
      </c>
      <c r="F17" s="14" t="inlineStr">
        <is>
          <t>Amenazada D.S. 043</t>
        </is>
      </c>
      <c r="G17" s="14" t="inlineStr">
        <is>
          <t>EN — En Peligro</t>
        </is>
      </c>
    </row>
    <row r="18">
      <c r="A18" s="7" t="inlineStr">
        <is>
          <t>B-03</t>
        </is>
      </c>
      <c r="B18" s="15" t="inlineStr">
        <is>
          <t>Especie clave — Cedrela montana (Cedro)</t>
        </is>
      </c>
      <c r="C18" s="24" t="n">
        <v>641675</v>
      </c>
      <c r="D18" s="24" t="n">
        <v>9437943</v>
      </c>
      <c r="E18" s="15" t="n">
        <v>1116.9</v>
      </c>
      <c r="F18" s="15" t="inlineStr">
        <is>
          <t>Amenazada D.S. 043</t>
        </is>
      </c>
      <c r="G18" s="15" t="inlineStr">
        <is>
          <t>VU — Vulnerable</t>
        </is>
      </c>
    </row>
    <row r="19">
      <c r="A19" s="13" t="inlineStr">
        <is>
          <t>B-04</t>
        </is>
      </c>
      <c r="B19" s="14" t="inlineStr">
        <is>
          <t>Especie clave — Podocarpus oleifolius (Romerillo)</t>
        </is>
      </c>
      <c r="C19" s="25" t="n">
        <v>641675</v>
      </c>
      <c r="D19" s="25" t="n">
        <v>9437943</v>
      </c>
      <c r="E19" s="14" t="n">
        <v>1116.9</v>
      </c>
      <c r="F19" s="14" t="inlineStr">
        <is>
          <t>Amenazada D.S. 043</t>
        </is>
      </c>
      <c r="G19" s="14" t="inlineStr">
        <is>
          <t>NT — Casi Amenazado</t>
        </is>
      </c>
    </row>
    <row r="20">
      <c r="A20" s="7" t="inlineStr">
        <is>
          <t>B-05</t>
        </is>
      </c>
      <c r="B20" s="15" t="inlineStr">
        <is>
          <t>Especie clave — Alnus acuminata (Aliso)</t>
        </is>
      </c>
      <c r="C20" s="24" t="n">
        <v>641618</v>
      </c>
      <c r="D20" s="24" t="n">
        <v>9437881</v>
      </c>
      <c r="E20" s="15" t="n">
        <v>1195</v>
      </c>
      <c r="F20" s="15" t="inlineStr">
        <is>
          <t>Indicadora de buen estado</t>
        </is>
      </c>
      <c r="G20" s="15" t="inlineStr">
        <is>
          <t>LC</t>
        </is>
      </c>
    </row>
    <row r="21">
      <c r="A21" s="16" t="inlineStr">
        <is>
          <t>TOTAL: 11 puntos</t>
        </is>
      </c>
      <c r="B21" s="17" t="inlineStr"/>
      <c r="C21" s="17" t="inlineStr"/>
      <c r="D21" s="17" t="inlineStr"/>
      <c r="E21" s="17" t="inlineStr"/>
      <c r="F21" s="17" t="inlineStr"/>
      <c r="G21" s="17" t="inlineStr"/>
    </row>
    <row r="22"/>
    <row r="23">
      <c r="A23" s="6" t="inlineStr">
        <is>
          <t>Centroide del bloque — UTM ESTE (m)</t>
        </is>
      </c>
      <c r="B23" s="7" t="n">
        <v>642690</v>
      </c>
      <c r="C23" s="6" t="inlineStr">
        <is>
          <t>Centroide del bloque — UTM NORTE (m)</t>
        </is>
      </c>
      <c r="D23" s="7" t="n">
        <v>9438409</v>
      </c>
      <c r="E23" s="8" t="n"/>
      <c r="F23" s="8" t="n"/>
      <c r="G23" s="8" t="n"/>
      <c r="H23" s="8" t="n"/>
    </row>
    <row r="24">
      <c r="A24" s="6" t="inlineStr">
        <is>
          <t>N.° de estaciones fotográficas declaradas</t>
        </is>
      </c>
      <c r="B24" s="7" t="n">
        <v>14</v>
      </c>
      <c r="C24" s="6" t="inlineStr">
        <is>
          <t>Estaciones dentro del polígono</t>
        </is>
      </c>
      <c r="D24" s="7" t="inlineStr">
        <is>
          <t>Por determinar</t>
        </is>
      </c>
      <c r="E24" s="8" t="n"/>
      <c r="F24" s="8" t="n"/>
      <c r="G24" s="8" t="n"/>
      <c r="H24" s="8" t="n"/>
    </row>
    <row r="25"/>
    <row r="26" ht="120" customHeight="1">
      <c r="A2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Acceso por carretera PI-124 desde Yamango, empalmando con trocha carrozable; ingreso final a pie (~40 min) desde 643951 E / 9438198 N. La MORFOLOGÍA EN HONDONADA/ANFITEATRO CÓNCAVO sugiere un proceso de remoción en masa RELICTO (antiguo), hoy estabilizado por cobertura vegetal. En el corte de talud de la trocha se observan suelos residuales (saprolíticos) y raíces expuestas, susceptibles a desprendimientos en época lluviosa.</t>
        </is>
      </c>
      <c r="B26" s="41" t="n"/>
      <c r="C26" s="41" t="n"/>
      <c r="D26" s="41" t="n"/>
      <c r="E26" s="41" t="n"/>
      <c r="F26" s="41" t="n"/>
      <c r="G26" s="42" t="n"/>
    </row>
  </sheetData>
  <mergeCells count="8">
    <mergeCell ref="A1:G1"/>
    <mergeCell ref="A8:G8"/>
    <mergeCell ref="A3:G3"/>
    <mergeCell ref="A6:G6"/>
    <mergeCell ref="A4:G4"/>
    <mergeCell ref="A26:G26"/>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3"/>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C1086-Q9575 — BLOQUE 55</t>
        </is>
      </c>
    </row>
    <row r="6" ht="24" customHeight="1">
      <c r="A6" s="4" t="inlineStr">
        <is>
          <t>Distrito de Yamango · Provincia de Morropon · Comparación de los bloques preliminares de intervención de la misma microcuenca</t>
        </is>
      </c>
    </row>
    <row r="7"/>
    <row r="8" ht="18" customHeight="1">
      <c r="A8" s="5" t="inlineStr">
        <is>
          <t>BLOQUES DE LA MICROCUENCA C1086-Q9575</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M28B4</t>
        </is>
      </c>
      <c r="B10" s="26" t="n">
        <v>283.43</v>
      </c>
      <c r="C10" s="19" t="n">
        <v>58.52</v>
      </c>
      <c r="D10" s="15" t="inlineStr">
        <is>
          <t>297 – 634</t>
        </is>
      </c>
      <c r="E10" s="15" t="n">
        <v>337</v>
      </c>
      <c r="F10" s="15" t="n">
        <v>13.75</v>
      </c>
      <c r="G10" s="18" t="n">
        <v>0.4275</v>
      </c>
      <c r="H10" s="19" t="n">
        <v>18.09</v>
      </c>
      <c r="I10" s="19" t="n">
        <v>74.81</v>
      </c>
    </row>
    <row r="11">
      <c r="A11" s="13" t="inlineStr">
        <is>
          <t>M28B2</t>
        </is>
      </c>
      <c r="B11" s="27" t="n">
        <v>90.2</v>
      </c>
      <c r="C11" s="28" t="n">
        <v>18.62</v>
      </c>
      <c r="D11" s="14" t="inlineStr">
        <is>
          <t>754 – 1111</t>
        </is>
      </c>
      <c r="E11" s="14" t="n">
        <v>357</v>
      </c>
      <c r="F11" s="14" t="n">
        <v>20.65</v>
      </c>
      <c r="G11" s="29" t="n">
        <v>0.4753</v>
      </c>
      <c r="H11" s="28" t="n">
        <v>37.12</v>
      </c>
      <c r="I11" s="28" t="n">
        <v>62.19</v>
      </c>
    </row>
    <row r="12">
      <c r="A12" s="7" t="inlineStr">
        <is>
          <t>M28B3</t>
        </is>
      </c>
      <c r="B12" s="26" t="n">
        <v>58.29</v>
      </c>
      <c r="C12" s="19" t="n">
        <v>12.04</v>
      </c>
      <c r="D12" s="15" t="inlineStr">
        <is>
          <t>73 – 777</t>
        </is>
      </c>
      <c r="E12" s="15" t="n">
        <v>704</v>
      </c>
      <c r="F12" s="15" t="n">
        <v>22.13</v>
      </c>
      <c r="G12" s="18" t="n">
        <v>0.5075</v>
      </c>
      <c r="H12" s="19" t="n">
        <v>45.27</v>
      </c>
      <c r="I12" s="19" t="n">
        <v>49.67</v>
      </c>
    </row>
    <row r="13">
      <c r="A13" s="13" t="inlineStr">
        <is>
          <t>46</t>
        </is>
      </c>
      <c r="B13" s="27" t="n">
        <v>18.87</v>
      </c>
      <c r="C13" s="28" t="n">
        <v>3.9</v>
      </c>
      <c r="D13" s="14" t="inlineStr">
        <is>
          <t>1371 – 1655</t>
        </is>
      </c>
      <c r="E13" s="14" t="n">
        <v>284</v>
      </c>
      <c r="F13" s="14" t="n">
        <v>31.77</v>
      </c>
      <c r="G13" s="29" t="n">
        <v>0.7244</v>
      </c>
      <c r="H13" s="28" t="inlineStr">
        <is>
          <t>Por determinar</t>
        </is>
      </c>
      <c r="I13" s="14" t="inlineStr">
        <is>
          <t>s/d</t>
        </is>
      </c>
    </row>
    <row r="14">
      <c r="A14" s="7" t="inlineStr">
        <is>
          <t>49</t>
        </is>
      </c>
      <c r="B14" s="26" t="n">
        <v>15.84</v>
      </c>
      <c r="C14" s="19" t="n">
        <v>3.27</v>
      </c>
      <c r="D14" s="15" t="inlineStr">
        <is>
          <t>3065 – 3246</t>
        </is>
      </c>
      <c r="E14" s="15" t="n">
        <v>181</v>
      </c>
      <c r="F14" s="15" t="n">
        <v>25.96</v>
      </c>
      <c r="G14" s="18" t="n">
        <v>0.6860000000000001</v>
      </c>
      <c r="H14" s="19" t="n">
        <v>98.8</v>
      </c>
      <c r="I14" s="19" t="n">
        <v>3.64</v>
      </c>
    </row>
    <row r="15">
      <c r="A15" s="13" t="inlineStr">
        <is>
          <t>52</t>
        </is>
      </c>
      <c r="B15" s="27" t="n">
        <v>11.06</v>
      </c>
      <c r="C15" s="28" t="n">
        <v>2.28</v>
      </c>
      <c r="D15" s="14" t="inlineStr">
        <is>
          <t>3011 – 3164</t>
        </is>
      </c>
      <c r="E15" s="14" t="n">
        <v>153</v>
      </c>
      <c r="F15" s="14" t="n">
        <v>26.16</v>
      </c>
      <c r="G15" s="29" t="n">
        <v>0.6685</v>
      </c>
      <c r="H15" s="28" t="n">
        <v>97.31999999999999</v>
      </c>
      <c r="I15" s="28" t="n">
        <v>3.8</v>
      </c>
    </row>
    <row r="16">
      <c r="A16" s="7" t="inlineStr">
        <is>
          <t>48</t>
        </is>
      </c>
      <c r="B16" s="26" t="n">
        <v>5.75</v>
      </c>
      <c r="C16" s="19" t="n">
        <v>1.19</v>
      </c>
      <c r="D16" s="15" t="inlineStr">
        <is>
          <t>1458 – 1595</t>
        </is>
      </c>
      <c r="E16" s="15" t="n">
        <v>137</v>
      </c>
      <c r="F16" s="15" t="n">
        <v>33.6</v>
      </c>
      <c r="G16" s="18" t="n">
        <v>0.6978</v>
      </c>
      <c r="H16" s="19" t="inlineStr">
        <is>
          <t>Por determinar</t>
        </is>
      </c>
      <c r="I16" s="15" t="inlineStr">
        <is>
          <t>s/d</t>
        </is>
      </c>
    </row>
    <row r="17">
      <c r="A17" s="11" t="inlineStr">
        <is>
          <t>► 55</t>
        </is>
      </c>
      <c r="B17" s="30" t="n">
        <v>0.86</v>
      </c>
      <c r="C17" s="31" t="n">
        <v>0.18</v>
      </c>
      <c r="D17" s="12" t="inlineStr">
        <is>
          <t>3066 – 3131</t>
        </is>
      </c>
      <c r="E17" s="12" t="n">
        <v>65</v>
      </c>
      <c r="F17" s="12" t="n">
        <v>30.04</v>
      </c>
      <c r="G17" s="32" t="n">
        <v>0.63</v>
      </c>
      <c r="H17" s="31" t="n">
        <v>100</v>
      </c>
      <c r="I17" s="31" t="n">
        <v>1.76</v>
      </c>
    </row>
    <row r="18">
      <c r="A18" s="16" t="inlineStr">
        <is>
          <t>TOTAL / PROMEDIO</t>
        </is>
      </c>
      <c r="B18" s="33">
        <f>SUM(B10:B17)</f>
        <v>484.3</v>
      </c>
      <c r="C18" s="21">
        <f>SUM(C10:C17)</f>
        <v>100.0</v>
      </c>
      <c r="D18" s="17" t="inlineStr">
        <is>
          <t>73 – 3246</t>
        </is>
      </c>
      <c r="E18" s="17" t="inlineStr"/>
      <c r="F18" s="17">
        <f>ROUND(AVERAGE(F10:F17),2)</f>
        <v>25.51</v>
      </c>
      <c r="G18" s="20">
        <f>ROUND(AVERAGE(G10:G17),4)</f>
        <v>0.6021</v>
      </c>
      <c r="H18" s="21">
        <f>ROUND(AVERAGE(H10:H17),2)</f>
        <v>66.1</v>
      </c>
      <c r="I18" s="21">
        <f>ROUND(AVERAGE(I10:I17),2)</f>
        <v>32.65</v>
      </c>
    </row>
    <row r="19" ht="48" customHeight="1">
      <c r="A19" s="9" t="inlineStr">
        <is>
          <t>ALCANCE DE LOS PROMEDIOS. La fila TOTAL / PROMEDIO omite las celdas «Por determinar»: el promedio de VEGETACIÓN ALTA (NDVI 2025) se calcula sobre 6 de los 8 bloques; los 2 bloques restantes carecen de estadística zonal de NDVI. Los totales de ÁREA y % de microcuenca sí comprenden la totalidad de los 8 bloques. No se estima ningún valor ausente.</t>
        </is>
      </c>
      <c r="B19" s="41" t="n"/>
      <c r="C19" s="41" t="n"/>
      <c r="D19" s="41" t="n"/>
      <c r="E19" s="41" t="n"/>
      <c r="F19" s="41" t="n"/>
      <c r="G19" s="41" t="n"/>
      <c r="H19" s="42" t="n"/>
    </row>
    <row r="20"/>
    <row r="21" ht="84" customHeight="1">
      <c r="A21" s="9" t="inlineStr">
        <is>
          <t>LECTURA INTRAMICROCUENCA. El bloque 55 ocupa el puesto 8 de 8 por superficie dentro de la microcuenca C1086-Q9575 (0.18 % de las 484.30 ha preliminares de la microcuenca). Su pendiente promedio (30.04 %, clase «25-50% (Mod. escarpado)») es la 6.ª más baja de 8 y se sitúa por encima del promedio de la microcuenca (25.51 %). Su MSAVI 2024 (0.6300) es el 5.º de 8 y queda por encima del promedio local (0.6021). Amplitud altitudinal del bloque: 65 m (3066–3131 msnm). El cuadro conserva todos los bloques catalogados en la microcuenca, incluidos los descartados en el tamizaje, para referencia del conjunto. Los bloques sin ficha DT figuran con sus parámetros de gabinete. BRECHA ESPECTRAL. El 1.76 % de la superficie del bloque (0.015 ha de 0.859 ha) se sitúa bajo el umbral MSAVI 0.4976, por debajo del promedio local de la microcuenca (32.64 %) calculado sobre los bloques con dato MSAVI disponible.</t>
        </is>
      </c>
      <c r="B21" s="41" t="n"/>
      <c r="C21" s="41" t="n"/>
      <c r="D21" s="41" t="n"/>
      <c r="E21" s="41" t="n"/>
      <c r="F21" s="41" t="n"/>
      <c r="G21" s="41" t="n"/>
      <c r="H21" s="42" t="n"/>
    </row>
    <row r="22"/>
    <row r="23" ht="60" customHeight="1">
      <c r="A23"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3" s="41" t="n"/>
      <c r="C23" s="41" t="n"/>
      <c r="D23" s="41" t="n"/>
      <c r="E23" s="41" t="n"/>
      <c r="F23" s="41" t="n"/>
      <c r="G23" s="41" t="n"/>
      <c r="H23" s="42" t="n"/>
    </row>
  </sheetData>
  <mergeCells count="10">
    <mergeCell ref="A1:I1"/>
    <mergeCell ref="A4:I4"/>
    <mergeCell ref="A3:I3"/>
    <mergeCell ref="A21:I21"/>
    <mergeCell ref="A2:I2"/>
    <mergeCell ref="A19:I19"/>
    <mergeCell ref="A5:I5"/>
    <mergeCell ref="A23:I23"/>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3"/>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55</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«C1086-Q9575»</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9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(0.860 ha) coincide con la de catálogo (0.86 ha) dentro del ±2 % (-0.06 %)</t>
        </is>
      </c>
      <c r="D12" s="35" t="inlineStr">
        <is>
          <t>CONFORME</t>
        </is>
      </c>
      <c r="E12" s="34" t="inlineStr">
        <is>
          <t>Sin acción: la segmentación valida la geometría del bloque.</t>
        </is>
      </c>
    </row>
    <row r="13" ht="48" customHeight="1">
      <c r="A13" s="36" t="inlineStr">
        <is>
          <t>D-04</t>
        </is>
      </c>
      <c r="B13" s="36" t="inlineStr">
        <is>
          <t>Cobertura vegetal total</t>
        </is>
      </c>
      <c r="C13" s="36" t="inlineStr">
        <is>
          <t>La ficha DT estima 80 % de cobertura vegetal en campo; el NDVI mediana 2025 clasifica 100.00 % del polígono en clases de vegetación</t>
        </is>
      </c>
      <c r="D13" s="12" t="inlineStr">
        <is>
          <t>NO SUSTANTIVA</t>
        </is>
      </c>
      <c r="E13" s="36" t="inlineStr">
        <is>
          <t>Se declaran ambos valores. La observación de campo corresponde a una parcela o recorrido puntual y no es representativa de la totalidad del bloque; el índice espectral no discrimina composición ni integridad ecosistémica.</t>
        </is>
      </c>
    </row>
    <row r="14" ht="48" customHeight="1">
      <c r="A14" s="34" t="inlineStr">
        <is>
          <t>D-05</t>
        </is>
      </c>
      <c r="B14" s="34" t="inlineStr">
        <is>
          <t>Elenco florístico</t>
        </is>
      </c>
      <c r="C14" s="34" t="inlineStr">
        <is>
          <t>La ficha registra 14 taxones, por debajo del mínimo de 15 que exige el formato V5</t>
        </is>
      </c>
      <c r="D14" s="37" t="inlineStr">
        <is>
          <t>SUSTANTIVA</t>
        </is>
      </c>
      <c r="E14" s="34" t="inlineStr">
        <is>
          <t>Registro florístico preliminar, sin colecta ni determinación botánica formal. Debe cerrarse con colecta botánica en la siguiente campaña.</t>
        </is>
      </c>
    </row>
    <row r="15" ht="48" customHeight="1">
      <c r="A15" s="36" t="inlineStr">
        <is>
          <t>D-06</t>
        </is>
      </c>
      <c r="B15" s="36" t="inlineStr">
        <is>
          <t>Centro poblado asociado</t>
        </is>
      </c>
      <c r="C15" s="36" t="inlineStr">
        <is>
          <t>La ficha DT declara «Huacas»; el cruce INEI-Bloques V5 identifica 1 centro(s) poblado(s) en el bloque: LAS HUACAS</t>
        </is>
      </c>
      <c r="D15" s="12" t="inlineStr">
        <is>
          <t>NO SUSTANTIVA</t>
        </is>
      </c>
      <c r="E15" s="36" t="inlineStr">
        <is>
          <t>Se conserva el registro de campo como referencia y se adopta el listado INEI para el diagnóstico social y el cálculo de población beneficiaria.</t>
        </is>
      </c>
    </row>
    <row r="16" ht="48" customHeight="1">
      <c r="A16" s="34" t="inlineStr">
        <is>
          <t>D-07</t>
        </is>
      </c>
      <c r="B16" s="34" t="inlineStr">
        <is>
          <t>Peligro integrado (MCA-AHP)</t>
        </is>
      </c>
      <c r="C16" s="34" t="inlineStr">
        <is>
          <t>El nivel de peligro integrado no está disponible en los insumos de este entregable</t>
        </is>
      </c>
      <c r="D16" s="37" t="inlineStr">
        <is>
          <t>SUSTANTIVA</t>
        </is>
      </c>
      <c r="E16" s="34" t="inlineStr">
        <is>
          <t>Debe tomarse del modelamiento de mesolocalización (PMM + EPH + PGI ponderados por AHP) antes de fijar la prioridad definitiva de intervención del bloque.</t>
        </is>
      </c>
    </row>
    <row r="17" ht="48" customHeight="1">
      <c r="A17" s="34" t="inlineStr">
        <is>
          <t>D-08</t>
        </is>
      </c>
      <c r="B17" s="34" t="inlineStr">
        <is>
          <t>Distribución areal MSAVI 2024</t>
        </is>
      </c>
      <c r="C17" s="34" t="inlineStr">
        <is>
          <t>La distribución por clase de MSAVI no figuraba en los insumos del entregable y se consignaba «Por determinar»; se incorpora la estadística zonal del ráster MSAVI clasificado (11 polígonos, 0.859 ha)</t>
        </is>
      </c>
      <c r="D17" s="37" t="inlineStr">
        <is>
          <t>CORREGIDO</t>
        </is>
      </c>
      <c r="E17" s="34"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18" ht="48" customHeight="1">
      <c r="A18" s="34" t="inlineStr">
        <is>
          <t>D-09</t>
        </is>
      </c>
      <c r="B18" s="34" t="inlineStr">
        <is>
          <t>Superficie MSAVI vs. catálogo</t>
        </is>
      </c>
      <c r="C18" s="34" t="inlineStr">
        <is>
          <t>La superficie total clasificada por el MSAVI 2024 (0.859 ha) frente a la de catálogo V5/V6 (0.860 ha): desviación de -0.09 %</t>
        </is>
      </c>
      <c r="D18" s="37" t="inlineStr">
        <is>
          <t>CONFORME</t>
        </is>
      </c>
      <c r="E18" s="34" t="inlineStr">
        <is>
          <t>Sin acción: la segmentación del ráster valida la geometría del bloque dentro del ±2 %.</t>
        </is>
      </c>
    </row>
    <row r="19" ht="48" customHeight="1">
      <c r="A19" s="34" t="inlineStr">
        <is>
          <t>D-10</t>
        </is>
      </c>
      <c r="B19" s="34" t="inlineStr">
        <is>
          <t>Media MSAVI vs. clase DN dominante</t>
        </is>
      </c>
      <c r="C19" s="34" t="inlineStr">
        <is>
          <t>La media del bloque (0.6300) cae en la clase «DN 5 · &gt; 0.6139 (Vigor alto)»; la clase de mayor superficie es «DN 5 · &gt; 0.6139 (Vigor alto)», con 55.53 % del bloque. Superficie bajo el umbral 0.4976: 0.015 ha (1.76 %)</t>
        </is>
      </c>
      <c r="D19" s="37" t="inlineStr">
        <is>
          <t>CONFORME</t>
        </is>
      </c>
      <c r="E19" s="34" t="inlineStr">
        <is>
          <t>Sin acción: la media del bloque y la clase de mayor superficie coinciden.</t>
        </is>
      </c>
    </row>
    <row r="20"/>
    <row r="21">
      <c r="A21" s="16" t="inlineStr">
        <is>
          <t>RESUMEN</t>
        </is>
      </c>
      <c r="B21" s="17" t="inlineStr">
        <is>
          <t>10 verificaciones</t>
        </is>
      </c>
      <c r="C21" s="17" t="inlineStr">
        <is>
          <t>CONFORME: 5 · CORREGIDO: 1 · NO SUSTANTIVA: 2 · SUSTANTIVA: 2</t>
        </is>
      </c>
      <c r="D21" s="17" t="inlineStr"/>
      <c r="E21" s="17" t="inlineStr"/>
    </row>
    <row r="22"/>
    <row r="23" ht="60" customHeight="1">
      <c r="A23"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3" s="41" t="n"/>
      <c r="C23" s="41" t="n"/>
      <c r="D23" s="41" t="n"/>
      <c r="E23" s="42" t="n"/>
    </row>
  </sheetData>
  <mergeCells count="8">
    <mergeCell ref="A4:E4"/>
    <mergeCell ref="A2:E2"/>
    <mergeCell ref="A5:E5"/>
    <mergeCell ref="A1:E1"/>
    <mergeCell ref="A23:E23"/>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55 — IN Piura</dc:title>
  <dc:subject>Diagnóstico Territorial por bloque de intervención</dc:subject>
  <dcterms:created xsi:type="dcterms:W3CDTF">2026-09-08T03:39:54Z</dcterms:created>
  <dcterms:modified xsi:type="dcterms:W3CDTF">2026-09-10T00:28:28Z</dcterms:modified>
</cp:coreProperties>
</file>