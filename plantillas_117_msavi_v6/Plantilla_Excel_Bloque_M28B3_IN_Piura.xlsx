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7">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s>
  <cellStyleXfs count="1">
    <xf numFmtId="0" fontId="0" fillId="0" borderId="0"/>
  </cellStyleXfs>
  <cellXfs count="49">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M28B3</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M28B3</t>
        </is>
      </c>
      <c r="C9" s="6" t="inlineStr">
        <is>
          <t>Microcuenca (catálogo)</t>
        </is>
      </c>
      <c r="D9" s="7" t="inlineStr">
        <is>
          <t>C1086-Q9575</t>
        </is>
      </c>
      <c r="E9" s="8" t="n"/>
      <c r="F9" s="8" t="n"/>
    </row>
    <row r="10">
      <c r="A10" s="6" t="inlineStr">
        <is>
          <t>Zona de planificación</t>
        </is>
      </c>
      <c r="B10" s="7" t="inlineStr">
        <is>
          <t>Z09</t>
        </is>
      </c>
      <c r="C10" s="6" t="inlineStr">
        <is>
          <t>Microcuenca declarada en ficha DT</t>
        </is>
      </c>
      <c r="D10" s="7" t="inlineStr">
        <is>
          <t>C1086-Q9575</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Yamango</t>
        </is>
      </c>
      <c r="C12" s="6" t="inlineStr">
        <is>
          <t>Capital distrital</t>
        </is>
      </c>
      <c r="D12" s="7" t="inlineStr">
        <is>
          <t>Yamango</t>
        </is>
      </c>
      <c r="E12" s="8" t="n"/>
      <c r="F12" s="8" t="n"/>
    </row>
    <row r="13">
      <c r="A13" s="6" t="inlineStr">
        <is>
          <t>Centro poblado asociado</t>
        </is>
      </c>
      <c r="B13" s="7" t="inlineStr">
        <is>
          <t>Ricardo Palma</t>
        </is>
      </c>
      <c r="C13" s="6" t="inlineStr">
        <is>
          <t>Comunidad campesina</t>
        </is>
      </c>
      <c r="D13" s="7" t="inlineStr">
        <is>
          <t>No consignada</t>
        </is>
      </c>
      <c r="E13" s="8" t="n"/>
      <c r="F13" s="8" t="n"/>
    </row>
    <row r="14">
      <c r="A14" s="6" t="inlineStr">
        <is>
          <t>Superficie de catálogo (V5/V6), ha</t>
        </is>
      </c>
      <c r="B14" s="7" t="n">
        <v>58.29</v>
      </c>
      <c r="C14" s="6" t="inlineStr">
        <is>
          <t>Fuente de superficie</t>
        </is>
      </c>
      <c r="D14" s="7" t="inlineStr">
        <is>
          <t>Catálogo maestro Bloques V5/V6</t>
        </is>
      </c>
      <c r="E14" s="8" t="n"/>
      <c r="F14" s="8" t="n"/>
    </row>
    <row r="15">
      <c r="A15" s="6" t="inlineStr">
        <is>
          <t>Centroide UTM ESTE (m)</t>
        </is>
      </c>
      <c r="B15" s="7" t="n">
        <v>634061</v>
      </c>
      <c r="C15" s="6" t="inlineStr">
        <is>
          <t>Centroide UTM NORTE (m)</t>
        </is>
      </c>
      <c r="D15" s="7" t="n">
        <v>9426778</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73</v>
      </c>
      <c r="C19" s="6" t="inlineStr">
        <is>
          <t>Altitud máxima (msnm)</t>
        </is>
      </c>
      <c r="D19" s="7" t="n">
        <v>777</v>
      </c>
      <c r="E19" s="8" t="n"/>
      <c r="F19" s="8" t="n"/>
    </row>
    <row r="20">
      <c r="A20" s="6" t="inlineStr">
        <is>
          <t>Amplitud altitudinal (m)</t>
        </is>
      </c>
      <c r="B20" s="7" t="n">
        <v>704</v>
      </c>
      <c r="C20" s="6" t="inlineStr">
        <is>
          <t>Piso altitudinal dominante</t>
        </is>
      </c>
      <c r="D20" s="7" t="inlineStr">
        <is>
          <t>&lt;1000 m (Yunga)</t>
        </is>
      </c>
      <c r="E20" s="8" t="n"/>
      <c r="F20" s="8" t="n"/>
    </row>
    <row r="21">
      <c r="A21" s="6" t="inlineStr">
        <is>
          <t>Pendiente promedio (%)</t>
        </is>
      </c>
      <c r="B21" s="7" t="n">
        <v>22.13</v>
      </c>
      <c r="C21" s="6" t="inlineStr">
        <is>
          <t>Pendiente promedio (grados)</t>
        </is>
      </c>
      <c r="D21" s="7" t="n">
        <v>12.5</v>
      </c>
      <c r="E21" s="8" t="n"/>
      <c r="F21" s="8" t="n"/>
    </row>
    <row r="22">
      <c r="A22" s="6" t="inlineStr">
        <is>
          <t>Clase de pendiente equivalente</t>
        </is>
      </c>
      <c r="B22" s="7" t="inlineStr">
        <is>
          <t>15-25% (Fuert. inclinado)</t>
        </is>
      </c>
      <c r="C22" s="6" t="inlineStr">
        <is>
          <t>Rango de pendiente declarado en campo</t>
        </is>
      </c>
      <c r="D22" s="7" t="inlineStr">
        <is>
          <t>25-50% (Mod. escarpado)</t>
        </is>
      </c>
      <c r="E22" s="8" t="n"/>
      <c r="F22" s="8" t="n"/>
    </row>
    <row r="23">
      <c r="A23" s="6" t="inlineStr">
        <is>
          <t>Forma predominante del terreno</t>
        </is>
      </c>
      <c r="B23" s="7" t="inlineStr">
        <is>
          <t>Colinoso</t>
        </is>
      </c>
      <c r="C23" s="6" t="inlineStr">
        <is>
          <t>Posición fisiográfica</t>
        </is>
      </c>
      <c r="D23" s="7" t="inlineStr">
        <is>
          <t>Ladera baja</t>
        </is>
      </c>
      <c r="E23" s="8" t="n"/>
      <c r="F23" s="8" t="n"/>
    </row>
    <row r="24">
      <c r="A24" s="6" t="inlineStr">
        <is>
          <t>Exposición / orientación</t>
        </is>
      </c>
      <c r="B24" s="7" t="inlineStr">
        <is>
          <t>Oeste</t>
        </is>
      </c>
      <c r="C24" s="6" t="inlineStr">
        <is>
          <t>Afloramientos rocosos</t>
        </is>
      </c>
      <c r="D24" s="7" t="inlineStr">
        <is>
          <t>No</t>
        </is>
      </c>
      <c r="E24" s="8" t="n"/>
      <c r="F24" s="8" t="n"/>
    </row>
    <row r="25">
      <c r="A25" s="6" t="inlineStr">
        <is>
          <t>Escarpes activos</t>
        </is>
      </c>
      <c r="B25" s="7" t="inlineStr">
        <is>
          <t>No</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0.5075</v>
      </c>
      <c r="C28" s="6" t="inlineStr">
        <is>
          <t>MSAVI 2024 — clase de la media</t>
        </is>
      </c>
      <c r="D28" s="7" t="inlineStr">
        <is>
          <t>0.4976 - 0.6139 (Vigor moderado)</t>
        </is>
      </c>
      <c r="E28" s="8" t="n"/>
      <c r="F28" s="8" t="n"/>
    </row>
    <row r="29">
      <c r="A29" s="6" t="inlineStr">
        <is>
          <t>Condición frente al umbral 0.4976</t>
        </is>
      </c>
      <c r="B29" s="7" t="inlineStr">
        <is>
          <t>Sobre umbral</t>
        </is>
      </c>
      <c r="C29" s="6" t="inlineStr">
        <is>
          <t>NDVI mediana 2025 — clase modal</t>
        </is>
      </c>
      <c r="D29" s="7" t="inlineStr">
        <is>
          <t>Vegetación mediana (48.80 %)</t>
        </is>
      </c>
      <c r="E29" s="8" t="n"/>
      <c r="F29" s="8" t="n"/>
    </row>
    <row r="30">
      <c r="A30" s="6" t="inlineStr">
        <is>
          <t>Superficie clasificada NDVI 2025 (ha)</t>
        </is>
      </c>
      <c r="B30" s="7" t="n">
        <v>58.312</v>
      </c>
      <c r="C30" s="6" t="inlineStr">
        <is>
          <t>Desviación frente al catálogo (%)</t>
        </is>
      </c>
      <c r="D30" s="7" t="n">
        <v>0.04</v>
      </c>
      <c r="E30" s="8" t="n"/>
      <c r="F30" s="8" t="n"/>
    </row>
    <row r="31">
      <c r="A31" s="6" t="inlineStr">
        <is>
          <t>Superficie clasificada MSAVI 2024 (ha)</t>
        </is>
      </c>
      <c r="B31" s="37" t="n">
        <v>58.292</v>
      </c>
      <c r="C31" s="6" t="inlineStr">
        <is>
          <t>Desviación MSAVI frente al catálogo (%)</t>
        </is>
      </c>
      <c r="D31" s="38" t="n">
        <v>0</v>
      </c>
      <c r="E31" s="8" t="n"/>
      <c r="F31" s="8" t="n"/>
    </row>
    <row r="32">
      <c r="A32" s="6" t="inlineStr">
        <is>
          <t>Superficie bajo umbral MSAVI 0.4976 (ha)</t>
        </is>
      </c>
      <c r="B32" s="37" t="n">
        <v>28.952</v>
      </c>
      <c r="C32" s="6" t="inlineStr">
        <is>
          <t>% del bloque bajo umbral (brecha espectral)</t>
        </is>
      </c>
      <c r="D32" s="38" t="n">
        <v>49.67</v>
      </c>
      <c r="E32" s="8" t="n"/>
      <c r="F32" s="8" t="n"/>
    </row>
    <row r="33">
      <c r="A33" s="6" t="inlineStr">
        <is>
          <t>Clase DN dominante (MSAVI 2024)</t>
        </is>
      </c>
      <c r="B33" s="7" t="inlineStr">
        <is>
          <t>DN 3 · 0.3813 - 0.4976 (Vigor bajo)</t>
        </is>
      </c>
      <c r="C33" s="6" t="inlineStr">
        <is>
          <t>N.° de polígonos MSAVI del bloque</t>
        </is>
      </c>
      <c r="D33" s="39" t="n">
        <v>234</v>
      </c>
      <c r="E33" s="8" t="n"/>
      <c r="F33" s="8" t="n"/>
    </row>
    <row r="34"/>
    <row r="35" ht="18" customHeight="1">
      <c r="A35" s="5" t="inlineStr">
        <is>
          <t>4. ECOSISTEMA Y ESTADO DE CONSERVACIÓN</t>
        </is>
      </c>
    </row>
    <row r="36">
      <c r="A36" s="6" t="inlineStr">
        <is>
          <t>Tipo de ecosistema (UP)</t>
        </is>
      </c>
      <c r="B36" s="7" t="inlineStr">
        <is>
          <t>Bosque Estacionalmente Seco de Colina y Montaña (Bes-cm)</t>
        </is>
      </c>
      <c r="C36" s="6" t="inlineStr">
        <is>
          <t>Superficie de ecosistema (ha)</t>
        </is>
      </c>
      <c r="D36" s="7" t="inlineStr">
        <is>
          <t>58.29 ha (100% del bloque)</t>
        </is>
      </c>
      <c r="E36" s="8" t="n"/>
      <c r="F36" s="8" t="n"/>
    </row>
    <row r="37">
      <c r="A37" s="6" t="inlineStr">
        <is>
          <t>Estado de conservación</t>
        </is>
      </c>
      <c r="B37" s="7" t="inlineStr">
        <is>
          <t>Medianamente alterado</t>
        </is>
      </c>
      <c r="C37" s="6" t="inlineStr">
        <is>
          <t>Uso actual dominante del suelo</t>
        </is>
      </c>
      <c r="D37" s="7" t="inlineStr">
        <is>
          <t>Agricultura en secano</t>
        </is>
      </c>
      <c r="E37" s="8" t="n"/>
      <c r="F37" s="8" t="n"/>
    </row>
    <row r="38">
      <c r="A38" s="6" t="inlineStr">
        <is>
          <t>Tipo de cobertura dominante</t>
        </is>
      </c>
      <c r="B38" s="7" t="inlineStr">
        <is>
          <t>Bosque ralo (30-70%)</t>
        </is>
      </c>
      <c r="C38" s="6" t="inlineStr">
        <is>
          <t>Cobertura vegetal total — campo (%)</t>
        </is>
      </c>
      <c r="D38" s="7" t="inlineStr">
        <is>
          <t>Sin registro en ficha</t>
        </is>
      </c>
      <c r="E38" s="8" t="n"/>
      <c r="F38" s="8" t="n"/>
    </row>
    <row r="39">
      <c r="A39" s="6" t="inlineStr">
        <is>
          <t>Suelo desnudo — campo (%)</t>
        </is>
      </c>
      <c r="B39" s="7" t="n">
        <v>20</v>
      </c>
      <c r="C39" s="6" t="inlineStr">
        <is>
          <t>Regeneración natural</t>
        </is>
      </c>
      <c r="D39" s="7" t="inlineStr">
        <is>
          <t>Escasa (&lt;10 pl./100m²)</t>
        </is>
      </c>
      <c r="E39" s="8" t="n"/>
      <c r="F39" s="8" t="n"/>
    </row>
    <row r="40">
      <c r="A40" s="6" t="inlineStr">
        <is>
          <t>Nivel general de erosión</t>
        </is>
      </c>
      <c r="B40" s="7" t="inlineStr">
        <is>
          <t>Ligera (laminar)</t>
        </is>
      </c>
      <c r="C40" s="6" t="inlineStr">
        <is>
          <t>N.° de cárcavas registradas</t>
        </is>
      </c>
      <c r="D40" s="7" t="n">
        <v>0</v>
      </c>
      <c r="E40" s="8" t="n"/>
      <c r="F40" s="8" t="n"/>
    </row>
    <row r="41">
      <c r="A41" s="6" t="inlineStr">
        <is>
          <t>Elenco florístico (n.° de taxones)</t>
        </is>
      </c>
      <c r="B41" s="7" t="n">
        <v>4</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Juan Domínguez y Pedro Talledo</t>
        </is>
      </c>
      <c r="C44" s="6" t="inlineStr">
        <is>
          <t>Fecha de evaluación</t>
        </is>
      </c>
      <c r="D44" s="7" t="inlineStr">
        <is>
          <t>2026-05-25</t>
        </is>
      </c>
      <c r="E44" s="8" t="n"/>
      <c r="F44" s="8" t="n"/>
    </row>
    <row r="45">
      <c r="A45" s="6" t="inlineStr">
        <is>
          <t>Hora de registro</t>
        </is>
      </c>
      <c r="B45" s="7" t="inlineStr">
        <is>
          <t>16:45 - 17:30 h</t>
        </is>
      </c>
      <c r="C45" s="6" t="inlineStr">
        <is>
          <t>Correlativo de ficha</t>
        </is>
      </c>
      <c r="D45" s="7" t="inlineStr">
        <is>
          <t>Por determinar</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Sin registro en ficha</t>
        </is>
      </c>
      <c r="E47" s="8" t="n"/>
      <c r="F47" s="8" t="n"/>
    </row>
    <row r="48">
      <c r="A48" s="6" t="inlineStr">
        <is>
          <t>Estaciones fotográficas georreferenciadas</t>
        </is>
      </c>
      <c r="B48" s="7" t="n">
        <v>0</v>
      </c>
      <c r="C48" s="6" t="inlineStr">
        <is>
          <t>Modalidad de acceso</t>
        </is>
      </c>
      <c r="D48" s="7" t="inlineStr">
        <is>
          <t>Vehicular + caminata &lt;30 min</t>
        </is>
      </c>
      <c r="E48" s="8" t="n"/>
      <c r="F48" s="8" t="n"/>
    </row>
    <row r="49"/>
    <row r="50" ht="18" customHeight="1">
      <c r="A50" s="5" t="inlineStr">
        <is>
          <t>6. SÍNTESIS PARA LA GESTIÓN DEL RIESGO EN CONTEXTO DE CAMBIO CLIMÁTICO</t>
        </is>
      </c>
    </row>
    <row r="51">
      <c r="A51" s="6" t="inlineStr">
        <is>
          <t>Causa subyacente principal</t>
        </is>
      </c>
      <c r="B51" s="7" t="inlineStr">
        <is>
          <t>Pastoreo de ganado caprino</t>
        </is>
      </c>
      <c r="C51" s="6" t="inlineStr">
        <is>
          <t>Velocidad de degradación</t>
        </is>
      </c>
      <c r="D51" s="7" t="inlineStr">
        <is>
          <t>Moderada</t>
        </is>
      </c>
      <c r="E51" s="8" t="n"/>
      <c r="F51" s="8" t="n"/>
    </row>
    <row r="52">
      <c r="A52" s="6" t="inlineStr">
        <is>
          <t>Reversibilidad técnica</t>
        </is>
      </c>
      <c r="B52" s="7" t="inlineStr">
        <is>
          <t>Parcialmente reversible</t>
        </is>
      </c>
      <c r="C52" s="6" t="inlineStr">
        <is>
          <t>Urgencia de intervención</t>
        </is>
      </c>
      <c r="D52" s="7" t="inlineStr">
        <is>
          <t>Media</t>
        </is>
      </c>
      <c r="E52" s="8" t="n"/>
      <c r="F52" s="8" t="n"/>
    </row>
    <row r="53">
      <c r="A53" s="6" t="inlineStr">
        <is>
          <t>Urgencia de control de erosión</t>
        </is>
      </c>
      <c r="B53" s="7" t="inlineStr">
        <is>
          <t>Media</t>
        </is>
      </c>
      <c r="C53" s="6" t="inlineStr">
        <is>
          <t>Zona de recarga hídrica</t>
        </is>
      </c>
      <c r="D53" s="7" t="inlineStr">
        <is>
          <t>No</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0" t="n"/>
      <c r="C57" s="40" t="n"/>
      <c r="D57" s="40" t="n"/>
      <c r="E57" s="40" t="n"/>
      <c r="F57" s="41" t="n"/>
    </row>
  </sheetData>
  <mergeCells count="13">
    <mergeCell ref="A2:F2"/>
    <mergeCell ref="A3:F3"/>
    <mergeCell ref="A1:F1"/>
    <mergeCell ref="A5:F5"/>
    <mergeCell ref="A27:F27"/>
    <mergeCell ref="A8:F8"/>
    <mergeCell ref="A6:F6"/>
    <mergeCell ref="A50:F50"/>
    <mergeCell ref="A35:F35"/>
    <mergeCell ref="A18:F18"/>
    <mergeCell ref="A4:F4"/>
    <mergeCell ref="A43:F43"/>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2"/>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M28B3</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8.965299999999999</v>
      </c>
      <c r="C10" s="19">
        <f>ROUND(B10/$B$15*100,2)</f>
        <v/>
      </c>
      <c r="D10" s="11" t="inlineStr">
        <is>
          <t>Vigor alto</t>
        </is>
      </c>
      <c r="E10" s="11" t="inlineStr">
        <is>
          <t>Sobre umbral</t>
        </is>
      </c>
    </row>
    <row r="11">
      <c r="A11" s="12" t="inlineStr">
        <is>
          <t>0.4976 - 0.6139 · DN 4</t>
        </is>
      </c>
      <c r="B11" s="31" t="n">
        <v>20.3742</v>
      </c>
      <c r="C11" s="30">
        <f>ROUND(B11/$B$15*100,2)</f>
        <v/>
      </c>
      <c r="D11" s="13" t="inlineStr">
        <is>
          <t>Vigor moderado</t>
        </is>
      </c>
      <c r="E11" s="13" t="inlineStr">
        <is>
          <t>Sobre umbral</t>
        </is>
      </c>
    </row>
    <row r="12">
      <c r="A12" s="7" t="inlineStr">
        <is>
          <t>0.3813 - 0.4976 · DN 3</t>
        </is>
      </c>
      <c r="B12" s="18" t="n">
        <v>22.8277</v>
      </c>
      <c r="C12" s="19">
        <f>ROUND(B12/$B$15*100,2)</f>
        <v/>
      </c>
      <c r="D12" s="11" t="inlineStr">
        <is>
          <t>Vigor bajo</t>
        </is>
      </c>
      <c r="E12" s="11" t="inlineStr">
        <is>
          <t>BAJO umbral 0.4976</t>
        </is>
      </c>
    </row>
    <row r="13">
      <c r="A13" s="14" t="inlineStr">
        <is>
          <t>0.2650 - 0.3813 · DN 2</t>
        </is>
      </c>
      <c r="B13" s="20" t="n">
        <v>6.0368</v>
      </c>
      <c r="C13" s="21">
        <f>ROUND(B13/$B$15*100,2)</f>
        <v/>
      </c>
      <c r="D13" s="15" t="inlineStr">
        <is>
          <t>Vigor muy bajo</t>
        </is>
      </c>
      <c r="E13" s="15" t="inlineStr">
        <is>
          <t>BAJO umbral 0.4976</t>
        </is>
      </c>
    </row>
    <row r="14">
      <c r="A14" s="7" t="inlineStr">
        <is>
          <t>&lt;= 0.2650 · DN 1</t>
        </is>
      </c>
      <c r="B14" s="18" t="n">
        <v>0.08790000000000001</v>
      </c>
      <c r="C14" s="19">
        <f>ROUND(B14/$B$15*100,2)</f>
        <v/>
      </c>
      <c r="D14" s="11" t="inlineStr">
        <is>
          <t>Suelo desnudo / no vegetal</t>
        </is>
      </c>
      <c r="E14" s="11" t="inlineStr">
        <is>
          <t>BAJO umbral 0.4976</t>
        </is>
      </c>
    </row>
    <row r="15" ht="30" customHeight="1">
      <c r="A15" s="42" t="inlineStr">
        <is>
          <t>TOTAL CLASIFICADO MSAVI 2024</t>
        </is>
      </c>
      <c r="B15" s="43">
        <f>SUM(B10:B14)</f>
        <v/>
      </c>
      <c r="C15" s="44">
        <f>SUM(C10:C14)</f>
        <v/>
      </c>
      <c r="D15" s="42" t="inlineStr">
        <is>
          <t>Suma de la distribución areal · 234 polígonos</t>
        </is>
      </c>
      <c r="E15" s="42" t="inlineStr">
        <is>
          <t>—</t>
        </is>
      </c>
    </row>
    <row r="16" ht="30" customHeight="1">
      <c r="A16" s="45" t="inlineStr">
        <is>
          <t>Superficie SOBRE umbral 0.4976 (ha)</t>
        </is>
      </c>
      <c r="B16" s="46">
        <f>SUM(B10:B11)</f>
        <v/>
      </c>
      <c r="C16" s="47">
        <f>ROUND(B16/B15*100,2)</f>
        <v/>
      </c>
      <c r="D16" s="45" t="inlineStr">
        <is>
          <t>Vigor alto y moderado (DN 4 y DN 5)</t>
        </is>
      </c>
      <c r="E16" s="45" t="inlineStr">
        <is>
          <t>Sobre umbral 0.4976</t>
        </is>
      </c>
    </row>
    <row r="17" ht="30" customHeight="1">
      <c r="A17" s="45" t="inlineStr">
        <is>
          <t>Superficie BAJO umbral 0.4976 (ha) — brecha</t>
        </is>
      </c>
      <c r="B17" s="46">
        <f>SUM(B12:B14)</f>
        <v/>
      </c>
      <c r="C17" s="47">
        <f>ROUND(B17/B15*100,2)</f>
        <v/>
      </c>
      <c r="D17" s="45" t="inlineStr">
        <is>
          <t>Vigor bajo, muy bajo y suelo desnudo (DN 1 a DN 3)</t>
        </is>
      </c>
      <c r="E17" s="45" t="inlineStr">
        <is>
          <t>Base para el indicador de brecha (R.M. N.° 00213-2024-MINAM)</t>
        </is>
      </c>
    </row>
    <row r="18" ht="30" customHeight="1">
      <c r="A18" s="45" t="inlineStr">
        <is>
          <t>Superficie de catálogo (V5/V6) — contraste MSAVI</t>
        </is>
      </c>
      <c r="B18" s="46" t="n">
        <v>58.29</v>
      </c>
      <c r="C18" s="48" t="inlineStr">
        <is>
          <t>—</t>
        </is>
      </c>
      <c r="D18" s="45" t="inlineStr">
        <is>
          <t>Desviación planimétrica frente al catálogo</t>
        </is>
      </c>
      <c r="E18" s="45" t="inlineStr">
        <is>
          <t>+0.00 %</t>
        </is>
      </c>
    </row>
    <row r="19">
      <c r="A19" s="16" t="inlineStr">
        <is>
          <t>MSAVI 2024 — MEDIA DEL BLOQUE</t>
        </is>
      </c>
      <c r="B19" s="17" t="n">
        <v>0.507529</v>
      </c>
      <c r="C19" s="17" t="inlineStr">
        <is>
          <t>—</t>
        </is>
      </c>
      <c r="D19" s="17" t="inlineStr">
        <is>
          <t>Vigor moderado · clase 0.4976 - 0.6139</t>
        </is>
      </c>
      <c r="E19" s="17" t="inlineStr">
        <is>
          <t>Sobre umbral</t>
        </is>
      </c>
    </row>
    <row r="20"/>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234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(0.5075) se conserva del catálogo maestro y es dato oficial; la fila resaltada indica la clase en la que cae dicha media. Los totales y porcentajes se calculan con fórmulas sobre las filas del cuadro.</t>
        </is>
      </c>
      <c r="B21" s="40" t="n"/>
      <c r="C21" s="40" t="n"/>
      <c r="D21" s="40" t="n"/>
      <c r="E21" s="41" t="n"/>
    </row>
    <row r="22"/>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26.3986</v>
      </c>
      <c r="C25" s="19" t="n">
        <v>45.27</v>
      </c>
      <c r="D25" s="11" t="inlineStr">
        <is>
          <t>Dosel continuo, matorral denso o mosaico agroforestal</t>
        </is>
      </c>
      <c r="E25" s="11" t="inlineStr"/>
    </row>
    <row r="26">
      <c r="A26" s="14" t="inlineStr">
        <is>
          <t>Vegetación mediana</t>
        </is>
      </c>
      <c r="B26" s="20" t="n">
        <v>28.4587</v>
      </c>
      <c r="C26" s="21" t="n">
        <v>48.8</v>
      </c>
      <c r="D26" s="15" t="inlineStr">
        <is>
          <t>Pastizal cultivado, matorral ralo, parcelas agrícolas</t>
        </is>
      </c>
      <c r="E26" s="15" t="inlineStr"/>
    </row>
    <row r="27">
      <c r="A27" s="7" t="inlineStr">
        <is>
          <t>Vegetación ligera</t>
        </is>
      </c>
      <c r="B27" s="18" t="n">
        <v>3.2264</v>
      </c>
      <c r="C27" s="19" t="n">
        <v>5.53</v>
      </c>
      <c r="D27" s="11" t="inlineStr">
        <is>
          <t>Cobertura discontinua, suelo parcialmente expuesto</t>
        </is>
      </c>
      <c r="E27" s="11" t="inlineStr"/>
    </row>
    <row r="28">
      <c r="A28" s="14" t="inlineStr">
        <is>
          <t>Tierra desnuda</t>
        </is>
      </c>
      <c r="B28" s="20" t="n">
        <v>0.2288</v>
      </c>
      <c r="C28" s="21" t="n">
        <v>0.39</v>
      </c>
      <c r="D28" s="15" t="inlineStr">
        <is>
          <t>Suelo desnudo, afloramientos, plataformas y taludes</t>
        </is>
      </c>
      <c r="E28" s="15" t="inlineStr"/>
    </row>
    <row r="29">
      <c r="A29" s="16" t="inlineStr">
        <is>
          <t>TOTAL CLASIFICADO</t>
        </is>
      </c>
      <c r="B29" s="22">
        <f>SUM(B25:B28)</f>
        <v/>
      </c>
      <c r="C29" s="23">
        <f>SUM(C25:C28)</f>
        <v/>
      </c>
      <c r="D29" s="17" t="inlineStr"/>
      <c r="E29" s="17" t="inlineStr"/>
    </row>
    <row r="30">
      <c r="A30" s="24" t="inlineStr">
        <is>
          <t>Superficie de catálogo (V5/V6)</t>
        </is>
      </c>
      <c r="B30" s="25" t="n">
        <v>58.29</v>
      </c>
      <c r="C30" s="25" t="inlineStr">
        <is>
          <t>—</t>
        </is>
      </c>
      <c r="D30" s="25" t="inlineStr">
        <is>
          <t>Desviación planimétrica frente al catálogo</t>
        </is>
      </c>
      <c r="E30" s="25" t="inlineStr">
        <is>
          <t>+0.04 %</t>
        </is>
      </c>
    </row>
    <row r="31"/>
    <row r="32" ht="72" customHeight="1">
      <c r="A32"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t>
        </is>
      </c>
      <c r="B32" s="40" t="n"/>
      <c r="C32" s="40" t="n"/>
      <c r="D32" s="40" t="n"/>
      <c r="E32" s="41" t="n"/>
    </row>
  </sheetData>
  <mergeCells count="10">
    <mergeCell ref="A21:E21"/>
    <mergeCell ref="A4:E4"/>
    <mergeCell ref="A2:E2"/>
    <mergeCell ref="A1:E1"/>
    <mergeCell ref="A23:E23"/>
    <mergeCell ref="A32:E32"/>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6"/>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M28B3</t>
        </is>
      </c>
    </row>
    <row r="6" ht="24" customHeight="1">
      <c r="A6" s="4" t="inlineStr">
        <is>
          <t>Levantamiento del 2026-05-25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645575</v>
      </c>
      <c r="D10" s="26" t="n">
        <v>9426864</v>
      </c>
      <c r="E10" s="11" t="n">
        <v>11514.3</v>
      </c>
      <c r="F10" s="11" t="inlineStr"/>
      <c r="G10" s="11" t="inlineStr">
        <is>
          <t>Coordenada consignada en F-DT-01</t>
        </is>
      </c>
    </row>
    <row r="11">
      <c r="A11" s="16" t="inlineStr">
        <is>
          <t>TOTAL: 1 puntos</t>
        </is>
      </c>
      <c r="B11" s="17" t="inlineStr"/>
      <c r="C11" s="17" t="inlineStr"/>
      <c r="D11" s="17" t="inlineStr"/>
      <c r="E11" s="17" t="inlineStr"/>
      <c r="F11" s="17" t="inlineStr"/>
      <c r="G11" s="17" t="inlineStr"/>
    </row>
    <row r="13">
      <c r="A13" s="6" t="inlineStr">
        <is>
          <t>Centroide del bloque — UTM ESTE (m)</t>
        </is>
      </c>
      <c r="B13" s="7" t="n">
        <v>634061</v>
      </c>
      <c r="C13" s="6" t="inlineStr">
        <is>
          <t>Centroide del bloque — UTM NORTE (m)</t>
        </is>
      </c>
      <c r="D13" s="7" t="n">
        <v>9426778</v>
      </c>
      <c r="E13" s="8" t="n"/>
      <c r="F13" s="8" t="n"/>
      <c r="G13" s="8" t="n"/>
      <c r="H13" s="8" t="n"/>
    </row>
    <row r="14">
      <c r="A14" s="6" t="inlineStr">
        <is>
          <t>N.° de estaciones fotográficas declaradas</t>
        </is>
      </c>
      <c r="B14" s="7" t="n">
        <v>0</v>
      </c>
      <c r="C14" s="6" t="inlineStr">
        <is>
          <t>Estaciones dentro del polígono</t>
        </is>
      </c>
      <c r="D14" s="7" t="n">
        <v>0</v>
      </c>
      <c r="E14" s="8" t="n"/>
      <c r="F14" s="8" t="n"/>
      <c r="G14" s="8" t="n"/>
      <c r="H14" s="8" t="n"/>
    </row>
    <row r="16" ht="120" customHeight="1">
      <c r="A16"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Acceso por vía vecinal, ruta desde el distrito de Yamango al CC.PP. Ricardo Palma; la camioneta se detuvo en el centro poblado, al pie del bloque sobre la vía afirmada. Se ingresó al bloque por la zona oeste, colindante a la vía. En el interior del bloque se evidenciaron actividades agrícolas (siembra de maíz, bambú y plátano). La zona próxima a la vía y al CC.PP. es la parte más degradada del bloque. También se evidenció presencia de ganado caprino.</t>
        </is>
      </c>
      <c r="B16" s="40" t="n"/>
      <c r="C16" s="40" t="n"/>
      <c r="D16" s="40" t="n"/>
      <c r="E16" s="40" t="n"/>
      <c r="F16" s="40" t="n"/>
      <c r="G16" s="41" t="n"/>
    </row>
  </sheetData>
  <mergeCells count="8">
    <mergeCell ref="A1:G1"/>
    <mergeCell ref="A8:G8"/>
    <mergeCell ref="A3:G3"/>
    <mergeCell ref="A6:G6"/>
    <mergeCell ref="A4:G4"/>
    <mergeCell ref="A2:G2"/>
    <mergeCell ref="A16:G16"/>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3"/>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C1086-Q9575 — BLOQUE M28B3</t>
        </is>
      </c>
    </row>
    <row r="6" ht="24" customHeight="1">
      <c r="A6" s="4" t="inlineStr">
        <is>
          <t>Distrito de Yamango · Provincia de Morropon · Comparación de los bloques preliminares de intervención de la misma microcuenca</t>
        </is>
      </c>
    </row>
    <row r="7"/>
    <row r="8" ht="18" customHeight="1">
      <c r="A8" s="5" t="inlineStr">
        <is>
          <t>BLOQUES DE LA MICROCUENCA C1086-Q9575</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M28B4</t>
        </is>
      </c>
      <c r="B10" s="27" t="n">
        <v>283.43</v>
      </c>
      <c r="C10" s="19" t="n">
        <v>58.52</v>
      </c>
      <c r="D10" s="11" t="inlineStr">
        <is>
          <t>297 – 634</t>
        </is>
      </c>
      <c r="E10" s="11" t="n">
        <v>337</v>
      </c>
      <c r="F10" s="11" t="n">
        <v>13.75</v>
      </c>
      <c r="G10" s="18" t="n">
        <v>0.4275</v>
      </c>
      <c r="H10" s="19" t="n">
        <v>18.09</v>
      </c>
      <c r="I10" s="19" t="n">
        <v>74.81</v>
      </c>
    </row>
    <row r="11">
      <c r="A11" s="14" t="inlineStr">
        <is>
          <t>M28B2</t>
        </is>
      </c>
      <c r="B11" s="28" t="n">
        <v>90.2</v>
      </c>
      <c r="C11" s="21" t="n">
        <v>18.62</v>
      </c>
      <c r="D11" s="15" t="inlineStr">
        <is>
          <t>754 – 1111</t>
        </is>
      </c>
      <c r="E11" s="15" t="n">
        <v>357</v>
      </c>
      <c r="F11" s="15" t="n">
        <v>20.65</v>
      </c>
      <c r="G11" s="20" t="n">
        <v>0.4753</v>
      </c>
      <c r="H11" s="21" t="n">
        <v>37.12</v>
      </c>
      <c r="I11" s="21" t="n">
        <v>62.19</v>
      </c>
    </row>
    <row r="12">
      <c r="A12" s="12" t="inlineStr">
        <is>
          <t>► M28B3</t>
        </is>
      </c>
      <c r="B12" s="29" t="n">
        <v>58.29</v>
      </c>
      <c r="C12" s="30" t="n">
        <v>12.04</v>
      </c>
      <c r="D12" s="13" t="inlineStr">
        <is>
          <t>73 – 777</t>
        </is>
      </c>
      <c r="E12" s="13" t="n">
        <v>704</v>
      </c>
      <c r="F12" s="13" t="n">
        <v>22.13</v>
      </c>
      <c r="G12" s="31" t="n">
        <v>0.5075</v>
      </c>
      <c r="H12" s="30" t="n">
        <v>45.27</v>
      </c>
      <c r="I12" s="30" t="n">
        <v>49.67</v>
      </c>
    </row>
    <row r="13">
      <c r="A13" s="14" t="inlineStr">
        <is>
          <t>46</t>
        </is>
      </c>
      <c r="B13" s="28" t="n">
        <v>18.87</v>
      </c>
      <c r="C13" s="21" t="n">
        <v>3.9</v>
      </c>
      <c r="D13" s="15" t="inlineStr">
        <is>
          <t>1371 – 1655</t>
        </is>
      </c>
      <c r="E13" s="15" t="n">
        <v>284</v>
      </c>
      <c r="F13" s="15" t="n">
        <v>31.77</v>
      </c>
      <c r="G13" s="20" t="n">
        <v>0.7244</v>
      </c>
      <c r="H13" s="21" t="inlineStr">
        <is>
          <t>Por determinar</t>
        </is>
      </c>
      <c r="I13" s="15" t="inlineStr">
        <is>
          <t>s/d</t>
        </is>
      </c>
    </row>
    <row r="14">
      <c r="A14" s="7" t="inlineStr">
        <is>
          <t>49</t>
        </is>
      </c>
      <c r="B14" s="27" t="n">
        <v>15.84</v>
      </c>
      <c r="C14" s="19" t="n">
        <v>3.27</v>
      </c>
      <c r="D14" s="11" t="inlineStr">
        <is>
          <t>3065 – 3246</t>
        </is>
      </c>
      <c r="E14" s="11" t="n">
        <v>181</v>
      </c>
      <c r="F14" s="11" t="n">
        <v>25.96</v>
      </c>
      <c r="G14" s="18" t="n">
        <v>0.6860000000000001</v>
      </c>
      <c r="H14" s="19" t="n">
        <v>98.8</v>
      </c>
      <c r="I14" s="19" t="n">
        <v>3.64</v>
      </c>
    </row>
    <row r="15">
      <c r="A15" s="14" t="inlineStr">
        <is>
          <t>52</t>
        </is>
      </c>
      <c r="B15" s="28" t="n">
        <v>11.06</v>
      </c>
      <c r="C15" s="21" t="n">
        <v>2.28</v>
      </c>
      <c r="D15" s="15" t="inlineStr">
        <is>
          <t>3011 – 3164</t>
        </is>
      </c>
      <c r="E15" s="15" t="n">
        <v>153</v>
      </c>
      <c r="F15" s="15" t="n">
        <v>26.16</v>
      </c>
      <c r="G15" s="20" t="n">
        <v>0.6685</v>
      </c>
      <c r="H15" s="21" t="n">
        <v>97.31999999999999</v>
      </c>
      <c r="I15" s="21" t="n">
        <v>3.8</v>
      </c>
    </row>
    <row r="16">
      <c r="A16" s="7" t="inlineStr">
        <is>
          <t>48</t>
        </is>
      </c>
      <c r="B16" s="27" t="n">
        <v>5.75</v>
      </c>
      <c r="C16" s="19" t="n">
        <v>1.19</v>
      </c>
      <c r="D16" s="11" t="inlineStr">
        <is>
          <t>1458 – 1595</t>
        </is>
      </c>
      <c r="E16" s="11" t="n">
        <v>137</v>
      </c>
      <c r="F16" s="11" t="n">
        <v>33.6</v>
      </c>
      <c r="G16" s="18" t="n">
        <v>0.6978</v>
      </c>
      <c r="H16" s="19" t="inlineStr">
        <is>
          <t>Por determinar</t>
        </is>
      </c>
      <c r="I16" s="11" t="inlineStr">
        <is>
          <t>s/d</t>
        </is>
      </c>
    </row>
    <row r="17">
      <c r="A17" s="14" t="inlineStr">
        <is>
          <t>55</t>
        </is>
      </c>
      <c r="B17" s="28" t="n">
        <v>0.86</v>
      </c>
      <c r="C17" s="21" t="n">
        <v>0.18</v>
      </c>
      <c r="D17" s="15" t="inlineStr">
        <is>
          <t>3066 – 3131</t>
        </is>
      </c>
      <c r="E17" s="15" t="n">
        <v>65</v>
      </c>
      <c r="F17" s="15" t="n">
        <v>30.04</v>
      </c>
      <c r="G17" s="20" t="n">
        <v>0.63</v>
      </c>
      <c r="H17" s="21" t="n">
        <v>100</v>
      </c>
      <c r="I17" s="21" t="n">
        <v>1.76</v>
      </c>
    </row>
    <row r="18">
      <c r="A18" s="16" t="inlineStr">
        <is>
          <t>TOTAL / PROMEDIO</t>
        </is>
      </c>
      <c r="B18" s="32">
        <f>SUM(B10:B17)</f>
        <v/>
      </c>
      <c r="C18" s="23">
        <f>SUM(C10:C17)</f>
        <v/>
      </c>
      <c r="D18" s="17" t="inlineStr">
        <is>
          <t>73 – 3246</t>
        </is>
      </c>
      <c r="E18" s="17" t="inlineStr"/>
      <c r="F18" s="17">
        <f>ROUND(AVERAGE(F10:F17),2)</f>
        <v/>
      </c>
      <c r="G18" s="22">
        <f>ROUND(AVERAGE(G10:G17),4)</f>
        <v/>
      </c>
      <c r="H18" s="23">
        <f>ROUND(AVERAGE(H10:H17),2)</f>
        <v/>
      </c>
      <c r="I18" s="23">
        <f>ROUND(AVERAGE(I10:I17),2)</f>
        <v/>
      </c>
    </row>
    <row r="19" ht="48" customHeight="1">
      <c r="A19" s="9" t="inlineStr">
        <is>
          <t>ALCANCE DE LOS PROMEDIOS. La fila TOTAL / PROMEDIO omite las celdas «Por determinar»: el promedio de VEGETACIÓN ALTA (NDVI 2025) se calcula sobre 6 de los 8 bloques; los 2 bloques restantes carecen de estadística zonal de NDVI. Los totales de ÁREA y % de microcuenca sí comprenden la totalidad de los 8 bloques. No se estima ningún valor ausente.</t>
        </is>
      </c>
      <c r="B19" s="40" t="n"/>
      <c r="C19" s="40" t="n"/>
      <c r="D19" s="40" t="n"/>
      <c r="E19" s="40" t="n"/>
      <c r="F19" s="40" t="n"/>
      <c r="G19" s="40" t="n"/>
      <c r="H19" s="41" t="n"/>
    </row>
    <row r="20"/>
    <row r="21" ht="84" customHeight="1">
      <c r="A21" s="9" t="inlineStr">
        <is>
          <t>LECTURA INTRAMICROCUENCA. El bloque M28B3 ocupa el puesto 3 de 8 por superficie dentro de la microcuenca C1086-Q9575 (12.04 % de las 484.30 ha preliminares de la microcuenca). Su pendiente promedio (22.13 %, clase «15-25% (Fuert. inclinado)») es la 3.ª más baja de 8 y se sitúa por debajo del promedio de la microcuenca (25.51 %). Su MSAVI 2024 (0.5075) es el 6.º de 8 y queda por debajo del promedio local (0.6021). Amplitud altitudinal del bloque: 704 m (73–777 msnm). El cuadro conserva todos los bloques catalogados en la microcuenca, incluidos los descartados en el tamizaje, para referencia del conjunto. Los bloques sin ficha DT figuran con sus parámetros de gabinete. BRECHA ESPECTRAL. El 49.67 % de la superficie del bloque (28.952 ha de 58.292 ha) se sitúa bajo el umbral MSAVI 0.4976, por encima del promedio local de la microcuenca (32.64 %) calculado sobre los bloques con dato MSAVI disponible.</t>
        </is>
      </c>
      <c r="B21" s="40" t="n"/>
      <c r="C21" s="40" t="n"/>
      <c r="D21" s="40" t="n"/>
      <c r="E21" s="40" t="n"/>
      <c r="F21" s="40" t="n"/>
      <c r="G21" s="40" t="n"/>
      <c r="H21" s="41" t="n"/>
    </row>
    <row r="22"/>
    <row r="23" ht="60" customHeight="1">
      <c r="A23"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3" s="40" t="n"/>
      <c r="C23" s="40" t="n"/>
      <c r="D23" s="40" t="n"/>
      <c r="E23" s="40" t="n"/>
      <c r="F23" s="40" t="n"/>
      <c r="G23" s="40" t="n"/>
      <c r="H23" s="41" t="n"/>
    </row>
  </sheetData>
  <mergeCells count="10">
    <mergeCell ref="A1:I1"/>
    <mergeCell ref="A4:I4"/>
    <mergeCell ref="A3:I3"/>
    <mergeCell ref="A21:I21"/>
    <mergeCell ref="A2:I2"/>
    <mergeCell ref="A19:I19"/>
    <mergeCell ref="A5:I5"/>
    <mergeCell ref="A23:I23"/>
    <mergeCell ref="A8:I8"/>
    <mergeCell ref="A6:I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2"/>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M28B3</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3" t="inlineStr">
        <is>
          <t>D-01</t>
        </is>
      </c>
      <c r="B10" s="33" t="inlineStr">
        <is>
          <t>Código de microcuenca</t>
        </is>
      </c>
      <c r="C10" s="33" t="inlineStr">
        <is>
          <t>Ficha DT y catálogo maestro coinciden en «C1086-Q9575»</t>
        </is>
      </c>
      <c r="D10" s="34" t="inlineStr">
        <is>
          <t>CONFORME</t>
        </is>
      </c>
      <c r="E10" s="33" t="inlineStr">
        <is>
          <t>Sin acción.</t>
        </is>
      </c>
    </row>
    <row r="11" ht="48" customHeight="1">
      <c r="A11" s="35" t="inlineStr">
        <is>
          <t>D-02</t>
        </is>
      </c>
      <c r="B11" s="35" t="inlineStr">
        <is>
          <t>UTM del punto de muestreo</t>
        </is>
      </c>
      <c r="C11" s="35" t="inlineStr">
        <is>
          <t>El punto de muestreo declarado (645575 E / 9426864 N) dista 11,514 m del centroide de catálogo (634061 E / 9426778 N), distancia incompatible con la superficie del bloque (58.29 ha)</t>
        </is>
      </c>
      <c r="D11" s="36" t="inlineStr">
        <is>
          <t>SUSTANTIVA</t>
        </is>
      </c>
      <c r="E11" s="35" t="inlineStr">
        <is>
          <t>Se declara la coordenada como POR VERIFICAR: puede corresponder a otro bloque o a un error de digitación. No se corrige de oficio.</t>
        </is>
      </c>
    </row>
    <row r="12" ht="48" customHeight="1">
      <c r="A12" s="33" t="inlineStr">
        <is>
          <t>D-03</t>
        </is>
      </c>
      <c r="B12" s="33" t="inlineStr">
        <is>
          <t>Superficie del polígono</t>
        </is>
      </c>
      <c r="C12" s="33" t="inlineStr">
        <is>
          <t>La superficie clasificada por el NDVI 2025 (58.312 ha) coincide con la de catálogo (58.29 ha) dentro del ±2 % (+0.04 %)</t>
        </is>
      </c>
      <c r="D12" s="34" t="inlineStr">
        <is>
          <t>CONFORME</t>
        </is>
      </c>
      <c r="E12" s="33" t="inlineStr">
        <is>
          <t>Sin acción: la segmentación valida la geometría del bloque.</t>
        </is>
      </c>
    </row>
    <row r="13" ht="48" customHeight="1">
      <c r="A13" s="35" t="inlineStr">
        <is>
          <t>D-04</t>
        </is>
      </c>
      <c r="B13" s="35" t="inlineStr">
        <is>
          <t>Rango de pendiente dominante</t>
        </is>
      </c>
      <c r="C13" s="35" t="inlineStr">
        <is>
          <t>La ficha DT declara «25-50% (Mod. escarpado)»; la estadística zonal sobre el MDE arroja una pendiente promedio de 22.13 %, que corresponde a la clase «15-25% (Fuert. inclinado)»</t>
        </is>
      </c>
      <c r="D13" s="13" t="inlineStr">
        <is>
          <t>NO SUSTANTIVA</t>
        </is>
      </c>
      <c r="E13" s="35" t="inlineStr">
        <is>
          <t>Se conserva el registro de campo como observación de sector y se adopta el valor del MDE para el cálculo intramicrocuenca. La divergencia es esperable: el dato de campo es puntual y el del MDE es promedio del polígono.</t>
        </is>
      </c>
    </row>
    <row r="14" ht="48" customHeight="1">
      <c r="A14" s="33" t="inlineStr">
        <is>
          <t>D-05</t>
        </is>
      </c>
      <c r="B14" s="33" t="inlineStr">
        <is>
          <t>Elenco florístico</t>
        </is>
      </c>
      <c r="C14" s="33" t="inlineStr">
        <is>
          <t>La ficha registra 4 taxones, por debajo del mínimo de 15 que exige el formato V5</t>
        </is>
      </c>
      <c r="D14" s="36" t="inlineStr">
        <is>
          <t>SUSTANTIVA</t>
        </is>
      </c>
      <c r="E14" s="33" t="inlineStr">
        <is>
          <t>Registro florístico preliminar, sin colecta ni determinación botánica formal. Debe cerrarse con colecta botánica en la siguiente campaña.</t>
        </is>
      </c>
    </row>
    <row r="15" ht="48" customHeight="1">
      <c r="A15" s="35" t="inlineStr">
        <is>
          <t>D-06</t>
        </is>
      </c>
      <c r="B15" s="35" t="inlineStr">
        <is>
          <t>Representatividad del levantamiento</t>
        </is>
      </c>
      <c r="C15" s="35" t="inlineStr">
        <is>
          <t>Ninguna de las estaciones fotográficas georreferenciadas se localiza dentro del polígono del bloque</t>
        </is>
      </c>
      <c r="D15" s="36" t="inlineStr">
        <is>
          <t>SUSTANTIVA</t>
        </is>
      </c>
      <c r="E15" s="35" t="inlineStr">
        <is>
          <t>La verificación documenta el perímetro y la vista panorámica del bloque, no su interior. Los parámetros que exigen recorrido interno se consignan «Por determinar».</t>
        </is>
      </c>
    </row>
    <row r="16" ht="48" customHeight="1">
      <c r="A16" s="33" t="inlineStr">
        <is>
          <t>D-07</t>
        </is>
      </c>
      <c r="B16" s="33" t="inlineStr">
        <is>
          <t>Centro poblado asociado</t>
        </is>
      </c>
      <c r="C16" s="33" t="inlineStr">
        <is>
          <t>La ficha DT declara «Ricardo Palma»; el cruce INEI-Bloques V5 identifica 1 centro(s) poblado(s) en el bloque: RICARDO PALMA</t>
        </is>
      </c>
      <c r="D16" s="34" t="inlineStr">
        <is>
          <t>CONFORME</t>
        </is>
      </c>
      <c r="E16" s="33" t="inlineStr">
        <is>
          <t>Se conserva el registro de campo como referencia y se adopta el listado INEI para el diagnóstico social y el cálculo de población beneficiaria.</t>
        </is>
      </c>
    </row>
    <row r="17" ht="48" customHeight="1">
      <c r="A17" s="35" t="inlineStr">
        <is>
          <t>D-08</t>
        </is>
      </c>
      <c r="B17" s="35" t="inlineStr">
        <is>
          <t>Peligro integrado (MCA-AHP)</t>
        </is>
      </c>
      <c r="C17" s="35" t="inlineStr">
        <is>
          <t>El nivel de peligro integrado no está disponible en los insumos de este entregable</t>
        </is>
      </c>
      <c r="D17" s="36" t="inlineStr">
        <is>
          <t>SUSTANTIVA</t>
        </is>
      </c>
      <c r="E17" s="35" t="inlineStr">
        <is>
          <t>Debe tomarse del modelamiento de mesolocalización (PMM + EPH + PGI ponderados por AHP) antes de fijar la prioridad definitiva de intervención del bloque.</t>
        </is>
      </c>
    </row>
    <row r="18" ht="48" customHeight="1">
      <c r="A18" s="33" t="inlineStr">
        <is>
          <t>D-09</t>
        </is>
      </c>
      <c r="B18" s="33" t="inlineStr">
        <is>
          <t>F-DT-01</t>
        </is>
      </c>
      <c r="C18" s="33" t="inlineStr">
        <is>
          <t>Las coordenadas declaradas (645 575 E / 9 426 864 N) corresponden al valor por defecto de ESTE de la plantilla y distan ~11.5 km del centroide del bloque en el catálogo (634 061 E / 9 426 780 N)</t>
        </is>
      </c>
      <c r="D18" s="36" t="inlineStr">
        <is>
          <t>SUSTANTIVA</t>
        </is>
      </c>
      <c r="E18" s="33" t="inlineStr">
        <is>
          <t>Se conserva la declaración de la ficha y se anota el centroide del catálogo; requiere ratificación del punto de muestreo</t>
        </is>
      </c>
    </row>
    <row r="19" ht="48" customHeight="1">
      <c r="A19" s="35" t="inlineStr">
        <is>
          <t>D-10</t>
        </is>
      </c>
      <c r="B19" s="35" t="inlineStr">
        <is>
          <t>F-DT-03 / F-DT-04</t>
        </is>
      </c>
      <c r="C19" s="35" t="inlineStr">
        <is>
          <t>El contenido de las secciones F-DT-03 y F-DT-04 es IDÉNTICO al de la ficha del bloque M28B2 (mismas coberturas, mismos 4 taxones con iguales DAP y alturas, misma matriz de causas y mismos indicadores)</t>
        </is>
      </c>
      <c r="D19" s="36" t="inlineStr">
        <is>
          <t>SUSTANTIVA</t>
        </is>
      </c>
      <c r="E19" s="35" t="inlineStr">
        <is>
          <t>Se registra como probable transferencia de ficha entre bloques; requiere verificación de campo diferenciada</t>
        </is>
      </c>
    </row>
    <row r="20" ht="48" customHeight="1">
      <c r="A20" s="33" t="inlineStr">
        <is>
          <t>D-11</t>
        </is>
      </c>
      <c r="B20" s="33" t="inlineStr">
        <is>
          <t>F-DT-03</t>
        </is>
      </c>
      <c r="C20" s="33" t="inlineStr">
        <is>
          <t>La tabla florística no consigna nombres científicos ni familias botánicas</t>
        </is>
      </c>
      <c r="D20" s="36" t="inlineStr">
        <is>
          <t>SUSTANTIVA</t>
        </is>
      </c>
      <c r="E20" s="33" t="inlineStr">
        <is>
          <t>Sin determinación taxonómica; requiere colecta e identificación</t>
        </is>
      </c>
    </row>
    <row r="21" ht="48" customHeight="1">
      <c r="A21" s="35" t="inlineStr">
        <is>
          <t>D-12</t>
        </is>
      </c>
      <c r="B21" s="35" t="inlineStr">
        <is>
          <t>F-DT-03</t>
        </is>
      </c>
      <c r="C21" s="35" t="inlineStr">
        <is>
          <t>Altura máxima declarada 8 m frente al Ceibo registrado con 12 m</t>
        </is>
      </c>
      <c r="D21" s="36" t="inlineStr">
        <is>
          <t>SUSTANTIVA</t>
        </is>
      </c>
      <c r="E21" s="35" t="inlineStr">
        <is>
          <t>Se conservan ambos registros sin promediar</t>
        </is>
      </c>
    </row>
    <row r="22" ht="48" customHeight="1">
      <c r="A22" s="33" t="inlineStr">
        <is>
          <t>D-13</t>
        </is>
      </c>
      <c r="B22" s="33" t="inlineStr">
        <is>
          <t>F-DT-03 / F-DT-04</t>
        </is>
      </c>
      <c r="C22" s="33" t="inlineStr">
        <is>
          <t>Suelo desnudo 20% en F-DT-03 frente a 15% en el indicador 2 del F-DT-04</t>
        </is>
      </c>
      <c r="D22" s="13" t="inlineStr">
        <is>
          <t>NO SUSTANTIVA</t>
        </is>
      </c>
      <c r="E22" s="33" t="inlineStr">
        <is>
          <t>Se conservan ambos valores con indicación de su sección de origen</t>
        </is>
      </c>
    </row>
    <row r="23" ht="48" customHeight="1">
      <c r="A23" s="35" t="inlineStr">
        <is>
          <t>D-14</t>
        </is>
      </c>
      <c r="B23" s="35" t="inlineStr">
        <is>
          <t>F-DT-04</t>
        </is>
      </c>
      <c r="C23" s="35" t="inlineStr">
        <is>
          <t>La causa 7 (cambio de uso a agricultura) tiene intensidad, extensión, antigüedad y evidencia pero la casilla de presencia quedó sin marcar</t>
        </is>
      </c>
      <c r="D23" s="13" t="inlineStr">
        <is>
          <t>NO SUSTANTIVA</t>
        </is>
      </c>
      <c r="E23" s="35" t="inlineStr">
        <is>
          <t>Se interpreta como presente por la evidencia consignada</t>
        </is>
      </c>
    </row>
    <row r="24" ht="48" customHeight="1">
      <c r="A24" s="33" t="inlineStr">
        <is>
          <t>D-15</t>
        </is>
      </c>
      <c r="B24" s="33" t="inlineStr">
        <is>
          <t>F-DT-04</t>
        </is>
      </c>
      <c r="C24" s="33" t="inlineStr">
        <is>
          <t>Indicadores 3, 4, 6 y 7 sin valor consignado</t>
        </is>
      </c>
      <c r="D24" s="13" t="inlineStr">
        <is>
          <t>NO SUSTANTIVA</t>
        </is>
      </c>
      <c r="E24" s="33" t="inlineStr">
        <is>
          <t>Sin registro en ficha; POR DETERMINAR</t>
        </is>
      </c>
    </row>
    <row r="25" ht="48" customHeight="1">
      <c r="A25" s="35" t="inlineStr">
        <is>
          <t>D-16</t>
        </is>
      </c>
      <c r="B25" s="35" t="inlineStr">
        <is>
          <t>F-DT-05</t>
        </is>
      </c>
      <c r="C25" s="35" t="inlineStr">
        <is>
          <t>Inventario de fuentes de agua vacío</t>
        </is>
      </c>
      <c r="D25" s="13" t="inlineStr">
        <is>
          <t>NO SUSTANTIVA</t>
        </is>
      </c>
      <c r="E25" s="35" t="inlineStr">
        <is>
          <t>Evaluación en época seca; requiere verificación en época húmeda</t>
        </is>
      </c>
    </row>
    <row r="26" ht="48" customHeight="1">
      <c r="A26" s="35" t="inlineStr">
        <is>
          <t>D-17</t>
        </is>
      </c>
      <c r="B26" s="35" t="inlineStr">
        <is>
          <t>Distribución areal MSAVI 2024</t>
        </is>
      </c>
      <c r="C26" s="35" t="inlineStr">
        <is>
          <t>La distribución por clase de MSAVI no figuraba en los insumos del entregable y se consignaba «Por determinar»; se incorpora la estadística zonal del ráster MSAVI clasificado (234 polígonos, 58.292 ha)</t>
        </is>
      </c>
      <c r="D26" s="13" t="inlineStr">
        <is>
          <t>CORREGIDO</t>
        </is>
      </c>
      <c r="E26" s="35" t="inlineStr">
        <is>
          <t>Se completó la sección A de la hoja «Cobertura MSAVI-NDVI» con superficie y porcentaje por clase DN 1 a DN 5, totales, superficie sobre y bajo el umbral 0.4976 y contraste con el catálogo. La equivalencia DN → clase se sustenta en la nota metodológica de esa hoja (r = 0.9965, error absoluto medio = 0.0091, n = 117 bloques).</t>
        </is>
      </c>
    </row>
    <row r="27" ht="48" customHeight="1">
      <c r="A27" s="35" t="inlineStr">
        <is>
          <t>D-18</t>
        </is>
      </c>
      <c r="B27" s="35" t="inlineStr">
        <is>
          <t>Superficie MSAVI vs. catálogo</t>
        </is>
      </c>
      <c r="C27" s="35" t="inlineStr">
        <is>
          <t>La superficie total clasificada por el MSAVI 2024 (58.292 ha) frente a la de catálogo V5/V6 (58.290 ha): desviación de +0.00 %</t>
        </is>
      </c>
      <c r="D27" s="13" t="inlineStr">
        <is>
          <t>CONFORME</t>
        </is>
      </c>
      <c r="E27" s="35" t="inlineStr">
        <is>
          <t>Sin acción: la segmentación del ráster valida la geometría del bloque dentro del ±2 %.</t>
        </is>
      </c>
    </row>
    <row r="28" ht="48" customHeight="1">
      <c r="A28" s="35" t="inlineStr">
        <is>
          <t>D-19</t>
        </is>
      </c>
      <c r="B28" s="35" t="inlineStr">
        <is>
          <t>Media MSAVI vs. clase DN dominante</t>
        </is>
      </c>
      <c r="C28" s="35" t="inlineStr">
        <is>
          <t>La media del bloque (0.5075) cae en la clase «DN 4 · 0.4976 - 0.6139 (Vigor moderado)»; la clase de mayor superficie es «DN 3 · 0.3813 - 0.4976 (Vigor bajo)», con 39.16 % del bloque. Superficie bajo el umbral 0.4976: 28.952 ha (49.67 %)</t>
        </is>
      </c>
      <c r="D28" s="13" t="inlineStr">
        <is>
          <t>NO SUSTANTIVA</t>
        </is>
      </c>
      <c r="E28" s="35" t="inlineStr">
        <is>
          <t>Se declara la divergencia: en bloques de distribución asimétrica la media puede caer en una clase distinta de la modal. Para el dimensionamiento de metas físicas debe usarse la distribución areal, no la media.</t>
        </is>
      </c>
    </row>
    <row r="29"/>
    <row r="30">
      <c r="A30" s="16" t="inlineStr">
        <is>
          <t>RESUMEN</t>
        </is>
      </c>
      <c r="B30" s="17" t="inlineStr">
        <is>
          <t>19 verificaciones</t>
        </is>
      </c>
      <c r="C30" s="17" t="inlineStr">
        <is>
          <t>CONFORME: 4 · CORREGIDO: 1 · NO SUSTANTIVA: 6 · SUSTANTIVA: 8</t>
        </is>
      </c>
      <c r="D30" s="17" t="inlineStr"/>
      <c r="E30" s="17" t="inlineStr"/>
    </row>
    <row r="31"/>
    <row r="32" ht="60" customHeight="1">
      <c r="A32"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32" s="40" t="n"/>
      <c r="C32" s="40" t="n"/>
      <c r="D32" s="40" t="n"/>
      <c r="E32" s="41" t="n"/>
    </row>
  </sheetData>
  <mergeCells count="8">
    <mergeCell ref="A4:E4"/>
    <mergeCell ref="A2:E2"/>
    <mergeCell ref="A5:E5"/>
    <mergeCell ref="A1:E1"/>
    <mergeCell ref="A32:E32"/>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M28B3 — IN Piura</dc:title>
  <dc:subject>Diagnóstico Territorial por bloque de intervención</dc:subject>
  <dcterms:created xsi:type="dcterms:W3CDTF">2026-09-08T03:39:58Z</dcterms:created>
  <dcterms:modified xsi:type="dcterms:W3CDTF">2026-09-09T23:30:55Z</dcterms:modified>
</cp:coreProperties>
</file>