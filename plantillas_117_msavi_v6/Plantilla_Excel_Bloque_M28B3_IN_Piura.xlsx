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M28B3</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Ricardo Palma</t>
        </is>
      </c>
      <c r="C13" s="6" t="inlineStr">
        <is>
          <t>Comunidad campesina</t>
        </is>
      </c>
      <c r="D13" s="7" t="inlineStr">
        <is>
          <t>No consignada</t>
        </is>
      </c>
      <c r="E13" s="8" t="n"/>
      <c r="F13" s="8" t="n"/>
    </row>
    <row r="14">
      <c r="A14" s="6" t="inlineStr">
        <is>
          <t>Superficie de catálogo (V5/V6), ha</t>
        </is>
      </c>
      <c r="B14" s="7" t="n">
        <v>58.29</v>
      </c>
      <c r="C14" s="6" t="inlineStr">
        <is>
          <t>Fuente de superficie</t>
        </is>
      </c>
      <c r="D14" s="7" t="inlineStr">
        <is>
          <t>Catálogo maestro Bloques V5/V6</t>
        </is>
      </c>
      <c r="E14" s="8" t="n"/>
      <c r="F14" s="8" t="n"/>
    </row>
    <row r="15">
      <c r="A15" s="6" t="inlineStr">
        <is>
          <t>Centroide UTM ESTE (m)</t>
        </is>
      </c>
      <c r="B15" s="7" t="n">
        <v>634061</v>
      </c>
      <c r="C15" s="6" t="inlineStr">
        <is>
          <t>Centroide UTM NORTE (m)</t>
        </is>
      </c>
      <c r="D15" s="7" t="n">
        <v>9426778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73</v>
      </c>
      <c r="C19" s="6" t="inlineStr">
        <is>
          <t>Altitud máxima (msnm)</t>
        </is>
      </c>
      <c r="D19" s="7" t="n">
        <v>777</v>
      </c>
      <c r="E19" s="8" t="n"/>
      <c r="F19" s="8" t="n"/>
    </row>
    <row r="20">
      <c r="A20" s="6" t="inlineStr">
        <is>
          <t>Amplitud altitudinal (m)</t>
        </is>
      </c>
      <c r="B20" s="7" t="n">
        <v>704</v>
      </c>
      <c r="C20" s="6" t="inlineStr">
        <is>
          <t>Piso altitudinal dominante</t>
        </is>
      </c>
      <c r="D20" s="7" t="inlineStr">
        <is>
          <t>&lt;1000 m (Yunga)</t>
        </is>
      </c>
      <c r="E20" s="8" t="n"/>
      <c r="F20" s="8" t="n"/>
    </row>
    <row r="21">
      <c r="A21" s="6" t="inlineStr">
        <is>
          <t>Pendiente promedio (%)</t>
        </is>
      </c>
      <c r="B21" s="7" t="n">
        <v>22.13</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0.5075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(48.80 %)</t>
        </is>
      </c>
      <c r="E29" s="8" t="n"/>
      <c r="F29" s="8" t="n"/>
    </row>
    <row r="30">
      <c r="A30" s="6" t="inlineStr">
        <is>
          <t>Superficie clasificada NDVI 2025 (ha)</t>
        </is>
      </c>
      <c r="B30" s="7" t="n">
        <v>58.312</v>
      </c>
      <c r="C30" s="6" t="inlineStr">
        <is>
          <t>Desviación frente al catálogo (%)</t>
        </is>
      </c>
      <c r="D30" s="7" t="n">
        <v>0.04</v>
      </c>
      <c r="E30" s="8" t="n"/>
      <c r="F30" s="8" t="n"/>
    </row>
    <row r="31">
      <c r="A31" s="6" t="inlineStr">
        <is>
          <t>Superficie clasificada MSAVI 2024 (ha)</t>
        </is>
      </c>
      <c r="B31" s="37" t="n">
        <v>58.292</v>
      </c>
      <c r="C31" s="6" t="inlineStr">
        <is>
          <t>Desviación MSAVI frente al catálogo (%)</t>
        </is>
      </c>
      <c r="D31" s="38" t="n">
        <v>0</v>
      </c>
      <c r="E31" s="8" t="n"/>
      <c r="F31" s="8" t="n"/>
    </row>
    <row r="32">
      <c r="A32" s="6" t="inlineStr">
        <is>
          <t>Superficie bajo umbral MSAVI 0.4976 (ha)</t>
        </is>
      </c>
      <c r="B32" s="37" t="n">
        <v>28.952</v>
      </c>
      <c r="C32" s="6" t="inlineStr">
        <is>
          <t>% del bloque bajo umbral (brecha espectral)</t>
        </is>
      </c>
      <c r="D32" s="38" t="n">
        <v>49.67</v>
      </c>
      <c r="E32" s="8" t="n"/>
      <c r="F32" s="8" t="n"/>
    </row>
    <row r="33">
      <c r="A33" s="6" t="inlineStr">
        <is>
          <t>Clase DN dominante (MSAVI 2024)</t>
        </is>
      </c>
      <c r="B33" s="7" t="inlineStr">
        <is>
          <t>DN 3 · 0.3813 - 0.4976 (Vigor bajo)</t>
        </is>
      </c>
      <c r="C33" s="6" t="inlineStr">
        <is>
          <t>N.° de polígonos MSAVI del bloque</t>
        </is>
      </c>
      <c r="D33" s="39" t="n">
        <v>234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58.29 ha (100% del bloque)</t>
        </is>
      </c>
      <c r="E36" s="8" t="n"/>
      <c r="F36" s="8" t="n"/>
    </row>
    <row r="37">
      <c r="A37" s="6" t="inlineStr">
        <is>
          <t>Estado de conservación</t>
        </is>
      </c>
      <c r="B37" s="7" t="inlineStr">
        <is>
          <t>Medianamente alterado</t>
        </is>
      </c>
      <c r="C37" s="6" t="inlineStr">
        <is>
          <t>Uso actual dominante del suelo</t>
        </is>
      </c>
      <c r="D37" s="7" t="inlineStr">
        <is>
          <t>Agricultura en secano</t>
        </is>
      </c>
      <c r="E37" s="8" t="n"/>
      <c r="F37" s="8" t="n"/>
    </row>
    <row r="38">
      <c r="A38" s="6" t="inlineStr">
        <is>
          <t>Tipo de cobertura dominante</t>
        </is>
      </c>
      <c r="B38" s="7" t="inlineStr">
        <is>
          <t>Bosque ralo (30-70%)</t>
        </is>
      </c>
      <c r="C38" s="6" t="inlineStr">
        <is>
          <t>Cobertura vegetal total — campo (%)</t>
        </is>
      </c>
      <c r="D38" s="7" t="inlineStr">
        <is>
          <t>Sin registro en ficha</t>
        </is>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 y Pedro Talledo</t>
        </is>
      </c>
      <c r="C44" s="6" t="inlineStr">
        <is>
          <t>Fecha de evaluación</t>
        </is>
      </c>
      <c r="D44" s="7" t="inlineStr">
        <is>
          <t>2026-05-25</t>
        </is>
      </c>
      <c r="E44" s="8" t="n"/>
      <c r="F44" s="8" t="n"/>
    </row>
    <row r="45">
      <c r="A45" s="6" t="inlineStr">
        <is>
          <t>Hora de registro</t>
        </is>
      </c>
      <c r="B45" s="7" t="inlineStr">
        <is>
          <t>16:45 - 17:30 h</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8.965299999999999</v>
      </c>
      <c r="C10" s="19">
        <f>ROUND(B10/$B$15*100,2)</f>
        <v>15.38</v>
      </c>
      <c r="D10" s="11" t="inlineStr">
        <is>
          <t>Vigor alto</t>
        </is>
      </c>
      <c r="E10" s="11" t="inlineStr">
        <is>
          <t>Sobre umbral</t>
        </is>
      </c>
    </row>
    <row r="11">
      <c r="A11" s="12" t="inlineStr">
        <is>
          <t>0.4976 - 0.6139 · DN 4</t>
        </is>
      </c>
      <c r="B11" s="31" t="n">
        <v>20.3742</v>
      </c>
      <c r="C11" s="30">
        <f>ROUND(B11/$B$15*100,2)</f>
        <v>34.95</v>
      </c>
      <c r="D11" s="13" t="inlineStr">
        <is>
          <t>Vigor moderado</t>
        </is>
      </c>
      <c r="E11" s="13" t="inlineStr">
        <is>
          <t>Sobre umbral</t>
        </is>
      </c>
    </row>
    <row r="12">
      <c r="A12" s="7" t="inlineStr">
        <is>
          <t>0.3813 - 0.4976 · DN 3</t>
        </is>
      </c>
      <c r="B12" s="18" t="n">
        <v>22.8277</v>
      </c>
      <c r="C12" s="19">
        <f>ROUND(B12/$B$15*100,2)</f>
        <v>39.16</v>
      </c>
      <c r="D12" s="11" t="inlineStr">
        <is>
          <t>Vigor bajo</t>
        </is>
      </c>
      <c r="E12" s="11" t="inlineStr">
        <is>
          <t>BAJO umbral 0.4976</t>
        </is>
      </c>
    </row>
    <row r="13">
      <c r="A13" s="14" t="inlineStr">
        <is>
          <t>0.2650 - 0.3813 · DN 2</t>
        </is>
      </c>
      <c r="B13" s="20" t="n">
        <v>6.0368</v>
      </c>
      <c r="C13" s="21">
        <f>ROUND(B13/$B$15*100,2)</f>
        <v>10.36</v>
      </c>
      <c r="D13" s="15" t="inlineStr">
        <is>
          <t>Vigor muy bajo</t>
        </is>
      </c>
      <c r="E13" s="15" t="inlineStr">
        <is>
          <t>BAJO umbral 0.4976</t>
        </is>
      </c>
    </row>
    <row r="14">
      <c r="A14" s="7" t="inlineStr">
        <is>
          <t>&lt;= 0.2650 · DN 1</t>
        </is>
      </c>
      <c r="B14" s="18" t="n">
        <v>0.08790000000000001</v>
      </c>
      <c r="C14" s="19">
        <f>ROUND(B14/$B$15*100,2)</f>
        <v>0.15</v>
      </c>
      <c r="D14" s="11" t="inlineStr">
        <is>
          <t>Suelo desnudo / no vegetal</t>
        </is>
      </c>
      <c r="E14" s="11" t="inlineStr">
        <is>
          <t>BAJO umbral 0.4976</t>
        </is>
      </c>
    </row>
    <row r="15" ht="30" customHeight="1">
      <c r="A15" s="42" t="inlineStr">
        <is>
          <t>TOTAL CLASIFICADO MSAVI 2024</t>
        </is>
      </c>
      <c r="B15" s="43">
        <f>SUM(B10:B14)</f>
        <v>58.2919</v>
      </c>
      <c r="C15" s="44">
        <f>SUM(C10:C14)</f>
        <v>100.0</v>
      </c>
      <c r="D15" s="42" t="inlineStr">
        <is>
          <t>Suma de la distribución areal · 234 polígonos</t>
        </is>
      </c>
      <c r="E15" s="42" t="inlineStr">
        <is>
          <t>—</t>
        </is>
      </c>
    </row>
    <row r="16" ht="30" customHeight="1">
      <c r="A16" s="45" t="inlineStr">
        <is>
          <t>Superficie SOBRE umbral 0.4976 (ha)</t>
        </is>
      </c>
      <c r="B16" s="46">
        <f>SUM(B10:B11)</f>
        <v>29.3395</v>
      </c>
      <c r="C16" s="47">
        <f>ROUND(B16/B15*100,2)</f>
        <v>50.33</v>
      </c>
      <c r="D16" s="45" t="inlineStr">
        <is>
          <t>Vigor alto y moderado (DN 4 y DN 5)</t>
        </is>
      </c>
      <c r="E16" s="45" t="inlineStr">
        <is>
          <t>Sobre umbral 0.4976</t>
        </is>
      </c>
    </row>
    <row r="17" ht="30" customHeight="1">
      <c r="A17" s="45" t="inlineStr">
        <is>
          <t>Superficie BAJO umbral 0.4976 (ha) — brecha</t>
        </is>
      </c>
      <c r="B17" s="46">
        <f>SUM(B12:B14)</f>
        <v>28.9524</v>
      </c>
      <c r="C17" s="47">
        <f>ROUND(B17/B15*100,2)</f>
        <v>49.67</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58.29</v>
      </c>
      <c r="C18" s="48" t="inlineStr">
        <is>
          <t>—</t>
        </is>
      </c>
      <c r="D18" s="45" t="inlineStr">
        <is>
          <t>Desviación planimétrica frente al catálogo</t>
        </is>
      </c>
      <c r="E18" s="45" t="inlineStr">
        <is>
          <t>+0.00 %</t>
        </is>
      </c>
    </row>
    <row r="19">
      <c r="A19" s="16" t="inlineStr">
        <is>
          <t>MSAVI 2024 — MEDIA DEL BLOQUE</t>
        </is>
      </c>
      <c r="B19" s="17" t="n">
        <v>0.507529</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234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(0.5075)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26.3986</v>
      </c>
      <c r="C25" s="19" t="n">
        <v>45.27</v>
      </c>
      <c r="D25" s="11" t="inlineStr">
        <is>
          <t>Dosel continuo, matorral denso o mosaico agroforestal</t>
        </is>
      </c>
      <c r="E25" s="11" t="inlineStr"/>
    </row>
    <row r="26">
      <c r="A26" s="14" t="inlineStr">
        <is>
          <t>Vegetación mediana</t>
        </is>
      </c>
      <c r="B26" s="20" t="n">
        <v>28.4587</v>
      </c>
      <c r="C26" s="21" t="n">
        <v>48.8</v>
      </c>
      <c r="D26" s="15" t="inlineStr">
        <is>
          <t>Pastizal cultivado, matorral ralo, parcelas agrícolas</t>
        </is>
      </c>
      <c r="E26" s="15" t="inlineStr"/>
    </row>
    <row r="27">
      <c r="A27" s="7" t="inlineStr">
        <is>
          <t>Vegetación ligera</t>
        </is>
      </c>
      <c r="B27" s="18" t="n">
        <v>3.2264</v>
      </c>
      <c r="C27" s="19" t="n">
        <v>5.53</v>
      </c>
      <c r="D27" s="11" t="inlineStr">
        <is>
          <t>Cobertura discontinua, suelo parcialmente expuesto</t>
        </is>
      </c>
      <c r="E27" s="11" t="inlineStr"/>
    </row>
    <row r="28">
      <c r="A28" s="14" t="inlineStr">
        <is>
          <t>Tierra desnuda</t>
        </is>
      </c>
      <c r="B28" s="20" t="n">
        <v>0.2288</v>
      </c>
      <c r="C28" s="21" t="n">
        <v>0.39</v>
      </c>
      <c r="D28" s="15" t="inlineStr">
        <is>
          <t>Suelo desnudo, afloramientos, plataformas y taludes</t>
        </is>
      </c>
      <c r="E28" s="15" t="inlineStr"/>
    </row>
    <row r="29">
      <c r="A29" s="16" t="inlineStr">
        <is>
          <t>TOTAL CLASIFICADO</t>
        </is>
      </c>
      <c r="B29" s="22">
        <f>SUM(B25:B28)</f>
        <v>58.3125</v>
      </c>
      <c r="C29" s="23">
        <f>SUM(C25:C28)</f>
        <v>99.99</v>
      </c>
      <c r="D29" s="17" t="inlineStr"/>
      <c r="E29" s="17" t="inlineStr"/>
    </row>
    <row r="30">
      <c r="A30" s="24" t="inlineStr">
        <is>
          <t>Superficie de catálogo (V5/V6)</t>
        </is>
      </c>
      <c r="B30" s="25" t="n">
        <v>58.29</v>
      </c>
      <c r="C30" s="25" t="inlineStr">
        <is>
          <t>—</t>
        </is>
      </c>
      <c r="D30" s="25" t="inlineStr">
        <is>
          <t>Desviación planimétrica frente al catálogo</t>
        </is>
      </c>
      <c r="E30" s="25" t="inlineStr">
        <is>
          <t>+0.04 %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M28B3</t>
        </is>
      </c>
    </row>
    <row r="6" ht="24" customHeight="1">
      <c r="A6" s="4" t="inlineStr">
        <is>
          <t>Levantamiento del 2026-05-25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9426864</v>
      </c>
      <c r="E10" s="11" t="n">
        <v>11514.3</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634061</v>
      </c>
      <c r="C13" s="6" t="inlineStr">
        <is>
          <t>Centroide del bloque — UTM NORTE (m)</t>
        </is>
      </c>
      <c r="D13" s="7" t="n">
        <v>9426778</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al CC.PP. Ricardo Palma; la camioneta se detuvo en el centro poblado, al pie del bloque sobre la vía afirmada. Se ingresó al bloque por la zona oeste, colindante a la vía. En el interior del bloque se evidenciaron actividades agrícolas (siembra de maíz, bambú y plátano). La zona próxima a la vía y al CC.PP. es la parte más degradada del bloque. También se evidenció presencia de ganado caprino.</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M28B3</t>
        </is>
      </c>
    </row>
    <row r="6" ht="24" customHeight="1">
      <c r="A6" s="4" t="inlineStr">
        <is>
          <t>Distrito de Yamango · Provincia de Morropon · Comparación de los bloques preliminares de intervención de la misma microcuenca</t>
        </is>
      </c>
    </row>
    <row r="7"/>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7" t="n">
        <v>283.43</v>
      </c>
      <c r="C10" s="19" t="n">
        <v>58.52</v>
      </c>
      <c r="D10" s="11" t="inlineStr">
        <is>
          <t>297 – 634</t>
        </is>
      </c>
      <c r="E10" s="11" t="n">
        <v>337</v>
      </c>
      <c r="F10" s="11" t="n">
        <v>13.75</v>
      </c>
      <c r="G10" s="18" t="n">
        <v>0.4275</v>
      </c>
      <c r="H10" s="19" t="n">
        <v>18.09</v>
      </c>
      <c r="I10" s="19" t="n">
        <v>74.81</v>
      </c>
    </row>
    <row r="11">
      <c r="A11" s="14" t="inlineStr">
        <is>
          <t>M28B2</t>
        </is>
      </c>
      <c r="B11" s="28" t="n">
        <v>90.2</v>
      </c>
      <c r="C11" s="21" t="n">
        <v>18.62</v>
      </c>
      <c r="D11" s="15" t="inlineStr">
        <is>
          <t>754 – 1111</t>
        </is>
      </c>
      <c r="E11" s="15" t="n">
        <v>357</v>
      </c>
      <c r="F11" s="15" t="n">
        <v>20.65</v>
      </c>
      <c r="G11" s="20" t="n">
        <v>0.4753</v>
      </c>
      <c r="H11" s="21" t="n">
        <v>37.12</v>
      </c>
      <c r="I11" s="21" t="n">
        <v>62.19</v>
      </c>
    </row>
    <row r="12">
      <c r="A12" s="12" t="inlineStr">
        <is>
          <t>► M28B3</t>
        </is>
      </c>
      <c r="B12" s="29" t="n">
        <v>58.29</v>
      </c>
      <c r="C12" s="30" t="n">
        <v>12.04</v>
      </c>
      <c r="D12" s="13" t="inlineStr">
        <is>
          <t>73 – 777</t>
        </is>
      </c>
      <c r="E12" s="13" t="n">
        <v>704</v>
      </c>
      <c r="F12" s="13" t="n">
        <v>22.13</v>
      </c>
      <c r="G12" s="31" t="n">
        <v>0.5075</v>
      </c>
      <c r="H12" s="30" t="n">
        <v>45.27</v>
      </c>
      <c r="I12" s="30" t="n">
        <v>49.67</v>
      </c>
    </row>
    <row r="13">
      <c r="A13" s="14" t="inlineStr">
        <is>
          <t>46</t>
        </is>
      </c>
      <c r="B13" s="28" t="n">
        <v>18.87</v>
      </c>
      <c r="C13" s="21" t="n">
        <v>3.9</v>
      </c>
      <c r="D13" s="15" t="inlineStr">
        <is>
          <t>1371 – 1655</t>
        </is>
      </c>
      <c r="E13" s="15" t="n">
        <v>284</v>
      </c>
      <c r="F13" s="15" t="n">
        <v>31.77</v>
      </c>
      <c r="G13" s="20" t="n">
        <v>0.7244</v>
      </c>
      <c r="H13" s="21" t="inlineStr">
        <is>
          <t>Por determinar</t>
        </is>
      </c>
      <c r="I13" s="15" t="inlineStr">
        <is>
          <t>s/d</t>
        </is>
      </c>
    </row>
    <row r="14">
      <c r="A14" s="7" t="inlineStr">
        <is>
          <t>49</t>
        </is>
      </c>
      <c r="B14" s="27" t="n">
        <v>15.84</v>
      </c>
      <c r="C14" s="19" t="n">
        <v>3.27</v>
      </c>
      <c r="D14" s="11" t="inlineStr">
        <is>
          <t>3065 – 3246</t>
        </is>
      </c>
      <c r="E14" s="11" t="n">
        <v>181</v>
      </c>
      <c r="F14" s="11" t="n">
        <v>25.96</v>
      </c>
      <c r="G14" s="18" t="n">
        <v>0.6860000000000001</v>
      </c>
      <c r="H14" s="19" t="n">
        <v>98.8</v>
      </c>
      <c r="I14" s="19" t="n">
        <v>3.64</v>
      </c>
    </row>
    <row r="15">
      <c r="A15" s="14" t="inlineStr">
        <is>
          <t>52</t>
        </is>
      </c>
      <c r="B15" s="28" t="n">
        <v>11.06</v>
      </c>
      <c r="C15" s="21" t="n">
        <v>2.28</v>
      </c>
      <c r="D15" s="15" t="inlineStr">
        <is>
          <t>3011 – 3164</t>
        </is>
      </c>
      <c r="E15" s="15" t="n">
        <v>153</v>
      </c>
      <c r="F15" s="15" t="n">
        <v>26.16</v>
      </c>
      <c r="G15" s="20" t="n">
        <v>0.6685</v>
      </c>
      <c r="H15" s="21" t="n">
        <v>97.31999999999999</v>
      </c>
      <c r="I15" s="21" t="n">
        <v>3.8</v>
      </c>
    </row>
    <row r="16">
      <c r="A16" s="7" t="inlineStr">
        <is>
          <t>48</t>
        </is>
      </c>
      <c r="B16" s="27" t="n">
        <v>5.75</v>
      </c>
      <c r="C16" s="19" t="n">
        <v>1.19</v>
      </c>
      <c r="D16" s="11" t="inlineStr">
        <is>
          <t>1458 – 1595</t>
        </is>
      </c>
      <c r="E16" s="11" t="n">
        <v>137</v>
      </c>
      <c r="F16" s="11" t="n">
        <v>33.6</v>
      </c>
      <c r="G16" s="18" t="n">
        <v>0.6978</v>
      </c>
      <c r="H16" s="19" t="inlineStr">
        <is>
          <t>Por determinar</t>
        </is>
      </c>
      <c r="I16" s="11" t="inlineStr">
        <is>
          <t>s/d</t>
        </is>
      </c>
    </row>
    <row r="17">
      <c r="A17" s="14" t="inlineStr">
        <is>
          <t>55</t>
        </is>
      </c>
      <c r="B17" s="28" t="n">
        <v>0.86</v>
      </c>
      <c r="C17" s="21" t="n">
        <v>0.18</v>
      </c>
      <c r="D17" s="15" t="inlineStr">
        <is>
          <t>3066 – 3131</t>
        </is>
      </c>
      <c r="E17" s="15" t="n">
        <v>65</v>
      </c>
      <c r="F17" s="15" t="n">
        <v>30.04</v>
      </c>
      <c r="G17" s="20" t="n">
        <v>0.63</v>
      </c>
      <c r="H17" s="21" t="n">
        <v>100</v>
      </c>
      <c r="I17" s="21" t="n">
        <v>1.76</v>
      </c>
    </row>
    <row r="18">
      <c r="A18" s="16" t="inlineStr">
        <is>
          <t>TOTAL / PROMEDIO</t>
        </is>
      </c>
      <c r="B18" s="32">
        <f>SUM(B10:B17)</f>
        <v>484.3</v>
      </c>
      <c r="C18" s="23">
        <f>SUM(C10:C17)</f>
        <v>100.0</v>
      </c>
      <c r="D18" s="17" t="inlineStr">
        <is>
          <t>73 – 3246</t>
        </is>
      </c>
      <c r="E18" s="17" t="inlineStr"/>
      <c r="F18" s="17">
        <f>ROUND(AVERAGE(F10:F17),2)</f>
        <v>25.51</v>
      </c>
      <c r="G18" s="22">
        <f>ROUND(AVERAGE(G10:G17),4)</f>
        <v>0.6021</v>
      </c>
      <c r="H18" s="23">
        <f>ROUND(AVERAGE(H10:H17),2)</f>
        <v>66.1</v>
      </c>
      <c r="I18" s="23">
        <f>ROUND(AVERAGE(I10:I17),2)</f>
        <v>32.65</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0" t="n"/>
      <c r="C19" s="40" t="n"/>
      <c r="D19" s="40" t="n"/>
      <c r="E19" s="40" t="n"/>
      <c r="F19" s="40" t="n"/>
      <c r="G19" s="40" t="n"/>
      <c r="H19" s="41" t="n"/>
    </row>
    <row r="20"/>
    <row r="21" ht="84" customHeight="1">
      <c r="A21" s="9" t="inlineStr">
        <is>
          <t>LECTURA INTRAMICROCUENCA. El bloque M28B3 ocupa el puesto 3 de 8 por superficie dentro de la microcuenca C1086-Q9575 (12.04 % de las 484.30 ha preliminares de la microcuenca). Su pendiente promedio (22.13 %, clase «15-25% (Fuert. inclinado)») es la 3.ª más baja de 8 y se sitúa por debajo del promedio de la microcuenca (25.51 %). Su MSAVI 2024 (0.5075) es el 6.º de 8 y queda por debajo del promedio local (0.6021). Amplitud altitudinal del bloque: 704 m (73–777 msnm). El cuadro conserva todos los bloques catalogados en la microcuenca, incluidos los descartados en el tamizaje, para referencia del conjunto. Los bloques sin ficha DT figuran con sus parámetros de gabinete. BRECHA ESPECTRAL. El 49.67 % de la superficie del bloque (28.952 ha de 58.292 ha) se sitúa bajo el umbral MSAVI 0.4976, por encima del promedio local de la microcuenca (32.64 %) calculado sobre los bloques con dato MSAVI disponible.</t>
        </is>
      </c>
      <c r="B21" s="40" t="n"/>
      <c r="C21" s="40" t="n"/>
      <c r="D21" s="40" t="n"/>
      <c r="E21" s="40" t="n"/>
      <c r="F21" s="40" t="n"/>
      <c r="G21" s="40" t="n"/>
      <c r="H21" s="41" t="n"/>
    </row>
    <row r="22"/>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0" t="n"/>
      <c r="C23" s="40" t="n"/>
      <c r="D23" s="40" t="n"/>
      <c r="E23" s="40" t="n"/>
      <c r="F23" s="40" t="n"/>
      <c r="G23" s="40" t="n"/>
      <c r="H23" s="41" t="n"/>
    </row>
  </sheetData>
  <mergeCells count="10">
    <mergeCell ref="A1:I1"/>
    <mergeCell ref="A4:I4"/>
    <mergeCell ref="A3:I3"/>
    <mergeCell ref="A21:I21"/>
    <mergeCell ref="A2:I2"/>
    <mergeCell ref="A19:I19"/>
    <mergeCell ref="A5:I5"/>
    <mergeCell ref="A23:I23"/>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«C1086-Q9575»</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9426864 N) dista 11,514 m del centroide de catálogo (634061 E / 9426778 N), distancia incompatible con la superficie del bloque (58.29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(58.312 ha) coincide con la de catálogo (58.29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22.13 %,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4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«Ricardo Palma»; el cruce INEI-Bloques V5 identifica 1 centro(s) poblado(s) en el bloque: RICARDO PALMA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Las coordenadas declaradas (645 575 E / 9 426 864 N) corresponden al valor por defecto de ESTE de la plantilla y distan ~11.5 km del centroide del bloque en el catálogo (634 061 E / 9 426 780 N)</t>
        </is>
      </c>
      <c r="D18" s="36" t="inlineStr">
        <is>
          <t>SUSTANTIVA</t>
        </is>
      </c>
      <c r="E18" s="33" t="inlineStr">
        <is>
          <t>Se conserva la declaración de la ficha y se anota el centroide del catálogo; requiere ratificación del punto de muestreo</t>
        </is>
      </c>
    </row>
    <row r="19" ht="48" customHeight="1">
      <c r="A19" s="35" t="inlineStr">
        <is>
          <t>D-10</t>
        </is>
      </c>
      <c r="B19" s="35" t="inlineStr">
        <is>
          <t>F-DT-03 / F-DT-04</t>
        </is>
      </c>
      <c r="C19" s="35" t="inlineStr">
        <is>
          <t>El contenido de las secciones F-DT-03 y F-DT-04 es IDÉNTICO al de la ficha del bloque M28B2 (mismas coberturas, mismos 4 taxones con iguales DAP y alturas, misma matriz de causas y mismos indicadores)</t>
        </is>
      </c>
      <c r="D19" s="36" t="inlineStr">
        <is>
          <t>SUSTANTIVA</t>
        </is>
      </c>
      <c r="E19" s="35" t="inlineStr">
        <is>
          <t>Se registra como probable transferencia de ficha entre bloques; requiere verificación de campo diferenciada</t>
        </is>
      </c>
    </row>
    <row r="20" ht="48" customHeight="1">
      <c r="A20" s="33" t="inlineStr">
        <is>
          <t>D-11</t>
        </is>
      </c>
      <c r="B20" s="33" t="inlineStr">
        <is>
          <t>F-DT-03</t>
        </is>
      </c>
      <c r="C20" s="33" t="inlineStr">
        <is>
          <t>La tabla florística no consigna nombres científicos ni familias botánicas</t>
        </is>
      </c>
      <c r="D20" s="36" t="inlineStr">
        <is>
          <t>SUSTANTIVA</t>
        </is>
      </c>
      <c r="E20" s="33" t="inlineStr">
        <is>
          <t>Sin determinación taxonómica; requiere colecta e identificación</t>
        </is>
      </c>
    </row>
    <row r="21" ht="48" customHeight="1">
      <c r="A21" s="35" t="inlineStr">
        <is>
          <t>D-12</t>
        </is>
      </c>
      <c r="B21" s="35" t="inlineStr">
        <is>
          <t>F-DT-03</t>
        </is>
      </c>
      <c r="C21" s="35" t="inlineStr">
        <is>
          <t>Altura máxima declarada 8 m frente al Ceibo registrado con 12 m</t>
        </is>
      </c>
      <c r="D21" s="36" t="inlineStr">
        <is>
          <t>SUSTANTIVA</t>
        </is>
      </c>
      <c r="E21" s="35" t="inlineStr">
        <is>
          <t>Se conservan ambos registros sin promediar</t>
        </is>
      </c>
    </row>
    <row r="22" ht="48" customHeight="1">
      <c r="A22" s="33" t="inlineStr">
        <is>
          <t>D-13</t>
        </is>
      </c>
      <c r="B22" s="33" t="inlineStr">
        <is>
          <t>F-DT-03 / F-DT-04</t>
        </is>
      </c>
      <c r="C22" s="33" t="inlineStr">
        <is>
          <t>Suelo desnudo 20% en F-DT-03 frente a 15% en el indicador 2 del F-DT-04</t>
        </is>
      </c>
      <c r="D22" s="13" t="inlineStr">
        <is>
          <t>NO SUSTANTIVA</t>
        </is>
      </c>
      <c r="E22" s="33" t="inlineStr">
        <is>
          <t>Se conservan ambos valores con indicación de su sección de origen</t>
        </is>
      </c>
    </row>
    <row r="23" ht="48" customHeight="1">
      <c r="A23" s="35" t="inlineStr">
        <is>
          <t>D-14</t>
        </is>
      </c>
      <c r="B23" s="35" t="inlineStr">
        <is>
          <t>F-DT-04</t>
        </is>
      </c>
      <c r="C23" s="35" t="inlineStr">
        <is>
          <t>La causa 7 (cambio de uso a agricultura) tiene intensidad, extensión, antigüedad y evidencia pero la casilla de presencia quedó sin marcar</t>
        </is>
      </c>
      <c r="D23" s="13" t="inlineStr">
        <is>
          <t>NO SUSTANTIVA</t>
        </is>
      </c>
      <c r="E23" s="35" t="inlineStr">
        <is>
          <t>Se interpreta como presente por la evidencia consignada</t>
        </is>
      </c>
    </row>
    <row r="24" ht="48" customHeight="1">
      <c r="A24" s="33" t="inlineStr">
        <is>
          <t>D-15</t>
        </is>
      </c>
      <c r="B24" s="33" t="inlineStr">
        <is>
          <t>F-DT-04</t>
        </is>
      </c>
      <c r="C24" s="33" t="inlineStr">
        <is>
          <t>Indicadores 3, 4, 6 y 7 sin valor consignado</t>
        </is>
      </c>
      <c r="D24" s="13" t="inlineStr">
        <is>
          <t>NO SUSTANTIVA</t>
        </is>
      </c>
      <c r="E24" s="33" t="inlineStr">
        <is>
          <t>Sin registro en ficha; POR DETERMINAR</t>
        </is>
      </c>
    </row>
    <row r="25" ht="48" customHeight="1">
      <c r="A25" s="35" t="inlineStr">
        <is>
          <t>D-16</t>
        </is>
      </c>
      <c r="B25" s="35" t="inlineStr">
        <is>
          <t>F-DT-05</t>
        </is>
      </c>
      <c r="C25" s="35" t="inlineStr">
        <is>
          <t>Inventario de fuentes de agua vacío</t>
        </is>
      </c>
      <c r="D25" s="13" t="inlineStr">
        <is>
          <t>NO SUSTANTIVA</t>
        </is>
      </c>
      <c r="E25" s="35" t="inlineStr">
        <is>
          <t>Evaluación en época seca; requiere verificación en época húmeda</t>
        </is>
      </c>
    </row>
    <row r="26" ht="48" customHeight="1">
      <c r="A26" s="35" t="inlineStr">
        <is>
          <t>D-17</t>
        </is>
      </c>
      <c r="B26" s="35" t="inlineStr">
        <is>
          <t>Distribución areal MSAVI 2024</t>
        </is>
      </c>
      <c r="C26" s="35" t="inlineStr">
        <is>
          <t>La distribución por clase de MSAVI no figuraba en los insumos del entregable y se consignaba «Por determinar»; se incorpora la estadística zonal del ráster MSAVI clasificado (234 polígonos, 58.292 ha)</t>
        </is>
      </c>
      <c r="D26" s="13" t="inlineStr">
        <is>
          <t>CORREGIDO</t>
        </is>
      </c>
      <c r="E26"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5" t="inlineStr">
        <is>
          <t>D-18</t>
        </is>
      </c>
      <c r="B27" s="35" t="inlineStr">
        <is>
          <t>Superficie MSAVI vs. catálogo</t>
        </is>
      </c>
      <c r="C27" s="35" t="inlineStr">
        <is>
          <t>La superficie total clasificada por el MSAVI 2024 (58.292 ha) frente a la de catálogo V5/V6 (58.290 ha): desviación de +0.00 %</t>
        </is>
      </c>
      <c r="D27" s="13" t="inlineStr">
        <is>
          <t>CONFORME</t>
        </is>
      </c>
      <c r="E27" s="35" t="inlineStr">
        <is>
          <t>Sin acción: la segmentación del ráster valida la geometría del bloque dentro del ±2 %.</t>
        </is>
      </c>
    </row>
    <row r="28" ht="48" customHeight="1">
      <c r="A28" s="35" t="inlineStr">
        <is>
          <t>D-19</t>
        </is>
      </c>
      <c r="B28" s="35" t="inlineStr">
        <is>
          <t>Media MSAVI vs. clase DN dominante</t>
        </is>
      </c>
      <c r="C28" s="35" t="inlineStr">
        <is>
          <t>La media del bloque (0.5075) cae en la clase «DN 4 · 0.4976 - 0.6139 (Vigor moderado)»; la clase de mayor superficie es «DN 3 · 0.3813 - 0.4976 (Vigor bajo)», con 39.16 % del bloque. Superficie bajo el umbral 0.4976: 28.952 ha (49.67 %)</t>
        </is>
      </c>
      <c r="D28" s="13" t="inlineStr">
        <is>
          <t>NO SUSTANTIVA</t>
        </is>
      </c>
      <c r="E28" s="35" t="inlineStr">
        <is>
          <t>Se declara la divergencia: en bloques de distribución asimétrica la media puede caer en una clase distinta de la modal. Para el dimensionamiento de metas físicas debe usarse la distribución areal, no la media.</t>
        </is>
      </c>
    </row>
    <row r="29"/>
    <row r="30">
      <c r="A30" s="16" t="inlineStr">
        <is>
          <t>RESUMEN</t>
        </is>
      </c>
      <c r="B30" s="17" t="inlineStr">
        <is>
          <t>19 verificaciones</t>
        </is>
      </c>
      <c r="C30" s="17" t="inlineStr">
        <is>
          <t>CONFORME: 4 · CORREGIDO: 1 · NO SUSTANTIVA: 6 · SUSTANTIVA: 8</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0" t="n"/>
      <c r="C32" s="40" t="n"/>
      <c r="D32" s="40" t="n"/>
      <c r="E32" s="41"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M28B3 — IN Piura</dc:title>
  <dc:subject>Diagnóstico Territorial por bloque de intervención</dc:subject>
  <dcterms:created xsi:type="dcterms:W3CDTF">2026-09-08T03:39:58Z</dcterms:created>
  <dcterms:modified xsi:type="dcterms:W3CDTF">2026-09-10T00:28:31Z</dcterms:modified>
</cp:coreProperties>
</file>