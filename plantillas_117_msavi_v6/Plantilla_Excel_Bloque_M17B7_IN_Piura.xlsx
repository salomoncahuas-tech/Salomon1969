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M17B7</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Angurgo (referencia); C.P. por confirmar</t>
        </is>
      </c>
      <c r="C13" s="6" t="inlineStr">
        <is>
          <t>Comunidad campesina</t>
        </is>
      </c>
      <c r="D13" s="7" t="inlineStr">
        <is>
          <t>Por verificar</t>
        </is>
      </c>
      <c r="E13" s="8" t="n"/>
      <c r="F13" s="8" t="n"/>
    </row>
    <row r="14">
      <c r="A14" s="6" t="inlineStr">
        <is>
          <t>Superficie de catálogo (V5/V6), ha</t>
        </is>
      </c>
      <c r="B14" s="7" t="n">
        <v>258.84</v>
      </c>
      <c r="C14" s="6" t="inlineStr">
        <is>
          <t>Fuente de superficie</t>
        </is>
      </c>
      <c r="D14" s="7" t="inlineStr">
        <is>
          <t>Catálogo maestro Bloques V5/V6</t>
        </is>
      </c>
      <c r="E14" s="8" t="n"/>
      <c r="F14" s="8" t="n"/>
    </row>
    <row r="15">
      <c r="A15" s="6" t="inlineStr">
        <is>
          <t>Centroide UTM ESTE (m)</t>
        </is>
      </c>
      <c r="B15" s="7" t="n">
        <v>608472</v>
      </c>
      <c r="C15" s="6" t="inlineStr">
        <is>
          <t>Centroide UTM NORTE (m)</t>
        </is>
      </c>
      <c r="D15" s="7" t="n">
        <v>9448056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553</v>
      </c>
      <c r="C19" s="6" t="inlineStr">
        <is>
          <t>Altitud máxima (msnm)</t>
        </is>
      </c>
      <c r="D19" s="7" t="n">
        <v>1517</v>
      </c>
      <c r="E19" s="8" t="n"/>
      <c r="F19" s="8" t="n"/>
    </row>
    <row r="20">
      <c r="A20" s="6" t="inlineStr">
        <is>
          <t>Amplitud altitudinal (m)</t>
        </is>
      </c>
      <c r="B20" s="7" t="n">
        <v>964</v>
      </c>
      <c r="C20" s="6" t="inlineStr">
        <is>
          <t>Piso altitudinal dominante</t>
        </is>
      </c>
      <c r="D20" s="7" t="inlineStr">
        <is>
          <t>1000-1500 m (Quechua baja)</t>
        </is>
      </c>
      <c r="E20" s="8" t="n"/>
      <c r="F20" s="8" t="n"/>
    </row>
    <row r="21">
      <c r="A21" s="6" t="inlineStr">
        <is>
          <t>Pendiente promedio (%)</t>
        </is>
      </c>
      <c r="B21" s="7" t="n">
        <v>29.82</v>
      </c>
      <c r="C21" s="6" t="inlineStr">
        <is>
          <t>Pendiente promedio (grados)</t>
        </is>
      </c>
      <c r="D21" s="7" t="n">
        <v>16.6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0.5087</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(58.63 %)</t>
        </is>
      </c>
      <c r="E29" s="8" t="n"/>
      <c r="F29" s="8" t="n"/>
    </row>
    <row r="30">
      <c r="A30" s="6" t="inlineStr">
        <is>
          <t>Superficie clasificada NDVI 2025 (ha)</t>
        </is>
      </c>
      <c r="B30" s="7" t="n">
        <v>258.969</v>
      </c>
      <c r="C30" s="6" t="inlineStr">
        <is>
          <t>Desviación frente al catálogo (%)</t>
        </is>
      </c>
      <c r="D30" s="7" t="n">
        <v>0.05</v>
      </c>
      <c r="E30" s="8" t="n"/>
      <c r="F30" s="8" t="n"/>
    </row>
    <row r="31">
      <c r="A31" s="6" t="inlineStr">
        <is>
          <t>Superficie clasificada MSAVI 2024 (ha)</t>
        </is>
      </c>
      <c r="B31" s="39" t="n">
        <v>258.837</v>
      </c>
      <c r="C31" s="6" t="inlineStr">
        <is>
          <t>Desviación MSAVI frente al catálogo (%)</t>
        </is>
      </c>
      <c r="D31" s="40" t="n">
        <v>0</v>
      </c>
      <c r="E31" s="8" t="n"/>
      <c r="F31" s="8" t="n"/>
    </row>
    <row r="32">
      <c r="A32" s="6" t="inlineStr">
        <is>
          <t>Superficie bajo umbral MSAVI 0.4976 (ha)</t>
        </is>
      </c>
      <c r="B32" s="39" t="n">
        <v>125.266</v>
      </c>
      <c r="C32" s="6" t="inlineStr">
        <is>
          <t>% del bloque bajo umbral (brecha espectral)</t>
        </is>
      </c>
      <c r="D32" s="40" t="n">
        <v>48.4</v>
      </c>
      <c r="E32" s="8" t="n"/>
      <c r="F32" s="8" t="n"/>
    </row>
    <row r="33">
      <c r="A33" s="6" t="inlineStr">
        <is>
          <t>Clase DN dominante (MSAVI 2024)</t>
        </is>
      </c>
      <c r="B33" s="7" t="inlineStr">
        <is>
          <t>DN 3 · 0.3813 - 0.4976 (Vigor bajo)</t>
        </is>
      </c>
      <c r="C33" s="6" t="inlineStr">
        <is>
          <t>N.° de polígonos MSAVI del bloque</t>
        </is>
      </c>
      <c r="D33" s="41" t="n">
        <v>984</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258.84 ha totales — Bes-cm 114.16 ha (44.1%); ZONA AGRÍCOLA 144.68 ha (55.9%)</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≈80 (estimación ocular + gabinete)</t>
        </is>
      </c>
      <c r="E38" s="8" t="n"/>
      <c r="F38" s="8" t="n"/>
    </row>
    <row r="39">
      <c r="A39" s="6" t="inlineStr">
        <is>
          <t>Suelo desnudo — campo (%)</t>
        </is>
      </c>
      <c r="B39" s="7" t="inlineStr">
        <is>
          <t>Por determinar</t>
        </is>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t>
        </is>
      </c>
      <c r="C44" s="6" t="inlineStr">
        <is>
          <t>Fecha de evaluación</t>
        </is>
      </c>
      <c r="D44" s="7" t="inlineStr">
        <is>
          <t>2026-06-23</t>
        </is>
      </c>
      <c r="E44" s="8" t="n"/>
      <c r="F44" s="8" t="n"/>
    </row>
    <row r="45">
      <c r="A45" s="6" t="inlineStr">
        <is>
          <t>Hora de registro</t>
        </is>
      </c>
      <c r="B45" s="7" t="inlineStr">
        <is>
          <t>13:19 - 13:42 h</t>
        </is>
      </c>
      <c r="C45" s="6" t="inlineStr">
        <is>
          <t>Correlativo de ficha</t>
        </is>
      </c>
      <c r="D45" s="7" t="inlineStr">
        <is>
          <t>M17B7-DT-01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bloque (sin parcela permanente)</t>
        </is>
      </c>
      <c r="E47" s="8" t="n"/>
      <c r="F47" s="8" t="n"/>
    </row>
    <row r="48">
      <c r="A48" s="6" t="inlineStr">
        <is>
          <t>Estaciones fotográficas georreferenciadas</t>
        </is>
      </c>
      <c r="B48" s="7" t="n">
        <v>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agropecuaria de subsistencia y presión vial, sin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35.5796</v>
      </c>
      <c r="C10" s="19">
        <f>ROUND(B10/$B$15*100,2)</f>
        <v/>
      </c>
      <c r="D10" s="11" t="inlineStr">
        <is>
          <t>Vigor alto</t>
        </is>
      </c>
      <c r="E10" s="11" t="inlineStr">
        <is>
          <t>Sobre umbral</t>
        </is>
      </c>
    </row>
    <row r="11">
      <c r="A11" s="12" t="inlineStr">
        <is>
          <t>0.4976 - 0.6139 · DN 4</t>
        </is>
      </c>
      <c r="B11" s="30" t="n">
        <v>97.99169999999999</v>
      </c>
      <c r="C11" s="29">
        <f>ROUND(B11/$B$15*100,2)</f>
        <v/>
      </c>
      <c r="D11" s="13" t="inlineStr">
        <is>
          <t>Vigor moderado</t>
        </is>
      </c>
      <c r="E11" s="13" t="inlineStr">
        <is>
          <t>Sobre umbral</t>
        </is>
      </c>
    </row>
    <row r="12">
      <c r="A12" s="7" t="inlineStr">
        <is>
          <t>0.3813 - 0.4976 · DN 3</t>
        </is>
      </c>
      <c r="B12" s="18" t="n">
        <v>110.2042</v>
      </c>
      <c r="C12" s="19">
        <f>ROUND(B12/$B$15*100,2)</f>
        <v/>
      </c>
      <c r="D12" s="11" t="inlineStr">
        <is>
          <t>Vigor bajo</t>
        </is>
      </c>
      <c r="E12" s="11" t="inlineStr">
        <is>
          <t>BAJO umbral 0.4976</t>
        </is>
      </c>
    </row>
    <row r="13">
      <c r="A13" s="14" t="inlineStr">
        <is>
          <t>0.2650 - 0.3813 · DN 2</t>
        </is>
      </c>
      <c r="B13" s="20" t="n">
        <v>15.0575</v>
      </c>
      <c r="C13" s="21">
        <f>ROUND(B13/$B$15*100,2)</f>
        <v/>
      </c>
      <c r="D13" s="15" t="inlineStr">
        <is>
          <t>Vigor muy bajo</t>
        </is>
      </c>
      <c r="E13" s="15" t="inlineStr">
        <is>
          <t>BAJO umbral 0.4976</t>
        </is>
      </c>
    </row>
    <row r="14">
      <c r="A14" s="7" t="inlineStr">
        <is>
          <t>&lt;= 0.2650 · DN 1</t>
        </is>
      </c>
      <c r="B14" s="18" t="n">
        <v>0.0042</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984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258.84</v>
      </c>
      <c r="C18" s="50" t="inlineStr">
        <is>
          <t>—</t>
        </is>
      </c>
      <c r="D18" s="47" t="inlineStr">
        <is>
          <t>Desviación planimétrica frente al catálogo</t>
        </is>
      </c>
      <c r="E18" s="47" t="inlineStr">
        <is>
          <t>+0.00 %</t>
        </is>
      </c>
    </row>
    <row r="19">
      <c r="A19" s="16" t="inlineStr">
        <is>
          <t>MSAVI 2024 — MEDIA DEL BLOQUE</t>
        </is>
      </c>
      <c r="B19" s="17" t="n">
        <v>0.508715</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984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(0.5087)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151.8463</v>
      </c>
      <c r="C25" s="19" t="n">
        <v>58.63</v>
      </c>
      <c r="D25" s="11" t="inlineStr">
        <is>
          <t>Dosel continuo, matorral denso o mosaico agroforestal</t>
        </is>
      </c>
      <c r="E25" s="11" t="inlineStr"/>
    </row>
    <row r="26">
      <c r="A26" s="14" t="inlineStr">
        <is>
          <t>Vegetación mediana</t>
        </is>
      </c>
      <c r="B26" s="20" t="n">
        <v>106.1922</v>
      </c>
      <c r="C26" s="21" t="n">
        <v>41.01</v>
      </c>
      <c r="D26" s="15" t="inlineStr">
        <is>
          <t>Pastizal cultivado, matorral ralo, parcelas agrícolas</t>
        </is>
      </c>
      <c r="E26" s="15" t="inlineStr"/>
    </row>
    <row r="27">
      <c r="A27" s="7" t="inlineStr">
        <is>
          <t>Vegetación ligera</t>
        </is>
      </c>
      <c r="B27" s="18" t="n">
        <v>0.9302</v>
      </c>
      <c r="C27" s="19" t="n">
        <v>0.36</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258.84</v>
      </c>
      <c r="C29" s="25" t="inlineStr">
        <is>
          <t>—</t>
        </is>
      </c>
      <c r="D29" s="25" t="inlineStr">
        <is>
          <t>Desviación planimétrica frente al catálogo</t>
        </is>
      </c>
      <c r="E29" s="25" t="inlineStr">
        <is>
          <t>+0.05 %</t>
        </is>
      </c>
    </row>
    <row r="30"/>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2" t="n"/>
      <c r="C31" s="42" t="n"/>
      <c r="D31" s="42" t="n"/>
      <c r="E31" s="43"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M17B7</t>
        </is>
      </c>
    </row>
    <row r="6" ht="24" customHeight="1">
      <c r="A6" s="4" t="inlineStr">
        <is>
          <t>Levantamiento del 2026-06-23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608397</v>
      </c>
      <c r="D10" s="26" t="n">
        <v>9448588</v>
      </c>
      <c r="E10" s="11" t="n">
        <v>537.3</v>
      </c>
      <c r="F10" s="11" t="inlineStr"/>
      <c r="G10" s="11" t="inlineStr">
        <is>
          <t>Coordenada consignada en F-DT-01</t>
        </is>
      </c>
    </row>
    <row r="11">
      <c r="A11" s="14" t="inlineStr">
        <is>
          <t>C-01</t>
        </is>
      </c>
      <c r="B11" s="15" t="inlineStr">
        <is>
          <t>Rasgo erosivo — Por determinar</t>
        </is>
      </c>
      <c r="C11" s="27" t="n">
        <v>606809</v>
      </c>
      <c r="D11" s="27" t="n">
        <v>9446563</v>
      </c>
      <c r="E11" s="15" t="n">
        <v>2234.9</v>
      </c>
      <c r="F11" s="15" t="inlineStr">
        <is>
          <t>Activa</t>
        </is>
      </c>
      <c r="G11" s="15" t="inlineStr">
        <is>
          <t>Caminos / huellas de ganado</t>
        </is>
      </c>
    </row>
    <row r="12">
      <c r="A12" s="7" t="inlineStr">
        <is>
          <t>C-02</t>
        </is>
      </c>
      <c r="B12" s="11" t="inlineStr">
        <is>
          <t>Rasgo erosivo — Por determinar</t>
        </is>
      </c>
      <c r="C12" s="26" t="n">
        <v>606781</v>
      </c>
      <c r="D12" s="26" t="n">
        <v>9446904</v>
      </c>
      <c r="E12" s="11" t="n">
        <v>2046.1</v>
      </c>
      <c r="F12" s="11" t="inlineStr">
        <is>
          <t>Activa</t>
        </is>
      </c>
      <c r="G12" s="11" t="inlineStr">
        <is>
          <t>Tala / pérdida de cobertura</t>
        </is>
      </c>
    </row>
    <row r="13">
      <c r="A13" s="14" t="inlineStr">
        <is>
          <t>C-03</t>
        </is>
      </c>
      <c r="B13" s="15" t="inlineStr">
        <is>
          <t>Rasgo erosivo — Por determinar</t>
        </is>
      </c>
      <c r="C13" s="27" t="n">
        <v>606995</v>
      </c>
      <c r="D13" s="27" t="n">
        <v>9447237</v>
      </c>
      <c r="E13" s="15" t="n">
        <v>1688.9</v>
      </c>
      <c r="F13" s="15" t="inlineStr">
        <is>
          <t>Semi-activa</t>
        </is>
      </c>
      <c r="G13" s="15" t="inlineStr">
        <is>
          <t>Tala / pérdida de cobertura</t>
        </is>
      </c>
    </row>
    <row r="14">
      <c r="A14" s="7" t="inlineStr">
        <is>
          <t>H-01</t>
        </is>
      </c>
      <c r="B14" s="11" t="inlineStr">
        <is>
          <t>Fuente de agua — Quebrada estacional</t>
        </is>
      </c>
      <c r="C14" s="26" t="n">
        <v>608432</v>
      </c>
      <c r="D14" s="26" t="n">
        <v>9448567</v>
      </c>
      <c r="E14" s="11" t="n">
        <v>512.6</v>
      </c>
      <c r="F14" s="11" t="inlineStr">
        <is>
          <t>Estacional</t>
        </is>
      </c>
      <c r="G14" s="11" t="inlineStr">
        <is>
          <t>Curso de agua que cruza la trocha por badenes</t>
        </is>
      </c>
    </row>
    <row r="15">
      <c r="A15" s="14" t="inlineStr">
        <is>
          <t>H-02</t>
        </is>
      </c>
      <c r="B15" s="15" t="inlineStr">
        <is>
          <t>Fuente de agua — Río</t>
        </is>
      </c>
      <c r="C15" s="27" t="n">
        <v>608300</v>
      </c>
      <c r="D15" s="27" t="n">
        <v>9448700</v>
      </c>
      <c r="E15" s="15" t="n">
        <v>666.6</v>
      </c>
      <c r="F15" s="15" t="inlineStr">
        <is>
          <t>Permanente</t>
        </is>
      </c>
      <c r="G15" s="15" t="inlineStr">
        <is>
          <t>Río principal del sector, bordea el bloque por el oeste</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608472</v>
      </c>
      <c r="C18" s="6" t="inlineStr">
        <is>
          <t>Centroide del bloque — UTM NORTE (m)</t>
        </is>
      </c>
      <c r="D18" s="7" t="n">
        <v>9448056</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0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Rango altitudinal del bloque ≈767-1 481 msnm (perfil Google Earth: mín./media/máx. 767/1 066/1 481 m); ABARCA LOS PISOS YUNGA (&lt;1 000 m) EN EL FONDO DE VALLE Y QUECHUA BAJA (1 000-1 500 m) EN LAS LADERAS. Punto de muestreo referido a la foto índice 136. ESCARPES Y AFLORAMIENTOS CONCENTRADOS EN TALUDES DE CORTE DE LA TROCHA AFIRMADA. ALTITUD GPS POR DETERMINAR (la aplicación no registró msnm).</t>
        </is>
      </c>
      <c r="B21" s="42" t="n"/>
      <c r="C21" s="42" t="n"/>
      <c r="D21" s="42" t="n"/>
      <c r="E21" s="42" t="n"/>
      <c r="F21" s="42" t="n"/>
      <c r="G21" s="43"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M17B7</t>
        </is>
      </c>
    </row>
    <row r="6" ht="24" customHeight="1">
      <c r="A6" s="4" t="inlineStr">
        <is>
          <t>Distrito de Frias · Provincia de Ayabaca · Comparación de los bloques preliminares de intervención de la misma microcuenca</t>
        </is>
      </c>
    </row>
    <row r="7"/>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2" t="inlineStr">
        <is>
          <t>► M17B7</t>
        </is>
      </c>
      <c r="B10" s="28" t="n">
        <v>258.84</v>
      </c>
      <c r="C10" s="29" t="n">
        <v>29.57</v>
      </c>
      <c r="D10" s="13" t="inlineStr">
        <is>
          <t>553 – 1517</t>
        </is>
      </c>
      <c r="E10" s="13" t="n">
        <v>964</v>
      </c>
      <c r="F10" s="13" t="n">
        <v>29.82</v>
      </c>
      <c r="G10" s="30" t="n">
        <v>0.5087</v>
      </c>
      <c r="H10" s="29" t="n">
        <v>58.63</v>
      </c>
      <c r="I10" s="29" t="n">
        <v>48.4</v>
      </c>
    </row>
    <row r="11">
      <c r="A11" s="14" t="inlineStr">
        <is>
          <t>M17B4</t>
        </is>
      </c>
      <c r="B11" s="31" t="n">
        <v>124.71</v>
      </c>
      <c r="C11" s="21" t="n">
        <v>14.25</v>
      </c>
      <c r="D11" s="15" t="inlineStr">
        <is>
          <t>294 – 629</t>
        </is>
      </c>
      <c r="E11" s="15" t="n">
        <v>335</v>
      </c>
      <c r="F11" s="15" t="n">
        <v>18.69</v>
      </c>
      <c r="G11" s="20" t="n">
        <v>0.4235</v>
      </c>
      <c r="H11" s="21" t="n">
        <v>3.97</v>
      </c>
      <c r="I11" s="21" t="n">
        <v>91.94</v>
      </c>
    </row>
    <row r="12">
      <c r="A12" s="7" t="inlineStr">
        <is>
          <t>M17B6</t>
        </is>
      </c>
      <c r="B12" s="32" t="n">
        <v>106.54</v>
      </c>
      <c r="C12" s="19" t="n">
        <v>12.17</v>
      </c>
      <c r="D12" s="11" t="inlineStr">
        <is>
          <t>403 – 1049</t>
        </is>
      </c>
      <c r="E12" s="11" t="n">
        <v>646</v>
      </c>
      <c r="F12" s="11" t="n">
        <v>23.42</v>
      </c>
      <c r="G12" s="18" t="n">
        <v>0.4464</v>
      </c>
      <c r="H12" s="19" t="n">
        <v>18.53</v>
      </c>
      <c r="I12" s="19" t="n">
        <v>81.81999999999999</v>
      </c>
    </row>
    <row r="13">
      <c r="A13" s="14" t="inlineStr">
        <is>
          <t>22</t>
        </is>
      </c>
      <c r="B13" s="31" t="n">
        <v>79.33</v>
      </c>
      <c r="C13" s="21" t="n">
        <v>9.06</v>
      </c>
      <c r="D13" s="15" t="inlineStr">
        <is>
          <t>235 – 596</t>
        </is>
      </c>
      <c r="E13" s="15" t="n">
        <v>361</v>
      </c>
      <c r="F13" s="15" t="n">
        <v>22.51</v>
      </c>
      <c r="G13" s="20" t="n">
        <v>0.4232</v>
      </c>
      <c r="H13" s="21" t="n">
        <v>0.32</v>
      </c>
      <c r="I13" s="21" t="n">
        <v>93.29000000000001</v>
      </c>
    </row>
    <row r="14">
      <c r="A14" s="7" t="inlineStr">
        <is>
          <t>27</t>
        </is>
      </c>
      <c r="B14" s="32" t="n">
        <v>78.15000000000001</v>
      </c>
      <c r="C14" s="19" t="n">
        <v>8.93</v>
      </c>
      <c r="D14" s="11" t="inlineStr">
        <is>
          <t>1518 – 1895</t>
        </is>
      </c>
      <c r="E14" s="11" t="n">
        <v>377</v>
      </c>
      <c r="F14" s="11" t="n">
        <v>30.25</v>
      </c>
      <c r="G14" s="18" t="n">
        <v>0.5323</v>
      </c>
      <c r="H14" s="19" t="n">
        <v>64.75</v>
      </c>
      <c r="I14" s="19" t="n">
        <v>37.5</v>
      </c>
    </row>
    <row r="15">
      <c r="A15" s="14" t="inlineStr">
        <is>
          <t>M17B10</t>
        </is>
      </c>
      <c r="B15" s="31" t="n">
        <v>75.36</v>
      </c>
      <c r="C15" s="21" t="n">
        <v>8.609999999999999</v>
      </c>
      <c r="D15" s="15" t="inlineStr">
        <is>
          <t>466 – 902</t>
        </is>
      </c>
      <c r="E15" s="15" t="n">
        <v>436</v>
      </c>
      <c r="F15" s="15" t="n">
        <v>25.94</v>
      </c>
      <c r="G15" s="20" t="n">
        <v>0.4725</v>
      </c>
      <c r="H15" s="21" t="n">
        <v>29.2</v>
      </c>
      <c r="I15" s="21" t="n">
        <v>73.33</v>
      </c>
    </row>
    <row r="16">
      <c r="A16" s="7" t="inlineStr">
        <is>
          <t>M17B5</t>
        </is>
      </c>
      <c r="B16" s="32" t="n">
        <v>74.03</v>
      </c>
      <c r="C16" s="19" t="n">
        <v>8.460000000000001</v>
      </c>
      <c r="D16" s="11" t="inlineStr">
        <is>
          <t>794 – 1317</t>
        </is>
      </c>
      <c r="E16" s="11" t="n">
        <v>523</v>
      </c>
      <c r="F16" s="11" t="n">
        <v>27.42</v>
      </c>
      <c r="G16" s="18" t="n">
        <v>0.5482</v>
      </c>
      <c r="H16" s="19" t="n">
        <v>61.34</v>
      </c>
      <c r="I16" s="19" t="n">
        <v>28.94</v>
      </c>
    </row>
    <row r="17">
      <c r="A17" s="14" t="inlineStr">
        <is>
          <t>M17B1</t>
        </is>
      </c>
      <c r="B17" s="31" t="n">
        <v>42.45</v>
      </c>
      <c r="C17" s="21" t="n">
        <v>4.85</v>
      </c>
      <c r="D17" s="15" t="inlineStr">
        <is>
          <t>177 – 313</t>
        </is>
      </c>
      <c r="E17" s="15" t="n">
        <v>136</v>
      </c>
      <c r="F17" s="15" t="n">
        <v>14.73</v>
      </c>
      <c r="G17" s="20" t="n">
        <v>0.3323</v>
      </c>
      <c r="H17" s="21" t="n">
        <v>0</v>
      </c>
      <c r="I17" s="21" t="n">
        <v>99.84</v>
      </c>
    </row>
    <row r="18">
      <c r="A18" s="7" t="inlineStr">
        <is>
          <t>32</t>
        </is>
      </c>
      <c r="B18" s="32" t="n">
        <v>35.83</v>
      </c>
      <c r="C18" s="19" t="n">
        <v>4.09</v>
      </c>
      <c r="D18" s="11" t="inlineStr">
        <is>
          <t>197 – 269</t>
        </is>
      </c>
      <c r="E18" s="11" t="n">
        <v>72</v>
      </c>
      <c r="F18" s="11" t="n">
        <v>12.87</v>
      </c>
      <c r="G18" s="18" t="n">
        <v>0.3716</v>
      </c>
      <c r="H18" s="19" t="inlineStr">
        <is>
          <t>Por determinar</t>
        </is>
      </c>
      <c r="I18" s="11" t="inlineStr">
        <is>
          <t>s/d</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42" t="n"/>
      <c r="C20" s="42" t="n"/>
      <c r="D20" s="42" t="n"/>
      <c r="E20" s="42" t="n"/>
      <c r="F20" s="42" t="n"/>
      <c r="G20" s="42" t="n"/>
      <c r="H20" s="43" t="n"/>
    </row>
    <row r="21"/>
    <row r="22" ht="84" customHeight="1">
      <c r="A22" s="9" t="inlineStr">
        <is>
          <t>LECTURA INTRAMICROCUENCA. El bloque M17B7 ocupa el puesto 1 de 9 por superficie dentro de la microcuenca C1096-Q9556 (29.57 % de las 875.24 ha preliminares de la microcuenca). Su pendiente promedio (29.82 %, clase «25-50% (Mod. escarpado)») es la 8.ª más baja de 9 y se sitúa por encima del promedio de la microcuenca (22.85 %). Su MSAVI 2024 (0.5087) es el 3.º de 9 y queda por encima del promedio local (0.4510). Amplitud altitudinal del bloque: 964 m (553–1517 msnm). El cuadro conserva todos los bloques catalogados en la microcuenca, incluidos los descartados en el tamizaje, para referencia del conjunto. Los bloques sin ficha DT figuran con sus parámetros de gabinete. BRECHA ESPECTRAL. El 48.40 % de la superficie del bloque (125.266 ha de 258.837 ha) se sitúa bajo el umbral MSAVI 0.4976, por debajo del promedio local de la microcuenca (69.38 %) calculado sobre los bloques con dato MSAVI disponible.</t>
        </is>
      </c>
      <c r="B22" s="42" t="n"/>
      <c r="C22" s="42" t="n"/>
      <c r="D22" s="42" t="n"/>
      <c r="E22" s="42" t="n"/>
      <c r="F22" s="42" t="n"/>
      <c r="G22" s="42" t="n"/>
      <c r="H22" s="43"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2" t="n"/>
      <c r="C24" s="42" t="n"/>
      <c r="D24" s="42" t="n"/>
      <c r="E24" s="42" t="n"/>
      <c r="F24" s="42" t="n"/>
      <c r="G24" s="42" t="n"/>
      <c r="H24" s="43" t="n"/>
    </row>
  </sheetData>
  <mergeCells count="10">
    <mergeCell ref="A1:I1"/>
    <mergeCell ref="A4:I4"/>
    <mergeCell ref="A3:I3"/>
    <mergeCell ref="A20:I20"/>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M17B7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«C1096-Q9556»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537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(258.969 ha) coincide con la de catálogo (258.84 ha) dentro del ±2 % (+0.05 %)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 el bloque abarca también Yunga en el fondo de valle»; el MDE sitúa el bloque entre 553 y 1517 msnm, cuyo punto medio corresponde a «1000-1500 m (Quechua baja)»</t>
        </is>
      </c>
      <c r="D13" s="13"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Altitud GPS del punto de muestreo</t>
        </is>
      </c>
      <c r="C14" s="34" t="inlineStr">
        <is>
          <t>La aplicación de captura no registró altitud GPS en campo</t>
        </is>
      </c>
      <c r="D14" s="13" t="inlineStr">
        <is>
          <t>NO SUSTANTIVA</t>
        </is>
      </c>
      <c r="E14" s="34" t="inlineStr">
        <is>
          <t>El rango altitudinal del bloque (553–1517 msnm) y la pendiente promedio (29.82 %) se toman de la estadística zonal sobre el MDE, no de medición de campo. Se declara la fuente.</t>
        </is>
      </c>
    </row>
    <row r="15" ht="48" customHeight="1">
      <c r="A15" s="36" t="inlineStr">
        <is>
          <t>D-06</t>
        </is>
      </c>
      <c r="B15" s="36" t="inlineStr">
        <is>
          <t>Dimensiones del inventario de cárcavas</t>
        </is>
      </c>
      <c r="C15" s="36" t="inlineStr">
        <is>
          <t>Se registran 3 rasgos erosivos, pero longitud, profundidad y ancho no fueron medidos instrumentalmente</t>
        </is>
      </c>
      <c r="D15" s="13"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«Angurgo (referencia); C.P. por confirmar»; el cruce INEI-Bloques V5 identifica 1 centro(s) poblado(s) en el bloque: PAMPA DE RAMADA</t>
        </is>
      </c>
      <c r="D17" s="13" t="inlineStr">
        <is>
          <t>NO SUSTANTIVA</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el rango del perfil 767-1481 msnm</t>
        </is>
      </c>
    </row>
    <row r="20" ht="48" customHeight="1">
      <c r="A20" s="34" t="inlineStr">
        <is>
          <t>D-11</t>
        </is>
      </c>
      <c r="B20" s="34" t="inlineStr">
        <is>
          <t>F-DT-01</t>
        </is>
      </c>
      <c r="C20" s="34" t="inlineStr">
        <is>
          <t>Altitud GPS no registrada por la aplicación</t>
        </is>
      </c>
      <c r="D20" s="13" t="inlineStr">
        <is>
          <t>NO SUSTANTIVA</t>
        </is>
      </c>
      <c r="E20" s="34" t="inlineStr">
        <is>
          <t>Por levantar</t>
        </is>
      </c>
    </row>
    <row r="21" ht="48" customHeight="1">
      <c r="A21" s="36" t="inlineStr">
        <is>
          <t>D-12</t>
        </is>
      </c>
      <c r="B21" s="36" t="inlineStr">
        <is>
          <t>F-DT-01</t>
        </is>
      </c>
      <c r="C21" s="36" t="inlineStr">
        <is>
          <t>El bloque abarca dos pisos altitudinales (Yunga en el fondo de valle y Quechua baja en las laderas)</t>
        </is>
      </c>
      <c r="D21" s="13" t="inlineStr">
        <is>
          <t>NO SUSTANTIVA</t>
        </is>
      </c>
      <c r="E21" s="36" t="inlineStr">
        <is>
          <t>Se consigna la clase de mayor superficie</t>
        </is>
      </c>
    </row>
    <row r="22" ht="48" customHeight="1">
      <c r="A22" s="34" t="inlineStr">
        <is>
          <t>D-13</t>
        </is>
      </c>
      <c r="B22" s="34" t="inlineStr">
        <is>
          <t>F-DT-02</t>
        </is>
      </c>
      <c r="C22" s="34" t="inlineStr">
        <is>
          <t>Las 3 cárcavas inventariadas se ubican a más de 1.5 km al SO del punto de muestreo y a ≈2 km del centroide</t>
        </is>
      </c>
      <c r="D22" s="37" t="inlineStr">
        <is>
          <t>SUSTANTIVA</t>
        </is>
      </c>
      <c r="E22" s="34" t="inlineStr">
        <is>
          <t>Verificar su pertenencia al polígono</t>
        </is>
      </c>
    </row>
    <row r="23" ht="48" customHeight="1">
      <c r="A23" s="36" t="inlineStr">
        <is>
          <t>D-14</t>
        </is>
      </c>
      <c r="B23" s="36" t="inlineStr">
        <is>
          <t>F-DT-02</t>
        </is>
      </c>
      <c r="C23" s="36" t="inlineStr">
        <is>
          <t>Dimensiones instrumentales de las cárcavas sin medir</t>
        </is>
      </c>
      <c r="D23" s="13" t="inlineStr">
        <is>
          <t>NO SUSTANTIVA</t>
        </is>
      </c>
      <c r="E23" s="36" t="inlineStr">
        <is>
          <t>Levantamiento a cargo del especialista de Infraestructura Marrón</t>
        </is>
      </c>
    </row>
    <row r="24" ht="48" customHeight="1">
      <c r="A24" s="34" t="inlineStr">
        <is>
          <t>D-15</t>
        </is>
      </c>
      <c r="B24" s="34" t="inlineStr">
        <is>
          <t>F-DT-03</t>
        </is>
      </c>
      <c r="C24" s="34" t="inlineStr">
        <is>
          <t>EL 55.9% DEL BLOQUE (144.68 ha) ES ZONA AGRÍCOLA; solo 114.16 ha corresponden a Bes-cm</t>
        </is>
      </c>
      <c r="D24" s="37" t="inlineStr">
        <is>
          <t>SUSTANTIVA</t>
        </is>
      </c>
      <c r="E24" s="34" t="inlineStr">
        <is>
          <t>El indicador de brecha y el área efectiva deben calcularse sobre las 114.16 ha; tamizaje predial obligatorio</t>
        </is>
      </c>
    </row>
    <row r="25" ht="48" customHeight="1">
      <c r="A25" s="36" t="inlineStr">
        <is>
          <t>D-16</t>
        </is>
      </c>
      <c r="B25" s="36" t="inlineStr">
        <is>
          <t>F-DT-03</t>
        </is>
      </c>
      <c r="C25" s="36" t="inlineStr">
        <is>
          <t>Coberturas por estrato, alturas, DAP y pendiente de parcela sin medir</t>
        </is>
      </c>
      <c r="D25" s="37" t="inlineStr">
        <is>
          <t>SUSTANTIVA</t>
        </is>
      </c>
      <c r="E25" s="36" t="inlineStr">
        <is>
          <t>Levantamiento pendiente</t>
        </is>
      </c>
    </row>
    <row r="26" ht="48" customHeight="1">
      <c r="A26" s="34" t="inlineStr">
        <is>
          <t>D-17</t>
        </is>
      </c>
      <c r="B26" s="34" t="inlineStr">
        <is>
          <t>F-DT-04</t>
        </is>
      </c>
      <c r="C26" s="34" t="inlineStr">
        <is>
          <t>Densidad de cárcavas, carga ganadera, frecuencia de quemas y % pendiente &gt;50% por determinar</t>
        </is>
      </c>
      <c r="D26" s="13" t="inlineStr">
        <is>
          <t>NO SUSTANTIVA</t>
        </is>
      </c>
      <c r="E26" s="34" t="inlineStr">
        <is>
          <t>Cuantificación pendiente</t>
        </is>
      </c>
    </row>
    <row r="27" ht="48" customHeight="1">
      <c r="A27" s="34" t="inlineStr">
        <is>
          <t>D-18</t>
        </is>
      </c>
      <c r="B27" s="34" t="inlineStr">
        <is>
          <t>Distribución areal MSAVI 2024</t>
        </is>
      </c>
      <c r="C27" s="34" t="inlineStr">
        <is>
          <t>La distribución por clase de MSAVI no figuraba en los insumos del entregable y se consignaba «Por determinar»; se incorpora la estadística zonal del ráster MSAVI clasificado (984 polígonos, 258.837 ha)</t>
        </is>
      </c>
      <c r="D27" s="13" t="inlineStr">
        <is>
          <t>CORREGIDO</t>
        </is>
      </c>
      <c r="E2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8" ht="48" customHeight="1">
      <c r="A28" s="34" t="inlineStr">
        <is>
          <t>D-19</t>
        </is>
      </c>
      <c r="B28" s="34" t="inlineStr">
        <is>
          <t>Superficie MSAVI vs. catálogo</t>
        </is>
      </c>
      <c r="C28" s="34" t="inlineStr">
        <is>
          <t>La superficie total clasificada por el MSAVI 2024 (258.837 ha) frente a la de catálogo V5/V6 (258.840 ha): desviación de +0.00 %</t>
        </is>
      </c>
      <c r="D28" s="13" t="inlineStr">
        <is>
          <t>CONFORME</t>
        </is>
      </c>
      <c r="E28" s="34" t="inlineStr">
        <is>
          <t>Sin acción: la segmentación del ráster valida la geometría del bloque dentro del ±2 %.</t>
        </is>
      </c>
    </row>
    <row r="29" ht="48" customHeight="1">
      <c r="A29" s="34" t="inlineStr">
        <is>
          <t>D-20</t>
        </is>
      </c>
      <c r="B29" s="34" t="inlineStr">
        <is>
          <t>Media MSAVI vs. clase DN dominante</t>
        </is>
      </c>
      <c r="C29" s="34" t="inlineStr">
        <is>
          <t>La media del bloque (0.5087) cae en la clase «DN 4 · 0.4976 - 0.6139 (Vigor moderado)»; la clase de mayor superficie es «DN 3 · 0.3813 - 0.4976 (Vigor bajo)», con 42.58 % del bloque. Superficie bajo el umbral 0.4976: 125.266 ha (48.40 %)</t>
        </is>
      </c>
      <c r="D29" s="13" t="inlineStr">
        <is>
          <t>NO SUSTANTIVA</t>
        </is>
      </c>
      <c r="E29" s="34" t="inlineStr">
        <is>
          <t>Se declara la divergencia: en bloques de distribución asimétrica la media puede caer en una clase distinta de la modal. Para el dimensionamiento de metas físicas debe usarse la distribución areal, no la media.</t>
        </is>
      </c>
    </row>
    <row r="30"/>
    <row r="31">
      <c r="A31" s="16" t="inlineStr">
        <is>
          <t>RESUMEN</t>
        </is>
      </c>
      <c r="B31" s="17" t="inlineStr">
        <is>
          <t>20 verificaciones</t>
        </is>
      </c>
      <c r="C31" s="17" t="inlineStr">
        <is>
          <t>CONFORME: 4 · CORREGIDO: 2 · NO SUSTANTIVA: 9 · SUSTANTIVA: 5</t>
        </is>
      </c>
      <c r="D31" s="17" t="inlineStr"/>
      <c r="E31" s="17" t="inlineStr"/>
    </row>
    <row r="32"/>
    <row r="33" ht="60" customHeight="1">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3" s="42" t="n"/>
      <c r="C33" s="42" t="n"/>
      <c r="D33" s="42" t="n"/>
      <c r="E33" s="43" t="n"/>
    </row>
  </sheetData>
  <mergeCells count="8">
    <mergeCell ref="A4:E4"/>
    <mergeCell ref="A2:E2"/>
    <mergeCell ref="A33:E33"/>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M17B7 — IN Piura</dc:title>
  <dc:subject>Diagnóstico Territorial por bloque de intervención</dc:subject>
  <dcterms:created xsi:type="dcterms:W3CDTF">2026-09-08T03:39:57Z</dcterms:created>
  <dcterms:modified xsi:type="dcterms:W3CDTF">2026-09-09T23:30:54Z</dcterms:modified>
</cp:coreProperties>
</file>