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M32B3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M32B3</t>
        </is>
      </c>
      <c r="C9" s="6" t="inlineStr">
        <is>
          <t>Microcuenca (catálogo)</t>
        </is>
      </c>
      <c r="D9" s="7" t="inlineStr">
        <is>
          <t>C1086-Q9569</t>
        </is>
      </c>
      <c r="E9" s="8" t="n"/>
      <c r="F9" s="8" t="n"/>
    </row>
    <row r="10">
      <c r="A10" s="6" t="inlineStr">
        <is>
          <t>Zona de planificación</t>
        </is>
      </c>
      <c r="B10" s="7" t="inlineStr">
        <is>
          <t>Z05</t>
        </is>
      </c>
      <c r="C10" s="6" t="inlineStr">
        <is>
          <t>Microcuenca declarada en ficha DT</t>
        </is>
      </c>
      <c r="D10" s="7" t="inlineStr">
        <is>
          <t>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Maray</t>
        </is>
      </c>
      <c r="C13" s="6" t="inlineStr">
        <is>
          <t>Comunidad campesina</t>
        </is>
      </c>
      <c r="D13" s="7" t="inlineStr">
        <is>
          <t>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618248</v>
      </c>
      <c r="C15" s="6" t="inlineStr">
        <is>
          <t>Centroide UTM NORTE (m)</t>
        </is>
      </c>
      <c r="D15" s="7" t="n">
        <v>9426493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v>
      </c>
      <c r="C19" s="6" t="inlineStr">
        <is>
          <t>Altitud máxima (msnm)</t>
        </is>
      </c>
      <c r="D19" s="7" t="n">
        <v>438</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18.79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18.79% (clase 15-25%); el rango de campo corresponde a los sectores de ladera efectivamente recorridos, con pendiente predominante registrada de 45%</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0.3852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(58.77 %)</t>
        </is>
      </c>
      <c r="E29" s="8" t="n"/>
      <c r="F29" s="8" t="n"/>
    </row>
    <row r="30">
      <c r="A30" s="6" t="inlineStr">
        <is>
          <t>Superficie clasificada NDVI 2025 (ha)</t>
        </is>
      </c>
      <c r="B30" s="7" t="n">
        <v>50.995</v>
      </c>
      <c r="C30" s="6" t="inlineStr">
        <is>
          <t>Desviación frente al catálogo (%)</t>
        </is>
      </c>
      <c r="D30" s="7" t="n">
        <v>0.05</v>
      </c>
      <c r="E30" s="8" t="n"/>
      <c r="F30" s="8" t="n"/>
    </row>
    <row r="31">
      <c r="A31" s="6" t="inlineStr">
        <is>
          <t>Superficie clasificada MSAVI 2024 (ha)</t>
        </is>
      </c>
      <c r="B31" s="38" t="n">
        <v>50.972</v>
      </c>
      <c r="C31" s="6" t="inlineStr">
        <is>
          <t>Desviación MSAVI frente al catálogo (%)</t>
        </is>
      </c>
      <c r="D31" s="39" t="n">
        <v>0</v>
      </c>
      <c r="E31" s="8" t="n"/>
      <c r="F31" s="8" t="n"/>
    </row>
    <row r="32">
      <c r="A32" s="6" t="inlineStr">
        <is>
          <t>Superficie bajo umbral MSAVI 0.4976 (ha)</t>
        </is>
      </c>
      <c r="B32" s="38" t="n">
        <v>47.851</v>
      </c>
      <c r="C32" s="6" t="inlineStr">
        <is>
          <t>% del bloque bajo umbral (brecha espectral)</t>
        </is>
      </c>
      <c r="D32" s="39" t="n">
        <v>93.88</v>
      </c>
      <c r="E32" s="8" t="n"/>
      <c r="F32" s="8" t="n"/>
    </row>
    <row r="33">
      <c r="A33" s="6" t="inlineStr">
        <is>
          <t>Clase DN dominante (MSAVI 2024)</t>
        </is>
      </c>
      <c r="B33" s="7" t="inlineStr">
        <is>
          <t>DN 3 · 0.3813 - 0.4976 (Vigor bajo)</t>
        </is>
      </c>
      <c r="C33" s="6" t="inlineStr">
        <is>
          <t>N.° de polígonos MSAVI del bloque</t>
        </is>
      </c>
      <c r="D33" s="40" t="n">
        <v>218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50.972 ha (100% del bloque)</t>
        </is>
      </c>
      <c r="E36" s="8" t="n"/>
      <c r="F36" s="8" t="n"/>
    </row>
    <row r="37">
      <c r="A37" s="6" t="inlineStr">
        <is>
          <t>Estado de conservación</t>
        </is>
      </c>
      <c r="B37" s="7" t="inlineStr">
        <is>
          <t>Levemente alterado</t>
        </is>
      </c>
      <c r="C37" s="6" t="inlineStr">
        <is>
          <t>Uso actual dominante del suelo</t>
        </is>
      </c>
      <c r="D37" s="7" t="inlineStr">
        <is>
          <t>Forestal de protección</t>
        </is>
      </c>
      <c r="E37" s="8" t="n"/>
      <c r="F37" s="8" t="n"/>
    </row>
    <row r="38">
      <c r="A38" s="6" t="inlineStr">
        <is>
          <t>Tipo de cobertura dominante</t>
        </is>
      </c>
      <c r="B38" s="7" t="inlineStr">
        <is>
          <t>Bosque denso (&gt;70%)</t>
        </is>
      </c>
      <c r="C38" s="6" t="inlineStr">
        <is>
          <t>Cobertura vegetal total — campo (%)</t>
        </is>
      </c>
      <c r="D38" s="7" t="n">
        <v>80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 Ing. Héctor S. Cahuas Miller</t>
        </is>
      </c>
      <c r="C44" s="6" t="inlineStr">
        <is>
          <t>Fecha de evaluación</t>
        </is>
      </c>
      <c r="D44" s="7" t="inlineStr">
        <is>
          <t>2026-05-06</t>
        </is>
      </c>
      <c r="E44" s="8" t="n"/>
      <c r="F44" s="8" t="n"/>
    </row>
    <row r="45">
      <c r="A45" s="6" t="inlineStr">
        <is>
          <t>Hora de registro</t>
        </is>
      </c>
      <c r="B45" s="7" t="inlineStr">
        <is>
          <t>12:05 h</t>
        </is>
      </c>
      <c r="C45" s="6" t="inlineStr">
        <is>
          <t>Correlativo de ficha</t>
        </is>
      </c>
      <c r="D45" s="7" t="inlineStr">
        <is>
          <t>2</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El entregable [E1] la atribuye a la demanda de leña de la población de Maray</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M32B3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3.1211</v>
      </c>
      <c r="C11" s="21">
        <f>ROUND(B11/$B$15*100,2)</f>
        <v>6.12</v>
      </c>
      <c r="D11" s="13" t="inlineStr">
        <is>
          <t>Vigor moderado</t>
        </is>
      </c>
      <c r="E11" s="13" t="inlineStr">
        <is>
          <t>Sobre umbral</t>
        </is>
      </c>
    </row>
    <row r="12">
      <c r="A12" s="14" t="inlineStr">
        <is>
          <t>0.3813 - 0.4976 · DN 3</t>
        </is>
      </c>
      <c r="B12" s="30" t="n">
        <v>23.374</v>
      </c>
      <c r="C12" s="29">
        <f>ROUND(B12/$B$15*100,2)</f>
        <v>45.86</v>
      </c>
      <c r="D12" s="15" t="inlineStr">
        <is>
          <t>Vigor bajo</t>
        </is>
      </c>
      <c r="E12" s="15" t="inlineStr">
        <is>
          <t>BAJO umbral 0.4976</t>
        </is>
      </c>
    </row>
    <row r="13">
      <c r="A13" s="12" t="inlineStr">
        <is>
          <t>0.2650 - 0.3813 · DN 2</t>
        </is>
      </c>
      <c r="B13" s="20" t="n">
        <v>23.3136</v>
      </c>
      <c r="C13" s="21">
        <f>ROUND(B13/$B$15*100,2)</f>
        <v>45.74</v>
      </c>
      <c r="D13" s="13" t="inlineStr">
        <is>
          <t>Vigor muy bajo</t>
        </is>
      </c>
      <c r="E13" s="13" t="inlineStr">
        <is>
          <t>BAJO umbral 0.4976</t>
        </is>
      </c>
    </row>
    <row r="14">
      <c r="A14" s="7" t="inlineStr">
        <is>
          <t>&lt;= 0.2650 · DN 1</t>
        </is>
      </c>
      <c r="B14" s="18" t="n">
        <v>1.1636</v>
      </c>
      <c r="C14" s="19">
        <f>ROUND(B14/$B$15*100,2)</f>
        <v>2.28</v>
      </c>
      <c r="D14" s="11" t="inlineStr">
        <is>
          <t>Suelo desnudo / no vegetal</t>
        </is>
      </c>
      <c r="E14" s="11" t="inlineStr">
        <is>
          <t>BAJO umbral 0.4976</t>
        </is>
      </c>
    </row>
    <row r="15" ht="30" customHeight="1">
      <c r="A15" s="43" t="inlineStr">
        <is>
          <t>TOTAL CLASIFICADO MSAVI 2024</t>
        </is>
      </c>
      <c r="B15" s="44">
        <f>SUM(B10:B14)</f>
        <v>50.9723</v>
      </c>
      <c r="C15" s="45">
        <f>SUM(C10:C14)</f>
        <v>100.0</v>
      </c>
      <c r="D15" s="43" t="inlineStr">
        <is>
          <t>Suma de la distribución areal · 218 polígonos</t>
        </is>
      </c>
      <c r="E15" s="43" t="inlineStr">
        <is>
          <t>—</t>
        </is>
      </c>
    </row>
    <row r="16" ht="30" customHeight="1">
      <c r="A16" s="46" t="inlineStr">
        <is>
          <t>Superficie SOBRE umbral 0.4976 (ha)</t>
        </is>
      </c>
      <c r="B16" s="47">
        <f>SUM(B10:B11)</f>
        <v>3.1211</v>
      </c>
      <c r="C16" s="48">
        <f>ROUND(B16/B15*100,2)</f>
        <v>6.12</v>
      </c>
      <c r="D16" s="46" t="inlineStr">
        <is>
          <t>Vigor alto y moderado (DN 4 y DN 5)</t>
        </is>
      </c>
      <c r="E16" s="46" t="inlineStr">
        <is>
          <t>Sobre umbral 0.4976</t>
        </is>
      </c>
    </row>
    <row r="17" ht="30" customHeight="1">
      <c r="A17" s="46" t="inlineStr">
        <is>
          <t>Superficie BAJO umbral 0.4976 (ha) — brecha</t>
        </is>
      </c>
      <c r="B17" s="47">
        <f>SUM(B12:B14)</f>
        <v>47.8512</v>
      </c>
      <c r="C17" s="48">
        <f>ROUND(B17/B15*100,2)</f>
        <v>93.88</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50.97</v>
      </c>
      <c r="C18" s="49" t="inlineStr">
        <is>
          <t>—</t>
        </is>
      </c>
      <c r="D18" s="46" t="inlineStr">
        <is>
          <t>Desviación planimétrica frente al catálogo</t>
        </is>
      </c>
      <c r="E18" s="46" t="inlineStr">
        <is>
          <t>+0.00 %</t>
        </is>
      </c>
    </row>
    <row r="19">
      <c r="A19" s="16" t="inlineStr">
        <is>
          <t>MSAVI 2024 — MEDIA DEL BLOQUE</t>
        </is>
      </c>
      <c r="B19" s="17" t="n">
        <v>0.385213</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(0.3852)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0.2483</v>
      </c>
      <c r="C25" s="19" t="n">
        <v>0.49</v>
      </c>
      <c r="D25" s="11" t="inlineStr">
        <is>
          <t>Dosel continuo, matorral denso o mosaico agroforestal</t>
        </is>
      </c>
      <c r="E25" s="11" t="inlineStr"/>
    </row>
    <row r="26">
      <c r="A26" s="12" t="inlineStr">
        <is>
          <t>Vegetación mediana</t>
        </is>
      </c>
      <c r="B26" s="20" t="n">
        <v>19.8476</v>
      </c>
      <c r="C26" s="21" t="n">
        <v>38.92</v>
      </c>
      <c r="D26" s="13" t="inlineStr">
        <is>
          <t>Pastizal cultivado, matorral ralo, parcelas agrícolas</t>
        </is>
      </c>
      <c r="E26" s="13" t="inlineStr"/>
    </row>
    <row r="27">
      <c r="A27" s="7" t="inlineStr">
        <is>
          <t>Vegetación ligera</t>
        </is>
      </c>
      <c r="B27" s="18" t="n">
        <v>29.9724</v>
      </c>
      <c r="C27" s="19" t="n">
        <v>58.77</v>
      </c>
      <c r="D27" s="11" t="inlineStr">
        <is>
          <t>Cobertura discontinua, suelo parcialmente expuesto</t>
        </is>
      </c>
      <c r="E27" s="11" t="inlineStr"/>
    </row>
    <row r="28">
      <c r="A28" s="12" t="inlineStr">
        <is>
          <t>Tierra desnuda</t>
        </is>
      </c>
      <c r="B28" s="20" t="n">
        <v>0.9273</v>
      </c>
      <c r="C28" s="21" t="n">
        <v>1.82</v>
      </c>
      <c r="D28" s="13" t="inlineStr">
        <is>
          <t>Suelo desnudo, afloramientos, plataformas y taludes</t>
        </is>
      </c>
      <c r="E28" s="13" t="inlineStr"/>
    </row>
    <row r="29">
      <c r="A29" s="16" t="inlineStr">
        <is>
          <t>TOTAL CLASIFICADO</t>
        </is>
      </c>
      <c r="B29" s="22">
        <f>SUM(B25:B28)</f>
        <v>50.9956</v>
      </c>
      <c r="C29" s="23">
        <f>SUM(C25:C28)</f>
        <v>100.0</v>
      </c>
      <c r="D29" s="17" t="inlineStr"/>
      <c r="E29" s="17" t="inlineStr"/>
    </row>
    <row r="30">
      <c r="A30" s="24" t="inlineStr">
        <is>
          <t>Superficie de catálogo (V5/V6)</t>
        </is>
      </c>
      <c r="B30" s="25" t="n">
        <v>50.97</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0.49 % del polígono clasificado como «Vegetación alta» por el NDVI 2025; la observación de campo corresponde a una parcela o recorrido puntual y no es estadísticamente representativa de las 50.970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M32B3</t>
        </is>
      </c>
    </row>
    <row r="6" ht="24" customHeight="1">
      <c r="A6" s="4" t="inlineStr">
        <is>
          <t>Levantamiento del 2026-05-06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618122</v>
      </c>
      <c r="D10" s="26" t="n">
        <v>9426329</v>
      </c>
      <c r="E10" s="11" t="n">
        <v>206.8</v>
      </c>
      <c r="F10" s="11" t="inlineStr"/>
      <c r="G10" s="11" t="inlineStr">
        <is>
          <t>Coordenada consignada en F-DT-01</t>
        </is>
      </c>
    </row>
    <row r="11">
      <c r="A11" s="12" t="inlineStr">
        <is>
          <t>H-01</t>
        </is>
      </c>
      <c r="B11" s="13" t="inlineStr">
        <is>
          <t>Fuente de agua — 1</t>
        </is>
      </c>
      <c r="C11" s="27" t="inlineStr">
        <is>
          <t>Quebrada estacional</t>
        </is>
      </c>
      <c r="D11" s="27" t="inlineStr">
        <is>
          <t>Sin coordenadas UTM consignadas</t>
        </is>
      </c>
      <c r="E11" s="13" t="inlineStr"/>
      <c r="F11" s="13" t="inlineStr"/>
      <c r="G11" s="13" t="inlineStr"/>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618248</v>
      </c>
      <c r="C14" s="6" t="inlineStr">
        <is>
          <t>Centroide del bloque — UTM NORTE (m)</t>
        </is>
      </c>
      <c r="D14" s="7" t="n">
        <v>9426493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6"/>
    <row r="17" ht="22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HALLAZGO DE RIESGO: el bloque registra REMOCIÓN EN MASA ACTIVA como proceso puntual en una porción reducida del polígono, con pendiente alta — es el único de los cinco bloques del paquete con un proceso de remoción en masa activo verificado en campo. La ficha F-EE-05 lo consigna como peligro observado. La pendiente del 45% en sectores específicos requiere especial atención en el diseño de medidas de control de erosión, priorizando soluciones basadas en vegetación con especies de raíz profunda y anclaje efectivo. Existe una reducida área de pendiente alta que ha sufrido un DESLIZAMIENTO dejando el suelo expuesto; en algunos tramos existen quebradas por donde desfoga el agua de las laderas formando surcos, pero en un área FUERA del bloque. FACTORES LIMITANTES [E1]: (a) FACTOR ANTRÓPICO — la tala para leña por la población de Maray sugiere delimitar subáreas según el nivel de presión (baja para conservación, media para restauración activa); en caso de mayor presión podrían excluirse. (b) FACTOR EXTERNO TOPOGRÁFICO — pendientes mayores al 45%, en particular las superiores al 70%; se recomienda EXCLUIR del bloque las zonas con pendiente &gt;70% para evitar riesgos operativos. La quebrada estacional inactiva registrada dentro del bloque no constituye limitante; no se reportaron conflictos de tenencia; el acceso vehicular más caminata &lt;30 min no limita. PARÁMETROS GEOESPACIALES: rango 184-438 msnm, pendiente promedio 18.79%, MSAVI medio 2024 = 0.3852, área 50.97 ha, zona Z05, centroide E 618 248 / N 9 426 493.</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M32B3</t>
        </is>
      </c>
    </row>
    <row r="6" ht="24" customHeight="1">
      <c r="A6" s="4" t="inlineStr">
        <is>
          <t>Distrito de Morropon · Provincia de Morropon · Comparación de los bloques preliminares de intervención de la misma microcuenca</t>
        </is>
      </c>
    </row>
    <row r="7"/>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M32B3</t>
        </is>
      </c>
      <c r="B10" s="28" t="n">
        <v>50.97</v>
      </c>
      <c r="C10" s="29" t="n">
        <v>81.63</v>
      </c>
      <c r="D10" s="15" t="inlineStr">
        <is>
          <t>184 – 438</t>
        </is>
      </c>
      <c r="E10" s="15" t="n">
        <v>254</v>
      </c>
      <c r="F10" s="15" t="n">
        <v>18.79</v>
      </c>
      <c r="G10" s="30" t="n">
        <v>0.3852</v>
      </c>
      <c r="H10" s="29" t="n">
        <v>0.49</v>
      </c>
      <c r="I10" s="29" t="n">
        <v>93.88</v>
      </c>
    </row>
    <row r="11">
      <c r="A11" s="12" t="inlineStr">
        <is>
          <t>58</t>
        </is>
      </c>
      <c r="B11" s="31" t="n">
        <v>11.47</v>
      </c>
      <c r="C11" s="21" t="n">
        <v>18.37</v>
      </c>
      <c r="D11" s="13" t="inlineStr">
        <is>
          <t>209 – 288</t>
        </is>
      </c>
      <c r="E11" s="13" t="n">
        <v>79</v>
      </c>
      <c r="F11" s="13" t="n">
        <v>16.09</v>
      </c>
      <c r="G11" s="20" t="n">
        <v>0.4203</v>
      </c>
      <c r="H11" s="21" t="n">
        <v>0.09</v>
      </c>
      <c r="I11" s="21" t="n">
        <v>97.45</v>
      </c>
    </row>
    <row r="12">
      <c r="A12" s="16" t="inlineStr">
        <is>
          <t>TOTAL / PROMEDIO</t>
        </is>
      </c>
      <c r="B12" s="32">
        <f>SUM(B10:B11)</f>
        <v>62.44</v>
      </c>
      <c r="C12" s="23">
        <f>SUM(C10:C11)</f>
        <v>100.0</v>
      </c>
      <c r="D12" s="17" t="inlineStr">
        <is>
          <t>184 – 438</t>
        </is>
      </c>
      <c r="E12" s="17" t="inlineStr"/>
      <c r="F12" s="17">
        <f>ROUND(AVERAGE(F10:F11),2)</f>
        <v>17.44</v>
      </c>
      <c r="G12" s="22">
        <f>ROUND(AVERAGE(G10:G11),4)</f>
        <v>0.4027</v>
      </c>
      <c r="H12" s="23">
        <f>ROUND(AVERAGE(H10:H11),2)</f>
        <v>0.29</v>
      </c>
      <c r="I12" s="23">
        <f>ROUND(AVERAGE(I10:I11),2)</f>
        <v>95.66</v>
      </c>
    </row>
    <row r="13"/>
    <row r="14" ht="84" customHeight="1">
      <c r="A14" s="9" t="inlineStr">
        <is>
          <t>LECTURA INTRAMICROCUENCA. El bloque M32B3 ocupa el puesto 1 de 2 por superficie dentro de la microcuenca C1086-Q9569 (81.63 % de las 62.44 ha preliminares de la microcuenca). Su pendiente promedio (18.79 %, clase «15-25% (Fuert. inclinado)») es la 2.ª más baja de 2 y se sitúa por encima del promedio de la microcuenca (17.44 %). Su MSAVI 2024 (0.3852) es el 2.º de 2 y queda por debajo del promedio local (0.4028). Amplitud altitudinal del bloque: 254 m (184–438 msnm). El cuadro conserva todos los bloques catalogados en la microcuenca, incluidos los descartados en el tamizaje, para referencia del conjunto. Los bloques sin ficha DT figuran con sus parámetros de gabinete. BRECHA ESPECTRAL. El 93.88 % de la superficie del bloque (47.851 ha de 50.972 ha) se sitúa bajo el umbral MSAVI 0.4976, por debajo del promedio local de la microcuenca (95.66 %) calculado sobre los bloques con dato MSAVI disponible.</t>
        </is>
      </c>
      <c r="B14" s="41" t="n"/>
      <c r="C14" s="41" t="n"/>
      <c r="D14" s="41" t="n"/>
      <c r="E14" s="41" t="n"/>
      <c r="F14" s="41" t="n"/>
      <c r="G14" s="41" t="n"/>
      <c r="H14" s="42"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2"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M32B3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«C1086-Q9569»</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207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(50.995 ha) coincide con la de catálogo (50.97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 pendiente promedio de gabinete 18.79% (clase 15-25%); el rango de campo corresponde a los sectores de ladera efectivamente recorridos, con pendiente predominante registrada de 45%»; la estadística zonal sobre el MDE arroja una pendiente promedio de 18.79 %,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80 % de cobertura vegetal en campo; el NDVI mediana 2025 clasifica 98.18 %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5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«Maray»; el cruce INEI-Bloques V5 identifica 1 centro(s) poblado(s) en el bloque: MARAY</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El campo "Altitud GPS" consignaba 50.9720, que corresponde al ÁREA del bloque en hectáreas y no a una altitud</t>
        </is>
      </c>
      <c r="D19" s="37" t="inlineStr">
        <is>
          <t>CORREGIDO</t>
        </is>
      </c>
      <c r="E19" s="35" t="inlineStr">
        <is>
          <t>Se consigna en su lugar la altitud de 215 msnm registrada en la ficha F-EE-05 del mismo punto y fecha</t>
        </is>
      </c>
    </row>
    <row r="20" ht="48" customHeight="1">
      <c r="A20" s="33" t="inlineStr">
        <is>
          <t>D-11</t>
        </is>
      </c>
      <c r="B20" s="33" t="inlineStr">
        <is>
          <t>F-DT-01</t>
        </is>
      </c>
      <c r="C20" s="33" t="inlineStr">
        <is>
          <t>El Segundo Entregable [E2] indica altitud GPS de 180 m frente a los 215 m de la F-EE-05</t>
        </is>
      </c>
      <c r="D20" s="36" t="inlineStr">
        <is>
          <t>SUSTANTIVA</t>
        </is>
      </c>
      <c r="E20" s="33" t="inlineStr">
        <is>
          <t>Diferencia de 35 m POR CONCILIAR; se conservan ambos registros sin promediar</t>
        </is>
      </c>
    </row>
    <row r="21" ht="48" customHeight="1">
      <c r="A21" s="35" t="inlineStr">
        <is>
          <t>D-12</t>
        </is>
      </c>
      <c r="B21" s="35" t="inlineStr">
        <is>
          <t>F-DT-01</t>
        </is>
      </c>
      <c r="C21" s="35" t="inlineStr">
        <is>
          <t>Pendiente de campo (25-50%, predominante 45%) frente a la pendiente promedio de gabinete (18.79%, clase 15-25%)</t>
        </is>
      </c>
      <c r="D21" s="15" t="inlineStr">
        <is>
          <t>NO SUSTANTIVA</t>
        </is>
      </c>
      <c r="E21" s="35" t="inlineStr">
        <is>
          <t>Se declara que el rango de campo corresponde a los sectores de ladera efectivamente recorridos</t>
        </is>
      </c>
    </row>
    <row r="22" ht="48" customHeight="1">
      <c r="A22" s="33" t="inlineStr">
        <is>
          <t>D-13</t>
        </is>
      </c>
      <c r="B22" s="33" t="inlineStr">
        <is>
          <t>F-DT-01</t>
        </is>
      </c>
      <c r="C22" s="33" t="inlineStr">
        <is>
          <t>REMOCIÓN EN MASA ACTIVA verificada en campo en una porción reducida del polígono</t>
        </is>
      </c>
      <c r="D22" s="36" t="inlineStr">
        <is>
          <t>SUSTANTIVA</t>
        </is>
      </c>
      <c r="E22" s="33" t="inlineStr">
        <is>
          <t>Se eleva como hallazgo de riesgo; POR VERIFICAR la caracterización y georreferenciación del área afectada</t>
        </is>
      </c>
    </row>
    <row r="23" ht="48" customHeight="1">
      <c r="A23" s="35" t="inlineStr">
        <is>
          <t>D-14</t>
        </is>
      </c>
      <c r="B23" s="35" t="inlineStr">
        <is>
          <t>F-DT-02 / F-EE-05</t>
        </is>
      </c>
      <c r="C23" s="35" t="inlineStr">
        <is>
          <t>La F-DT-02 declara 0 cárcavas mientras la F-EE-05 consigna "Presencia de cárcavas/surcos: Sí"</t>
        </is>
      </c>
      <c r="D23" s="37" t="inlineStr">
        <is>
          <t>CORREGIDO</t>
        </is>
      </c>
      <c r="E23" s="35" t="inlineStr">
        <is>
          <t>La contradicción se resuelve por la ubicación: los surcos están al pie de la ladera, FUERA del polígono del bloque</t>
        </is>
      </c>
    </row>
    <row r="24" ht="48" customHeight="1">
      <c r="A24" s="33" t="inlineStr">
        <is>
          <t>D-15</t>
        </is>
      </c>
      <c r="B24" s="33" t="inlineStr">
        <is>
          <t>F-DT-03</t>
        </is>
      </c>
      <c r="C24" s="33" t="inlineStr">
        <is>
          <t>DAP registrado como rango (25-30 cm) en un campo que espera valor único</t>
        </is>
      </c>
      <c r="D24" s="15" t="inlineStr">
        <is>
          <t>NO SUSTANTIVA</t>
        </is>
      </c>
      <c r="E24" s="33" t="inlineStr">
        <is>
          <t>Se consigna literalmente el rango; de requerirse un valor único debe definirse en campo</t>
        </is>
      </c>
    </row>
    <row r="25" ht="48" customHeight="1">
      <c r="A25" s="35" t="inlineStr">
        <is>
          <t>D-16</t>
        </is>
      </c>
      <c r="B25" s="35" t="inlineStr">
        <is>
          <t>F-DT-03</t>
        </is>
      </c>
      <c r="C25" s="35" t="inlineStr">
        <is>
          <t>Sólo 5 especies registradas por nombre común, sin estrato, abundancia, DAP ni altura por individuo</t>
        </is>
      </c>
      <c r="D25" s="36" t="inlineStr">
        <is>
          <t>SUSTANTIVA</t>
        </is>
      </c>
      <c r="E25" s="35" t="inlineStr">
        <is>
          <t>POR COMPLETAR con levantamiento de al menos 15 especies por estrato</t>
        </is>
      </c>
    </row>
    <row r="26" ht="48" customHeight="1">
      <c r="A26" s="33" t="inlineStr">
        <is>
          <t>D-17</t>
        </is>
      </c>
      <c r="B26" s="33" t="inlineStr">
        <is>
          <t>F-DT-03 / F-DT-04</t>
        </is>
      </c>
      <c r="C26" s="33" t="inlineStr">
        <is>
          <t>Cobertura vegetal total: 80% en F-DT-03 frente a 90% en el indicador 1 del F-DT-04</t>
        </is>
      </c>
      <c r="D26" s="36" t="inlineStr">
        <is>
          <t>SUSTANTIVA</t>
        </is>
      </c>
      <c r="E26" s="33" t="inlineStr">
        <is>
          <t>Se conservan ambos valores con indicación de su sección de origen; corresponde conciliar</t>
        </is>
      </c>
    </row>
    <row r="27" ht="48" customHeight="1">
      <c r="A27" s="35" t="inlineStr">
        <is>
          <t>D-18</t>
        </is>
      </c>
      <c r="B27" s="35" t="inlineStr">
        <is>
          <t>F-DT-04</t>
        </is>
      </c>
      <c r="C27" s="35" t="inlineStr">
        <is>
          <t>Para la única causa presente (tala para leña) no se consignaron intensidad, extensión ni antigüedad; indicadores 3-6 sin valorar e indicadores 1, 2, 7 y 8 sin calificación de nivel</t>
        </is>
      </c>
      <c r="D27" s="36" t="inlineStr">
        <is>
          <t>SUSTANTIVA</t>
        </is>
      </c>
      <c r="E27" s="35" t="inlineStr">
        <is>
          <t>POR COMPLETAR; la extensión de la tala para leña es el dato crítico para la delimitación de subáreas</t>
        </is>
      </c>
    </row>
    <row r="28" ht="48" customHeight="1">
      <c r="A28" s="33" t="inlineStr">
        <is>
          <t>D-19</t>
        </is>
      </c>
      <c r="B28" s="33" t="inlineStr">
        <is>
          <t>F-DT-05</t>
        </is>
      </c>
      <c r="C28" s="33" t="inlineStr">
        <is>
          <t>La única fuente inventariada carece de coordenadas UTM, calidad y distancia</t>
        </is>
      </c>
      <c r="D28" s="36" t="inlineStr">
        <is>
          <t>SUSTANTIVA</t>
        </is>
      </c>
      <c r="E28" s="33" t="inlineStr">
        <is>
          <t>POR COMPLETAR con levantamiento georreferenciado; condiciona el dimensionamiento de los diques propuestos</t>
        </is>
      </c>
    </row>
    <row r="29" ht="48" customHeight="1">
      <c r="A29" s="35" t="inlineStr">
        <is>
          <t>D-20</t>
        </is>
      </c>
      <c r="B29" s="35" t="inlineStr">
        <is>
          <t>F-DT-03</t>
        </is>
      </c>
      <c r="C29" s="35" t="inlineStr">
        <is>
          <t>Inspección efectuada posterior a temporada de lluvias, con herbáceas estacionales que pueden sobrestimar la cobertura</t>
        </is>
      </c>
      <c r="D29" s="36" t="inlineStr">
        <is>
          <t>SUSTANTIVA</t>
        </is>
      </c>
      <c r="E29" s="35" t="inlineStr">
        <is>
          <t>El propio entregable recomienda VERIFICACIÓN EN ÉPOCA SECA antes de decidir la exclusión del bloque</t>
        </is>
      </c>
    </row>
    <row r="30" ht="48" customHeight="1">
      <c r="A30" s="35" t="inlineStr">
        <is>
          <t>D-21</t>
        </is>
      </c>
      <c r="B30" s="35" t="inlineStr">
        <is>
          <t>Distribución areal MSAVI 2024</t>
        </is>
      </c>
      <c r="C30" s="35" t="inlineStr">
        <is>
          <t>La distribución por clase de MSAVI no figuraba en los insumos del entregable y se consignaba «Por determinar»; se incorpora la estadística zonal del ráster MSAVI clasificado (218 polígonos, 50.972 ha)</t>
        </is>
      </c>
      <c r="D30" s="36" t="inlineStr">
        <is>
          <t>CORREGIDO</t>
        </is>
      </c>
      <c r="E30"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1" ht="48" customHeight="1">
      <c r="A31" s="35" t="inlineStr">
        <is>
          <t>D-22</t>
        </is>
      </c>
      <c r="B31" s="35" t="inlineStr">
        <is>
          <t>Superficie MSAVI vs. catálogo</t>
        </is>
      </c>
      <c r="C31" s="35" t="inlineStr">
        <is>
          <t>La superficie total clasificada por el MSAVI 2024 (50.972 ha) frente a la de catálogo V5/V6 (50.970 ha): desviación de +0.00 %</t>
        </is>
      </c>
      <c r="D31" s="36" t="inlineStr">
        <is>
          <t>CONFORME</t>
        </is>
      </c>
      <c r="E31" s="35" t="inlineStr">
        <is>
          <t>Sin acción: la segmentación del ráster valida la geometría del bloque dentro del ±2 %.</t>
        </is>
      </c>
    </row>
    <row r="32" ht="48" customHeight="1">
      <c r="A32" s="35" t="inlineStr">
        <is>
          <t>D-23</t>
        </is>
      </c>
      <c r="B32" s="35" t="inlineStr">
        <is>
          <t>Media MSAVI vs. clase DN dominante</t>
        </is>
      </c>
      <c r="C32" s="35" t="inlineStr">
        <is>
          <t>La media del bloque (0.3852) cae en la clase «DN 3 · 0.3813 - 0.4976 (Vigor bajo)»; la clase de mayor superficie es «DN 3 · 0.3813 - 0.4976 (Vigor bajo)», con 45.86 % del bloque. Superficie bajo el umbral 0.4976: 47.851 ha (93.88 %)</t>
        </is>
      </c>
      <c r="D32" s="36" t="inlineStr">
        <is>
          <t>CONFORME</t>
        </is>
      </c>
      <c r="E32" s="35" t="inlineStr">
        <is>
          <t>Sin acción: la media del bloque y la clase de mayor superficie coinciden.</t>
        </is>
      </c>
    </row>
    <row r="33"/>
    <row r="34">
      <c r="A34" s="16" t="inlineStr">
        <is>
          <t>RESUMEN</t>
        </is>
      </c>
      <c r="B34" s="17" t="inlineStr">
        <is>
          <t>23 verificaciones</t>
        </is>
      </c>
      <c r="C34" s="17" t="inlineStr">
        <is>
          <t>CONFORME: 6 · CORREGIDO: 3 · NO SUSTANTIVA: 4 · SUSTANTIVA: 10</t>
        </is>
      </c>
      <c r="D34" s="17" t="inlineStr"/>
      <c r="E34" s="17" t="inlineStr"/>
    </row>
    <row r="35"/>
    <row r="36" ht="60" customHeight="1">
      <c r="A3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6" s="41" t="n"/>
      <c r="C36" s="41" t="n"/>
      <c r="D36" s="41" t="n"/>
      <c r="E36" s="42" t="n"/>
    </row>
  </sheetData>
  <mergeCells count="8">
    <mergeCell ref="A4:E4"/>
    <mergeCell ref="A2:E2"/>
    <mergeCell ref="A5:E5"/>
    <mergeCell ref="A1:E1"/>
    <mergeCell ref="A36:E36"/>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M32B3 — IN Piura</dc:title>
  <dc:subject>Diagnóstico Territorial por bloque de intervención</dc:subject>
  <dcterms:created xsi:type="dcterms:W3CDTF">2026-09-08T03:39:58Z</dcterms:created>
  <dcterms:modified xsi:type="dcterms:W3CDTF">2026-09-10T00:28:32Z</dcterms:modified>
</cp:coreProperties>
</file>