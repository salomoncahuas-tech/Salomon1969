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34</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Maray Chico (142 hab.) / Maray Grande — cap. dist. Tunal</t>
        </is>
      </c>
      <c r="C13" s="6" t="inlineStr">
        <is>
          <t>Comunidad campesina</t>
        </is>
      </c>
      <c r="D13" s="7" t="inlineStr">
        <is>
          <t>Por determinar</t>
        </is>
      </c>
      <c r="E13" s="8" t="n"/>
      <c r="F13" s="8" t="n"/>
    </row>
    <row r="14">
      <c r="A14" s="6" t="inlineStr">
        <is>
          <t>Superficie de catálogo (V5/V6), ha</t>
        </is>
      </c>
      <c r="B14" s="7" t="n">
        <v>28.45</v>
      </c>
      <c r="C14" s="6" t="inlineStr">
        <is>
          <t>Fuente de superficie</t>
        </is>
      </c>
      <c r="D14" s="7" t="inlineStr">
        <is>
          <t>Catálogo maestro Bloques V5/V6</t>
        </is>
      </c>
      <c r="E14" s="8" t="n"/>
      <c r="F14" s="8" t="n"/>
    </row>
    <row r="15">
      <c r="A15" s="6" t="inlineStr">
        <is>
          <t>Centroide UTM ESTE (m)</t>
        </is>
      </c>
      <c r="B15" s="7" t="n">
        <v>646483</v>
      </c>
      <c r="C15" s="6" t="inlineStr">
        <is>
          <t>Centroide UTM NORTE (m)</t>
        </is>
      </c>
      <c r="D15" s="7" t="n">
        <v>9426305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1286</v>
      </c>
      <c r="C19" s="6" t="inlineStr">
        <is>
          <t>Altitud máxima (msnm)</t>
        </is>
      </c>
      <c r="D19" s="7" t="n">
        <v>1514</v>
      </c>
      <c r="E19" s="8" t="n"/>
      <c r="F19" s="8" t="n"/>
    </row>
    <row r="20">
      <c r="A20" s="6" t="inlineStr">
        <is>
          <t>Amplitud altitudinal (m)</t>
        </is>
      </c>
      <c r="B20" s="7" t="n">
        <v>228</v>
      </c>
      <c r="C20" s="6" t="inlineStr">
        <is>
          <t>Piso altitudinal dominante</t>
        </is>
      </c>
      <c r="D20" s="7" t="inlineStr">
        <is>
          <t>1000-1500 m (Quechua baja)</t>
        </is>
      </c>
      <c r="E20" s="8" t="n"/>
      <c r="F20" s="8" t="n"/>
    </row>
    <row r="21">
      <c r="A21" s="6" t="inlineStr">
        <is>
          <t>Pendiente promedio (%)</t>
        </is>
      </c>
      <c r="B21" s="7" t="n">
        <v>26.78</v>
      </c>
      <c r="C21" s="6" t="inlineStr">
        <is>
          <t>Pendiente promedio (grados)</t>
        </is>
      </c>
      <c r="D21" s="7" t="n">
        <v>15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0.649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(99.42 %)</t>
        </is>
      </c>
      <c r="E29" s="8" t="n"/>
      <c r="F29" s="8" t="n"/>
    </row>
    <row r="30">
      <c r="A30" s="6" t="inlineStr">
        <is>
          <t>Superficie clasificada NDVI 2025 (ha)</t>
        </is>
      </c>
      <c r="B30" s="7" t="n">
        <v>28.458</v>
      </c>
      <c r="C30" s="6" t="inlineStr">
        <is>
          <t>Desviación frente al catálogo (%)</t>
        </is>
      </c>
      <c r="D30" s="7" t="n">
        <v>0.03</v>
      </c>
      <c r="E30" s="8" t="n"/>
      <c r="F30" s="8" t="n"/>
    </row>
    <row r="31">
      <c r="A31" s="6" t="inlineStr">
        <is>
          <t>Superficie clasificada MSAVI 2024 (ha)</t>
        </is>
      </c>
      <c r="B31" s="38" t="n">
        <v>28.45</v>
      </c>
      <c r="C31" s="6" t="inlineStr">
        <is>
          <t>Desviación MSAVI frente al catálogo (%)</t>
        </is>
      </c>
      <c r="D31" s="39" t="n">
        <v>0</v>
      </c>
      <c r="E31" s="8" t="n"/>
      <c r="F31" s="8" t="n"/>
    </row>
    <row r="32">
      <c r="A32" s="6" t="inlineStr">
        <is>
          <t>Superficie bajo umbral MSAVI 0.4976 (ha)</t>
        </is>
      </c>
      <c r="B32" s="38" t="n">
        <v>0.049</v>
      </c>
      <c r="C32" s="6" t="inlineStr">
        <is>
          <t>% del bloque bajo umbral (brecha espectral)</t>
        </is>
      </c>
      <c r="D32" s="39" t="n">
        <v>0.17</v>
      </c>
      <c r="E32" s="8" t="n"/>
      <c r="F32" s="8" t="n"/>
    </row>
    <row r="33">
      <c r="A33" s="6" t="inlineStr">
        <is>
          <t>Clase DN dominante (MSAVI 2024)</t>
        </is>
      </c>
      <c r="B33" s="7" t="inlineStr">
        <is>
          <t>DN 5 · &gt; 0.6139 (Vigor alto)</t>
        </is>
      </c>
      <c r="C33" s="6" t="inlineStr">
        <is>
          <t>N.° de polígonos MSAVI del bloque</t>
        </is>
      </c>
      <c r="D33" s="40" t="n">
        <v>66</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Zona agrícola 26.93 ha + Matorral andino 1.52 ha = 28.45 ha</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2026-07-07</t>
        </is>
      </c>
      <c r="E44" s="8" t="n"/>
      <c r="F44" s="8" t="n"/>
    </row>
    <row r="45">
      <c r="A45" s="6" t="inlineStr">
        <is>
          <t>Hora de registro</t>
        </is>
      </c>
      <c r="B45" s="7" t="inlineStr">
        <is>
          <t>15:41 - 16:25 h</t>
        </is>
      </c>
      <c r="C45" s="6" t="inlineStr">
        <is>
          <t>Correlativo de ficha</t>
        </is>
      </c>
      <c r="D45" s="7" t="inlineStr">
        <is>
          <t>F-DT-01 / B34</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Agricultura de subsistencia sobre laderas de fuerte pendiente, en un territorio con escasa disponibilidad de tierras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17.9588</v>
      </c>
      <c r="C10" s="31">
        <f>ROUND(B10/$B$15*100,2)</f>
        <v/>
      </c>
      <c r="D10" s="12" t="inlineStr">
        <is>
          <t>Vigor alto</t>
        </is>
      </c>
      <c r="E10" s="12" t="inlineStr">
        <is>
          <t>Sobre umbral</t>
        </is>
      </c>
    </row>
    <row r="11">
      <c r="A11" s="13" t="inlineStr">
        <is>
          <t>0.4976 - 0.6139 · DN 4</t>
        </is>
      </c>
      <c r="B11" s="20" t="n">
        <v>10.4422</v>
      </c>
      <c r="C11" s="21">
        <f>ROUND(B11/$B$15*100,2)</f>
        <v/>
      </c>
      <c r="D11" s="14" t="inlineStr">
        <is>
          <t>Vigor moderado</t>
        </is>
      </c>
      <c r="E11" s="14" t="inlineStr">
        <is>
          <t>Sobre umbral</t>
        </is>
      </c>
    </row>
    <row r="12">
      <c r="A12" s="7" t="inlineStr">
        <is>
          <t>0.3813 - 0.4976 · DN 3</t>
        </is>
      </c>
      <c r="B12" s="18" t="n">
        <v>0.0495</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66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28.45</v>
      </c>
      <c r="C18" s="49" t="inlineStr">
        <is>
          <t>—</t>
        </is>
      </c>
      <c r="D18" s="46" t="inlineStr">
        <is>
          <t>Desviación planimétrica frente al catálogo</t>
        </is>
      </c>
      <c r="E18" s="46" t="inlineStr">
        <is>
          <t>+0.00 %</t>
        </is>
      </c>
    </row>
    <row r="19">
      <c r="A19" s="16" t="inlineStr">
        <is>
          <t>MSAVI 2024 — MEDIA DEL BLOQUE</t>
        </is>
      </c>
      <c r="B19" s="17" t="n">
        <v>0.648975</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(0.6490)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28.2939</v>
      </c>
      <c r="C25" s="19" t="n">
        <v>99.42</v>
      </c>
      <c r="D25" s="15" t="inlineStr">
        <is>
          <t>Dosel continuo, matorral denso o mosaico agroforestal</t>
        </is>
      </c>
      <c r="E25" s="15" t="inlineStr"/>
    </row>
    <row r="26">
      <c r="A26" s="13" t="inlineStr">
        <is>
          <t>Vegetación mediana</t>
        </is>
      </c>
      <c r="B26" s="20" t="n">
        <v>0.1642</v>
      </c>
      <c r="C26" s="21" t="n">
        <v>0.58</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28.45</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99.42 % del polígono clasificado como «Vegetación alta» por el NDVI 2025; la observación de campo corresponde a una parcela o recorrido puntual y no es estadísticamente representativa de las 28.450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34</t>
        </is>
      </c>
    </row>
    <row r="6" ht="24" customHeight="1">
      <c r="A6" s="4" t="inlineStr">
        <is>
          <t>Levantamiento del 2026-07-07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646360</v>
      </c>
      <c r="D10" s="26" t="n">
        <v>9426461</v>
      </c>
      <c r="E10" s="15" t="n">
        <v>198.7</v>
      </c>
      <c r="F10" s="15" t="inlineStr"/>
      <c r="G10" s="15" t="inlineStr">
        <is>
          <t>Coordenada consignada en F-DT-01</t>
        </is>
      </c>
    </row>
    <row r="11">
      <c r="A11" s="13" t="inlineStr">
        <is>
          <t>S-01</t>
        </is>
      </c>
      <c r="B11" s="14" t="inlineStr">
        <is>
          <t>Rasgo erosivo — Surco activo (senda/camino)</t>
        </is>
      </c>
      <c r="C11" s="27" t="n">
        <v>646232</v>
      </c>
      <c r="D11" s="27" t="n">
        <v>9426505</v>
      </c>
      <c r="E11" s="14" t="n">
        <v>320.9</v>
      </c>
      <c r="F11" s="14" t="inlineStr">
        <is>
          <t>Activa</t>
        </is>
      </c>
      <c r="G11" s="14" t="inlineStr">
        <is>
          <t>Caminos / huellas de ganado</t>
        </is>
      </c>
    </row>
    <row r="12">
      <c r="A12" s="7" t="inlineStr">
        <is>
          <t>S-02</t>
        </is>
      </c>
      <c r="B12" s="15" t="inlineStr">
        <is>
          <t>Rasgo erosivo — Surco activo (senda/camino)</t>
        </is>
      </c>
      <c r="C12" s="26" t="n">
        <v>646603</v>
      </c>
      <c r="D12" s="26" t="n">
        <v>9426759</v>
      </c>
      <c r="E12" s="15" t="n">
        <v>469.6</v>
      </c>
      <c r="F12" s="15" t="inlineStr">
        <is>
          <t>Activa</t>
        </is>
      </c>
      <c r="G12" s="15" t="inlineStr">
        <is>
          <t>Caminos / huellas de ganado</t>
        </is>
      </c>
    </row>
    <row r="13">
      <c r="A13" s="13" t="inlineStr">
        <is>
          <t>H-01</t>
        </is>
      </c>
      <c r="B13" s="14" t="inlineStr">
        <is>
          <t>Fuente de agua — Río</t>
        </is>
      </c>
      <c r="C13" s="27" t="n">
        <v>646150</v>
      </c>
      <c r="D13" s="27" t="n">
        <v>9426520</v>
      </c>
      <c r="E13" s="14" t="n">
        <v>396.4</v>
      </c>
      <c r="F13" s="14" t="inlineStr">
        <is>
          <t>Permanente</t>
        </is>
      </c>
      <c r="G13" s="14" t="inlineStr">
        <is>
          <t>Curso principal</t>
        </is>
      </c>
    </row>
    <row r="14">
      <c r="A14" s="7" t="inlineStr">
        <is>
          <t>H-02</t>
        </is>
      </c>
      <c r="B14" s="15" t="inlineStr">
        <is>
          <t>Fuente de agua — Quebrada estacional</t>
        </is>
      </c>
      <c r="C14" s="26" t="n">
        <v>646700</v>
      </c>
      <c r="D14" s="26" t="n">
        <v>9426900</v>
      </c>
      <c r="E14" s="15" t="n">
        <v>633.3</v>
      </c>
      <c r="F14" s="15" t="inlineStr">
        <is>
          <t>Estacional (lluvias)</t>
        </is>
      </c>
      <c r="G14" s="15" t="inlineStr">
        <is>
          <t>Quebrada tributaria</t>
        </is>
      </c>
    </row>
    <row r="15">
      <c r="A15" s="13" t="inlineStr">
        <is>
          <t>B-03</t>
        </is>
      </c>
      <c r="B15" s="14" t="inlineStr">
        <is>
          <t>Especie clave — Melastomataceae (por determinar)</t>
        </is>
      </c>
      <c r="C15" s="27" t="n">
        <v>646477</v>
      </c>
      <c r="D15" s="27" t="n">
        <v>9426654</v>
      </c>
      <c r="E15" s="14" t="n">
        <v>349.1</v>
      </c>
      <c r="F15" s="14" t="inlineStr">
        <is>
          <t>Indicadora de buen estado</t>
        </is>
      </c>
      <c r="G15" s="14" t="inlineStr">
        <is>
          <t>NE</t>
        </is>
      </c>
    </row>
    <row r="16">
      <c r="A16" s="7" t="inlineStr">
        <is>
          <t>B-04</t>
        </is>
      </c>
      <c r="B16" s="15" t="inlineStr">
        <is>
          <t>Especie clave — Agave americana</t>
        </is>
      </c>
      <c r="C16" s="26" t="n">
        <v>646347</v>
      </c>
      <c r="D16" s="26" t="n">
        <v>9426469</v>
      </c>
      <c r="E16" s="15" t="n">
        <v>213.1</v>
      </c>
      <c r="F16" s="15" t="inlineStr">
        <is>
          <t>Indicadora de perturbación</t>
        </is>
      </c>
      <c r="G16" s="15" t="inlineStr">
        <is>
          <t>No aplica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646483</v>
      </c>
      <c r="C19" s="6" t="inlineStr">
        <is>
          <t>Centroide del bloque — UTM NORTE (m)</t>
        </is>
      </c>
      <c r="D19" s="7" t="n">
        <v>9426305</v>
      </c>
      <c r="E19" s="8" t="n"/>
      <c r="F19" s="8" t="n"/>
      <c r="G19" s="8" t="n"/>
      <c r="H19" s="8" t="n"/>
    </row>
    <row r="20">
      <c r="A20" s="6" t="inlineStr">
        <is>
          <t>N.° de estaciones fotográficas declaradas</t>
        </is>
      </c>
      <c r="B20" s="7" t="inlineStr">
        <is>
          <t>Sin registro en la ficha DT</t>
        </is>
      </c>
      <c r="C20" s="6" t="inlineStr">
        <is>
          <t>Estaciones dentro del polígono</t>
        </is>
      </c>
      <c r="D20" s="7" t="inlineStr">
        <is>
          <t>Por determinar</t>
        </is>
      </c>
      <c r="E20" s="8" t="n"/>
      <c r="F20" s="8" t="n"/>
      <c r="G20" s="8" t="n"/>
      <c r="H20" s="8" t="n"/>
    </row>
    <row r="22" ht="96"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consignado = talud de corte con desprendimiento de suelo residual rojizo (646225 E · 9426501, rumbo 132° SE). La pendiente promedio (33.6%) corresponde al perfil de elevación Google Earth del acceso (427 m), no a una parcela.</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34</t>
        </is>
      </c>
    </row>
    <row r="6" ht="24" customHeight="1">
      <c r="A6" s="4" t="inlineStr">
        <is>
          <t>Distrito de Lalaquiz · Provincia de Huancabamba · Comparación de los bloques preliminares de intervención de la misma microcuenca</t>
        </is>
      </c>
    </row>
    <row r="7"/>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38</t>
        </is>
      </c>
      <c r="B10" s="28" t="n">
        <v>44.2</v>
      </c>
      <c r="C10" s="19" t="n">
        <v>29.78</v>
      </c>
      <c r="D10" s="15" t="inlineStr">
        <is>
          <t>1302 – 1533</t>
        </is>
      </c>
      <c r="E10" s="15" t="n">
        <v>231</v>
      </c>
      <c r="F10" s="15" t="n">
        <v>24.25</v>
      </c>
      <c r="G10" s="18" t="n">
        <v>0.6725</v>
      </c>
      <c r="H10" s="19" t="n">
        <v>99.3</v>
      </c>
      <c r="I10" s="19" t="n">
        <v>0.41</v>
      </c>
    </row>
    <row r="11">
      <c r="A11" s="13" t="inlineStr">
        <is>
          <t>33</t>
        </is>
      </c>
      <c r="B11" s="29" t="n">
        <v>29.68</v>
      </c>
      <c r="C11" s="21" t="n">
        <v>20</v>
      </c>
      <c r="D11" s="14" t="inlineStr">
        <is>
          <t>1841 – 2226</t>
        </is>
      </c>
      <c r="E11" s="14" t="n">
        <v>385</v>
      </c>
      <c r="F11" s="14" t="n">
        <v>36.6</v>
      </c>
      <c r="G11" s="20" t="n">
        <v>0.7192</v>
      </c>
      <c r="H11" s="21" t="inlineStr">
        <is>
          <t>Por determinar</t>
        </is>
      </c>
      <c r="I11" s="14" t="inlineStr">
        <is>
          <t>s/d</t>
        </is>
      </c>
    </row>
    <row r="12">
      <c r="A12" s="11" t="inlineStr">
        <is>
          <t>► 34</t>
        </is>
      </c>
      <c r="B12" s="30" t="n">
        <v>28.45</v>
      </c>
      <c r="C12" s="31" t="n">
        <v>19.17</v>
      </c>
      <c r="D12" s="12" t="inlineStr">
        <is>
          <t>1286 – 1514</t>
        </is>
      </c>
      <c r="E12" s="12" t="n">
        <v>228</v>
      </c>
      <c r="F12" s="12" t="n">
        <v>26.78</v>
      </c>
      <c r="G12" s="32" t="n">
        <v>0.649</v>
      </c>
      <c r="H12" s="31" t="n">
        <v>99.42</v>
      </c>
      <c r="I12" s="31" t="n">
        <v>0.17</v>
      </c>
    </row>
    <row r="13">
      <c r="A13" s="13" t="inlineStr">
        <is>
          <t>61</t>
        </is>
      </c>
      <c r="B13" s="29" t="n">
        <v>26.83</v>
      </c>
      <c r="C13" s="21" t="n">
        <v>18.08</v>
      </c>
      <c r="D13" s="14" t="inlineStr">
        <is>
          <t>1098 – 1336</t>
        </is>
      </c>
      <c r="E13" s="14" t="n">
        <v>238</v>
      </c>
      <c r="F13" s="14" t="n">
        <v>22.61</v>
      </c>
      <c r="G13" s="20" t="n">
        <v>0.6112</v>
      </c>
      <c r="H13" s="21" t="n">
        <v>80.15000000000001</v>
      </c>
      <c r="I13" s="21" t="n">
        <v>21.1</v>
      </c>
    </row>
    <row r="14">
      <c r="A14" s="7" t="inlineStr">
        <is>
          <t>50</t>
        </is>
      </c>
      <c r="B14" s="28" t="n">
        <v>19.27</v>
      </c>
      <c r="C14" s="19" t="n">
        <v>12.98</v>
      </c>
      <c r="D14" s="15" t="inlineStr">
        <is>
          <t>1468 – 1725</t>
        </is>
      </c>
      <c r="E14" s="15" t="n">
        <v>257</v>
      </c>
      <c r="F14" s="15" t="n">
        <v>30.47</v>
      </c>
      <c r="G14" s="18" t="n">
        <v>0.6831</v>
      </c>
      <c r="H14" s="19" t="n">
        <v>99.56999999999999</v>
      </c>
      <c r="I14" s="19" t="n">
        <v>0.36</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1" t="n"/>
      <c r="C16" s="41" t="n"/>
      <c r="D16" s="41" t="n"/>
      <c r="E16" s="41" t="n"/>
      <c r="F16" s="41" t="n"/>
      <c r="G16" s="41" t="n"/>
      <c r="H16" s="42" t="n"/>
    </row>
    <row r="17"/>
    <row r="18" ht="84" customHeight="1">
      <c r="A18" s="9" t="inlineStr">
        <is>
          <t>LECTURA INTRAMICROCUENCA. El bloque 34 ocupa el puesto 3 de 5 por superficie dentro de la microcuenca C1081-Q9590 (19.17 % de las 148.43 ha preliminares de la microcuenca). Su pendiente promedio (26.78 %, clase «25-50% (Mod. escarpado)») es la 3.ª más baja de 5 y se sitúa por debajo del promedio de la microcuenca (28.14 %). Su MSAVI 2024 (0.6490) es el 4.º de 5 y queda por debajo del promedio local (0.6670). Amplitud altitudinal del bloque: 228 m (1286–1514 msnm). El cuadro conserva todos los bloques catalogados en la microcuenca, incluidos los descartados en el tamizaje, para referencia del conjunto. Los bloques sin ficha DT figuran con sus parámetros de gabinete. BRECHA ESPECTRAL. El 0.17 % de la superficie del bloque (0.049 ha de 28.450 ha) se sitúa bajo el umbral MSAVI 0.4976, por debajo del promedio local de la microcuenca (5.51 %) calculado sobre los bloques con dato MSAVI disponible.</t>
        </is>
      </c>
      <c r="B18" s="41" t="n"/>
      <c r="C18" s="41" t="n"/>
      <c r="D18" s="41" t="n"/>
      <c r="E18" s="41" t="n"/>
      <c r="F18" s="41" t="n"/>
      <c r="G18" s="41" t="n"/>
      <c r="H18" s="42"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1" t="n"/>
      <c r="C20" s="41" t="n"/>
      <c r="D20" s="41" t="n"/>
      <c r="E20" s="41" t="n"/>
      <c r="F20" s="41" t="n"/>
      <c r="G20" s="41" t="n"/>
      <c r="H20" s="42"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199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(28.458 ha) coincide con la de catálogo (28.45 ha) dentro del ±2 % (+0.03 %)</t>
        </is>
      </c>
      <c r="D12" s="35"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2" t="inlineStr">
        <is>
          <t>NO SUSTANTIVA</t>
        </is>
      </c>
      <c r="E13" s="36" t="inlineStr">
        <is>
          <t>El rango altitudinal del bloque (1286–1514 msnm) y la pendiente promedio (26.78 %) se toman de la estadística zonal sobre el MDE, no de medición de campo. Se declara la fuente.</t>
        </is>
      </c>
    </row>
    <row r="14" ht="48" customHeight="1">
      <c r="A14" s="34" t="inlineStr">
        <is>
          <t>D-05</t>
        </is>
      </c>
      <c r="B14" s="34" t="inlineStr">
        <is>
          <t>Dimensiones del inventario de cárcavas</t>
        </is>
      </c>
      <c r="C14" s="34" t="inlineStr">
        <is>
          <t>Se registran 0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Centro poblado asociado</t>
        </is>
      </c>
      <c r="C15" s="36" t="inlineStr">
        <is>
          <t>La ficha DT declara «Maray Chico (142 hab.) / Maray Grande — cap. dist. Tunal»; el cruce INEI-Bloques V5 identifica 2 centro(s) poblado(s) en el bloque: MARAY CHICO, MARAY GRANDE</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(66 polígonos, 28.450 ha)</t>
        </is>
      </c>
      <c r="D17" s="37"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(28.450 ha) frente a la de catálogo V5/V6 (28.450 ha): desviación de +0.00 %</t>
        </is>
      </c>
      <c r="D18" s="37"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(0.6490) cae en la clase «DN 5 · &gt; 0.6139 (Vigor alto)»; la clase de mayor superficie es «DN 5 · &gt; 0.6139 (Vigor alto)», con 63.12 % del bloque. Superficie bajo el umbral 0.4976: 0.049 ha (0.17 %)</t>
        </is>
      </c>
      <c r="D19" s="37"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6 · CORREGIDO: 1 · NO SUSTANTIVA: 2 · SUSTANTIVA: 1</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34 — IN Piura</dc:title>
  <dc:subject>Diagnóstico Territorial por bloque de intervención</dc:subject>
  <dcterms:created xsi:type="dcterms:W3CDTF">2026-09-08T03:39:55Z</dcterms:created>
  <dcterms:modified xsi:type="dcterms:W3CDTF">2026-09-09T23:30:51Z</dcterms:modified>
</cp:coreProperties>
</file>