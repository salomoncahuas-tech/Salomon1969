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24.344</v>
      </c>
      <c r="C14" s="6" t="inlineStr">
        <is>
          <t>Fuente de superficie</t>
        </is>
      </c>
      <c r="D14" s="7" t="inlineStr">
        <is>
          <t>Catálogo maestro Bloques V5/V6</t>
        </is>
      </c>
      <c r="E14" s="8" t="n"/>
      <c r="F14" s="8" t="n"/>
    </row>
    <row r="15">
      <c r="A15" s="6" t="inlineStr">
        <is>
          <t>Centroide UTM ESTE (m)</t>
        </is>
      </c>
      <c r="B15" s="7" t="n">
        <v>639720</v>
      </c>
      <c r="C15" s="6" t="inlineStr">
        <is>
          <t>Centroide UTM NORTE (m)</t>
        </is>
      </c>
      <c r="D15" s="7" t="n">
        <v>9410622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0.3055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(60.03 %)</t>
        </is>
      </c>
      <c r="E29" s="8" t="n"/>
      <c r="F29" s="8" t="n"/>
    </row>
    <row r="30">
      <c r="A30" s="6" t="inlineStr">
        <is>
          <t>Superficie clasificada NDVI 2025 (ha)</t>
        </is>
      </c>
      <c r="B30" s="7" t="n">
        <v>24.352</v>
      </c>
      <c r="C30" s="6" t="inlineStr">
        <is>
          <t>Desviación frente al catálogo (%)</t>
        </is>
      </c>
      <c r="D30" s="7" t="n">
        <v>0.03</v>
      </c>
      <c r="E30" s="8" t="n"/>
      <c r="F30" s="8" t="n"/>
    </row>
    <row r="31">
      <c r="A31" s="6" t="inlineStr">
        <is>
          <t>Superficie clasificada MSAVI 2024 (ha)</t>
        </is>
      </c>
      <c r="B31" s="38" t="n">
        <v>24.344</v>
      </c>
      <c r="C31" s="6" t="inlineStr">
        <is>
          <t>Desviación MSAVI frente al catálogo (%)</t>
        </is>
      </c>
      <c r="D31" s="39" t="n">
        <v>0</v>
      </c>
      <c r="E31" s="8" t="n"/>
      <c r="F31" s="8" t="n"/>
    </row>
    <row r="32">
      <c r="A32" s="6" t="inlineStr">
        <is>
          <t>Superficie bajo umbral MSAVI 0.4976 (ha)</t>
        </is>
      </c>
      <c r="B32" s="38" t="n">
        <v>24.196</v>
      </c>
      <c r="C32" s="6" t="inlineStr">
        <is>
          <t>% del bloque bajo umbral (brecha espectral)</t>
        </is>
      </c>
      <c r="D32" s="39" t="n">
        <v>99.39</v>
      </c>
      <c r="E32" s="8" t="n"/>
      <c r="F32" s="8" t="n"/>
    </row>
    <row r="33">
      <c r="A33" s="6" t="inlineStr">
        <is>
          <t>Clase DN dominante (MSAVI 2024)</t>
        </is>
      </c>
      <c r="B33" s="7" t="inlineStr">
        <is>
          <t>DN 2 · 0.2650 - 0.3813 (Vigor muy bajo)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24.352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30</v>
      </c>
      <c r="E38" s="8" t="n"/>
      <c r="F38" s="8" t="n"/>
    </row>
    <row r="39">
      <c r="A39" s="6" t="inlineStr">
        <is>
          <t>Suelo desnudo — campo (%)</t>
        </is>
      </c>
      <c r="B39" s="7" t="n">
        <v>55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No inventariadas</t>
        </is>
      </c>
      <c r="E40" s="8" t="n"/>
      <c r="F40" s="8" t="n"/>
    </row>
    <row r="41">
      <c r="A41" s="6" t="inlineStr">
        <is>
          <t>Elenco florístico (n.° de taxones)</t>
        </is>
      </c>
      <c r="B41" s="7" t="n">
        <v>15</v>
      </c>
      <c r="C41" s="6" t="inlineStr">
        <is>
          <t>Estado sanitario</t>
        </is>
      </c>
      <c r="D41" s="7" t="inlineStr">
        <is>
          <t>Sin consignar (sin mediciones)</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 SESDI</t>
        </is>
      </c>
      <c r="C44" s="6" t="inlineStr">
        <is>
          <t>Fecha de evaluación</t>
        </is>
      </c>
      <c r="D44" s="7" t="inlineStr">
        <is>
          <t>2026-08-14</t>
        </is>
      </c>
      <c r="E44" s="8" t="n"/>
      <c r="F44" s="8" t="n"/>
    </row>
    <row r="45">
      <c r="A45" s="6" t="inlineStr">
        <is>
          <t>Hora de registro</t>
        </is>
      </c>
      <c r="B45" s="7" t="inlineStr">
        <is>
          <t>10:37 h</t>
        </is>
      </c>
      <c r="C45" s="6" t="inlineStr">
        <is>
          <t>Correlativo de ficha</t>
        </is>
      </c>
      <c r="D45" s="7" t="inlineStr">
        <is>
          <t>F-DT-B83-01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fotointerpretación de ortofoto RPA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pastoreo y de reglas de uso del bosque seco de uso común en el entorno</t>
        </is>
      </c>
      <c r="C51" s="6" t="inlineStr">
        <is>
          <t>Velocidad de degradación</t>
        </is>
      </c>
      <c r="D51" s="7" t="inlineStr">
        <is>
          <t>SIN CONSIGNAR — no se dispone de la serie Theil-Sen (TAU) ni de MSAVI multianual para el bloque</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0.1485</v>
      </c>
      <c r="C11" s="21">
        <f>ROUND(B11/$B$15*100,2)</f>
        <v>0.61</v>
      </c>
      <c r="D11" s="13" t="inlineStr">
        <is>
          <t>Vigor moderado</t>
        </is>
      </c>
      <c r="E11" s="13" t="inlineStr">
        <is>
          <t>Sobre umbral</t>
        </is>
      </c>
    </row>
    <row r="12">
      <c r="A12" s="7" t="inlineStr">
        <is>
          <t>0.3813 - 0.4976 · DN 3</t>
        </is>
      </c>
      <c r="B12" s="18" t="n">
        <v>3.3463</v>
      </c>
      <c r="C12" s="19">
        <f>ROUND(B12/$B$15*100,2)</f>
        <v>13.75</v>
      </c>
      <c r="D12" s="11" t="inlineStr">
        <is>
          <t>Vigor bajo</t>
        </is>
      </c>
      <c r="E12" s="11" t="inlineStr">
        <is>
          <t>BAJO umbral 0.4976</t>
        </is>
      </c>
    </row>
    <row r="13">
      <c r="A13" s="14" t="inlineStr">
        <is>
          <t>0.2650 - 0.3813 · DN 2</t>
        </is>
      </c>
      <c r="B13" s="32" t="n">
        <v>13.6452</v>
      </c>
      <c r="C13" s="31">
        <f>ROUND(B13/$B$15*100,2)</f>
        <v>56.05</v>
      </c>
      <c r="D13" s="15" t="inlineStr">
        <is>
          <t>Vigor muy bajo</t>
        </is>
      </c>
      <c r="E13" s="15" t="inlineStr">
        <is>
          <t>BAJO umbral 0.4976</t>
        </is>
      </c>
    </row>
    <row r="14">
      <c r="A14" s="7" t="inlineStr">
        <is>
          <t>&lt;= 0.2650 · DN 1</t>
        </is>
      </c>
      <c r="B14" s="18" t="n">
        <v>7.2044</v>
      </c>
      <c r="C14" s="19">
        <f>ROUND(B14/$B$15*100,2)</f>
        <v>29.59</v>
      </c>
      <c r="D14" s="11" t="inlineStr">
        <is>
          <t>Suelo desnudo / no vegetal</t>
        </is>
      </c>
      <c r="E14" s="11" t="inlineStr">
        <is>
          <t>BAJO umbral 0.4976</t>
        </is>
      </c>
    </row>
    <row r="15" ht="30" customHeight="1">
      <c r="A15" s="43" t="inlineStr">
        <is>
          <t>TOTAL CLASIFICADO MSAVI 2024</t>
        </is>
      </c>
      <c r="B15" s="44">
        <f>SUM(B10:B14)</f>
        <v>24.3444</v>
      </c>
      <c r="C15" s="45">
        <f>SUM(C10:C14)</f>
        <v>100.0</v>
      </c>
      <c r="D15" s="43" t="inlineStr">
        <is>
          <t>Suma de la distribución areal · 113 polígonos</t>
        </is>
      </c>
      <c r="E15" s="43" t="inlineStr">
        <is>
          <t>—</t>
        </is>
      </c>
    </row>
    <row r="16" ht="30" customHeight="1">
      <c r="A16" s="46" t="inlineStr">
        <is>
          <t>Superficie SOBRE umbral 0.4976 (ha)</t>
        </is>
      </c>
      <c r="B16" s="47">
        <f>SUM(B10:B11)</f>
        <v>0.1485</v>
      </c>
      <c r="C16" s="48">
        <f>ROUND(B16/B15*100,2)</f>
        <v>0.61</v>
      </c>
      <c r="D16" s="46" t="inlineStr">
        <is>
          <t>Vigor alto y moderado (DN 4 y DN 5)</t>
        </is>
      </c>
      <c r="E16" s="46" t="inlineStr">
        <is>
          <t>Sobre umbral 0.4976</t>
        </is>
      </c>
    </row>
    <row r="17" ht="30" customHeight="1">
      <c r="A17" s="46" t="inlineStr">
        <is>
          <t>Superficie BAJO umbral 0.4976 (ha) — brecha</t>
        </is>
      </c>
      <c r="B17" s="47">
        <f>SUM(B12:B14)</f>
        <v>24.1959</v>
      </c>
      <c r="C17" s="48">
        <f>ROUND(B17/B15*100,2)</f>
        <v>99.39</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24.344</v>
      </c>
      <c r="C18" s="49" t="inlineStr">
        <is>
          <t>—</t>
        </is>
      </c>
      <c r="D18" s="46" t="inlineStr">
        <is>
          <t>Desviación planimétrica frente al catálogo</t>
        </is>
      </c>
      <c r="E18" s="46" t="inlineStr">
        <is>
          <t>+0.00 %</t>
        </is>
      </c>
    </row>
    <row r="19">
      <c r="A19" s="16" t="inlineStr">
        <is>
          <t>MSAVI 2024 — MEDIA DEL BLOQUE</t>
        </is>
      </c>
      <c r="B19" s="17" t="n">
        <v>0.305456</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(0.3055)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0.7023</v>
      </c>
      <c r="C25" s="19" t="n">
        <v>2.88</v>
      </c>
      <c r="D25" s="11" t="inlineStr">
        <is>
          <t>Dosel continuo, matorral denso o mosaico agroforestal</t>
        </is>
      </c>
      <c r="E25" s="11" t="inlineStr"/>
    </row>
    <row r="26">
      <c r="A26" s="12" t="inlineStr">
        <is>
          <t>Vegetación mediana</t>
        </is>
      </c>
      <c r="B26" s="20" t="n">
        <v>6.7655</v>
      </c>
      <c r="C26" s="21" t="n">
        <v>27.78</v>
      </c>
      <c r="D26" s="13" t="inlineStr">
        <is>
          <t>Pastizal cultivado, matorral ralo, parcelas agrícolas</t>
        </is>
      </c>
      <c r="E26" s="13" t="inlineStr"/>
    </row>
    <row r="27">
      <c r="A27" s="7" t="inlineStr">
        <is>
          <t>Vegetación ligera</t>
        </is>
      </c>
      <c r="B27" s="18" t="n">
        <v>14.618</v>
      </c>
      <c r="C27" s="19" t="n">
        <v>60.03</v>
      </c>
      <c r="D27" s="11" t="inlineStr">
        <is>
          <t>Cobertura discontinua, suelo parcialmente expuesto</t>
        </is>
      </c>
      <c r="E27" s="11" t="inlineStr"/>
    </row>
    <row r="28">
      <c r="A28" s="12" t="inlineStr">
        <is>
          <t>Tierra desnuda</t>
        </is>
      </c>
      <c r="B28" s="20" t="n">
        <v>2.2662</v>
      </c>
      <c r="C28" s="21" t="n">
        <v>9.31</v>
      </c>
      <c r="D28" s="13" t="inlineStr">
        <is>
          <t>Suelo desnudo, afloramientos, plataformas y taludes</t>
        </is>
      </c>
      <c r="E28" s="13" t="inlineStr"/>
    </row>
    <row r="29">
      <c r="A29" s="16" t="inlineStr">
        <is>
          <t>TOTAL CLASIFICADO</t>
        </is>
      </c>
      <c r="B29" s="22">
        <f>SUM(B25:B28)</f>
        <v>24.352</v>
      </c>
      <c r="C29" s="23">
        <f>SUM(C25:C28)</f>
        <v>100.0</v>
      </c>
      <c r="D29" s="17" t="inlineStr"/>
      <c r="E29" s="17" t="inlineStr"/>
    </row>
    <row r="30">
      <c r="A30" s="24" t="inlineStr">
        <is>
          <t>Superficie de catálogo (V5/V6)</t>
        </is>
      </c>
      <c r="B30" s="25" t="n">
        <v>24.344</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2.88 % del polígono clasificado como «Vegetación alta» por el NDVI 2025; la observación de campo corresponde a una parcela o recorrido puntual y no es estadísticamente representativa de las 24.344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83</t>
        </is>
      </c>
    </row>
    <row r="6" ht="24" customHeight="1">
      <c r="A6" s="4" t="inlineStr">
        <is>
          <t>Levantamiento del 2026-08-14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639906</v>
      </c>
      <c r="D10" s="26" t="n">
        <v>9410562</v>
      </c>
      <c r="E10" s="11" t="n">
        <v>195.4</v>
      </c>
      <c r="F10" s="11" t="inlineStr"/>
      <c r="G10" s="11" t="inlineStr">
        <is>
          <t>Coordenada consignada en F-DT-01</t>
        </is>
      </c>
    </row>
    <row r="11">
      <c r="A11" s="12" t="inlineStr">
        <is>
          <t>H-01</t>
        </is>
      </c>
      <c r="B11" s="13" t="inlineStr">
        <is>
          <t>Fuente de agua — Río</t>
        </is>
      </c>
      <c r="C11" s="27" t="n">
        <v>639951</v>
      </c>
      <c r="D11" s="27" t="n">
        <v>9410982</v>
      </c>
      <c r="E11" s="13" t="n">
        <v>427.7</v>
      </c>
      <c r="F11" s="13" t="inlineStr">
        <is>
          <t>Permanente</t>
        </is>
      </c>
      <c r="G11" s="13" t="inlineStr">
        <is>
          <t>Cauce principal del fondo de valle</t>
        </is>
      </c>
    </row>
    <row r="12">
      <c r="A12" s="7" t="inlineStr">
        <is>
          <t>H-02</t>
        </is>
      </c>
      <c r="B12" s="11" t="inlineStr">
        <is>
          <t>Fuente de agua — Quebrada estacional</t>
        </is>
      </c>
      <c r="C12" s="26" t="n">
        <v>640025</v>
      </c>
      <c r="D12" s="26" t="n">
        <v>9410582</v>
      </c>
      <c r="E12" s="11" t="n">
        <v>307.6</v>
      </c>
      <c r="F12" s="11" t="inlineStr">
        <is>
          <t>POR VERIFICAR</t>
        </is>
      </c>
      <c r="G12" s="11" t="inlineStr">
        <is>
          <t>Cauce pedregoso interior</t>
        </is>
      </c>
    </row>
    <row r="13">
      <c r="A13" s="12" t="inlineStr">
        <is>
          <t>H-03</t>
        </is>
      </c>
      <c r="B13" s="13" t="inlineStr">
        <is>
          <t>Fuente de agua — Quebrada estacional</t>
        </is>
      </c>
      <c r="C13" s="27" t="n">
        <v>639906</v>
      </c>
      <c r="D13" s="27" t="n">
        <v>9410562</v>
      </c>
      <c r="E13" s="13" t="n">
        <v>195.4</v>
      </c>
      <c r="F13" s="13" t="inlineStr">
        <is>
          <t>POR VERIFICAR</t>
        </is>
      </c>
      <c r="G13" s="13" t="inlineStr">
        <is>
          <t>Cauce interior con lecho de bolonería</t>
        </is>
      </c>
    </row>
    <row r="14">
      <c r="A14" s="7" t="inlineStr">
        <is>
          <t>H-04</t>
        </is>
      </c>
      <c r="B14" s="11" t="inlineStr">
        <is>
          <t>Fuente de agua — Canal de riego</t>
        </is>
      </c>
      <c r="C14" s="26" t="n">
        <v>639951</v>
      </c>
      <c r="D14" s="26" t="n">
        <v>9410982</v>
      </c>
      <c r="E14" s="11" t="n">
        <v>427.7</v>
      </c>
      <c r="F14" s="11" t="inlineStr">
        <is>
          <t>POR VERIFICAR</t>
        </is>
      </c>
      <c r="G14" s="11" t="inlineStr">
        <is>
          <t>Parcelas de plátano bajo riego</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639720</v>
      </c>
      <c r="C17" s="6" t="inlineStr">
        <is>
          <t>Centroide del bloque — UTM NORTE (m)</t>
        </is>
      </c>
      <c r="D17" s="7" t="n">
        <v>9410622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19"/>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cartográfica «Bloques extras». Se añadió el registro a la hoja auxiliar exclusivamente para habilitar los VLOOKUP (D-02). CENTROIDE POR RESTITUCIÓN CARTOGRÁFICA (±30 m). ALTITUD GPS SIN CONSIGNAR: la cota EXIF de los fotogramas (346.97-425.77 msnm) corresponde a LA AERONAVE y no al terreno (≈235-355 msnm). Rango altitudinal y pendiente REFERENCIALES, derivados de un transecto de 261 m en Google Earth (mín. 233 · media 252 · máx. 275 msnm; pendiente media 15.7%, máxima 31.0%); NO equivalen a estadística zonal del DEM, no disponible para este bloque.</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83</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4" t="inlineStr">
        <is>
          <t>► 83</t>
        </is>
      </c>
      <c r="B15" s="30" t="n">
        <v>24.344</v>
      </c>
      <c r="C15" s="31" t="n">
        <v>6.12</v>
      </c>
      <c r="D15" s="15" t="inlineStr">
        <is>
          <t>Por determinar</t>
        </is>
      </c>
      <c r="E15" s="15" t="inlineStr">
        <is>
          <t>Por determinar</t>
        </is>
      </c>
      <c r="F15" s="15" t="inlineStr">
        <is>
          <t>Por determinar</t>
        </is>
      </c>
      <c r="G15" s="32" t="n">
        <v>0.3055</v>
      </c>
      <c r="H15" s="31" t="n">
        <v>2.88</v>
      </c>
      <c r="I15" s="3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48" customHeight="1">
      <c r="A22" s="9" t="inlineStr">
        <is>
          <t>LECTURA INTRAMICROCUENCA. El bloque 83 ocupa el puesto 6 de 9 por superficie dentro de la microcuenca C1081-Q9583 (6.12 % de las 398.04 ha preliminares de la microcuenca). El cuadro conserva todos los bloques catalogados en la microcuenca, incluidos los descartados en el tamizaje, para referencia del conjunto. Los bloques sin ficha DT figuran con sus parámetros de gabinete. BRECHA ESPECTRAL. El 99.39 % de la superficie del bloque (24.196 ha de 24.344 ha) se sitúa bajo el umbral MSAVI 0.4976, por encima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(24.352 ha) coincide con la de catálogo (24.344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90.69 %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Registro añadido a la hoja auxiliar solo para habilitar VLOOKUP; 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no hay estadística zonal del DEM para este bloque</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t>
        </is>
      </c>
      <c r="D20" s="37" t="inlineStr">
        <is>
          <t>SUSTANTIVA</t>
        </is>
      </c>
      <c r="E20" s="34" t="inlineStr">
        <is>
          <t>La ausencia de registro no equivale a ausencia del proceso</t>
        </is>
      </c>
    </row>
    <row r="21" ht="48" customHeight="1">
      <c r="A21" s="36" t="inlineStr">
        <is>
          <t>D-12</t>
        </is>
      </c>
      <c r="B21" s="36" t="inlineStr">
        <is>
          <t>F-DT-03</t>
        </is>
      </c>
      <c r="C21" s="36" t="inlineStr">
        <is>
          <t>Las 15 especies se REPLICAN de los bloques 85, 86 y 87 por indicación de la Subdirección; no hay muestreo propio</t>
        </is>
      </c>
      <c r="D21" s="37" t="inlineStr">
        <is>
          <t>SUSTANTIVA</t>
        </is>
      </c>
      <c r="E21" s="36" t="inlineStr">
        <is>
          <t>No constituye inventario del bloque 83</t>
        </is>
      </c>
    </row>
    <row r="22" ht="48" customHeight="1">
      <c r="A22" s="34" t="inlineStr">
        <is>
          <t>D-13</t>
        </is>
      </c>
      <c r="B22" s="34" t="inlineStr">
        <is>
          <t>F-DT-03</t>
        </is>
      </c>
      <c r="C22" s="34" t="inlineStr">
        <is>
          <t>Asignación Bes-cm por verificar contra el Mapa Nacional de Ecosistemas (contacto próximo con bosque seco de llanura)</t>
        </is>
      </c>
      <c r="D22" s="15" t="inlineStr">
        <is>
          <t>NO SUSTANTIVA</t>
        </is>
      </c>
      <c r="E22" s="34" t="inlineStr">
        <is>
          <t>Verificación pendiente</t>
        </is>
      </c>
    </row>
    <row r="23" ht="48" customHeight="1">
      <c r="A23" s="36" t="inlineStr">
        <is>
          <t>D-14</t>
        </is>
      </c>
      <c r="B23" s="36" t="inlineStr">
        <is>
          <t>F-DT-04</t>
        </is>
      </c>
      <c r="C23" s="36" t="inlineStr">
        <is>
          <t>Velocidad de degradación sin consignar (falta serie TAU y MSAVI multianual)</t>
        </is>
      </c>
      <c r="D23" s="37" t="inlineStr">
        <is>
          <t>SUSTANTIVA</t>
        </is>
      </c>
      <c r="E23" s="36" t="inlineStr">
        <is>
          <t>Procesar serie temporal</t>
        </is>
      </c>
    </row>
    <row r="24" ht="48" customHeight="1">
      <c r="A24" s="34" t="inlineStr">
        <is>
          <t>D-15</t>
        </is>
      </c>
      <c r="B24" s="34" t="inlineStr">
        <is>
          <t>F-DT-05</t>
        </is>
      </c>
      <c r="C24" s="34" t="inlineStr">
        <is>
          <t>La vía es ASFALTADA con badenes, no «afirmada» como consignan los informes del sector Dotor</t>
        </is>
      </c>
      <c r="D24" s="15" t="inlineStr">
        <is>
          <t>NO SUSTANTIVA</t>
        </is>
      </c>
      <c r="E24" s="34" t="inlineStr">
        <is>
          <t>Corregir en la memoria; código MTC por verificar</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(113 polígonos, 24.344 ha)</t>
        </is>
      </c>
      <c r="D25" s="15"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(24.344 ha) frente a la de catálogo V5/V6 (24.344 ha): desviación de +0.00 %</t>
        </is>
      </c>
      <c r="D26" s="15"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(0.3055) cae en la clase «DN 2 · 0.2650 - 0.3813 (Vigor muy bajo)»; la clase de mayor superficie es «DN 2 · 0.2650 - 0.3813 (Vigor muy bajo)», con 56.05 % del bloque. Superficie bajo el umbral 0.4976: 24.196 ha (99.39 %)</t>
        </is>
      </c>
      <c r="D27" s="15"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5 · CORREGIDO: 1 · NO SUSTANTIVA: 4 · SUSTANTIVA: 8</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83 — IN Piura</dc:title>
  <dc:subject>Diagnóstico Territorial por bloque de intervención</dc:subject>
  <dcterms:created xsi:type="dcterms:W3CDTF">2026-09-08T03:39:59Z</dcterms:created>
  <dcterms:modified xsi:type="dcterms:W3CDTF">2026-09-10T00:28:30Z</dcterms:modified>
</cp:coreProperties>
</file>