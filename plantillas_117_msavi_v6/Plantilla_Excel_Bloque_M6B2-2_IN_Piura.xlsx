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M6B2-2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M6B2-2</t>
        </is>
      </c>
      <c r="C9" s="6" t="inlineStr">
        <is>
          <t>Microcuenca (catálogo)</t>
        </is>
      </c>
      <c r="D9" s="7" t="inlineStr">
        <is>
          <t>C1077-Q9566</t>
        </is>
      </c>
      <c r="E9" s="8" t="n"/>
      <c r="F9" s="8" t="n"/>
    </row>
    <row r="10">
      <c r="A10" s="6" t="inlineStr">
        <is>
          <t>Zona de planificación</t>
        </is>
      </c>
      <c r="B10" s="7" t="inlineStr">
        <is>
          <t>Z06</t>
        </is>
      </c>
      <c r="C10" s="6" t="inlineStr">
        <is>
          <t>Microcuenca declarada en ficha DT</t>
        </is>
      </c>
      <c r="D10" s="7" t="inlineStr">
        <is>
          <t>C1077-Q9566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Buenos Aires (capital distrital) / Caseríos Pueblo Nuevo, Chihuahua y Pedregal (CP 272 Buenos Aires)</t>
        </is>
      </c>
      <c r="C13" s="6" t="inlineStr">
        <is>
          <t>Comunidad campesina</t>
        </is>
      </c>
      <c r="D13" s="7" t="inlineStr">
        <is>
          <t>No aplica formalmente — TIERRAS ESTATALES ADMINISTRADAS POR EL GOBIERNO REGIONAL DE PIURA</t>
        </is>
      </c>
      <c r="E13" s="8" t="n"/>
      <c r="F13" s="8" t="n"/>
    </row>
    <row r="14">
      <c r="A14" s="6" t="inlineStr">
        <is>
          <t>Superficie de catálogo (V5/V6), ha</t>
        </is>
      </c>
      <c r="B14" s="7" t="n">
        <v>333.01</v>
      </c>
      <c r="C14" s="6" t="inlineStr">
        <is>
          <t>Fuente de superficie</t>
        </is>
      </c>
      <c r="D14" s="7" t="inlineStr">
        <is>
          <t>Catálogo maestro Bloques V5/V6</t>
        </is>
      </c>
      <c r="E14" s="8" t="n"/>
      <c r="F14" s="8" t="n"/>
    </row>
    <row r="15">
      <c r="A15" s="6" t="inlineStr">
        <is>
          <t>Centroide UTM ESTE (m)</t>
        </is>
      </c>
      <c r="B15" s="7" t="n">
        <v>611196</v>
      </c>
      <c r="C15" s="6" t="inlineStr">
        <is>
          <t>Centroide UTM NORTE (m)</t>
        </is>
      </c>
      <c r="D15" s="7" t="n">
        <v>9416725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195</v>
      </c>
      <c r="C19" s="6" t="inlineStr">
        <is>
          <t>Altitud máxima (msnm)</t>
        </is>
      </c>
      <c r="D19" s="7" t="n">
        <v>440</v>
      </c>
      <c r="E19" s="8" t="n"/>
      <c r="F19" s="8" t="n"/>
    </row>
    <row r="20">
      <c r="A20" s="6" t="inlineStr">
        <is>
          <t>Amplitud altitudinal (m)</t>
        </is>
      </c>
      <c r="B20" s="7" t="n">
        <v>245</v>
      </c>
      <c r="C20" s="6" t="inlineStr">
        <is>
          <t>Piso altitudinal dominante</t>
        </is>
      </c>
      <c r="D20" s="7" t="inlineStr">
        <is>
          <t>&lt;1000 m (Yunga)</t>
        </is>
      </c>
      <c r="E20" s="8" t="n"/>
      <c r="F20" s="8" t="n"/>
    </row>
    <row r="21">
      <c r="A21" s="6" t="inlineStr">
        <is>
          <t>Pendiente promedio (%)</t>
        </is>
      </c>
      <c r="B21" s="7" t="n">
        <v>14.33</v>
      </c>
      <c r="C21" s="6" t="inlineStr">
        <is>
          <t>Pendiente promedio (grados)</t>
        </is>
      </c>
      <c r="D21" s="7" t="n">
        <v>8.199999999999999</v>
      </c>
      <c r="E21" s="8" t="n"/>
      <c r="F21" s="8" t="n"/>
    </row>
    <row r="22">
      <c r="A22" s="6" t="inlineStr">
        <is>
          <t>Clase de pendiente equivalente</t>
        </is>
      </c>
      <c r="B22" s="7" t="inlineStr">
        <is>
          <t>8-15% (Mod.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 a Noreste</t>
        </is>
      </c>
      <c r="C24" s="6" t="inlineStr">
        <is>
          <t>Afloramientos rocosos</t>
        </is>
      </c>
      <c r="D24" s="7" t="inlineStr">
        <is>
          <t>Sí</t>
        </is>
      </c>
      <c r="E24" s="8" t="n"/>
      <c r="F24" s="8" t="n"/>
    </row>
    <row r="25">
      <c r="A25" s="6" t="inlineStr">
        <is>
          <t>Escarpes activos</t>
        </is>
      </c>
      <c r="B25" s="7" t="inlineStr">
        <is>
          <t>No (microescarpes potenciales en cabeceras &gt;400 msnm no verificados)</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0.3026</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(80.27 %)</t>
        </is>
      </c>
      <c r="E29" s="8" t="n"/>
      <c r="F29" s="8" t="n"/>
    </row>
    <row r="30">
      <c r="A30" s="6" t="inlineStr">
        <is>
          <t>Superficie clasificada NDVI 2025 (ha)</t>
        </is>
      </c>
      <c r="B30" s="7" t="n">
        <v>333.176</v>
      </c>
      <c r="C30" s="6" t="inlineStr">
        <is>
          <t>Desviación frente al catálogo (%)</t>
        </is>
      </c>
      <c r="D30" s="7" t="n">
        <v>0.05</v>
      </c>
      <c r="E30" s="8" t="n"/>
      <c r="F30" s="8" t="n"/>
    </row>
    <row r="31">
      <c r="A31" s="6" t="inlineStr">
        <is>
          <t>Superficie clasificada MSAVI 2024 (ha)</t>
        </is>
      </c>
      <c r="B31" s="39" t="n">
        <v>333.012</v>
      </c>
      <c r="C31" s="6" t="inlineStr">
        <is>
          <t>Desviación MSAVI frente al catálogo (%)</t>
        </is>
      </c>
      <c r="D31" s="40" t="n">
        <v>0</v>
      </c>
      <c r="E31" s="8" t="n"/>
      <c r="F31" s="8" t="n"/>
    </row>
    <row r="32">
      <c r="A32" s="6" t="inlineStr">
        <is>
          <t>Superficie bajo umbral MSAVI 0.4976 (ha)</t>
        </is>
      </c>
      <c r="B32" s="39" t="n">
        <v>329.691</v>
      </c>
      <c r="C32" s="6" t="inlineStr">
        <is>
          <t>% del bloque bajo umbral (brecha espectral)</t>
        </is>
      </c>
      <c r="D32" s="40" t="n">
        <v>99</v>
      </c>
      <c r="E32" s="8" t="n"/>
      <c r="F32" s="8" t="n"/>
    </row>
    <row r="33">
      <c r="A33" s="6" t="inlineStr">
        <is>
          <t>Clase DN dominante (MSAVI 2024)</t>
        </is>
      </c>
      <c r="B33" s="7" t="inlineStr">
        <is>
          <t>DN 2 · 0.2650 - 0.3813 (Vigor muy bajo)</t>
        </is>
      </c>
      <c r="C33" s="6" t="inlineStr">
        <is>
          <t>N.° de polígonos MSAVI del bloque</t>
        </is>
      </c>
      <c r="D33" s="41" t="n">
        <v>1026</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≈333.01 ha (99% del bloque)</t>
        </is>
      </c>
      <c r="E36" s="8" t="n"/>
      <c r="F36" s="8" t="n"/>
    </row>
    <row r="37">
      <c r="A37" s="6" t="inlineStr">
        <is>
          <t>Estado de conservación</t>
        </is>
      </c>
      <c r="B37" s="7" t="inlineStr">
        <is>
          <t>Medianamente alterado</t>
        </is>
      </c>
      <c r="C37" s="6" t="inlineStr">
        <is>
          <t>Uso actual dominante del suelo</t>
        </is>
      </c>
      <c r="D37" s="7" t="inlineStr">
        <is>
          <t>Pastoreo extensivo (mixto caprino + vacuno) con extracción selectiva de leña y madera; tierras estatales (GORE Piura)</t>
        </is>
      </c>
      <c r="E37" s="8" t="n"/>
      <c r="F37" s="8" t="n"/>
    </row>
    <row r="38">
      <c r="A38" s="6" t="inlineStr">
        <is>
          <t>Tipo de cobertura dominante</t>
        </is>
      </c>
      <c r="B38" s="7" t="inlineStr">
        <is>
          <t>Bosque ralo (30-70%)</t>
        </is>
      </c>
      <c r="C38" s="6" t="inlineStr">
        <is>
          <t>Cobertura vegetal total — campo (%)</t>
        </is>
      </c>
      <c r="D38" s="7" t="n">
        <v>60</v>
      </c>
      <c r="E38" s="8" t="n"/>
      <c r="F38" s="8" t="n"/>
    </row>
    <row r="39">
      <c r="A39" s="6" t="inlineStr">
        <is>
          <t>Suelo desnudo — campo (%)</t>
        </is>
      </c>
      <c r="B39" s="7" t="n">
        <v>25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t>
        </is>
      </c>
      <c r="C44" s="6" t="inlineStr">
        <is>
          <t>Fecha de evaluación</t>
        </is>
      </c>
      <c r="D44" s="7" t="inlineStr">
        <is>
          <t>2026-05-18</t>
        </is>
      </c>
      <c r="E44" s="8" t="n"/>
      <c r="F44" s="8" t="n"/>
    </row>
    <row r="45">
      <c r="A45" s="6" t="inlineStr">
        <is>
          <t>Hora de registro</t>
        </is>
      </c>
      <c r="B45" s="7" t="inlineStr">
        <is>
          <t>10:11 h</t>
        </is>
      </c>
      <c r="C45" s="6" t="inlineStr">
        <is>
          <t>Correlativo de ficha</t>
        </is>
      </c>
      <c r="D45" s="7" t="inlineStr">
        <is>
          <t>DT-M6B2-2-001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P-01 (sector basal, cota 285 msnm, próxima al ingreso)</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Estructura económica local de subsistencia con baja diversificación productiva y dependencia histórica del pastoreo</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M6B2-2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0.7418</v>
      </c>
      <c r="C10" s="19">
        <f>ROUND(B10/$B$15*100,2)</f>
        <v>0.22</v>
      </c>
      <c r="D10" s="11" t="inlineStr">
        <is>
          <t>Vigor alto</t>
        </is>
      </c>
      <c r="E10" s="11" t="inlineStr">
        <is>
          <t>Sobre umbral</t>
        </is>
      </c>
    </row>
    <row r="11">
      <c r="A11" s="12" t="inlineStr">
        <is>
          <t>0.4976 - 0.6139 · DN 4</t>
        </is>
      </c>
      <c r="B11" s="20" t="n">
        <v>2.579</v>
      </c>
      <c r="C11" s="21">
        <f>ROUND(B11/$B$15*100,2)</f>
        <v>0.77</v>
      </c>
      <c r="D11" s="13" t="inlineStr">
        <is>
          <t>Vigor moderado</t>
        </is>
      </c>
      <c r="E11" s="13" t="inlineStr">
        <is>
          <t>Sobre umbral</t>
        </is>
      </c>
    </row>
    <row r="12">
      <c r="A12" s="7" t="inlineStr">
        <is>
          <t>0.3813 - 0.4976 · DN 3</t>
        </is>
      </c>
      <c r="B12" s="18" t="n">
        <v>25.0184</v>
      </c>
      <c r="C12" s="19">
        <f>ROUND(B12/$B$15*100,2)</f>
        <v>7.51</v>
      </c>
      <c r="D12" s="11" t="inlineStr">
        <is>
          <t>Vigor bajo</t>
        </is>
      </c>
      <c r="E12" s="11" t="inlineStr">
        <is>
          <t>BAJO umbral 0.4976</t>
        </is>
      </c>
    </row>
    <row r="13">
      <c r="A13" s="14" t="inlineStr">
        <is>
          <t>0.2650 - 0.3813 · DN 2</t>
        </is>
      </c>
      <c r="B13" s="31" t="n">
        <v>214.4296</v>
      </c>
      <c r="C13" s="30">
        <f>ROUND(B13/$B$15*100,2)</f>
        <v>64.39</v>
      </c>
      <c r="D13" s="15" t="inlineStr">
        <is>
          <t>Vigor muy bajo</t>
        </is>
      </c>
      <c r="E13" s="15" t="inlineStr">
        <is>
          <t>BAJO umbral 0.4976</t>
        </is>
      </c>
    </row>
    <row r="14">
      <c r="A14" s="7" t="inlineStr">
        <is>
          <t>&lt;= 0.2650 · DN 1</t>
        </is>
      </c>
      <c r="B14" s="18" t="n">
        <v>90.2428</v>
      </c>
      <c r="C14" s="19">
        <f>ROUND(B14/$B$15*100,2)</f>
        <v>27.1</v>
      </c>
      <c r="D14" s="11" t="inlineStr">
        <is>
          <t>Suelo desnudo / no vegetal</t>
        </is>
      </c>
      <c r="E14" s="11" t="inlineStr">
        <is>
          <t>BAJO umbral 0.4976</t>
        </is>
      </c>
    </row>
    <row r="15" ht="30" customHeight="1">
      <c r="A15" s="44" t="inlineStr">
        <is>
          <t>TOTAL CLASIFICADO MSAVI 2024</t>
        </is>
      </c>
      <c r="B15" s="45">
        <f>SUM(B10:B14)</f>
        <v>333.0116</v>
      </c>
      <c r="C15" s="46">
        <f>SUM(C10:C14)</f>
        <v>99.99</v>
      </c>
      <c r="D15" s="44" t="inlineStr">
        <is>
          <t>Suma de la distribución areal · 1 026 polígonos</t>
        </is>
      </c>
      <c r="E15" s="44" t="inlineStr">
        <is>
          <t>—</t>
        </is>
      </c>
    </row>
    <row r="16" ht="30" customHeight="1">
      <c r="A16" s="47" t="inlineStr">
        <is>
          <t>Superficie SOBRE umbral 0.4976 (ha)</t>
        </is>
      </c>
      <c r="B16" s="48">
        <f>SUM(B10:B11)</f>
        <v>3.3208</v>
      </c>
      <c r="C16" s="49">
        <f>ROUND(B16/B15*100,2)</f>
        <v>1.0</v>
      </c>
      <c r="D16" s="47" t="inlineStr">
        <is>
          <t>Vigor alto y moderado (DN 4 y DN 5)</t>
        </is>
      </c>
      <c r="E16" s="47" t="inlineStr">
        <is>
          <t>Sobre umbral 0.4976</t>
        </is>
      </c>
    </row>
    <row r="17" ht="30" customHeight="1">
      <c r="A17" s="47" t="inlineStr">
        <is>
          <t>Superficie BAJO umbral 0.4976 (ha) — brecha</t>
        </is>
      </c>
      <c r="B17" s="48">
        <f>SUM(B12:B14)</f>
        <v>329.6908</v>
      </c>
      <c r="C17" s="49">
        <f>ROUND(B17/B15*100,2)</f>
        <v>99.0</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333.01</v>
      </c>
      <c r="C18" s="50" t="inlineStr">
        <is>
          <t>—</t>
        </is>
      </c>
      <c r="D18" s="47" t="inlineStr">
        <is>
          <t>Desviación planimétrica frente al catálogo</t>
        </is>
      </c>
      <c r="E18" s="47" t="inlineStr">
        <is>
          <t>+0.00 %</t>
        </is>
      </c>
    </row>
    <row r="19">
      <c r="A19" s="16" t="inlineStr">
        <is>
          <t>MSAVI 2024 — MEDIA DEL BLOQUE</t>
        </is>
      </c>
      <c r="B19" s="17" t="n">
        <v>0.302636</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1 026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(0.3026)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2.2561</v>
      </c>
      <c r="C25" s="19" t="n">
        <v>0.68</v>
      </c>
      <c r="D25" s="11" t="inlineStr">
        <is>
          <t>Dosel continuo, matorral denso o mosaico agroforestal</t>
        </is>
      </c>
      <c r="E25" s="11" t="inlineStr"/>
    </row>
    <row r="26">
      <c r="A26" s="12" t="inlineStr">
        <is>
          <t>Vegetación mediana</t>
        </is>
      </c>
      <c r="B26" s="20" t="n">
        <v>48.3216</v>
      </c>
      <c r="C26" s="21" t="n">
        <v>14.5</v>
      </c>
      <c r="D26" s="13" t="inlineStr">
        <is>
          <t>Pastizal cultivado, matorral ralo, parcelas agrícolas</t>
        </is>
      </c>
      <c r="E26" s="13" t="inlineStr"/>
    </row>
    <row r="27">
      <c r="A27" s="7" t="inlineStr">
        <is>
          <t>Vegetación ligera</t>
        </is>
      </c>
      <c r="B27" s="18" t="n">
        <v>267.4393</v>
      </c>
      <c r="C27" s="19" t="n">
        <v>80.27</v>
      </c>
      <c r="D27" s="11" t="inlineStr">
        <is>
          <t>Cobertura discontinua, suelo parcialmente expuesto</t>
        </is>
      </c>
      <c r="E27" s="11" t="inlineStr"/>
    </row>
    <row r="28">
      <c r="A28" s="12" t="inlineStr">
        <is>
          <t>Tierra desnuda</t>
        </is>
      </c>
      <c r="B28" s="20" t="n">
        <v>15.1589</v>
      </c>
      <c r="C28" s="21" t="n">
        <v>4.55</v>
      </c>
      <c r="D28" s="13" t="inlineStr">
        <is>
          <t>Suelo desnudo, afloramientos, plataformas y taludes</t>
        </is>
      </c>
      <c r="E28" s="13" t="inlineStr"/>
    </row>
    <row r="29">
      <c r="A29" s="16" t="inlineStr">
        <is>
          <t>TOTAL CLASIFICADO</t>
        </is>
      </c>
      <c r="B29" s="22">
        <f>SUM(B25:B28)</f>
        <v>333.1759</v>
      </c>
      <c r="C29" s="23">
        <f>SUM(C25:C28)</f>
        <v>100.0</v>
      </c>
      <c r="D29" s="17" t="inlineStr"/>
      <c r="E29" s="17" t="inlineStr"/>
    </row>
    <row r="30">
      <c r="A30" s="24" t="inlineStr">
        <is>
          <t>Superficie de catálogo (V5/V6)</t>
        </is>
      </c>
      <c r="B30" s="25" t="n">
        <v>333.01</v>
      </c>
      <c r="C30" s="25" t="inlineStr">
        <is>
          <t>—</t>
        </is>
      </c>
      <c r="D30" s="25" t="inlineStr">
        <is>
          <t>Desviación planimétrica frente al catálogo</t>
        </is>
      </c>
      <c r="E30" s="25" t="inlineStr">
        <is>
          <t>+0.05 %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0.68 % del polígono clasificado como «Vegetación alta» por el NDVI 2025; la observación de campo corresponde a una parcela o recorrido puntual y no es estadísticamente representativa de las 333.010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M6B2-2</t>
        </is>
      </c>
    </row>
    <row r="6" ht="24" customHeight="1">
      <c r="A6" s="4" t="inlineStr">
        <is>
          <t>Levantamiento del 2026-05-18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612190</v>
      </c>
      <c r="D10" s="26" t="n">
        <v>9417090</v>
      </c>
      <c r="E10" s="11" t="n">
        <v>1058.9</v>
      </c>
      <c r="F10" s="11" t="inlineStr"/>
      <c r="G10" s="11" t="inlineStr">
        <is>
          <t>Coordenada consignada en F-DT-01</t>
        </is>
      </c>
    </row>
    <row r="11">
      <c r="A11" s="12" t="inlineStr">
        <is>
          <t>CA-01</t>
        </is>
      </c>
      <c r="B11" s="13" t="inlineStr">
        <is>
          <t>Rasgo erosivo — Cárcava somera — 60 m, 1.2 m prof., 8 m ancho</t>
        </is>
      </c>
      <c r="C11" s="27" t="n">
        <v>612262</v>
      </c>
      <c r="D11" s="27" t="n">
        <v>9417144</v>
      </c>
      <c r="E11" s="13" t="n">
        <v>1145.4</v>
      </c>
      <c r="F11" s="13" t="inlineStr">
        <is>
          <t>Inactiva</t>
        </is>
      </c>
      <c r="G11" s="13" t="inlineStr">
        <is>
          <t>Concentración natural de escorrentía</t>
        </is>
      </c>
    </row>
    <row r="12">
      <c r="A12" s="7" t="inlineStr">
        <is>
          <t>CA-02</t>
        </is>
      </c>
      <c r="B12" s="11" t="inlineStr">
        <is>
          <t>Rasgo erosivo — Cárcava profunda — 250 m, 2.5 m prof., 12 m ancho</t>
        </is>
      </c>
      <c r="C12" s="26" t="n">
        <v>612179</v>
      </c>
      <c r="D12" s="26" t="n">
        <v>9416517</v>
      </c>
      <c r="E12" s="11" t="n">
        <v>1004.8</v>
      </c>
      <c r="F12" s="11" t="inlineStr">
        <is>
          <t>Semi-activa</t>
        </is>
      </c>
      <c r="G12" s="11" t="inlineStr">
        <is>
          <t>Concentración natural de escorrentía (flujo de detritos histórico)</t>
        </is>
      </c>
    </row>
    <row r="13">
      <c r="A13" s="12" t="inlineStr">
        <is>
          <t>CA-03</t>
        </is>
      </c>
      <c r="B13" s="13" t="inlineStr">
        <is>
          <t>Rasgo erosivo — Surco (&lt;30 cm) — 80 m, 0.15 m prof., 0.4 m ancho</t>
        </is>
      </c>
      <c r="C13" s="27" t="n">
        <v>612143</v>
      </c>
      <c r="D13" s="27" t="n">
        <v>9417117</v>
      </c>
      <c r="E13" s="13" t="n">
        <v>1024.9</v>
      </c>
      <c r="F13" s="13" t="inlineStr">
        <is>
          <t>Activa</t>
        </is>
      </c>
      <c r="G13" s="13" t="inlineStr">
        <is>
          <t>Sobrepastoreo</t>
        </is>
      </c>
    </row>
    <row r="14">
      <c r="A14" s="7" t="inlineStr">
        <is>
          <t>H-01</t>
        </is>
      </c>
      <c r="B14" s="11" t="inlineStr">
        <is>
          <t>Fuente de agua — Quebrada estacional</t>
        </is>
      </c>
      <c r="C14" s="26" t="n">
        <v>612262</v>
      </c>
      <c r="D14" s="26" t="n">
        <v>9417144</v>
      </c>
      <c r="E14" s="11" t="n">
        <v>1145.4</v>
      </c>
      <c r="F14" s="11" t="inlineStr">
        <is>
          <t>Estacional</t>
        </is>
      </c>
      <c r="G14" s="11" t="inlineStr">
        <is>
          <t>Quebrada de cantos rodados que atraviesa el bloque W-E</t>
        </is>
      </c>
    </row>
    <row r="15">
      <c r="A15" s="12" t="inlineStr">
        <is>
          <t>H-02</t>
        </is>
      </c>
      <c r="B15" s="13" t="inlineStr">
        <is>
          <t>Fuente de agua — Quebrada estacional</t>
        </is>
      </c>
      <c r="C15" s="27" t="n">
        <v>612179</v>
      </c>
      <c r="D15" s="27" t="n">
        <v>9416517</v>
      </c>
      <c r="E15" s="13" t="n">
        <v>1004.8</v>
      </c>
      <c r="F15" s="13" t="inlineStr">
        <is>
          <t>Estacional</t>
        </is>
      </c>
      <c r="G15" s="13" t="inlineStr">
        <is>
          <t>Quebrada con potente depósito de bloques métricos (huaico histórico)</t>
        </is>
      </c>
    </row>
    <row r="16">
      <c r="A16" s="7" t="inlineStr">
        <is>
          <t>H-03</t>
        </is>
      </c>
      <c r="B16" s="11" t="inlineStr">
        <is>
          <t>Fuente de agua — Río</t>
        </is>
      </c>
      <c r="C16" s="26" t="n">
        <v>613500</v>
      </c>
      <c r="D16" s="26" t="n">
        <v>9418500</v>
      </c>
      <c r="E16" s="11" t="n">
        <v>2908.4</v>
      </c>
      <c r="F16" s="11" t="inlineStr">
        <is>
          <t>Permanente</t>
        </is>
      </c>
      <c r="G16" s="11" t="inlineStr">
        <is>
          <t>Río Yapatera — cauce principal colindante NE</t>
        </is>
      </c>
    </row>
    <row r="17">
      <c r="A17" s="16" t="inlineStr">
        <is>
          <t>TOTAL: 7 puntos</t>
        </is>
      </c>
      <c r="B17" s="17" t="inlineStr"/>
      <c r="C17" s="17" t="inlineStr"/>
      <c r="D17" s="17" t="inlineStr"/>
      <c r="E17" s="17" t="inlineStr"/>
      <c r="F17" s="17" t="inlineStr"/>
      <c r="G17" s="17" t="inlineStr"/>
    </row>
    <row r="18"/>
    <row r="19">
      <c r="A19" s="6" t="inlineStr">
        <is>
          <t>Centroide del bloque — UTM ESTE (m)</t>
        </is>
      </c>
      <c r="B19" s="7" t="n">
        <v>611196</v>
      </c>
      <c r="C19" s="6" t="inlineStr">
        <is>
          <t>Centroide del bloque — UTM NORTE (m)</t>
        </is>
      </c>
      <c r="D19" s="7" t="n">
        <v>9416725</v>
      </c>
      <c r="E19" s="8" t="n"/>
      <c r="F19" s="8" t="n"/>
      <c r="G19" s="8" t="n"/>
      <c r="H19" s="8" t="n"/>
    </row>
    <row r="20">
      <c r="A20" s="6" t="inlineStr">
        <is>
          <t>N.° de estaciones fotográficas declaradas</t>
        </is>
      </c>
      <c r="B20" s="7" t="n">
        <v>0</v>
      </c>
      <c r="C20" s="6" t="inlineStr">
        <is>
          <t>Estaciones dentro del polígono</t>
        </is>
      </c>
      <c r="D20" s="7" t="n">
        <v>0</v>
      </c>
      <c r="E20" s="8" t="n"/>
      <c r="F20" s="8" t="n"/>
      <c r="G20" s="8" t="n"/>
      <c r="H20" s="8" t="n"/>
    </row>
    <row r="21"/>
    <row r="22" ht="168"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desde la capital de Buenos Aires por trocha al sector Pueblo Nuevo-Chihuahua-Pedregal. ZONIFICACIÓN ALTITUDINAL: (i) pie de ladera y abanico aluvial-coluvial (211-300 msnm), CON LA MAYOR PRESIÓN ANTRÓPICA por pastoreo y tala, suelo expuesto y matorral degradado; (ii) ladera media (300-500 msnm), pendiente 14-25%, dosel arbóreo discontinuo con relictos; (iii) ladera alta y cabecera de quebrada (&gt;500 msnm), pendiente &gt;25%, CON RELICTOS DEL BOSQUE EN MEJOR ESTADO (parches verde-amarillos en MSAVI 2024). Condición climática: nublada, ≈24 °C, sin precipitación. SE REQUIERE VISITA COMPLEMENTARIA AL SECTOR &gt;400 msnm para verificación de escarpes activos y mapeo de cabeceras de cárcavas. Pendiente 14-17% media en transectas y 25-29% máxima en cabeceras. Exposición predominante E-NE con sub-exposiciones N y SE. DEPÓSITO DE BLOQUES MÉTRICOS EN EL LECHO DE LA QUEBRADA DE BORDE (612 179 · 9 416 517) EVIDENCIA FLUJOS DE DETRITOS HISTÓRICOS.</t>
        </is>
      </c>
      <c r="B22" s="42" t="n"/>
      <c r="C22" s="42" t="n"/>
      <c r="D22" s="42" t="n"/>
      <c r="E22" s="42" t="n"/>
      <c r="F22" s="42" t="n"/>
      <c r="G22" s="43" t="n"/>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C1077-Q9566 — BLOQUE M6B2-2</t>
        </is>
      </c>
    </row>
    <row r="6" ht="24" customHeight="1">
      <c r="A6" s="4" t="inlineStr">
        <is>
          <t>Distrito de Buenos Aires · Provincia de Morropon · Comparación de los bloques preliminares de intervención de la misma microcuenca</t>
        </is>
      </c>
    </row>
    <row r="7"/>
    <row r="8" ht="18" customHeight="1">
      <c r="A8" s="5" t="inlineStr">
        <is>
          <t>BLOQUES DE LA MICROCUENCA C1077-Q9566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M6B2-1</t>
        </is>
      </c>
      <c r="B10" s="28" t="n">
        <v>514.36</v>
      </c>
      <c r="C10" s="19" t="n">
        <v>33.1</v>
      </c>
      <c r="D10" s="11" t="inlineStr">
        <is>
          <t>181 – 504</t>
        </is>
      </c>
      <c r="E10" s="11" t="n">
        <v>323</v>
      </c>
      <c r="F10" s="11" t="n">
        <v>16.84</v>
      </c>
      <c r="G10" s="18" t="n">
        <v>0.3381</v>
      </c>
      <c r="H10" s="19" t="n">
        <v>0.98</v>
      </c>
      <c r="I10" s="19" t="n">
        <v>98.98999999999999</v>
      </c>
    </row>
    <row r="11">
      <c r="A11" s="14" t="inlineStr">
        <is>
          <t>► M6B2-2</t>
        </is>
      </c>
      <c r="B11" s="29" t="n">
        <v>333.01</v>
      </c>
      <c r="C11" s="30" t="n">
        <v>21.43</v>
      </c>
      <c r="D11" s="15" t="inlineStr">
        <is>
          <t>195 – 440</t>
        </is>
      </c>
      <c r="E11" s="15" t="n">
        <v>245</v>
      </c>
      <c r="F11" s="15" t="n">
        <v>14.33</v>
      </c>
      <c r="G11" s="31" t="n">
        <v>0.3026</v>
      </c>
      <c r="H11" s="30" t="n">
        <v>0.68</v>
      </c>
      <c r="I11" s="30" t="n">
        <v>99</v>
      </c>
    </row>
    <row r="12">
      <c r="A12" s="7" t="inlineStr">
        <is>
          <t>5</t>
        </is>
      </c>
      <c r="B12" s="28" t="n">
        <v>295.73</v>
      </c>
      <c r="C12" s="19" t="n">
        <v>19.03</v>
      </c>
      <c r="D12" s="11" t="inlineStr">
        <is>
          <t>150 – 377</t>
        </is>
      </c>
      <c r="E12" s="11" t="n">
        <v>227</v>
      </c>
      <c r="F12" s="11" t="n">
        <v>18.57</v>
      </c>
      <c r="G12" s="18" t="n">
        <v>0.3394</v>
      </c>
      <c r="H12" s="19" t="n">
        <v>5.59</v>
      </c>
      <c r="I12" s="19" t="n">
        <v>99.84999999999999</v>
      </c>
    </row>
    <row r="13">
      <c r="A13" s="12" t="inlineStr">
        <is>
          <t>M6B10</t>
        </is>
      </c>
      <c r="B13" s="32" t="n">
        <v>249.89</v>
      </c>
      <c r="C13" s="21" t="n">
        <v>16.08</v>
      </c>
      <c r="D13" s="13" t="inlineStr">
        <is>
          <t>158 – 537</t>
        </is>
      </c>
      <c r="E13" s="13" t="n">
        <v>379</v>
      </c>
      <c r="F13" s="13" t="n">
        <v>20.6</v>
      </c>
      <c r="G13" s="20" t="n">
        <v>0.3099</v>
      </c>
      <c r="H13" s="21" t="n">
        <v>0.08</v>
      </c>
      <c r="I13" s="21" t="n">
        <v>99.83</v>
      </c>
    </row>
    <row r="14">
      <c r="A14" s="7" t="inlineStr">
        <is>
          <t>M6B2-3</t>
        </is>
      </c>
      <c r="B14" s="28" t="n">
        <v>160.98</v>
      </c>
      <c r="C14" s="19" t="n">
        <v>10.36</v>
      </c>
      <c r="D14" s="11" t="inlineStr">
        <is>
          <t>166 – 557</t>
        </is>
      </c>
      <c r="E14" s="11" t="n">
        <v>391</v>
      </c>
      <c r="F14" s="11" t="n">
        <v>19.78</v>
      </c>
      <c r="G14" s="18" t="n">
        <v>0.4063</v>
      </c>
      <c r="H14" s="19" t="n">
        <v>4.92</v>
      </c>
      <c r="I14" s="19" t="n">
        <v>90.48999999999999</v>
      </c>
    </row>
    <row r="15">
      <c r="A15" s="16" t="inlineStr">
        <is>
          <t>TOTAL / PROMEDIO</t>
        </is>
      </c>
      <c r="B15" s="33">
        <f>SUM(B10:B14)</f>
        <v>1553.97</v>
      </c>
      <c r="C15" s="23">
        <f>SUM(C10:C14)</f>
        <v>100.0</v>
      </c>
      <c r="D15" s="17" t="inlineStr">
        <is>
          <t>150 – 557</t>
        </is>
      </c>
      <c r="E15" s="17" t="inlineStr"/>
      <c r="F15" s="17">
        <f>ROUND(AVERAGE(F10:F14),2)</f>
        <v>18.02</v>
      </c>
      <c r="G15" s="22">
        <f>ROUND(AVERAGE(G10:G14),4)</f>
        <v>0.3393</v>
      </c>
      <c r="H15" s="23">
        <f>ROUND(AVERAGE(H10:H14),2)</f>
        <v>2.45</v>
      </c>
      <c r="I15" s="23">
        <f>ROUND(AVERAGE(I10:I14),2)</f>
        <v>97.63</v>
      </c>
    </row>
    <row r="16"/>
    <row r="17" ht="84" customHeight="1">
      <c r="A17" s="9" t="inlineStr">
        <is>
          <t>LECTURA INTRAMICROCUENCA. El bloque M6B2-2 ocupa el puesto 2 de 5 por superficie dentro de la microcuenca C1077-Q9566 (21.43 % de las 1553.97 ha preliminares de la microcuenca). Su pendiente promedio (14.33 %, clase «8-15% (Mod. inclinado)») es la 1.ª más baja de 5 y se sitúa por debajo del promedio de la microcuenca (18.02 %). Su MSAVI 2024 (0.3026) es el 5.º de 5 y queda por debajo del promedio local (0.3393). Amplitud altitudinal del bloque: 245 m (195–440 msnm). El cuadro conserva todos los bloques catalogados en la microcuenca, incluidos los descartados en el tamizaje, para referencia del conjunto. Los bloques sin ficha DT figuran con sus parámetros de gabinete. BRECHA ESPECTRAL. El 99.00 % de la superficie del bloque (329.691 ha de 333.012 ha) se sitúa bajo el umbral MSAVI 0.4976, por encima del promedio local de la microcuenca (97.63 %) calculado sobre los bloques con dato MSAVI disponible.</t>
        </is>
      </c>
      <c r="B17" s="42" t="n"/>
      <c r="C17" s="42" t="n"/>
      <c r="D17" s="42" t="n"/>
      <c r="E17" s="42" t="n"/>
      <c r="F17" s="42" t="n"/>
      <c r="G17" s="42" t="n"/>
      <c r="H17" s="43" t="n"/>
    </row>
    <row r="18"/>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9" s="42" t="n"/>
      <c r="C19" s="42" t="n"/>
      <c r="D19" s="42" t="n"/>
      <c r="E19" s="42" t="n"/>
      <c r="F19" s="42" t="n"/>
      <c r="G19" s="42" t="n"/>
      <c r="H19" s="43" t="n"/>
    </row>
  </sheetData>
  <mergeCells count="9">
    <mergeCell ref="A1:I1"/>
    <mergeCell ref="A4:I4"/>
    <mergeCell ref="A3:I3"/>
    <mergeCell ref="A2:I2"/>
    <mergeCell ref="A19:I19"/>
    <mergeCell ref="A5:I5"/>
    <mergeCell ref="A8:I8"/>
    <mergeCell ref="A6:I6"/>
    <mergeCell ref="A17:I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M6B2-2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«C1077-Q9566»</t>
        </is>
      </c>
      <c r="D10" s="35" t="inlineStr">
        <is>
          <t>CONFORME</t>
        </is>
      </c>
      <c r="E10" s="34" t="inlineStr">
        <is>
          <t>Sin acción.</t>
        </is>
      </c>
    </row>
    <row r="11" ht="48" customHeight="1">
      <c r="A11" s="36" t="inlineStr">
        <is>
          <t>D-02</t>
        </is>
      </c>
      <c r="B11" s="36" t="inlineStr">
        <is>
          <t>UTM del punto de muestreo</t>
        </is>
      </c>
      <c r="C11" s="36" t="inlineStr">
        <is>
          <t>El punto de muestreo declarado (612190 E / 9417090 N) dista 1,059 m del centroide de catálogo (611196 E / 9416725 N), distancia incompatible con la superficie del bloque (333.01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(333.176 ha) coincide con la de catálogo (333.01 ha) dentro del ±2 % (+0.05 %)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«15-25% (Fuert. inclinado)»; la estadística zonal sobre el MDE arroja una pendiente promedio de 14.33 %, que corresponde a la clase «8-15% (Mod.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60 % de cobertura vegetal en campo; el NDVI mediana 2025 clasifica 95.45 %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«Buenos Aires (capital distrital) / Caseríos Pueblo Nuevo, Chihuahua y Pedregal (CP 272 Buenos Aires)»; el cruce INEI-Bloques V5 identifica 1 centro(s) poblado(s) en el bloque: BUENOS AIRES</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(285 msnm)</t>
        </is>
      </c>
    </row>
    <row r="19" ht="48" customHeight="1">
      <c r="A19" s="36" t="inlineStr">
        <is>
          <t>D-10</t>
        </is>
      </c>
      <c r="B19" s="36" t="inlineStr">
        <is>
          <t>F-DT-01</t>
        </is>
      </c>
      <c r="C19" s="36" t="inlineStr">
        <is>
          <t>El sector &gt;400 msnm no fue recorrido: escarpes activos y cabeceras de cárcavas sin verificar</t>
        </is>
      </c>
      <c r="D19" s="37" t="inlineStr">
        <is>
          <t>SUSTANTIVA</t>
        </is>
      </c>
      <c r="E19" s="36" t="inlineStr">
        <is>
          <t>Visita complementaria requerida</t>
        </is>
      </c>
    </row>
    <row r="20" ht="48" customHeight="1">
      <c r="A20" s="34" t="inlineStr">
        <is>
          <t>D-11</t>
        </is>
      </c>
      <c r="B20" s="34" t="inlineStr">
        <is>
          <t>F-DT-03</t>
        </is>
      </c>
      <c r="C20" s="34" t="inlineStr">
        <is>
          <t>Categoría del Hualtaco consignada VU y del Palo Santo NT, frente a CR en la mayoría de los bloques; Algarrobo consignado CR</t>
        </is>
      </c>
      <c r="D20" s="37" t="inlineStr">
        <is>
          <t>SUSTANTIVA</t>
        </is>
      </c>
      <c r="E20" s="34" t="inlineStr">
        <is>
          <t>Homogeneizar criterio de categorización en todo el portafolio</t>
        </is>
      </c>
    </row>
    <row r="21" ht="48" customHeight="1">
      <c r="A21" s="36" t="inlineStr">
        <is>
          <t>D-12</t>
        </is>
      </c>
      <c r="B21" s="36" t="inlineStr">
        <is>
          <t>F-DT-03</t>
        </is>
      </c>
      <c r="C21" s="36" t="inlineStr">
        <is>
          <t>La especie clave Charán se georreferencia en 614 278 · 9 418 258, a ≈2.4 km del punto de muestreo</t>
        </is>
      </c>
      <c r="D21" s="15" t="inlineStr">
        <is>
          <t>NO SUSTANTIVA</t>
        </is>
      </c>
      <c r="E21" s="36" t="inlineStr">
        <is>
          <t>Verificar coordenada</t>
        </is>
      </c>
    </row>
    <row r="22" ht="48" customHeight="1">
      <c r="A22" s="34" t="inlineStr">
        <is>
          <t>D-13</t>
        </is>
      </c>
      <c r="B22" s="34" t="inlineStr">
        <is>
          <t>F-DT-02</t>
        </is>
      </c>
      <c r="C22" s="34" t="inlineStr">
        <is>
          <t>CA-02 (cárcava profunda de 250 m, 2.5 m y 12 m de ancho) es en realidad un cauce de quebrada con depósito de huaico</t>
        </is>
      </c>
      <c r="D22" s="15" t="inlineStr">
        <is>
          <t>NO SUSTANTIVA</t>
        </is>
      </c>
      <c r="E22" s="34" t="inlineStr">
        <is>
          <t>Declarado en la propia ficha; reclasificar como rasgo geomorfológico</t>
        </is>
      </c>
    </row>
    <row r="23" ht="48" customHeight="1">
      <c r="A23" s="36" t="inlineStr">
        <is>
          <t>D-14</t>
        </is>
      </c>
      <c r="B23" s="36" t="inlineStr">
        <is>
          <t>F-DT-04</t>
        </is>
      </c>
      <c r="C23" s="36" t="inlineStr">
        <is>
          <t>Carga ganadera 2 UA/ha, excesiva para el ecosistema Bes-cm</t>
        </is>
      </c>
      <c r="D23" s="37" t="inlineStr">
        <is>
          <t>SUSTANTIVA</t>
        </is>
      </c>
      <c r="E23" s="36" t="inlineStr">
        <is>
          <t>Condiciona el diseño de la clausura y del manejo de pastizales</t>
        </is>
      </c>
    </row>
    <row r="24" ht="48" customHeight="1">
      <c r="A24" s="34" t="inlineStr">
        <is>
          <t>D-15</t>
        </is>
      </c>
      <c r="B24" s="34" t="inlineStr">
        <is>
          <t>F-DT-01 / F-DT-04</t>
        </is>
      </c>
      <c r="C24" s="34" t="inlineStr">
        <is>
          <t>Tierras estatales administradas por el GORE Piura sin titularidad consolidada</t>
        </is>
      </c>
      <c r="D24" s="37" t="inlineStr">
        <is>
          <t>SUSTANTIVA</t>
        </is>
      </c>
      <c r="E24" s="34" t="inlineStr">
        <is>
          <t>Oportunidad (sin negociación predial individual) y riesgo (déficit de gobernanza): articular con GORE Piura y MD Buenos Aires</t>
        </is>
      </c>
    </row>
    <row r="25" ht="48" customHeight="1">
      <c r="A25" s="36" t="inlineStr">
        <is>
          <t>D-16</t>
        </is>
      </c>
      <c r="B25" s="36" t="inlineStr">
        <is>
          <t>F-DT-02</t>
        </is>
      </c>
      <c r="C25" s="36" t="inlineStr">
        <is>
          <t>El bloque es zona de ORIGEN de un peligro por flujo de detritos que amenaza al CP Buenos Aires a ≈1 km aguas abajo</t>
        </is>
      </c>
      <c r="D25" s="37" t="inlineStr">
        <is>
          <t>SUSTANTIVA</t>
        </is>
      </c>
      <c r="E25" s="36" t="inlineStr">
        <is>
          <t>Elemento expuesto crítico: incorporar al análisis de riesgo y priorizar las MRR-CCC de control de escorrentía</t>
        </is>
      </c>
    </row>
    <row r="26" ht="48" customHeight="1">
      <c r="A26" s="36" t="inlineStr">
        <is>
          <t>D-17</t>
        </is>
      </c>
      <c r="B26" s="36" t="inlineStr">
        <is>
          <t>Distribución areal MSAVI 2024</t>
        </is>
      </c>
      <c r="C26" s="36" t="inlineStr">
        <is>
          <t>La distribución por clase de MSAVI no figuraba en los insumos del entregable y se consignaba «Por determinar»; se incorpora la estadística zonal del ráster MSAVI clasificado (1 026 polígonos, 333.012 ha)</t>
        </is>
      </c>
      <c r="D26" s="37" t="inlineStr">
        <is>
          <t>CORREGIDO</t>
        </is>
      </c>
      <c r="E2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7" ht="48" customHeight="1">
      <c r="A27" s="36" t="inlineStr">
        <is>
          <t>D-18</t>
        </is>
      </c>
      <c r="B27" s="36" t="inlineStr">
        <is>
          <t>Superficie MSAVI vs. catálogo</t>
        </is>
      </c>
      <c r="C27" s="36" t="inlineStr">
        <is>
          <t>La superficie total clasificada por el MSAVI 2024 (333.012 ha) frente a la de catálogo V5/V6 (333.010 ha): desviación de +0.00 %</t>
        </is>
      </c>
      <c r="D27" s="37" t="inlineStr">
        <is>
          <t>CONFORME</t>
        </is>
      </c>
      <c r="E27" s="36" t="inlineStr">
        <is>
          <t>Sin acción: la segmentación del ráster valida la geometría del bloque dentro del ±2 %.</t>
        </is>
      </c>
    </row>
    <row r="28" ht="48" customHeight="1">
      <c r="A28" s="36" t="inlineStr">
        <is>
          <t>D-19</t>
        </is>
      </c>
      <c r="B28" s="36" t="inlineStr">
        <is>
          <t>Media MSAVI vs. clase DN dominante</t>
        </is>
      </c>
      <c r="C28" s="36" t="inlineStr">
        <is>
          <t>La media del bloque (0.3026) cae en la clase «DN 2 · 0.2650 - 0.3813 (Vigor muy bajo)»; la clase de mayor superficie es «DN 2 · 0.2650 - 0.3813 (Vigor muy bajo)», con 64.39 % del bloque. Superficie bajo el umbral 0.4976: 329.691 ha (99.00 %)</t>
        </is>
      </c>
      <c r="D28" s="37" t="inlineStr">
        <is>
          <t>CONFORME</t>
        </is>
      </c>
      <c r="E28" s="36" t="inlineStr">
        <is>
          <t>Sin acción: la media del bloque y la clase de mayor superficie coinciden.</t>
        </is>
      </c>
    </row>
    <row r="29"/>
    <row r="30">
      <c r="A30" s="16" t="inlineStr">
        <is>
          <t>RESUMEN</t>
        </is>
      </c>
      <c r="B30" s="17" t="inlineStr">
        <is>
          <t>19 verificaciones</t>
        </is>
      </c>
      <c r="C30" s="17" t="inlineStr">
        <is>
          <t>CONFORME: 5 · CORREGIDO: 2 · NO SUSTANTIVA: 4 · SUSTANTIVA: 8</t>
        </is>
      </c>
      <c r="D30" s="17" t="inlineStr"/>
      <c r="E30" s="17" t="inlineStr"/>
    </row>
    <row r="31"/>
    <row r="32" ht="60" customHeight="1">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2" s="42" t="n"/>
      <c r="C32" s="42" t="n"/>
      <c r="D32" s="42" t="n"/>
      <c r="E32" s="43" t="n"/>
    </row>
  </sheetData>
  <mergeCells count="8">
    <mergeCell ref="A4:E4"/>
    <mergeCell ref="A2:E2"/>
    <mergeCell ref="A5:E5"/>
    <mergeCell ref="A1:E1"/>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M6B2-2 — IN Piura</dc:title>
  <dc:subject>Diagnóstico Territorial por bloque de intervención</dc:subject>
  <dcterms:created xsi:type="dcterms:W3CDTF">2026-09-08T03:39:54Z</dcterms:created>
  <dcterms:modified xsi:type="dcterms:W3CDTF">2026-09-10T00:28:33Z</dcterms:modified>
</cp:coreProperties>
</file>