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M3B3</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Alan García (ingreso); colindante con C.P. Bigote y Hacienda Bigote</t>
        </is>
      </c>
      <c r="C13" s="6" t="inlineStr">
        <is>
          <t>Comunidad campesina</t>
        </is>
      </c>
      <c r="D13" s="7" t="inlineStr">
        <is>
          <t>Sin registro en ficha</t>
        </is>
      </c>
      <c r="E13" s="8" t="n"/>
      <c r="F13" s="8" t="n"/>
    </row>
    <row r="14">
      <c r="A14" s="6" t="inlineStr">
        <is>
          <t>Superficie de catálogo (V5/V6), ha</t>
        </is>
      </c>
      <c r="B14" s="7" t="n">
        <v>84.81999999999999</v>
      </c>
      <c r="C14" s="6" t="inlineStr">
        <is>
          <t>Fuente de superficie</t>
        </is>
      </c>
      <c r="D14" s="7" t="inlineStr">
        <is>
          <t>Catálogo maestro Bloques V5/V6</t>
        </is>
      </c>
      <c r="E14" s="8" t="n"/>
      <c r="F14" s="8" t="n"/>
    </row>
    <row r="15">
      <c r="A15" s="6" t="inlineStr">
        <is>
          <t>Centroide UTM ESTE (m)</t>
        </is>
      </c>
      <c r="B15" s="7" t="n">
        <v>633015</v>
      </c>
      <c r="C15" s="6" t="inlineStr">
        <is>
          <t>Centroide UTM NORTE (m)</t>
        </is>
      </c>
      <c r="D15" s="7" t="n">
        <v>9411483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194</v>
      </c>
      <c r="C19" s="6" t="inlineStr">
        <is>
          <t>Altitud máxima (msnm)</t>
        </is>
      </c>
      <c r="D19" s="7" t="n">
        <v>375</v>
      </c>
      <c r="E19" s="8" t="n"/>
      <c r="F19" s="8" t="n"/>
    </row>
    <row r="20">
      <c r="A20" s="6" t="inlineStr">
        <is>
          <t>Amplitud altitudinal (m)</t>
        </is>
      </c>
      <c r="B20" s="7" t="n">
        <v>181</v>
      </c>
      <c r="C20" s="6" t="inlineStr">
        <is>
          <t>Piso altitudinal dominante</t>
        </is>
      </c>
      <c r="D20" s="7" t="inlineStr">
        <is>
          <t>&lt;1000 m (Yunga)</t>
        </is>
      </c>
      <c r="E20" s="8" t="n"/>
      <c r="F20" s="8" t="n"/>
    </row>
    <row r="21">
      <c r="A21" s="6" t="inlineStr">
        <is>
          <t>Pendiente promedio (%)</t>
        </is>
      </c>
      <c r="B21" s="7" t="n">
        <v>18.87</v>
      </c>
      <c r="C21" s="6" t="inlineStr">
        <is>
          <t>Pendiente promedio (grados)</t>
        </is>
      </c>
      <c r="D21" s="7" t="n">
        <v>10.7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0.2985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(55.86 %)</t>
        </is>
      </c>
      <c r="E29" s="8" t="n"/>
      <c r="F29" s="8" t="n"/>
    </row>
    <row r="30">
      <c r="A30" s="6" t="inlineStr">
        <is>
          <t>Superficie clasificada NDVI 2025 (ha)</t>
        </is>
      </c>
      <c r="B30" s="7" t="n">
        <v>84.855</v>
      </c>
      <c r="C30" s="6" t="inlineStr">
        <is>
          <t>Desviación frente al catálogo (%)</t>
        </is>
      </c>
      <c r="D30" s="7" t="n">
        <v>0.04</v>
      </c>
      <c r="E30" s="8" t="n"/>
      <c r="F30" s="8" t="n"/>
    </row>
    <row r="31">
      <c r="A31" s="6" t="inlineStr">
        <is>
          <t>Superficie clasificada MSAVI 2024 (ha)</t>
        </is>
      </c>
      <c r="B31" s="39" t="n">
        <v>84.825</v>
      </c>
      <c r="C31" s="6" t="inlineStr">
        <is>
          <t>Desviación MSAVI frente al catálogo (%)</t>
        </is>
      </c>
      <c r="D31" s="40" t="n">
        <v>0.01</v>
      </c>
      <c r="E31" s="8" t="n"/>
      <c r="F31" s="8" t="n"/>
    </row>
    <row r="32">
      <c r="A32" s="6" t="inlineStr">
        <is>
          <t>Superficie bajo umbral MSAVI 0.4976 (ha)</t>
        </is>
      </c>
      <c r="B32" s="39" t="n">
        <v>84.735</v>
      </c>
      <c r="C32" s="6" t="inlineStr">
        <is>
          <t>% del bloque bajo umbral (brecha espectral)</t>
        </is>
      </c>
      <c r="D32" s="40" t="n">
        <v>99.89</v>
      </c>
      <c r="E32" s="8" t="n"/>
      <c r="F32" s="8" t="n"/>
    </row>
    <row r="33">
      <c r="A33" s="6" t="inlineStr">
        <is>
          <t>Clase DN dominante (MSAVI 2024)</t>
        </is>
      </c>
      <c r="B33" s="7" t="inlineStr">
        <is>
          <t>DN 2 · 0.2650 - 0.3813 (Vigor muy bajo)</t>
        </is>
      </c>
      <c r="C33" s="6" t="inlineStr">
        <is>
          <t>N.° de polígonos MSAVI del bloque</t>
        </is>
      </c>
      <c r="D33" s="41" t="n">
        <v>290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84.82 ha (100% del bloque)</t>
        </is>
      </c>
      <c r="E36" s="8" t="n"/>
      <c r="F36" s="8" t="n"/>
    </row>
    <row r="37">
      <c r="A37" s="6" t="inlineStr">
        <is>
          <t>Estado de conservación</t>
        </is>
      </c>
      <c r="B37" s="7" t="inlineStr">
        <is>
          <t>Medianamente alterado</t>
        </is>
      </c>
      <c r="C37" s="6" t="inlineStr">
        <is>
          <t>Uso actual dominante del suelo</t>
        </is>
      </c>
      <c r="D37" s="7" t="inlineStr">
        <is>
          <t>Forestal de protección</t>
        </is>
      </c>
      <c r="E37" s="8" t="n"/>
      <c r="F37" s="8" t="n"/>
    </row>
    <row r="38">
      <c r="A38" s="6" t="inlineStr">
        <is>
          <t>Tipo de cobertura dominante</t>
        </is>
      </c>
      <c r="B38" s="7" t="inlineStr">
        <is>
          <t>Mixto / Mosaico</t>
        </is>
      </c>
      <c r="C38" s="6" t="inlineStr">
        <is>
          <t>Cobertura vegetal total — campo (%)</t>
        </is>
      </c>
      <c r="D38" s="7" t="n">
        <v>65</v>
      </c>
      <c r="E38" s="8" t="n"/>
      <c r="F38" s="8" t="n"/>
    </row>
    <row r="39">
      <c r="A39" s="6" t="inlineStr">
        <is>
          <t>Suelo desnudo — campo (%)</t>
        </is>
      </c>
      <c r="B39" s="7" t="n">
        <v>20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12</v>
      </c>
      <c r="C41" s="6" t="inlineStr">
        <is>
          <t>Estado sanitario</t>
        </is>
      </c>
      <c r="D41" s="7"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H. Salomón Cahuas M. / Ing. Juan C. Domínguez V.</t>
        </is>
      </c>
      <c r="C44" s="6" t="inlineStr">
        <is>
          <t>Fecha de evaluación</t>
        </is>
      </c>
      <c r="D44" s="7" t="inlineStr">
        <is>
          <t>2026-05-12</t>
        </is>
      </c>
      <c r="E44" s="8" t="n"/>
      <c r="F44" s="8" t="n"/>
    </row>
    <row r="45">
      <c r="A45" s="6" t="inlineStr">
        <is>
          <t>Hora de registro</t>
        </is>
      </c>
      <c r="B45" s="7" t="inlineStr">
        <is>
          <t>09:00 - 11:30 h</t>
        </is>
      </c>
      <c r="C45" s="6" t="inlineStr">
        <is>
          <t>Correlativo de ficha</t>
        </is>
      </c>
      <c r="D45" s="7" t="inlineStr">
        <is>
          <t>F-DT-01-M3B3-001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Parcela de campo (referida en indicador N.° 1)</t>
        </is>
      </c>
      <c r="E47" s="8" t="n"/>
      <c r="F47" s="8" t="n"/>
    </row>
    <row r="48">
      <c r="A48" s="6" t="inlineStr">
        <is>
          <t>Estaciones fotográficas georreferenciadas</t>
        </is>
      </c>
      <c r="B48" s="7" t="n">
        <v>0</v>
      </c>
      <c r="C48" s="6" t="inlineStr">
        <is>
          <t>Modalidad de acceso</t>
        </is>
      </c>
      <c r="D48" s="7" t="inlineStr">
        <is>
          <t>Vehicular hasta C.P. Alan García + caminata 20-30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campesina de subsistencia con baja diversificación productiva y tenencia precaria de la tierra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0.0891</v>
      </c>
      <c r="C11" s="21">
        <f>ROUND(B11/$B$15*100,2)</f>
        <v/>
      </c>
      <c r="D11" s="13" t="inlineStr">
        <is>
          <t>Vigor moderado</t>
        </is>
      </c>
      <c r="E11" s="13" t="inlineStr">
        <is>
          <t>Sobre umbral</t>
        </is>
      </c>
    </row>
    <row r="12">
      <c r="A12" s="7" t="inlineStr">
        <is>
          <t>0.3813 - 0.4976 · DN 3</t>
        </is>
      </c>
      <c r="B12" s="18" t="n">
        <v>4.8976</v>
      </c>
      <c r="C12" s="19">
        <f>ROUND(B12/$B$15*100,2)</f>
        <v/>
      </c>
      <c r="D12" s="11" t="inlineStr">
        <is>
          <t>Vigor bajo</t>
        </is>
      </c>
      <c r="E12" s="11" t="inlineStr">
        <is>
          <t>BAJO umbral 0.4976</t>
        </is>
      </c>
    </row>
    <row r="13">
      <c r="A13" s="14" t="inlineStr">
        <is>
          <t>0.2650 - 0.3813 · DN 2</t>
        </is>
      </c>
      <c r="B13" s="32" t="n">
        <v>56.7675</v>
      </c>
      <c r="C13" s="31">
        <f>ROUND(B13/$B$15*100,2)</f>
        <v/>
      </c>
      <c r="D13" s="15" t="inlineStr">
        <is>
          <t>Vigor muy bajo</t>
        </is>
      </c>
      <c r="E13" s="15" t="inlineStr">
        <is>
          <t>BAJO umbral 0.4976</t>
        </is>
      </c>
    </row>
    <row r="14">
      <c r="A14" s="7" t="inlineStr">
        <is>
          <t>&lt;= 0.2650 · DN 1</t>
        </is>
      </c>
      <c r="B14" s="18" t="n">
        <v>23.0704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290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84.81999999999999</v>
      </c>
      <c r="C18" s="50" t="inlineStr">
        <is>
          <t>—</t>
        </is>
      </c>
      <c r="D18" s="47" t="inlineStr">
        <is>
          <t>Desviación planimétrica frente al catálogo</t>
        </is>
      </c>
      <c r="E18" s="47" t="inlineStr">
        <is>
          <t>+0.01 %</t>
        </is>
      </c>
    </row>
    <row r="19">
      <c r="A19" s="16" t="inlineStr">
        <is>
          <t>MSAVI 2024 — MEDIA DEL BLOQUE</t>
        </is>
      </c>
      <c r="B19" s="17" t="n">
        <v>0.298483</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290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(0.2985)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0.4975</v>
      </c>
      <c r="C25" s="19" t="n">
        <v>0.59</v>
      </c>
      <c r="D25" s="11" t="inlineStr">
        <is>
          <t>Dosel continuo, matorral denso o mosaico agroforestal</t>
        </is>
      </c>
      <c r="E25" s="11" t="inlineStr"/>
    </row>
    <row r="26">
      <c r="A26" s="12" t="inlineStr">
        <is>
          <t>Vegetación mediana</t>
        </is>
      </c>
      <c r="B26" s="20" t="n">
        <v>34.9315</v>
      </c>
      <c r="C26" s="21" t="n">
        <v>41.17</v>
      </c>
      <c r="D26" s="13" t="inlineStr">
        <is>
          <t>Pastizal cultivado, matorral ralo, parcelas agrícolas</t>
        </is>
      </c>
      <c r="E26" s="13" t="inlineStr"/>
    </row>
    <row r="27">
      <c r="A27" s="7" t="inlineStr">
        <is>
          <t>Vegetación ligera</t>
        </is>
      </c>
      <c r="B27" s="18" t="n">
        <v>47.3967</v>
      </c>
      <c r="C27" s="19" t="n">
        <v>55.86</v>
      </c>
      <c r="D27" s="11" t="inlineStr">
        <is>
          <t>Cobertura discontinua, suelo parcialmente expuesto</t>
        </is>
      </c>
      <c r="E27" s="11" t="inlineStr"/>
    </row>
    <row r="28">
      <c r="A28" s="12" t="inlineStr">
        <is>
          <t>Tierra desnuda</t>
        </is>
      </c>
      <c r="B28" s="20" t="n">
        <v>2.0295</v>
      </c>
      <c r="C28" s="21" t="n">
        <v>2.39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84.81999999999999</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0.59 % del polígono clasificado como «Vegetación alta» por el NDVI 2025; la observación de campo corresponde a una parcela o recorrido puntual y no es estadísticamente representativa de las 84.820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M3B3</t>
        </is>
      </c>
    </row>
    <row r="6" ht="24" customHeight="1">
      <c r="A6" s="4" t="inlineStr">
        <is>
          <t>Levantamiento del 2026-05-12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632918</v>
      </c>
      <c r="D10" s="26" t="n">
        <v>9411574</v>
      </c>
      <c r="E10" s="11" t="n">
        <v>133</v>
      </c>
      <c r="F10" s="11" t="inlineStr"/>
      <c r="G10" s="11" t="inlineStr">
        <is>
          <t>Coordenada consignada en F-DT-01</t>
        </is>
      </c>
    </row>
    <row r="11">
      <c r="A11" s="12" t="inlineStr">
        <is>
          <t>C-01</t>
        </is>
      </c>
      <c r="B11" s="13" t="inlineStr">
        <is>
          <t>Rasgo erosivo — Cárcava somera (0.5-2 m) — 110 m, 1.2 m prof., 1.8 m ancho</t>
        </is>
      </c>
      <c r="C11" s="27" t="n">
        <v>633100</v>
      </c>
      <c r="D11" s="27" t="n">
        <v>9411527</v>
      </c>
      <c r="E11" s="13" t="n">
        <v>95.7</v>
      </c>
      <c r="F11" s="13" t="inlineStr">
        <is>
          <t>Activa</t>
        </is>
      </c>
      <c r="G11" s="13" t="inlineStr">
        <is>
          <t>Socavamiento de cauce</t>
        </is>
      </c>
    </row>
    <row r="12">
      <c r="A12" s="7" t="inlineStr">
        <is>
          <t>C-02</t>
        </is>
      </c>
      <c r="B12" s="11" t="inlineStr">
        <is>
          <t>Rasgo erosivo — Surco (&lt;30 cm) — 90 m, 0.25 m prof., 0.4 m ancho</t>
        </is>
      </c>
      <c r="C12" s="26" t="n">
        <v>632913</v>
      </c>
      <c r="D12" s="26" t="n">
        <v>9411514</v>
      </c>
      <c r="E12" s="11" t="n">
        <v>106.6</v>
      </c>
      <c r="F12" s="11" t="inlineStr">
        <is>
          <t>Semi-activa</t>
        </is>
      </c>
      <c r="G12" s="11" t="inlineStr">
        <is>
          <t>Sobrepastoreo</t>
        </is>
      </c>
    </row>
    <row r="13">
      <c r="A13" s="12" t="inlineStr">
        <is>
          <t>C-03</t>
        </is>
      </c>
      <c r="B13" s="13" t="inlineStr">
        <is>
          <t>Rasgo erosivo — Cárcava incipiente — 55 m, 0.45 m prof., 0.7 m ancho</t>
        </is>
      </c>
      <c r="C13" s="27" t="n">
        <v>632845</v>
      </c>
      <c r="D13" s="27" t="n">
        <v>9411562</v>
      </c>
      <c r="E13" s="13" t="n">
        <v>187.5</v>
      </c>
      <c r="F13" s="13" t="inlineStr">
        <is>
          <t>Activa</t>
        </is>
      </c>
      <c r="G13" s="13" t="inlineStr">
        <is>
          <t>Caminos / huellas de ganado</t>
        </is>
      </c>
    </row>
    <row r="14">
      <c r="A14" s="7" t="inlineStr">
        <is>
          <t>C-04</t>
        </is>
      </c>
      <c r="B14" s="11" t="inlineStr">
        <is>
          <t>Rasgo erosivo — Surco (&lt;30 cm) — 150 m, 0.2 m prof., 0.35 m ancho</t>
        </is>
      </c>
      <c r="C14" s="26" t="n">
        <v>632748</v>
      </c>
      <c r="D14" s="26" t="n">
        <v>9411549</v>
      </c>
      <c r="E14" s="11" t="n">
        <v>275</v>
      </c>
      <c r="F14" s="11" t="inlineStr">
        <is>
          <t>Semi-activa</t>
        </is>
      </c>
      <c r="G14" s="11" t="inlineStr">
        <is>
          <t>Concentración natural de escorrentía</t>
        </is>
      </c>
    </row>
    <row r="15">
      <c r="A15" s="12" t="inlineStr">
        <is>
          <t>H-01</t>
        </is>
      </c>
      <c r="B15" s="13" t="inlineStr">
        <is>
          <t>Fuente de agua — Quebrada estacional</t>
        </is>
      </c>
      <c r="C15" s="27" t="n">
        <v>633139</v>
      </c>
      <c r="D15" s="27" t="n">
        <v>9411630</v>
      </c>
      <c r="E15" s="13" t="n">
        <v>192.3</v>
      </c>
      <c r="F15" s="13" t="inlineStr">
        <is>
          <t>Estacional</t>
        </is>
      </c>
      <c r="G15" s="13" t="inlineStr">
        <is>
          <t>Sin uso permanente</t>
        </is>
      </c>
    </row>
    <row r="16">
      <c r="A16" s="7" t="inlineStr">
        <is>
          <t>H-02</t>
        </is>
      </c>
      <c r="B16" s="11" t="inlineStr">
        <is>
          <t>Fuente de agua — Quebrada estacional (Charanal)</t>
        </is>
      </c>
      <c r="C16" s="26" t="n">
        <v>633103</v>
      </c>
      <c r="D16" s="26" t="n">
        <v>9411529</v>
      </c>
      <c r="E16" s="11" t="n">
        <v>99.3</v>
      </c>
      <c r="F16" s="11" t="inlineStr">
        <is>
          <t>Estacional</t>
        </is>
      </c>
      <c r="G16" s="11" t="inlineStr">
        <is>
          <t>Quebrada Charanal — cauce principal</t>
        </is>
      </c>
    </row>
    <row r="17">
      <c r="A17" s="12" t="inlineStr">
        <is>
          <t>H-03</t>
        </is>
      </c>
      <c r="B17" s="13" t="inlineStr">
        <is>
          <t>Fuente de agua — Quebrada estacional / manantial</t>
        </is>
      </c>
      <c r="C17" s="27" t="n">
        <v>632748</v>
      </c>
      <c r="D17" s="27" t="n">
        <v>9411549</v>
      </c>
      <c r="E17" s="13" t="n">
        <v>275</v>
      </c>
      <c r="F17" s="13" t="inlineStr">
        <is>
          <t>Estacional</t>
        </is>
      </c>
      <c r="G17" s="13" t="inlineStr">
        <is>
          <t>Pequeño afloramiento en cabecera</t>
        </is>
      </c>
    </row>
    <row r="18">
      <c r="A18" s="7" t="inlineStr">
        <is>
          <t>H-04</t>
        </is>
      </c>
      <c r="B18" s="11" t="inlineStr">
        <is>
          <t>Fuente de agua — Río</t>
        </is>
      </c>
      <c r="C18" s="26" t="n">
        <v>633500</v>
      </c>
      <c r="D18" s="26" t="n">
        <v>9412000</v>
      </c>
      <c r="E18" s="11" t="n">
        <v>708.9</v>
      </c>
      <c r="F18" s="11" t="inlineStr">
        <is>
          <t>Permanente</t>
        </is>
      </c>
      <c r="G18" s="11" t="inlineStr">
        <is>
          <t>Río Bigote — fuera del bloque</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633015</v>
      </c>
      <c r="C21" s="6" t="inlineStr">
        <is>
          <t>Centroide del bloque — UTM NORTE (m)</t>
        </is>
      </c>
      <c r="D21" s="7" t="n">
        <v>9411483</v>
      </c>
      <c r="E21" s="8" t="n"/>
      <c r="F21" s="8" t="n"/>
      <c r="G21" s="8" t="n"/>
      <c r="H21" s="8" t="n"/>
    </row>
    <row r="22">
      <c r="A22" s="6" t="inlineStr">
        <is>
          <t>N.° de estaciones fotográficas declaradas</t>
        </is>
      </c>
      <c r="B22" s="7" t="n">
        <v>0</v>
      </c>
      <c r="C22" s="6" t="inlineStr">
        <is>
          <t>Estaciones dentro del polígono</t>
        </is>
      </c>
      <c r="D22" s="7" t="n">
        <v>0</v>
      </c>
      <c r="E22" s="8" t="n"/>
      <c r="F22" s="8" t="n"/>
      <c r="G22" s="8" t="n"/>
      <c r="H22" s="8" t="n"/>
    </row>
    <row r="24" ht="120"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Sector colinoso del flanco norte del valle del Río Bigote, con altitudes entre 195 y 300 msnm. El ingreso se realizó desde el C.P. Alan García. SE EVIDENCIA PRESIÓN ANTRÓPICA FUERTE EN EL PIE DE LADERA POR EXPANSIÓN URBANA INFORMAL (VIVIENDAS ASENTADAS SOBRE LADERAS Y MÁRGENES DE QUEBRADA). La litología dominante (esquistos/filitas) y la pendiente &gt;15% configuran un ESCENARIO DE SUSCEPTIBILIDAD MEDIA A ALTA FRENTE A MOVIMIENTOS EN MASA, especialmente en eventos FEN extraordinarios.</t>
        </is>
      </c>
      <c r="B24" s="42" t="n"/>
      <c r="C24" s="42" t="n"/>
      <c r="D24" s="42" t="n"/>
      <c r="E24" s="42" t="n"/>
      <c r="F24" s="42" t="n"/>
      <c r="G24" s="43"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M3B3</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4" t="inlineStr">
        <is>
          <t>► M3B3</t>
        </is>
      </c>
      <c r="B13" s="30" t="n">
        <v>84.81999999999999</v>
      </c>
      <c r="C13" s="31" t="n">
        <v>6.72</v>
      </c>
      <c r="D13" s="15" t="inlineStr">
        <is>
          <t>194 – 375</t>
        </is>
      </c>
      <c r="E13" s="15" t="n">
        <v>181</v>
      </c>
      <c r="F13" s="15" t="n">
        <v>18.87</v>
      </c>
      <c r="G13" s="32" t="n">
        <v>0.2985</v>
      </c>
      <c r="H13" s="31" t="n">
        <v>0.59</v>
      </c>
      <c r="I13" s="3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8"/>
    <row r="19" ht="84" customHeight="1">
      <c r="A19" s="9" t="inlineStr">
        <is>
          <t>LECTURA INTRAMICROCUENCA. El bloque M3B3 ocupa el puesto 4 de 7 por superficie dentro de la microcuenca C1081-Q9582 (6.72 % de las 1261.62 ha preliminares de la microcuenca). Su pendiente promedio (18.87 %, clase «15-25% (Fuert. inclinado)») es la 4.ª más baja de 7 y se sitúa por encima del promedio de la microcuenca (18.59 %). Su MSAVI 2024 (0.2985) es el 5.º de 7 y queda por debajo del promedio local (0.3190). Amplitud altitudinal del bloque: 181 m (194–375 msnm). El cuadro conserva todos los bloques catalogados en la microcuenca, incluidos los descartados en el tamizaje, para referencia del conjunto. Los bloques sin ficha DT figuran con sus parámetros de gabinete. BRECHA ESPECTRAL. El 99.89 % de la superficie del bloque (84.735 ha de 84.825 ha) se sitúa bajo el umbral MSAVI 0.4976, por encima del promedio local de la microcuenca (99.15 %) calculado sobre los bloques con dato MSAVI disponible.</t>
        </is>
      </c>
      <c r="B19" s="42" t="n"/>
      <c r="C19" s="42" t="n"/>
      <c r="D19" s="42" t="n"/>
      <c r="E19" s="42" t="n"/>
      <c r="F19" s="42" t="n"/>
      <c r="G19" s="42" t="n"/>
      <c r="H19" s="43"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3"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133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(84.855 ha) coincide con la de catálogo (84.82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65 % de cobertura vegetal en campo; el NDVI mediana 2025 clasifica 97.62 %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12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«Alan García (ingreso); colindante con C.P. Bigote y Hacienda Bigote»; el cruce INEI-Bloques V5 identifica 2 centro(s) poblado(s) en el bloque: ALAN GARCIA, BIGOTE</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(230 msnm)</t>
        </is>
      </c>
    </row>
    <row r="19" ht="48" customHeight="1">
      <c r="A19" s="36" t="inlineStr">
        <is>
          <t>D-10</t>
        </is>
      </c>
      <c r="B19" s="36" t="inlineStr">
        <is>
          <t>F-DT-03</t>
        </is>
      </c>
      <c r="C19" s="36" t="inlineStr">
        <is>
          <t>Categoría del Palo santo consignada NT, frente a CR en la mayoría de los bloques del proyecto</t>
        </is>
      </c>
      <c r="D19" s="37" t="inlineStr">
        <is>
          <t>SUSTANTIVA</t>
        </is>
      </c>
      <c r="E19" s="36" t="inlineStr">
        <is>
          <t>Homogeneizar criterio de categorización</t>
        </is>
      </c>
    </row>
    <row r="20" ht="48" customHeight="1">
      <c r="A20" s="34" t="inlineStr">
        <is>
          <t>D-11</t>
        </is>
      </c>
      <c r="B20" s="34" t="inlineStr">
        <is>
          <t>F-DT-04</t>
        </is>
      </c>
      <c r="C20" s="34" t="inlineStr">
        <is>
          <t>Frecuencia de quemas sin valor pese a que la matriz registra quema de renovación de pastos (Ligera, 10%)</t>
        </is>
      </c>
      <c r="D20" s="37" t="inlineStr">
        <is>
          <t>SUSTANTIVA</t>
        </is>
      </c>
      <c r="E20" s="34" t="inlineStr">
        <is>
          <t>El indicador no puede quedar vacío</t>
        </is>
      </c>
    </row>
    <row r="21" ht="48" customHeight="1">
      <c r="A21" s="36" t="inlineStr">
        <is>
          <t>D-12</t>
        </is>
      </c>
      <c r="B21" s="36" t="inlineStr">
        <is>
          <t>F-DT-05</t>
        </is>
      </c>
      <c r="C21" s="36" t="inlineStr">
        <is>
          <t>Tiempos de viaje: la narrativa declara 45 min (distrital) y 95 min (provincial), los campos de la ficha 15 y 60 min</t>
        </is>
      </c>
      <c r="D21" s="37" t="inlineStr">
        <is>
          <t>SUSTANTIVA</t>
        </is>
      </c>
      <c r="E21" s="36" t="inlineStr">
        <is>
          <t>Inconsistencia interna a resolver</t>
        </is>
      </c>
    </row>
    <row r="22" ht="48" customHeight="1">
      <c r="A22" s="34" t="inlineStr">
        <is>
          <t>D-13</t>
        </is>
      </c>
      <c r="B22" s="34" t="inlineStr">
        <is>
          <t>F-DT-01 / F-DT-04</t>
        </is>
      </c>
      <c r="C22" s="34" t="inlineStr">
        <is>
          <t>Expansión urbana informal sobre laderas y márgenes de quebrada (Fuerte, 18% del bloque)</t>
        </is>
      </c>
      <c r="D22" s="37" t="inlineStr">
        <is>
          <t>SUSTANTIVA</t>
        </is>
      </c>
      <c r="E22" s="34" t="inlineStr">
        <is>
          <t>Tamizaje predial y coordinación con la municipalidad: población expuesta a flujos de detritos en la Quebrada Charanal</t>
        </is>
      </c>
    </row>
    <row r="23" ht="48" customHeight="1">
      <c r="A23" s="36" t="inlineStr">
        <is>
          <t>D-14</t>
        </is>
      </c>
      <c r="B23" s="36" t="inlineStr">
        <is>
          <t>F-DT-03</t>
        </is>
      </c>
      <c r="C23" s="36" t="inlineStr">
        <is>
          <t>Ceiba trichistandra (NT) con un único individuo registrado</t>
        </is>
      </c>
      <c r="D23" s="37" t="inlineStr">
        <is>
          <t>SUSTANTIVA</t>
        </is>
      </c>
      <c r="E23" s="36" t="inlineStr">
        <is>
          <t>Densidad poblacional crítica: priorizar en el diseño de la revegetación</t>
        </is>
      </c>
    </row>
    <row r="24" ht="48" customHeight="1">
      <c r="A24" s="36" t="inlineStr">
        <is>
          <t>D-15</t>
        </is>
      </c>
      <c r="B24" s="36" t="inlineStr">
        <is>
          <t>Distribución areal MSAVI 2024</t>
        </is>
      </c>
      <c r="C24" s="36" t="inlineStr">
        <is>
          <t>La distribución por clase de MSAVI no figuraba en los insumos del entregable y se consignaba «Por determinar»; se incorpora la estadística zonal del ráster MSAVI clasificado (290 polígonos, 84.825 ha)</t>
        </is>
      </c>
      <c r="D24" s="37" t="inlineStr">
        <is>
          <t>CORREGIDO</t>
        </is>
      </c>
      <c r="E24"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6" t="inlineStr">
        <is>
          <t>D-16</t>
        </is>
      </c>
      <c r="B25" s="36" t="inlineStr">
        <is>
          <t>Superficie MSAVI vs. catálogo</t>
        </is>
      </c>
      <c r="C25" s="36" t="inlineStr">
        <is>
          <t>La superficie total clasificada por el MSAVI 2024 (84.825 ha) frente a la de catálogo V5/V6 (84.820 ha): desviación de +0.01 %</t>
        </is>
      </c>
      <c r="D25" s="37" t="inlineStr">
        <is>
          <t>CONFORME</t>
        </is>
      </c>
      <c r="E25" s="36" t="inlineStr">
        <is>
          <t>Sin acción: la segmentación del ráster valida la geometría del bloque dentro del ±2 %.</t>
        </is>
      </c>
    </row>
    <row r="26" ht="48" customHeight="1">
      <c r="A26" s="36" t="inlineStr">
        <is>
          <t>D-17</t>
        </is>
      </c>
      <c r="B26" s="36" t="inlineStr">
        <is>
          <t>Media MSAVI vs. clase DN dominante</t>
        </is>
      </c>
      <c r="C26" s="36" t="inlineStr">
        <is>
          <t>La media del bloque (0.2985) cae en la clase «DN 2 · 0.2650 - 0.3813 (Vigor muy bajo)»; la clase de mayor superficie es «DN 2 · 0.2650 - 0.3813 (Vigor muy bajo)», con 66.92 % del bloque. Superficie bajo el umbral 0.4976: 84.735 ha (99.89 %)</t>
        </is>
      </c>
      <c r="D26" s="37" t="inlineStr">
        <is>
          <t>CONFORME</t>
        </is>
      </c>
      <c r="E26" s="36" t="inlineStr">
        <is>
          <t>Sin acción: la media del bloque y la clase de mayor superficie coinciden.</t>
        </is>
      </c>
    </row>
    <row r="27"/>
    <row r="28">
      <c r="A28" s="16" t="inlineStr">
        <is>
          <t>RESUMEN</t>
        </is>
      </c>
      <c r="B28" s="17" t="inlineStr">
        <is>
          <t>17 verificaciones</t>
        </is>
      </c>
      <c r="C28" s="17" t="inlineStr">
        <is>
          <t>CONFORME: 6 · CORREGIDO: 2 · NO SUSTANTIVA: 1 · SUSTANTIVA: 8</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2" t="n"/>
      <c r="C30" s="42" t="n"/>
      <c r="D30" s="42" t="n"/>
      <c r="E30" s="43"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M3B3 — IN Piura</dc:title>
  <dc:subject>Diagnóstico Territorial por bloque de intervención</dc:subject>
  <dcterms:created xsi:type="dcterms:W3CDTF">2026-09-08T03:39:58Z</dcterms:created>
  <dcterms:modified xsi:type="dcterms:W3CDTF">2026-09-09T23:30:55Z</dcterms:modified>
</cp:coreProperties>
</file>