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41</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Cambrurán</t>
        </is>
      </c>
      <c r="C13" s="6" t="inlineStr">
        <is>
          <t>Comunidad campesina</t>
        </is>
      </c>
      <c r="D13" s="7" t="inlineStr">
        <is>
          <t>Por verificar</t>
        </is>
      </c>
      <c r="E13" s="8" t="n"/>
      <c r="F13" s="8" t="n"/>
    </row>
    <row r="14">
      <c r="A14" s="6" t="inlineStr">
        <is>
          <t>Superficie de catálogo (V5/V6), ha</t>
        </is>
      </c>
      <c r="B14" s="7" t="n">
        <v>64.92</v>
      </c>
      <c r="C14" s="6" t="inlineStr">
        <is>
          <t>Fuente de superficie</t>
        </is>
      </c>
      <c r="D14" s="7" t="inlineStr">
        <is>
          <t>Catálogo maestro Bloques V5/V6</t>
        </is>
      </c>
      <c r="E14" s="8" t="n"/>
      <c r="F14" s="8" t="n"/>
    </row>
    <row r="15">
      <c r="A15" s="6" t="inlineStr">
        <is>
          <t>Centroide UTM ESTE (m)</t>
        </is>
      </c>
      <c r="B15" s="7" t="n">
        <v>660525</v>
      </c>
      <c r="C15" s="6" t="inlineStr">
        <is>
          <t>Centroide UTM NORTE (m)</t>
        </is>
      </c>
      <c r="D15" s="7" t="n">
        <v>9394327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1536</v>
      </c>
      <c r="C19" s="6" t="inlineStr">
        <is>
          <t>Altitud máxima (msnm)</t>
        </is>
      </c>
      <c r="D19" s="7" t="n">
        <v>1818</v>
      </c>
      <c r="E19" s="8" t="n"/>
      <c r="F19" s="8" t="n"/>
    </row>
    <row r="20">
      <c r="A20" s="6" t="inlineStr">
        <is>
          <t>Amplitud altitudinal (m)</t>
        </is>
      </c>
      <c r="B20" s="7" t="n">
        <v>282</v>
      </c>
      <c r="C20" s="6" t="inlineStr">
        <is>
          <t>Piso altitudinal dominante</t>
        </is>
      </c>
      <c r="D20" s="7" t="inlineStr">
        <is>
          <t>1500-2000 m (Quechua media)</t>
        </is>
      </c>
      <c r="E20" s="8" t="n"/>
      <c r="F20" s="8" t="n"/>
    </row>
    <row r="21">
      <c r="A21" s="6" t="inlineStr">
        <is>
          <t>Pendiente promedio (%)</t>
        </is>
      </c>
      <c r="B21" s="7" t="n">
        <v>25.53</v>
      </c>
      <c r="C21" s="6" t="inlineStr">
        <is>
          <t>Pendiente promedio (grados)</t>
        </is>
      </c>
      <c r="D21" s="7" t="n">
        <v>14.3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0.5927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(98.02 %)</t>
        </is>
      </c>
      <c r="E29" s="8" t="n"/>
      <c r="F29" s="8" t="n"/>
    </row>
    <row r="30">
      <c r="A30" s="6" t="inlineStr">
        <is>
          <t>Superficie clasificada NDVI 2025 (ha)</t>
        </is>
      </c>
      <c r="B30" s="7" t="n">
        <v>64.93300000000001</v>
      </c>
      <c r="C30" s="6" t="inlineStr">
        <is>
          <t>Desviación frente al catálogo (%)</t>
        </is>
      </c>
      <c r="D30" s="7" t="n">
        <v>0.02</v>
      </c>
      <c r="E30" s="8" t="n"/>
      <c r="F30" s="8" t="n"/>
    </row>
    <row r="31">
      <c r="A31" s="6" t="inlineStr">
        <is>
          <t>Superficie clasificada MSAVI 2024 (ha)</t>
        </is>
      </c>
      <c r="B31" s="38" t="n">
        <v>64.923</v>
      </c>
      <c r="C31" s="6" t="inlineStr">
        <is>
          <t>Desviación MSAVI frente al catálogo (%)</t>
        </is>
      </c>
      <c r="D31" s="39" t="n">
        <v>0</v>
      </c>
      <c r="E31" s="8" t="n"/>
      <c r="F31" s="8" t="n"/>
    </row>
    <row r="32">
      <c r="A32" s="6" t="inlineStr">
        <is>
          <t>Superficie bajo umbral MSAVI 0.4976 (ha)</t>
        </is>
      </c>
      <c r="B32" s="38" t="n">
        <v>7.961</v>
      </c>
      <c r="C32" s="6" t="inlineStr">
        <is>
          <t>% del bloque bajo umbral (brecha espectral)</t>
        </is>
      </c>
      <c r="D32" s="39" t="n">
        <v>12.26</v>
      </c>
      <c r="E32" s="8" t="n"/>
      <c r="F32" s="8" t="n"/>
    </row>
    <row r="33">
      <c r="A33" s="6" t="inlineStr">
        <is>
          <t>Clase DN dominante (MSAVI 2024)</t>
        </is>
      </c>
      <c r="B33" s="7" t="inlineStr">
        <is>
          <t>DN 4 · 0.4976 - 0.6139 (Vigor moderado)</t>
        </is>
      </c>
      <c r="C33" s="6" t="inlineStr">
        <is>
          <t>N.° de polígonos MSAVI del bloque</t>
        </is>
      </c>
      <c r="D33" s="40" t="n">
        <v>237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64.92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Cahuas; brigada: Ing. Albert Flores Mendoza (operador RPAS)</t>
        </is>
      </c>
      <c r="C44" s="6" t="inlineStr">
        <is>
          <t>Fecha de evaluación</t>
        </is>
      </c>
      <c r="D44" s="7" t="inlineStr">
        <is>
          <t>2026-08-11</t>
        </is>
      </c>
      <c r="E44" s="8" t="n"/>
      <c r="F44" s="8" t="n"/>
    </row>
    <row r="45">
      <c r="A45" s="6" t="inlineStr">
        <is>
          <t>Hora de registro</t>
        </is>
      </c>
      <c r="B45" s="7" t="inlineStr">
        <is>
          <t>17:47 - 17:58 h</t>
        </is>
      </c>
      <c r="C45" s="6" t="inlineStr">
        <is>
          <t>Correlativo de ficha</t>
        </is>
      </c>
      <c r="D45" s="7" t="inlineStr">
        <is>
          <t>DT-B41-01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aplica – verificación aérea perimetral</t>
        </is>
      </c>
      <c r="E47" s="8" t="n"/>
      <c r="F47" s="8" t="n"/>
    </row>
    <row r="48">
      <c r="A48" s="6" t="inlineStr">
        <is>
          <t>Estaciones fotográficas georreferenciadas</t>
        </is>
      </c>
      <c r="B48" s="7" t="n">
        <v>12</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agropecuaria familiar de subsistencia con acceso vial reciente, que amplía la frontera de cultivo y de pastoreo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27.4228</v>
      </c>
      <c r="C10" s="19">
        <f>ROUND(B10/$B$15*100,2)</f>
        <v/>
      </c>
      <c r="D10" s="11" t="inlineStr">
        <is>
          <t>Vigor alto</t>
        </is>
      </c>
      <c r="E10" s="11" t="inlineStr">
        <is>
          <t>Sobre umbral</t>
        </is>
      </c>
    </row>
    <row r="11">
      <c r="A11" s="12" t="inlineStr">
        <is>
          <t>0.4976 - 0.6139 · DN 4</t>
        </is>
      </c>
      <c r="B11" s="32" t="n">
        <v>29.5389</v>
      </c>
      <c r="C11" s="31">
        <f>ROUND(B11/$B$15*100,2)</f>
        <v/>
      </c>
      <c r="D11" s="13" t="inlineStr">
        <is>
          <t>Vigor moderado</t>
        </is>
      </c>
      <c r="E11" s="13" t="inlineStr">
        <is>
          <t>Sobre umbral</t>
        </is>
      </c>
    </row>
    <row r="12">
      <c r="A12" s="7" t="inlineStr">
        <is>
          <t>0.3813 - 0.4976 · DN 3</t>
        </is>
      </c>
      <c r="B12" s="18" t="n">
        <v>7.7184</v>
      </c>
      <c r="C12" s="19">
        <f>ROUND(B12/$B$15*100,2)</f>
        <v/>
      </c>
      <c r="D12" s="11" t="inlineStr">
        <is>
          <t>Vigor bajo</t>
        </is>
      </c>
      <c r="E12" s="11" t="inlineStr">
        <is>
          <t>BAJO umbral 0.4976</t>
        </is>
      </c>
    </row>
    <row r="13">
      <c r="A13" s="14" t="inlineStr">
        <is>
          <t>0.2650 - 0.3813 · DN 2</t>
        </is>
      </c>
      <c r="B13" s="20" t="n">
        <v>0.2425</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237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64.92</v>
      </c>
      <c r="C18" s="49" t="inlineStr">
        <is>
          <t>—</t>
        </is>
      </c>
      <c r="D18" s="46" t="inlineStr">
        <is>
          <t>Desviación planimétrica frente al catálogo</t>
        </is>
      </c>
      <c r="E18" s="46" t="inlineStr">
        <is>
          <t>+0.00 %</t>
        </is>
      </c>
    </row>
    <row r="19">
      <c r="A19" s="16" t="inlineStr">
        <is>
          <t>MSAVI 2024 — MEDIA DEL BLOQUE</t>
        </is>
      </c>
      <c r="B19" s="17" t="n">
        <v>0.592669</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237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(0.5927)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63.6485</v>
      </c>
      <c r="C25" s="19" t="n">
        <v>98.02</v>
      </c>
      <c r="D25" s="11" t="inlineStr">
        <is>
          <t>Dosel continuo, matorral denso o mosaico agroforestal</t>
        </is>
      </c>
      <c r="E25" s="11" t="inlineStr"/>
    </row>
    <row r="26">
      <c r="A26" s="14" t="inlineStr">
        <is>
          <t>Vegetación mediana</t>
        </is>
      </c>
      <c r="B26" s="20" t="n">
        <v>1.2847</v>
      </c>
      <c r="C26" s="21" t="n">
        <v>1.98</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64.92</v>
      </c>
      <c r="C28" s="25" t="inlineStr">
        <is>
          <t>—</t>
        </is>
      </c>
      <c r="D28" s="25" t="inlineStr">
        <is>
          <t>Desviación planimétrica frente al catálogo</t>
        </is>
      </c>
      <c r="E28" s="25" t="inlineStr">
        <is>
          <t>+0.02 %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98.02 % del polígono clasificado como «Vegetación alta» por el NDVI 2025; la observación de campo corresponde a una parcela o recorrido puntual y no es estadísticamente representativa de las 64.920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41</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660525</v>
      </c>
      <c r="D10" s="26" t="n">
        <v>9394327</v>
      </c>
      <c r="E10" s="11" t="n">
        <v>0</v>
      </c>
      <c r="F10" s="11" t="inlineStr"/>
      <c r="G10" s="11" t="inlineStr">
        <is>
          <t>Coordenada consignada en F-DT-01</t>
        </is>
      </c>
    </row>
    <row r="11">
      <c r="A11" s="14" t="inlineStr">
        <is>
          <t>R-41-01</t>
        </is>
      </c>
      <c r="B11" s="15" t="inlineStr">
        <is>
          <t>Rasgo erosivo — Surco (&lt;30 cm)</t>
        </is>
      </c>
      <c r="C11" s="27" t="n">
        <v>660702</v>
      </c>
      <c r="D11" s="27" t="n">
        <v>9393218</v>
      </c>
      <c r="E11" s="15" t="n">
        <v>1123</v>
      </c>
      <c r="F11" s="15" t="inlineStr">
        <is>
          <t>Activa</t>
        </is>
      </c>
      <c r="G11" s="15" t="inlineStr">
        <is>
          <t>Caminos / huellas de ganado</t>
        </is>
      </c>
    </row>
    <row r="12">
      <c r="A12" s="7" t="inlineStr">
        <is>
          <t>R-41-02</t>
        </is>
      </c>
      <c r="B12" s="11" t="inlineStr">
        <is>
          <t>Rasgo erosivo — Surco (&lt;30 cm)</t>
        </is>
      </c>
      <c r="C12" s="26" t="n">
        <v>660677</v>
      </c>
      <c r="D12" s="26" t="n">
        <v>9393198</v>
      </c>
      <c r="E12" s="11" t="n">
        <v>1139.2</v>
      </c>
      <c r="F12" s="11" t="inlineStr">
        <is>
          <t>Activa</t>
        </is>
      </c>
      <c r="G12" s="11" t="inlineStr">
        <is>
          <t>Sobrepastoreo</t>
        </is>
      </c>
    </row>
    <row r="13">
      <c r="A13" s="14" t="inlineStr">
        <is>
          <t>R-41-03</t>
        </is>
      </c>
      <c r="B13" s="15" t="inlineStr">
        <is>
          <t>Rasgo erosivo — Cárcava incipiente (30-50 cm)</t>
        </is>
      </c>
      <c r="C13" s="27" t="n">
        <v>660659</v>
      </c>
      <c r="D13" s="27" t="n">
        <v>9393232</v>
      </c>
      <c r="E13" s="15" t="n">
        <v>1103.2</v>
      </c>
      <c r="F13" s="15" t="inlineStr">
        <is>
          <t>Activa</t>
        </is>
      </c>
      <c r="G13" s="15" t="inlineStr">
        <is>
          <t>Concentración natural de escorrentía</t>
        </is>
      </c>
    </row>
    <row r="14">
      <c r="A14" s="7" t="inlineStr">
        <is>
          <t>R-41-04</t>
        </is>
      </c>
      <c r="B14" s="11" t="inlineStr">
        <is>
          <t>Rasgo erosivo — Surco (&lt;30 cm)</t>
        </is>
      </c>
      <c r="C14" s="26" t="n">
        <v>660828</v>
      </c>
      <c r="D14" s="26" t="n">
        <v>9393207</v>
      </c>
      <c r="E14" s="11" t="n">
        <v>1160.3</v>
      </c>
      <c r="F14" s="11" t="inlineStr">
        <is>
          <t>Activa</t>
        </is>
      </c>
      <c r="G14" s="11" t="inlineStr">
        <is>
          <t>Surcos de labranza en pendiente</t>
        </is>
      </c>
    </row>
    <row r="15">
      <c r="A15" s="14" t="inlineStr">
        <is>
          <t>H-01</t>
        </is>
      </c>
      <c r="B15" s="15" t="inlineStr">
        <is>
          <t>Fuente de agua — Quebrada estacional</t>
        </is>
      </c>
      <c r="C15" s="27" t="n">
        <v>660705</v>
      </c>
      <c r="D15" s="27" t="n">
        <v>9393252</v>
      </c>
      <c r="E15" s="15" t="n">
        <v>1090</v>
      </c>
      <c r="F15" s="15" t="inlineStr">
        <is>
          <t>Estacional</t>
        </is>
      </c>
      <c r="G15" s="15" t="inlineStr">
        <is>
          <t>Quebrada de la red de drenaje</t>
        </is>
      </c>
    </row>
    <row r="16">
      <c r="A16" s="7" t="inlineStr">
        <is>
          <t>H-02</t>
        </is>
      </c>
      <c r="B16" s="11" t="inlineStr">
        <is>
          <t>Fuente de agua — Otro (línea de conducción)</t>
        </is>
      </c>
      <c r="C16" s="26" t="n">
        <v>660702</v>
      </c>
      <c r="D16" s="26" t="n">
        <v>9393218</v>
      </c>
      <c r="E16" s="11" t="n">
        <v>1123</v>
      </c>
      <c r="F16" s="11" t="inlineStr">
        <is>
          <t>Permanente</t>
        </is>
      </c>
      <c r="G16" s="11" t="inlineStr">
        <is>
          <t>Línea de conducción</t>
        </is>
      </c>
    </row>
    <row r="17">
      <c r="A17" s="14" t="inlineStr">
        <is>
          <t>H-03</t>
        </is>
      </c>
      <c r="B17" s="15" t="inlineStr">
        <is>
          <t>Fuente de agua — Otro (caja de reunión)</t>
        </is>
      </c>
      <c r="C17" s="27" t="n">
        <v>660677</v>
      </c>
      <c r="D17" s="27" t="n">
        <v>9393198</v>
      </c>
      <c r="E17" s="15" t="n">
        <v>1139.2</v>
      </c>
      <c r="F17" s="15" t="inlineStr">
        <is>
          <t>Permanente</t>
        </is>
      </c>
      <c r="G17" s="15" t="inlineStr">
        <is>
          <t>Segunda caja de reunión</t>
        </is>
      </c>
    </row>
    <row r="18">
      <c r="A18" s="7" t="inlineStr">
        <is>
          <t>B-01</t>
        </is>
      </c>
      <c r="B18" s="11" t="inlineStr">
        <is>
          <t>Especie clave — Guadua angustifolia (bambú)</t>
        </is>
      </c>
      <c r="C18" s="26" t="n">
        <v>660705</v>
      </c>
      <c r="D18" s="26" t="n">
        <v>9393252</v>
      </c>
      <c r="E18" s="11" t="n">
        <v>1090</v>
      </c>
      <c r="F18" s="11" t="inlineStr">
        <is>
          <t>Indicadora de buen estado</t>
        </is>
      </c>
      <c r="G18" s="11" t="inlineStr">
        <is>
          <t>No aplica</t>
        </is>
      </c>
    </row>
    <row r="19">
      <c r="A19" s="14" t="inlineStr">
        <is>
          <t>B-02</t>
        </is>
      </c>
      <c r="B19" s="15" t="inlineStr">
        <is>
          <t>Especie clave — Neoraimondia / Armatocereus sp.</t>
        </is>
      </c>
      <c r="C19" s="27" t="n">
        <v>660702</v>
      </c>
      <c r="D19" s="27" t="n">
        <v>9393218</v>
      </c>
      <c r="E19" s="15" t="n">
        <v>1123</v>
      </c>
      <c r="F19" s="15" t="inlineStr">
        <is>
          <t>Amenazada D.S. 043</t>
        </is>
      </c>
      <c r="G19" s="15" t="inlineStr">
        <is>
          <t>DD — Datos Insuficientes</t>
        </is>
      </c>
    </row>
    <row r="20">
      <c r="A20" s="7" t="inlineStr">
        <is>
          <t>B-03</t>
        </is>
      </c>
      <c r="B20" s="11" t="inlineStr">
        <is>
          <t>Especie clave — Ficus sp. (higuerón)</t>
        </is>
      </c>
      <c r="C20" s="26" t="n">
        <v>660804</v>
      </c>
      <c r="D20" s="26" t="n">
        <v>9393011</v>
      </c>
      <c r="E20" s="11" t="n">
        <v>1345.2</v>
      </c>
      <c r="F20" s="11" t="inlineStr">
        <is>
          <t>Indicadora de buen estado</t>
        </is>
      </c>
      <c r="G20" s="11" t="inlineStr">
        <is>
          <t>No aplica</t>
        </is>
      </c>
    </row>
    <row r="21">
      <c r="A21" s="14" t="inlineStr">
        <is>
          <t>B-04</t>
        </is>
      </c>
      <c r="B21" s="15" t="inlineStr">
        <is>
          <t>Especie clave — Tillandsia sp. (bromeliácea)</t>
        </is>
      </c>
      <c r="C21" s="27" t="n">
        <v>660737</v>
      </c>
      <c r="D21" s="27" t="n">
        <v>9393181</v>
      </c>
      <c r="E21" s="15" t="n">
        <v>1165.4</v>
      </c>
      <c r="F21" s="15" t="inlineStr">
        <is>
          <t>Indicadora de buen estado</t>
        </is>
      </c>
      <c r="G21" s="15" t="inlineStr">
        <is>
          <t>No aplica</t>
        </is>
      </c>
    </row>
    <row r="22">
      <c r="A22" s="7" t="inlineStr">
        <is>
          <t>B-05</t>
        </is>
      </c>
      <c r="B22" s="11" t="inlineStr">
        <is>
          <t>Especie clave — Ricinus communis (higuerilla)</t>
        </is>
      </c>
      <c r="C22" s="26" t="n">
        <v>660793</v>
      </c>
      <c r="D22" s="26" t="n">
        <v>9393019</v>
      </c>
      <c r="E22" s="11" t="n">
        <v>1335.2</v>
      </c>
      <c r="F22" s="11" t="inlineStr">
        <is>
          <t>Indicadora de perturbación</t>
        </is>
      </c>
      <c r="G22" s="11" t="inlineStr">
        <is>
          <t>No aplica</t>
        </is>
      </c>
    </row>
    <row r="23">
      <c r="A23" s="14" t="inlineStr">
        <is>
          <t>B-06</t>
        </is>
      </c>
      <c r="B23" s="15" t="inlineStr">
        <is>
          <t>Especie clave — Baccharis latifolia (chilca)</t>
        </is>
      </c>
      <c r="C23" s="27" t="n">
        <v>660677</v>
      </c>
      <c r="D23" s="27" t="n">
        <v>9393198</v>
      </c>
      <c r="E23" s="15" t="n">
        <v>1139.2</v>
      </c>
      <c r="F23" s="15" t="inlineStr">
        <is>
          <t>Indicadora de perturbación</t>
        </is>
      </c>
      <c r="G23" s="15" t="inlineStr">
        <is>
          <t>No aplica</t>
        </is>
      </c>
    </row>
    <row r="24">
      <c r="A24" s="7" t="inlineStr">
        <is>
          <t>B-07</t>
        </is>
      </c>
      <c r="B24" s="11" t="inlineStr">
        <is>
          <t>Especie clave — Eucalyptus globulus / Grevillea</t>
        </is>
      </c>
      <c r="C24" s="26" t="n">
        <v>660845</v>
      </c>
      <c r="D24" s="26" t="n">
        <v>9393030</v>
      </c>
      <c r="E24" s="11" t="n">
        <v>1335.9</v>
      </c>
      <c r="F24" s="11" t="inlineStr">
        <is>
          <t>Indicadora de perturbación</t>
        </is>
      </c>
      <c r="G24" s="11" t="inlineStr">
        <is>
          <t>No aplica</t>
        </is>
      </c>
    </row>
    <row r="25">
      <c r="A25" s="16" t="inlineStr">
        <is>
          <t>TOTAL: 15 puntos</t>
        </is>
      </c>
      <c r="B25" s="17" t="inlineStr"/>
      <c r="C25" s="17" t="inlineStr"/>
      <c r="D25" s="17" t="inlineStr"/>
      <c r="E25" s="17" t="inlineStr"/>
      <c r="F25" s="17" t="inlineStr"/>
      <c r="G25" s="17" t="inlineStr"/>
    </row>
    <row r="27">
      <c r="A27" s="6" t="inlineStr">
        <is>
          <t>Centroide del bloque — UTM ESTE (m)</t>
        </is>
      </c>
      <c r="B27" s="7" t="n">
        <v>660525</v>
      </c>
      <c r="C27" s="6" t="inlineStr">
        <is>
          <t>Centroide del bloque — UTM NORTE (m)</t>
        </is>
      </c>
      <c r="D27" s="7" t="n">
        <v>9394327</v>
      </c>
      <c r="E27" s="8" t="n"/>
      <c r="F27" s="8" t="n"/>
      <c r="G27" s="8" t="n"/>
      <c r="H27" s="8" t="n"/>
    </row>
    <row r="28">
      <c r="A28" s="6" t="inlineStr">
        <is>
          <t>N.° de estaciones fotográficas declaradas</t>
        </is>
      </c>
      <c r="B28" s="7" t="n">
        <v>12</v>
      </c>
      <c r="C28" s="6" t="inlineStr">
        <is>
          <t>Estaciones dentro del polígono</t>
        </is>
      </c>
      <c r="D28" s="7" t="n">
        <v>0</v>
      </c>
      <c r="E28" s="8" t="n"/>
      <c r="F28" s="8" t="n"/>
      <c r="G28" s="8" t="n"/>
      <c r="H28" s="8" t="n"/>
    </row>
    <row r="30" ht="120" customHeight="1">
      <c r="A3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PERIMETRAL. Las 10 estaciones RPAS y las 2 tomas terrestres se sitúan entre 337 y 597 m al SSE del límite sur del polígono, a una cota de 1327 msnm — 209 m POR DEBAJO de la cota mínima del bloque (1536 msnm). El interior del Bloque 41 NO fue sobrevolado ni recorrido. Los parámetros fisiográficos proceden de estadística zonal sobre MDE; los indicios de inestabilidad corresponden al corredor de aproximación y se transfieren al bloque POR ANALOGÍA DE VERTIENTE, con carácter referencial.</t>
        </is>
      </c>
      <c r="B30" s="41" t="n"/>
      <c r="C30" s="41" t="n"/>
      <c r="D30" s="41" t="n"/>
      <c r="E30" s="41" t="n"/>
      <c r="F30" s="41" t="n"/>
      <c r="G30" s="42" t="n"/>
    </row>
  </sheetData>
  <mergeCells count="8">
    <mergeCell ref="A1:G1"/>
    <mergeCell ref="A8:G8"/>
    <mergeCell ref="A3:G3"/>
    <mergeCell ref="A6:G6"/>
    <mergeCell ref="A4:G4"/>
    <mergeCell ref="A30:G3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41</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4" t="inlineStr">
        <is>
          <t>19</t>
        </is>
      </c>
      <c r="B11" s="29" t="n">
        <v>82.09</v>
      </c>
      <c r="C11" s="21" t="n">
        <v>17.06</v>
      </c>
      <c r="D11" s="15" t="inlineStr">
        <is>
          <t>2064 – 2503</t>
        </is>
      </c>
      <c r="E11" s="15" t="n">
        <v>439</v>
      </c>
      <c r="F11" s="15" t="n">
        <v>31.01</v>
      </c>
      <c r="G11" s="20" t="n">
        <v>0.5372</v>
      </c>
      <c r="H11" s="21" t="n">
        <v>60.33</v>
      </c>
      <c r="I11" s="21" t="n">
        <v>42.63</v>
      </c>
    </row>
    <row r="12">
      <c r="A12" s="12" t="inlineStr">
        <is>
          <t>► 41</t>
        </is>
      </c>
      <c r="B12" s="30" t="n">
        <v>64.92</v>
      </c>
      <c r="C12" s="31" t="n">
        <v>13.49</v>
      </c>
      <c r="D12" s="13" t="inlineStr">
        <is>
          <t>1536 – 1818</t>
        </is>
      </c>
      <c r="E12" s="13" t="n">
        <v>282</v>
      </c>
      <c r="F12" s="13" t="n">
        <v>25.53</v>
      </c>
      <c r="G12" s="32" t="n">
        <v>0.5927</v>
      </c>
      <c r="H12" s="31" t="n">
        <v>98.02</v>
      </c>
      <c r="I12" s="31" t="n">
        <v>12.26</v>
      </c>
    </row>
    <row r="13">
      <c r="A13" s="14" t="inlineStr">
        <is>
          <t>73</t>
        </is>
      </c>
      <c r="B13" s="29" t="n">
        <v>54.29</v>
      </c>
      <c r="C13" s="21" t="n">
        <v>11.28</v>
      </c>
      <c r="D13" s="15" t="inlineStr">
        <is>
          <t>1845 – 2305</t>
        </is>
      </c>
      <c r="E13" s="15" t="n">
        <v>460</v>
      </c>
      <c r="F13" s="15"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29"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29"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29" t="n">
        <v>13.06</v>
      </c>
      <c r="C19" s="21" t="n">
        <v>2.71</v>
      </c>
      <c r="D19" s="15" t="inlineStr">
        <is>
          <t>2235 – 2540</t>
        </is>
      </c>
      <c r="E19" s="15" t="n">
        <v>305</v>
      </c>
      <c r="F19" s="15"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41 ocupa el puesto 3 de 11 por superficie dentro de la microcuenca C1076-Q9592 (13.49 % de las 481.17 ha preliminares de la microcuenca). Su pendiente promedio (25.53 %, clase «25-50% (Mod. escarpado)») es la 2.ª más baja de 11 y se sitúa por debajo del promedio de la microcuenca (29.39 %). Su MSAVI 2024 (0.5927) es el 4.º de 11 y queda por encima del promedio local (0.5435). Amplitud altitudinal del bloque: 282 m (1536–1818 msnm). El cuadro conserva todos los bloques catalogados en la microcuenca, incluidos los descartados en el tamizaje, para referencia del conjunto. Los bloques sin ficha DT figuran con sus parámetros de gabinete. BRECHA ESPECTRAL. El 12.26 % de la superficie del bloque (7.961 ha de 64.923 ha) se sitúa bajo el umbral MSAVI 0.4976, por debajo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(64.933 ha) coincide con la de catálogo (64.92 ha) dentro del ±2 % (+0.02 %)</t>
        </is>
      </c>
      <c r="D12" s="35" t="inlineStr">
        <is>
          <t>CONFORME</t>
        </is>
      </c>
      <c r="E12" s="34" t="inlineStr">
        <is>
          <t>Sin acción: la segmentación valida la geometría del bloque.</t>
        </is>
      </c>
    </row>
    <row r="13" ht="48" customHeight="1">
      <c r="A13" s="36" t="inlineStr">
        <is>
          <t>D-04</t>
        </is>
      </c>
      <c r="B13" s="36" t="inlineStr">
        <is>
          <t>Representatividad del levantamiento</t>
        </is>
      </c>
      <c r="C13" s="36" t="inlineStr">
        <is>
          <t>Ninguna de las estaciones fotográficas georreferenciadas se localiza dentro del polígono del bloque</t>
        </is>
      </c>
      <c r="D13" s="37" t="inlineStr">
        <is>
          <t>SUSTANTIVA</t>
        </is>
      </c>
      <c r="E13" s="36" t="inlineStr">
        <is>
          <t>La verificación documenta el perímetro y la vista panorámica del bloque, no su interior. Los parámetros que exigen recorrido interno se consignan «Por determinar».</t>
        </is>
      </c>
    </row>
    <row r="14" ht="48" customHeight="1">
      <c r="A14" s="34" t="inlineStr">
        <is>
          <t>D-05</t>
        </is>
      </c>
      <c r="B14" s="34" t="inlineStr">
        <is>
          <t>Centro poblado asociado</t>
        </is>
      </c>
      <c r="C14" s="34" t="inlineStr">
        <is>
          <t>La ficha DT declara «Cambrurán»; el cruce INEI-Bloques V5 identifica 1 centro(s) poblado(s) en el bloque: CAMBRURAN</t>
        </is>
      </c>
      <c r="D14" s="13" t="inlineStr">
        <is>
          <t>NO SUSTANTIVA</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(237 polígonos, 64.923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(64.923 ha) frente a la de catálogo V5/V6 (64.920 ha): desviación de +0.00 %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(0.5927) cae en la clase «DN 4 · 0.4976 - 0.6139 (Vigor moderado)»; la clase de mayor superficie es «DN 4 · 0.4976 - 0.6139 (Vigor moderado)», con 45.50 % del bloque. Superficie bajo el umbral 0.4976: 7.961 ha (12.26 %)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5 · CORREGIDO: 1 · NO SUSTANTIVA: 1 · SUSTANTIVA: 2</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41 — IN Piura</dc:title>
  <dc:subject>Diagnóstico Territorial por bloque de intervención</dc:subject>
  <dcterms:created xsi:type="dcterms:W3CDTF">2026-09-08T03:39:56Z</dcterms:created>
  <dcterms:modified xsi:type="dcterms:W3CDTF">2026-09-09T23:30:51Z</dcterms:modified>
</cp:coreProperties>
</file>