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41</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41</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C1076-Q9592</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Cambrurán</t>
        </is>
      </c>
      <c r="C13" s="6" t="inlineStr">
        <is>
          <t>Comunidad campesina</t>
        </is>
      </c>
      <c r="D13" s="7" t="inlineStr">
        <is>
          <t>Por verificar</t>
        </is>
      </c>
      <c r="E13" s="8" t="n"/>
      <c r="F13" s="8" t="n"/>
    </row>
    <row r="14">
      <c r="A14" s="6" t="inlineStr">
        <is>
          <t>Superficie de catálogo (V5/V6), ha</t>
        </is>
      </c>
      <c r="B14" s="7" t="n">
        <v>64.92</v>
      </c>
      <c r="C14" s="6" t="inlineStr">
        <is>
          <t>Fuente de superficie</t>
        </is>
      </c>
      <c r="D14" s="7" t="inlineStr">
        <is>
          <t>Catálogo maestro Bloques V5/V6</t>
        </is>
      </c>
      <c r="E14" s="8" t="n"/>
      <c r="F14" s="8" t="n"/>
    </row>
    <row r="15">
      <c r="A15" s="6" t="inlineStr">
        <is>
          <t>Centroide UTM ESTE (m)</t>
        </is>
      </c>
      <c r="B15" s="7" t="n">
        <v>660525</v>
      </c>
      <c r="C15" s="6" t="inlineStr">
        <is>
          <t>Centroide UTM NORTE (m)</t>
        </is>
      </c>
      <c r="D15" s="7" t="n">
        <v>9394327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1536</v>
      </c>
      <c r="C19" s="6" t="inlineStr">
        <is>
          <t>Altitud máxima (msnm)</t>
        </is>
      </c>
      <c r="D19" s="7" t="n">
        <v>1818</v>
      </c>
      <c r="E19" s="8" t="n"/>
      <c r="F19" s="8" t="n"/>
    </row>
    <row r="20">
      <c r="A20" s="6" t="inlineStr">
        <is>
          <t>Amplitud altitudinal (m)</t>
        </is>
      </c>
      <c r="B20" s="7" t="n">
        <v>282</v>
      </c>
      <c r="C20" s="6" t="inlineStr">
        <is>
          <t>Piso altitudinal dominante</t>
        </is>
      </c>
      <c r="D20" s="7" t="inlineStr">
        <is>
          <t>1500-2000 m (Quechua media)</t>
        </is>
      </c>
      <c r="E20" s="8" t="n"/>
      <c r="F20" s="8" t="n"/>
    </row>
    <row r="21">
      <c r="A21" s="6" t="inlineStr">
        <is>
          <t>Pendiente promedio (%)</t>
        </is>
      </c>
      <c r="B21" s="7" t="n">
        <v>25.53</v>
      </c>
      <c r="C21" s="6" t="inlineStr">
        <is>
          <t>Pendiente promedio (grados)</t>
        </is>
      </c>
      <c r="D21" s="7" t="n">
        <v>14.3</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0.5927</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(98.02 %)</t>
        </is>
      </c>
      <c r="E29" s="8" t="n"/>
      <c r="F29" s="8" t="n"/>
    </row>
    <row r="30">
      <c r="A30" s="6" t="inlineStr">
        <is>
          <t>Superficie clasificada NDVI 2025 (ha)</t>
        </is>
      </c>
      <c r="B30" s="7" t="n">
        <v>64.93300000000001</v>
      </c>
      <c r="C30" s="6" t="inlineStr">
        <is>
          <t>Desviación frente al catálogo (%)</t>
        </is>
      </c>
      <c r="D30" s="7" t="n">
        <v>0.02</v>
      </c>
      <c r="E30" s="8" t="n"/>
      <c r="F30" s="8" t="n"/>
    </row>
    <row r="31">
      <c r="A31" s="6" t="inlineStr">
        <is>
          <t>Superficie clasificada MSAVI 2024 (ha)</t>
        </is>
      </c>
      <c r="B31" s="38" t="n">
        <v>64.923</v>
      </c>
      <c r="C31" s="6" t="inlineStr">
        <is>
          <t>Desviación MSAVI frente al catálogo (%)</t>
        </is>
      </c>
      <c r="D31" s="39" t="n">
        <v>0</v>
      </c>
      <c r="E31" s="8" t="n"/>
      <c r="F31" s="8" t="n"/>
    </row>
    <row r="32">
      <c r="A32" s="6" t="inlineStr">
        <is>
          <t>Superficie bajo umbral MSAVI 0.4976 (ha)</t>
        </is>
      </c>
      <c r="B32" s="38" t="n">
        <v>7.961</v>
      </c>
      <c r="C32" s="6" t="inlineStr">
        <is>
          <t>% del bloque bajo umbral (brecha espectral)</t>
        </is>
      </c>
      <c r="D32" s="39" t="n">
        <v>12.26</v>
      </c>
      <c r="E32" s="8" t="n"/>
      <c r="F32" s="8" t="n"/>
    </row>
    <row r="33">
      <c r="A33" s="6" t="inlineStr">
        <is>
          <t>Clase DN dominante (MSAVI 2024)</t>
        </is>
      </c>
      <c r="B33" s="7" t="inlineStr">
        <is>
          <t>DN 4 · 0.4976 - 0.6139 (Vigor moderado)</t>
        </is>
      </c>
      <c r="C33" s="6" t="inlineStr">
        <is>
          <t>N.° de polígonos MSAVI del bloque</t>
        </is>
      </c>
      <c r="D33" s="40" t="n">
        <v>237</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64.92 ha</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85</v>
      </c>
      <c r="E38" s="8" t="n"/>
      <c r="F38" s="8" t="n"/>
    </row>
    <row r="39">
      <c r="A39" s="6" t="inlineStr">
        <is>
          <t>Suelo desnudo — campo (%)</t>
        </is>
      </c>
      <c r="B39" s="7" t="n">
        <v>10</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4</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Cahuas; brigada: Ing. Albert Flores Mendoza (operador RPAS)</t>
        </is>
      </c>
      <c r="C44" s="6" t="inlineStr">
        <is>
          <t>Fecha de evaluación</t>
        </is>
      </c>
      <c r="D44" s="7" t="inlineStr">
        <is>
          <t>2026-08-11</t>
        </is>
      </c>
      <c r="E44" s="8" t="n"/>
      <c r="F44" s="8" t="n"/>
    </row>
    <row r="45">
      <c r="A45" s="6" t="inlineStr">
        <is>
          <t>Hora de registro</t>
        </is>
      </c>
      <c r="B45" s="7" t="inlineStr">
        <is>
          <t>17:47 - 17:58 h</t>
        </is>
      </c>
      <c r="C45" s="6" t="inlineStr">
        <is>
          <t>Correlativo de ficha</t>
        </is>
      </c>
      <c r="D45" s="7" t="inlineStr">
        <is>
          <t>DT-B41-01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aplica – verificación aérea perimetral</t>
        </is>
      </c>
      <c r="E47" s="8" t="n"/>
      <c r="F47" s="8" t="n"/>
    </row>
    <row r="48">
      <c r="A48" s="6" t="inlineStr">
        <is>
          <t>Estaciones fotográficas georreferenciadas</t>
        </is>
      </c>
      <c r="B48" s="7" t="n">
        <v>12</v>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7" t="inlineStr">
        <is>
          <t>Economía agropecuaria familiar de subsistencia con acceso vial reciente, que amplía la frontera de cultivo y de pastoreo</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41</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27.4228</v>
      </c>
      <c r="C10" s="19">
        <f>ROUND(B10/$B$15*100,2)</f>
        <v>42.24</v>
      </c>
      <c r="D10" s="11" t="inlineStr">
        <is>
          <t>Vigor alto</t>
        </is>
      </c>
      <c r="E10" s="11" t="inlineStr">
        <is>
          <t>Sobre umbral</t>
        </is>
      </c>
    </row>
    <row r="11">
      <c r="A11" s="12" t="inlineStr">
        <is>
          <t>0.4976 - 0.6139 · DN 4</t>
        </is>
      </c>
      <c r="B11" s="32" t="n">
        <v>29.5389</v>
      </c>
      <c r="C11" s="31">
        <f>ROUND(B11/$B$15*100,2)</f>
        <v>45.5</v>
      </c>
      <c r="D11" s="13" t="inlineStr">
        <is>
          <t>Vigor moderado</t>
        </is>
      </c>
      <c r="E11" s="13" t="inlineStr">
        <is>
          <t>Sobre umbral</t>
        </is>
      </c>
    </row>
    <row r="12">
      <c r="A12" s="7" t="inlineStr">
        <is>
          <t>0.3813 - 0.4976 · DN 3</t>
        </is>
      </c>
      <c r="B12" s="18" t="n">
        <v>7.7184</v>
      </c>
      <c r="C12" s="19">
        <f>ROUND(B12/$B$15*100,2)</f>
        <v>11.89</v>
      </c>
      <c r="D12" s="11" t="inlineStr">
        <is>
          <t>Vigor bajo</t>
        </is>
      </c>
      <c r="E12" s="11" t="inlineStr">
        <is>
          <t>BAJO umbral 0.4976</t>
        </is>
      </c>
    </row>
    <row r="13">
      <c r="A13" s="14" t="inlineStr">
        <is>
          <t>0.2650 - 0.3813 · DN 2</t>
        </is>
      </c>
      <c r="B13" s="20" t="n">
        <v>0.2425</v>
      </c>
      <c r="C13" s="21">
        <f>ROUND(B13/$B$15*100,2)</f>
        <v>0.37</v>
      </c>
      <c r="D13" s="15" t="inlineStr">
        <is>
          <t>Vigor muy bajo</t>
        </is>
      </c>
      <c r="E13" s="15" t="inlineStr">
        <is>
          <t>BAJO umbral 0.4976</t>
        </is>
      </c>
    </row>
    <row r="14">
      <c r="A14" s="7" t="inlineStr">
        <is>
          <t>&lt;= 0.2650 · DN 1</t>
        </is>
      </c>
      <c r="B14" s="18" t="n">
        <v>0</v>
      </c>
      <c r="C14" s="19">
        <f>ROUND(B14/$B$15*100,2)</f>
        <v>0.0</v>
      </c>
      <c r="D14" s="11" t="inlineStr">
        <is>
          <t>Suelo desnudo / no vegetal</t>
        </is>
      </c>
      <c r="E14" s="11" t="inlineStr">
        <is>
          <t>BAJO umbral 0.4976</t>
        </is>
      </c>
    </row>
    <row r="15" ht="30" customHeight="1">
      <c r="A15" s="43" t="inlineStr">
        <is>
          <t>TOTAL CLASIFICADO MSAVI 2024</t>
        </is>
      </c>
      <c r="B15" s="44">
        <f>SUM(B10:B14)</f>
        <v>64.9226</v>
      </c>
      <c r="C15" s="45">
        <f>SUM(C10:C14)</f>
        <v>100.0</v>
      </c>
      <c r="D15" s="43" t="inlineStr">
        <is>
          <t>Suma de la distribución areal · 237 polígonos</t>
        </is>
      </c>
      <c r="E15" s="43" t="inlineStr">
        <is>
          <t>—</t>
        </is>
      </c>
    </row>
    <row r="16" ht="30" customHeight="1">
      <c r="A16" s="46" t="inlineStr">
        <is>
          <t>Superficie SOBRE umbral 0.4976 (ha)</t>
        </is>
      </c>
      <c r="B16" s="47">
        <f>SUM(B10:B11)</f>
        <v>56.9617</v>
      </c>
      <c r="C16" s="48">
        <f>ROUND(B16/B15*100,2)</f>
        <v>87.74</v>
      </c>
      <c r="D16" s="46" t="inlineStr">
        <is>
          <t>Vigor alto y moderado (DN 4 y DN 5)</t>
        </is>
      </c>
      <c r="E16" s="46" t="inlineStr">
        <is>
          <t>Sobre umbral 0.4976</t>
        </is>
      </c>
    </row>
    <row r="17" ht="30" customHeight="1">
      <c r="A17" s="46" t="inlineStr">
        <is>
          <t>Superficie BAJO umbral 0.4976 (ha) — brecha</t>
        </is>
      </c>
      <c r="B17" s="47">
        <f>SUM(B12:B14)</f>
        <v>7.9609</v>
      </c>
      <c r="C17" s="48">
        <f>ROUND(B17/B15*100,2)</f>
        <v>12.26</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64.92</v>
      </c>
      <c r="C18" s="49" t="inlineStr">
        <is>
          <t>—</t>
        </is>
      </c>
      <c r="D18" s="46" t="inlineStr">
        <is>
          <t>Desviación planimétrica frente al catálogo</t>
        </is>
      </c>
      <c r="E18" s="46" t="inlineStr">
        <is>
          <t>+0.00 %</t>
        </is>
      </c>
    </row>
    <row r="19">
      <c r="A19" s="16" t="inlineStr">
        <is>
          <t>MSAVI 2024 — MEDIA DEL BLOQUE</t>
        </is>
      </c>
      <c r="B19" s="17" t="n">
        <v>0.592669</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237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(0.5927)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63.6485</v>
      </c>
      <c r="C25" s="19" t="n">
        <v>98.02</v>
      </c>
      <c r="D25" s="11" t="inlineStr">
        <is>
          <t>Dosel continuo, matorral denso o mosaico agroforestal</t>
        </is>
      </c>
      <c r="E25" s="11" t="inlineStr"/>
    </row>
    <row r="26">
      <c r="A26" s="14" t="inlineStr">
        <is>
          <t>Vegetación mediana</t>
        </is>
      </c>
      <c r="B26" s="20" t="n">
        <v>1.2847</v>
      </c>
      <c r="C26" s="21" t="n">
        <v>1.98</v>
      </c>
      <c r="D26" s="15" t="inlineStr">
        <is>
          <t>Pastizal cultivado, matorral ralo, parcelas agrícolas</t>
        </is>
      </c>
      <c r="E26" s="15" t="inlineStr"/>
    </row>
    <row r="27">
      <c r="A27" s="16" t="inlineStr">
        <is>
          <t>TOTAL CLASIFICADO</t>
        </is>
      </c>
      <c r="B27" s="22">
        <f>SUM(B25:B26)</f>
        <v>64.9332</v>
      </c>
      <c r="C27" s="23">
        <f>SUM(C25:C26)</f>
        <v>100.0</v>
      </c>
      <c r="D27" s="17" t="inlineStr"/>
      <c r="E27" s="17" t="inlineStr"/>
    </row>
    <row r="28">
      <c r="A28" s="24" t="inlineStr">
        <is>
          <t>Superficie de catálogo (V5/V6)</t>
        </is>
      </c>
      <c r="B28" s="25" t="n">
        <v>64.92</v>
      </c>
      <c r="C28" s="25" t="inlineStr">
        <is>
          <t>—</t>
        </is>
      </c>
      <c r="D28" s="25" t="inlineStr">
        <is>
          <t>Desviación planimétrica frente al catálogo</t>
        </is>
      </c>
      <c r="E28" s="25" t="inlineStr">
        <is>
          <t>+0.02 %</t>
        </is>
      </c>
    </row>
    <row r="29"/>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98.02 % del polígono clasificado como «Vegetación alta» por el NDVI 2025; la observación de campo corresponde a una parcela o recorrido puntual y no es estadísticamente representativa de las 64.920 ha del bloque.</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41</t>
        </is>
      </c>
    </row>
    <row r="6" ht="24" customHeight="1">
      <c r="A6" s="4" t="inlineStr">
        <is>
          <t>Levantamiento del 2026-08-11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660525</v>
      </c>
      <c r="D10" s="26" t="n">
        <v>9394327</v>
      </c>
      <c r="E10" s="11" t="n">
        <v>0</v>
      </c>
      <c r="F10" s="11" t="inlineStr"/>
      <c r="G10" s="11" t="inlineStr">
        <is>
          <t>Coordenada consignada en F-DT-01</t>
        </is>
      </c>
    </row>
    <row r="11">
      <c r="A11" s="14" t="inlineStr">
        <is>
          <t>R-41-01</t>
        </is>
      </c>
      <c r="B11" s="15" t="inlineStr">
        <is>
          <t>Rasgo erosivo — Surco (&lt;30 cm)</t>
        </is>
      </c>
      <c r="C11" s="27" t="n">
        <v>660702</v>
      </c>
      <c r="D11" s="27" t="n">
        <v>9393218</v>
      </c>
      <c r="E11" s="15" t="n">
        <v>1123</v>
      </c>
      <c r="F11" s="15" t="inlineStr">
        <is>
          <t>Activa</t>
        </is>
      </c>
      <c r="G11" s="15" t="inlineStr">
        <is>
          <t>Caminos / huellas de ganado</t>
        </is>
      </c>
    </row>
    <row r="12">
      <c r="A12" s="7" t="inlineStr">
        <is>
          <t>R-41-02</t>
        </is>
      </c>
      <c r="B12" s="11" t="inlineStr">
        <is>
          <t>Rasgo erosivo — Surco (&lt;30 cm)</t>
        </is>
      </c>
      <c r="C12" s="26" t="n">
        <v>660677</v>
      </c>
      <c r="D12" s="26" t="n">
        <v>9393198</v>
      </c>
      <c r="E12" s="11" t="n">
        <v>1139.2</v>
      </c>
      <c r="F12" s="11" t="inlineStr">
        <is>
          <t>Activa</t>
        </is>
      </c>
      <c r="G12" s="11" t="inlineStr">
        <is>
          <t>Sobrepastoreo</t>
        </is>
      </c>
    </row>
    <row r="13">
      <c r="A13" s="14" t="inlineStr">
        <is>
          <t>R-41-03</t>
        </is>
      </c>
      <c r="B13" s="15" t="inlineStr">
        <is>
          <t>Rasgo erosivo — Cárcava incipiente (30-50 cm)</t>
        </is>
      </c>
      <c r="C13" s="27" t="n">
        <v>660659</v>
      </c>
      <c r="D13" s="27" t="n">
        <v>9393232</v>
      </c>
      <c r="E13" s="15" t="n">
        <v>1103.2</v>
      </c>
      <c r="F13" s="15" t="inlineStr">
        <is>
          <t>Activa</t>
        </is>
      </c>
      <c r="G13" s="15" t="inlineStr">
        <is>
          <t>Concentración natural de escorrentía</t>
        </is>
      </c>
    </row>
    <row r="14">
      <c r="A14" s="7" t="inlineStr">
        <is>
          <t>R-41-04</t>
        </is>
      </c>
      <c r="B14" s="11" t="inlineStr">
        <is>
          <t>Rasgo erosivo — Surco (&lt;30 cm)</t>
        </is>
      </c>
      <c r="C14" s="26" t="n">
        <v>660828</v>
      </c>
      <c r="D14" s="26" t="n">
        <v>9393207</v>
      </c>
      <c r="E14" s="11" t="n">
        <v>1160.3</v>
      </c>
      <c r="F14" s="11" t="inlineStr">
        <is>
          <t>Activa</t>
        </is>
      </c>
      <c r="G14" s="11" t="inlineStr">
        <is>
          <t>Surcos de labranza en pendiente</t>
        </is>
      </c>
    </row>
    <row r="15">
      <c r="A15" s="14" t="inlineStr">
        <is>
          <t>H-01</t>
        </is>
      </c>
      <c r="B15" s="15" t="inlineStr">
        <is>
          <t>Fuente de agua — Quebrada estacional</t>
        </is>
      </c>
      <c r="C15" s="27" t="n">
        <v>660705</v>
      </c>
      <c r="D15" s="27" t="n">
        <v>9393252</v>
      </c>
      <c r="E15" s="15" t="n">
        <v>1090</v>
      </c>
      <c r="F15" s="15" t="inlineStr">
        <is>
          <t>Estacional</t>
        </is>
      </c>
      <c r="G15" s="15" t="inlineStr">
        <is>
          <t>Quebrada de la red de drenaje</t>
        </is>
      </c>
    </row>
    <row r="16">
      <c r="A16" s="7" t="inlineStr">
        <is>
          <t>H-02</t>
        </is>
      </c>
      <c r="B16" s="11" t="inlineStr">
        <is>
          <t>Fuente de agua — Otro (línea de conducción)</t>
        </is>
      </c>
      <c r="C16" s="26" t="n">
        <v>660702</v>
      </c>
      <c r="D16" s="26" t="n">
        <v>9393218</v>
      </c>
      <c r="E16" s="11" t="n">
        <v>1123</v>
      </c>
      <c r="F16" s="11" t="inlineStr">
        <is>
          <t>Permanente</t>
        </is>
      </c>
      <c r="G16" s="11" t="inlineStr">
        <is>
          <t>Línea de conducción</t>
        </is>
      </c>
    </row>
    <row r="17">
      <c r="A17" s="14" t="inlineStr">
        <is>
          <t>H-03</t>
        </is>
      </c>
      <c r="B17" s="15" t="inlineStr">
        <is>
          <t>Fuente de agua — Otro (caja de reunión)</t>
        </is>
      </c>
      <c r="C17" s="27" t="n">
        <v>660677</v>
      </c>
      <c r="D17" s="27" t="n">
        <v>9393198</v>
      </c>
      <c r="E17" s="15" t="n">
        <v>1139.2</v>
      </c>
      <c r="F17" s="15" t="inlineStr">
        <is>
          <t>Permanente</t>
        </is>
      </c>
      <c r="G17" s="15" t="inlineStr">
        <is>
          <t>Segunda caja de reunión</t>
        </is>
      </c>
    </row>
    <row r="18">
      <c r="A18" s="7" t="inlineStr">
        <is>
          <t>B-01</t>
        </is>
      </c>
      <c r="B18" s="11" t="inlineStr">
        <is>
          <t>Especie clave — Guadua angustifolia (bambú)</t>
        </is>
      </c>
      <c r="C18" s="26" t="n">
        <v>660705</v>
      </c>
      <c r="D18" s="26" t="n">
        <v>9393252</v>
      </c>
      <c r="E18" s="11" t="n">
        <v>1090</v>
      </c>
      <c r="F18" s="11" t="inlineStr">
        <is>
          <t>Indicadora de buen estado</t>
        </is>
      </c>
      <c r="G18" s="11" t="inlineStr">
        <is>
          <t>No aplica</t>
        </is>
      </c>
    </row>
    <row r="19">
      <c r="A19" s="14" t="inlineStr">
        <is>
          <t>B-02</t>
        </is>
      </c>
      <c r="B19" s="15" t="inlineStr">
        <is>
          <t>Especie clave — Neoraimondia / Armatocereus sp.</t>
        </is>
      </c>
      <c r="C19" s="27" t="n">
        <v>660702</v>
      </c>
      <c r="D19" s="27" t="n">
        <v>9393218</v>
      </c>
      <c r="E19" s="15" t="n">
        <v>1123</v>
      </c>
      <c r="F19" s="15" t="inlineStr">
        <is>
          <t>Amenazada D.S. 043</t>
        </is>
      </c>
      <c r="G19" s="15" t="inlineStr">
        <is>
          <t>DD — Datos Insuficientes</t>
        </is>
      </c>
    </row>
    <row r="20">
      <c r="A20" s="7" t="inlineStr">
        <is>
          <t>B-03</t>
        </is>
      </c>
      <c r="B20" s="11" t="inlineStr">
        <is>
          <t>Especie clave — Ficus sp. (higuerón)</t>
        </is>
      </c>
      <c r="C20" s="26" t="n">
        <v>660804</v>
      </c>
      <c r="D20" s="26" t="n">
        <v>9393011</v>
      </c>
      <c r="E20" s="11" t="n">
        <v>1345.2</v>
      </c>
      <c r="F20" s="11" t="inlineStr">
        <is>
          <t>Indicadora de buen estado</t>
        </is>
      </c>
      <c r="G20" s="11" t="inlineStr">
        <is>
          <t>No aplica</t>
        </is>
      </c>
    </row>
    <row r="21">
      <c r="A21" s="14" t="inlineStr">
        <is>
          <t>B-04</t>
        </is>
      </c>
      <c r="B21" s="15" t="inlineStr">
        <is>
          <t>Especie clave — Tillandsia sp. (bromeliácea)</t>
        </is>
      </c>
      <c r="C21" s="27" t="n">
        <v>660737</v>
      </c>
      <c r="D21" s="27" t="n">
        <v>9393181</v>
      </c>
      <c r="E21" s="15" t="n">
        <v>1165.4</v>
      </c>
      <c r="F21" s="15" t="inlineStr">
        <is>
          <t>Indicadora de buen estado</t>
        </is>
      </c>
      <c r="G21" s="15" t="inlineStr">
        <is>
          <t>No aplica</t>
        </is>
      </c>
    </row>
    <row r="22">
      <c r="A22" s="7" t="inlineStr">
        <is>
          <t>B-05</t>
        </is>
      </c>
      <c r="B22" s="11" t="inlineStr">
        <is>
          <t>Especie clave — Ricinus communis (higuerilla)</t>
        </is>
      </c>
      <c r="C22" s="26" t="n">
        <v>660793</v>
      </c>
      <c r="D22" s="26" t="n">
        <v>9393019</v>
      </c>
      <c r="E22" s="11" t="n">
        <v>1335.2</v>
      </c>
      <c r="F22" s="11" t="inlineStr">
        <is>
          <t>Indicadora de perturbación</t>
        </is>
      </c>
      <c r="G22" s="11" t="inlineStr">
        <is>
          <t>No aplica</t>
        </is>
      </c>
    </row>
    <row r="23">
      <c r="A23" s="14" t="inlineStr">
        <is>
          <t>B-06</t>
        </is>
      </c>
      <c r="B23" s="15" t="inlineStr">
        <is>
          <t>Especie clave — Baccharis latifolia (chilca)</t>
        </is>
      </c>
      <c r="C23" s="27" t="n">
        <v>660677</v>
      </c>
      <c r="D23" s="27" t="n">
        <v>9393198</v>
      </c>
      <c r="E23" s="15" t="n">
        <v>1139.2</v>
      </c>
      <c r="F23" s="15" t="inlineStr">
        <is>
          <t>Indicadora de perturbación</t>
        </is>
      </c>
      <c r="G23" s="15" t="inlineStr">
        <is>
          <t>No aplica</t>
        </is>
      </c>
    </row>
    <row r="24">
      <c r="A24" s="7" t="inlineStr">
        <is>
          <t>B-07</t>
        </is>
      </c>
      <c r="B24" s="11" t="inlineStr">
        <is>
          <t>Especie clave — Eucalyptus globulus / Grevillea</t>
        </is>
      </c>
      <c r="C24" s="26" t="n">
        <v>660845</v>
      </c>
      <c r="D24" s="26" t="n">
        <v>9393030</v>
      </c>
      <c r="E24" s="11" t="n">
        <v>1335.9</v>
      </c>
      <c r="F24" s="11" t="inlineStr">
        <is>
          <t>Indicadora de perturbación</t>
        </is>
      </c>
      <c r="G24" s="11" t="inlineStr">
        <is>
          <t>No aplica</t>
        </is>
      </c>
    </row>
    <row r="25">
      <c r="A25" s="16" t="inlineStr">
        <is>
          <t>TOTAL: 15 puntos</t>
        </is>
      </c>
      <c r="B25" s="17" t="inlineStr"/>
      <c r="C25" s="17" t="inlineStr"/>
      <c r="D25" s="17" t="inlineStr"/>
      <c r="E25" s="17" t="inlineStr"/>
      <c r="F25" s="17" t="inlineStr"/>
      <c r="G25" s="17" t="inlineStr"/>
    </row>
    <row r="26"/>
    <row r="27">
      <c r="A27" s="6" t="inlineStr">
        <is>
          <t>Centroide del bloque — UTM ESTE (m)</t>
        </is>
      </c>
      <c r="B27" s="7" t="n">
        <v>660525</v>
      </c>
      <c r="C27" s="6" t="inlineStr">
        <is>
          <t>Centroide del bloque — UTM NORTE (m)</t>
        </is>
      </c>
      <c r="D27" s="7" t="n">
        <v>9394327</v>
      </c>
      <c r="E27" s="8" t="n"/>
      <c r="F27" s="8" t="n"/>
      <c r="G27" s="8" t="n"/>
      <c r="H27" s="8" t="n"/>
    </row>
    <row r="28">
      <c r="A28" s="6" t="inlineStr">
        <is>
          <t>N.° de estaciones fotográficas declaradas</t>
        </is>
      </c>
      <c r="B28" s="7" t="n">
        <v>12</v>
      </c>
      <c r="C28" s="6" t="inlineStr">
        <is>
          <t>Estaciones dentro del polígono</t>
        </is>
      </c>
      <c r="D28" s="7" t="n">
        <v>0</v>
      </c>
      <c r="E28" s="8" t="n"/>
      <c r="F28" s="8" t="n"/>
      <c r="G28" s="8" t="n"/>
      <c r="H28" s="8" t="n"/>
    </row>
    <row r="29"/>
    <row r="30" ht="120" customHeight="1">
      <c r="A3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PERIMETRAL. Las 10 estaciones RPAS y las 2 tomas terrestres se sitúan entre 337 y 597 m al SSE del límite sur del polígono, a una cota de 1327 msnm — 209 m POR DEBAJO de la cota mínima del bloque (1536 msnm). El interior del Bloque 41 NO fue sobrevolado ni recorrido. Los parámetros fisiográficos proceden de estadística zonal sobre MDE; los indicios de inestabilidad corresponden al corredor de aproximación y se transfieren al bloque POR ANALOGÍA DE VERTIENTE, con carácter referencial.</t>
        </is>
      </c>
      <c r="B30" s="41" t="n"/>
      <c r="C30" s="41" t="n"/>
      <c r="D30" s="41" t="n"/>
      <c r="E30" s="41" t="n"/>
      <c r="F30" s="41" t="n"/>
      <c r="G30" s="42" t="n"/>
    </row>
  </sheetData>
  <mergeCells count="8">
    <mergeCell ref="A1:G1"/>
    <mergeCell ref="A8:G8"/>
    <mergeCell ref="A3:G3"/>
    <mergeCell ref="A6:G6"/>
    <mergeCell ref="A4:G4"/>
    <mergeCell ref="A30:G3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41</t>
        </is>
      </c>
    </row>
    <row r="6" ht="24" customHeight="1">
      <c r="A6" s="4" t="inlineStr">
        <is>
          <t>Distrito de Huarmaca · Provincia de Huancabamba · Comparación de los bloques preliminares de intervención de la misma microcuenca</t>
        </is>
      </c>
    </row>
    <row r="7"/>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18</t>
        </is>
      </c>
      <c r="B10" s="28" t="n">
        <v>103.62</v>
      </c>
      <c r="C10" s="19" t="n">
        <v>21.54</v>
      </c>
      <c r="D10" s="11" t="inlineStr">
        <is>
          <t>1218 – 1904</t>
        </is>
      </c>
      <c r="E10" s="11" t="n">
        <v>686</v>
      </c>
      <c r="F10" s="11" t="n">
        <v>28.7</v>
      </c>
      <c r="G10" s="18" t="n">
        <v>0.6402</v>
      </c>
      <c r="H10" s="19" t="n">
        <v>96.64</v>
      </c>
      <c r="I10" s="19" t="n">
        <v>3</v>
      </c>
    </row>
    <row r="11">
      <c r="A11" s="14" t="inlineStr">
        <is>
          <t>19</t>
        </is>
      </c>
      <c r="B11" s="29" t="n">
        <v>82.09</v>
      </c>
      <c r="C11" s="21" t="n">
        <v>17.06</v>
      </c>
      <c r="D11" s="15" t="inlineStr">
        <is>
          <t>2064 – 2503</t>
        </is>
      </c>
      <c r="E11" s="15" t="n">
        <v>439</v>
      </c>
      <c r="F11" s="15" t="n">
        <v>31.01</v>
      </c>
      <c r="G11" s="20" t="n">
        <v>0.5372</v>
      </c>
      <c r="H11" s="21" t="n">
        <v>60.33</v>
      </c>
      <c r="I11" s="21" t="n">
        <v>42.63</v>
      </c>
    </row>
    <row r="12">
      <c r="A12" s="12" t="inlineStr">
        <is>
          <t>► 41</t>
        </is>
      </c>
      <c r="B12" s="30" t="n">
        <v>64.92</v>
      </c>
      <c r="C12" s="31" t="n">
        <v>13.49</v>
      </c>
      <c r="D12" s="13" t="inlineStr">
        <is>
          <t>1536 – 1818</t>
        </is>
      </c>
      <c r="E12" s="13" t="n">
        <v>282</v>
      </c>
      <c r="F12" s="13" t="n">
        <v>25.53</v>
      </c>
      <c r="G12" s="32" t="n">
        <v>0.5927</v>
      </c>
      <c r="H12" s="31" t="n">
        <v>98.02</v>
      </c>
      <c r="I12" s="31" t="n">
        <v>12.26</v>
      </c>
    </row>
    <row r="13">
      <c r="A13" s="14" t="inlineStr">
        <is>
          <t>73</t>
        </is>
      </c>
      <c r="B13" s="29" t="n">
        <v>54.29</v>
      </c>
      <c r="C13" s="21" t="n">
        <v>11.28</v>
      </c>
      <c r="D13" s="15" t="inlineStr">
        <is>
          <t>1845 – 2305</t>
        </is>
      </c>
      <c r="E13" s="15" t="n">
        <v>460</v>
      </c>
      <c r="F13" s="15" t="n">
        <v>36.34</v>
      </c>
      <c r="G13" s="20" t="n">
        <v>0.555</v>
      </c>
      <c r="H13" s="21" t="n">
        <v>88.8</v>
      </c>
      <c r="I13" s="21" t="n">
        <v>18.94</v>
      </c>
    </row>
    <row r="14">
      <c r="A14" s="7" t="inlineStr">
        <is>
          <t>31</t>
        </is>
      </c>
      <c r="B14" s="28" t="n">
        <v>47.58</v>
      </c>
      <c r="C14" s="19" t="n">
        <v>9.890000000000001</v>
      </c>
      <c r="D14" s="11" t="inlineStr">
        <is>
          <t>1741 – 2234</t>
        </is>
      </c>
      <c r="E14" s="11" t="n">
        <v>493</v>
      </c>
      <c r="F14" s="11" t="n">
        <v>27.08</v>
      </c>
      <c r="G14" s="18" t="n">
        <v>0.4358</v>
      </c>
      <c r="H14" s="19" t="n">
        <v>18.56</v>
      </c>
      <c r="I14" s="19" t="n">
        <v>78.42</v>
      </c>
    </row>
    <row r="15">
      <c r="A15" s="14" t="inlineStr">
        <is>
          <t>29</t>
        </is>
      </c>
      <c r="B15" s="29" t="n">
        <v>40.1</v>
      </c>
      <c r="C15" s="21" t="n">
        <v>8.33</v>
      </c>
      <c r="D15" s="15" t="inlineStr">
        <is>
          <t>2142 – 2391</t>
        </is>
      </c>
      <c r="E15" s="15" t="n">
        <v>249</v>
      </c>
      <c r="F15" s="15" t="n">
        <v>31.54</v>
      </c>
      <c r="G15" s="20" t="n">
        <v>0.5482</v>
      </c>
      <c r="H15" s="21" t="inlineStr">
        <is>
          <t>Por determinar</t>
        </is>
      </c>
      <c r="I15" s="15" t="inlineStr">
        <is>
          <t>s/d</t>
        </is>
      </c>
    </row>
    <row r="16">
      <c r="A16" s="7" t="inlineStr">
        <is>
          <t>70</t>
        </is>
      </c>
      <c r="B16" s="28" t="n">
        <v>22.39</v>
      </c>
      <c r="C16" s="19" t="n">
        <v>4.65</v>
      </c>
      <c r="D16" s="11" t="inlineStr">
        <is>
          <t>2326 – 2536</t>
        </is>
      </c>
      <c r="E16" s="11" t="n">
        <v>210</v>
      </c>
      <c r="F16" s="11" t="n">
        <v>23.2</v>
      </c>
      <c r="G16" s="18" t="n">
        <v>0.6223</v>
      </c>
      <c r="H16" s="19" t="n">
        <v>98.39</v>
      </c>
      <c r="I16" s="19" t="n">
        <v>4.87</v>
      </c>
    </row>
    <row r="17">
      <c r="A17" s="14" t="inlineStr">
        <is>
          <t>68</t>
        </is>
      </c>
      <c r="B17" s="29" t="n">
        <v>21.29</v>
      </c>
      <c r="C17" s="21" t="n">
        <v>4.42</v>
      </c>
      <c r="D17" s="15" t="inlineStr">
        <is>
          <t>2086 – 2374</t>
        </is>
      </c>
      <c r="E17" s="15" t="n">
        <v>288</v>
      </c>
      <c r="F17" s="15" t="n">
        <v>36.81</v>
      </c>
      <c r="G17" s="20" t="n">
        <v>0.483</v>
      </c>
      <c r="H17" s="21" t="inlineStr">
        <is>
          <t>Por determinar</t>
        </is>
      </c>
      <c r="I17" s="15" t="inlineStr">
        <is>
          <t>s/d</t>
        </is>
      </c>
    </row>
    <row r="18">
      <c r="A18" s="7" t="inlineStr">
        <is>
          <t>69</t>
        </is>
      </c>
      <c r="B18" s="28" t="n">
        <v>19.43</v>
      </c>
      <c r="C18" s="19" t="n">
        <v>4.04</v>
      </c>
      <c r="D18" s="11" t="inlineStr">
        <is>
          <t>1931 – 2205</t>
        </is>
      </c>
      <c r="E18" s="11" t="n">
        <v>274</v>
      </c>
      <c r="F18" s="11" t="n">
        <v>27.95</v>
      </c>
      <c r="G18" s="18" t="n">
        <v>0.4489</v>
      </c>
      <c r="H18" s="19" t="n">
        <v>22.92</v>
      </c>
      <c r="I18" s="19" t="n">
        <v>81.28</v>
      </c>
    </row>
    <row r="19">
      <c r="A19" s="14" t="inlineStr">
        <is>
          <t>53</t>
        </is>
      </c>
      <c r="B19" s="29" t="n">
        <v>13.06</v>
      </c>
      <c r="C19" s="21" t="n">
        <v>2.71</v>
      </c>
      <c r="D19" s="15" t="inlineStr">
        <is>
          <t>2235 – 2540</t>
        </is>
      </c>
      <c r="E19" s="15" t="n">
        <v>305</v>
      </c>
      <c r="F19" s="15" t="n">
        <v>26.89</v>
      </c>
      <c r="G19" s="20" t="n">
        <v>0.5963000000000001</v>
      </c>
      <c r="H19" s="21" t="n">
        <v>86.15000000000001</v>
      </c>
      <c r="I19" s="21" t="n">
        <v>12.45</v>
      </c>
    </row>
    <row r="20">
      <c r="A20" s="7" t="inlineStr">
        <is>
          <t>72</t>
        </is>
      </c>
      <c r="B20" s="28" t="n">
        <v>12.4</v>
      </c>
      <c r="C20" s="19" t="n">
        <v>2.58</v>
      </c>
      <c r="D20" s="11" t="inlineStr">
        <is>
          <t>1538 – 1742</t>
        </is>
      </c>
      <c r="E20" s="11" t="n">
        <v>204</v>
      </c>
      <c r="F20" s="11" t="n">
        <v>28.25</v>
      </c>
      <c r="G20" s="18" t="n">
        <v>0.5185</v>
      </c>
      <c r="H20" s="19" t="n">
        <v>92.44</v>
      </c>
      <c r="I20" s="19" t="n">
        <v>41.35</v>
      </c>
    </row>
    <row r="21">
      <c r="A21" s="16" t="inlineStr">
        <is>
          <t>TOTAL / PROMEDIO</t>
        </is>
      </c>
      <c r="B21" s="33">
        <f>SUM(B10:B20)</f>
        <v>481.17</v>
      </c>
      <c r="C21" s="23">
        <f>SUM(C10:C20)</f>
        <v>99.99</v>
      </c>
      <c r="D21" s="17" t="inlineStr">
        <is>
          <t>1218 – 2540</t>
        </is>
      </c>
      <c r="E21" s="17" t="inlineStr"/>
      <c r="F21" s="17">
        <f>ROUND(AVERAGE(F10:F20),2)</f>
        <v>29.39</v>
      </c>
      <c r="G21" s="22">
        <f>ROUND(AVERAGE(G10:G20),4)</f>
        <v>0.5435</v>
      </c>
      <c r="H21" s="23">
        <f>ROUND(AVERAGE(H10:H20),2)</f>
        <v>73.58</v>
      </c>
      <c r="I21" s="23">
        <f>ROUND(AVERAGE(I10:I20),2)</f>
        <v>32.8</v>
      </c>
    </row>
    <row r="22" ht="48" customHeight="1">
      <c r="A22" s="9" t="inlineStr">
        <is>
          <t>ALCANCE DE LOS PROMEDIOS. La fila TOTAL / PROMEDIO omite las celdas «Por determinar»: el promedio de VEGETACIÓN ALTA (NDVI 2025) se calcula sobre 9 de los 11 bloques; los 2 bloques restantes carecen de estadística zonal de NDVI. Los totales de ÁREA y % de microcuenca sí comprenden la totalidad de los 11 bloques. No se estima ningún valor ausente.</t>
        </is>
      </c>
      <c r="B22" s="41" t="n"/>
      <c r="C22" s="41" t="n"/>
      <c r="D22" s="41" t="n"/>
      <c r="E22" s="41" t="n"/>
      <c r="F22" s="41" t="n"/>
      <c r="G22" s="41" t="n"/>
      <c r="H22" s="42" t="n"/>
    </row>
    <row r="23"/>
    <row r="24" ht="84" customHeight="1">
      <c r="A24" s="9" t="inlineStr">
        <is>
          <t>LECTURA INTRAMICROCUENCA. El bloque 41 ocupa el puesto 3 de 11 por superficie dentro de la microcuenca C1076-Q9592 (13.49 % de las 481.17 ha preliminares de la microcuenca). Su pendiente promedio (25.53 %, clase «25-50% (Mod. escarpado)») es la 2.ª más baja de 11 y se sitúa por debajo del promedio de la microcuenca (29.39 %). Su MSAVI 2024 (0.5927) es el 4.º de 11 y queda por encima del promedio local (0.5435). Amplitud altitudinal del bloque: 282 m (1536–1818 msnm). El cuadro conserva todos los bloques catalogados en la microcuenca, incluidos los descartados en el tamizaje, para referencia del conjunto. Los bloques sin ficha DT figuran con sus parámetros de gabinete. BRECHA ESPECTRAL. El 12.26 % de la superficie del bloque (7.961 ha de 64.923 ha) se sitúa bajo el umbral MSAVI 0.4976, por debajo del promedio local de la microcuenca (32.80 %) calculado sobre los bloques con dato MSAVI disponible.</t>
        </is>
      </c>
      <c r="B24" s="41" t="n"/>
      <c r="C24" s="41" t="n"/>
      <c r="D24" s="41" t="n"/>
      <c r="E24" s="41" t="n"/>
      <c r="F24" s="41" t="n"/>
      <c r="G24" s="41" t="n"/>
      <c r="H24" s="42" t="n"/>
    </row>
    <row r="25"/>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1" t="n"/>
      <c r="C26" s="41" t="n"/>
      <c r="D26" s="41" t="n"/>
      <c r="E26" s="41" t="n"/>
      <c r="F26" s="41" t="n"/>
      <c r="G26" s="41" t="n"/>
      <c r="H26" s="42" t="n"/>
    </row>
  </sheetData>
  <mergeCells count="10">
    <mergeCell ref="A1:I1"/>
    <mergeCell ref="A4:I4"/>
    <mergeCell ref="A3:I3"/>
    <mergeCell ref="A26:I26"/>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41</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«C1076-Q9592»</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(64.933 ha) coincide con la de catálogo (64.92 ha) dentro del ±2 % (+0.02 %)</t>
        </is>
      </c>
      <c r="D12" s="35" t="inlineStr">
        <is>
          <t>CONFORME</t>
        </is>
      </c>
      <c r="E12" s="34" t="inlineStr">
        <is>
          <t>Sin acción: la segmentación valida la geometría del bloque.</t>
        </is>
      </c>
    </row>
    <row r="13" ht="48" customHeight="1">
      <c r="A13" s="36" t="inlineStr">
        <is>
          <t>D-04</t>
        </is>
      </c>
      <c r="B13" s="36" t="inlineStr">
        <is>
          <t>Representatividad del levantamiento</t>
        </is>
      </c>
      <c r="C13" s="36" t="inlineStr">
        <is>
          <t>Ninguna de las estaciones fotográficas georreferenciadas se localiza dentro del polígono del bloque</t>
        </is>
      </c>
      <c r="D13" s="37" t="inlineStr">
        <is>
          <t>SUSTANTIVA</t>
        </is>
      </c>
      <c r="E13" s="36" t="inlineStr">
        <is>
          <t>La verificación documenta el perímetro y la vista panorámica del bloque, no su interior. Los parámetros que exigen recorrido interno se consignan «Por determinar».</t>
        </is>
      </c>
    </row>
    <row r="14" ht="48" customHeight="1">
      <c r="A14" s="34" t="inlineStr">
        <is>
          <t>D-05</t>
        </is>
      </c>
      <c r="B14" s="34" t="inlineStr">
        <is>
          <t>Centro poblado asociado</t>
        </is>
      </c>
      <c r="C14" s="34" t="inlineStr">
        <is>
          <t>La ficha DT declara «Cambrurán»; el cruce INEI-Bloques V5 identifica 1 centro(s) poblado(s) en el bloque: CAMBRURAN</t>
        </is>
      </c>
      <c r="D14" s="13" t="inlineStr">
        <is>
          <t>NO SUSTANTIVA</t>
        </is>
      </c>
      <c r="E14" s="34" t="inlineStr">
        <is>
          <t>Se conserva el registro de campo como referencia y se adopta el listado INEI para el diagnóstico social y el cálculo de población beneficiaria.</t>
        </is>
      </c>
    </row>
    <row r="15" ht="48" customHeight="1">
      <c r="A15" s="36" t="inlineStr">
        <is>
          <t>D-06</t>
        </is>
      </c>
      <c r="B15" s="36" t="inlineStr">
        <is>
          <t>Peligro integrado (MCA-AHP)</t>
        </is>
      </c>
      <c r="C15" s="36" t="inlineStr">
        <is>
          <t>El nivel de peligro integrado no está disponible en los insumos de este entregable</t>
        </is>
      </c>
      <c r="D15" s="37" t="inlineStr">
        <is>
          <t>SUSTANTIVA</t>
        </is>
      </c>
      <c r="E15" s="36" t="inlineStr">
        <is>
          <t>Debe tomarse del modelamiento de mesolocalización (PMM + EPH + PGI ponderados por AHP) antes de fijar la prioridad definitiva de intervención del bloque.</t>
        </is>
      </c>
    </row>
    <row r="16" ht="48" customHeight="1">
      <c r="A16" s="36" t="inlineStr">
        <is>
          <t>D-07</t>
        </is>
      </c>
      <c r="B16" s="36" t="inlineStr">
        <is>
          <t>Distribución areal MSAVI 2024</t>
        </is>
      </c>
      <c r="C16" s="36" t="inlineStr">
        <is>
          <t>La distribución por clase de MSAVI no figuraba en los insumos del entregable y se consignaba «Por determinar»; se incorpora la estadística zonal del ráster MSAVI clasificado (237 polígonos, 64.923 ha)</t>
        </is>
      </c>
      <c r="D16" s="37" t="inlineStr">
        <is>
          <t>CORREGIDO</t>
        </is>
      </c>
      <c r="E16"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17" ht="48" customHeight="1">
      <c r="A17" s="36" t="inlineStr">
        <is>
          <t>D-08</t>
        </is>
      </c>
      <c r="B17" s="36" t="inlineStr">
        <is>
          <t>Superficie MSAVI vs. catálogo</t>
        </is>
      </c>
      <c r="C17" s="36" t="inlineStr">
        <is>
          <t>La superficie total clasificada por el MSAVI 2024 (64.923 ha) frente a la de catálogo V5/V6 (64.920 ha): desviación de +0.00 %</t>
        </is>
      </c>
      <c r="D17" s="37" t="inlineStr">
        <is>
          <t>CONFORME</t>
        </is>
      </c>
      <c r="E17" s="36" t="inlineStr">
        <is>
          <t>Sin acción: la segmentación del ráster valida la geometría del bloque dentro del ±2 %.</t>
        </is>
      </c>
    </row>
    <row r="18" ht="48" customHeight="1">
      <c r="A18" s="36" t="inlineStr">
        <is>
          <t>D-09</t>
        </is>
      </c>
      <c r="B18" s="36" t="inlineStr">
        <is>
          <t>Media MSAVI vs. clase DN dominante</t>
        </is>
      </c>
      <c r="C18" s="36" t="inlineStr">
        <is>
          <t>La media del bloque (0.5927) cae en la clase «DN 4 · 0.4976 - 0.6139 (Vigor moderado)»; la clase de mayor superficie es «DN 4 · 0.4976 - 0.6139 (Vigor moderado)», con 45.50 % del bloque. Superficie bajo el umbral 0.4976: 7.961 ha (12.26 %)</t>
        </is>
      </c>
      <c r="D18" s="37" t="inlineStr">
        <is>
          <t>CONFORME</t>
        </is>
      </c>
      <c r="E18" s="36" t="inlineStr">
        <is>
          <t>Sin acción: la media del bloque y la clase de mayor superficie coinciden.</t>
        </is>
      </c>
    </row>
    <row r="19"/>
    <row r="20">
      <c r="A20" s="16" t="inlineStr">
        <is>
          <t>RESUMEN</t>
        </is>
      </c>
      <c r="B20" s="17" t="inlineStr">
        <is>
          <t>9 verificaciones</t>
        </is>
      </c>
      <c r="C20" s="17" t="inlineStr">
        <is>
          <t>CONFORME: 5 · CORREGIDO: 1 · NO SUSTANTIVA: 1 · SUSTANTIVA: 2</t>
        </is>
      </c>
      <c r="D20" s="17" t="inlineStr"/>
      <c r="E20" s="17" t="inlineStr"/>
    </row>
    <row r="21"/>
    <row r="22" ht="60" customHeight="1">
      <c r="A2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2" s="41" t="n"/>
      <c r="C22" s="41" t="n"/>
      <c r="D22" s="41" t="n"/>
      <c r="E22" s="42" t="n"/>
    </row>
  </sheetData>
  <mergeCells count="8">
    <mergeCell ref="A4:E4"/>
    <mergeCell ref="A2:E2"/>
    <mergeCell ref="A1:E1"/>
    <mergeCell ref="A5:E5"/>
    <mergeCell ref="A8:E8"/>
    <mergeCell ref="A6:E6"/>
    <mergeCell ref="A22:E22"/>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41 — IN Piura</dc:title>
  <dc:subject>Diagnóstico Territorial por bloque de intervención</dc:subject>
  <dcterms:created xsi:type="dcterms:W3CDTF">2026-09-08T03:39:56Z</dcterms:created>
  <dcterms:modified xsi:type="dcterms:W3CDTF">2026-09-10T00:28:27Z</dcterms:modified>
</cp:coreProperties>
</file>