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5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13</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13</t>
        </is>
      </c>
      <c r="C9" s="6" t="inlineStr">
        <is>
          <t>Microcuenca (catálogo)</t>
        </is>
      </c>
      <c r="D9" s="7" t="inlineStr">
        <is>
          <t>C1096-Q9564</t>
        </is>
      </c>
      <c r="E9" s="8" t="n"/>
      <c r="F9" s="8" t="n"/>
    </row>
    <row r="10">
      <c r="A10" s="6" t="inlineStr">
        <is>
          <t>Zona de planificación</t>
        </is>
      </c>
      <c r="B10" s="7" t="inlineStr">
        <is>
          <t>Z03</t>
        </is>
      </c>
      <c r="C10" s="6" t="inlineStr">
        <is>
          <t>Microcuenca declarada en ficha DT</t>
        </is>
      </c>
      <c r="D10" s="7" t="inlineStr">
        <is>
          <t>C1096-Q9564</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Santo Domingo</t>
        </is>
      </c>
      <c r="C12" s="6" t="inlineStr">
        <is>
          <t>Capital distrital</t>
        </is>
      </c>
      <c r="D12" s="7" t="inlineStr">
        <is>
          <t>Santo Domingo</t>
        </is>
      </c>
      <c r="E12" s="8" t="n"/>
      <c r="F12" s="8" t="n"/>
    </row>
    <row r="13">
      <c r="A13" s="6" t="inlineStr">
        <is>
          <t>Centro poblado asociado</t>
        </is>
      </c>
      <c r="B13" s="7" t="inlineStr">
        <is>
          <t>Huacas</t>
        </is>
      </c>
      <c r="C13" s="6" t="inlineStr">
        <is>
          <t>Comunidad campesina</t>
        </is>
      </c>
      <c r="D13" s="7" t="inlineStr">
        <is>
          <t>No aplica – Tierras del Estado bajo administración del GORE Piura</t>
        </is>
      </c>
      <c r="E13" s="8" t="n"/>
      <c r="F13" s="8" t="n"/>
    </row>
    <row r="14">
      <c r="A14" s="6" t="inlineStr">
        <is>
          <t>Superficie de catálogo (V5/V6), ha</t>
        </is>
      </c>
      <c r="B14" s="7" t="n">
        <v>100.51</v>
      </c>
      <c r="C14" s="6" t="inlineStr">
        <is>
          <t>Fuente de superficie</t>
        </is>
      </c>
      <c r="D14" s="7" t="inlineStr">
        <is>
          <t>Catálogo maestro Bloques V5/V6</t>
        </is>
      </c>
      <c r="E14" s="8" t="n"/>
      <c r="F14" s="8" t="n"/>
    </row>
    <row r="15">
      <c r="A15" s="6" t="inlineStr">
        <is>
          <t>Centroide UTM ESTE (m)</t>
        </is>
      </c>
      <c r="B15" s="7" t="n">
        <v>620263</v>
      </c>
      <c r="C15" s="6" t="inlineStr">
        <is>
          <t>Centroide UTM NORTE (m)</t>
        </is>
      </c>
      <c r="D15" s="7" t="n">
        <v>9442343</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1649</v>
      </c>
      <c r="C19" s="6" t="inlineStr">
        <is>
          <t>Altitud máxima (msnm)</t>
        </is>
      </c>
      <c r="D19" s="7" t="n">
        <v>2267</v>
      </c>
      <c r="E19" s="8" t="n"/>
      <c r="F19" s="8" t="n"/>
    </row>
    <row r="20">
      <c r="A20" s="6" t="inlineStr">
        <is>
          <t>Amplitud altitudinal (m)</t>
        </is>
      </c>
      <c r="B20" s="7" t="n">
        <v>618</v>
      </c>
      <c r="C20" s="6" t="inlineStr">
        <is>
          <t>Piso altitudinal dominante</t>
        </is>
      </c>
      <c r="D20" s="7" t="inlineStr">
        <is>
          <t>1500-2000 m (Quechua media)</t>
        </is>
      </c>
      <c r="E20" s="8" t="n"/>
      <c r="F20" s="8" t="n"/>
    </row>
    <row r="21">
      <c r="A21" s="6" t="inlineStr">
        <is>
          <t>Pendiente promedio (%)</t>
        </is>
      </c>
      <c r="B21" s="7" t="n">
        <v>28.99</v>
      </c>
      <c r="C21" s="6" t="inlineStr">
        <is>
          <t>Pendiente promedio (grados)</t>
        </is>
      </c>
      <c r="D21" s="7" t="n">
        <v>16.2</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Oeste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0.6711</v>
      </c>
      <c r="C28" s="6" t="inlineStr">
        <is>
          <t>MSAVI 2024 — clase de la media</t>
        </is>
      </c>
      <c r="D28" s="7" t="inlineStr">
        <is>
          <t>&gt; 0.6139 (Vigor alto)</t>
        </is>
      </c>
      <c r="E28" s="8" t="n"/>
      <c r="F28" s="8" t="n"/>
    </row>
    <row r="29">
      <c r="A29" s="6" t="inlineStr">
        <is>
          <t>Condición frente al umbral 0.4976</t>
        </is>
      </c>
      <c r="B29" s="7" t="inlineStr">
        <is>
          <t>Sobre umbral</t>
        </is>
      </c>
      <c r="C29" s="6" t="inlineStr">
        <is>
          <t>NDVI mediana 2025 — clase modal</t>
        </is>
      </c>
      <c r="D29" s="7" t="inlineStr">
        <is>
          <t>Vegetación alta (89.59 %)</t>
        </is>
      </c>
      <c r="E29" s="8" t="n"/>
      <c r="F29" s="8" t="n"/>
    </row>
    <row r="30">
      <c r="A30" s="6" t="inlineStr">
        <is>
          <t>Superficie clasificada NDVI 2025 (ha)</t>
        </is>
      </c>
      <c r="B30" s="7" t="n">
        <v>100.558</v>
      </c>
      <c r="C30" s="6" t="inlineStr">
        <is>
          <t>Desviación frente al catálogo (%)</t>
        </is>
      </c>
      <c r="D30" s="7" t="n">
        <v>0.05</v>
      </c>
      <c r="E30" s="8" t="n"/>
      <c r="F30" s="8" t="n"/>
    </row>
    <row r="31">
      <c r="A31" s="6" t="inlineStr">
        <is>
          <t>Superficie clasificada MSAVI 2024 (ha)</t>
        </is>
      </c>
      <c r="B31" s="38" t="n">
        <v>100.514</v>
      </c>
      <c r="C31" s="6" t="inlineStr">
        <is>
          <t>Desviación MSAVI frente al catálogo (%)</t>
        </is>
      </c>
      <c r="D31" s="39" t="n">
        <v>0</v>
      </c>
      <c r="E31" s="8" t="n"/>
      <c r="F31" s="8" t="n"/>
    </row>
    <row r="32">
      <c r="A32" s="6" t="inlineStr">
        <is>
          <t>Superficie bajo umbral MSAVI 0.4976 (ha)</t>
        </is>
      </c>
      <c r="B32" s="38" t="n">
        <v>5.239</v>
      </c>
      <c r="C32" s="6" t="inlineStr">
        <is>
          <t>% del bloque bajo umbral (brecha espectral)</t>
        </is>
      </c>
      <c r="D32" s="39" t="n">
        <v>5.21</v>
      </c>
      <c r="E32" s="8" t="n"/>
      <c r="F32" s="8" t="n"/>
    </row>
    <row r="33">
      <c r="A33" s="6" t="inlineStr">
        <is>
          <t>Clase DN dominante (MSAVI 2024)</t>
        </is>
      </c>
      <c r="B33" s="7" t="inlineStr">
        <is>
          <t>DN 5 · &gt; 0.6139 (Vigor alto)</t>
        </is>
      </c>
      <c r="C33" s="6" t="inlineStr">
        <is>
          <t>N.° de polígonos MSAVI del bloque</t>
        </is>
      </c>
      <c r="D33" s="40" t="n">
        <v>191</v>
      </c>
      <c r="E33" s="8" t="n"/>
      <c r="F33" s="8" t="n"/>
    </row>
    <row r="34"/>
    <row r="35" ht="18" customHeight="1">
      <c r="A35" s="5" t="inlineStr">
        <is>
          <t>4. ECOSISTEMA Y ESTADO DE CONSERVACIÓN</t>
        </is>
      </c>
    </row>
    <row r="36">
      <c r="A36" s="6" t="inlineStr">
        <is>
          <t>Tipo de ecosistema (UP)</t>
        </is>
      </c>
      <c r="B36" s="7" t="inlineStr">
        <is>
          <t>Matorral Andino subhúmedo</t>
        </is>
      </c>
      <c r="C36" s="6" t="inlineStr">
        <is>
          <t>Superficie de ecosistema (ha)</t>
        </is>
      </c>
      <c r="D36" s="7" t="inlineStr">
        <is>
          <t>60.35 ha (mosaico: BMVO 26.22 ha + Matorral andino 60.35 ha + Zona agrícola 13.94 ha)</t>
        </is>
      </c>
      <c r="E36" s="8" t="n"/>
      <c r="F36" s="8" t="n"/>
    </row>
    <row r="37">
      <c r="A37" s="6" t="inlineStr">
        <is>
          <t>Estado de conservación</t>
        </is>
      </c>
      <c r="B37" s="7" t="inlineStr">
        <is>
          <t>Medianamente alterado</t>
        </is>
      </c>
      <c r="C37" s="6" t="inlineStr">
        <is>
          <t>Uso actual dominante del suelo</t>
        </is>
      </c>
      <c r="D37" s="7" t="inlineStr">
        <is>
          <t>Pastoreo extensivo</t>
        </is>
      </c>
      <c r="E37" s="8" t="n"/>
      <c r="F37" s="8" t="n"/>
    </row>
    <row r="38">
      <c r="A38" s="6" t="inlineStr">
        <is>
          <t>Tipo de cobertura dominante</t>
        </is>
      </c>
      <c r="B38" s="7" t="inlineStr">
        <is>
          <t>Mixto / Mosaico</t>
        </is>
      </c>
      <c r="C38" s="6" t="inlineStr">
        <is>
          <t>Cobertura vegetal total — campo (%)</t>
        </is>
      </c>
      <c r="D38" s="7" t="n">
        <v>80</v>
      </c>
      <c r="E38" s="8" t="n"/>
      <c r="F38" s="8" t="n"/>
    </row>
    <row r="39">
      <c r="A39" s="6" t="inlineStr">
        <is>
          <t>Suelo desnudo — campo (%)</t>
        </is>
      </c>
      <c r="B39" s="7" t="n">
        <v>10</v>
      </c>
      <c r="C39" s="6" t="inlineStr">
        <is>
          <t>Regeneración natural</t>
        </is>
      </c>
      <c r="D39" s="7" t="inlineStr">
        <is>
          <t>Regular (10-50 pl./100m²)</t>
        </is>
      </c>
      <c r="E39" s="8" t="n"/>
      <c r="F39" s="8" t="n"/>
    </row>
    <row r="40">
      <c r="A40" s="6" t="inlineStr">
        <is>
          <t>Nivel general de erosión</t>
        </is>
      </c>
      <c r="B40" s="7" t="inlineStr">
        <is>
          <t>Ligera (laminar)</t>
        </is>
      </c>
      <c r="C40" s="6" t="inlineStr">
        <is>
          <t>N.° de cárcavas registradas</t>
        </is>
      </c>
      <c r="D40" s="7" t="n">
        <v>0</v>
      </c>
      <c r="E40" s="8" t="n"/>
      <c r="F40" s="8" t="n"/>
    </row>
    <row r="41">
      <c r="A41" s="6" t="inlineStr">
        <is>
          <t>Elenco florístico (n.° de taxones)</t>
        </is>
      </c>
      <c r="B41" s="7" t="n">
        <v>15</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Héctor S. Cahuas Miller / Ing. Pedro Talledo Hernández / Ing. Juan Carlos Domínguez Varas (ANIN-DIME-SESDI)</t>
        </is>
      </c>
      <c r="C44" s="6" t="inlineStr">
        <is>
          <t>Fecha de evaluación</t>
        </is>
      </c>
      <c r="D44" s="7" t="inlineStr">
        <is>
          <t>2026-06-10</t>
        </is>
      </c>
      <c r="E44" s="8" t="n"/>
      <c r="F44" s="8" t="n"/>
    </row>
    <row r="45">
      <c r="A45" s="6" t="inlineStr">
        <is>
          <t>Hora de registro</t>
        </is>
      </c>
      <c r="B45" s="7" t="inlineStr">
        <is>
          <t>01:17 p.m.</t>
        </is>
      </c>
      <c r="C45" s="6" t="inlineStr">
        <is>
          <t>Correlativo de ficha</t>
        </is>
      </c>
      <c r="D45" s="7" t="inlineStr">
        <is>
          <t>DT-B13-01</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P-01 (ladera media, sector de pastizal-matorral con relictos)</t>
        </is>
      </c>
      <c r="E47" s="8" t="n"/>
      <c r="F47" s="8" t="n"/>
    </row>
    <row r="48">
      <c r="A48" s="6" t="inlineStr">
        <is>
          <t>Estaciones fotográficas georreferenciadas</t>
        </is>
      </c>
      <c r="B48" s="7" t="n">
        <v>15</v>
      </c>
      <c r="C48" s="6" t="inlineStr">
        <is>
          <t>Modalidad de acceso</t>
        </is>
      </c>
      <c r="D48" s="7" t="inlineStr">
        <is>
          <t>Vehicular + caminata 30-90 min</t>
        </is>
      </c>
      <c r="E48" s="8" t="n"/>
      <c r="F48" s="8" t="n"/>
    </row>
    <row r="49"/>
    <row r="50" ht="18" customHeight="1">
      <c r="A50" s="5" t="inlineStr">
        <is>
          <t>6. SÍNTESIS PARA LA GESTIÓN DEL RIESGO EN CONTEXTO DE CAMBIO CLIMÁTICO</t>
        </is>
      </c>
    </row>
    <row r="51">
      <c r="A51" s="6" t="inlineStr">
        <is>
          <t>Causa subyacente principal</t>
        </is>
      </c>
      <c r="B51" s="7" t="inlineStr">
        <is>
          <t>Economía de subsistencia (ganadería y agricultura de ladera) sin ordenamiento territorial ni manejo del ecosistema</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Media</t>
        </is>
      </c>
      <c r="E52" s="8" t="n"/>
      <c r="F52" s="8" t="n"/>
    </row>
    <row r="53">
      <c r="A53" s="6" t="inlineStr">
        <is>
          <t>Urgencia de control de erosión</t>
        </is>
      </c>
      <c r="B53" s="7" t="inlineStr">
        <is>
          <t>Media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13</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 · DN 5</t>
        </is>
      </c>
      <c r="B10" s="30" t="n">
        <v>71.2564</v>
      </c>
      <c r="C10" s="29">
        <f>ROUND(B10/$B$15*100,2)</f>
        <v>70.89</v>
      </c>
      <c r="D10" s="12" t="inlineStr">
        <is>
          <t>Vigor alto</t>
        </is>
      </c>
      <c r="E10" s="12" t="inlineStr">
        <is>
          <t>Sobre umbral</t>
        </is>
      </c>
    </row>
    <row r="11">
      <c r="A11" s="13" t="inlineStr">
        <is>
          <t>0.4976 - 0.6139 · DN 4</t>
        </is>
      </c>
      <c r="B11" s="20" t="n">
        <v>24.0178</v>
      </c>
      <c r="C11" s="21">
        <f>ROUND(B11/$B$15*100,2)</f>
        <v>23.9</v>
      </c>
      <c r="D11" s="14" t="inlineStr">
        <is>
          <t>Vigor moderado</t>
        </is>
      </c>
      <c r="E11" s="14" t="inlineStr">
        <is>
          <t>Sobre umbral</t>
        </is>
      </c>
    </row>
    <row r="12">
      <c r="A12" s="7" t="inlineStr">
        <is>
          <t>0.3813 - 0.4976 · DN 3</t>
        </is>
      </c>
      <c r="B12" s="18" t="n">
        <v>5.2394</v>
      </c>
      <c r="C12" s="19">
        <f>ROUND(B12/$B$15*100,2)</f>
        <v>5.21</v>
      </c>
      <c r="D12" s="15" t="inlineStr">
        <is>
          <t>Vigor bajo</t>
        </is>
      </c>
      <c r="E12" s="15" t="inlineStr">
        <is>
          <t>BAJO umbral 0.4976</t>
        </is>
      </c>
    </row>
    <row r="13">
      <c r="A13" s="13" t="inlineStr">
        <is>
          <t>0.2650 - 0.3813 · DN 2</t>
        </is>
      </c>
      <c r="B13" s="20" t="n">
        <v>0</v>
      </c>
      <c r="C13" s="21">
        <f>ROUND(B13/$B$15*100,2)</f>
        <v>0.0</v>
      </c>
      <c r="D13" s="14" t="inlineStr">
        <is>
          <t>Vigor muy bajo</t>
        </is>
      </c>
      <c r="E13" s="14" t="inlineStr">
        <is>
          <t>BAJO umbral 0.4976</t>
        </is>
      </c>
    </row>
    <row r="14">
      <c r="A14" s="7" t="inlineStr">
        <is>
          <t>&lt;= 0.2650 · DN 1</t>
        </is>
      </c>
      <c r="B14" s="18" t="n">
        <v>0</v>
      </c>
      <c r="C14" s="19">
        <f>ROUND(B14/$B$15*100,2)</f>
        <v>0.0</v>
      </c>
      <c r="D14" s="15" t="inlineStr">
        <is>
          <t>Suelo desnudo / no vegetal</t>
        </is>
      </c>
      <c r="E14" s="15" t="inlineStr">
        <is>
          <t>BAJO umbral 0.4976</t>
        </is>
      </c>
    </row>
    <row r="15" ht="30" customHeight="1">
      <c r="A15" s="43" t="inlineStr">
        <is>
          <t>TOTAL CLASIFICADO MSAVI 2024</t>
        </is>
      </c>
      <c r="B15" s="44">
        <f>SUM(B10:B14)</f>
        <v>100.5136</v>
      </c>
      <c r="C15" s="45">
        <f>SUM(C10:C14)</f>
        <v>100.0</v>
      </c>
      <c r="D15" s="43" t="inlineStr">
        <is>
          <t>Suma de la distribución areal · 191 polígonos</t>
        </is>
      </c>
      <c r="E15" s="43" t="inlineStr">
        <is>
          <t>—</t>
        </is>
      </c>
    </row>
    <row r="16" ht="30" customHeight="1">
      <c r="A16" s="46" t="inlineStr">
        <is>
          <t>Superficie SOBRE umbral 0.4976 (ha)</t>
        </is>
      </c>
      <c r="B16" s="47">
        <f>SUM(B10:B11)</f>
        <v>95.2742</v>
      </c>
      <c r="C16" s="48">
        <f>ROUND(B16/B15*100,2)</f>
        <v>94.79</v>
      </c>
      <c r="D16" s="46" t="inlineStr">
        <is>
          <t>Vigor alto y moderado (DN 4 y DN 5)</t>
        </is>
      </c>
      <c r="E16" s="46" t="inlineStr">
        <is>
          <t>Sobre umbral 0.4976</t>
        </is>
      </c>
    </row>
    <row r="17" ht="30" customHeight="1">
      <c r="A17" s="46" t="inlineStr">
        <is>
          <t>Superficie BAJO umbral 0.4976 (ha) — brecha</t>
        </is>
      </c>
      <c r="B17" s="47">
        <f>SUM(B12:B14)</f>
        <v>5.2394</v>
      </c>
      <c r="C17" s="48">
        <f>ROUND(B17/B15*100,2)</f>
        <v>5.21</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100.51</v>
      </c>
      <c r="C18" s="49" t="inlineStr">
        <is>
          <t>—</t>
        </is>
      </c>
      <c r="D18" s="46" t="inlineStr">
        <is>
          <t>Desviación planimétrica frente al catálogo</t>
        </is>
      </c>
      <c r="E18" s="46" t="inlineStr">
        <is>
          <t>+0.00 %</t>
        </is>
      </c>
    </row>
    <row r="19">
      <c r="A19" s="16" t="inlineStr">
        <is>
          <t>MSAVI 2024 — MEDIA DEL BLOQUE</t>
        </is>
      </c>
      <c r="B19" s="17" t="n">
        <v>0.671094</v>
      </c>
      <c r="C19" s="17" t="inlineStr">
        <is>
          <t>—</t>
        </is>
      </c>
      <c r="D19" s="17" t="inlineStr">
        <is>
          <t>Vigor alto · clase &gt; 0.6139</t>
        </is>
      </c>
      <c r="E19" s="17" t="inlineStr">
        <is>
          <t>Sobre umbral</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191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(0.6711) se conserva del catálogo maestro y es dato oficial; la fila resaltada indica la clase en la que cae dicha media. Los totales y porcentajes se calculan con fórmulas sobre las filas del cuadro.</t>
        </is>
      </c>
      <c r="B21" s="41" t="n"/>
      <c r="C21" s="41" t="n"/>
      <c r="D21" s="41" t="n"/>
      <c r="E21" s="42"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90.09059999999999</v>
      </c>
      <c r="C25" s="19" t="n">
        <v>89.59</v>
      </c>
      <c r="D25" s="15" t="inlineStr">
        <is>
          <t>Dosel continuo, matorral denso o mosaico agroforestal</t>
        </is>
      </c>
      <c r="E25" s="15" t="inlineStr"/>
    </row>
    <row r="26">
      <c r="A26" s="13" t="inlineStr">
        <is>
          <t>Vegetación mediana</t>
        </is>
      </c>
      <c r="B26" s="20" t="n">
        <v>10.1507</v>
      </c>
      <c r="C26" s="21" t="n">
        <v>10.09</v>
      </c>
      <c r="D26" s="14" t="inlineStr">
        <is>
          <t>Pastizal cultivado, matorral ralo, parcelas agrícolas</t>
        </is>
      </c>
      <c r="E26" s="14" t="inlineStr"/>
    </row>
    <row r="27">
      <c r="A27" s="7" t="inlineStr">
        <is>
          <t>Vegetación ligera</t>
        </is>
      </c>
      <c r="B27" s="18" t="n">
        <v>0.3068</v>
      </c>
      <c r="C27" s="19" t="n">
        <v>0.31</v>
      </c>
      <c r="D27" s="15" t="inlineStr">
        <is>
          <t>Cobertura discontinua, suelo parcialmente expuesto</t>
        </is>
      </c>
      <c r="E27" s="15" t="inlineStr"/>
    </row>
    <row r="28">
      <c r="A28" s="13" t="inlineStr">
        <is>
          <t>Tierra desnuda</t>
        </is>
      </c>
      <c r="B28" s="20" t="n">
        <v>0.009900000000000001</v>
      </c>
      <c r="C28" s="21" t="n">
        <v>0.01</v>
      </c>
      <c r="D28" s="14" t="inlineStr">
        <is>
          <t>Suelo desnudo, afloramientos, plataformas y taludes</t>
        </is>
      </c>
      <c r="E28" s="14" t="inlineStr"/>
    </row>
    <row r="29">
      <c r="A29" s="16" t="inlineStr">
        <is>
          <t>TOTAL CLASIFICADO</t>
        </is>
      </c>
      <c r="B29" s="22">
        <f>SUM(B25:B28)</f>
        <v>100.558</v>
      </c>
      <c r="C29" s="23">
        <f>SUM(C25:C28)</f>
        <v>100.0</v>
      </c>
      <c r="D29" s="17" t="inlineStr"/>
      <c r="E29" s="17" t="inlineStr"/>
    </row>
    <row r="30">
      <c r="A30" s="24" t="inlineStr">
        <is>
          <t>Superficie de catálogo (V5/V6)</t>
        </is>
      </c>
      <c r="B30" s="25" t="n">
        <v>100.51</v>
      </c>
      <c r="C30" s="25" t="inlineStr">
        <is>
          <t>—</t>
        </is>
      </c>
      <c r="D30" s="25" t="inlineStr">
        <is>
          <t>Desviación planimétrica frente al catálogo</t>
        </is>
      </c>
      <c r="E30" s="25" t="inlineStr">
        <is>
          <t>+0.05 %</t>
        </is>
      </c>
    </row>
    <row r="31"/>
    <row r="32" ht="108" customHeight="1">
      <c r="A32"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80 % frente a un 89.59 % del polígono clasificado como «Vegetación alta» por el NDVI 2025; la observación de campo corresponde a una parcela o recorrido puntual y no es estadísticamente representativa de las 100.510 ha del bloque.</t>
        </is>
      </c>
      <c r="B32" s="41" t="n"/>
      <c r="C32" s="41" t="n"/>
      <c r="D32" s="41" t="n"/>
      <c r="E32" s="42" t="n"/>
    </row>
  </sheetData>
  <mergeCells count="10">
    <mergeCell ref="A21:E21"/>
    <mergeCell ref="A4:E4"/>
    <mergeCell ref="A2:E2"/>
    <mergeCell ref="A1:E1"/>
    <mergeCell ref="A23:E23"/>
    <mergeCell ref="A32:E32"/>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7"/>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13</t>
        </is>
      </c>
    </row>
    <row r="6" ht="24" customHeight="1">
      <c r="A6" s="4" t="inlineStr">
        <is>
          <t>Levantamiento del 2026-06-10 · Sistema de referencia UTM WGS 84 Zona 17S (EPSG:32717)</t>
        </is>
      </c>
    </row>
    <row r="7"/>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5" t="inlineStr">
        <is>
          <t>Punto de muestreo declarado en ficha DT</t>
        </is>
      </c>
      <c r="C10" s="26" t="n">
        <v>619674</v>
      </c>
      <c r="D10" s="26" t="n">
        <v>9442224</v>
      </c>
      <c r="E10" s="15" t="n">
        <v>600.9</v>
      </c>
      <c r="F10" s="15" t="inlineStr"/>
      <c r="G10" s="15" t="inlineStr">
        <is>
          <t>Coordenada consignada en F-DT-01</t>
        </is>
      </c>
    </row>
    <row r="11">
      <c r="A11" s="13" t="inlineStr">
        <is>
          <t>H-01</t>
        </is>
      </c>
      <c r="B11" s="14" t="inlineStr">
        <is>
          <t>Fuente de agua — Manantial / Puquio</t>
        </is>
      </c>
      <c r="C11" s="27" t="n">
        <v>619674</v>
      </c>
      <c r="D11" s="27" t="n">
        <v>9442224</v>
      </c>
      <c r="E11" s="14" t="n">
        <v>600.9</v>
      </c>
      <c r="F11" s="14" t="inlineStr">
        <is>
          <t>Permanente</t>
        </is>
      </c>
      <c r="G11" s="14" t="inlineStr">
        <is>
          <t>Captación de concreto</t>
        </is>
      </c>
    </row>
    <row r="12">
      <c r="A12" s="7" t="inlineStr">
        <is>
          <t>H-02</t>
        </is>
      </c>
      <c r="B12" s="15" t="inlineStr">
        <is>
          <t>Fuente de agua — Quebrada permanente</t>
        </is>
      </c>
      <c r="C12" s="26" t="n">
        <v>619739</v>
      </c>
      <c r="D12" s="26" t="n">
        <v>9442286</v>
      </c>
      <c r="E12" s="15" t="n">
        <v>527.1</v>
      </c>
      <c r="F12" s="15" t="inlineStr">
        <is>
          <t>Permanente</t>
        </is>
      </c>
      <c r="G12" s="15" t="inlineStr">
        <is>
          <t>Cauce con caída de agua</t>
        </is>
      </c>
    </row>
    <row r="13">
      <c r="A13" s="13" t="inlineStr">
        <is>
          <t>H-03</t>
        </is>
      </c>
      <c r="B13" s="14" t="inlineStr">
        <is>
          <t>Fuente de agua — Quebrada permanente</t>
        </is>
      </c>
      <c r="C13" s="27" t="n">
        <v>619664</v>
      </c>
      <c r="D13" s="27" t="n">
        <v>9442222</v>
      </c>
      <c r="E13" s="14" t="n">
        <v>611.1</v>
      </c>
      <c r="F13" s="14" t="inlineStr">
        <is>
          <t>Permanente</t>
        </is>
      </c>
      <c r="G13" s="14" t="inlineStr">
        <is>
          <t>Riachuelo bajo dosel</t>
        </is>
      </c>
    </row>
    <row r="14">
      <c r="A14" s="7" t="inlineStr">
        <is>
          <t>H-04</t>
        </is>
      </c>
      <c r="B14" s="15" t="inlineStr">
        <is>
          <t>Fuente de agua — Manantial / Puquio</t>
        </is>
      </c>
      <c r="C14" s="26" t="n">
        <v>619650</v>
      </c>
      <c r="D14" s="26" t="n">
        <v>9442217</v>
      </c>
      <c r="E14" s="15" t="n">
        <v>625.8</v>
      </c>
      <c r="F14" s="15" t="inlineStr">
        <is>
          <t>Permanente</t>
        </is>
      </c>
      <c r="G14" s="15" t="inlineStr">
        <is>
          <t>Afloramiento con socavación</t>
        </is>
      </c>
    </row>
    <row r="15">
      <c r="A15" s="13" t="inlineStr">
        <is>
          <t>H-05</t>
        </is>
      </c>
      <c r="B15" s="14" t="inlineStr">
        <is>
          <t>Fuente de agua — Quebrada permanente</t>
        </is>
      </c>
      <c r="C15" s="27" t="n">
        <v>619300</v>
      </c>
      <c r="D15" s="27" t="n">
        <v>9442500</v>
      </c>
      <c r="E15" s="14" t="n">
        <v>975.7</v>
      </c>
      <c r="F15" s="14" t="inlineStr">
        <is>
          <t>Permanente</t>
        </is>
      </c>
      <c r="G15" s="14" t="inlineStr">
        <is>
          <t>Qda. Huacas – límite oeste</t>
        </is>
      </c>
    </row>
    <row r="16">
      <c r="A16" s="7" t="inlineStr">
        <is>
          <t>B-01</t>
        </is>
      </c>
      <c r="B16" s="15" t="inlineStr">
        <is>
          <t>Especie clave — Nogal (Juglans neotropica)</t>
        </is>
      </c>
      <c r="C16" s="26" t="n">
        <v>619674</v>
      </c>
      <c r="D16" s="26" t="n">
        <v>9442224</v>
      </c>
      <c r="E16" s="15" t="n">
        <v>600.9</v>
      </c>
      <c r="F16" s="15" t="inlineStr">
        <is>
          <t>Amenazada D.S. 043</t>
        </is>
      </c>
      <c r="G16" s="15" t="inlineStr">
        <is>
          <t>EN — En Peligro</t>
        </is>
      </c>
    </row>
    <row r="17">
      <c r="A17" s="13" t="inlineStr">
        <is>
          <t>B-02</t>
        </is>
      </c>
      <c r="B17" s="14" t="inlineStr">
        <is>
          <t>Especie clave — Diablo fuerte (Podocarpus sp.)</t>
        </is>
      </c>
      <c r="C17" s="27" t="n">
        <v>619739</v>
      </c>
      <c r="D17" s="27" t="n">
        <v>9442286</v>
      </c>
      <c r="E17" s="14" t="n">
        <v>527.1</v>
      </c>
      <c r="F17" s="14" t="inlineStr">
        <is>
          <t>Amenazada D.S. 043</t>
        </is>
      </c>
      <c r="G17" s="14" t="inlineStr">
        <is>
          <t>VU — Vulnerable</t>
        </is>
      </c>
    </row>
    <row r="18">
      <c r="A18" s="7" t="inlineStr">
        <is>
          <t>B-03</t>
        </is>
      </c>
      <c r="B18" s="15" t="inlineStr">
        <is>
          <t>Especie clave — Higuerón (Ficus sp.)</t>
        </is>
      </c>
      <c r="C18" s="26" t="n">
        <v>619664</v>
      </c>
      <c r="D18" s="26" t="n">
        <v>9442222</v>
      </c>
      <c r="E18" s="15" t="n">
        <v>611.1</v>
      </c>
      <c r="F18" s="15" t="inlineStr">
        <is>
          <t>Indicadora de buen estado</t>
        </is>
      </c>
      <c r="G18" s="15" t="inlineStr"/>
    </row>
    <row r="19">
      <c r="A19" s="13" t="inlineStr">
        <is>
          <t>B-04</t>
        </is>
      </c>
      <c r="B19" s="14" t="inlineStr">
        <is>
          <t>Especie clave — Tara (Caesalpinia spinosa)</t>
        </is>
      </c>
      <c r="C19" s="27" t="n">
        <v>619613</v>
      </c>
      <c r="D19" s="27" t="n">
        <v>9442274</v>
      </c>
      <c r="E19" s="14" t="n">
        <v>653.7</v>
      </c>
      <c r="F19" s="14" t="inlineStr">
        <is>
          <t>Clave cultural</t>
        </is>
      </c>
      <c r="G19" s="14" t="inlineStr"/>
    </row>
    <row r="20">
      <c r="A20" s="7" t="inlineStr">
        <is>
          <t>B-05</t>
        </is>
      </c>
      <c r="B20" s="15" t="inlineStr">
        <is>
          <t>Especie clave — Chirimoya silvestre (Annona sp.)</t>
        </is>
      </c>
      <c r="C20" s="26" t="n">
        <v>619663</v>
      </c>
      <c r="D20" s="26" t="n">
        <v>9442216</v>
      </c>
      <c r="E20" s="15" t="n">
        <v>613.3</v>
      </c>
      <c r="F20" s="15" t="inlineStr">
        <is>
          <t>Clave cultural</t>
        </is>
      </c>
      <c r="G20" s="15" t="inlineStr"/>
    </row>
    <row r="21">
      <c r="A21" s="13" t="inlineStr">
        <is>
          <t>B-06</t>
        </is>
      </c>
      <c r="B21" s="14" t="inlineStr">
        <is>
          <t>Especie clave — Eucalipto / Pino / Ciprés</t>
        </is>
      </c>
      <c r="C21" s="27" t="n">
        <v>619663</v>
      </c>
      <c r="D21" s="27" t="n">
        <v>9442216</v>
      </c>
      <c r="E21" s="14" t="n">
        <v>613.3</v>
      </c>
      <c r="F21" s="14" t="inlineStr">
        <is>
          <t>Indicadora de perturbación</t>
        </is>
      </c>
      <c r="G21" s="14" t="inlineStr"/>
    </row>
    <row r="22">
      <c r="A22" s="16" t="inlineStr">
        <is>
          <t>TOTAL: 12 puntos</t>
        </is>
      </c>
      <c r="B22" s="17" t="inlineStr"/>
      <c r="C22" s="17" t="inlineStr"/>
      <c r="D22" s="17" t="inlineStr"/>
      <c r="E22" s="17" t="inlineStr"/>
      <c r="F22" s="17" t="inlineStr"/>
      <c r="G22" s="17" t="inlineStr"/>
    </row>
    <row r="23"/>
    <row r="24">
      <c r="A24" s="6" t="inlineStr">
        <is>
          <t>Centroide del bloque — UTM ESTE (m)</t>
        </is>
      </c>
      <c r="B24" s="7" t="n">
        <v>620263</v>
      </c>
      <c r="C24" s="6" t="inlineStr">
        <is>
          <t>Centroide del bloque — UTM NORTE (m)</t>
        </is>
      </c>
      <c r="D24" s="7" t="n">
        <v>9442343</v>
      </c>
      <c r="E24" s="8" t="n"/>
      <c r="F24" s="8" t="n"/>
      <c r="G24" s="8" t="n"/>
      <c r="H24" s="8" t="n"/>
    </row>
    <row r="25">
      <c r="A25" s="6" t="inlineStr">
        <is>
          <t>N.° de estaciones fotográficas declaradas</t>
        </is>
      </c>
      <c r="B25" s="7" t="n">
        <v>15</v>
      </c>
      <c r="C25" s="6" t="inlineStr">
        <is>
          <t>Estaciones dentro del polígono</t>
        </is>
      </c>
      <c r="D25" s="7" t="inlineStr">
        <is>
          <t>Por determinar</t>
        </is>
      </c>
      <c r="E25" s="8" t="n"/>
      <c r="F25" s="8" t="n"/>
      <c r="G25" s="8" t="n"/>
      <c r="H25" s="8" t="n"/>
    </row>
    <row r="26"/>
    <row r="27" ht="96" customHeight="1">
      <c r="A27"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Las laderas superiores presentan fuerte pendiente (perfil de campo: media 41.4%, máx 78.4% sobre 1.28 km con desnivel de 545 m), lo que configura susceptibilidad latente a movimientos en masa pese a la buena cobertura actual. La cota varía de ~1580 msnm (Huacas) a &gt;2180 msnm en la cima.</t>
        </is>
      </c>
      <c r="B27" s="41" t="n"/>
      <c r="C27" s="41" t="n"/>
      <c r="D27" s="41" t="n"/>
      <c r="E27" s="41" t="n"/>
      <c r="F27" s="41" t="n"/>
      <c r="G27" s="42" t="n"/>
    </row>
  </sheetData>
  <mergeCells count="8">
    <mergeCell ref="A1:G1"/>
    <mergeCell ref="A27:G27"/>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7"/>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C1096-Q9564 — BLOQUE 13</t>
        </is>
      </c>
    </row>
    <row r="6" ht="24" customHeight="1">
      <c r="A6" s="4" t="inlineStr">
        <is>
          <t>Distrito de Santo Domingo · Provincia de Morropon · Comparación de los bloques preliminares de intervención de la misma microcuenca</t>
        </is>
      </c>
    </row>
    <row r="7"/>
    <row r="8" ht="18" customHeight="1">
      <c r="A8" s="5" t="inlineStr">
        <is>
          <t>BLOQUES DE LA MICROCUENCA C1096-Q9564</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11" t="inlineStr">
        <is>
          <t>► 13</t>
        </is>
      </c>
      <c r="B10" s="28" t="n">
        <v>100.51</v>
      </c>
      <c r="C10" s="29" t="n">
        <v>40.73</v>
      </c>
      <c r="D10" s="12" t="inlineStr">
        <is>
          <t>1649 – 2267</t>
        </is>
      </c>
      <c r="E10" s="12" t="n">
        <v>618</v>
      </c>
      <c r="F10" s="12" t="n">
        <v>28.99</v>
      </c>
      <c r="G10" s="30" t="n">
        <v>0.6711</v>
      </c>
      <c r="H10" s="29" t="n">
        <v>89.59</v>
      </c>
      <c r="I10" s="29" t="n">
        <v>5.21</v>
      </c>
    </row>
    <row r="11">
      <c r="A11" s="13" t="inlineStr">
        <is>
          <t>56</t>
        </is>
      </c>
      <c r="B11" s="31" t="n">
        <v>77.67</v>
      </c>
      <c r="C11" s="21" t="n">
        <v>31.48</v>
      </c>
      <c r="D11" s="14" t="inlineStr">
        <is>
          <t>2342 – 2770</t>
        </is>
      </c>
      <c r="E11" s="14" t="n">
        <v>428</v>
      </c>
      <c r="F11" s="14" t="n">
        <v>27.27</v>
      </c>
      <c r="G11" s="20" t="n">
        <v>0.6777</v>
      </c>
      <c r="H11" s="21" t="n">
        <v>94.90000000000001</v>
      </c>
      <c r="I11" s="21" t="n">
        <v>2.8</v>
      </c>
    </row>
    <row r="12">
      <c r="A12" s="7" t="inlineStr">
        <is>
          <t>39</t>
        </is>
      </c>
      <c r="B12" s="32" t="n">
        <v>68.56999999999999</v>
      </c>
      <c r="C12" s="19" t="n">
        <v>27.79</v>
      </c>
      <c r="D12" s="15" t="inlineStr">
        <is>
          <t>1729 – 2088</t>
        </is>
      </c>
      <c r="E12" s="15" t="n">
        <v>359</v>
      </c>
      <c r="F12" s="15" t="n">
        <v>22.51</v>
      </c>
      <c r="G12" s="18" t="n">
        <v>0.7016</v>
      </c>
      <c r="H12" s="19" t="n">
        <v>94.05</v>
      </c>
      <c r="I12" s="19" t="n">
        <v>3.84</v>
      </c>
    </row>
    <row r="13">
      <c r="A13" s="16" t="inlineStr">
        <is>
          <t>TOTAL / PROMEDIO</t>
        </is>
      </c>
      <c r="B13" s="33">
        <f>SUM(B10:B12)</f>
        <v>246.75</v>
      </c>
      <c r="C13" s="23">
        <f>SUM(C10:C12)</f>
        <v>100.0</v>
      </c>
      <c r="D13" s="17" t="inlineStr">
        <is>
          <t>1649 – 2770</t>
        </is>
      </c>
      <c r="E13" s="17" t="inlineStr"/>
      <c r="F13" s="17">
        <f>ROUND(AVERAGE(F10:F12),2)</f>
        <v>26.26</v>
      </c>
      <c r="G13" s="22">
        <f>ROUND(AVERAGE(G10:G12),4)</f>
        <v>0.6835</v>
      </c>
      <c r="H13" s="23">
        <f>ROUND(AVERAGE(H10:H12),2)</f>
        <v>92.85</v>
      </c>
      <c r="I13" s="23">
        <f>ROUND(AVERAGE(I10:I12),2)</f>
        <v>3.95</v>
      </c>
    </row>
    <row r="14"/>
    <row r="15" ht="84" customHeight="1">
      <c r="A15" s="9" t="inlineStr">
        <is>
          <t>LECTURA INTRAMICROCUENCA. El bloque 13 ocupa el puesto 1 de 3 por superficie dentro de la microcuenca C1096-Q9564 (40.73 % de las 246.75 ha preliminares de la microcuenca). Su pendiente promedio (28.99 %, clase «25-50% (Mod. escarpado)») es la 3.ª más baja de 3 y se sitúa por encima del promedio de la microcuenca (26.26 %). Su MSAVI 2024 (0.6711) es el 3.º de 3 y queda por debajo del promedio local (0.6835). Amplitud altitudinal del bloque: 618 m (1649–2267 msnm). El cuadro conserva todos los bloques catalogados en la microcuenca, incluidos los descartados en el tamizaje, para referencia del conjunto. Los bloques sin ficha DT figuran con sus parámetros de gabinete. BRECHA ESPECTRAL. El 5.21 % de la superficie del bloque (5.239 ha de 100.514 ha) se sitúa bajo el umbral MSAVI 0.4976, por encima del promedio local de la microcuenca (3.95 %) calculado sobre los bloques con dato MSAVI disponible.</t>
        </is>
      </c>
      <c r="B15" s="41" t="n"/>
      <c r="C15" s="41" t="n"/>
      <c r="D15" s="41" t="n"/>
      <c r="E15" s="41" t="n"/>
      <c r="F15" s="41" t="n"/>
      <c r="G15" s="41" t="n"/>
      <c r="H15" s="42" t="n"/>
    </row>
    <row r="16"/>
    <row r="17" ht="60" customHeight="1">
      <c r="A17"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17" s="41" t="n"/>
      <c r="C17" s="41" t="n"/>
      <c r="D17" s="41" t="n"/>
      <c r="E17" s="41" t="n"/>
      <c r="F17" s="41" t="n"/>
      <c r="G17" s="41" t="n"/>
      <c r="H17" s="42" t="n"/>
    </row>
  </sheetData>
  <mergeCells count="9">
    <mergeCell ref="A1:I1"/>
    <mergeCell ref="A4:I4"/>
    <mergeCell ref="A3:I3"/>
    <mergeCell ref="A15:I15"/>
    <mergeCell ref="A2:I2"/>
    <mergeCell ref="A5:I5"/>
    <mergeCell ref="A8:I8"/>
    <mergeCell ref="A6:I6"/>
    <mergeCell ref="A17:I1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3"/>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13</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«C1096-Q9564»</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601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(100.558 ha) coincide con la de catálogo (100.51 ha) dentro del ±2 % (+0.05 %)</t>
        </is>
      </c>
      <c r="D12" s="35" t="inlineStr">
        <is>
          <t>CONFORME</t>
        </is>
      </c>
      <c r="E12" s="34" t="inlineStr">
        <is>
          <t>Sin acción: la segmentación valida la geometría del bloque.</t>
        </is>
      </c>
    </row>
    <row r="13" ht="48" customHeight="1">
      <c r="A13" s="36" t="inlineStr">
        <is>
          <t>D-04</t>
        </is>
      </c>
      <c r="B13" s="36" t="inlineStr">
        <is>
          <t>Cobertura vegetal total</t>
        </is>
      </c>
      <c r="C13" s="36" t="inlineStr">
        <is>
          <t>La ficha DT estima 80 % de cobertura vegetal en campo; el NDVI mediana 2025 clasifica 99.99 % del polígono en clases de vegetación</t>
        </is>
      </c>
      <c r="D13" s="12" t="inlineStr">
        <is>
          <t>NO SUSTANTIVA</t>
        </is>
      </c>
      <c r="E13" s="36" t="inlineStr">
        <is>
          <t>Se declaran ambos valores. La observación de campo corresponde a una parcela o recorrido puntual y no es representativa de la totalidad del bloque; el índice espectral no discrimina composición ni integridad ecosistémica.</t>
        </is>
      </c>
    </row>
    <row r="14" ht="48" customHeight="1">
      <c r="A14" s="34" t="inlineStr">
        <is>
          <t>D-05</t>
        </is>
      </c>
      <c r="B14" s="34" t="inlineStr">
        <is>
          <t>Centro poblado asociado</t>
        </is>
      </c>
      <c r="C14" s="34" t="inlineStr">
        <is>
          <t>La ficha DT declara «Huacas»; el cruce INEI-Bloques V5 identifica 1 centro(s) poblado(s) en el bloque: HUACAS</t>
        </is>
      </c>
      <c r="D14" s="35" t="inlineStr">
        <is>
          <t>CONFORME</t>
        </is>
      </c>
      <c r="E14" s="34" t="inlineStr">
        <is>
          <t>Se conserva el registro de campo como referencia y se adopta el listado INEI para el diagnóstico social y el cálculo de población beneficiaria.</t>
        </is>
      </c>
    </row>
    <row r="15" ht="48" customHeight="1">
      <c r="A15" s="36" t="inlineStr">
        <is>
          <t>D-06</t>
        </is>
      </c>
      <c r="B15" s="36" t="inlineStr">
        <is>
          <t>Peligro integrado (MCA-AHP)</t>
        </is>
      </c>
      <c r="C15" s="36" t="inlineStr">
        <is>
          <t>El nivel de peligro integrado no está disponible en los insumos de este entregable</t>
        </is>
      </c>
      <c r="D15" s="37" t="inlineStr">
        <is>
          <t>SUSTANTIVA</t>
        </is>
      </c>
      <c r="E15" s="36" t="inlineStr">
        <is>
          <t>Debe tomarse del modelamiento de mesolocalización (PMM + EPH + PGI ponderados por AHP) antes de fijar la prioridad definitiva de intervención del bloque.</t>
        </is>
      </c>
    </row>
    <row r="16" ht="48" customHeight="1">
      <c r="A16" s="36" t="inlineStr">
        <is>
          <t>D-07</t>
        </is>
      </c>
      <c r="B16" s="36" t="inlineStr">
        <is>
          <t>Distribución areal MSAVI 2024</t>
        </is>
      </c>
      <c r="C16" s="36" t="inlineStr">
        <is>
          <t>La distribución por clase de MSAVI no figuraba en los insumos del entregable y se consignaba «Por determinar»; se incorpora la estadística zonal del ráster MSAVI clasificado (191 polígonos, 100.514 ha)</t>
        </is>
      </c>
      <c r="D16" s="37" t="inlineStr">
        <is>
          <t>CORREGIDO</t>
        </is>
      </c>
      <c r="E16" s="36"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17" ht="48" customHeight="1">
      <c r="A17" s="36" t="inlineStr">
        <is>
          <t>D-08</t>
        </is>
      </c>
      <c r="B17" s="36" t="inlineStr">
        <is>
          <t>Superficie MSAVI vs. catálogo</t>
        </is>
      </c>
      <c r="C17" s="36" t="inlineStr">
        <is>
          <t>La superficie total clasificada por el MSAVI 2024 (100.514 ha) frente a la de catálogo V5/V6 (100.510 ha): desviación de +0.00 %</t>
        </is>
      </c>
      <c r="D17" s="37" t="inlineStr">
        <is>
          <t>CONFORME</t>
        </is>
      </c>
      <c r="E17" s="36" t="inlineStr">
        <is>
          <t>Sin acción: la segmentación del ráster valida la geometría del bloque dentro del ±2 %.</t>
        </is>
      </c>
    </row>
    <row r="18" ht="48" customHeight="1">
      <c r="A18" s="36" t="inlineStr">
        <is>
          <t>D-09</t>
        </is>
      </c>
      <c r="B18" s="36" t="inlineStr">
        <is>
          <t>Media MSAVI vs. clase DN dominante</t>
        </is>
      </c>
      <c r="C18" s="36" t="inlineStr">
        <is>
          <t>La media del bloque (0.6711) cae en la clase «DN 5 · &gt; 0.6139 (Vigor alto)»; la clase de mayor superficie es «DN 5 · &gt; 0.6139 (Vigor alto)», con 70.89 % del bloque. Superficie bajo el umbral 0.4976: 5.239 ha (5.21 %)</t>
        </is>
      </c>
      <c r="D18" s="37" t="inlineStr">
        <is>
          <t>CONFORME</t>
        </is>
      </c>
      <c r="E18" s="36" t="inlineStr">
        <is>
          <t>Sin acción: la media del bloque y la clase de mayor superficie coinciden.</t>
        </is>
      </c>
    </row>
    <row r="19" ht="48" customHeight="1">
      <c r="A19" s="34" t="inlineStr">
        <is>
          <t>C-01</t>
        </is>
      </c>
      <c r="B19" s="34" t="inlineStr">
        <is>
          <t>Duplicidad de fichas en el archivo DT</t>
        </is>
      </c>
      <c r="C19" s="34" t="inlineStr">
        <is>
          <t>El PDF del bloque 13 contiene DOS juegos completos de fichas F-DT: el JUEGO 1 (26-06-2026) corresponde en realidad al bloque 3 (microcuenca C1096-Q9545, C.P. Huayabal, correlativo DT-B3-2026, área 459.29 ha); el JUEGO 2 (10-06-2026, correlativo DT-B13-01) es el del bloque 13</t>
        </is>
      </c>
      <c r="D19" s="37" t="inlineStr">
        <is>
          <t>SUSTANTIVA</t>
        </is>
      </c>
      <c r="E19" s="34" t="inlineStr">
        <is>
          <t>Se adopta íntegramente el JUEGO 2. El JUEGO 1 debe retirarse del expediente del bloque 13 por corresponder a otro bloque</t>
        </is>
      </c>
    </row>
    <row r="20"/>
    <row r="21">
      <c r="A21" s="16" t="inlineStr">
        <is>
          <t>RESUMEN</t>
        </is>
      </c>
      <c r="B21" s="17" t="inlineStr">
        <is>
          <t>10 verificaciones</t>
        </is>
      </c>
      <c r="C21" s="17" t="inlineStr">
        <is>
          <t>CONFORME: 6 · CORREGIDO: 1 · NO SUSTANTIVA: 1 · SUSTANTIVA: 2</t>
        </is>
      </c>
      <c r="D21" s="17" t="inlineStr"/>
      <c r="E21" s="17" t="inlineStr"/>
    </row>
    <row r="22"/>
    <row r="23" ht="60" customHeight="1">
      <c r="A23"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23" s="41" t="n"/>
      <c r="C23" s="41" t="n"/>
      <c r="D23" s="41" t="n"/>
      <c r="E23" s="42" t="n"/>
    </row>
  </sheetData>
  <mergeCells count="8">
    <mergeCell ref="A4:E4"/>
    <mergeCell ref="A2:E2"/>
    <mergeCell ref="A5:E5"/>
    <mergeCell ref="A1:E1"/>
    <mergeCell ref="A23:E23"/>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13 — IN Piura</dc:title>
  <dc:subject>Diagnóstico Territorial por bloque de intervención</dc:subject>
  <dcterms:created xsi:type="dcterms:W3CDTF">2026-09-08T03:39:55Z</dcterms:created>
  <dcterms:modified xsi:type="dcterms:W3CDTF">2026-09-10T00:28:26Z</dcterms:modified>
</cp:coreProperties>
</file>