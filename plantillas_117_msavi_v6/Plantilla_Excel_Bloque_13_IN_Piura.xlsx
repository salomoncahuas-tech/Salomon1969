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13</t>
        </is>
      </c>
      <c r="C9" s="6" t="inlineStr">
        <is>
          <t>Microcuenca (catálogo)</t>
        </is>
      </c>
      <c r="D9" s="7" t="inlineStr">
        <is>
          <t>C1096-Q9564</t>
        </is>
      </c>
      <c r="E9" s="8" t="n"/>
      <c r="F9" s="8" t="n"/>
    </row>
    <row r="10">
      <c r="A10" s="6" t="inlineStr">
        <is>
          <t>Zona de planificación</t>
        </is>
      </c>
      <c r="B10" s="7" t="inlineStr">
        <is>
          <t>Z03</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Huacas</t>
        </is>
      </c>
      <c r="C13" s="6" t="inlineStr">
        <is>
          <t>Comunidad campesina</t>
        </is>
      </c>
      <c r="D13" s="7" t="inlineStr">
        <is>
          <t>No aplica – Tierras del Estado bajo administración del GORE Piura</t>
        </is>
      </c>
      <c r="E13" s="8" t="n"/>
      <c r="F13" s="8" t="n"/>
    </row>
    <row r="14">
      <c r="A14" s="6" t="inlineStr">
        <is>
          <t>Superficie de catálogo (V5/V6), ha</t>
        </is>
      </c>
      <c r="B14" s="7" t="n">
        <v>100.51</v>
      </c>
      <c r="C14" s="6" t="inlineStr">
        <is>
          <t>Fuente de superficie</t>
        </is>
      </c>
      <c r="D14" s="7" t="inlineStr">
        <is>
          <t>Catálogo maestro Bloques V5/V6</t>
        </is>
      </c>
      <c r="E14" s="8" t="n"/>
      <c r="F14" s="8" t="n"/>
    </row>
    <row r="15">
      <c r="A15" s="6" t="inlineStr">
        <is>
          <t>Centroide UTM ESTE (m)</t>
        </is>
      </c>
      <c r="B15" s="7" t="n">
        <v>620263</v>
      </c>
      <c r="C15" s="6" t="inlineStr">
        <is>
          <t>Centroide UTM NORTE (m)</t>
        </is>
      </c>
      <c r="D15" s="7" t="n">
        <v>9442343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1649</v>
      </c>
      <c r="C19" s="6" t="inlineStr">
        <is>
          <t>Altitud máxima (msnm)</t>
        </is>
      </c>
      <c r="D19" s="7" t="n">
        <v>2267</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28.99</v>
      </c>
      <c r="C21" s="6" t="inlineStr">
        <is>
          <t>Pendiente promedio (grados)</t>
        </is>
      </c>
      <c r="D21" s="7" t="n">
        <v>16.2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0.6711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(89.59 %)</t>
        </is>
      </c>
      <c r="E29" s="8" t="n"/>
      <c r="F29" s="8" t="n"/>
    </row>
    <row r="30">
      <c r="A30" s="6" t="inlineStr">
        <is>
          <t>Superficie clasificada NDVI 2025 (ha)</t>
        </is>
      </c>
      <c r="B30" s="7" t="n">
        <v>100.558</v>
      </c>
      <c r="C30" s="6" t="inlineStr">
        <is>
          <t>Desviación frente al catálogo (%)</t>
        </is>
      </c>
      <c r="D30" s="7" t="n">
        <v>0.05</v>
      </c>
      <c r="E30" s="8" t="n"/>
      <c r="F30" s="8" t="n"/>
    </row>
    <row r="31">
      <c r="A31" s="6" t="inlineStr">
        <is>
          <t>Superficie clasificada MSAVI 2024 (ha)</t>
        </is>
      </c>
      <c r="B31" s="38" t="n">
        <v>100.514</v>
      </c>
      <c r="C31" s="6" t="inlineStr">
        <is>
          <t>Desviación MSAVI frente al catálogo (%)</t>
        </is>
      </c>
      <c r="D31" s="39" t="n">
        <v>0</v>
      </c>
      <c r="E31" s="8" t="n"/>
      <c r="F31" s="8" t="n"/>
    </row>
    <row r="32">
      <c r="A32" s="6" t="inlineStr">
        <is>
          <t>Superficie bajo umbral MSAVI 0.4976 (ha)</t>
        </is>
      </c>
      <c r="B32" s="38" t="n">
        <v>5.239</v>
      </c>
      <c r="C32" s="6" t="inlineStr">
        <is>
          <t>% del bloque bajo umbral (brecha espectral)</t>
        </is>
      </c>
      <c r="D32" s="39" t="n">
        <v>5.21</v>
      </c>
      <c r="E32" s="8" t="n"/>
      <c r="F32" s="8" t="n"/>
    </row>
    <row r="33">
      <c r="A33" s="6" t="inlineStr">
        <is>
          <t>Clase DN dominante (MSAVI 2024)</t>
        </is>
      </c>
      <c r="B33" s="7" t="inlineStr">
        <is>
          <t>DN 5 · &gt; 0.6139 (Vigor alto)</t>
        </is>
      </c>
      <c r="C33" s="6" t="inlineStr">
        <is>
          <t>N.° de polígonos MSAVI del bloque</t>
        </is>
      </c>
      <c r="D33" s="40" t="n">
        <v>191</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60.35 ha (mosaico: BMVO 26.22 ha + Matorral andino 60.35 ha + Zona agrícola 13.94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 / Ing. Juan Carlos Domínguez Varas (ANIN-DIME-SESDI)</t>
        </is>
      </c>
      <c r="C44" s="6" t="inlineStr">
        <is>
          <t>Fecha de evaluación</t>
        </is>
      </c>
      <c r="D44" s="7" t="inlineStr">
        <is>
          <t>2026-06-10</t>
        </is>
      </c>
      <c r="E44" s="8" t="n"/>
      <c r="F44" s="8" t="n"/>
    </row>
    <row r="45">
      <c r="A45" s="6" t="inlineStr">
        <is>
          <t>Hora de registro</t>
        </is>
      </c>
      <c r="B45" s="7" t="inlineStr">
        <is>
          <t>01:17 p.m.</t>
        </is>
      </c>
      <c r="C45" s="6" t="inlineStr">
        <is>
          <t>Correlativo de ficha</t>
        </is>
      </c>
      <c r="D45" s="7" t="inlineStr">
        <is>
          <t>DT-B13-01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(ladera media, sector de pastizal-matorral con relictos)</t>
        </is>
      </c>
      <c r="E47" s="8" t="n"/>
      <c r="F47" s="8" t="n"/>
    </row>
    <row r="48">
      <c r="A48" s="6" t="inlineStr">
        <is>
          <t>Estaciones fotográficas georreferenciadas</t>
        </is>
      </c>
      <c r="B48" s="7" t="n">
        <v>15</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(ganadería y agricultura de ladera) sin ordenamiento territorial ni manejo del ecosistema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71.2564</v>
      </c>
      <c r="C10" s="29">
        <f>ROUND(B10/$B$15*100,2)</f>
        <v/>
      </c>
      <c r="D10" s="12" t="inlineStr">
        <is>
          <t>Vigor alto</t>
        </is>
      </c>
      <c r="E10" s="12" t="inlineStr">
        <is>
          <t>Sobre umbral</t>
        </is>
      </c>
    </row>
    <row r="11">
      <c r="A11" s="13" t="inlineStr">
        <is>
          <t>0.4976 - 0.6139 · DN 4</t>
        </is>
      </c>
      <c r="B11" s="20" t="n">
        <v>24.0178</v>
      </c>
      <c r="C11" s="21">
        <f>ROUND(B11/$B$15*100,2)</f>
        <v/>
      </c>
      <c r="D11" s="14" t="inlineStr">
        <is>
          <t>Vigor moderado</t>
        </is>
      </c>
      <c r="E11" s="14" t="inlineStr">
        <is>
          <t>Sobre umbral</t>
        </is>
      </c>
    </row>
    <row r="12">
      <c r="A12" s="7" t="inlineStr">
        <is>
          <t>0.3813 - 0.4976 · DN 3</t>
        </is>
      </c>
      <c r="B12" s="18" t="n">
        <v>5.2394</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191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100.51</v>
      </c>
      <c r="C18" s="49" t="inlineStr">
        <is>
          <t>—</t>
        </is>
      </c>
      <c r="D18" s="46" t="inlineStr">
        <is>
          <t>Desviación planimétrica frente al catálogo</t>
        </is>
      </c>
      <c r="E18" s="46" t="inlineStr">
        <is>
          <t>+0.00 %</t>
        </is>
      </c>
    </row>
    <row r="19">
      <c r="A19" s="16" t="inlineStr">
        <is>
          <t>MSAVI 2024 — MEDIA DEL BLOQUE</t>
        </is>
      </c>
      <c r="B19" s="17" t="n">
        <v>0.671094</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(0.6711)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90.09059999999999</v>
      </c>
      <c r="C25" s="19" t="n">
        <v>89.59</v>
      </c>
      <c r="D25" s="15" t="inlineStr">
        <is>
          <t>Dosel continuo, matorral denso o mosaico agroforestal</t>
        </is>
      </c>
      <c r="E25" s="15" t="inlineStr"/>
    </row>
    <row r="26">
      <c r="A26" s="13" t="inlineStr">
        <is>
          <t>Vegetación mediana</t>
        </is>
      </c>
      <c r="B26" s="20" t="n">
        <v>10.1507</v>
      </c>
      <c r="C26" s="21" t="n">
        <v>10.09</v>
      </c>
      <c r="D26" s="14" t="inlineStr">
        <is>
          <t>Pastizal cultivado, matorral ralo, parcelas agrícolas</t>
        </is>
      </c>
      <c r="E26" s="14" t="inlineStr"/>
    </row>
    <row r="27">
      <c r="A27" s="7" t="inlineStr">
        <is>
          <t>Vegetación ligera</t>
        </is>
      </c>
      <c r="B27" s="18" t="n">
        <v>0.3068</v>
      </c>
      <c r="C27" s="19" t="n">
        <v>0.31</v>
      </c>
      <c r="D27" s="15" t="inlineStr">
        <is>
          <t>Cobertura discontinua, suelo parcialmente expuesto</t>
        </is>
      </c>
      <c r="E27" s="15" t="inlineStr"/>
    </row>
    <row r="28">
      <c r="A28" s="13" t="inlineStr">
        <is>
          <t>Tierra desnuda</t>
        </is>
      </c>
      <c r="B28" s="20" t="n">
        <v>0.009900000000000001</v>
      </c>
      <c r="C28" s="21" t="n">
        <v>0.01</v>
      </c>
      <c r="D28" s="14" t="inlineStr">
        <is>
          <t>Suelo desnudo, afloramientos, plataformas y taludes</t>
        </is>
      </c>
      <c r="E28" s="14" t="inlineStr"/>
    </row>
    <row r="29">
      <c r="A29" s="16" t="inlineStr">
        <is>
          <t>TOTAL CLASIFICADO</t>
        </is>
      </c>
      <c r="B29" s="22">
        <f>SUM(B25:B28)</f>
        <v/>
      </c>
      <c r="C29" s="23">
        <f>SUM(C25:C28)</f>
        <v/>
      </c>
      <c r="D29" s="17" t="inlineStr"/>
      <c r="E29" s="17" t="inlineStr"/>
    </row>
    <row r="30">
      <c r="A30" s="24" t="inlineStr">
        <is>
          <t>Superficie de catálogo (V5/V6)</t>
        </is>
      </c>
      <c r="B30" s="25" t="n">
        <v>100.51</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89.59 % del polígono clasificado como «Vegetación alta» por el NDVI 2025; la observación de campo corresponde a una parcela o recorrido puntual y no es estadísticamente representativa de las 100.510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13</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619674</v>
      </c>
      <c r="D10" s="26" t="n">
        <v>9442224</v>
      </c>
      <c r="E10" s="15" t="n">
        <v>600.9</v>
      </c>
      <c r="F10" s="15" t="inlineStr"/>
      <c r="G10" s="15" t="inlineStr">
        <is>
          <t>Coordenada consignada en F-DT-01</t>
        </is>
      </c>
    </row>
    <row r="11">
      <c r="A11" s="13" t="inlineStr">
        <is>
          <t>H-01</t>
        </is>
      </c>
      <c r="B11" s="14" t="inlineStr">
        <is>
          <t>Fuente de agua — Manantial / Puquio</t>
        </is>
      </c>
      <c r="C11" s="27" t="n">
        <v>619674</v>
      </c>
      <c r="D11" s="27" t="n">
        <v>9442224</v>
      </c>
      <c r="E11" s="14" t="n">
        <v>600.9</v>
      </c>
      <c r="F11" s="14" t="inlineStr">
        <is>
          <t>Permanente</t>
        </is>
      </c>
      <c r="G11" s="14" t="inlineStr">
        <is>
          <t>Captación de concreto</t>
        </is>
      </c>
    </row>
    <row r="12">
      <c r="A12" s="7" t="inlineStr">
        <is>
          <t>H-02</t>
        </is>
      </c>
      <c r="B12" s="15" t="inlineStr">
        <is>
          <t>Fuente de agua — Quebrada permanente</t>
        </is>
      </c>
      <c r="C12" s="26" t="n">
        <v>619739</v>
      </c>
      <c r="D12" s="26" t="n">
        <v>9442286</v>
      </c>
      <c r="E12" s="15" t="n">
        <v>527.1</v>
      </c>
      <c r="F12" s="15" t="inlineStr">
        <is>
          <t>Permanente</t>
        </is>
      </c>
      <c r="G12" s="15" t="inlineStr">
        <is>
          <t>Cauce con caída de agua</t>
        </is>
      </c>
    </row>
    <row r="13">
      <c r="A13" s="13" t="inlineStr">
        <is>
          <t>H-03</t>
        </is>
      </c>
      <c r="B13" s="14" t="inlineStr">
        <is>
          <t>Fuente de agua — Quebrada permanente</t>
        </is>
      </c>
      <c r="C13" s="27" t="n">
        <v>619664</v>
      </c>
      <c r="D13" s="27" t="n">
        <v>9442222</v>
      </c>
      <c r="E13" s="14" t="n">
        <v>611.1</v>
      </c>
      <c r="F13" s="14" t="inlineStr">
        <is>
          <t>Permanente</t>
        </is>
      </c>
      <c r="G13" s="14" t="inlineStr">
        <is>
          <t>Riachuelo bajo dosel</t>
        </is>
      </c>
    </row>
    <row r="14">
      <c r="A14" s="7" t="inlineStr">
        <is>
          <t>H-04</t>
        </is>
      </c>
      <c r="B14" s="15" t="inlineStr">
        <is>
          <t>Fuente de agua — Manantial / Puquio</t>
        </is>
      </c>
      <c r="C14" s="26" t="n">
        <v>619650</v>
      </c>
      <c r="D14" s="26" t="n">
        <v>9442217</v>
      </c>
      <c r="E14" s="15" t="n">
        <v>625.8</v>
      </c>
      <c r="F14" s="15" t="inlineStr">
        <is>
          <t>Permanente</t>
        </is>
      </c>
      <c r="G14" s="15" t="inlineStr">
        <is>
          <t>Afloramiento con socavación</t>
        </is>
      </c>
    </row>
    <row r="15">
      <c r="A15" s="13" t="inlineStr">
        <is>
          <t>H-05</t>
        </is>
      </c>
      <c r="B15" s="14" t="inlineStr">
        <is>
          <t>Fuente de agua — Quebrada permanente</t>
        </is>
      </c>
      <c r="C15" s="27" t="n">
        <v>619300</v>
      </c>
      <c r="D15" s="27" t="n">
        <v>9442500</v>
      </c>
      <c r="E15" s="14" t="n">
        <v>975.7</v>
      </c>
      <c r="F15" s="14" t="inlineStr">
        <is>
          <t>Permanente</t>
        </is>
      </c>
      <c r="G15" s="14" t="inlineStr">
        <is>
          <t>Qda. Huacas – límite oeste</t>
        </is>
      </c>
    </row>
    <row r="16">
      <c r="A16" s="7" t="inlineStr">
        <is>
          <t>B-01</t>
        </is>
      </c>
      <c r="B16" s="15" t="inlineStr">
        <is>
          <t>Especie clave — Nogal (Juglans neotropica)</t>
        </is>
      </c>
      <c r="C16" s="26" t="n">
        <v>619674</v>
      </c>
      <c r="D16" s="26" t="n">
        <v>9442224</v>
      </c>
      <c r="E16" s="15" t="n">
        <v>600.9</v>
      </c>
      <c r="F16" s="15" t="inlineStr">
        <is>
          <t>Amenazada D.S. 043</t>
        </is>
      </c>
      <c r="G16" s="15" t="inlineStr">
        <is>
          <t>EN — En Peligro</t>
        </is>
      </c>
    </row>
    <row r="17">
      <c r="A17" s="13" t="inlineStr">
        <is>
          <t>B-02</t>
        </is>
      </c>
      <c r="B17" s="14" t="inlineStr">
        <is>
          <t>Especie clave — Diablo fuerte (Podocarpus sp.)</t>
        </is>
      </c>
      <c r="C17" s="27" t="n">
        <v>619739</v>
      </c>
      <c r="D17" s="27" t="n">
        <v>9442286</v>
      </c>
      <c r="E17" s="14" t="n">
        <v>527.1</v>
      </c>
      <c r="F17" s="14" t="inlineStr">
        <is>
          <t>Amenazada D.S. 043</t>
        </is>
      </c>
      <c r="G17" s="14" t="inlineStr">
        <is>
          <t>VU — Vulnerable</t>
        </is>
      </c>
    </row>
    <row r="18">
      <c r="A18" s="7" t="inlineStr">
        <is>
          <t>B-03</t>
        </is>
      </c>
      <c r="B18" s="15" t="inlineStr">
        <is>
          <t>Especie clave — Higuerón (Ficus sp.)</t>
        </is>
      </c>
      <c r="C18" s="26" t="n">
        <v>619664</v>
      </c>
      <c r="D18" s="26" t="n">
        <v>9442222</v>
      </c>
      <c r="E18" s="15" t="n">
        <v>611.1</v>
      </c>
      <c r="F18" s="15" t="inlineStr">
        <is>
          <t>Indicadora de buen estado</t>
        </is>
      </c>
      <c r="G18" s="15" t="inlineStr"/>
    </row>
    <row r="19">
      <c r="A19" s="13" t="inlineStr">
        <is>
          <t>B-04</t>
        </is>
      </c>
      <c r="B19" s="14" t="inlineStr">
        <is>
          <t>Especie clave — Tara (Caesalpinia spinosa)</t>
        </is>
      </c>
      <c r="C19" s="27" t="n">
        <v>619613</v>
      </c>
      <c r="D19" s="27" t="n">
        <v>9442274</v>
      </c>
      <c r="E19" s="14" t="n">
        <v>653.7</v>
      </c>
      <c r="F19" s="14" t="inlineStr">
        <is>
          <t>Clave cultural</t>
        </is>
      </c>
      <c r="G19" s="14" t="inlineStr"/>
    </row>
    <row r="20">
      <c r="A20" s="7" t="inlineStr">
        <is>
          <t>B-05</t>
        </is>
      </c>
      <c r="B20" s="15" t="inlineStr">
        <is>
          <t>Especie clave — Chirimoya silvestre (Annona sp.)</t>
        </is>
      </c>
      <c r="C20" s="26" t="n">
        <v>619663</v>
      </c>
      <c r="D20" s="26" t="n">
        <v>9442216</v>
      </c>
      <c r="E20" s="15" t="n">
        <v>613.3</v>
      </c>
      <c r="F20" s="15" t="inlineStr">
        <is>
          <t>Clave cultural</t>
        </is>
      </c>
      <c r="G20" s="15" t="inlineStr"/>
    </row>
    <row r="21">
      <c r="A21" s="13" t="inlineStr">
        <is>
          <t>B-06</t>
        </is>
      </c>
      <c r="B21" s="14" t="inlineStr">
        <is>
          <t>Especie clave — Eucalipto / Pino / Ciprés</t>
        </is>
      </c>
      <c r="C21" s="27" t="n">
        <v>619663</v>
      </c>
      <c r="D21" s="27" t="n">
        <v>9442216</v>
      </c>
      <c r="E21" s="14" t="n">
        <v>613.3</v>
      </c>
      <c r="F21" s="14" t="inlineStr">
        <is>
          <t>Indicadora de perturbación</t>
        </is>
      </c>
      <c r="G21" s="14" t="inlineStr"/>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620263</v>
      </c>
      <c r="C24" s="6" t="inlineStr">
        <is>
          <t>Centroide del bloque — UTM NORTE (m)</t>
        </is>
      </c>
      <c r="D24" s="7" t="n">
        <v>9442343</v>
      </c>
      <c r="E24" s="8" t="n"/>
      <c r="F24" s="8" t="n"/>
      <c r="G24" s="8" t="n"/>
      <c r="H24" s="8" t="n"/>
    </row>
    <row r="25">
      <c r="A25" s="6" t="inlineStr">
        <is>
          <t>N.° de estaciones fotográficas declaradas</t>
        </is>
      </c>
      <c r="B25" s="7" t="n">
        <v>15</v>
      </c>
      <c r="C25" s="6" t="inlineStr">
        <is>
          <t>Estaciones dentro del polígono</t>
        </is>
      </c>
      <c r="D25" s="7" t="inlineStr">
        <is>
          <t>Por determinar</t>
        </is>
      </c>
      <c r="E25" s="8" t="n"/>
      <c r="F25" s="8" t="n"/>
      <c r="G25" s="8" t="n"/>
      <c r="H25" s="8" t="n"/>
    </row>
    <row r="27" ht="96"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laderas superiores presentan fuerte pendiente (perfil de campo: media 41.4%, máx 78.4% sobre 1.28 km con desnivel de 545 m), lo que configura susceptibilidad latente a movimientos en masa pese a la buena cobertura actual. La cota varía de ~1580 msnm (Huacas) a &gt;2180 msnm en la cima.</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13</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13</t>
        </is>
      </c>
      <c r="B10" s="28" t="n">
        <v>100.51</v>
      </c>
      <c r="C10" s="29" t="n">
        <v>40.73</v>
      </c>
      <c r="D10" s="12" t="inlineStr">
        <is>
          <t>1649 – 2267</t>
        </is>
      </c>
      <c r="E10" s="12" t="n">
        <v>618</v>
      </c>
      <c r="F10" s="12" t="n">
        <v>28.99</v>
      </c>
      <c r="G10" s="30" t="n">
        <v>0.6711</v>
      </c>
      <c r="H10" s="29" t="n">
        <v>89.59</v>
      </c>
      <c r="I10" s="29" t="n">
        <v>5.21</v>
      </c>
    </row>
    <row r="11">
      <c r="A11" s="13" t="inlineStr">
        <is>
          <t>56</t>
        </is>
      </c>
      <c r="B11" s="31" t="n">
        <v>77.67</v>
      </c>
      <c r="C11" s="21" t="n">
        <v>31.48</v>
      </c>
      <c r="D11" s="14" t="inlineStr">
        <is>
          <t>2342 – 2770</t>
        </is>
      </c>
      <c r="E11" s="14" t="n">
        <v>428</v>
      </c>
      <c r="F11" s="14" t="n">
        <v>27.27</v>
      </c>
      <c r="G11" s="20" t="n">
        <v>0.6777</v>
      </c>
      <c r="H11" s="21" t="n">
        <v>94.90000000000001</v>
      </c>
      <c r="I11" s="21" t="n">
        <v>2.8</v>
      </c>
    </row>
    <row r="12">
      <c r="A12" s="7" t="inlineStr">
        <is>
          <t>39</t>
        </is>
      </c>
      <c r="B12" s="32" t="n">
        <v>68.56999999999999</v>
      </c>
      <c r="C12" s="19" t="n">
        <v>27.79</v>
      </c>
      <c r="D12" s="15" t="inlineStr">
        <is>
          <t>1729 – 2088</t>
        </is>
      </c>
      <c r="E12" s="15" t="n">
        <v>359</v>
      </c>
      <c r="F12" s="15" t="n">
        <v>22.51</v>
      </c>
      <c r="G12" s="18" t="n">
        <v>0.7016</v>
      </c>
      <c r="H12" s="19" t="n">
        <v>94.05</v>
      </c>
      <c r="I12" s="19" t="n">
        <v>3.84</v>
      </c>
    </row>
    <row r="13">
      <c r="A13" s="16" t="inlineStr">
        <is>
          <t>TOTAL / PROMEDIO</t>
        </is>
      </c>
      <c r="B13" s="33">
        <f>SUM(B10:B12)</f>
        <v/>
      </c>
      <c r="C13" s="23">
        <f>SUM(C10:C12)</f>
        <v/>
      </c>
      <c r="D13" s="17" t="inlineStr">
        <is>
          <t>1649 – 2770</t>
        </is>
      </c>
      <c r="E13" s="17" t="inlineStr"/>
      <c r="F13" s="17">
        <f>ROUND(AVERAGE(F10:F12),2)</f>
        <v/>
      </c>
      <c r="G13" s="22">
        <f>ROUND(AVERAGE(G10:G12),4)</f>
        <v/>
      </c>
      <c r="H13" s="23">
        <f>ROUND(AVERAGE(H10:H12),2)</f>
        <v/>
      </c>
      <c r="I13" s="23">
        <f>ROUND(AVERAGE(I10:I12),2)</f>
        <v/>
      </c>
    </row>
    <row r="14"/>
    <row r="15" ht="84" customHeight="1">
      <c r="A15" s="9" t="inlineStr">
        <is>
          <t>LECTURA INTRAMICROCUENCA. El bloque 13 ocupa el puesto 1 de 3 por superficie dentro de la microcuenca C1096-Q9564 (40.73 % de las 246.75 ha preliminares de la microcuenca). Su pendiente promedio (28.99 %, clase «25-50% (Mod. escarpado)») es la 3.ª más baja de 3 y se sitúa por encima del promedio de la microcuenca (26.26 %). Su MSAVI 2024 (0.6711) es el 3.º de 3 y queda por debajo del promedio local (0.6835). Amplitud altitudinal del bloque: 618 m (1649–2267 msnm). El cuadro conserva todos los bloques catalogados en la microcuenca, incluidos los descartados en el tamizaje, para referencia del conjunto. Los bloques sin ficha DT figuran con sus parámetros de gabinete. BRECHA ESPECTRAL. El 5.21 % de la superficie del bloque (5.239 ha de 100.514 ha) se sitúa bajo el umbral MSAVI 0.4976, por encima del promedio local de la microcuenca (3.95 %) calculado sobre los bloques con dato MSAVI disponible.</t>
        </is>
      </c>
      <c r="B15" s="41" t="n"/>
      <c r="C15" s="41" t="n"/>
      <c r="D15" s="41" t="n"/>
      <c r="E15" s="41" t="n"/>
      <c r="F15" s="41" t="n"/>
      <c r="G15" s="41" t="n"/>
      <c r="H15" s="42" t="n"/>
    </row>
    <row r="16"/>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1" t="n"/>
      <c r="C17" s="41" t="n"/>
      <c r="D17" s="41" t="n"/>
      <c r="E17" s="41" t="n"/>
      <c r="F17" s="41" t="n"/>
      <c r="G17" s="41" t="n"/>
      <c r="H17" s="42" t="n"/>
    </row>
  </sheetData>
  <mergeCells count="9">
    <mergeCell ref="A1:I1"/>
    <mergeCell ref="A4:I4"/>
    <mergeCell ref="A3:I3"/>
    <mergeCell ref="A15:I15"/>
    <mergeCell ref="A2:I2"/>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«C1096-Q9564»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601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(100.558 ha) coincide con la de catálogo (100.51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99.99 %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Centro poblado asociado</t>
        </is>
      </c>
      <c r="C14" s="34" t="inlineStr">
        <is>
          <t>La ficha DT declara «Huacas»; el cruce INEI-Bloques V5 identifica 1 centro(s) poblado(s) en el bloque: HUACAS</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(191 polígonos, 100.514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(100.514 ha) frente a la de catálogo V5/V6 (100.510 ha): desviación de +0.00 %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(0.6711) cae en la clase «DN 5 · &gt; 0.6139 (Vigor alto)»; la clase de mayor superficie es «DN 5 · &gt; 0.6139 (Vigor alto)», con 70.89 % del bloque. Superficie bajo el umbral 0.4976: 5.239 ha (5.21 %)</t>
        </is>
      </c>
      <c r="D18" s="37" t="inlineStr">
        <is>
          <t>CONFORME</t>
        </is>
      </c>
      <c r="E18" s="36" t="inlineStr">
        <is>
          <t>Sin acción: la media del bloque y la clase de mayor superficie coinciden.</t>
        </is>
      </c>
    </row>
    <row r="19" ht="48" customHeight="1">
      <c r="A19" s="34" t="inlineStr">
        <is>
          <t>C-01</t>
        </is>
      </c>
      <c r="B19" s="34" t="inlineStr">
        <is>
          <t>Duplicidad de fichas en el archivo DT</t>
        </is>
      </c>
      <c r="C19" s="34" t="inlineStr">
        <is>
          <t>El PDF del bloque 13 contiene DOS juegos completos de fichas F-DT: el JUEGO 1 (26-06-2026) corresponde en realidad al bloque 3 (microcuenca C1096-Q9545, C.P. Huayabal, correlativo DT-B3-2026, área 459.29 ha); el JUEGO 2 (10-06-2026, correlativo DT-B13-01) es el del bloque 13</t>
        </is>
      </c>
      <c r="D19" s="37" t="inlineStr">
        <is>
          <t>SUSTANTIVA</t>
        </is>
      </c>
      <c r="E19" s="34" t="inlineStr">
        <is>
          <t>Se adopta íntegramente el JUEGO 2. El JUEGO 1 debe retirarse del expediente del bloque 13 por corresponder a otro bloque</t>
        </is>
      </c>
    </row>
    <row r="20"/>
    <row r="21">
      <c r="A21" s="16" t="inlineStr">
        <is>
          <t>RESUMEN</t>
        </is>
      </c>
      <c r="B21" s="17" t="inlineStr">
        <is>
          <t>9 verificaciones</t>
        </is>
      </c>
      <c r="C21" s="17" t="inlineStr">
        <is>
          <t>CONFORME: 6 · CORREGIDO: 1 · NO SUSTANTIVA: 1 · SUSTANTIVA: 1</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13 — IN Piura</dc:title>
  <dc:subject>Diagnóstico Territorial por bloque de intervención</dc:subject>
  <dcterms:created xsi:type="dcterms:W3CDTF">2026-09-08T03:39:55Z</dcterms:created>
  <dcterms:modified xsi:type="dcterms:W3CDTF">2026-09-09T23:30:50Z</dcterms:modified>
</cp:coreProperties>
</file>