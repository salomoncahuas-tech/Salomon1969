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60</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Flor de Café (Canchaque; 111 hab., 41 viviendas, INEI) — a 1.06 km al NNO del punto de verificación</t>
        </is>
      </c>
      <c r="C13" s="6" t="inlineStr">
        <is>
          <t>Comunidad campesina</t>
        </is>
      </c>
      <c r="D13" s="7" t="inlineStr">
        <is>
          <t>Por verificar en gabinete social (F-DS-01)</t>
        </is>
      </c>
      <c r="E13" s="8" t="n"/>
      <c r="F13" s="8" t="n"/>
    </row>
    <row r="14">
      <c r="A14" s="6" t="inlineStr">
        <is>
          <t>Superficie de catálogo (V5/V6), ha</t>
        </is>
      </c>
      <c r="B14" s="7" t="n">
        <v>40.13</v>
      </c>
      <c r="C14" s="6" t="inlineStr">
        <is>
          <t>Fuente de superficie</t>
        </is>
      </c>
      <c r="D14" s="7" t="inlineStr">
        <is>
          <t>Catálogo maestro Bloques V5/V6</t>
        </is>
      </c>
      <c r="E14" s="8" t="n"/>
      <c r="F14" s="8" t="n"/>
    </row>
    <row r="15">
      <c r="A15" s="6" t="inlineStr">
        <is>
          <t>Centroide UTM ESTE (m)</t>
        </is>
      </c>
      <c r="B15" s="7" t="n">
        <v>653850</v>
      </c>
      <c r="C15" s="6" t="inlineStr">
        <is>
          <t>Centroide UTM NORTE (m)</t>
        </is>
      </c>
      <c r="D15" s="7" t="n">
        <v>9426236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1638</v>
      </c>
      <c r="C19" s="6" t="inlineStr">
        <is>
          <t>Altitud máxima (msnm)</t>
        </is>
      </c>
      <c r="D19" s="7" t="n">
        <v>2073</v>
      </c>
      <c r="E19" s="8" t="n"/>
      <c r="F19" s="8" t="n"/>
    </row>
    <row r="20">
      <c r="A20" s="6" t="inlineStr">
        <is>
          <t>Amplitud altitudinal (m)</t>
        </is>
      </c>
      <c r="B20" s="7" t="n">
        <v>435</v>
      </c>
      <c r="C20" s="6" t="inlineStr">
        <is>
          <t>Piso altitudinal dominante</t>
        </is>
      </c>
      <c r="D20" s="7" t="inlineStr">
        <is>
          <t>1500-2000 m (Quechua media)</t>
        </is>
      </c>
      <c r="E20" s="8" t="n"/>
      <c r="F20" s="8" t="n"/>
    </row>
    <row r="21">
      <c r="A21" s="6" t="inlineStr">
        <is>
          <t>Pendiente promedio (%)</t>
        </is>
      </c>
      <c r="B21" s="7" t="n">
        <v>32.67</v>
      </c>
      <c r="C21" s="6" t="inlineStr">
        <is>
          <t>Pendiente promedio (grados)</t>
        </is>
      </c>
      <c r="D21" s="7" t="n">
        <v>18.1</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0.6745</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(99.90 %)</t>
        </is>
      </c>
      <c r="E29" s="8" t="n"/>
      <c r="F29" s="8" t="n"/>
    </row>
    <row r="30">
      <c r="A30" s="6" t="inlineStr">
        <is>
          <t>Superficie clasificada NDVI 2025 (ha)</t>
        </is>
      </c>
      <c r="B30" s="7" t="n">
        <v>40.14</v>
      </c>
      <c r="C30" s="6" t="inlineStr">
        <is>
          <t>Desviación frente al catálogo (%)</t>
        </is>
      </c>
      <c r="D30" s="7" t="n">
        <v>0.03</v>
      </c>
      <c r="E30" s="8" t="n"/>
      <c r="F30" s="8" t="n"/>
    </row>
    <row r="31">
      <c r="A31" s="6" t="inlineStr">
        <is>
          <t>Superficie clasificada MSAVI 2024 (ha)</t>
        </is>
      </c>
      <c r="B31" s="38" t="n">
        <v>40.132</v>
      </c>
      <c r="C31" s="6" t="inlineStr">
        <is>
          <t>Desviación MSAVI frente al catálogo (%)</t>
        </is>
      </c>
      <c r="D31" s="39" t="n">
        <v>0</v>
      </c>
      <c r="E31" s="8" t="n"/>
      <c r="F31" s="8" t="n"/>
    </row>
    <row r="32">
      <c r="A32" s="6" t="inlineStr">
        <is>
          <t>Superficie bajo umbral MSAVI 0.4976 (ha)</t>
        </is>
      </c>
      <c r="B32" s="38" t="n">
        <v>0.245</v>
      </c>
      <c r="C32" s="6" t="inlineStr">
        <is>
          <t>% del bloque bajo umbral (brecha espectral)</t>
        </is>
      </c>
      <c r="D32" s="39" t="n">
        <v>0.61</v>
      </c>
      <c r="E32" s="8" t="n"/>
      <c r="F32" s="8" t="n"/>
    </row>
    <row r="33">
      <c r="A33" s="6" t="inlineStr">
        <is>
          <t>Clase DN dominante (MSAVI 2024)</t>
        </is>
      </c>
      <c r="B33" s="7" t="inlineStr">
        <is>
          <t>DN 5 · &gt; 0.6139 (Vigor alto)</t>
        </is>
      </c>
      <c r="C33" s="6" t="inlineStr">
        <is>
          <t>N.° de polígonos MSAVI del bloque</t>
        </is>
      </c>
      <c r="D33" s="40" t="n">
        <v>78</v>
      </c>
      <c r="E33" s="8" t="n"/>
      <c r="F33" s="8" t="n"/>
    </row>
    <row r="34"/>
    <row r="35" ht="18" customHeight="1">
      <c r="A35" s="5" t="inlineStr">
        <is>
          <t>4. ECOSISTEMA Y ESTADO DE CONSERVACIÓN</t>
        </is>
      </c>
    </row>
    <row r="36">
      <c r="A36" s="6" t="inlineStr">
        <is>
          <t>Tipo de ecosistema (UP)</t>
        </is>
      </c>
      <c r="B36" s="7" t="inlineStr">
        <is>
          <t>Matorral Andino subhúmedo (preliminar; reconciliar con el Mapa Nacional de Ecosistemas)</t>
        </is>
      </c>
      <c r="C36" s="6" t="inlineStr">
        <is>
          <t>Superficie de ecosistema (ha)</t>
        </is>
      </c>
      <c r="D36" s="7" t="inlineStr">
        <is>
          <t>40.13 ha (100% del bloque)</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85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0 = no inventariadas</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 Especialista en Infraestructura Verde, ANIN/DIME-SESDI</t>
        </is>
      </c>
      <c r="C44" s="6" t="inlineStr">
        <is>
          <t>Fecha de evaluación</t>
        </is>
      </c>
      <c r="D44" s="7" t="inlineStr">
        <is>
          <t>2026-08-13</t>
        </is>
      </c>
      <c r="E44" s="8" t="n"/>
      <c r="F44" s="8" t="n"/>
    </row>
    <row r="45">
      <c r="A45" s="6" t="inlineStr">
        <is>
          <t>Hora de registro</t>
        </is>
      </c>
      <c r="B45" s="7" t="inlineStr">
        <is>
          <t>13:02 - 13:06 h</t>
        </is>
      </c>
      <c r="C45" s="6" t="inlineStr">
        <is>
          <t>Correlativo de ficha</t>
        </is>
      </c>
      <c r="D45" s="7" t="inlineStr">
        <is>
          <t>F-DT-01..05/B60/2026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parcela instalada — recorrido perimetral y fotointerpretación de dron</t>
        </is>
      </c>
      <c r="E47" s="8" t="n"/>
      <c r="F47" s="8" t="n"/>
    </row>
    <row r="48">
      <c r="A48" s="6" t="inlineStr">
        <is>
          <t>Estaciones fotográficas georreferenciadas</t>
        </is>
      </c>
      <c r="B48" s="7" t="n">
        <v>5</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 de fuerte pendiente sin prácticas de conservación de suelos</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33.9012</v>
      </c>
      <c r="C10" s="31">
        <f>ROUND(B10/$B$15*100,2)</f>
        <v>84.47</v>
      </c>
      <c r="D10" s="12" t="inlineStr">
        <is>
          <t>Vigor alto</t>
        </is>
      </c>
      <c r="E10" s="12" t="inlineStr">
        <is>
          <t>Sobre umbral</t>
        </is>
      </c>
    </row>
    <row r="11">
      <c r="A11" s="13" t="inlineStr">
        <is>
          <t>0.4976 - 0.6139 · DN 4</t>
        </is>
      </c>
      <c r="B11" s="20" t="n">
        <v>5.9858</v>
      </c>
      <c r="C11" s="21">
        <f>ROUND(B11/$B$15*100,2)</f>
        <v>14.92</v>
      </c>
      <c r="D11" s="14" t="inlineStr">
        <is>
          <t>Vigor moderado</t>
        </is>
      </c>
      <c r="E11" s="14" t="inlineStr">
        <is>
          <t>Sobre umbral</t>
        </is>
      </c>
    </row>
    <row r="12">
      <c r="A12" s="7" t="inlineStr">
        <is>
          <t>0.3813 - 0.4976 · DN 3</t>
        </is>
      </c>
      <c r="B12" s="18" t="n">
        <v>0.2447</v>
      </c>
      <c r="C12" s="19">
        <f>ROUND(B12/$B$15*100,2)</f>
        <v>0.61</v>
      </c>
      <c r="D12" s="15" t="inlineStr">
        <is>
          <t>Vigor bajo</t>
        </is>
      </c>
      <c r="E12" s="15" t="inlineStr">
        <is>
          <t>BAJO umbral 0.4976</t>
        </is>
      </c>
    </row>
    <row r="13">
      <c r="A13" s="13" t="inlineStr">
        <is>
          <t>0.2650 - 0.3813 · DN 2</t>
        </is>
      </c>
      <c r="B13" s="20" t="n">
        <v>0</v>
      </c>
      <c r="C13" s="21">
        <f>ROUND(B13/$B$15*100,2)</f>
        <v>0.0</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3" t="inlineStr">
        <is>
          <t>TOTAL CLASIFICADO MSAVI 2024</t>
        </is>
      </c>
      <c r="B15" s="44">
        <f>SUM(B10:B14)</f>
        <v>40.1317</v>
      </c>
      <c r="C15" s="45">
        <f>SUM(C10:C14)</f>
        <v>100.0</v>
      </c>
      <c r="D15" s="43" t="inlineStr">
        <is>
          <t>Suma de la distribución areal · 78 polígonos</t>
        </is>
      </c>
      <c r="E15" s="43" t="inlineStr">
        <is>
          <t>—</t>
        </is>
      </c>
    </row>
    <row r="16" ht="30" customHeight="1">
      <c r="A16" s="46" t="inlineStr">
        <is>
          <t>Superficie SOBRE umbral 0.4976 (ha)</t>
        </is>
      </c>
      <c r="B16" s="47">
        <f>SUM(B10:B11)</f>
        <v>39.887</v>
      </c>
      <c r="C16" s="48">
        <f>ROUND(B16/B15*100,2)</f>
        <v>99.39</v>
      </c>
      <c r="D16" s="46" t="inlineStr">
        <is>
          <t>Vigor alto y moderado (DN 4 y DN 5)</t>
        </is>
      </c>
      <c r="E16" s="46" t="inlineStr">
        <is>
          <t>Sobre umbral 0.4976</t>
        </is>
      </c>
    </row>
    <row r="17" ht="30" customHeight="1">
      <c r="A17" s="46" t="inlineStr">
        <is>
          <t>Superficie BAJO umbral 0.4976 (ha) — brecha</t>
        </is>
      </c>
      <c r="B17" s="47">
        <f>SUM(B12:B14)</f>
        <v>0.2447</v>
      </c>
      <c r="C17" s="48">
        <f>ROUND(B17/B15*100,2)</f>
        <v>0.61</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40.13</v>
      </c>
      <c r="C18" s="49" t="inlineStr">
        <is>
          <t>—</t>
        </is>
      </c>
      <c r="D18" s="46" t="inlineStr">
        <is>
          <t>Desviación planimétrica frente al catálogo</t>
        </is>
      </c>
      <c r="E18" s="46" t="inlineStr">
        <is>
          <t>+0.00 %</t>
        </is>
      </c>
    </row>
    <row r="19">
      <c r="A19" s="16" t="inlineStr">
        <is>
          <t>MSAVI 2024 — MEDIA DEL BLOQUE</t>
        </is>
      </c>
      <c r="B19" s="17" t="n">
        <v>0.67447</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(0.6745)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40.0998</v>
      </c>
      <c r="C25" s="19" t="n">
        <v>99.90000000000001</v>
      </c>
      <c r="D25" s="15" t="inlineStr">
        <is>
          <t>Dosel continuo, matorral denso o mosaico agroforestal</t>
        </is>
      </c>
      <c r="E25" s="15" t="inlineStr"/>
    </row>
    <row r="26">
      <c r="A26" s="13" t="inlineStr">
        <is>
          <t>Vegetación mediana</t>
        </is>
      </c>
      <c r="B26" s="20" t="n">
        <v>0.0405</v>
      </c>
      <c r="C26" s="21" t="n">
        <v>0.1</v>
      </c>
      <c r="D26" s="14" t="inlineStr">
        <is>
          <t>Pastizal cultivado, matorral ralo, parcelas agrícolas</t>
        </is>
      </c>
      <c r="E26" s="14" t="inlineStr"/>
    </row>
    <row r="27">
      <c r="A27" s="16" t="inlineStr">
        <is>
          <t>TOTAL CLASIFICADO</t>
        </is>
      </c>
      <c r="B27" s="22">
        <f>SUM(B25:B26)</f>
        <v>40.1403</v>
      </c>
      <c r="C27" s="23">
        <f>SUM(C25:C26)</f>
        <v>100.0</v>
      </c>
      <c r="D27" s="17" t="inlineStr"/>
      <c r="E27" s="17" t="inlineStr"/>
    </row>
    <row r="28">
      <c r="A28" s="24" t="inlineStr">
        <is>
          <t>Superficie de catálogo (V5/V6)</t>
        </is>
      </c>
      <c r="B28" s="25" t="n">
        <v>40.13</v>
      </c>
      <c r="C28" s="25" t="inlineStr">
        <is>
          <t>—</t>
        </is>
      </c>
      <c r="D28" s="25" t="inlineStr">
        <is>
          <t>Desviación planimétrica frente al catálogo</t>
        </is>
      </c>
      <c r="E28" s="25" t="inlineStr">
        <is>
          <t>+0.03 %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99.90 % del polígono clasificado como «Vegetación alta» por el NDVI 2025; la observación de campo corresponde a una parcela o recorrido puntual y no es estadísticamente representativa de las 40.130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60</t>
        </is>
      </c>
    </row>
    <row r="6" ht="24" customHeight="1">
      <c r="A6" s="4" t="inlineStr">
        <is>
          <t>Levantamiento del 2026-08-13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653616</v>
      </c>
      <c r="D10" s="26" t="n">
        <v>9426278</v>
      </c>
      <c r="E10" s="15" t="n">
        <v>237.7</v>
      </c>
      <c r="F10" s="15" t="inlineStr"/>
      <c r="G10" s="15" t="inlineStr">
        <is>
          <t>Coordenada consignada en F-DT-01</t>
        </is>
      </c>
    </row>
    <row r="11">
      <c r="A11" s="13" t="inlineStr">
        <is>
          <t>F-01</t>
        </is>
      </c>
      <c r="B11" s="14" t="inlineStr">
        <is>
          <t>Estación fotográfica</t>
        </is>
      </c>
      <c r="C11" s="27" t="n">
        <v>653616</v>
      </c>
      <c r="D11" s="27" t="n">
        <v>9426278</v>
      </c>
      <c r="E11" s="14" t="n">
        <v>237.7</v>
      </c>
      <c r="F11" s="14" t="inlineStr"/>
      <c r="G11" s="14" t="inlineStr">
        <is>
          <t>Registro fotográfico georreferenciado</t>
        </is>
      </c>
    </row>
    <row r="12">
      <c r="A12" s="7" t="inlineStr">
        <is>
          <t>F-02</t>
        </is>
      </c>
      <c r="B12" s="15" t="inlineStr">
        <is>
          <t>Estación fotográfica</t>
        </is>
      </c>
      <c r="C12" s="26" t="n">
        <v>653619</v>
      </c>
      <c r="D12" s="26" t="n">
        <v>9426255</v>
      </c>
      <c r="E12" s="15" t="n">
        <v>231.8</v>
      </c>
      <c r="F12" s="15" t="inlineStr"/>
      <c r="G12" s="15" t="inlineStr">
        <is>
          <t>Registro fotográfico georreferenciado</t>
        </is>
      </c>
    </row>
    <row r="13">
      <c r="A13" s="13" t="inlineStr">
        <is>
          <t>F-03</t>
        </is>
      </c>
      <c r="B13" s="14" t="inlineStr">
        <is>
          <t>Estación fotográfica</t>
        </is>
      </c>
      <c r="C13" s="27" t="n">
        <v>653589</v>
      </c>
      <c r="D13" s="27" t="n">
        <v>9426303</v>
      </c>
      <c r="E13" s="14" t="n">
        <v>269.5</v>
      </c>
      <c r="F13" s="14" t="inlineStr"/>
      <c r="G13" s="14" t="inlineStr">
        <is>
          <t>Registro fotográfico georreferenciado</t>
        </is>
      </c>
    </row>
    <row r="14">
      <c r="A14" s="7" t="inlineStr">
        <is>
          <t>F-04</t>
        </is>
      </c>
      <c r="B14" s="15" t="inlineStr">
        <is>
          <t>Estación fotográfica</t>
        </is>
      </c>
      <c r="C14" s="26" t="n">
        <v>653587</v>
      </c>
      <c r="D14" s="26" t="n">
        <v>9426301</v>
      </c>
      <c r="E14" s="15" t="n">
        <v>270.9</v>
      </c>
      <c r="F14" s="15" t="inlineStr"/>
      <c r="G14" s="15" t="inlineStr">
        <is>
          <t>Registro fotográfico georreferenciado</t>
        </is>
      </c>
    </row>
    <row r="15">
      <c r="A15" s="13" t="inlineStr">
        <is>
          <t>F-05</t>
        </is>
      </c>
      <c r="B15" s="14" t="inlineStr">
        <is>
          <t>Estación fotográfica</t>
        </is>
      </c>
      <c r="C15" s="27" t="n">
        <v>653602</v>
      </c>
      <c r="D15" s="27" t="n">
        <v>9426294</v>
      </c>
      <c r="E15" s="14" t="n">
        <v>254.7</v>
      </c>
      <c r="F15" s="14" t="inlineStr"/>
      <c r="G15" s="14" t="inlineStr">
        <is>
          <t>Registro fotográfico georreferenciado</t>
        </is>
      </c>
    </row>
    <row r="16">
      <c r="A16" s="7" t="inlineStr">
        <is>
          <t>H-01</t>
        </is>
      </c>
      <c r="B16" s="15" t="inlineStr">
        <is>
          <t>Fuente de agua — Quebrada estacional</t>
        </is>
      </c>
      <c r="C16" s="26" t="n">
        <v>653619</v>
      </c>
      <c r="D16" s="26" t="n">
        <v>9426255</v>
      </c>
      <c r="E16" s="15" t="n">
        <v>231.8</v>
      </c>
      <c r="F16" s="15" t="inlineStr">
        <is>
          <t>Estacional</t>
        </is>
      </c>
      <c r="G16" s="15" t="inlineStr">
        <is>
          <t>Cauce que limita el bloque por el norte</t>
        </is>
      </c>
    </row>
    <row r="17">
      <c r="A17" s="13" t="inlineStr">
        <is>
          <t>H-02</t>
        </is>
      </c>
      <c r="B17" s="14" t="inlineStr">
        <is>
          <t>Fuente de agua — Quebrada estacional</t>
        </is>
      </c>
      <c r="C17" s="27" t="n">
        <v>653602</v>
      </c>
      <c r="D17" s="27" t="n">
        <v>9426294</v>
      </c>
      <c r="E17" s="14" t="n">
        <v>254.7</v>
      </c>
      <c r="F17" s="14" t="inlineStr">
        <is>
          <t>Estacional</t>
        </is>
      </c>
      <c r="G17" s="14" t="inlineStr">
        <is>
          <t>Cauce secundario tributario</t>
        </is>
      </c>
    </row>
    <row r="18">
      <c r="A18" s="16" t="inlineStr">
        <is>
          <t>TOTAL: 8 puntos</t>
        </is>
      </c>
      <c r="B18" s="17" t="inlineStr"/>
      <c r="C18" s="17" t="inlineStr"/>
      <c r="D18" s="17" t="inlineStr"/>
      <c r="E18" s="17" t="inlineStr"/>
      <c r="F18" s="17" t="inlineStr"/>
      <c r="G18" s="17" t="inlineStr"/>
    </row>
    <row r="19"/>
    <row r="20">
      <c r="A20" s="6" t="inlineStr">
        <is>
          <t>Centroide del bloque — UTM ESTE (m)</t>
        </is>
      </c>
      <c r="B20" s="7" t="n">
        <v>653850</v>
      </c>
      <c r="C20" s="6" t="inlineStr">
        <is>
          <t>Centroide del bloque — UTM NORTE (m)</t>
        </is>
      </c>
      <c r="D20" s="7" t="n">
        <v>9426236</v>
      </c>
      <c r="E20" s="8" t="n"/>
      <c r="F20" s="8" t="n"/>
      <c r="G20" s="8" t="n"/>
      <c r="H20" s="8" t="n"/>
    </row>
    <row r="21">
      <c r="A21" s="6" t="inlineStr">
        <is>
          <t>N.° de estaciones fotográficas declaradas</t>
        </is>
      </c>
      <c r="B21" s="7" t="n">
        <v>5</v>
      </c>
      <c r="C21" s="6" t="inlineStr">
        <is>
          <t>Estaciones dentro del polígono</t>
        </is>
      </c>
      <c r="D21" s="7" t="n">
        <v>0</v>
      </c>
      <c r="E21" s="8" t="n"/>
      <c r="F21" s="8" t="n"/>
      <c r="G21" s="8" t="n"/>
      <c r="H21" s="8" t="n"/>
    </row>
    <row r="22"/>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13-08-2026 con dron DJI Phantom 4 Pro V2 (vuelo fotogramétrico y video oblicuo/cenital) y GPS Garmin GPSMAP 66sr. Puntos GPS del recorrido: 653 616/9 426 278 (1 668.9 msnm); 653 619/9 426 255 (1 678.7); 653 589/9 426 303 (1 675.0); 653 587/9 426 301 (1 674.3); 653 602/9 426 294 (1 670.9). TODOS los puntos se ubican sobre la trocha carrozable que corre al oeste del bloque, entre 15 y 30 m de su límite occidental; el interior se cubrió con vuelo de dron. PENDIENTE: estimada en gabinete sobre curvas de nivel (equidistancia 50 m) por método de Wentworth: 63.9% ≈ 32.6° (transectos E-O directos: 61.5%). ALTITUD: rango real del bloque estimado en 1 660-2 120 msnm (desnivel ≈450 m); atraviesa las clases 1500-2000 y 2000-2500; se consigna la clase dominante. INDICIOS DE REMOCIÓN EN MASA: escarpes activos en taludes de corte de la trocha y cabecera de quebrada; bloques rocosos métricos desprendidos sobre la plataforma vial; cauce con acumulación de bloques angulosos frescos (flujo de detritos reciente); terracetas y sendas de ganado (reptación).</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60</t>
        </is>
      </c>
    </row>
    <row r="6" ht="24" customHeight="1">
      <c r="A6" s="4" t="inlineStr">
        <is>
          <t>Distrito de Canchaque · Provincia de Huancabamba · Comparación de los bloques preliminares de intervención de la misma microcuenca</t>
        </is>
      </c>
    </row>
    <row r="7"/>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1" t="inlineStr">
        <is>
          <t>► 60</t>
        </is>
      </c>
      <c r="B15" s="30" t="n">
        <v>40.13</v>
      </c>
      <c r="C15" s="31" t="n">
        <v>7.27</v>
      </c>
      <c r="D15" s="12" t="inlineStr">
        <is>
          <t>1638 – 2073</t>
        </is>
      </c>
      <c r="E15" s="12" t="n">
        <v>435</v>
      </c>
      <c r="F15" s="12" t="n">
        <v>32.67</v>
      </c>
      <c r="G15" s="32" t="n">
        <v>0.6745</v>
      </c>
      <c r="H15" s="31" t="n">
        <v>99.90000000000001</v>
      </c>
      <c r="I15" s="3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552.18</v>
      </c>
      <c r="C20" s="23">
        <f>SUM(C10:C19)</f>
        <v>99.98</v>
      </c>
      <c r="D20" s="17" t="inlineStr">
        <is>
          <t>1171 – 2651</t>
        </is>
      </c>
      <c r="E20" s="17" t="inlineStr"/>
      <c r="F20" s="17">
        <f>ROUND(AVERAGE(F10:F19),2)</f>
        <v>29.09</v>
      </c>
      <c r="G20" s="22">
        <f>ROUND(AVERAGE(G10:G19),4)</f>
        <v>0.6292</v>
      </c>
      <c r="H20" s="23">
        <f>ROUND(AVERAGE(H10:H19),2)</f>
        <v>93.19</v>
      </c>
      <c r="I20" s="23">
        <f>ROUND(AVERAGE(I10:I19),2)</f>
        <v>9.85</v>
      </c>
    </row>
    <row r="21"/>
    <row r="22" ht="84" customHeight="1">
      <c r="A22" s="9" t="inlineStr">
        <is>
          <t>LECTURA INTRAMICROCUENCA. El bloque 60 ocupa el puesto 6 de 10 por superficie dentro de la microcuenca C1081-Q9591 (7.27 % de las 552.18 ha preliminares de la microcuenca). Su pendiente promedio (32.67 %, clase «25-50% (Mod. escarpado)») es la 10.ª más baja de 10 y se sitúa por encima del promedio de la microcuenca (29.09 %). Su MSAVI 2024 (0.6745) es el 1.º de 10 y queda por encima del promedio local (0.6292). Amplitud altitudinal del bloque: 435 m (1638–2073 msnm). El cuadro conserva todos los bloques catalogados en la microcuenca, incluidos los descartados en el tamizaje, para referencia del conjunto. Los bloques sin ficha DT figuran con sus parámetros de gabinete. BRECHA ESPECTRAL. El 0.61 % de la superficie del bloque (0.245 ha de 40.132 ha) se sitúa bajo el umbral MSAVI 0.4976, por debajo del promedio local de la microcuenca (9.85 %)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9">
    <mergeCell ref="A1:I1"/>
    <mergeCell ref="A4:I4"/>
    <mergeCell ref="A3:I3"/>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238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(40.140 ha) coincide con la de catálogo (40.13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«50-75% (Escarpado)»; la estadística zonal sobre el MDE arroja una pendiente promedio de 32.67 %, que corresponde a la clase «25-50% (Mod. escarpado)»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Dimensiones del inventario de cárcavas</t>
        </is>
      </c>
      <c r="C14" s="34" t="inlineStr">
        <is>
          <t>Se registran 0 = no inventariadas rasgos erosivos, pero longitud, profundidad y ancho no fueron medidos instrumentalmente</t>
        </is>
      </c>
      <c r="D14" s="12"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«Flor de Café (Canchaque; 111 hab., 41 viviendas, INEI) — a 1.06 km al NNO del punto de verificación»; el cruce INEI-Bloques V5 identifica 1 centro(s) poblado(s) en el bloque: FLOR DE CAFE</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Rango altitudinal real del bloque (≈1660-2120 msnm) atraviesa dos clases altitudinales; la ficha consigna solo la clase dominante 1500-2000 m</t>
        </is>
      </c>
      <c r="D18" s="12" t="inlineStr">
        <is>
          <t>NO SUSTANTIVA</t>
        </is>
      </c>
      <c r="E18" s="34" t="inlineStr">
        <is>
          <t>Declarado en la propia ficha</t>
        </is>
      </c>
    </row>
    <row r="19" ht="48" customHeight="1">
      <c r="A19" s="36" t="inlineStr">
        <is>
          <t>D-10</t>
        </is>
      </c>
      <c r="B19" s="36" t="inlineStr">
        <is>
          <t>F-DT-02</t>
        </is>
      </c>
      <c r="C19" s="36" t="inlineStr">
        <is>
          <t>N.° de cárcavas = 0 significa NO INVENTARIADAS, no ausencia verificada</t>
        </is>
      </c>
      <c r="D19" s="37" t="inlineStr">
        <is>
          <t>SUSTANTIVA</t>
        </is>
      </c>
      <c r="E19" s="36" t="inlineStr">
        <is>
          <t>No usar el valor 0 para calcular densidad por hectárea; pendiente del procesamiento del MDS del vuelo de dron</t>
        </is>
      </c>
    </row>
    <row r="20" ht="48" customHeight="1">
      <c r="A20" s="34" t="inlineStr">
        <is>
          <t>D-11</t>
        </is>
      </c>
      <c r="B20" s="34" t="inlineStr">
        <is>
          <t>F-DT-03</t>
        </is>
      </c>
      <c r="C20" s="34" t="inlineStr">
        <is>
          <t>Tipo de ecosistema MINAM «Matorral Andino subhúmedo» es preliminar</t>
        </is>
      </c>
      <c r="D20" s="12" t="inlineStr">
        <is>
          <t>NO SUSTANTIVA</t>
        </is>
      </c>
      <c r="E20" s="34" t="inlineStr">
        <is>
          <t>Reconciliar con la capa oficial del Mapa Nacional de Ecosistemas</t>
        </is>
      </c>
    </row>
    <row r="21" ht="48" customHeight="1">
      <c r="A21" s="36" t="inlineStr">
        <is>
          <t>D-12</t>
        </is>
      </c>
      <c r="B21" s="36" t="inlineStr">
        <is>
          <t>F-DT-05</t>
        </is>
      </c>
      <c r="C21" s="36" t="inlineStr">
        <is>
          <t>Requerimiento de autorización de Ronda Campesina sin dato — campo obligatorio</t>
        </is>
      </c>
      <c r="D21" s="37" t="inlineStr">
        <is>
          <t>SUSTANTIVA</t>
        </is>
      </c>
      <c r="E21" s="36" t="inlineStr">
        <is>
          <t>Cerrar con el equipo social antes de la carga definitiva al aplicativo</t>
        </is>
      </c>
    </row>
    <row r="22" ht="48" customHeight="1">
      <c r="A22" s="36" t="inlineStr">
        <is>
          <t>D-13</t>
        </is>
      </c>
      <c r="B22" s="36" t="inlineStr">
        <is>
          <t>Distribución areal MSAVI 2024</t>
        </is>
      </c>
      <c r="C22" s="36" t="inlineStr">
        <is>
          <t>La distribución por clase de MSAVI no figuraba en los insumos del entregable y se consignaba «Por determinar»; se incorpora la estadística zonal del ráster MSAVI clasificado (78 polígonos, 40.132 ha)</t>
        </is>
      </c>
      <c r="D22" s="37" t="inlineStr">
        <is>
          <t>CORREGIDO</t>
        </is>
      </c>
      <c r="E22"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3" ht="48" customHeight="1">
      <c r="A23" s="36" t="inlineStr">
        <is>
          <t>D-14</t>
        </is>
      </c>
      <c r="B23" s="36" t="inlineStr">
        <is>
          <t>Superficie MSAVI vs. catálogo</t>
        </is>
      </c>
      <c r="C23" s="36" t="inlineStr">
        <is>
          <t>La superficie total clasificada por el MSAVI 2024 (40.132 ha) frente a la de catálogo V5/V6 (40.130 ha): desviación de +0.00 %</t>
        </is>
      </c>
      <c r="D23" s="37" t="inlineStr">
        <is>
          <t>CONFORME</t>
        </is>
      </c>
      <c r="E23" s="36" t="inlineStr">
        <is>
          <t>Sin acción: la segmentación del ráster valida la geometría del bloque dentro del ±2 %.</t>
        </is>
      </c>
    </row>
    <row r="24" ht="48" customHeight="1">
      <c r="A24" s="36" t="inlineStr">
        <is>
          <t>D-15</t>
        </is>
      </c>
      <c r="B24" s="36" t="inlineStr">
        <is>
          <t>Media MSAVI vs. clase DN dominante</t>
        </is>
      </c>
      <c r="C24" s="36" t="inlineStr">
        <is>
          <t>La media del bloque (0.6745) cae en la clase «DN 5 · &gt; 0.6139 (Vigor alto)»; la clase de mayor superficie es «DN 5 · &gt; 0.6139 (Vigor alto)», con 84.47 % del bloque. Superficie bajo el umbral 0.4976: 0.245 ha (0.61 %)</t>
        </is>
      </c>
      <c r="D24" s="37" t="inlineStr">
        <is>
          <t>CONFORME</t>
        </is>
      </c>
      <c r="E24" s="36" t="inlineStr">
        <is>
          <t>Sin acción: la media del bloque y la clase de mayor superficie coinciden.</t>
        </is>
      </c>
    </row>
    <row r="25"/>
    <row r="26">
      <c r="A26" s="16" t="inlineStr">
        <is>
          <t>RESUMEN</t>
        </is>
      </c>
      <c r="B26" s="17" t="inlineStr">
        <is>
          <t>15 verificaciones</t>
        </is>
      </c>
      <c r="C26" s="17" t="inlineStr">
        <is>
          <t>CONFORME: 6 · CORREGIDO: 1 · NO SUSTANTIVA: 4 · SUSTANTIVA: 4</t>
        </is>
      </c>
      <c r="D26" s="17" t="inlineStr"/>
      <c r="E26" s="17" t="inlineStr"/>
    </row>
    <row r="27"/>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8" s="41" t="n"/>
      <c r="C28" s="41" t="n"/>
      <c r="D28" s="41" t="n"/>
      <c r="E28" s="42" t="n"/>
    </row>
  </sheetData>
  <mergeCells count="8">
    <mergeCell ref="A4:E4"/>
    <mergeCell ref="A2:E2"/>
    <mergeCell ref="A28:E28"/>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60 — IN Piura</dc:title>
  <dc:subject>Diagnóstico Territorial por bloque de intervención</dc:subject>
  <dcterms:created xsi:type="dcterms:W3CDTF">2026-09-08T03:39:54Z</dcterms:created>
  <dcterms:modified xsi:type="dcterms:W3CDTF">2026-09-10T00:28:28Z</dcterms:modified>
</cp:coreProperties>
</file>