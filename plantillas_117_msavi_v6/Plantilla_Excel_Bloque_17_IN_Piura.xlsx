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17</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El Checo (titular del bloque); Jacanacas (próximo)</t>
        </is>
      </c>
      <c r="C13" s="6" t="inlineStr">
        <is>
          <t>Comunidad campesina</t>
        </is>
      </c>
      <c r="D13" s="7" t="inlineStr">
        <is>
          <t>Predios de propiedad privada (pastoreo, ganadería y cultivos de secano)</t>
        </is>
      </c>
      <c r="E13" s="8" t="n"/>
      <c r="F13" s="8" t="n"/>
    </row>
    <row r="14">
      <c r="A14" s="6" t="inlineStr">
        <is>
          <t>Superficie de catálogo (V5/V6), ha</t>
        </is>
      </c>
      <c r="B14" s="7" t="n">
        <v>96.08</v>
      </c>
      <c r="C14" s="6" t="inlineStr">
        <is>
          <t>Fuente de superficie</t>
        </is>
      </c>
      <c r="D14" s="7" t="inlineStr">
        <is>
          <t>Catálogo maestro Bloques V5/V6</t>
        </is>
      </c>
      <c r="E14" s="8" t="n"/>
      <c r="F14" s="8" t="n"/>
    </row>
    <row r="15">
      <c r="A15" s="6" t="inlineStr">
        <is>
          <t>Centroide UTM ESTE (m)</t>
        </is>
      </c>
      <c r="B15" s="7" t="n">
        <v>618661</v>
      </c>
      <c r="C15" s="6" t="inlineStr">
        <is>
          <t>Centroide UTM NORTE (m)</t>
        </is>
      </c>
      <c r="D15" s="7" t="n">
        <v>9438267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1253</v>
      </c>
      <c r="C19" s="6" t="inlineStr">
        <is>
          <t>Altitud máxima (msnm)</t>
        </is>
      </c>
      <c r="D19" s="7" t="n">
        <v>1880</v>
      </c>
      <c r="E19" s="8" t="n"/>
      <c r="F19" s="8" t="n"/>
    </row>
    <row r="20">
      <c r="A20" s="6" t="inlineStr">
        <is>
          <t>Amplitud altitudinal (m)</t>
        </is>
      </c>
      <c r="B20" s="7" t="n">
        <v>627</v>
      </c>
      <c r="C20" s="6" t="inlineStr">
        <is>
          <t>Piso altitudinal dominante</t>
        </is>
      </c>
      <c r="D20" s="7" t="inlineStr">
        <is>
          <t>1500-2000 m (Quechua media)</t>
        </is>
      </c>
      <c r="E20" s="8" t="n"/>
      <c r="F20" s="8" t="n"/>
    </row>
    <row r="21">
      <c r="A21" s="6" t="inlineStr">
        <is>
          <t>Pendiente promedio (%)</t>
        </is>
      </c>
      <c r="B21" s="7" t="n">
        <v>35.56</v>
      </c>
      <c r="C21" s="6" t="inlineStr">
        <is>
          <t>Pendiente promedio (grados)</t>
        </is>
      </c>
      <c r="D21" s="7" t="n">
        <v>19.6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0.6479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(88.68 %)</t>
        </is>
      </c>
      <c r="E29" s="8" t="n"/>
      <c r="F29" s="8" t="n"/>
    </row>
    <row r="30">
      <c r="A30" s="6" t="inlineStr">
        <is>
          <t>Superficie clasificada NDVI 2025 (ha)</t>
        </is>
      </c>
      <c r="B30" s="7" t="n">
        <v>96.123</v>
      </c>
      <c r="C30" s="6" t="inlineStr">
        <is>
          <t>Desviación frente al catálogo (%)</t>
        </is>
      </c>
      <c r="D30" s="7" t="n">
        <v>0.04</v>
      </c>
      <c r="E30" s="8" t="n"/>
      <c r="F30" s="8" t="n"/>
    </row>
    <row r="31">
      <c r="A31" s="6" t="inlineStr">
        <is>
          <t>Superficie clasificada MSAVI 2024 (ha)</t>
        </is>
      </c>
      <c r="B31" s="38" t="n">
        <v>96.07899999999999</v>
      </c>
      <c r="C31" s="6" t="inlineStr">
        <is>
          <t>Desviación MSAVI frente al catálogo (%)</t>
        </is>
      </c>
      <c r="D31" s="39" t="n">
        <v>0</v>
      </c>
      <c r="E31" s="8" t="n"/>
      <c r="F31" s="8" t="n"/>
    </row>
    <row r="32">
      <c r="A32" s="6" t="inlineStr">
        <is>
          <t>Superficie bajo umbral MSAVI 0.4976 (ha)</t>
        </is>
      </c>
      <c r="B32" s="38" t="n">
        <v>2.008</v>
      </c>
      <c r="C32" s="6" t="inlineStr">
        <is>
          <t>% del bloque bajo umbral (brecha espectral)</t>
        </is>
      </c>
      <c r="D32" s="39" t="n">
        <v>2.09</v>
      </c>
      <c r="E32" s="8" t="n"/>
      <c r="F32" s="8" t="n"/>
    </row>
    <row r="33">
      <c r="A33" s="6" t="inlineStr">
        <is>
          <t>Clase DN dominante (MSAVI 2024)</t>
        </is>
      </c>
      <c r="B33" s="7" t="inlineStr">
        <is>
          <t>DN 5 · &gt; 0.6139 (Vigor alto)</t>
        </is>
      </c>
      <c r="C33" s="6" t="inlineStr">
        <is>
          <t>N.° de polígonos MSAVI del bloque</t>
        </is>
      </c>
      <c r="D33" s="40" t="n">
        <v>181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96.08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72</v>
      </c>
      <c r="E38" s="8" t="n"/>
      <c r="F38" s="8" t="n"/>
    </row>
    <row r="39">
      <c r="A39" s="6" t="inlineStr">
        <is>
          <t>Suelo desnudo — campo (%)</t>
        </is>
      </c>
      <c r="B39" s="7" t="n">
        <v>12</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1</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Ing. Pedro Talledo Hernández; Ing. Juan Carlos Domínguez Varas (ANIN-DIME-SESDI)</t>
        </is>
      </c>
      <c r="C44" s="6" t="inlineStr">
        <is>
          <t>Fecha de evaluación</t>
        </is>
      </c>
      <c r="D44" s="7" t="inlineStr">
        <is>
          <t>2026-06-16</t>
        </is>
      </c>
      <c r="E44" s="8" t="n"/>
      <c r="F44" s="8" t="n"/>
    </row>
    <row r="45">
      <c r="A45" s="6" t="inlineStr">
        <is>
          <t>Hora de registro</t>
        </is>
      </c>
      <c r="B45" s="7" t="inlineStr">
        <is>
          <t>03:43-03:44 p.m. (aprox.)</t>
        </is>
      </c>
      <c r="C45" s="6" t="inlineStr">
        <is>
          <t>Correlativo de ficha</t>
        </is>
      </c>
      <c r="D45" s="7" t="inlineStr">
        <is>
          <t>DT-B17</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a pie del sector de acceso (observación rápida)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familiar (ganadería + agricultura de secano: maíz, trigo, arveja) sobre laderas frágiles de fuerte pendiente</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66.35120000000001</v>
      </c>
      <c r="C10" s="31">
        <f>ROUND(B10/$B$15*100,2)</f>
        <v/>
      </c>
      <c r="D10" s="12" t="inlineStr">
        <is>
          <t>Vigor alto</t>
        </is>
      </c>
      <c r="E10" s="12" t="inlineStr">
        <is>
          <t>Sobre umbral</t>
        </is>
      </c>
    </row>
    <row r="11">
      <c r="A11" s="13" t="inlineStr">
        <is>
          <t>0.4976 - 0.6139 · DN 4</t>
        </is>
      </c>
      <c r="B11" s="20" t="n">
        <v>27.7205</v>
      </c>
      <c r="C11" s="21">
        <f>ROUND(B11/$B$15*100,2)</f>
        <v/>
      </c>
      <c r="D11" s="14" t="inlineStr">
        <is>
          <t>Vigor moderado</t>
        </is>
      </c>
      <c r="E11" s="14" t="inlineStr">
        <is>
          <t>Sobre umbral</t>
        </is>
      </c>
    </row>
    <row r="12">
      <c r="A12" s="7" t="inlineStr">
        <is>
          <t>0.3813 - 0.4976 · DN 3</t>
        </is>
      </c>
      <c r="B12" s="18" t="n">
        <v>2.0078</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181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96.08</v>
      </c>
      <c r="C18" s="49" t="inlineStr">
        <is>
          <t>—</t>
        </is>
      </c>
      <c r="D18" s="46" t="inlineStr">
        <is>
          <t>Desviación planimétrica frente al catálogo</t>
        </is>
      </c>
      <c r="E18" s="46" t="inlineStr">
        <is>
          <t>+0.00 %</t>
        </is>
      </c>
    </row>
    <row r="19">
      <c r="A19" s="16" t="inlineStr">
        <is>
          <t>MSAVI 2024 — MEDIA DEL BLOQUE</t>
        </is>
      </c>
      <c r="B19" s="17" t="n">
        <v>0.647895</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(0.6479)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85.2435</v>
      </c>
      <c r="C25" s="19" t="n">
        <v>88.68000000000001</v>
      </c>
      <c r="D25" s="15" t="inlineStr">
        <is>
          <t>Dosel continuo, matorral denso o mosaico agroforestal</t>
        </is>
      </c>
      <c r="E25" s="15" t="inlineStr"/>
    </row>
    <row r="26">
      <c r="A26" s="13" t="inlineStr">
        <is>
          <t>Vegetación mediana</t>
        </is>
      </c>
      <c r="B26" s="20" t="n">
        <v>10.1683</v>
      </c>
      <c r="C26" s="21" t="n">
        <v>10.58</v>
      </c>
      <c r="D26" s="14" t="inlineStr">
        <is>
          <t>Pastizal cultivado, matorral ralo, parcelas agrícolas</t>
        </is>
      </c>
      <c r="E26" s="14" t="inlineStr"/>
    </row>
    <row r="27">
      <c r="A27" s="7" t="inlineStr">
        <is>
          <t>Vegetación ligera</t>
        </is>
      </c>
      <c r="B27" s="18" t="n">
        <v>0.711</v>
      </c>
      <c r="C27" s="19" t="n">
        <v>0.74</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96.08</v>
      </c>
      <c r="C29" s="25" t="inlineStr">
        <is>
          <t>—</t>
        </is>
      </c>
      <c r="D29" s="25" t="inlineStr">
        <is>
          <t>Desviación planimétrica frente al catálogo</t>
        </is>
      </c>
      <c r="E29" s="25" t="inlineStr">
        <is>
          <t>+0.04 %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72 % frente a un 88.68 % del polígono clasificado como «Vegetación alta» por el NDVI 2025; la observación de campo corresponde a una parcela o recorrido puntual y no es estadísticamente representativa de las 96.080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17</t>
        </is>
      </c>
    </row>
    <row r="6" ht="24" customHeight="1">
      <c r="A6" s="4" t="inlineStr">
        <is>
          <t>Levantamiento del 2026-06-16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618890</v>
      </c>
      <c r="D10" s="26" t="n">
        <v>9438092</v>
      </c>
      <c r="E10" s="15" t="n">
        <v>288.2</v>
      </c>
      <c r="F10" s="15" t="inlineStr"/>
      <c r="G10" s="15" t="inlineStr">
        <is>
          <t>Coordenada consignada en F-DT-01</t>
        </is>
      </c>
    </row>
    <row r="11">
      <c r="A11" s="13" t="inlineStr">
        <is>
          <t>C-01</t>
        </is>
      </c>
      <c r="B11" s="14" t="inlineStr">
        <is>
          <t>Rasgo erosivo — Cárcava somera (0.5-2 m)</t>
        </is>
      </c>
      <c r="C11" s="27" t="n">
        <v>618889</v>
      </c>
      <c r="D11" s="27" t="n">
        <v>9438088</v>
      </c>
      <c r="E11" s="14" t="n">
        <v>289.9</v>
      </c>
      <c r="F11" s="14" t="inlineStr">
        <is>
          <t>Activa</t>
        </is>
      </c>
      <c r="G11" s="14" t="inlineStr">
        <is>
          <t>Concentración natural de escorrentía</t>
        </is>
      </c>
    </row>
    <row r="12">
      <c r="A12" s="7" t="inlineStr">
        <is>
          <t>H-01</t>
        </is>
      </c>
      <c r="B12" s="15" t="inlineStr">
        <is>
          <t>Fuente de agua — Quebrada permanente</t>
        </is>
      </c>
      <c r="C12" s="26" t="n">
        <v>618905</v>
      </c>
      <c r="D12" s="26" t="n">
        <v>9438102</v>
      </c>
      <c r="E12" s="15" t="n">
        <v>294.6</v>
      </c>
      <c r="F12" s="15" t="inlineStr">
        <is>
          <t>Permanente</t>
        </is>
      </c>
      <c r="G12" s="15" t="inlineStr">
        <is>
          <t>Quebrada El Checo (eje del bloque)</t>
        </is>
      </c>
    </row>
    <row r="13">
      <c r="A13" s="13" t="inlineStr">
        <is>
          <t>B-01</t>
        </is>
      </c>
      <c r="B13" s="14" t="inlineStr">
        <is>
          <t>Especie clave — Vachellia macracantha (Faique)</t>
        </is>
      </c>
      <c r="C13" s="27" t="n">
        <v>618890</v>
      </c>
      <c r="D13" s="27" t="n">
        <v>9438092</v>
      </c>
      <c r="E13" s="14" t="n">
        <v>288.2</v>
      </c>
      <c r="F13" s="14" t="inlineStr">
        <is>
          <t>Amenazada D.S. 043</t>
        </is>
      </c>
      <c r="G13" s="14" t="inlineStr">
        <is>
          <t>NT — Casi Amenazado</t>
        </is>
      </c>
    </row>
    <row r="14">
      <c r="A14" s="7" t="inlineStr">
        <is>
          <t>B-02</t>
        </is>
      </c>
      <c r="B14" s="15" t="inlineStr">
        <is>
          <t>Especie clave — Annona sp. (Chirimoyo silvestre)</t>
        </is>
      </c>
      <c r="C14" s="26" t="n">
        <v>618889</v>
      </c>
      <c r="D14" s="26" t="n">
        <v>9438088</v>
      </c>
      <c r="E14" s="15" t="n">
        <v>289.9</v>
      </c>
      <c r="F14" s="15" t="inlineStr">
        <is>
          <t>Indicadora de buen estado</t>
        </is>
      </c>
      <c r="G14" s="15" t="inlineStr">
        <is>
          <t>NE</t>
        </is>
      </c>
    </row>
    <row r="15">
      <c r="A15" s="13" t="inlineStr">
        <is>
          <t>B-05</t>
        </is>
      </c>
      <c r="B15" s="14" t="inlineStr">
        <is>
          <t>Especie clave — Bromeliaceae epífitas (Tillandsia)</t>
        </is>
      </c>
      <c r="C15" s="27" t="n">
        <v>618889</v>
      </c>
      <c r="D15" s="27" t="n">
        <v>9438088</v>
      </c>
      <c r="E15" s="14" t="n">
        <v>289.9</v>
      </c>
      <c r="F15" s="14" t="inlineStr">
        <is>
          <t>Indicadora de buen estado</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618661</v>
      </c>
      <c r="C18" s="6" t="inlineStr">
        <is>
          <t>Centroide del bloque — UTM NORTE (m)</t>
        </is>
      </c>
      <c r="D18" s="7" t="n">
        <v>9438267</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120"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por la vía vecinal PI-799. El punto de muestreo corresponde al sector de acceso S/SE, sobre la quebrada El Checo; la altitud promedio del bloque es ~1400 msnm y su rango ~1050-1850 msnm. Perfil de elevación: 1263-1765 m, desnivel +502 m, pendiente media 52.7% y máxima 73.9%. REMOCIÓN EN MASA ACTIVA localizada: caída de bloques rocosos sobre el talud de corte de la PI-799 y canalón de escorrentía con depósito coluvial al pie de ladera. Caracterización geológica POR VERIFICAR con la carta INGEMMET.</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17</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11" t="inlineStr">
        <is>
          <t>► 17</t>
        </is>
      </c>
      <c r="B12" s="30" t="n">
        <v>96.08</v>
      </c>
      <c r="C12" s="31" t="n">
        <v>11.25</v>
      </c>
      <c r="D12" s="12" t="inlineStr">
        <is>
          <t>1253 – 1880</t>
        </is>
      </c>
      <c r="E12" s="12" t="n">
        <v>627</v>
      </c>
      <c r="F12" s="12" t="n">
        <v>35.56</v>
      </c>
      <c r="G12" s="32" t="n">
        <v>0.6479</v>
      </c>
      <c r="H12" s="31" t="n">
        <v>88.68000000000001</v>
      </c>
      <c r="I12" s="31"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7" t="inlineStr">
        <is>
          <t>82</t>
        </is>
      </c>
      <c r="B18" s="28" t="n">
        <v>35.66</v>
      </c>
      <c r="C18" s="19" t="n">
        <v>4.18</v>
      </c>
      <c r="D18" s="15" t="inlineStr">
        <is>
          <t>1796 – 2098</t>
        </is>
      </c>
      <c r="E18" s="15" t="n">
        <v>302</v>
      </c>
      <c r="F18" s="15" t="n">
        <v>23.55</v>
      </c>
      <c r="G18" s="18" t="n">
        <v>0.6283</v>
      </c>
      <c r="H18" s="19" t="n">
        <v>90.06999999999999</v>
      </c>
      <c r="I18" s="19" t="n">
        <v>12.67</v>
      </c>
    </row>
    <row r="19">
      <c r="A19" s="13" t="inlineStr">
        <is>
          <t>78</t>
        </is>
      </c>
      <c r="B19" s="29" t="n">
        <v>35.1</v>
      </c>
      <c r="C19" s="21" t="n">
        <v>4.11</v>
      </c>
      <c r="D19" s="14" t="inlineStr">
        <is>
          <t>1908 – 2236</t>
        </is>
      </c>
      <c r="E19" s="14" t="n">
        <v>328</v>
      </c>
      <c r="F19" s="14" t="n">
        <v>30.64</v>
      </c>
      <c r="G19" s="20" t="n">
        <v>0.7074</v>
      </c>
      <c r="H19" s="21" t="n">
        <v>89.33</v>
      </c>
      <c r="I19" s="2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3" t="inlineStr">
        <is>
          <t>59</t>
        </is>
      </c>
      <c r="B21" s="29"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17 ocupa el puesto 3 de 12 por superficie dentro de la microcuenca C1086-Q9570 (11.25 % de las 853.87 ha preliminares de la microcuenca). Su pendiente promedio (35.56 %, clase «25-50% (Mod. escarpado)») es la 12.ª más baja de 12 y se sitúa por encima del promedio de la microcuenca (28.51 %). Su MSAVI 2024 (0.6479) es el 3.º de 12 y queda por encima del promedio local (0.5993). Amplitud altitudinal del bloque: 627 m (1253–1880 msnm). El cuadro conserva todos los bloques catalogados en la microcuenca, incluidos los descartados en el tamizaje, para referencia del conjunto. Los bloques sin ficha DT figuran con sus parámetros de gabinete. BRECHA ESPECTRAL. El 2.09 % de la superficie del bloque (2.008 ha de 96.079 ha) se sitúa bajo el umbral MSAVI 0.4976, por debajo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288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(96.123 ha) coincide con la de catálogo (96.08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35.56 %,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«1000-1500 m (Quechua baja)»; el MDE sitúa el bloque entre 1253 y 1880 msnm, cuyo punto medio corresponde a «1500-2000 m (Quechua media)»</t>
        </is>
      </c>
      <c r="D14" s="12"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Cobertura vegetal total</t>
        </is>
      </c>
      <c r="C15" s="36" t="inlineStr">
        <is>
          <t>La ficha DT estima 72 % de cobertura vegetal en campo; el NDVI mediana 2025 clasifica 100.00 % del polígono en clases de vegetación</t>
        </is>
      </c>
      <c r="D15" s="12" t="inlineStr">
        <is>
          <t>NO SUSTANTIVA</t>
        </is>
      </c>
      <c r="E15" s="36" t="inlineStr">
        <is>
          <t>Se declaran ambos valores. La observación de campo corresponde a una parcela o recorrido puntual y no es representativa de la totalidad del bloque; el índice espectral no discrimina composición ni integridad ecosistémica.</t>
        </is>
      </c>
    </row>
    <row r="16" ht="48" customHeight="1">
      <c r="A16" s="34" t="inlineStr">
        <is>
          <t>D-07</t>
        </is>
      </c>
      <c r="B16" s="34" t="inlineStr">
        <is>
          <t>Dimensiones del inventario de cárcavas</t>
        </is>
      </c>
      <c r="C16" s="34" t="inlineStr">
        <is>
          <t>Se registran 1 rasgos erosivos, pero longitud, profundidad y ancho no fueron medidos instrumentalmente</t>
        </is>
      </c>
      <c r="D16" s="12" t="inlineStr">
        <is>
          <t>NO SUSTANTIVA</t>
        </is>
      </c>
      <c r="E16" s="34" t="inlineStr">
        <is>
          <t>El conteo registrado no debe usarse para calcular densidad de cárcavas por hectárea. Pendiente de levantamiento con GPS submétrico.</t>
        </is>
      </c>
    </row>
    <row r="17" ht="48" customHeight="1">
      <c r="A17" s="36" t="inlineStr">
        <is>
          <t>D-08</t>
        </is>
      </c>
      <c r="B17" s="36" t="inlineStr">
        <is>
          <t>Centro poblado asociado</t>
        </is>
      </c>
      <c r="C17" s="36" t="inlineStr">
        <is>
          <t>La ficha DT declara «El Checo (titular del bloque); Jacanacas (próximo)»; el cruce INEI-Bloques V5 identifica 1 centro(s) poblado(s) en el bloque: EL CHECO</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(181 polígonos, 96.079 ha)</t>
        </is>
      </c>
      <c r="D19" s="37"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(96.079 ha) frente a la de catálogo V5/V6 (96.080 ha): desviación de +0.00 %</t>
        </is>
      </c>
      <c r="D20" s="37"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(0.6479) cae en la clase «DN 5 · &gt; 0.6139 (Vigor alto)»; la clase de mayor superficie es «DN 5 · &gt; 0.6139 (Vigor alto)», con 69.06 % del bloque. Superficie bajo el umbral 0.4976: 2.008 ha (2.09 %)</t>
        </is>
      </c>
      <c r="D21" s="37"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6 · CORREGIDO: 1 · NO SUSTANTIVA: 4 · SUSTANTIVA: 1</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17 — IN Piura</dc:title>
  <dc:subject>Diagnóstico Territorial por bloque de intervención</dc:subject>
  <dcterms:created xsi:type="dcterms:W3CDTF">2026-09-08T03:39:55Z</dcterms:created>
  <dcterms:modified xsi:type="dcterms:W3CDTF">2026-09-09T23:30:50Z</dcterms:modified>
</cp:coreProperties>
</file>