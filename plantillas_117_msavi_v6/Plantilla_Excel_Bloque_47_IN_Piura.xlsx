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47</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47</t>
        </is>
      </c>
      <c r="C9" s="6" t="inlineStr">
        <is>
          <t>Microcuenca (catálogo)</t>
        </is>
      </c>
      <c r="D9" s="7" t="inlineStr">
        <is>
          <t>C1076-Q9586</t>
        </is>
      </c>
      <c r="E9" s="8" t="n"/>
      <c r="F9" s="8" t="n"/>
    </row>
    <row r="10">
      <c r="A10" s="6" t="inlineStr">
        <is>
          <t>Zona de planificación</t>
        </is>
      </c>
      <c r="B10" s="7" t="inlineStr">
        <is>
          <t>Z12</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San Miguel de El Faique</t>
        </is>
      </c>
      <c r="C12" s="6" t="inlineStr">
        <is>
          <t>Capital distrital</t>
        </is>
      </c>
      <c r="D12" s="7" t="inlineStr">
        <is>
          <t>San Miguel de El Faique</t>
        </is>
      </c>
      <c r="E12" s="8" t="n"/>
      <c r="F12" s="8" t="n"/>
    </row>
    <row r="13">
      <c r="A13" s="6" t="inlineStr">
        <is>
          <t>Centro poblado asociado</t>
        </is>
      </c>
      <c r="B13" s="7" t="inlineStr">
        <is>
          <t>Gáspar</t>
        </is>
      </c>
      <c r="C13" s="6" t="inlineStr">
        <is>
          <t>Comunidad campesina</t>
        </is>
      </c>
      <c r="D13" s="7" t="inlineStr">
        <is>
          <t>Por verificar</t>
        </is>
      </c>
      <c r="E13" s="8" t="n"/>
      <c r="F13" s="8" t="n"/>
    </row>
    <row r="14">
      <c r="A14" s="6" t="inlineStr">
        <is>
          <t>Superficie de catálogo (V5/V6), ha</t>
        </is>
      </c>
      <c r="B14" s="7" t="n">
        <v>13.55</v>
      </c>
      <c r="C14" s="6" t="inlineStr">
        <is>
          <t>Fuente de superficie</t>
        </is>
      </c>
      <c r="D14" s="7" t="inlineStr">
        <is>
          <t>Catálogo maestro Bloques V5/V6</t>
        </is>
      </c>
      <c r="E14" s="8" t="n"/>
      <c r="F14" s="8" t="n"/>
    </row>
    <row r="15">
      <c r="A15" s="6" t="inlineStr">
        <is>
          <t>Centroide UTM ESTE (m)</t>
        </is>
      </c>
      <c r="B15" s="7" t="n">
        <v>659649</v>
      </c>
      <c r="C15" s="6" t="inlineStr">
        <is>
          <t>Centroide UTM NORTE (m)</t>
        </is>
      </c>
      <c r="D15" s="7" t="n">
        <v>9401436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2105</v>
      </c>
      <c r="C19" s="6" t="inlineStr">
        <is>
          <t>Altitud máxima (msnm)</t>
        </is>
      </c>
      <c r="D19" s="7" t="n">
        <v>2333</v>
      </c>
      <c r="E19" s="8" t="n"/>
      <c r="F19" s="8" t="n"/>
    </row>
    <row r="20">
      <c r="A20" s="6" t="inlineStr">
        <is>
          <t>Amplitud altitudinal (m)</t>
        </is>
      </c>
      <c r="B20" s="7" t="n">
        <v>228</v>
      </c>
      <c r="C20" s="6" t="inlineStr">
        <is>
          <t>Piso altitudinal dominante</t>
        </is>
      </c>
      <c r="D20" s="7" t="inlineStr">
        <is>
          <t>2000-2500 m (Quechua alta)</t>
        </is>
      </c>
      <c r="E20" s="8" t="n"/>
      <c r="F20" s="8" t="n"/>
    </row>
    <row r="21">
      <c r="A21" s="6" t="inlineStr">
        <is>
          <t>Pendiente promedio (%)</t>
        </is>
      </c>
      <c r="B21" s="7" t="n">
        <v>32.43</v>
      </c>
      <c r="C21" s="6" t="inlineStr">
        <is>
          <t>Pendiente promedio (grados)</t>
        </is>
      </c>
      <c r="D21" s="7" t="n">
        <v>18</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0.5936</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(91.26 %)</t>
        </is>
      </c>
      <c r="E29" s="8" t="n"/>
      <c r="F29" s="8" t="n"/>
    </row>
    <row r="30">
      <c r="A30" s="6" t="inlineStr">
        <is>
          <t>Superficie clasificada NDVI 2025 (ha)</t>
        </is>
      </c>
      <c r="B30" s="7" t="n">
        <v>13.554</v>
      </c>
      <c r="C30" s="6" t="inlineStr">
        <is>
          <t>Desviación frente al catálogo (%)</t>
        </is>
      </c>
      <c r="D30" s="7" t="n">
        <v>0.03</v>
      </c>
      <c r="E30" s="8" t="n"/>
      <c r="F30" s="8" t="n"/>
    </row>
    <row r="31">
      <c r="A31" s="6" t="inlineStr">
        <is>
          <t>Superficie clasificada MSAVI 2024 (ha)</t>
        </is>
      </c>
      <c r="B31" s="38" t="n">
        <v>13.551</v>
      </c>
      <c r="C31" s="6" t="inlineStr">
        <is>
          <t>Desviación MSAVI frente al catálogo (%)</t>
        </is>
      </c>
      <c r="D31" s="39" t="n">
        <v>0.01</v>
      </c>
      <c r="E31" s="8" t="n"/>
      <c r="F31" s="8" t="n"/>
    </row>
    <row r="32">
      <c r="A32" s="6" t="inlineStr">
        <is>
          <t>Superficie bajo umbral MSAVI 0.4976 (ha)</t>
        </is>
      </c>
      <c r="B32" s="38" t="n">
        <v>1.334</v>
      </c>
      <c r="C32" s="6" t="inlineStr">
        <is>
          <t>% del bloque bajo umbral (brecha espectral)</t>
        </is>
      </c>
      <c r="D32" s="39" t="n">
        <v>9.84</v>
      </c>
      <c r="E32" s="8" t="n"/>
      <c r="F32" s="8" t="n"/>
    </row>
    <row r="33">
      <c r="A33" s="6" t="inlineStr">
        <is>
          <t>Clase DN dominante (MSAVI 2024)</t>
        </is>
      </c>
      <c r="B33" s="7" t="inlineStr">
        <is>
          <t>DN 4 · 0.4976 - 0.6139 (Vigor moderado)</t>
        </is>
      </c>
      <c r="C33" s="6" t="inlineStr">
        <is>
          <t>N.° de polígonos MSAVI del bloque</t>
        </is>
      </c>
      <c r="D33" s="40" t="n">
        <v>34</v>
      </c>
      <c r="E33" s="8" t="n"/>
      <c r="F33" s="8" t="n"/>
    </row>
    <row r="34"/>
    <row r="35" ht="18" customHeight="1">
      <c r="A35" s="5" t="inlineStr">
        <is>
          <t>4. ECOSISTEMA Y ESTADO DE CONSERVACIÓN</t>
        </is>
      </c>
    </row>
    <row r="36">
      <c r="A36" s="6" t="inlineStr">
        <is>
          <t>Tipo de ecosistema (UP)</t>
        </is>
      </c>
      <c r="B36" s="7" t="inlineStr">
        <is>
          <t>Matorral Andino subhúmedo</t>
        </is>
      </c>
      <c r="C36" s="6" t="inlineStr">
        <is>
          <t>Superficie de ecosistema (ha)</t>
        </is>
      </c>
      <c r="D36" s="7" t="inlineStr">
        <is>
          <t>5 ha</t>
        </is>
      </c>
      <c r="E36" s="8" t="n"/>
      <c r="F36" s="8" t="n"/>
    </row>
    <row r="37">
      <c r="A37" s="6" t="inlineStr">
        <is>
          <t>Estado de conservación</t>
        </is>
      </c>
      <c r="B37" s="7" t="inlineStr">
        <is>
          <t>Medianamente alterado</t>
        </is>
      </c>
      <c r="C37" s="6" t="inlineStr">
        <is>
          <t>Uso actual dominante del suelo</t>
        </is>
      </c>
      <c r="D37" s="7" t="inlineStr">
        <is>
          <t>Agricultura secano</t>
        </is>
      </c>
      <c r="E37" s="8" t="n"/>
      <c r="F37" s="8" t="n"/>
    </row>
    <row r="38">
      <c r="A38" s="6" t="inlineStr">
        <is>
          <t>Tipo de cobertura dominante</t>
        </is>
      </c>
      <c r="B38" s="7" t="inlineStr">
        <is>
          <t>Cultivo anual</t>
        </is>
      </c>
      <c r="C38" s="6" t="inlineStr">
        <is>
          <t>Cobertura vegetal total — campo (%)</t>
        </is>
      </c>
      <c r="D38" s="7" t="n">
        <v>20</v>
      </c>
      <c r="E38" s="8" t="n"/>
      <c r="F38" s="8" t="n"/>
    </row>
    <row r="39">
      <c r="A39" s="6" t="inlineStr">
        <is>
          <t>Suelo desnudo — campo (%)</t>
        </is>
      </c>
      <c r="B39" s="7" t="n">
        <v>2</v>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n">
        <v>0</v>
      </c>
      <c r="E40" s="8" t="n"/>
      <c r="F40" s="8" t="n"/>
    </row>
    <row r="41">
      <c r="A41" s="6" t="inlineStr">
        <is>
          <t>Elenco florístico (n.° de taxones)</t>
        </is>
      </c>
      <c r="B41" s="7" t="n">
        <v>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Juan Domínguez</t>
        </is>
      </c>
      <c r="C44" s="6" t="inlineStr">
        <is>
          <t>Fecha de evaluación</t>
        </is>
      </c>
      <c r="D44" s="7" t="inlineStr">
        <is>
          <t>2026-08-04</t>
        </is>
      </c>
      <c r="E44" s="8" t="n"/>
      <c r="F44" s="8" t="n"/>
    </row>
    <row r="45">
      <c r="A45" s="6" t="inlineStr">
        <is>
          <t>Hora de registro</t>
        </is>
      </c>
      <c r="B45" s="7" t="inlineStr">
        <is>
          <t>10:22</t>
        </is>
      </c>
      <c r="C45" s="6" t="inlineStr">
        <is>
          <t>Correlativo de ficha</t>
        </is>
      </c>
      <c r="D45" s="7" t="inlineStr">
        <is>
          <t>F-DT-01/B47</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consignada</t>
        </is>
      </c>
      <c r="E47" s="8" t="n"/>
      <c r="F47" s="8" t="n"/>
    </row>
    <row r="48">
      <c r="A48" s="6" t="inlineStr">
        <is>
          <t>Estaciones fotográficas georreferenciadas</t>
        </is>
      </c>
      <c r="B48" s="7" t="inlineStr">
        <is>
          <t>Sin registro en la ficha DT</t>
        </is>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Por determinar (no consignado en campo)</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47</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5.5901</v>
      </c>
      <c r="C10" s="19">
        <f>ROUND(B10/$B$15*100,2)</f>
        <v/>
      </c>
      <c r="D10" s="11" t="inlineStr">
        <is>
          <t>Vigor alto</t>
        </is>
      </c>
      <c r="E10" s="11" t="inlineStr">
        <is>
          <t>Sobre umbral</t>
        </is>
      </c>
    </row>
    <row r="11">
      <c r="A11" s="12" t="inlineStr">
        <is>
          <t>0.4976 - 0.6139 · DN 4</t>
        </is>
      </c>
      <c r="B11" s="32" t="n">
        <v>6.6276</v>
      </c>
      <c r="C11" s="31">
        <f>ROUND(B11/$B$15*100,2)</f>
        <v/>
      </c>
      <c r="D11" s="13" t="inlineStr">
        <is>
          <t>Vigor moderado</t>
        </is>
      </c>
      <c r="E11" s="13" t="inlineStr">
        <is>
          <t>Sobre umbral</t>
        </is>
      </c>
    </row>
    <row r="12">
      <c r="A12" s="7" t="inlineStr">
        <is>
          <t>0.3813 - 0.4976 · DN 3</t>
        </is>
      </c>
      <c r="B12" s="18" t="n">
        <v>1.3336</v>
      </c>
      <c r="C12" s="19">
        <f>ROUND(B12/$B$15*100,2)</f>
        <v/>
      </c>
      <c r="D12" s="11" t="inlineStr">
        <is>
          <t>Vigor bajo</t>
        </is>
      </c>
      <c r="E12" s="11" t="inlineStr">
        <is>
          <t>BAJO umbral 0.4976</t>
        </is>
      </c>
    </row>
    <row r="13">
      <c r="A13" s="14" t="inlineStr">
        <is>
          <t>0.2650 - 0.3813 · DN 2</t>
        </is>
      </c>
      <c r="B13" s="20" t="n">
        <v>0</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34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13.55</v>
      </c>
      <c r="C18" s="49" t="inlineStr">
        <is>
          <t>—</t>
        </is>
      </c>
      <c r="D18" s="46" t="inlineStr">
        <is>
          <t>Desviación planimétrica frente al catálogo</t>
        </is>
      </c>
      <c r="E18" s="46" t="inlineStr">
        <is>
          <t>+0.01 %</t>
        </is>
      </c>
    </row>
    <row r="19">
      <c r="A19" s="16" t="inlineStr">
        <is>
          <t>MSAVI 2024 — MEDIA DEL BLOQUE</t>
        </is>
      </c>
      <c r="B19" s="17" t="n">
        <v>0.593628</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34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(0.5936)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12.3684</v>
      </c>
      <c r="C25" s="19" t="n">
        <v>91.26000000000001</v>
      </c>
      <c r="D25" s="11" t="inlineStr">
        <is>
          <t>Dosel continuo, matorral denso o mosaico agroforestal</t>
        </is>
      </c>
      <c r="E25" s="11" t="inlineStr"/>
    </row>
    <row r="26">
      <c r="A26" s="14" t="inlineStr">
        <is>
          <t>Vegetación mediana</t>
        </is>
      </c>
      <c r="B26" s="20" t="n">
        <v>1.1852</v>
      </c>
      <c r="C26" s="21" t="n">
        <v>8.74</v>
      </c>
      <c r="D26" s="15" t="inlineStr">
        <is>
          <t>Pastizal cultivado, matorral ralo, parcelas agrícolas</t>
        </is>
      </c>
      <c r="E26" s="15" t="inlineStr"/>
    </row>
    <row r="27">
      <c r="A27" s="16" t="inlineStr">
        <is>
          <t>TOTAL CLASIFICADO</t>
        </is>
      </c>
      <c r="B27" s="22">
        <f>SUM(B25:B26)</f>
        <v/>
      </c>
      <c r="C27" s="23">
        <f>SUM(C25:C26)</f>
        <v/>
      </c>
      <c r="D27" s="17" t="inlineStr"/>
      <c r="E27" s="17" t="inlineStr"/>
    </row>
    <row r="28">
      <c r="A28" s="24" t="inlineStr">
        <is>
          <t>Superficie de catálogo (V5/V6)</t>
        </is>
      </c>
      <c r="B28" s="25" t="n">
        <v>13.55</v>
      </c>
      <c r="C28" s="25" t="inlineStr">
        <is>
          <t>—</t>
        </is>
      </c>
      <c r="D28" s="25" t="inlineStr">
        <is>
          <t>Desviación planimétrica frente al catálogo</t>
        </is>
      </c>
      <c r="E28" s="25" t="inlineStr">
        <is>
          <t>+0.03 %</t>
        </is>
      </c>
    </row>
    <row r="29"/>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20 % frente a un 91.26 % del polígono clasificado como «Vegetación alta» por el NDVI 2025; la observación de campo corresponde a una parcela o recorrido puntual y no es estadísticamente representativa de las 13.550 ha del bloque.</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47</t>
        </is>
      </c>
    </row>
    <row r="6" ht="24" customHeight="1">
      <c r="A6" s="4" t="inlineStr">
        <is>
          <t>Levantamiento del 2026-08-04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659813</v>
      </c>
      <c r="D10" s="26" t="n">
        <v>9401357</v>
      </c>
      <c r="E10" s="11" t="n">
        <v>182</v>
      </c>
      <c r="F10" s="11" t="inlineStr"/>
      <c r="G10" s="11" t="inlineStr">
        <is>
          <t>Coordenada consignada en F-DT-01</t>
        </is>
      </c>
    </row>
    <row r="11">
      <c r="A11" s="14" t="inlineStr">
        <is>
          <t>H-01</t>
        </is>
      </c>
      <c r="B11" s="15" t="inlineStr">
        <is>
          <t>Fuente de agua — Quebrada estacional</t>
        </is>
      </c>
      <c r="C11" s="27" t="inlineStr">
        <is>
          <t>Por determinar</t>
        </is>
      </c>
      <c r="D11" s="27" t="inlineStr">
        <is>
          <t>Por determinar</t>
        </is>
      </c>
      <c r="E11" s="15" t="inlineStr"/>
      <c r="F11" s="15" t="inlineStr">
        <is>
          <t>Efímero</t>
        </is>
      </c>
      <c r="G11" s="15" t="inlineStr">
        <is>
          <t>Quebrada s/n colindante</t>
        </is>
      </c>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659649</v>
      </c>
      <c r="C14" s="6" t="inlineStr">
        <is>
          <t>Centroide del bloque — UTM NORTE (m)</t>
        </is>
      </c>
      <c r="D14" s="7" t="n">
        <v>9401436</v>
      </c>
      <c r="E14" s="8" t="n"/>
      <c r="F14" s="8" t="n"/>
      <c r="G14" s="8" t="n"/>
      <c r="H14" s="8" t="n"/>
    </row>
    <row r="15">
      <c r="A15" s="6" t="inlineStr">
        <is>
          <t>N.° de estaciones fotográficas declaradas</t>
        </is>
      </c>
      <c r="B15" s="7" t="inlineStr">
        <is>
          <t>Sin registro en la ficha DT</t>
        </is>
      </c>
      <c r="C15" s="6" t="inlineStr">
        <is>
          <t>Estaciones dentro del polígono</t>
        </is>
      </c>
      <c r="D15" s="7" t="inlineStr">
        <is>
          <t>Por determinar</t>
        </is>
      </c>
      <c r="E15" s="8" t="n"/>
      <c r="F15" s="8" t="n"/>
      <c r="G15" s="8" t="n"/>
      <c r="H15" s="8" t="n"/>
    </row>
    <row r="17" ht="120"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Ladera de montaña alta con pendiente general menor al 60%, que se incrementa al ascender. El acceso se realiza a pie por laderas que han sufrido DESLIZAMIENTOS a causa de la construcción de un camino. La ladera se emplea para pastoreo extensivo de ganado vacuno del centro poblado próximo. NOTA DE GABINETE (SESDI): el campo «¿Reptación de suelo observada?» se registró como «No» en la ficha, EN CONTRADICCIÓN con la observación textual que reporta reptación. Se mantiene el valor de la ficha y se deja constancia de la inconsistencia.</t>
        </is>
      </c>
      <c r="B17" s="41" t="n"/>
      <c r="C17" s="41" t="n"/>
      <c r="D17" s="41" t="n"/>
      <c r="E17" s="41" t="n"/>
      <c r="F17" s="41" t="n"/>
      <c r="G17" s="42" t="n"/>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C1076-Q9586 — BLOQUE 47</t>
        </is>
      </c>
    </row>
    <row r="6" ht="24" customHeight="1">
      <c r="A6" s="4" t="inlineStr">
        <is>
          <t>Distrito de San Miguel de El Faique · Provincia de Huancabamba · Comparación de los bloques preliminares de intervención de la misma microcuenca</t>
        </is>
      </c>
    </row>
    <row r="7"/>
    <row r="8" ht="18" customHeight="1">
      <c r="A8" s="5" t="inlineStr">
        <is>
          <t>BLOQUES DE LA MICROCUENCA C1076-Q9586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9</t>
        </is>
      </c>
      <c r="B10" s="28" t="n">
        <v>109.86</v>
      </c>
      <c r="C10" s="19" t="n">
        <v>40.1</v>
      </c>
      <c r="D10" s="11" t="inlineStr">
        <is>
          <t>1529 – 2264</t>
        </is>
      </c>
      <c r="E10" s="11" t="n">
        <v>735</v>
      </c>
      <c r="F10" s="11" t="n">
        <v>34.82</v>
      </c>
      <c r="G10" s="18" t="n">
        <v>0.5745</v>
      </c>
      <c r="H10" s="19" t="n">
        <v>90.23999999999999</v>
      </c>
      <c r="I10" s="19" t="n">
        <v>11.68</v>
      </c>
    </row>
    <row r="11">
      <c r="A11" s="14" t="inlineStr">
        <is>
          <t>M22B1</t>
        </is>
      </c>
      <c r="B11" s="29" t="n">
        <v>55.17</v>
      </c>
      <c r="C11" s="21" t="n">
        <v>20.14</v>
      </c>
      <c r="D11" s="15" t="inlineStr">
        <is>
          <t>3216 – 3436</t>
        </is>
      </c>
      <c r="E11" s="15" t="n">
        <v>220</v>
      </c>
      <c r="F11" s="15" t="n">
        <v>19.98</v>
      </c>
      <c r="G11" s="20" t="n">
        <v>0.594</v>
      </c>
      <c r="H11" s="21" t="n">
        <v>91.05</v>
      </c>
      <c r="I11" s="21" t="n">
        <v>4.1</v>
      </c>
    </row>
    <row r="12">
      <c r="A12" s="7" t="inlineStr">
        <is>
          <t>35</t>
        </is>
      </c>
      <c r="B12" s="28" t="n">
        <v>30.8</v>
      </c>
      <c r="C12" s="19" t="n">
        <v>11.24</v>
      </c>
      <c r="D12" s="11" t="inlineStr">
        <is>
          <t>1376 – 1621</t>
        </is>
      </c>
      <c r="E12" s="11" t="n">
        <v>245</v>
      </c>
      <c r="F12" s="11" t="n">
        <v>33.66</v>
      </c>
      <c r="G12" s="18" t="n">
        <v>0.6245000000000001</v>
      </c>
      <c r="H12" s="19" t="n">
        <v>98.17</v>
      </c>
      <c r="I12" s="19" t="n">
        <v>1.19</v>
      </c>
    </row>
    <row r="13">
      <c r="A13" s="14" t="inlineStr">
        <is>
          <t>44</t>
        </is>
      </c>
      <c r="B13" s="29" t="n">
        <v>28.23</v>
      </c>
      <c r="C13" s="21" t="n">
        <v>10.3</v>
      </c>
      <c r="D13" s="15" t="inlineStr">
        <is>
          <t>3091 – 3277</t>
        </is>
      </c>
      <c r="E13" s="15" t="n">
        <v>186</v>
      </c>
      <c r="F13" s="15" t="n">
        <v>22.21</v>
      </c>
      <c r="G13" s="20" t="n">
        <v>0.5113</v>
      </c>
      <c r="H13" s="21" t="n">
        <v>83.84999999999999</v>
      </c>
      <c r="I13" s="21" t="n">
        <v>52.06</v>
      </c>
    </row>
    <row r="14">
      <c r="A14" s="7" t="inlineStr">
        <is>
          <t>43</t>
        </is>
      </c>
      <c r="B14" s="28" t="n">
        <v>23.17</v>
      </c>
      <c r="C14" s="19" t="n">
        <v>8.460000000000001</v>
      </c>
      <c r="D14" s="11" t="inlineStr">
        <is>
          <t>251 – 811</t>
        </is>
      </c>
      <c r="E14" s="11" t="n">
        <v>560</v>
      </c>
      <c r="F14" s="11" t="n">
        <v>31.39</v>
      </c>
      <c r="G14" s="18" t="n">
        <v>0.5515</v>
      </c>
      <c r="H14" s="19" t="n">
        <v>78.91</v>
      </c>
      <c r="I14" s="19" t="n">
        <v>21.28</v>
      </c>
    </row>
    <row r="15">
      <c r="A15" s="12" t="inlineStr">
        <is>
          <t>► 47</t>
        </is>
      </c>
      <c r="B15" s="30" t="n">
        <v>13.55</v>
      </c>
      <c r="C15" s="31" t="n">
        <v>4.95</v>
      </c>
      <c r="D15" s="13" t="inlineStr">
        <is>
          <t>2105 – 2333</t>
        </is>
      </c>
      <c r="E15" s="13" t="n">
        <v>228</v>
      </c>
      <c r="F15" s="13" t="n">
        <v>32.43</v>
      </c>
      <c r="G15" s="32" t="n">
        <v>0.5936</v>
      </c>
      <c r="H15" s="31" t="n">
        <v>91.26000000000001</v>
      </c>
      <c r="I15" s="31" t="n">
        <v>9.84</v>
      </c>
    </row>
    <row r="16">
      <c r="A16" s="7" t="inlineStr">
        <is>
          <t>67</t>
        </is>
      </c>
      <c r="B16" s="28" t="n">
        <v>13.18</v>
      </c>
      <c r="C16" s="19" t="n">
        <v>4.81</v>
      </c>
      <c r="D16" s="11" t="inlineStr">
        <is>
          <t>1575 – 1770</t>
        </is>
      </c>
      <c r="E16" s="11" t="n">
        <v>195</v>
      </c>
      <c r="F16" s="11" t="n">
        <v>30.33</v>
      </c>
      <c r="G16" s="18" t="n">
        <v>0.6052999999999999</v>
      </c>
      <c r="H16" s="19" t="n">
        <v>97.5</v>
      </c>
      <c r="I16" s="19" t="n">
        <v>2.12</v>
      </c>
    </row>
    <row r="17">
      <c r="A17" s="16" t="inlineStr">
        <is>
          <t>TOTAL / PROMEDIO</t>
        </is>
      </c>
      <c r="B17" s="33">
        <f>SUM(B10:B16)</f>
        <v/>
      </c>
      <c r="C17" s="23">
        <f>SUM(C10:C16)</f>
        <v/>
      </c>
      <c r="D17" s="17" t="inlineStr">
        <is>
          <t>251 – 3436</t>
        </is>
      </c>
      <c r="E17" s="17" t="inlineStr"/>
      <c r="F17" s="17">
        <f>ROUND(AVERAGE(F10:F16),2)</f>
        <v/>
      </c>
      <c r="G17" s="22">
        <f>ROUND(AVERAGE(G10:G16),4)</f>
        <v/>
      </c>
      <c r="H17" s="23">
        <f>ROUND(AVERAGE(H10:H16),2)</f>
        <v/>
      </c>
      <c r="I17" s="23">
        <f>ROUND(AVERAGE(I10:I16),2)</f>
        <v/>
      </c>
    </row>
    <row r="18"/>
    <row r="19" ht="84" customHeight="1">
      <c r="A19" s="9" t="inlineStr">
        <is>
          <t>LECTURA INTRAMICROCUENCA. El bloque 47 ocupa el puesto 6 de 7 por superficie dentro de la microcuenca C1076-Q9586 (4.95 % de las 273.96 ha preliminares de la microcuenca). Su pendiente promedio (32.43 %, clase «25-50% (Mod. escarpado)») es la 5.ª más baja de 7 y se sitúa por encima del promedio de la microcuenca (29.26 %). Su MSAVI 2024 (0.5936) es el 4.º de 7 y queda por encima del promedio local (0.5793). Amplitud altitudinal del bloque: 228 m (2105–2333 msnm). El cuadro conserva todos los bloques catalogados en la microcuenca, incluidos los descartados en el tamizaje, para referencia del conjunto. Los bloques sin ficha DT figuran con sus parámetros de gabinete. BRECHA ESPECTRAL. El 9.84 % de la superficie del bloque (1.334 ha de 13.551 ha) se sitúa bajo el umbral MSAVI 0.4976, por debajo del promedio local de la microcuenca (14.61 %) calculado sobre los bloques con dato MSAVI disponible.</t>
        </is>
      </c>
      <c r="B19" s="41" t="n"/>
      <c r="C19" s="41" t="n"/>
      <c r="D19" s="41" t="n"/>
      <c r="E19" s="41" t="n"/>
      <c r="F19" s="41" t="n"/>
      <c r="G19" s="41" t="n"/>
      <c r="H19" s="42" t="n"/>
    </row>
    <row r="20"/>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1" s="41" t="n"/>
      <c r="C21" s="41" t="n"/>
      <c r="D21" s="41" t="n"/>
      <c r="E21" s="41" t="n"/>
      <c r="F21" s="41" t="n"/>
      <c r="G21" s="41" t="n"/>
      <c r="H21" s="42" t="n"/>
    </row>
  </sheetData>
  <mergeCells count="9">
    <mergeCell ref="A1:I1"/>
    <mergeCell ref="A4:I4"/>
    <mergeCell ref="A3:I3"/>
    <mergeCell ref="A21:I21"/>
    <mergeCell ref="A2:I2"/>
    <mergeCell ref="A19:I19"/>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47</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La ficha DT declara «C1076-Q9584»; el catálogo maestro V5/V6 asigna el bloque a «C1076-Q9586»</t>
        </is>
      </c>
      <c r="D10" s="35" t="inlineStr">
        <is>
          <t>SUSTANTIVA</t>
        </is>
      </c>
      <c r="E10" s="34" t="inlineStr">
        <is>
          <t>Se conserva el código del catálogo maestro para todo cálculo intramicrocuenca. La declaración de la ficha debe corregirse en la siguiente versión del formato V5.</t>
        </is>
      </c>
    </row>
    <row r="11" ht="48" customHeight="1">
      <c r="A11" s="36" t="inlineStr">
        <is>
          <t>D-02</t>
        </is>
      </c>
      <c r="B11" s="36" t="inlineStr">
        <is>
          <t>UTM del punto de muestreo</t>
        </is>
      </c>
      <c r="C11" s="36" t="inlineStr">
        <is>
          <t>El punto de muestreo declarado dista 182 m del centroide de catálogo, compatible con la extensión del bloque</t>
        </is>
      </c>
      <c r="D11" s="37" t="inlineStr">
        <is>
          <t>CONFORME</t>
        </is>
      </c>
      <c r="E11" s="36" t="inlineStr">
        <is>
          <t>Sin acción.</t>
        </is>
      </c>
    </row>
    <row r="12" ht="48" customHeight="1">
      <c r="A12" s="34" t="inlineStr">
        <is>
          <t>D-03</t>
        </is>
      </c>
      <c r="B12" s="34" t="inlineStr">
        <is>
          <t>Superficie del polígono</t>
        </is>
      </c>
      <c r="C12" s="34" t="inlineStr">
        <is>
          <t>La superficie clasificada por el NDVI 2025 (13.554 ha) coincide con la de catálogo (13.55 ha) dentro del ±2 % (+0.03 %)</t>
        </is>
      </c>
      <c r="D12" s="37" t="inlineStr">
        <is>
          <t>CONFORME</t>
        </is>
      </c>
      <c r="E12" s="34" t="inlineStr">
        <is>
          <t>Sin acción: la segmentación valida la geometría del bloque.</t>
        </is>
      </c>
    </row>
    <row r="13" ht="48" customHeight="1">
      <c r="A13" s="36" t="inlineStr">
        <is>
          <t>D-04</t>
        </is>
      </c>
      <c r="B13" s="36" t="inlineStr">
        <is>
          <t>Cobertura vegetal total</t>
        </is>
      </c>
      <c r="C13" s="36" t="inlineStr">
        <is>
          <t>La ficha DT estima 20 % de cobertura vegetal en campo; el NDVI mediana 2025 clasifica 100.00 % del polígono en clases de vegetación</t>
        </is>
      </c>
      <c r="D13" s="13" t="inlineStr">
        <is>
          <t>NO SUSTANTIVA</t>
        </is>
      </c>
      <c r="E13" s="36"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4" t="inlineStr">
        <is>
          <t>D-05</t>
        </is>
      </c>
      <c r="B14" s="34" t="inlineStr">
        <is>
          <t>Elenco florístico</t>
        </is>
      </c>
      <c r="C14" s="34" t="inlineStr">
        <is>
          <t>La ficha registra 5 taxones, por debajo del mínimo de 15 que exige el formato V5</t>
        </is>
      </c>
      <c r="D14" s="35" t="inlineStr">
        <is>
          <t>SUSTANTIVA</t>
        </is>
      </c>
      <c r="E14" s="34" t="inlineStr">
        <is>
          <t>Registro florístico preliminar, sin colecta ni determinación botánica formal. Debe cerrarse con colecta botánica en la siguiente campaña.</t>
        </is>
      </c>
    </row>
    <row r="15" ht="48" customHeight="1">
      <c r="A15" s="36" t="inlineStr">
        <is>
          <t>D-06</t>
        </is>
      </c>
      <c r="B15" s="36" t="inlineStr">
        <is>
          <t>Centro poblado asociado</t>
        </is>
      </c>
      <c r="C15" s="36" t="inlineStr">
        <is>
          <t>La ficha DT declara «Gáspar»; el cruce INEI-Bloques V5 identifica 1 centro(s) poblado(s) en el bloque: GASPAR</t>
        </is>
      </c>
      <c r="D15" s="13" t="inlineStr">
        <is>
          <t>NO SUSTANTIVA</t>
        </is>
      </c>
      <c r="E15" s="36" t="inlineStr">
        <is>
          <t>Se conserva el registro de campo como referencia y se adopta el listado INEI para el diagnóstico social y el cálculo de población beneficiaria.</t>
        </is>
      </c>
    </row>
    <row r="16" ht="48" customHeight="1">
      <c r="A16" s="34" t="inlineStr">
        <is>
          <t>D-07</t>
        </is>
      </c>
      <c r="B16" s="34" t="inlineStr">
        <is>
          <t>Peligro integrado (MCA-AHP)</t>
        </is>
      </c>
      <c r="C16" s="34" t="inlineStr">
        <is>
          <t>El nivel de peligro integrado no está disponible en los insumos de este entregable</t>
        </is>
      </c>
      <c r="D16" s="35" t="inlineStr">
        <is>
          <t>SUSTANTIVA</t>
        </is>
      </c>
      <c r="E16" s="34" t="inlineStr">
        <is>
          <t>Debe tomarse del modelamiento de mesolocalización (PMM + EPH + PGI ponderados por AHP) antes de fijar la prioridad definitiva de intervención del bloque.</t>
        </is>
      </c>
    </row>
    <row r="17" ht="48" customHeight="1">
      <c r="A17" s="34" t="inlineStr">
        <is>
          <t>D-08</t>
        </is>
      </c>
      <c r="B17" s="34" t="inlineStr">
        <is>
          <t>Distribución areal MSAVI 2024</t>
        </is>
      </c>
      <c r="C17" s="34" t="inlineStr">
        <is>
          <t>La distribución por clase de MSAVI no figuraba en los insumos del entregable y se consignaba «Por determinar»; se incorpora la estadística zonal del ráster MSAVI clasificado (34 polígonos, 13.551 ha)</t>
        </is>
      </c>
      <c r="D17" s="35" t="inlineStr">
        <is>
          <t>CORREGIDO</t>
        </is>
      </c>
      <c r="E17"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18" ht="48" customHeight="1">
      <c r="A18" s="34" t="inlineStr">
        <is>
          <t>D-09</t>
        </is>
      </c>
      <c r="B18" s="34" t="inlineStr">
        <is>
          <t>Superficie MSAVI vs. catálogo</t>
        </is>
      </c>
      <c r="C18" s="34" t="inlineStr">
        <is>
          <t>La superficie total clasificada por el MSAVI 2024 (13.551 ha) frente a la de catálogo V5/V6 (13.550 ha): desviación de +0.01 %</t>
        </is>
      </c>
      <c r="D18" s="35" t="inlineStr">
        <is>
          <t>CONFORME</t>
        </is>
      </c>
      <c r="E18" s="34" t="inlineStr">
        <is>
          <t>Sin acción: la segmentación del ráster valida la geometría del bloque dentro del ±2 %.</t>
        </is>
      </c>
    </row>
    <row r="19" ht="48" customHeight="1">
      <c r="A19" s="34" t="inlineStr">
        <is>
          <t>D-10</t>
        </is>
      </c>
      <c r="B19" s="34" t="inlineStr">
        <is>
          <t>Media MSAVI vs. clase DN dominante</t>
        </is>
      </c>
      <c r="C19" s="34" t="inlineStr">
        <is>
          <t>La media del bloque (0.5936) cae en la clase «DN 4 · 0.4976 - 0.6139 (Vigor moderado)»; la clase de mayor superficie es «DN 4 · 0.4976 - 0.6139 (Vigor moderado)», con 48.91 % del bloque. Superficie bajo el umbral 0.4976: 1.334 ha (9.84 %)</t>
        </is>
      </c>
      <c r="D19" s="35" t="inlineStr">
        <is>
          <t>CONFORME</t>
        </is>
      </c>
      <c r="E19" s="34" t="inlineStr">
        <is>
          <t>Sin acción: la media del bloque y la clase de mayor superficie coinciden.</t>
        </is>
      </c>
    </row>
    <row r="20"/>
    <row r="21">
      <c r="A21" s="16" t="inlineStr">
        <is>
          <t>RESUMEN</t>
        </is>
      </c>
      <c r="B21" s="17" t="inlineStr">
        <is>
          <t>10 verificaciones</t>
        </is>
      </c>
      <c r="C21" s="17" t="inlineStr">
        <is>
          <t>CONFORME: 4 · CORREGIDO: 1 · NO SUSTANTIVA: 2 · SUSTANTIVA: 3</t>
        </is>
      </c>
      <c r="D21" s="17" t="inlineStr"/>
      <c r="E21" s="17" t="inlineStr"/>
    </row>
    <row r="22"/>
    <row r="23" ht="60" customHeight="1">
      <c r="A23"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3" s="41" t="n"/>
      <c r="C23" s="41" t="n"/>
      <c r="D23" s="41" t="n"/>
      <c r="E23" s="42" t="n"/>
    </row>
  </sheetData>
  <mergeCells count="8">
    <mergeCell ref="A4:E4"/>
    <mergeCell ref="A2:E2"/>
    <mergeCell ref="A5:E5"/>
    <mergeCell ref="A1:E1"/>
    <mergeCell ref="A23:E23"/>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47 — IN Piura</dc:title>
  <dc:subject>Diagnóstico Territorial por bloque de intervención</dc:subject>
  <dcterms:created xsi:type="dcterms:W3CDTF">2026-09-08T03:39:56Z</dcterms:created>
  <dcterms:modified xsi:type="dcterms:W3CDTF">2026-09-09T23:30:52Z</dcterms:modified>
</cp:coreProperties>
</file>