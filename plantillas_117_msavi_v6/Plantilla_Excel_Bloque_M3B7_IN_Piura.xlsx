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10">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
      <patternFill patternType="solid">
        <fgColor rgb="00C6E0B4"/>
      </patternFill>
    </fill>
  </fills>
  <borders count="7">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s>
  <cellStyleXfs count="1">
    <xf numFmtId="0" fontId="0" fillId="0" borderId="0"/>
  </cellStyleXfs>
  <cellXfs count="51">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M3B7</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M3B7</t>
        </is>
      </c>
      <c r="C9" s="6" t="inlineStr">
        <is>
          <t>Microcuenca (catálogo)</t>
        </is>
      </c>
      <c r="D9" s="7" t="inlineStr">
        <is>
          <t>C1081-Q9582</t>
        </is>
      </c>
      <c r="E9" s="8" t="n"/>
      <c r="F9" s="8" t="n"/>
    </row>
    <row r="10">
      <c r="A10" s="6" t="inlineStr">
        <is>
          <t>Zona de planificación</t>
        </is>
      </c>
      <c r="B10" s="7" t="inlineStr">
        <is>
          <t>Z08</t>
        </is>
      </c>
      <c r="C10" s="6" t="inlineStr">
        <is>
          <t>Microcuenca declarada en ficha DT</t>
        </is>
      </c>
      <c r="D10" s="7" t="inlineStr">
        <is>
          <t>C1081-Q9582</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San Juan de Bigote</t>
        </is>
      </c>
      <c r="C12" s="6" t="inlineStr">
        <is>
          <t>Capital distrital</t>
        </is>
      </c>
      <c r="D12" s="7" t="inlineStr">
        <is>
          <t>San Juan de Bigote</t>
        </is>
      </c>
      <c r="E12" s="8" t="n"/>
      <c r="F12" s="8" t="n"/>
    </row>
    <row r="13">
      <c r="A13" s="6" t="inlineStr">
        <is>
          <t>Centro poblado asociado</t>
        </is>
      </c>
      <c r="B13" s="7" t="inlineStr">
        <is>
          <t>Polluco; Sinaí</t>
        </is>
      </c>
      <c r="C13" s="6" t="inlineStr">
        <is>
          <t>Comunidad campesina</t>
        </is>
      </c>
      <c r="D13" s="7" t="inlineStr">
        <is>
          <t>No pertenecen a ninguna comunidad campesina (F-DS-02)</t>
        </is>
      </c>
      <c r="E13" s="8" t="n"/>
      <c r="F13" s="8" t="n"/>
    </row>
    <row r="14">
      <c r="A14" s="6" t="inlineStr">
        <is>
          <t>Superficie de catálogo (V5/V6), ha</t>
        </is>
      </c>
      <c r="B14" s="7" t="n">
        <v>122.95</v>
      </c>
      <c r="C14" s="6" t="inlineStr">
        <is>
          <t>Fuente de superficie</t>
        </is>
      </c>
      <c r="D14" s="7" t="inlineStr">
        <is>
          <t>Catálogo maestro Bloques V5/V6</t>
        </is>
      </c>
      <c r="E14" s="8" t="n"/>
      <c r="F14" s="8" t="n"/>
    </row>
    <row r="15">
      <c r="A15" s="6" t="inlineStr">
        <is>
          <t>Centroide UTM ESTE (m)</t>
        </is>
      </c>
      <c r="B15" s="7" t="n">
        <v>638309</v>
      </c>
      <c r="C15" s="6" t="inlineStr">
        <is>
          <t>Centroide UTM NORTE (m)</t>
        </is>
      </c>
      <c r="D15" s="7" t="n">
        <v>9415217</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238</v>
      </c>
      <c r="C19" s="6" t="inlineStr">
        <is>
          <t>Altitud máxima (msnm)</t>
        </is>
      </c>
      <c r="D19" s="7" t="n">
        <v>447</v>
      </c>
      <c r="E19" s="8" t="n"/>
      <c r="F19" s="8" t="n"/>
    </row>
    <row r="20">
      <c r="A20" s="6" t="inlineStr">
        <is>
          <t>Amplitud altitudinal (m)</t>
        </is>
      </c>
      <c r="B20" s="7" t="n">
        <v>209</v>
      </c>
      <c r="C20" s="6" t="inlineStr">
        <is>
          <t>Piso altitudinal dominante</t>
        </is>
      </c>
      <c r="D20" s="7" t="inlineStr">
        <is>
          <t>&lt;1000 m (Yunga)</t>
        </is>
      </c>
      <c r="E20" s="8" t="n"/>
      <c r="F20" s="8" t="n"/>
    </row>
    <row r="21">
      <c r="A21" s="6" t="inlineStr">
        <is>
          <t>Pendiente promedio (%)</t>
        </is>
      </c>
      <c r="B21" s="7" t="n">
        <v>18.21</v>
      </c>
      <c r="C21" s="6" t="inlineStr">
        <is>
          <t>Pendiente promedio (grados)</t>
        </is>
      </c>
      <c r="D21" s="7" t="n">
        <v>10.3</v>
      </c>
      <c r="E21" s="8" t="n"/>
      <c r="F21" s="8" t="n"/>
    </row>
    <row r="22">
      <c r="A22" s="6" t="inlineStr">
        <is>
          <t>Clase de pendiente equivalente</t>
        </is>
      </c>
      <c r="B22" s="7" t="inlineStr">
        <is>
          <t>15-25% (Fuert. inclinado)</t>
        </is>
      </c>
      <c r="C22" s="6" t="inlineStr">
        <is>
          <t>Rango de pendiente declarado en campo</t>
        </is>
      </c>
      <c r="D22" s="7" t="inlineStr">
        <is>
          <t>25-50% (Mod. escarpado)</t>
        </is>
      </c>
      <c r="E22" s="8" t="n"/>
      <c r="F22" s="8" t="n"/>
    </row>
    <row r="23">
      <c r="A23" s="6" t="inlineStr">
        <is>
          <t>Forma predominante del terreno</t>
        </is>
      </c>
      <c r="B23" s="7" t="inlineStr">
        <is>
          <t>Colinoso</t>
        </is>
      </c>
      <c r="C23" s="6" t="inlineStr">
        <is>
          <t>Posición fisiográfica</t>
        </is>
      </c>
      <c r="D23" s="7" t="inlineStr">
        <is>
          <t>Ladera media</t>
        </is>
      </c>
      <c r="E23" s="8" t="n"/>
      <c r="F23" s="8" t="n"/>
    </row>
    <row r="24">
      <c r="A24" s="6" t="inlineStr">
        <is>
          <t>Exposición / orientación</t>
        </is>
      </c>
      <c r="B24" s="7" t="inlineStr">
        <is>
          <t>Suroeste</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0.3707</v>
      </c>
      <c r="C28" s="6" t="inlineStr">
        <is>
          <t>MSAVI 2024 — clase de la media</t>
        </is>
      </c>
      <c r="D28" s="7" t="inlineStr">
        <is>
          <t>0.2650 - 0.3813 (Vigor muy bajo)</t>
        </is>
      </c>
      <c r="E28" s="8" t="n"/>
      <c r="F28" s="8" t="n"/>
    </row>
    <row r="29">
      <c r="A29" s="6" t="inlineStr">
        <is>
          <t>Condición frente al umbral 0.4976</t>
        </is>
      </c>
      <c r="B29" s="7" t="inlineStr">
        <is>
          <t>BAJO umbral 0.4976</t>
        </is>
      </c>
      <c r="C29" s="6" t="inlineStr">
        <is>
          <t>NDVI mediana 2025 — clase modal</t>
        </is>
      </c>
      <c r="D29" s="7" t="inlineStr">
        <is>
          <t>Vegetación mediana (47.03 %)</t>
        </is>
      </c>
      <c r="E29" s="8" t="n"/>
      <c r="F29" s="8" t="n"/>
    </row>
    <row r="30">
      <c r="A30" s="6" t="inlineStr">
        <is>
          <t>Superficie clasificada NDVI 2025 (ha)</t>
        </is>
      </c>
      <c r="B30" s="7" t="n">
        <v>122.987</v>
      </c>
      <c r="C30" s="6" t="inlineStr">
        <is>
          <t>Desviación frente al catálogo (%)</t>
        </is>
      </c>
      <c r="D30" s="7" t="n">
        <v>0.03</v>
      </c>
      <c r="E30" s="8" t="n"/>
      <c r="F30" s="8" t="n"/>
    </row>
    <row r="31">
      <c r="A31" s="6" t="inlineStr">
        <is>
          <t>Superficie clasificada MSAVI 2024 (ha)</t>
        </is>
      </c>
      <c r="B31" s="39" t="n">
        <v>122.946</v>
      </c>
      <c r="C31" s="6" t="inlineStr">
        <is>
          <t>Desviación MSAVI frente al catálogo (%)</t>
        </is>
      </c>
      <c r="D31" s="40" t="n">
        <v>0</v>
      </c>
      <c r="E31" s="8" t="n"/>
      <c r="F31" s="8" t="n"/>
    </row>
    <row r="32">
      <c r="A32" s="6" t="inlineStr">
        <is>
          <t>Superficie bajo umbral MSAVI 0.4976 (ha)</t>
        </is>
      </c>
      <c r="B32" s="39" t="n">
        <v>117.943</v>
      </c>
      <c r="C32" s="6" t="inlineStr">
        <is>
          <t>% del bloque bajo umbral (brecha espectral)</t>
        </is>
      </c>
      <c r="D32" s="40" t="n">
        <v>95.93000000000001</v>
      </c>
      <c r="E32" s="8" t="n"/>
      <c r="F32" s="8" t="n"/>
    </row>
    <row r="33">
      <c r="A33" s="6" t="inlineStr">
        <is>
          <t>Clase DN dominante (MSAVI 2024)</t>
        </is>
      </c>
      <c r="B33" s="7" t="inlineStr">
        <is>
          <t>DN 2 · 0.2650 - 0.3813 (Vigor muy bajo)</t>
        </is>
      </c>
      <c r="C33" s="6" t="inlineStr">
        <is>
          <t>N.° de polígonos MSAVI del bloque</t>
        </is>
      </c>
      <c r="D33" s="41" t="n">
        <v>454</v>
      </c>
      <c r="E33" s="8" t="n"/>
      <c r="F33" s="8" t="n"/>
    </row>
    <row r="34"/>
    <row r="35" ht="18" customHeight="1">
      <c r="A35" s="5" t="inlineStr">
        <is>
          <t>4. ECOSISTEMA Y ESTADO DE CONSERVACIÓN</t>
        </is>
      </c>
    </row>
    <row r="36">
      <c r="A36" s="6" t="inlineStr">
        <is>
          <t>Tipo de ecosistema (UP)</t>
        </is>
      </c>
      <c r="B36" s="7" t="inlineStr">
        <is>
          <t>Bosque Estacionalmente Seco de Colina y Montaña (Bes-cm)</t>
        </is>
      </c>
      <c r="C36" s="6" t="inlineStr">
        <is>
          <t>Superficie de ecosistema (ha)</t>
        </is>
      </c>
      <c r="D36" s="7" t="inlineStr">
        <is>
          <t>122.95 ha (100% del bloque)</t>
        </is>
      </c>
      <c r="E36" s="8" t="n"/>
      <c r="F36" s="8" t="n"/>
    </row>
    <row r="37">
      <c r="A37" s="6" t="inlineStr">
        <is>
          <t>Estado de conservación</t>
        </is>
      </c>
      <c r="B37" s="7" t="inlineStr">
        <is>
          <t>Alterado (intervención marcada)</t>
        </is>
      </c>
      <c r="C37" s="6" t="inlineStr">
        <is>
          <t>Uso actual dominante del suelo</t>
        </is>
      </c>
      <c r="D37" s="7" t="inlineStr">
        <is>
          <t>Pastoreo extensivo</t>
        </is>
      </c>
      <c r="E37" s="8" t="n"/>
      <c r="F37" s="8" t="n"/>
    </row>
    <row r="38">
      <c r="A38" s="6" t="inlineStr">
        <is>
          <t>Tipo de cobertura dominante</t>
        </is>
      </c>
      <c r="B38" s="7" t="inlineStr">
        <is>
          <t>Bosque ralo (30-70%)</t>
        </is>
      </c>
      <c r="C38" s="6" t="inlineStr">
        <is>
          <t>Cobertura vegetal total — campo (%)</t>
        </is>
      </c>
      <c r="D38" s="7" t="n">
        <v>60</v>
      </c>
      <c r="E38" s="8" t="n"/>
      <c r="F38" s="8" t="n"/>
    </row>
    <row r="39">
      <c r="A39" s="6" t="inlineStr">
        <is>
          <t>Suelo desnudo — campo (%)</t>
        </is>
      </c>
      <c r="B39" s="7" t="n">
        <v>40</v>
      </c>
      <c r="C39" s="6" t="inlineStr">
        <is>
          <t>Regeneración natural</t>
        </is>
      </c>
      <c r="D39" s="7" t="inlineStr">
        <is>
          <t>Escasa (&lt;10 pl./100m²)</t>
        </is>
      </c>
      <c r="E39" s="8" t="n"/>
      <c r="F39" s="8" t="n"/>
    </row>
    <row r="40">
      <c r="A40" s="6" t="inlineStr">
        <is>
          <t>Nivel general de erosión</t>
        </is>
      </c>
      <c r="B40" s="7" t="inlineStr">
        <is>
          <t>Fuerte (cárcavas incipientes)</t>
        </is>
      </c>
      <c r="C40" s="6" t="inlineStr">
        <is>
          <t>N.° de cárcavas registradas</t>
        </is>
      </c>
      <c r="D40" s="7" t="n">
        <v>15</v>
      </c>
      <c r="E40" s="8" t="n"/>
      <c r="F40" s="8" t="n"/>
    </row>
    <row r="41">
      <c r="A41" s="6" t="inlineStr">
        <is>
          <t>Elenco florístico (n.° de taxones)</t>
        </is>
      </c>
      <c r="B41" s="7" t="n">
        <v>7</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Juan Carlos Domínguez Varas</t>
        </is>
      </c>
      <c r="C44" s="6" t="inlineStr">
        <is>
          <t>Fecha de evaluación</t>
        </is>
      </c>
      <c r="D44" s="7" t="inlineStr">
        <is>
          <t>2026-06-03</t>
        </is>
      </c>
      <c r="E44" s="8" t="n"/>
      <c r="F44" s="8" t="n"/>
    </row>
    <row r="45">
      <c r="A45" s="6" t="inlineStr">
        <is>
          <t>Hora de registro</t>
        </is>
      </c>
      <c r="B45" s="7" t="inlineStr">
        <is>
          <t>12:10 - 13:03 h</t>
        </is>
      </c>
      <c r="C45" s="6" t="inlineStr">
        <is>
          <t>Correlativo de ficha</t>
        </is>
      </c>
      <c r="D45" s="7" t="inlineStr">
        <is>
          <t>F-DT/M3B7/2026</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Sin registro en ficha</t>
        </is>
      </c>
      <c r="E47" s="8" t="n"/>
      <c r="F47" s="8" t="n"/>
    </row>
    <row r="48">
      <c r="A48" s="6" t="inlineStr">
        <is>
          <t>Estaciones fotográficas georreferenciadas</t>
        </is>
      </c>
      <c r="B48" s="7" t="n">
        <v>0</v>
      </c>
      <c r="C48" s="6" t="inlineStr">
        <is>
          <t>Modalidad de acceso</t>
        </is>
      </c>
      <c r="D48" s="7"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7" t="inlineStr">
        <is>
          <t>Pastoreo de ganado caprino</t>
        </is>
      </c>
      <c r="C51" s="6" t="inlineStr">
        <is>
          <t>Velocidad de degradación</t>
        </is>
      </c>
      <c r="D51" s="7" t="inlineStr">
        <is>
          <t>Moderada</t>
        </is>
      </c>
      <c r="E51" s="8" t="n"/>
      <c r="F51" s="8" t="n"/>
    </row>
    <row r="52">
      <c r="A52" s="6" t="inlineStr">
        <is>
          <t>Reversibilidad técnica</t>
        </is>
      </c>
      <c r="B52" s="7" t="inlineStr">
        <is>
          <t>Parcialmente reversible</t>
        </is>
      </c>
      <c r="C52" s="6" t="inlineStr">
        <is>
          <t>Urgencia de intervención</t>
        </is>
      </c>
      <c r="D52" s="7" t="inlineStr">
        <is>
          <t>Media</t>
        </is>
      </c>
      <c r="E52" s="8" t="n"/>
      <c r="F52" s="8" t="n"/>
    </row>
    <row r="53">
      <c r="A53" s="6" t="inlineStr">
        <is>
          <t>Urgencia de control de erosión</t>
        </is>
      </c>
      <c r="B53" s="7" t="inlineStr">
        <is>
          <t>Alta</t>
        </is>
      </c>
      <c r="C53" s="6" t="inlineStr">
        <is>
          <t>Zona de recarga hídrica</t>
        </is>
      </c>
      <c r="D53" s="7" t="inlineStr">
        <is>
          <t>No</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2" t="n"/>
      <c r="C57" s="42" t="n"/>
      <c r="D57" s="42" t="n"/>
      <c r="E57" s="42" t="n"/>
      <c r="F57" s="43" t="n"/>
    </row>
  </sheetData>
  <mergeCells count="13">
    <mergeCell ref="A2:F2"/>
    <mergeCell ref="A3:F3"/>
    <mergeCell ref="A1:F1"/>
    <mergeCell ref="A5:F5"/>
    <mergeCell ref="A27:F27"/>
    <mergeCell ref="A8:F8"/>
    <mergeCell ref="A6:F6"/>
    <mergeCell ref="A50:F50"/>
    <mergeCell ref="A35:F35"/>
    <mergeCell ref="A18:F18"/>
    <mergeCell ref="A4:F4"/>
    <mergeCell ref="A43:F43"/>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M3B7</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0.009900000000000001</v>
      </c>
      <c r="C10" s="19">
        <f>ROUND(B10/$B$15*100,2)</f>
        <v>0.01</v>
      </c>
      <c r="D10" s="11" t="inlineStr">
        <is>
          <t>Vigor alto</t>
        </is>
      </c>
      <c r="E10" s="11" t="inlineStr">
        <is>
          <t>Sobre umbral</t>
        </is>
      </c>
    </row>
    <row r="11">
      <c r="A11" s="12" t="inlineStr">
        <is>
          <t>0.4976 - 0.6139 · DN 4</t>
        </is>
      </c>
      <c r="B11" s="20" t="n">
        <v>4.994</v>
      </c>
      <c r="C11" s="21">
        <f>ROUND(B11/$B$15*100,2)</f>
        <v>4.06</v>
      </c>
      <c r="D11" s="13" t="inlineStr">
        <is>
          <t>Vigor moderado</t>
        </is>
      </c>
      <c r="E11" s="13" t="inlineStr">
        <is>
          <t>Sobre umbral</t>
        </is>
      </c>
    </row>
    <row r="12">
      <c r="A12" s="7" t="inlineStr">
        <is>
          <t>0.3813 - 0.4976 · DN 3</t>
        </is>
      </c>
      <c r="B12" s="18" t="n">
        <v>42.1183</v>
      </c>
      <c r="C12" s="19">
        <f>ROUND(B12/$B$15*100,2)</f>
        <v>34.26</v>
      </c>
      <c r="D12" s="11" t="inlineStr">
        <is>
          <t>Vigor bajo</t>
        </is>
      </c>
      <c r="E12" s="11" t="inlineStr">
        <is>
          <t>BAJO umbral 0.4976</t>
        </is>
      </c>
    </row>
    <row r="13">
      <c r="A13" s="14" t="inlineStr">
        <is>
          <t>0.2650 - 0.3813 · DN 2</t>
        </is>
      </c>
      <c r="B13" s="32" t="n">
        <v>73.3038</v>
      </c>
      <c r="C13" s="31">
        <f>ROUND(B13/$B$15*100,2)</f>
        <v>59.62</v>
      </c>
      <c r="D13" s="15" t="inlineStr">
        <is>
          <t>Vigor muy bajo</t>
        </is>
      </c>
      <c r="E13" s="15" t="inlineStr">
        <is>
          <t>BAJO umbral 0.4976</t>
        </is>
      </c>
    </row>
    <row r="14">
      <c r="A14" s="7" t="inlineStr">
        <is>
          <t>&lt;= 0.2650 · DN 1</t>
        </is>
      </c>
      <c r="B14" s="18" t="n">
        <v>2.5205</v>
      </c>
      <c r="C14" s="19">
        <f>ROUND(B14/$B$15*100,2)</f>
        <v>2.05</v>
      </c>
      <c r="D14" s="11" t="inlineStr">
        <is>
          <t>Suelo desnudo / no vegetal</t>
        </is>
      </c>
      <c r="E14" s="11" t="inlineStr">
        <is>
          <t>BAJO umbral 0.4976</t>
        </is>
      </c>
    </row>
    <row r="15" ht="30" customHeight="1">
      <c r="A15" s="44" t="inlineStr">
        <is>
          <t>TOTAL CLASIFICADO MSAVI 2024</t>
        </is>
      </c>
      <c r="B15" s="45">
        <f>SUM(B10:B14)</f>
        <v>122.9465</v>
      </c>
      <c r="C15" s="46">
        <f>SUM(C10:C14)</f>
        <v>100.0</v>
      </c>
      <c r="D15" s="44" t="inlineStr">
        <is>
          <t>Suma de la distribución areal · 454 polígonos</t>
        </is>
      </c>
      <c r="E15" s="44" t="inlineStr">
        <is>
          <t>—</t>
        </is>
      </c>
    </row>
    <row r="16" ht="30" customHeight="1">
      <c r="A16" s="47" t="inlineStr">
        <is>
          <t>Superficie SOBRE umbral 0.4976 (ha)</t>
        </is>
      </c>
      <c r="B16" s="48">
        <f>SUM(B10:B11)</f>
        <v>5.0039</v>
      </c>
      <c r="C16" s="49">
        <f>ROUND(B16/B15*100,2)</f>
        <v>4.07</v>
      </c>
      <c r="D16" s="47" t="inlineStr">
        <is>
          <t>Vigor alto y moderado (DN 4 y DN 5)</t>
        </is>
      </c>
      <c r="E16" s="47" t="inlineStr">
        <is>
          <t>Sobre umbral 0.4976</t>
        </is>
      </c>
    </row>
    <row r="17" ht="30" customHeight="1">
      <c r="A17" s="47" t="inlineStr">
        <is>
          <t>Superficie BAJO umbral 0.4976 (ha) — brecha</t>
        </is>
      </c>
      <c r="B17" s="48">
        <f>SUM(B12:B14)</f>
        <v>117.9426</v>
      </c>
      <c r="C17" s="49">
        <f>ROUND(B17/B15*100,2)</f>
        <v>95.93</v>
      </c>
      <c r="D17" s="47" t="inlineStr">
        <is>
          <t>Vigor bajo, muy bajo y suelo desnudo (DN 1 a DN 3)</t>
        </is>
      </c>
      <c r="E17" s="47" t="inlineStr">
        <is>
          <t>Base para el indicador de brecha (R.M. N.° 00213-2024-MINAM)</t>
        </is>
      </c>
    </row>
    <row r="18" ht="30" customHeight="1">
      <c r="A18" s="47" t="inlineStr">
        <is>
          <t>Superficie de catálogo (V5/V6) — contraste MSAVI</t>
        </is>
      </c>
      <c r="B18" s="48" t="n">
        <v>122.95</v>
      </c>
      <c r="C18" s="50" t="inlineStr">
        <is>
          <t>—</t>
        </is>
      </c>
      <c r="D18" s="47" t="inlineStr">
        <is>
          <t>Desviación planimétrica frente al catálogo</t>
        </is>
      </c>
      <c r="E18" s="47" t="inlineStr">
        <is>
          <t>+0.00 %</t>
        </is>
      </c>
    </row>
    <row r="19">
      <c r="A19" s="16" t="inlineStr">
        <is>
          <t>MSAVI 2024 — MEDIA DEL BLOQUE</t>
        </is>
      </c>
      <c r="B19" s="17" t="n">
        <v>0.370678</v>
      </c>
      <c r="C19" s="17" t="inlineStr">
        <is>
          <t>—</t>
        </is>
      </c>
      <c r="D19" s="17" t="inlineStr">
        <is>
          <t>Vigor muy bajo · clase 0.2650 - 0.3813</t>
        </is>
      </c>
      <c r="E19" s="17" t="inlineStr">
        <is>
          <t>BAJO umbral 0.4976</t>
        </is>
      </c>
    </row>
    <row r="20"/>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454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(0.3707) se conserva del catálogo maestro y es dato oficial; la fila resaltada indica la clase en la que cae dicha media. Los totales y porcentajes se calculan con fórmulas sobre las filas del cuadro.</t>
        </is>
      </c>
      <c r="B21" s="42" t="n"/>
      <c r="C21" s="42" t="n"/>
      <c r="D21" s="42" t="n"/>
      <c r="E21" s="43" t="n"/>
    </row>
    <row r="22"/>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9.833600000000001</v>
      </c>
      <c r="C25" s="19" t="n">
        <v>8</v>
      </c>
      <c r="D25" s="11" t="inlineStr">
        <is>
          <t>Dosel continuo, matorral denso o mosaico agroforestal</t>
        </is>
      </c>
      <c r="E25" s="11" t="inlineStr"/>
    </row>
    <row r="26">
      <c r="A26" s="12" t="inlineStr">
        <is>
          <t>Vegetación mediana</t>
        </is>
      </c>
      <c r="B26" s="20" t="n">
        <v>57.8366</v>
      </c>
      <c r="C26" s="21" t="n">
        <v>47.03</v>
      </c>
      <c r="D26" s="13" t="inlineStr">
        <is>
          <t>Pastizal cultivado, matorral ralo, parcelas agrícolas</t>
        </is>
      </c>
      <c r="E26" s="13" t="inlineStr"/>
    </row>
    <row r="27">
      <c r="A27" s="7" t="inlineStr">
        <is>
          <t>Vegetación ligera</t>
        </is>
      </c>
      <c r="B27" s="18" t="n">
        <v>54.3937</v>
      </c>
      <c r="C27" s="19" t="n">
        <v>44.23</v>
      </c>
      <c r="D27" s="11" t="inlineStr">
        <is>
          <t>Cobertura discontinua, suelo parcialmente expuesto</t>
        </is>
      </c>
      <c r="E27" s="11" t="inlineStr"/>
    </row>
    <row r="28">
      <c r="A28" s="12" t="inlineStr">
        <is>
          <t>Tierra desnuda</t>
        </is>
      </c>
      <c r="B28" s="20" t="n">
        <v>0.9227</v>
      </c>
      <c r="C28" s="21" t="n">
        <v>0.75</v>
      </c>
      <c r="D28" s="13" t="inlineStr">
        <is>
          <t>Suelo desnudo, afloramientos, plataformas y taludes</t>
        </is>
      </c>
      <c r="E28" s="13" t="inlineStr"/>
    </row>
    <row r="29">
      <c r="A29" s="16" t="inlineStr">
        <is>
          <t>TOTAL CLASIFICADO</t>
        </is>
      </c>
      <c r="B29" s="22">
        <f>SUM(B25:B28)</f>
        <v>122.9866</v>
      </c>
      <c r="C29" s="23">
        <f>SUM(C25:C28)</f>
        <v>100.01</v>
      </c>
      <c r="D29" s="17" t="inlineStr"/>
      <c r="E29" s="17" t="inlineStr"/>
    </row>
    <row r="30">
      <c r="A30" s="24" t="inlineStr">
        <is>
          <t>Superficie de catálogo (V5/V6)</t>
        </is>
      </c>
      <c r="B30" s="25" t="n">
        <v>122.95</v>
      </c>
      <c r="C30" s="25" t="inlineStr">
        <is>
          <t>—</t>
        </is>
      </c>
      <c r="D30" s="25" t="inlineStr">
        <is>
          <t>Desviación planimétrica frente al catálogo</t>
        </is>
      </c>
      <c r="E30" s="25" t="inlineStr">
        <is>
          <t>+0.03 %</t>
        </is>
      </c>
    </row>
    <row r="31"/>
    <row r="32" ht="108" customHeight="1">
      <c r="A32"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60 % frente a un 8.00 % del polígono clasificado como «Vegetación alta» por el NDVI 2025; la observación de campo corresponde a una parcela o recorrido puntual y no es estadísticamente representativa de las 122.950 ha del bloque.</t>
        </is>
      </c>
      <c r="B32" s="42" t="n"/>
      <c r="C32" s="42" t="n"/>
      <c r="D32" s="42" t="n"/>
      <c r="E32" s="43" t="n"/>
    </row>
  </sheetData>
  <mergeCells count="10">
    <mergeCell ref="A21:E21"/>
    <mergeCell ref="A4:E4"/>
    <mergeCell ref="A2:E2"/>
    <mergeCell ref="A1:E1"/>
    <mergeCell ref="A23:E23"/>
    <mergeCell ref="A32:E32"/>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7"/>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M3B7</t>
        </is>
      </c>
    </row>
    <row r="6" ht="24" customHeight="1">
      <c r="A6" s="4" t="inlineStr">
        <is>
          <t>Levantamiento del 2026-06-03 · Sistema de referencia UTM WGS 84 Zona 17S (EPSG:32717)</t>
        </is>
      </c>
    </row>
    <row r="7"/>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637368</v>
      </c>
      <c r="D10" s="26" t="n">
        <v>9414353</v>
      </c>
      <c r="E10" s="11" t="n">
        <v>1277.5</v>
      </c>
      <c r="F10" s="11" t="inlineStr"/>
      <c r="G10" s="11" t="inlineStr">
        <is>
          <t>Coordenada consignada en F-DT-01</t>
        </is>
      </c>
    </row>
    <row r="11">
      <c r="A11" s="12" t="inlineStr">
        <is>
          <t>C-01</t>
        </is>
      </c>
      <c r="B11" s="13" t="inlineStr">
        <is>
          <t>Rasgo erosivo — Cárcava somera — 15 m, 0.5 m prof., 2.0 m ancho</t>
        </is>
      </c>
      <c r="C11" s="27" t="n">
        <v>637368</v>
      </c>
      <c r="D11" s="27" t="n">
        <v>9414353</v>
      </c>
      <c r="E11" s="13" t="n">
        <v>1277.5</v>
      </c>
      <c r="F11" s="13" t="inlineStr">
        <is>
          <t>Activa</t>
        </is>
      </c>
      <c r="G11" s="13" t="inlineStr">
        <is>
          <t>Caminos / huellas de ganado</t>
        </is>
      </c>
    </row>
    <row r="12">
      <c r="A12" s="7" t="inlineStr">
        <is>
          <t>C-02</t>
        </is>
      </c>
      <c r="B12" s="11" t="inlineStr">
        <is>
          <t>Rasgo erosivo — Cárcava somera — 30 m, 0.5 m prof., 1.5 m ancho</t>
        </is>
      </c>
      <c r="C12" s="26" t="n">
        <v>637352</v>
      </c>
      <c r="D12" s="26" t="n">
        <v>9414391</v>
      </c>
      <c r="E12" s="11" t="n">
        <v>1264.2</v>
      </c>
      <c r="F12" s="11" t="inlineStr">
        <is>
          <t>Activa</t>
        </is>
      </c>
      <c r="G12" s="11" t="inlineStr">
        <is>
          <t>Caminos / huellas de ganado</t>
        </is>
      </c>
    </row>
    <row r="13">
      <c r="A13" s="12" t="inlineStr">
        <is>
          <t>C-03</t>
        </is>
      </c>
      <c r="B13" s="13" t="inlineStr">
        <is>
          <t>Rasgo erosivo — Cárcava incipiente — 10 m, 0.3 m prof., 0.5 m ancho</t>
        </is>
      </c>
      <c r="C13" s="27" t="n">
        <v>637371</v>
      </c>
      <c r="D13" s="27" t="n">
        <v>9414397</v>
      </c>
      <c r="E13" s="13" t="n">
        <v>1245.9</v>
      </c>
      <c r="F13" s="13" t="inlineStr">
        <is>
          <t>Activa</t>
        </is>
      </c>
      <c r="G13" s="13" t="inlineStr">
        <is>
          <t>Caminos / huellas de ganado</t>
        </is>
      </c>
    </row>
    <row r="14">
      <c r="A14" s="7" t="inlineStr">
        <is>
          <t>C-04</t>
        </is>
      </c>
      <c r="B14" s="11" t="inlineStr">
        <is>
          <t>Rasgo erosivo — Cárcava somera — 50 m, 0.5 m prof., 1.5 m ancho</t>
        </is>
      </c>
      <c r="C14" s="26" t="n">
        <v>637400</v>
      </c>
      <c r="D14" s="26" t="n">
        <v>9414445</v>
      </c>
      <c r="E14" s="11" t="n">
        <v>1192.6</v>
      </c>
      <c r="F14" s="11" t="inlineStr">
        <is>
          <t>Activa</t>
        </is>
      </c>
      <c r="G14" s="11" t="inlineStr">
        <is>
          <t>Caminos / huellas de ganado</t>
        </is>
      </c>
    </row>
    <row r="15">
      <c r="A15" s="12" t="inlineStr">
        <is>
          <t>C-05</t>
        </is>
      </c>
      <c r="B15" s="13" t="inlineStr">
        <is>
          <t>Rasgo erosivo — Cárcava incipiente — 20 m, 0.3 m prof., 1.0 m ancho</t>
        </is>
      </c>
      <c r="C15" s="27" t="n">
        <v>637417</v>
      </c>
      <c r="D15" s="27" t="n">
        <v>9414458</v>
      </c>
      <c r="E15" s="13" t="n">
        <v>1171.2</v>
      </c>
      <c r="F15" s="13" t="inlineStr">
        <is>
          <t>Activa</t>
        </is>
      </c>
      <c r="G15" s="13" t="inlineStr">
        <is>
          <t>Caminos / huellas de ganado</t>
        </is>
      </c>
    </row>
    <row r="16">
      <c r="A16" s="7" t="inlineStr">
        <is>
          <t>C-06</t>
        </is>
      </c>
      <c r="B16" s="11" t="inlineStr">
        <is>
          <t>Rasgo erosivo — Cárcava incipiente — 30 m, 0.3 m prof., 0.5 m ancho</t>
        </is>
      </c>
      <c r="C16" s="26" t="n">
        <v>637487</v>
      </c>
      <c r="D16" s="26" t="n">
        <v>9414495</v>
      </c>
      <c r="E16" s="11" t="n">
        <v>1094.1</v>
      </c>
      <c r="F16" s="11" t="inlineStr">
        <is>
          <t>Activa</t>
        </is>
      </c>
      <c r="G16" s="11" t="inlineStr">
        <is>
          <t>Caminos / huellas de ganado</t>
        </is>
      </c>
    </row>
    <row r="17">
      <c r="A17" s="12" t="inlineStr">
        <is>
          <t>C-07</t>
        </is>
      </c>
      <c r="B17" s="13" t="inlineStr">
        <is>
          <t>Rasgo erosivo — Cárcava somera — 50 m, 0.5 m prof., 1.5 m ancho</t>
        </is>
      </c>
      <c r="C17" s="27" t="n">
        <v>637498</v>
      </c>
      <c r="D17" s="27" t="n">
        <v>9414496</v>
      </c>
      <c r="E17" s="13" t="n">
        <v>1085.2</v>
      </c>
      <c r="F17" s="13" t="inlineStr">
        <is>
          <t>Activa</t>
        </is>
      </c>
      <c r="G17" s="13" t="inlineStr">
        <is>
          <t>Caminos / huellas de ganado</t>
        </is>
      </c>
    </row>
    <row r="18">
      <c r="A18" s="7" t="inlineStr">
        <is>
          <t>C-08</t>
        </is>
      </c>
      <c r="B18" s="11" t="inlineStr">
        <is>
          <t>Rasgo erosivo — Cárcava somera — 60 m, 0.6 m prof., 2.0 m ancho</t>
        </is>
      </c>
      <c r="C18" s="26" t="n">
        <v>637562</v>
      </c>
      <c r="D18" s="26" t="n">
        <v>9414531</v>
      </c>
      <c r="E18" s="11" t="n">
        <v>1014.2</v>
      </c>
      <c r="F18" s="11" t="inlineStr">
        <is>
          <t>Activa</t>
        </is>
      </c>
      <c r="G18" s="11" t="inlineStr">
        <is>
          <t>Caminos / huellas de ganado</t>
        </is>
      </c>
    </row>
    <row r="19">
      <c r="A19" s="12" t="inlineStr">
        <is>
          <t>C-09</t>
        </is>
      </c>
      <c r="B19" s="13" t="inlineStr">
        <is>
          <t>Rasgo erosivo — Cárcava somera — 100 m, 0.5 m prof., 2.5 m ancho</t>
        </is>
      </c>
      <c r="C19" s="27" t="n">
        <v>637572</v>
      </c>
      <c r="D19" s="27" t="n">
        <v>9414534</v>
      </c>
      <c r="E19" s="13" t="n">
        <v>1004.8</v>
      </c>
      <c r="F19" s="13" t="inlineStr">
        <is>
          <t>Activa</t>
        </is>
      </c>
      <c r="G19" s="13" t="inlineStr">
        <is>
          <t>Caminos / huellas de ganado</t>
        </is>
      </c>
    </row>
    <row r="20">
      <c r="A20" s="7" t="inlineStr">
        <is>
          <t>C-10</t>
        </is>
      </c>
      <c r="B20" s="11" t="inlineStr">
        <is>
          <t>Rasgo erosivo — Cárcava incipiente — 10 m, 0.3 m prof., 0.5 m ancho</t>
        </is>
      </c>
      <c r="C20" s="26" t="n">
        <v>637700</v>
      </c>
      <c r="D20" s="26" t="n">
        <v>9414556</v>
      </c>
      <c r="E20" s="11" t="n">
        <v>898.8</v>
      </c>
      <c r="F20" s="11" t="inlineStr">
        <is>
          <t>Activa</t>
        </is>
      </c>
      <c r="G20" s="11" t="inlineStr">
        <is>
          <t>Caminos / huellas de ganado</t>
        </is>
      </c>
    </row>
    <row r="21">
      <c r="A21" s="12" t="inlineStr">
        <is>
          <t>H-01</t>
        </is>
      </c>
      <c r="B21" s="13" t="inlineStr">
        <is>
          <t>Fuente de agua — Quebrada estacional</t>
        </is>
      </c>
      <c r="C21" s="27" t="n">
        <v>637567</v>
      </c>
      <c r="D21" s="27" t="n">
        <v>9414532</v>
      </c>
      <c r="E21" s="13" t="n">
        <v>1009.8</v>
      </c>
      <c r="F21" s="13" t="inlineStr">
        <is>
          <t>Estacional</t>
        </is>
      </c>
      <c r="G21" s="13" t="inlineStr">
        <is>
          <t>Drenaje natural; seca en la evaluación</t>
        </is>
      </c>
    </row>
    <row r="22">
      <c r="A22" s="16" t="inlineStr">
        <is>
          <t>TOTAL: 12 puntos</t>
        </is>
      </c>
      <c r="B22" s="17" t="inlineStr"/>
      <c r="C22" s="17" t="inlineStr"/>
      <c r="D22" s="17" t="inlineStr"/>
      <c r="E22" s="17" t="inlineStr"/>
      <c r="F22" s="17" t="inlineStr"/>
      <c r="G22" s="17" t="inlineStr"/>
    </row>
    <row r="23"/>
    <row r="24">
      <c r="A24" s="6" t="inlineStr">
        <is>
          <t>Centroide del bloque — UTM ESTE (m)</t>
        </is>
      </c>
      <c r="B24" s="7" t="n">
        <v>638309</v>
      </c>
      <c r="C24" s="6" t="inlineStr">
        <is>
          <t>Centroide del bloque — UTM NORTE (m)</t>
        </is>
      </c>
      <c r="D24" s="7" t="n">
        <v>9415217</v>
      </c>
      <c r="E24" s="8" t="n"/>
      <c r="F24" s="8" t="n"/>
      <c r="G24" s="8" t="n"/>
      <c r="H24" s="8" t="n"/>
    </row>
    <row r="25">
      <c r="A25" s="6" t="inlineStr">
        <is>
          <t>N.° de estaciones fotográficas declaradas</t>
        </is>
      </c>
      <c r="B25" s="7" t="n">
        <v>0</v>
      </c>
      <c r="C25" s="6" t="inlineStr">
        <is>
          <t>Estaciones dentro del polígono</t>
        </is>
      </c>
      <c r="D25" s="7" t="n">
        <v>0</v>
      </c>
      <c r="E25" s="8" t="n"/>
      <c r="F25" s="8" t="n"/>
      <c r="G25" s="8" t="n"/>
      <c r="H25" s="8" t="n"/>
    </row>
    <row r="26"/>
    <row r="27" ht="120" customHeight="1">
      <c r="A27"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Acceso por vía vecinal, ruta desde San Juan de Bigote al CCPP de Polluco y Sinaí; se detuvo la camioneta en el centro poblado y al pie del bloque en la vía afirmada. Se ingresó por la zona suroeste, colindante a la vía. POR ZONAS EL BLOQUE COLINDA CON EL CCPP DE POLLUCO EN ÁREAS DESTINADAS AL PASTOREO DE GANADO CAPRINO. Se observó presencia de TOCONES POR EXTRACCIÓN DE LEÑA. LA ZONA PRÓXIMA A LA VÍA Y AL CCPP ES LA PARTE MÁS DEGRADADA DEL BLOQUE.</t>
        </is>
      </c>
      <c r="B27" s="42" t="n"/>
      <c r="C27" s="42" t="n"/>
      <c r="D27" s="42" t="n"/>
      <c r="E27" s="42" t="n"/>
      <c r="F27" s="42" t="n"/>
      <c r="G27" s="43" t="n"/>
    </row>
  </sheetData>
  <mergeCells count="8">
    <mergeCell ref="A1:G1"/>
    <mergeCell ref="A27:G27"/>
    <mergeCell ref="A8:G8"/>
    <mergeCell ref="A3:G3"/>
    <mergeCell ref="A6:G6"/>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1"/>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C1081-Q9582 — BLOQUE M3B7</t>
        </is>
      </c>
    </row>
    <row r="6" ht="24" customHeight="1">
      <c r="A6" s="4" t="inlineStr">
        <is>
          <t>Distrito de San Juan de Bigote · Provincia de Morropon · Comparación de los bloques preliminares de intervención de la misma microcuenca</t>
        </is>
      </c>
    </row>
    <row r="7"/>
    <row r="8" ht="18" customHeight="1">
      <c r="A8" s="5" t="inlineStr">
        <is>
          <t>BLOQUES DE LA MICROCUENCA C1081-Q9582</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M3B8</t>
        </is>
      </c>
      <c r="B10" s="28" t="n">
        <v>565.58</v>
      </c>
      <c r="C10" s="19" t="n">
        <v>44.83</v>
      </c>
      <c r="D10" s="11" t="inlineStr">
        <is>
          <t>195 – 562</t>
        </is>
      </c>
      <c r="E10" s="11" t="n">
        <v>367</v>
      </c>
      <c r="F10" s="11" t="n">
        <v>13.65</v>
      </c>
      <c r="G10" s="18" t="n">
        <v>0.2934</v>
      </c>
      <c r="H10" s="19" t="n">
        <v>3.19</v>
      </c>
      <c r="I10" s="19" t="n">
        <v>99.40000000000001</v>
      </c>
    </row>
    <row r="11">
      <c r="A11" s="12" t="inlineStr">
        <is>
          <t>M3B9</t>
        </is>
      </c>
      <c r="B11" s="29" t="n">
        <v>294.2</v>
      </c>
      <c r="C11" s="21" t="n">
        <v>23.32</v>
      </c>
      <c r="D11" s="13" t="inlineStr">
        <is>
          <t>189 – 497</t>
        </is>
      </c>
      <c r="E11" s="13" t="n">
        <v>308</v>
      </c>
      <c r="F11" s="13" t="n">
        <v>17.69</v>
      </c>
      <c r="G11" s="20" t="n">
        <v>0.3214</v>
      </c>
      <c r="H11" s="21" t="n">
        <v>3.14</v>
      </c>
      <c r="I11" s="21" t="n">
        <v>99.40000000000001</v>
      </c>
    </row>
    <row r="12">
      <c r="A12" s="14" t="inlineStr">
        <is>
          <t>► M3B7</t>
        </is>
      </c>
      <c r="B12" s="30" t="n">
        <v>122.95</v>
      </c>
      <c r="C12" s="31" t="n">
        <v>9.75</v>
      </c>
      <c r="D12" s="15" t="inlineStr">
        <is>
          <t>238 – 447</t>
        </is>
      </c>
      <c r="E12" s="15" t="n">
        <v>209</v>
      </c>
      <c r="F12" s="15" t="n">
        <v>18.21</v>
      </c>
      <c r="G12" s="32" t="n">
        <v>0.3707</v>
      </c>
      <c r="H12" s="31" t="n">
        <v>8</v>
      </c>
      <c r="I12" s="31" t="n">
        <v>95.93000000000001</v>
      </c>
    </row>
    <row r="13">
      <c r="A13" s="12" t="inlineStr">
        <is>
          <t>M3B3</t>
        </is>
      </c>
      <c r="B13" s="29" t="n">
        <v>84.81999999999999</v>
      </c>
      <c r="C13" s="21" t="n">
        <v>6.72</v>
      </c>
      <c r="D13" s="13" t="inlineStr">
        <is>
          <t>194 – 375</t>
        </is>
      </c>
      <c r="E13" s="13" t="n">
        <v>181</v>
      </c>
      <c r="F13" s="13" t="n">
        <v>18.87</v>
      </c>
      <c r="G13" s="20" t="n">
        <v>0.2985</v>
      </c>
      <c r="H13" s="21" t="n">
        <v>0.59</v>
      </c>
      <c r="I13" s="21" t="n">
        <v>99.89</v>
      </c>
    </row>
    <row r="14">
      <c r="A14" s="7" t="inlineStr">
        <is>
          <t>M3B1</t>
        </is>
      </c>
      <c r="B14" s="28" t="n">
        <v>80.98</v>
      </c>
      <c r="C14" s="19" t="n">
        <v>6.42</v>
      </c>
      <c r="D14" s="11" t="inlineStr">
        <is>
          <t>184 – 395</t>
        </is>
      </c>
      <c r="E14" s="11" t="n">
        <v>211</v>
      </c>
      <c r="F14" s="11" t="n">
        <v>19.4</v>
      </c>
      <c r="G14" s="18" t="n">
        <v>0.3239</v>
      </c>
      <c r="H14" s="19" t="n">
        <v>1.37</v>
      </c>
      <c r="I14" s="19" t="n">
        <v>99.83</v>
      </c>
    </row>
    <row r="15">
      <c r="A15" s="12" t="inlineStr">
        <is>
          <t>M3B6</t>
        </is>
      </c>
      <c r="B15" s="29" t="n">
        <v>60.35</v>
      </c>
      <c r="C15" s="21" t="n">
        <v>4.78</v>
      </c>
      <c r="D15" s="13" t="inlineStr">
        <is>
          <t>235 – 499</t>
        </is>
      </c>
      <c r="E15" s="13" t="n">
        <v>264</v>
      </c>
      <c r="F15" s="13" t="n">
        <v>23.39</v>
      </c>
      <c r="G15" s="20" t="n">
        <v>0.3425</v>
      </c>
      <c r="H15" s="21" t="n">
        <v>1.08</v>
      </c>
      <c r="I15" s="21" t="n">
        <v>99.73999999999999</v>
      </c>
    </row>
    <row r="16">
      <c r="A16" s="7" t="inlineStr">
        <is>
          <t>M3B5</t>
        </is>
      </c>
      <c r="B16" s="28" t="n">
        <v>52.74</v>
      </c>
      <c r="C16" s="19" t="n">
        <v>4.18</v>
      </c>
      <c r="D16" s="11" t="inlineStr">
        <is>
          <t>221 – 401</t>
        </is>
      </c>
      <c r="E16" s="11" t="n">
        <v>180</v>
      </c>
      <c r="F16" s="11" t="n">
        <v>18.94</v>
      </c>
      <c r="G16" s="18" t="n">
        <v>0.283</v>
      </c>
      <c r="H16" s="19" t="n">
        <v>0.13</v>
      </c>
      <c r="I16" s="19" t="n">
        <v>99.89</v>
      </c>
    </row>
    <row r="17">
      <c r="A17" s="16" t="inlineStr">
        <is>
          <t>TOTAL / PROMEDIO</t>
        </is>
      </c>
      <c r="B17" s="33">
        <f>SUM(B10:B16)</f>
        <v>1261.62</v>
      </c>
      <c r="C17" s="23">
        <f>SUM(C10:C16)</f>
        <v>100.0</v>
      </c>
      <c r="D17" s="17" t="inlineStr">
        <is>
          <t>184 – 562</t>
        </is>
      </c>
      <c r="E17" s="17" t="inlineStr"/>
      <c r="F17" s="17">
        <f>ROUND(AVERAGE(F10:F16),2)</f>
        <v>18.59</v>
      </c>
      <c r="G17" s="22">
        <f>ROUND(AVERAGE(G10:G16),4)</f>
        <v>0.3191</v>
      </c>
      <c r="H17" s="23">
        <f>ROUND(AVERAGE(H10:H16),2)</f>
        <v>2.5</v>
      </c>
      <c r="I17" s="23">
        <f>ROUND(AVERAGE(I10:I16),2)</f>
        <v>99.15</v>
      </c>
    </row>
    <row r="18"/>
    <row r="19" ht="84" customHeight="1">
      <c r="A19" s="9" t="inlineStr">
        <is>
          <t>LECTURA INTRAMICROCUENCA. El bloque M3B7 ocupa el puesto 3 de 7 por superficie dentro de la microcuenca C1081-Q9582 (9.75 % de las 1261.62 ha preliminares de la microcuenca). Su pendiente promedio (18.21 %, clase «15-25% (Fuert. inclinado)») es la 3.ª más baja de 7 y se sitúa por debajo del promedio de la microcuenca (18.59 %). Su MSAVI 2024 (0.3707) es el 1.º de 7 y queda por encima del promedio local (0.3190). Amplitud altitudinal del bloque: 209 m (238–447 msnm). El cuadro conserva todos los bloques catalogados en la microcuenca, incluidos los descartados en el tamizaje, para referencia del conjunto. Los bloques sin ficha DT figuran con sus parámetros de gabinete. BRECHA ESPECTRAL. El 95.93 % de la superficie del bloque (117.943 ha de 122.946 ha) se sitúa bajo el umbral MSAVI 0.4976, por debajo del promedio local de la microcuenca (99.15 %) calculado sobre los bloques con dato MSAVI disponible.</t>
        </is>
      </c>
      <c r="B19" s="42" t="n"/>
      <c r="C19" s="42" t="n"/>
      <c r="D19" s="42" t="n"/>
      <c r="E19" s="42" t="n"/>
      <c r="F19" s="42" t="n"/>
      <c r="G19" s="42" t="n"/>
      <c r="H19" s="43" t="n"/>
    </row>
    <row r="20"/>
    <row r="21" ht="60" customHeight="1">
      <c r="A21"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1" s="42" t="n"/>
      <c r="C21" s="42" t="n"/>
      <c r="D21" s="42" t="n"/>
      <c r="E21" s="42" t="n"/>
      <c r="F21" s="42" t="n"/>
      <c r="G21" s="42" t="n"/>
      <c r="H21" s="43" t="n"/>
    </row>
  </sheetData>
  <mergeCells count="9">
    <mergeCell ref="A1:I1"/>
    <mergeCell ref="A4:I4"/>
    <mergeCell ref="A3:I3"/>
    <mergeCell ref="A21:I21"/>
    <mergeCell ref="A2:I2"/>
    <mergeCell ref="A19:I19"/>
    <mergeCell ref="A5:I5"/>
    <mergeCell ref="A8:I8"/>
    <mergeCell ref="A6:I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3"/>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M3B7</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«C1081-Q9582»</t>
        </is>
      </c>
      <c r="D10" s="35" t="inlineStr">
        <is>
          <t>CONFORME</t>
        </is>
      </c>
      <c r="E10" s="34" t="inlineStr">
        <is>
          <t>Sin acción.</t>
        </is>
      </c>
    </row>
    <row r="11" ht="48" customHeight="1">
      <c r="A11" s="36" t="inlineStr">
        <is>
          <t>D-02</t>
        </is>
      </c>
      <c r="B11" s="36" t="inlineStr">
        <is>
          <t>UTM del punto de muestreo</t>
        </is>
      </c>
      <c r="C11" s="36" t="inlineStr">
        <is>
          <t>El punto de muestreo declarado (637368 E / 9414353 N) dista 1,278 m del centroide de catálogo (638309 E / 9415217 N), distancia incompatible con la superficie del bloque (122.95 ha)</t>
        </is>
      </c>
      <c r="D11" s="37" t="inlineStr">
        <is>
          <t>SUSTANTIVA</t>
        </is>
      </c>
      <c r="E11" s="36" t="inlineStr">
        <is>
          <t>Se declara la coordenada como POR VERIFICAR: puede corresponder a otro bloque o a un error de digitación. No se corrige de oficio.</t>
        </is>
      </c>
    </row>
    <row r="12" ht="48" customHeight="1">
      <c r="A12" s="34" t="inlineStr">
        <is>
          <t>D-03</t>
        </is>
      </c>
      <c r="B12" s="34" t="inlineStr">
        <is>
          <t>Superficie del polígono</t>
        </is>
      </c>
      <c r="C12" s="34" t="inlineStr">
        <is>
          <t>La superficie clasificada por el NDVI 2025 (122.987 ha) coincide con la de catálogo (122.95 ha) dentro del ±2 % (+0.03 %)</t>
        </is>
      </c>
      <c r="D12" s="35" t="inlineStr">
        <is>
          <t>CONFORME</t>
        </is>
      </c>
      <c r="E12" s="34" t="inlineStr">
        <is>
          <t>Sin acción: la segmentación valida la geometría del bloque.</t>
        </is>
      </c>
    </row>
    <row r="13" ht="48" customHeight="1">
      <c r="A13" s="36" t="inlineStr">
        <is>
          <t>D-04</t>
        </is>
      </c>
      <c r="B13" s="36" t="inlineStr">
        <is>
          <t>Rango de pendiente dominante</t>
        </is>
      </c>
      <c r="C13" s="36" t="inlineStr">
        <is>
          <t>La ficha DT declara «25-50% (Mod. escarpado)»; la estadística zonal sobre el MDE arroja una pendiente promedio de 18.21 %, que corresponde a la clase «15-25% (Fuert. inclinado)»</t>
        </is>
      </c>
      <c r="D13" s="15" t="inlineStr">
        <is>
          <t>NO SUSTANTIVA</t>
        </is>
      </c>
      <c r="E13" s="36" t="inlineStr">
        <is>
          <t>Se conserva el registro de campo como observación de sector y se adopta el valor del MDE para el cálculo intramicrocuenca. La divergencia es esperable: el dato de campo es puntual y el del MDE es promedio del polígono.</t>
        </is>
      </c>
    </row>
    <row r="14" ht="48" customHeight="1">
      <c r="A14" s="34" t="inlineStr">
        <is>
          <t>D-05</t>
        </is>
      </c>
      <c r="B14" s="34" t="inlineStr">
        <is>
          <t>Cobertura vegetal total</t>
        </is>
      </c>
      <c r="C14" s="34" t="inlineStr">
        <is>
          <t>La ficha DT estima 60 % de cobertura vegetal en campo; el NDVI mediana 2025 clasifica 99.26 % del polígono en clases de vegetación</t>
        </is>
      </c>
      <c r="D14" s="15" t="inlineStr">
        <is>
          <t>NO SUSTANTIVA</t>
        </is>
      </c>
      <c r="E14" s="34" t="inlineStr">
        <is>
          <t>Se declaran ambos valores. La observación de campo corresponde a una parcela o recorrido puntual y no es representativa de la totalidad del bloque; el índice espectral no discrimina composición ni integridad ecosistémica.</t>
        </is>
      </c>
    </row>
    <row r="15" ht="48" customHeight="1">
      <c r="A15" s="36" t="inlineStr">
        <is>
          <t>D-06</t>
        </is>
      </c>
      <c r="B15" s="36" t="inlineStr">
        <is>
          <t>Elenco florístico</t>
        </is>
      </c>
      <c r="C15" s="36" t="inlineStr">
        <is>
          <t>La ficha registra 7 taxones, por debajo del mínimo de 15 que exige el formato V5</t>
        </is>
      </c>
      <c r="D15" s="37" t="inlineStr">
        <is>
          <t>SUSTANTIVA</t>
        </is>
      </c>
      <c r="E15" s="36" t="inlineStr">
        <is>
          <t>Registro florístico preliminar, sin colecta ni determinación botánica formal. Debe cerrarse con colecta botánica en la siguiente campaña.</t>
        </is>
      </c>
    </row>
    <row r="16" ht="48" customHeight="1">
      <c r="A16" s="34" t="inlineStr">
        <is>
          <t>D-07</t>
        </is>
      </c>
      <c r="B16" s="34" t="inlineStr">
        <is>
          <t>Representatividad del levantamiento</t>
        </is>
      </c>
      <c r="C16" s="34" t="inlineStr">
        <is>
          <t>Ninguna de las estaciones fotográficas georreferenciadas se localiza dentro del polígono del bloque</t>
        </is>
      </c>
      <c r="D16" s="37" t="inlineStr">
        <is>
          <t>SUSTANTIVA</t>
        </is>
      </c>
      <c r="E16" s="34" t="inlineStr">
        <is>
          <t>La verificación documenta el perímetro y la vista panorámica del bloque, no su interior. Los parámetros que exigen recorrido interno se consignan «Por determinar».</t>
        </is>
      </c>
    </row>
    <row r="17" ht="48" customHeight="1">
      <c r="A17" s="36" t="inlineStr">
        <is>
          <t>D-08</t>
        </is>
      </c>
      <c r="B17" s="36" t="inlineStr">
        <is>
          <t>Centro poblado asociado</t>
        </is>
      </c>
      <c r="C17" s="36" t="inlineStr">
        <is>
          <t>La ficha DT declara «Polluco; Sinaí»; el cruce INEI-Bloques V5 identifica 2 centro(s) poblado(s) en el bloque: POLLUCO, SINAI</t>
        </is>
      </c>
      <c r="D17" s="35" t="inlineStr">
        <is>
          <t>CONFORME</t>
        </is>
      </c>
      <c r="E17" s="36" t="inlineStr">
        <is>
          <t>Se conserva el registro de campo como referencia y se adopta el listado INEI para el diagnóstico social y el cálculo de población beneficiaria.</t>
        </is>
      </c>
    </row>
    <row r="18" ht="48" customHeight="1">
      <c r="A18" s="34" t="inlineStr">
        <is>
          <t>D-09</t>
        </is>
      </c>
      <c r="B18" s="34" t="inlineStr">
        <is>
          <t>Peligro integrado (MCA-AHP)</t>
        </is>
      </c>
      <c r="C18" s="34" t="inlineStr">
        <is>
          <t>El nivel de peligro integrado no está disponible en los insumos de este entregable</t>
        </is>
      </c>
      <c r="D18" s="37" t="inlineStr">
        <is>
          <t>SUSTANTIVA</t>
        </is>
      </c>
      <c r="E18" s="34" t="inlineStr">
        <is>
          <t>Debe tomarse del modelamiento de mesolocalización (PMM + EPH + PGI ponderados por AHP) antes de fijar la prioridad definitiva de intervención del bloque.</t>
        </is>
      </c>
    </row>
    <row r="19" ht="48" customHeight="1">
      <c r="A19" s="36" t="inlineStr">
        <is>
          <t>D-10</t>
        </is>
      </c>
      <c r="B19" s="36" t="inlineStr">
        <is>
          <t>Plan de Ingreso</t>
        </is>
      </c>
      <c r="C19" s="36" t="inlineStr">
        <is>
          <t>Altitud = 0 msnm (captura por defecto del aplicativo)</t>
        </is>
      </c>
      <c r="D19" s="38" t="inlineStr">
        <is>
          <t>CORREGIDO</t>
        </is>
      </c>
      <c r="E19" s="36" t="inlineStr">
        <is>
          <t>Se reemplaza por la altitud GPS de campo (260 msnm)</t>
        </is>
      </c>
    </row>
    <row r="20" ht="48" customHeight="1">
      <c r="A20" s="34" t="inlineStr">
        <is>
          <t>D-11</t>
        </is>
      </c>
      <c r="B20" s="34" t="inlineStr">
        <is>
          <t>F-DT-03</t>
        </is>
      </c>
      <c r="C20" s="34" t="inlineStr">
        <is>
          <t>Suelo desnudo 40% en F-DT-03 frente a 15% en el indicador N.° 2 de F-DT-04</t>
        </is>
      </c>
      <c r="D20" s="37" t="inlineStr">
        <is>
          <t>SUSTANTIVA</t>
        </is>
      </c>
      <c r="E20" s="34" t="inlineStr">
        <is>
          <t>Inconsistencia interna a resolver</t>
        </is>
      </c>
    </row>
    <row r="21" ht="48" customHeight="1">
      <c r="A21" s="36" t="inlineStr">
        <is>
          <t>D-12</t>
        </is>
      </c>
      <c r="B21" s="36" t="inlineStr">
        <is>
          <t>F-DT-03</t>
        </is>
      </c>
      <c r="C21" s="36" t="inlineStr">
        <is>
          <t>La sección de especies clave / indicadoras quedó completamente vacía</t>
        </is>
      </c>
      <c r="D21" s="37" t="inlineStr">
        <is>
          <t>SUSTANTIVA</t>
        </is>
      </c>
      <c r="E21" s="36" t="inlineStr">
        <is>
          <t>Completar con georreferencia y número de individuos</t>
        </is>
      </c>
    </row>
    <row r="22" ht="48" customHeight="1">
      <c r="A22" s="34" t="inlineStr">
        <is>
          <t>D-13</t>
        </is>
      </c>
      <c r="B22" s="34" t="inlineStr">
        <is>
          <t>F-DT-03</t>
        </is>
      </c>
      <c r="C22" s="34" t="inlineStr">
        <is>
          <t>Solo 7 taxones registrados frente al mínimo de 15 exigido</t>
        </is>
      </c>
      <c r="D22" s="37" t="inlineStr">
        <is>
          <t>SUSTANTIVA</t>
        </is>
      </c>
      <c r="E22" s="34" t="inlineStr">
        <is>
          <t>Inventario florístico incompleto</t>
        </is>
      </c>
    </row>
    <row r="23" ht="48" customHeight="1">
      <c r="A23" s="36" t="inlineStr">
        <is>
          <t>D-14</t>
        </is>
      </c>
      <c r="B23" s="36" t="inlineStr">
        <is>
          <t>F-DT-04</t>
        </is>
      </c>
      <c r="C23" s="36" t="inlineStr">
        <is>
          <t>Densidad de cárcavas 10 N.°/ha calificada «Bajo», incompatible con el umbral de la propia ficha (&gt;3 = alto)</t>
        </is>
      </c>
      <c r="D23" s="37" t="inlineStr">
        <is>
          <t>SUSTANTIVA</t>
        </is>
      </c>
      <c r="E23" s="36" t="inlineStr">
        <is>
          <t>Recalificar a nivel ALTO</t>
        </is>
      </c>
    </row>
    <row r="24" ht="48" customHeight="1">
      <c r="A24" s="34" t="inlineStr">
        <is>
          <t>D-15</t>
        </is>
      </c>
      <c r="B24" s="34" t="inlineStr">
        <is>
          <t>F-DT-04</t>
        </is>
      </c>
      <c r="C24" s="34" t="inlineStr">
        <is>
          <t>Urgencia de intervención «Media» frente a urgencia de control de erosión «Alta» y 15 cárcavas activas</t>
        </is>
      </c>
      <c r="D24" s="37" t="inlineStr">
        <is>
          <t>SUSTANTIVA</t>
        </is>
      </c>
      <c r="E24" s="34" t="inlineStr">
        <is>
          <t>Revisar calificación</t>
        </is>
      </c>
    </row>
    <row r="25" ht="48" customHeight="1">
      <c r="A25" s="36" t="inlineStr">
        <is>
          <t>D-16</t>
        </is>
      </c>
      <c r="B25" s="36" t="inlineStr">
        <is>
          <t>F-DT-05</t>
        </is>
      </c>
      <c r="C25" s="36" t="inlineStr">
        <is>
          <t>Zona de recarga «No» y escorrentía concentrada «No», pese a 15 cárcavas activas por concentración de escorrentía</t>
        </is>
      </c>
      <c r="D25" s="37" t="inlineStr">
        <is>
          <t>SUSTANTIVA</t>
        </is>
      </c>
      <c r="E25" s="36" t="inlineStr">
        <is>
          <t>Inconsistencia interna a resolver</t>
        </is>
      </c>
    </row>
    <row r="26" ht="48" customHeight="1">
      <c r="A26" s="34" t="inlineStr">
        <is>
          <t>D-17</t>
        </is>
      </c>
      <c r="B26" s="34" t="inlineStr">
        <is>
          <t>F-DS-02</t>
        </is>
      </c>
      <c r="C26" s="34" t="inlineStr">
        <is>
          <t>La ficha social consigna microcuenca C1076-Q9584 (valor heredado de plantilla)</t>
        </is>
      </c>
      <c r="D26" s="15" t="inlineStr">
        <is>
          <t>NO SUSTANTIVA</t>
        </is>
      </c>
      <c r="E26" s="34" t="inlineStr">
        <is>
          <t>Se conserva la microcuenca del catálogo C1081-Q9582</t>
        </is>
      </c>
    </row>
    <row r="27" ht="48" customHeight="1">
      <c r="A27" s="34" t="inlineStr">
        <is>
          <t>D-18</t>
        </is>
      </c>
      <c r="B27" s="34" t="inlineStr">
        <is>
          <t>Distribución areal MSAVI 2024</t>
        </is>
      </c>
      <c r="C27" s="34" t="inlineStr">
        <is>
          <t>La distribución por clase de MSAVI no figuraba en los insumos del entregable y se consignaba «Por determinar»; se incorpora la estadística zonal del ráster MSAVI clasificado (454 polígonos, 122.946 ha)</t>
        </is>
      </c>
      <c r="D27" s="15" t="inlineStr">
        <is>
          <t>CORREGIDO</t>
        </is>
      </c>
      <c r="E27" s="34" t="inlineStr">
        <is>
          <t>Se completó la sección A de la hoja «Cobertura MSAVI-NDVI» con superficie y porcentaje por clase DN 1 a DN 5, totales, superficie sobre y bajo el umbral 0.4976 y contraste con el catálogo. La equivalencia DN → clase se sustenta en la nota metodológica de esa hoja (r = 0.9965, error absoluto medio = 0.0091, n = 117 bloques).</t>
        </is>
      </c>
    </row>
    <row r="28" ht="48" customHeight="1">
      <c r="A28" s="34" t="inlineStr">
        <is>
          <t>D-19</t>
        </is>
      </c>
      <c r="B28" s="34" t="inlineStr">
        <is>
          <t>Superficie MSAVI vs. catálogo</t>
        </is>
      </c>
      <c r="C28" s="34" t="inlineStr">
        <is>
          <t>La superficie total clasificada por el MSAVI 2024 (122.946 ha) frente a la de catálogo V5/V6 (122.950 ha): desviación de +0.00 %</t>
        </is>
      </c>
      <c r="D28" s="15" t="inlineStr">
        <is>
          <t>CONFORME</t>
        </is>
      </c>
      <c r="E28" s="34" t="inlineStr">
        <is>
          <t>Sin acción: la segmentación del ráster valida la geometría del bloque dentro del ±2 %.</t>
        </is>
      </c>
    </row>
    <row r="29" ht="48" customHeight="1">
      <c r="A29" s="34" t="inlineStr">
        <is>
          <t>D-20</t>
        </is>
      </c>
      <c r="B29" s="34" t="inlineStr">
        <is>
          <t>Media MSAVI vs. clase DN dominante</t>
        </is>
      </c>
      <c r="C29" s="34" t="inlineStr">
        <is>
          <t>La media del bloque (0.3707) cae en la clase «DN 2 · 0.2650 - 0.3813 (Vigor muy bajo)»; la clase de mayor superficie es «DN 2 · 0.2650 - 0.3813 (Vigor muy bajo)», con 59.62 % del bloque. Superficie bajo el umbral 0.4976: 117.943 ha (95.93 %)</t>
        </is>
      </c>
      <c r="D29" s="15" t="inlineStr">
        <is>
          <t>CONFORME</t>
        </is>
      </c>
      <c r="E29" s="34" t="inlineStr">
        <is>
          <t>Sin acción: la media del bloque y la clase de mayor superficie coinciden.</t>
        </is>
      </c>
    </row>
    <row r="30"/>
    <row r="31">
      <c r="A31" s="16" t="inlineStr">
        <is>
          <t>RESUMEN</t>
        </is>
      </c>
      <c r="B31" s="17" t="inlineStr">
        <is>
          <t>20 verificaciones</t>
        </is>
      </c>
      <c r="C31" s="17" t="inlineStr">
        <is>
          <t>CONFORME: 5 · CORREGIDO: 2 · NO SUSTANTIVA: 3 · SUSTANTIVA: 10</t>
        </is>
      </c>
      <c r="D31" s="17" t="inlineStr"/>
      <c r="E31" s="17" t="inlineStr"/>
    </row>
    <row r="32"/>
    <row r="33" ht="60" customHeight="1">
      <c r="A33"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33" s="42" t="n"/>
      <c r="C33" s="42" t="n"/>
      <c r="D33" s="42" t="n"/>
      <c r="E33" s="43" t="n"/>
    </row>
  </sheetData>
  <mergeCells count="8">
    <mergeCell ref="A4:E4"/>
    <mergeCell ref="A2:E2"/>
    <mergeCell ref="A33:E33"/>
    <mergeCell ref="A5:E5"/>
    <mergeCell ref="A1:E1"/>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M3B7 — IN Piura</dc:title>
  <dc:subject>Diagnóstico Territorial por bloque de intervención</dc:subject>
  <dcterms:created xsi:type="dcterms:W3CDTF">2026-09-08T03:39:58Z</dcterms:created>
  <dcterms:modified xsi:type="dcterms:W3CDTF">2026-09-10T00:28:32Z</dcterms:modified>
</cp:coreProperties>
</file>