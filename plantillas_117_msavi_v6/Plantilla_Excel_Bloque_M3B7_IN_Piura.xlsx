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M3B7</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Polluco; Sinaí</t>
        </is>
      </c>
      <c r="C13" s="6" t="inlineStr">
        <is>
          <t>Comunidad campesina</t>
        </is>
      </c>
      <c r="D13" s="7" t="inlineStr">
        <is>
          <t>No pertenecen a ninguna comunidad campesina (F-DS-02)</t>
        </is>
      </c>
      <c r="E13" s="8" t="n"/>
      <c r="F13" s="8" t="n"/>
    </row>
    <row r="14">
      <c r="A14" s="6" t="inlineStr">
        <is>
          <t>Superficie de catálogo (V5/V6), ha</t>
        </is>
      </c>
      <c r="B14" s="7" t="n">
        <v>122.95</v>
      </c>
      <c r="C14" s="6" t="inlineStr">
        <is>
          <t>Fuente de superficie</t>
        </is>
      </c>
      <c r="D14" s="7" t="inlineStr">
        <is>
          <t>Catálogo maestro Bloques V5/V6</t>
        </is>
      </c>
      <c r="E14" s="8" t="n"/>
      <c r="F14" s="8" t="n"/>
    </row>
    <row r="15">
      <c r="A15" s="6" t="inlineStr">
        <is>
          <t>Centroide UTM ESTE (m)</t>
        </is>
      </c>
      <c r="B15" s="7" t="n">
        <v>638309</v>
      </c>
      <c r="C15" s="6" t="inlineStr">
        <is>
          <t>Centroide UTM NORTE (m)</t>
        </is>
      </c>
      <c r="D15" s="7" t="n">
        <v>9415217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238</v>
      </c>
      <c r="C19" s="6" t="inlineStr">
        <is>
          <t>Altitud máxima (msnm)</t>
        </is>
      </c>
      <c r="D19" s="7" t="n">
        <v>447</v>
      </c>
      <c r="E19" s="8" t="n"/>
      <c r="F19" s="8" t="n"/>
    </row>
    <row r="20">
      <c r="A20" s="6" t="inlineStr">
        <is>
          <t>Amplitud altitudinal (m)</t>
        </is>
      </c>
      <c r="B20" s="7" t="n">
        <v>209</v>
      </c>
      <c r="C20" s="6" t="inlineStr">
        <is>
          <t>Piso altitudinal dominante</t>
        </is>
      </c>
      <c r="D20" s="7" t="inlineStr">
        <is>
          <t>&lt;1000 m (Yunga)</t>
        </is>
      </c>
      <c r="E20" s="8" t="n"/>
      <c r="F20" s="8" t="n"/>
    </row>
    <row r="21">
      <c r="A21" s="6" t="inlineStr">
        <is>
          <t>Pendiente promedio (%)</t>
        </is>
      </c>
      <c r="B21" s="7" t="n">
        <v>18.21</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0.3707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(47.03 %)</t>
        </is>
      </c>
      <c r="E29" s="8" t="n"/>
      <c r="F29" s="8" t="n"/>
    </row>
    <row r="30">
      <c r="A30" s="6" t="inlineStr">
        <is>
          <t>Superficie clasificada NDVI 2025 (ha)</t>
        </is>
      </c>
      <c r="B30" s="7" t="n">
        <v>122.987</v>
      </c>
      <c r="C30" s="6" t="inlineStr">
        <is>
          <t>Desviación frente al catálogo (%)</t>
        </is>
      </c>
      <c r="D30" s="7" t="n">
        <v>0.03</v>
      </c>
      <c r="E30" s="8" t="n"/>
      <c r="F30" s="8" t="n"/>
    </row>
    <row r="31">
      <c r="A31" s="6" t="inlineStr">
        <is>
          <t>Superficie clasificada MSAVI 2024 (ha)</t>
        </is>
      </c>
      <c r="B31" s="39" t="n">
        <v>122.946</v>
      </c>
      <c r="C31" s="6" t="inlineStr">
        <is>
          <t>Desviación MSAVI frente al catálogo (%)</t>
        </is>
      </c>
      <c r="D31" s="40" t="n">
        <v>0</v>
      </c>
      <c r="E31" s="8" t="n"/>
      <c r="F31" s="8" t="n"/>
    </row>
    <row r="32">
      <c r="A32" s="6" t="inlineStr">
        <is>
          <t>Superficie bajo umbral MSAVI 0.4976 (ha)</t>
        </is>
      </c>
      <c r="B32" s="39" t="n">
        <v>117.943</v>
      </c>
      <c r="C32" s="6" t="inlineStr">
        <is>
          <t>% del bloque bajo umbral (brecha espectral)</t>
        </is>
      </c>
      <c r="D32" s="40" t="n">
        <v>95.93000000000001</v>
      </c>
      <c r="E32" s="8" t="n"/>
      <c r="F32" s="8" t="n"/>
    </row>
    <row r="33">
      <c r="A33" s="6" t="inlineStr">
        <is>
          <t>Clase DN dominante (MSAVI 2024)</t>
        </is>
      </c>
      <c r="B33" s="7" t="inlineStr">
        <is>
          <t>DN 2 · 0.2650 - 0.3813 (Vigor muy bajo)</t>
        </is>
      </c>
      <c r="C33" s="6" t="inlineStr">
        <is>
          <t>N.° de polígonos MSAVI del bloque</t>
        </is>
      </c>
      <c r="D33" s="41" t="n">
        <v>454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122.95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40</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15</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Carlos Domínguez Varas</t>
        </is>
      </c>
      <c r="C44" s="6" t="inlineStr">
        <is>
          <t>Fecha de evaluación</t>
        </is>
      </c>
      <c r="D44" s="7" t="inlineStr">
        <is>
          <t>2026-06-03</t>
        </is>
      </c>
      <c r="E44" s="8" t="n"/>
      <c r="F44" s="8" t="n"/>
    </row>
    <row r="45">
      <c r="A45" s="6" t="inlineStr">
        <is>
          <t>Hora de registro</t>
        </is>
      </c>
      <c r="B45" s="7" t="inlineStr">
        <is>
          <t>12:10 - 13:03 h</t>
        </is>
      </c>
      <c r="C45" s="6" t="inlineStr">
        <is>
          <t>Correlativo de ficha</t>
        </is>
      </c>
      <c r="D45" s="7" t="inlineStr">
        <is>
          <t>F-DT/M3B7/2026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0.009900000000000001</v>
      </c>
      <c r="C10" s="19">
        <f>ROUND(B10/$B$15*100,2)</f>
        <v/>
      </c>
      <c r="D10" s="11" t="inlineStr">
        <is>
          <t>Vigor alto</t>
        </is>
      </c>
      <c r="E10" s="11" t="inlineStr">
        <is>
          <t>Sobre umbral</t>
        </is>
      </c>
    </row>
    <row r="11">
      <c r="A11" s="12" t="inlineStr">
        <is>
          <t>0.4976 - 0.6139 · DN 4</t>
        </is>
      </c>
      <c r="B11" s="20" t="n">
        <v>4.994</v>
      </c>
      <c r="C11" s="21">
        <f>ROUND(B11/$B$15*100,2)</f>
        <v/>
      </c>
      <c r="D11" s="13" t="inlineStr">
        <is>
          <t>Vigor moderado</t>
        </is>
      </c>
      <c r="E11" s="13" t="inlineStr">
        <is>
          <t>Sobre umbral</t>
        </is>
      </c>
    </row>
    <row r="12">
      <c r="A12" s="7" t="inlineStr">
        <is>
          <t>0.3813 - 0.4976 · DN 3</t>
        </is>
      </c>
      <c r="B12" s="18" t="n">
        <v>42.1183</v>
      </c>
      <c r="C12" s="19">
        <f>ROUND(B12/$B$15*100,2)</f>
        <v/>
      </c>
      <c r="D12" s="11" t="inlineStr">
        <is>
          <t>Vigor bajo</t>
        </is>
      </c>
      <c r="E12" s="11" t="inlineStr">
        <is>
          <t>BAJO umbral 0.4976</t>
        </is>
      </c>
    </row>
    <row r="13">
      <c r="A13" s="14" t="inlineStr">
        <is>
          <t>0.2650 - 0.3813 · DN 2</t>
        </is>
      </c>
      <c r="B13" s="32" t="n">
        <v>73.3038</v>
      </c>
      <c r="C13" s="31">
        <f>ROUND(B13/$B$15*100,2)</f>
        <v/>
      </c>
      <c r="D13" s="15" t="inlineStr">
        <is>
          <t>Vigor muy bajo</t>
        </is>
      </c>
      <c r="E13" s="15" t="inlineStr">
        <is>
          <t>BAJO umbral 0.4976</t>
        </is>
      </c>
    </row>
    <row r="14">
      <c r="A14" s="7" t="inlineStr">
        <is>
          <t>&lt;= 0.2650 · DN 1</t>
        </is>
      </c>
      <c r="B14" s="18" t="n">
        <v>2.5205</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454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122.95</v>
      </c>
      <c r="C18" s="50" t="inlineStr">
        <is>
          <t>—</t>
        </is>
      </c>
      <c r="D18" s="47" t="inlineStr">
        <is>
          <t>Desviación planimétrica frente al catálogo</t>
        </is>
      </c>
      <c r="E18" s="47" t="inlineStr">
        <is>
          <t>+0.00 %</t>
        </is>
      </c>
    </row>
    <row r="19">
      <c r="A19" s="16" t="inlineStr">
        <is>
          <t>MSAVI 2024 — MEDIA DEL BLOQUE</t>
        </is>
      </c>
      <c r="B19" s="17" t="n">
        <v>0.370678</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454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(0.3707)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9.833600000000001</v>
      </c>
      <c r="C25" s="19" t="n">
        <v>8</v>
      </c>
      <c r="D25" s="11" t="inlineStr">
        <is>
          <t>Dosel continuo, matorral denso o mosaico agroforestal</t>
        </is>
      </c>
      <c r="E25" s="11" t="inlineStr"/>
    </row>
    <row r="26">
      <c r="A26" s="12" t="inlineStr">
        <is>
          <t>Vegetación mediana</t>
        </is>
      </c>
      <c r="B26" s="20" t="n">
        <v>57.8366</v>
      </c>
      <c r="C26" s="21" t="n">
        <v>47.03</v>
      </c>
      <c r="D26" s="13" t="inlineStr">
        <is>
          <t>Pastizal cultivado, matorral ralo, parcelas agrícolas</t>
        </is>
      </c>
      <c r="E26" s="13" t="inlineStr"/>
    </row>
    <row r="27">
      <c r="A27" s="7" t="inlineStr">
        <is>
          <t>Vegetación ligera</t>
        </is>
      </c>
      <c r="B27" s="18" t="n">
        <v>54.3937</v>
      </c>
      <c r="C27" s="19" t="n">
        <v>44.23</v>
      </c>
      <c r="D27" s="11" t="inlineStr">
        <is>
          <t>Cobertura discontinua, suelo parcialmente expuesto</t>
        </is>
      </c>
      <c r="E27" s="11" t="inlineStr"/>
    </row>
    <row r="28">
      <c r="A28" s="12" t="inlineStr">
        <is>
          <t>Tierra desnuda</t>
        </is>
      </c>
      <c r="B28" s="20" t="n">
        <v>0.9227</v>
      </c>
      <c r="C28" s="21" t="n">
        <v>0.75</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122.95</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8.00 % del polígono clasificado como «Vegetación alta» por el NDVI 2025; la observación de campo corresponde a una parcela o recorrido puntual y no es estadísticamente representativa de las 122.950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M3B7</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637368</v>
      </c>
      <c r="D10" s="26" t="n">
        <v>9414353</v>
      </c>
      <c r="E10" s="11" t="n">
        <v>1277.5</v>
      </c>
      <c r="F10" s="11" t="inlineStr"/>
      <c r="G10" s="11" t="inlineStr">
        <is>
          <t>Coordenada consignada en F-DT-01</t>
        </is>
      </c>
    </row>
    <row r="11">
      <c r="A11" s="12" t="inlineStr">
        <is>
          <t>C-01</t>
        </is>
      </c>
      <c r="B11" s="13" t="inlineStr">
        <is>
          <t>Rasgo erosivo — Cárcava somera — 15 m, 0.5 m prof., 2.0 m ancho</t>
        </is>
      </c>
      <c r="C11" s="27" t="n">
        <v>637368</v>
      </c>
      <c r="D11" s="27" t="n">
        <v>9414353</v>
      </c>
      <c r="E11" s="13" t="n">
        <v>1277.5</v>
      </c>
      <c r="F11" s="13" t="inlineStr">
        <is>
          <t>Activa</t>
        </is>
      </c>
      <c r="G11" s="13" t="inlineStr">
        <is>
          <t>Caminos / huellas de ganado</t>
        </is>
      </c>
    </row>
    <row r="12">
      <c r="A12" s="7" t="inlineStr">
        <is>
          <t>C-02</t>
        </is>
      </c>
      <c r="B12" s="11" t="inlineStr">
        <is>
          <t>Rasgo erosivo — Cárcava somera — 30 m, 0.5 m prof., 1.5 m ancho</t>
        </is>
      </c>
      <c r="C12" s="26" t="n">
        <v>637352</v>
      </c>
      <c r="D12" s="26" t="n">
        <v>9414391</v>
      </c>
      <c r="E12" s="11" t="n">
        <v>1264.2</v>
      </c>
      <c r="F12" s="11" t="inlineStr">
        <is>
          <t>Activa</t>
        </is>
      </c>
      <c r="G12" s="11" t="inlineStr">
        <is>
          <t>Caminos / huellas de ganado</t>
        </is>
      </c>
    </row>
    <row r="13">
      <c r="A13" s="12" t="inlineStr">
        <is>
          <t>C-03</t>
        </is>
      </c>
      <c r="B13" s="13" t="inlineStr">
        <is>
          <t>Rasgo erosivo — Cárcava incipiente — 10 m, 0.3 m prof., 0.5 m ancho</t>
        </is>
      </c>
      <c r="C13" s="27" t="n">
        <v>637371</v>
      </c>
      <c r="D13" s="27" t="n">
        <v>9414397</v>
      </c>
      <c r="E13" s="13" t="n">
        <v>1245.9</v>
      </c>
      <c r="F13" s="13" t="inlineStr">
        <is>
          <t>Activa</t>
        </is>
      </c>
      <c r="G13" s="13" t="inlineStr">
        <is>
          <t>Caminos / huellas de ganado</t>
        </is>
      </c>
    </row>
    <row r="14">
      <c r="A14" s="7" t="inlineStr">
        <is>
          <t>C-04</t>
        </is>
      </c>
      <c r="B14" s="11" t="inlineStr">
        <is>
          <t>Rasgo erosivo — Cárcava somera — 50 m, 0.5 m prof., 1.5 m ancho</t>
        </is>
      </c>
      <c r="C14" s="26" t="n">
        <v>637400</v>
      </c>
      <c r="D14" s="26" t="n">
        <v>9414445</v>
      </c>
      <c r="E14" s="11" t="n">
        <v>1192.6</v>
      </c>
      <c r="F14" s="11" t="inlineStr">
        <is>
          <t>Activa</t>
        </is>
      </c>
      <c r="G14" s="11" t="inlineStr">
        <is>
          <t>Caminos / huellas de ganado</t>
        </is>
      </c>
    </row>
    <row r="15">
      <c r="A15" s="12" t="inlineStr">
        <is>
          <t>C-05</t>
        </is>
      </c>
      <c r="B15" s="13" t="inlineStr">
        <is>
          <t>Rasgo erosivo — Cárcava incipiente — 20 m, 0.3 m prof., 1.0 m ancho</t>
        </is>
      </c>
      <c r="C15" s="27" t="n">
        <v>637417</v>
      </c>
      <c r="D15" s="27" t="n">
        <v>9414458</v>
      </c>
      <c r="E15" s="13" t="n">
        <v>1171.2</v>
      </c>
      <c r="F15" s="13" t="inlineStr">
        <is>
          <t>Activa</t>
        </is>
      </c>
      <c r="G15" s="13" t="inlineStr">
        <is>
          <t>Caminos / huellas de ganado</t>
        </is>
      </c>
    </row>
    <row r="16">
      <c r="A16" s="7" t="inlineStr">
        <is>
          <t>C-06</t>
        </is>
      </c>
      <c r="B16" s="11" t="inlineStr">
        <is>
          <t>Rasgo erosivo — Cárcava incipiente — 30 m, 0.3 m prof., 0.5 m ancho</t>
        </is>
      </c>
      <c r="C16" s="26" t="n">
        <v>637487</v>
      </c>
      <c r="D16" s="26" t="n">
        <v>9414495</v>
      </c>
      <c r="E16" s="11" t="n">
        <v>1094.1</v>
      </c>
      <c r="F16" s="11" t="inlineStr">
        <is>
          <t>Activa</t>
        </is>
      </c>
      <c r="G16" s="11" t="inlineStr">
        <is>
          <t>Caminos / huellas de ganado</t>
        </is>
      </c>
    </row>
    <row r="17">
      <c r="A17" s="12" t="inlineStr">
        <is>
          <t>C-07</t>
        </is>
      </c>
      <c r="B17" s="13" t="inlineStr">
        <is>
          <t>Rasgo erosivo — Cárcava somera — 50 m, 0.5 m prof., 1.5 m ancho</t>
        </is>
      </c>
      <c r="C17" s="27" t="n">
        <v>637498</v>
      </c>
      <c r="D17" s="27" t="n">
        <v>9414496</v>
      </c>
      <c r="E17" s="13" t="n">
        <v>1085.2</v>
      </c>
      <c r="F17" s="13" t="inlineStr">
        <is>
          <t>Activa</t>
        </is>
      </c>
      <c r="G17" s="13" t="inlineStr">
        <is>
          <t>Caminos / huellas de ganado</t>
        </is>
      </c>
    </row>
    <row r="18">
      <c r="A18" s="7" t="inlineStr">
        <is>
          <t>C-08</t>
        </is>
      </c>
      <c r="B18" s="11" t="inlineStr">
        <is>
          <t>Rasgo erosivo — Cárcava somera — 60 m, 0.6 m prof., 2.0 m ancho</t>
        </is>
      </c>
      <c r="C18" s="26" t="n">
        <v>637562</v>
      </c>
      <c r="D18" s="26" t="n">
        <v>9414531</v>
      </c>
      <c r="E18" s="11" t="n">
        <v>1014.2</v>
      </c>
      <c r="F18" s="11" t="inlineStr">
        <is>
          <t>Activa</t>
        </is>
      </c>
      <c r="G18" s="11" t="inlineStr">
        <is>
          <t>Caminos / huellas de ganado</t>
        </is>
      </c>
    </row>
    <row r="19">
      <c r="A19" s="12" t="inlineStr">
        <is>
          <t>C-09</t>
        </is>
      </c>
      <c r="B19" s="13" t="inlineStr">
        <is>
          <t>Rasgo erosivo — Cárcava somera — 100 m, 0.5 m prof., 2.5 m ancho</t>
        </is>
      </c>
      <c r="C19" s="27" t="n">
        <v>637572</v>
      </c>
      <c r="D19" s="27" t="n">
        <v>9414534</v>
      </c>
      <c r="E19" s="13" t="n">
        <v>1004.8</v>
      </c>
      <c r="F19" s="13" t="inlineStr">
        <is>
          <t>Activa</t>
        </is>
      </c>
      <c r="G19" s="13" t="inlineStr">
        <is>
          <t>Caminos / huellas de ganado</t>
        </is>
      </c>
    </row>
    <row r="20">
      <c r="A20" s="7" t="inlineStr">
        <is>
          <t>C-10</t>
        </is>
      </c>
      <c r="B20" s="11" t="inlineStr">
        <is>
          <t>Rasgo erosivo — Cárcava incipiente — 10 m, 0.3 m prof., 0.5 m ancho</t>
        </is>
      </c>
      <c r="C20" s="26" t="n">
        <v>637700</v>
      </c>
      <c r="D20" s="26" t="n">
        <v>9414556</v>
      </c>
      <c r="E20" s="11" t="n">
        <v>898.8</v>
      </c>
      <c r="F20" s="11" t="inlineStr">
        <is>
          <t>Activa</t>
        </is>
      </c>
      <c r="G20" s="11" t="inlineStr">
        <is>
          <t>Caminos / huellas de ganado</t>
        </is>
      </c>
    </row>
    <row r="21">
      <c r="A21" s="12" t="inlineStr">
        <is>
          <t>H-01</t>
        </is>
      </c>
      <c r="B21" s="13" t="inlineStr">
        <is>
          <t>Fuente de agua — Quebrada estacional</t>
        </is>
      </c>
      <c r="C21" s="27" t="n">
        <v>637567</v>
      </c>
      <c r="D21" s="27" t="n">
        <v>9414532</v>
      </c>
      <c r="E21" s="13" t="n">
        <v>1009.8</v>
      </c>
      <c r="F21" s="13" t="inlineStr">
        <is>
          <t>Estacional</t>
        </is>
      </c>
      <c r="G21" s="13" t="inlineStr">
        <is>
          <t>Drenaje natural; seca en la evaluación</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638309</v>
      </c>
      <c r="C24" s="6" t="inlineStr">
        <is>
          <t>Centroide del bloque — UTM NORTE (m)</t>
        </is>
      </c>
      <c r="D24" s="7" t="n">
        <v>9415217</v>
      </c>
      <c r="E24" s="8" t="n"/>
      <c r="F24" s="8" t="n"/>
      <c r="G24" s="8" t="n"/>
      <c r="H24" s="8" t="n"/>
    </row>
    <row r="25">
      <c r="A25" s="6" t="inlineStr">
        <is>
          <t>N.° de estaciones fotográficas declaradas</t>
        </is>
      </c>
      <c r="B25" s="7" t="n">
        <v>0</v>
      </c>
      <c r="C25" s="6" t="inlineStr">
        <is>
          <t>Estaciones dentro del polígono</t>
        </is>
      </c>
      <c r="D25" s="7" t="n">
        <v>0</v>
      </c>
      <c r="E25" s="8" t="n"/>
      <c r="F25" s="8" t="n"/>
      <c r="G25" s="8" t="n"/>
      <c r="H25" s="8" t="n"/>
    </row>
    <row r="27" ht="120"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San Juan de Bigote al CCPP de Polluco y Sinaí; se detuvo la camioneta en el centro poblado y al pie del bloque en la vía afirmada. Se ingresó por la zona suroeste, colindante a la vía. POR ZONAS EL BLOQUE COLINDA CON EL CCPP DE POLLUCO EN ÁREAS DESTINADAS AL PASTOREO DE GANADO CAPRINO. Se observó presencia de TOCONES POR EXTRACCIÓN DE LEÑA. LA ZONA PRÓXIMA A LA VÍA Y AL CCPP ES LA PARTE MÁS DEGRADADA DEL BLOQUE.</t>
        </is>
      </c>
      <c r="B27" s="42" t="n"/>
      <c r="C27" s="42" t="n"/>
      <c r="D27" s="42" t="n"/>
      <c r="E27" s="42" t="n"/>
      <c r="F27" s="42" t="n"/>
      <c r="G27" s="43"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M3B7</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14" t="inlineStr">
        <is>
          <t>► M3B7</t>
        </is>
      </c>
      <c r="B12" s="30" t="n">
        <v>122.95</v>
      </c>
      <c r="C12" s="31" t="n">
        <v>9.75</v>
      </c>
      <c r="D12" s="15" t="inlineStr">
        <is>
          <t>238 – 447</t>
        </is>
      </c>
      <c r="E12" s="15" t="n">
        <v>209</v>
      </c>
      <c r="F12" s="15" t="n">
        <v>18.21</v>
      </c>
      <c r="G12" s="32" t="n">
        <v>0.3707</v>
      </c>
      <c r="H12" s="31" t="n">
        <v>8</v>
      </c>
      <c r="I12" s="31" t="n">
        <v>95.93000000000001</v>
      </c>
    </row>
    <row r="13">
      <c r="A13" s="12" t="inlineStr">
        <is>
          <t>M3B3</t>
        </is>
      </c>
      <c r="B13" s="29" t="n">
        <v>84.81999999999999</v>
      </c>
      <c r="C13" s="21" t="n">
        <v>6.72</v>
      </c>
      <c r="D13" s="13" t="inlineStr">
        <is>
          <t>194 – 375</t>
        </is>
      </c>
      <c r="E13" s="13" t="n">
        <v>181</v>
      </c>
      <c r="F13" s="13" t="n">
        <v>18.87</v>
      </c>
      <c r="G13" s="20" t="n">
        <v>0.2985</v>
      </c>
      <c r="H13" s="21" t="n">
        <v>0.59</v>
      </c>
      <c r="I13" s="2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2" t="inlineStr">
        <is>
          <t>M3B6</t>
        </is>
      </c>
      <c r="B15" s="29" t="n">
        <v>60.35</v>
      </c>
      <c r="C15" s="21" t="n">
        <v>4.78</v>
      </c>
      <c r="D15" s="13" t="inlineStr">
        <is>
          <t>235 – 499</t>
        </is>
      </c>
      <c r="E15" s="13" t="n">
        <v>264</v>
      </c>
      <c r="F15" s="13" t="n">
        <v>23.39</v>
      </c>
      <c r="G15" s="20" t="n">
        <v>0.3425</v>
      </c>
      <c r="H15" s="21" t="n">
        <v>1.08</v>
      </c>
      <c r="I15" s="2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8"/>
    <row r="19" ht="84" customHeight="1">
      <c r="A19" s="9" t="inlineStr">
        <is>
          <t>LECTURA INTRAMICROCUENCA. El bloque M3B7 ocupa el puesto 3 de 7 por superficie dentro de la microcuenca C1081-Q9582 (9.75 % de las 1261.62 ha preliminares de la microcuenca). Su pendiente promedio (18.21 %, clase «15-25% (Fuert. inclinado)») es la 3.ª más baja de 7 y se sitúa por debajo del promedio de la microcuenca (18.59 %). Su MSAVI 2024 (0.3707) es el 1.º de 7 y queda por encima del promedio local (0.3190). Amplitud altitudinal del bloque: 209 m (238–447 msnm). El cuadro conserva todos los bloques catalogados en la microcuenca, incluidos los descartados en el tamizaje, para referencia del conjunto. Los bloques sin ficha DT figuran con sus parámetros de gabinete. BRECHA ESPECTRAL. El 95.93 % de la superficie del bloque (117.943 ha de 122.946 ha) se sitúa bajo el umbral MSAVI 0.4976, por debajo del promedio local de la microcuenca (99.15 %) calculado sobre los bloques con dato MSAVI disponible.</t>
        </is>
      </c>
      <c r="B19" s="42" t="n"/>
      <c r="C19" s="42" t="n"/>
      <c r="D19" s="42" t="n"/>
      <c r="E19" s="42" t="n"/>
      <c r="F19" s="42" t="n"/>
      <c r="G19" s="42" t="n"/>
      <c r="H19" s="43"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3"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(637368 E / 9414353 N) dista 1,278 m del centroide de catálogo (638309 E / 9415217 N), distancia incompatible con la superficie del bloque (122.95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(122.987 ha) coincide con la de catálogo (122.95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18.21 %,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99.26 %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7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«Polluco; Sinaí»; el cruce INEI-Bloques V5 identifica 2 centro(s) poblado(s) en el bloque: POLLUCO, SINAI</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(260 msnm)</t>
        </is>
      </c>
    </row>
    <row r="20" ht="48" customHeight="1">
      <c r="A20" s="34" t="inlineStr">
        <is>
          <t>D-11</t>
        </is>
      </c>
      <c r="B20" s="34" t="inlineStr">
        <is>
          <t>F-DT-03</t>
        </is>
      </c>
      <c r="C20" s="34" t="inlineStr">
        <is>
          <t>Suelo desnudo 40% en F-DT-03 frente a 15% en el indicador N.° 2 de F-DT-04</t>
        </is>
      </c>
      <c r="D20" s="37" t="inlineStr">
        <is>
          <t>SUSTANTIVA</t>
        </is>
      </c>
      <c r="E20" s="34" t="inlineStr">
        <is>
          <t>Inconsistencia interna a resolver</t>
        </is>
      </c>
    </row>
    <row r="21" ht="48" customHeight="1">
      <c r="A21" s="36" t="inlineStr">
        <is>
          <t>D-12</t>
        </is>
      </c>
      <c r="B21" s="36" t="inlineStr">
        <is>
          <t>F-DT-03</t>
        </is>
      </c>
      <c r="C21" s="36" t="inlineStr">
        <is>
          <t>La sección de especies clave / indicadoras quedó completamente vacía</t>
        </is>
      </c>
      <c r="D21" s="37" t="inlineStr">
        <is>
          <t>SUSTANTIVA</t>
        </is>
      </c>
      <c r="E21" s="36" t="inlineStr">
        <is>
          <t>Completar con georreferencia y número de individuos</t>
        </is>
      </c>
    </row>
    <row r="22" ht="48" customHeight="1">
      <c r="A22" s="34" t="inlineStr">
        <is>
          <t>D-13</t>
        </is>
      </c>
      <c r="B22" s="34" t="inlineStr">
        <is>
          <t>F-DT-03</t>
        </is>
      </c>
      <c r="C22" s="34" t="inlineStr">
        <is>
          <t>Solo 7 taxones registrados frente al mínimo de 15 exigido</t>
        </is>
      </c>
      <c r="D22" s="37" t="inlineStr">
        <is>
          <t>SUSTANTIVA</t>
        </is>
      </c>
      <c r="E22" s="34" t="inlineStr">
        <is>
          <t>Inventario florístico incompleto</t>
        </is>
      </c>
    </row>
    <row r="23" ht="48" customHeight="1">
      <c r="A23" s="36" t="inlineStr">
        <is>
          <t>D-14</t>
        </is>
      </c>
      <c r="B23" s="36" t="inlineStr">
        <is>
          <t>F-DT-04</t>
        </is>
      </c>
      <c r="C23" s="36" t="inlineStr">
        <is>
          <t>Densidad de cárcavas 10 N.°/ha calificada «Bajo», incompatible con el umbral de la propia ficha (&gt;3 = alto)</t>
        </is>
      </c>
      <c r="D23" s="37" t="inlineStr">
        <is>
          <t>SUSTANTIVA</t>
        </is>
      </c>
      <c r="E23" s="36" t="inlineStr">
        <is>
          <t>Recalificar a nivel ALTO</t>
        </is>
      </c>
    </row>
    <row r="24" ht="48" customHeight="1">
      <c r="A24" s="34" t="inlineStr">
        <is>
          <t>D-15</t>
        </is>
      </c>
      <c r="B24" s="34" t="inlineStr">
        <is>
          <t>F-DT-04</t>
        </is>
      </c>
      <c r="C24" s="34" t="inlineStr">
        <is>
          <t>Urgencia de intervención «Media» frente a urgencia de control de erosión «Alta» y 15 cárcavas activas</t>
        </is>
      </c>
      <c r="D24" s="37" t="inlineStr">
        <is>
          <t>SUSTANTIVA</t>
        </is>
      </c>
      <c r="E24" s="34" t="inlineStr">
        <is>
          <t>Revisar calificación</t>
        </is>
      </c>
    </row>
    <row r="25" ht="48" customHeight="1">
      <c r="A25" s="36" t="inlineStr">
        <is>
          <t>D-16</t>
        </is>
      </c>
      <c r="B25" s="36" t="inlineStr">
        <is>
          <t>F-DT-05</t>
        </is>
      </c>
      <c r="C25" s="36" t="inlineStr">
        <is>
          <t>Zona de recarga «No» y escorrentía concentrada «No», pese a 15 cárcavas activas por concentración de escorrentía</t>
        </is>
      </c>
      <c r="D25" s="37" t="inlineStr">
        <is>
          <t>SUSTANTIVA</t>
        </is>
      </c>
      <c r="E25" s="36" t="inlineStr">
        <is>
          <t>Inconsistencia interna a resolver</t>
        </is>
      </c>
    </row>
    <row r="26" ht="48" customHeight="1">
      <c r="A26" s="34" t="inlineStr">
        <is>
          <t>D-17</t>
        </is>
      </c>
      <c r="B26" s="34" t="inlineStr">
        <is>
          <t>F-DS-02</t>
        </is>
      </c>
      <c r="C26" s="34" t="inlineStr">
        <is>
          <t>La ficha social consigna microcuenca C1076-Q9584 (valor heredado de plantilla)</t>
        </is>
      </c>
      <c r="D26" s="15" t="inlineStr">
        <is>
          <t>NO SUSTANTIVA</t>
        </is>
      </c>
      <c r="E26" s="34" t="inlineStr">
        <is>
          <t>Se conserva la microcuenca del catálogo C1081-Q9582</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(454 polígonos, 122.946 ha)</t>
        </is>
      </c>
      <c r="D27" s="15"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(122.946 ha) frente a la de catálogo V5/V6 (122.950 ha): desviación de +0.00 %</t>
        </is>
      </c>
      <c r="D28" s="15"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(0.3707) cae en la clase «DN 2 · 0.2650 - 0.3813 (Vigor muy bajo)»; la clase de mayor superficie es «DN 2 · 0.2650 - 0.3813 (Vigor muy bajo)», con 59.62 % del bloque. Superficie bajo el umbral 0.4976: 117.943 ha (95.93 %)</t>
        </is>
      </c>
      <c r="D29" s="15"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5 · CORREGIDO: 2 · NO SUSTANTIVA: 3 · SUSTANTIVA: 10</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2" t="n"/>
      <c r="C33" s="42" t="n"/>
      <c r="D33" s="42" t="n"/>
      <c r="E33" s="43"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M3B7 — IN Piura</dc:title>
  <dc:subject>Diagnóstico Territorial por bloque de intervención</dc:subject>
  <dcterms:created xsi:type="dcterms:W3CDTF">2026-09-08T03:39:58Z</dcterms:created>
  <dcterms:modified xsi:type="dcterms:W3CDTF">2026-09-09T23:30:55Z</dcterms:modified>
</cp:coreProperties>
</file>