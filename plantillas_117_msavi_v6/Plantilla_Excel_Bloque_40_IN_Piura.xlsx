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Chacchacal y Chorro Blanco</t>
        </is>
      </c>
      <c r="C13" s="6" t="inlineStr">
        <is>
          <t>Comunidad campesina</t>
        </is>
      </c>
      <c r="D13" s="7" t="inlineStr">
        <is>
          <t>Por verificar</t>
        </is>
      </c>
      <c r="E13" s="8" t="n"/>
      <c r="F13" s="8" t="n"/>
    </row>
    <row r="14">
      <c r="A14" s="6" t="inlineStr">
        <is>
          <t>Superficie de catálogo (V5/V6), ha</t>
        </is>
      </c>
      <c r="B14" s="7" t="n">
        <v>28.52</v>
      </c>
      <c r="C14" s="6" t="inlineStr">
        <is>
          <t>Fuente de superficie</t>
        </is>
      </c>
      <c r="D14" s="7" t="inlineStr">
        <is>
          <t>Catálogo maestro Bloques V5/V6</t>
        </is>
      </c>
      <c r="E14" s="8" t="n"/>
      <c r="F14" s="8" t="n"/>
    </row>
    <row r="15">
      <c r="A15" s="6" t="inlineStr">
        <is>
          <t>Centroide UTM ESTE (m)</t>
        </is>
      </c>
      <c r="B15" s="7" t="n">
        <v>654137</v>
      </c>
      <c r="C15" s="6" t="inlineStr">
        <is>
          <t>Centroide UTM NORTE (m)</t>
        </is>
      </c>
      <c r="D15" s="7" t="n">
        <v>9424425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1407</v>
      </c>
      <c r="C19" s="6" t="inlineStr">
        <is>
          <t>Altitud máxima (msnm)</t>
        </is>
      </c>
      <c r="D19" s="7" t="n">
        <v>1656</v>
      </c>
      <c r="E19" s="8" t="n"/>
      <c r="F19" s="8" t="n"/>
    </row>
    <row r="20">
      <c r="A20" s="6" t="inlineStr">
        <is>
          <t>Amplitud altitudinal (m)</t>
        </is>
      </c>
      <c r="B20" s="7" t="n">
        <v>249</v>
      </c>
      <c r="C20" s="6" t="inlineStr">
        <is>
          <t>Piso altitudinal dominante</t>
        </is>
      </c>
      <c r="D20" s="7" t="inlineStr">
        <is>
          <t>1500-2000 m (Quechua media)</t>
        </is>
      </c>
      <c r="E20" s="8" t="n"/>
      <c r="F20" s="8" t="n"/>
    </row>
    <row r="21">
      <c r="A21" s="6" t="inlineStr">
        <is>
          <t>Pendiente promedio (%)</t>
        </is>
      </c>
      <c r="B21" s="7" t="n">
        <v>31.4</v>
      </c>
      <c r="C21" s="6" t="inlineStr">
        <is>
          <t>Pendiente promedio (grados)</t>
        </is>
      </c>
      <c r="D21" s="7" t="n">
        <v>17.4</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0.6401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(99.55 %)</t>
        </is>
      </c>
      <c r="E29" s="8" t="n"/>
      <c r="F29" s="8" t="n"/>
    </row>
    <row r="30">
      <c r="A30" s="6" t="inlineStr">
        <is>
          <t>Superficie clasificada NDVI 2025 (ha)</t>
        </is>
      </c>
      <c r="B30" s="7" t="n">
        <v>28.529</v>
      </c>
      <c r="C30" s="6" t="inlineStr">
        <is>
          <t>Desviación frente al catálogo (%)</t>
        </is>
      </c>
      <c r="D30" s="7" t="n">
        <v>0.03</v>
      </c>
      <c r="E30" s="8" t="n"/>
      <c r="F30" s="8" t="n"/>
    </row>
    <row r="31">
      <c r="A31" s="6" t="inlineStr">
        <is>
          <t>Superficie clasificada MSAVI 2024 (ha)</t>
        </is>
      </c>
      <c r="B31" s="38" t="n">
        <v>28.523</v>
      </c>
      <c r="C31" s="6" t="inlineStr">
        <is>
          <t>Desviación MSAVI frente al catálogo (%)</t>
        </is>
      </c>
      <c r="D31" s="39" t="n">
        <v>0.01</v>
      </c>
      <c r="E31" s="8" t="n"/>
      <c r="F31" s="8" t="n"/>
    </row>
    <row r="32">
      <c r="A32" s="6" t="inlineStr">
        <is>
          <t>Superficie bajo umbral MSAVI 0.4976 (ha)</t>
        </is>
      </c>
      <c r="B32" s="38" t="n">
        <v>0.828</v>
      </c>
      <c r="C32" s="6" t="inlineStr">
        <is>
          <t>% del bloque bajo umbral (brecha espectral)</t>
        </is>
      </c>
      <c r="D32" s="39" t="n">
        <v>2.9</v>
      </c>
      <c r="E32" s="8" t="n"/>
      <c r="F32" s="8" t="n"/>
    </row>
    <row r="33">
      <c r="A33" s="6" t="inlineStr">
        <is>
          <t>Clase DN dominante (MSAVI 2024)</t>
        </is>
      </c>
      <c r="B33" s="7" t="inlineStr">
        <is>
          <t>DN 5 · &gt; 0.6139 (Vigor alto)</t>
        </is>
      </c>
      <c r="C33" s="6" t="inlineStr">
        <is>
          <t>N.° de polígonos MSAVI del bloque</t>
        </is>
      </c>
      <c r="D33" s="40" t="n">
        <v>67</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Por determinar</t>
        </is>
      </c>
      <c r="E36" s="8" t="n"/>
      <c r="F36" s="8" t="n"/>
    </row>
    <row r="37">
      <c r="A37" s="6" t="inlineStr">
        <is>
          <t>Estado de conservación</t>
        </is>
      </c>
      <c r="B37" s="7" t="inlineStr">
        <is>
          <t>Muy alterado / Degradado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Severa (cárcavas activas)</t>
        </is>
      </c>
      <c r="C40" s="6" t="inlineStr">
        <is>
          <t>N.° de cárcavas registradas</t>
        </is>
      </c>
      <c r="D40" s="7" t="n">
        <v>0</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 e Ing. Pedro Talledo</t>
        </is>
      </c>
      <c r="C44" s="6" t="inlineStr">
        <is>
          <t>Fecha de evaluación</t>
        </is>
      </c>
      <c r="D44" s="7" t="inlineStr">
        <is>
          <t>2026-08-03</t>
        </is>
      </c>
      <c r="E44" s="8" t="n"/>
      <c r="F44" s="8" t="n"/>
    </row>
    <row r="45">
      <c r="A45" s="6" t="inlineStr">
        <is>
          <t>Hora de registro</t>
        </is>
      </c>
      <c r="B45" s="7" t="inlineStr">
        <is>
          <t>Por registrar</t>
        </is>
      </c>
      <c r="C45" s="6" t="inlineStr">
        <is>
          <t>Correlativo de ficha</t>
        </is>
      </c>
      <c r="D45" s="7" t="inlineStr">
        <is>
          <t>F-DT-01-40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determinar</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laderas de fuerte pendiente sin prácticas de conservación de suelos, favorecida por la accesibilidad vial</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18.2866</v>
      </c>
      <c r="C10" s="31">
        <f>ROUND(B10/$B$15*100,2)</f>
        <v>64.11</v>
      </c>
      <c r="D10" s="12" t="inlineStr">
        <is>
          <t>Vigor alto</t>
        </is>
      </c>
      <c r="E10" s="12" t="inlineStr">
        <is>
          <t>Sobre umbral</t>
        </is>
      </c>
    </row>
    <row r="11">
      <c r="A11" s="13" t="inlineStr">
        <is>
          <t>0.4976 - 0.6139 · DN 4</t>
        </is>
      </c>
      <c r="B11" s="20" t="n">
        <v>9.4092</v>
      </c>
      <c r="C11" s="21">
        <f>ROUND(B11/$B$15*100,2)</f>
        <v>32.99</v>
      </c>
      <c r="D11" s="14" t="inlineStr">
        <is>
          <t>Vigor moderado</t>
        </is>
      </c>
      <c r="E11" s="14" t="inlineStr">
        <is>
          <t>Sobre umbral</t>
        </is>
      </c>
    </row>
    <row r="12">
      <c r="A12" s="7" t="inlineStr">
        <is>
          <t>0.3813 - 0.4976 · DN 3</t>
        </is>
      </c>
      <c r="B12" s="18" t="n">
        <v>0.8276</v>
      </c>
      <c r="C12" s="19">
        <f>ROUND(B12/$B$15*100,2)</f>
        <v>2.9</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28.5234</v>
      </c>
      <c r="C15" s="45">
        <f>SUM(C10:C14)</f>
        <v>100.0</v>
      </c>
      <c r="D15" s="43" t="inlineStr">
        <is>
          <t>Suma de la distribución areal · 67 polígonos</t>
        </is>
      </c>
      <c r="E15" s="43" t="inlineStr">
        <is>
          <t>—</t>
        </is>
      </c>
    </row>
    <row r="16" ht="30" customHeight="1">
      <c r="A16" s="46" t="inlineStr">
        <is>
          <t>Superficie SOBRE umbral 0.4976 (ha)</t>
        </is>
      </c>
      <c r="B16" s="47">
        <f>SUM(B10:B11)</f>
        <v>27.6958</v>
      </c>
      <c r="C16" s="48">
        <f>ROUND(B16/B15*100,2)</f>
        <v>97.1</v>
      </c>
      <c r="D16" s="46" t="inlineStr">
        <is>
          <t>Vigor alto y moderado (DN 4 y DN 5)</t>
        </is>
      </c>
      <c r="E16" s="46" t="inlineStr">
        <is>
          <t>Sobre umbral 0.4976</t>
        </is>
      </c>
    </row>
    <row r="17" ht="30" customHeight="1">
      <c r="A17" s="46" t="inlineStr">
        <is>
          <t>Superficie BAJO umbral 0.4976 (ha) — brecha</t>
        </is>
      </c>
      <c r="B17" s="47">
        <f>SUM(B12:B14)</f>
        <v>0.8276</v>
      </c>
      <c r="C17" s="48">
        <f>ROUND(B17/B15*100,2)</f>
        <v>2.9</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28.52</v>
      </c>
      <c r="C18" s="49" t="inlineStr">
        <is>
          <t>—</t>
        </is>
      </c>
      <c r="D18" s="46" t="inlineStr">
        <is>
          <t>Desviación planimétrica frente al catálogo</t>
        </is>
      </c>
      <c r="E18" s="46" t="inlineStr">
        <is>
          <t>+0.01 %</t>
        </is>
      </c>
    </row>
    <row r="19">
      <c r="A19" s="16" t="inlineStr">
        <is>
          <t>MSAVI 2024 — MEDIA DEL BLOQUE</t>
        </is>
      </c>
      <c r="B19" s="17" t="n">
        <v>0.640099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67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(0.6401)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28.4008</v>
      </c>
      <c r="C25" s="19" t="n">
        <v>99.55</v>
      </c>
      <c r="D25" s="15" t="inlineStr">
        <is>
          <t>Dosel continuo, matorral denso o mosaico agroforestal</t>
        </is>
      </c>
      <c r="E25" s="15" t="inlineStr"/>
    </row>
    <row r="26">
      <c r="A26" s="13" t="inlineStr">
        <is>
          <t>Vegetación mediana</t>
        </is>
      </c>
      <c r="B26" s="20" t="n">
        <v>0.1286</v>
      </c>
      <c r="C26" s="21" t="n">
        <v>0.45</v>
      </c>
      <c r="D26" s="14" t="inlineStr">
        <is>
          <t>Pastizal cultivado, matorral ralo, parcelas agrícolas</t>
        </is>
      </c>
      <c r="E26" s="14" t="inlineStr"/>
    </row>
    <row r="27">
      <c r="A27" s="16" t="inlineStr">
        <is>
          <t>TOTAL CLASIFICADO</t>
        </is>
      </c>
      <c r="B27" s="22">
        <f>SUM(B25:B26)</f>
        <v>28.5294</v>
      </c>
      <c r="C27" s="23">
        <f>SUM(C25:C26)</f>
        <v>100.0</v>
      </c>
      <c r="D27" s="17" t="inlineStr"/>
      <c r="E27" s="17" t="inlineStr"/>
    </row>
    <row r="28">
      <c r="A28" s="24" t="inlineStr">
        <is>
          <t>Superficie de catálogo (V5/V6)</t>
        </is>
      </c>
      <c r="B28" s="25" t="n">
        <v>28.52</v>
      </c>
      <c r="C28" s="25" t="inlineStr">
        <is>
          <t>—</t>
        </is>
      </c>
      <c r="D28" s="25" t="inlineStr">
        <is>
          <t>Desviación planimétrica frente al catálogo</t>
        </is>
      </c>
      <c r="E28" s="25" t="inlineStr">
        <is>
          <t>+0.03 %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40</t>
        </is>
      </c>
    </row>
    <row r="6" ht="24" customHeight="1">
      <c r="A6" s="4" t="inlineStr">
        <is>
          <t>Levantamiento del 2026-08-03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654137</v>
      </c>
      <c r="D10" s="26" t="n">
        <v>9424425</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3"/>
    <row r="14">
      <c r="A14" s="6" t="inlineStr">
        <is>
          <t>Centroide del bloque — UTM ESTE (m)</t>
        </is>
      </c>
      <c r="B14" s="7" t="n">
        <v>654137</v>
      </c>
      <c r="C14" s="6" t="inlineStr">
        <is>
          <t>Centroide del bloque — UTM NORTE (m)</t>
        </is>
      </c>
      <c r="D14" s="7" t="n">
        <v>9424425</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6"/>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1390 msnm. Rango altitudinal según MDE: 1407-1656 msnm (amplitud 249 m); pendiente promedio 31.40%. Acceso: vía afirmada Los Ranchos – Chacchacal, margen derecha de una quebrada s/n.</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40</t>
        </is>
      </c>
    </row>
    <row r="6" ht="24" customHeight="1">
      <c r="A6" s="4" t="inlineStr">
        <is>
          <t>Distrito de Canchaque · Provincia de Huancabamba · Comparación de los bloques preliminares de intervención de la misma microcuenca</t>
        </is>
      </c>
    </row>
    <row r="7"/>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3" t="inlineStr">
        <is>
          <t>60</t>
        </is>
      </c>
      <c r="B15" s="29" t="n">
        <v>40.13</v>
      </c>
      <c r="C15" s="21" t="n">
        <v>7.27</v>
      </c>
      <c r="D15" s="14" t="inlineStr">
        <is>
          <t>1638 – 2073</t>
        </is>
      </c>
      <c r="E15" s="14" t="n">
        <v>435</v>
      </c>
      <c r="F15" s="14" t="n">
        <v>32.67</v>
      </c>
      <c r="G15" s="20" t="n">
        <v>0.6745</v>
      </c>
      <c r="H15" s="21" t="n">
        <v>99.90000000000001</v>
      </c>
      <c r="I15" s="2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1" t="inlineStr">
        <is>
          <t>► 40</t>
        </is>
      </c>
      <c r="B19" s="30" t="n">
        <v>28.52</v>
      </c>
      <c r="C19" s="31" t="n">
        <v>5.16</v>
      </c>
      <c r="D19" s="12" t="inlineStr">
        <is>
          <t>1407 – 1656</t>
        </is>
      </c>
      <c r="E19" s="12" t="n">
        <v>249</v>
      </c>
      <c r="F19" s="12" t="n">
        <v>31.4</v>
      </c>
      <c r="G19" s="32" t="n">
        <v>0.6401</v>
      </c>
      <c r="H19" s="31" t="n">
        <v>99.55</v>
      </c>
      <c r="I19" s="31" t="n">
        <v>2.9</v>
      </c>
    </row>
    <row r="20">
      <c r="A20" s="16" t="inlineStr">
        <is>
          <t>TOTAL / PROMEDIO</t>
        </is>
      </c>
      <c r="B20" s="33">
        <f>SUM(B10:B19)</f>
        <v>552.18</v>
      </c>
      <c r="C20" s="23">
        <f>SUM(C10:C19)</f>
        <v>99.98</v>
      </c>
      <c r="D20" s="17" t="inlineStr">
        <is>
          <t>1171 – 2651</t>
        </is>
      </c>
      <c r="E20" s="17" t="inlineStr"/>
      <c r="F20" s="17">
        <f>ROUND(AVERAGE(F10:F19),2)</f>
        <v>29.09</v>
      </c>
      <c r="G20" s="22">
        <f>ROUND(AVERAGE(G10:G19),4)</f>
        <v>0.6292</v>
      </c>
      <c r="H20" s="23">
        <f>ROUND(AVERAGE(H10:H19),2)</f>
        <v>93.19</v>
      </c>
      <c r="I20" s="23">
        <f>ROUND(AVERAGE(I10:I19),2)</f>
        <v>9.85</v>
      </c>
    </row>
    <row r="21"/>
    <row r="22" ht="84" customHeight="1">
      <c r="A22" s="9" t="inlineStr">
        <is>
          <t>LECTURA INTRAMICROCUENCA. El bloque 40 ocupa el puesto 10 de 10 por superficie dentro de la microcuenca C1081-Q9591 (5.16 % de las 552.18 ha preliminares de la microcuenca). Su pendiente promedio (31.40 %, clase «25-50% (Mod. escarpado)») es la 6.ª más baja de 10 y se sitúa por encima del promedio de la microcuenca (29.09 %). Su MSAVI 2024 (0.6401) es el 6.º de 10 y queda por encima del promedio local (0.6292). Amplitud altitudinal del bloque: 249 m (1407–1656 msnm). El cuadro conserva todos los bloques catalogados en la microcuenca, incluidos los descartados en el tamizaje, para referencia del conjunto. Los bloques sin ficha DT figuran con sus parámetros de gabinete. BRECHA ESPECTRAL. El 2.90 % de la superficie del bloque (0.828 ha de 28.523 ha) se sitúa bajo el umbral MSAVI 0.4976, por debajo del promedio local de la microcuenca (9.85 %) calculado sobre los bloques con dato MSAVI disponible.</t>
        </is>
      </c>
      <c r="B22" s="41" t="n"/>
      <c r="C22" s="41" t="n"/>
      <c r="D22" s="41" t="n"/>
      <c r="E22" s="41" t="n"/>
      <c r="F22" s="41" t="n"/>
      <c r="G22" s="41" t="n"/>
      <c r="H22" s="42" t="n"/>
    </row>
    <row r="23"/>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2" t="n"/>
    </row>
  </sheetData>
  <mergeCells count="9">
    <mergeCell ref="A1:I1"/>
    <mergeCell ref="A4:I4"/>
    <mergeCell ref="A3:I3"/>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(28.529 ha) coincide con la de catálogo (28.52 ha) dentro del ±2 % (+0.03 %)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1407 y 1656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«Chacchacal y Chorro Blanco»; el cruce INEI-Bloques V5 identifica 2 centro(s) poblado(s) en el bloque: CHACCHACAL, CHORRO BLANCO</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4" t="inlineStr">
        <is>
          <t>D-08</t>
        </is>
      </c>
      <c r="B17" s="34" t="inlineStr">
        <is>
          <t>Distribución areal MSAVI 2024</t>
        </is>
      </c>
      <c r="C17" s="34" t="inlineStr">
        <is>
          <t>La distribución por clase de MSAVI no figuraba en los insumos del entregable y se consignaba «Por determinar»; se incorpora la estadística zonal del ráster MSAVI clasificado (67 polígonos, 28.523 ha)</t>
        </is>
      </c>
      <c r="D17" s="37" t="inlineStr">
        <is>
          <t>CORREGIDO</t>
        </is>
      </c>
      <c r="E1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8" ht="48" customHeight="1">
      <c r="A18" s="34" t="inlineStr">
        <is>
          <t>D-09</t>
        </is>
      </c>
      <c r="B18" s="34" t="inlineStr">
        <is>
          <t>Superficie MSAVI vs. catálogo</t>
        </is>
      </c>
      <c r="C18" s="34" t="inlineStr">
        <is>
          <t>La superficie total clasificada por el MSAVI 2024 (28.523 ha) frente a la de catálogo V5/V6 (28.520 ha): desviación de +0.01 %</t>
        </is>
      </c>
      <c r="D18" s="37" t="inlineStr">
        <is>
          <t>CONFORME</t>
        </is>
      </c>
      <c r="E18" s="34" t="inlineStr">
        <is>
          <t>Sin acción: la segmentación del ráster valida la geometría del bloque dentro del ±2 %.</t>
        </is>
      </c>
    </row>
    <row r="19" ht="48" customHeight="1">
      <c r="A19" s="34" t="inlineStr">
        <is>
          <t>D-10</t>
        </is>
      </c>
      <c r="B19" s="34" t="inlineStr">
        <is>
          <t>Media MSAVI vs. clase DN dominante</t>
        </is>
      </c>
      <c r="C19" s="34" t="inlineStr">
        <is>
          <t>La media del bloque (0.6401) cae en la clase «DN 5 · &gt; 0.6139 (Vigor alto)»; la clase de mayor superficie es «DN 5 · &gt; 0.6139 (Vigor alto)», con 64.11 % del bloque. Superficie bajo el umbral 0.4976: 0.828 ha (2.90 %)</t>
        </is>
      </c>
      <c r="D19" s="37" t="inlineStr">
        <is>
          <t>CONFORME</t>
        </is>
      </c>
      <c r="E19" s="34" t="inlineStr">
        <is>
          <t>Sin acción: la media del bloque y la clase de mayor superficie coinciden.</t>
        </is>
      </c>
    </row>
    <row r="20"/>
    <row r="21">
      <c r="A21" s="16" t="inlineStr">
        <is>
          <t>RESUMEN</t>
        </is>
      </c>
      <c r="B21" s="17" t="inlineStr">
        <is>
          <t>10 verificaciones</t>
        </is>
      </c>
      <c r="C21" s="17" t="inlineStr">
        <is>
          <t>CONFORME: 6 · CORREGIDO: 1 · NO SUSTANTIVA: 1 · SUSTANTIVA: 2</t>
        </is>
      </c>
      <c r="D21" s="17" t="inlineStr"/>
      <c r="E21" s="17" t="inlineStr"/>
    </row>
    <row r="22"/>
    <row r="23" ht="60" customHeight="1">
      <c r="A2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3" s="41" t="n"/>
      <c r="C23" s="41" t="n"/>
      <c r="D23" s="41" t="n"/>
      <c r="E23" s="42" t="n"/>
    </row>
  </sheetData>
  <mergeCells count="8">
    <mergeCell ref="A4:E4"/>
    <mergeCell ref="A2:E2"/>
    <mergeCell ref="A5:E5"/>
    <mergeCell ref="A1:E1"/>
    <mergeCell ref="A23:E23"/>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40 — IN Piura</dc:title>
  <dc:subject>Diagnóstico Territorial por bloque de intervención</dc:subject>
  <dcterms:created xsi:type="dcterms:W3CDTF">2026-09-08T03:39:54Z</dcterms:created>
  <dcterms:modified xsi:type="dcterms:W3CDTF">2026-09-10T00:28:27Z</dcterms:modified>
</cp:coreProperties>
</file>