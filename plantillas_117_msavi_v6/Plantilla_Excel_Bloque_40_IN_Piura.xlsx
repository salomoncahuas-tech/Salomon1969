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0">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6" fillId="0"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40</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40</t>
        </is>
      </c>
      <c r="C9" s="6" t="inlineStr">
        <is>
          <t>Microcuenca (catálogo)</t>
        </is>
      </c>
      <c r="D9" s="7" t="inlineStr">
        <is>
          <t>C1081-Q9591</t>
        </is>
      </c>
      <c r="E9" s="8" t="n"/>
      <c r="F9" s="8" t="n"/>
    </row>
    <row r="10">
      <c r="A10" s="6" t="inlineStr">
        <is>
          <t>Zona de planificación</t>
        </is>
      </c>
      <c r="B10" s="7" t="inlineStr">
        <is>
          <t>Z11</t>
        </is>
      </c>
      <c r="C10" s="6" t="inlineStr">
        <is>
          <t>Microcuenca declarada en ficha DT</t>
        </is>
      </c>
      <c r="D10" s="7" t="inlineStr">
        <is>
          <t>C1081-Q9591</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Canchaque</t>
        </is>
      </c>
      <c r="C12" s="6" t="inlineStr">
        <is>
          <t>Capital distrital</t>
        </is>
      </c>
      <c r="D12" s="7" t="inlineStr">
        <is>
          <t>Canchaque</t>
        </is>
      </c>
      <c r="E12" s="8" t="n"/>
      <c r="F12" s="8" t="n"/>
    </row>
    <row r="13">
      <c r="A13" s="6" t="inlineStr">
        <is>
          <t>Centro poblado asociado</t>
        </is>
      </c>
      <c r="B13" s="7" t="inlineStr">
        <is>
          <t>Chacchacal y Chorro Blanco</t>
        </is>
      </c>
      <c r="C13" s="6" t="inlineStr">
        <is>
          <t>Comunidad campesina</t>
        </is>
      </c>
      <c r="D13" s="7" t="inlineStr">
        <is>
          <t>Por verificar</t>
        </is>
      </c>
      <c r="E13" s="8" t="n"/>
      <c r="F13" s="8" t="n"/>
    </row>
    <row r="14">
      <c r="A14" s="6" t="inlineStr">
        <is>
          <t>Superficie de catálogo (V5/V6), ha</t>
        </is>
      </c>
      <c r="B14" s="7" t="n">
        <v>28.52</v>
      </c>
      <c r="C14" s="6" t="inlineStr">
        <is>
          <t>Fuente de superficie</t>
        </is>
      </c>
      <c r="D14" s="7" t="inlineStr">
        <is>
          <t>Catálogo maestro Bloques V5/V6</t>
        </is>
      </c>
      <c r="E14" s="8" t="n"/>
      <c r="F14" s="8" t="n"/>
    </row>
    <row r="15">
      <c r="A15" s="6" t="inlineStr">
        <is>
          <t>Centroide UTM ESTE (m)</t>
        </is>
      </c>
      <c r="B15" s="7" t="n">
        <v>654137</v>
      </c>
      <c r="C15" s="6" t="inlineStr">
        <is>
          <t>Centroide UTM NORTE (m)</t>
        </is>
      </c>
      <c r="D15" s="7" t="n">
        <v>9424425</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1407</v>
      </c>
      <c r="C19" s="6" t="inlineStr">
        <is>
          <t>Altitud máxima (msnm)</t>
        </is>
      </c>
      <c r="D19" s="7" t="n">
        <v>1656</v>
      </c>
      <c r="E19" s="8" t="n"/>
      <c r="F19" s="8" t="n"/>
    </row>
    <row r="20">
      <c r="A20" s="6" t="inlineStr">
        <is>
          <t>Amplitud altitudinal (m)</t>
        </is>
      </c>
      <c r="B20" s="7" t="n">
        <v>249</v>
      </c>
      <c r="C20" s="6" t="inlineStr">
        <is>
          <t>Piso altitudinal dominante</t>
        </is>
      </c>
      <c r="D20" s="7" t="inlineStr">
        <is>
          <t>1500-2000 m (Quechua media)</t>
        </is>
      </c>
      <c r="E20" s="8" t="n"/>
      <c r="F20" s="8" t="n"/>
    </row>
    <row r="21">
      <c r="A21" s="6" t="inlineStr">
        <is>
          <t>Pendiente promedio (%)</t>
        </is>
      </c>
      <c r="B21" s="7" t="n">
        <v>31.4</v>
      </c>
      <c r="C21" s="6" t="inlineStr">
        <is>
          <t>Pendiente promedio (grados)</t>
        </is>
      </c>
      <c r="D21" s="7" t="n">
        <v>17.4</v>
      </c>
      <c r="E21" s="8" t="n"/>
      <c r="F21" s="8" t="n"/>
    </row>
    <row r="22">
      <c r="A22" s="6" t="inlineStr">
        <is>
          <t>Clase de pendiente equivalente</t>
        </is>
      </c>
      <c r="B22" s="7" t="inlineStr">
        <is>
          <t>25-50% (Mod. escarpado)</t>
        </is>
      </c>
      <c r="C22" s="6" t="inlineStr">
        <is>
          <t>Rango de pendiente declarado en campo</t>
        </is>
      </c>
      <c r="D22" s="7" t="inlineStr">
        <is>
          <t>25-50% (Mod. escarpado)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Sur</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6"/>
    <row r="27" ht="18" customHeight="1">
      <c r="A27" s="5" t="inlineStr">
        <is>
          <t>3. ÍNDICES DE VEGETACIÓN (SENTINEL-2)</t>
        </is>
      </c>
    </row>
    <row r="28">
      <c r="A28" s="6" t="inlineStr">
        <is>
          <t>MSAVI 2024 — media del bloque</t>
        </is>
      </c>
      <c r="B28" s="7" t="n">
        <v>0.6401</v>
      </c>
      <c r="C28" s="6" t="inlineStr">
        <is>
          <t>MSAVI 2024 — clase de la media</t>
        </is>
      </c>
      <c r="D28" s="7" t="inlineStr">
        <is>
          <t>&gt; 0.6139 (Vigor alto)</t>
        </is>
      </c>
      <c r="E28" s="8" t="n"/>
      <c r="F28" s="8" t="n"/>
    </row>
    <row r="29">
      <c r="A29" s="6" t="inlineStr">
        <is>
          <t>Condición frente al umbral 0.4976</t>
        </is>
      </c>
      <c r="B29" s="7" t="inlineStr">
        <is>
          <t>Sobre umbral</t>
        </is>
      </c>
      <c r="C29" s="6" t="inlineStr">
        <is>
          <t>NDVI mediana 2025 — clase modal</t>
        </is>
      </c>
      <c r="D29" s="7" t="inlineStr">
        <is>
          <t>Vegetación alta (99.55 %)</t>
        </is>
      </c>
      <c r="E29" s="8" t="n"/>
      <c r="F29" s="8" t="n"/>
    </row>
    <row r="30">
      <c r="A30" s="6" t="inlineStr">
        <is>
          <t>Superficie clasificada NDVI 2025 (ha)</t>
        </is>
      </c>
      <c r="B30" s="7" t="n">
        <v>28.529</v>
      </c>
      <c r="C30" s="6" t="inlineStr">
        <is>
          <t>Desviación frente al catálogo (%)</t>
        </is>
      </c>
      <c r="D30" s="7" t="n">
        <v>0.03</v>
      </c>
      <c r="E30" s="8" t="n"/>
      <c r="F30" s="8" t="n"/>
    </row>
    <row r="31">
      <c r="A31" s="6" t="inlineStr">
        <is>
          <t>Superficie clasificada MSAVI 2024 (ha)</t>
        </is>
      </c>
      <c r="B31" s="38" t="n">
        <v>28.523</v>
      </c>
      <c r="C31" s="6" t="inlineStr">
        <is>
          <t>Desviación MSAVI frente al catálogo (%)</t>
        </is>
      </c>
      <c r="D31" s="39" t="n">
        <v>0.01</v>
      </c>
      <c r="E31" s="8" t="n"/>
      <c r="F31" s="8" t="n"/>
    </row>
    <row r="32">
      <c r="A32" s="6" t="inlineStr">
        <is>
          <t>Superficie bajo umbral MSAVI 0.4976 (ha)</t>
        </is>
      </c>
      <c r="B32" s="38" t="n">
        <v>0.828</v>
      </c>
      <c r="C32" s="6" t="inlineStr">
        <is>
          <t>% del bloque bajo umbral (brecha espectral)</t>
        </is>
      </c>
      <c r="D32" s="39" t="n">
        <v>2.9</v>
      </c>
      <c r="E32" s="8" t="n"/>
      <c r="F32" s="8" t="n"/>
    </row>
    <row r="33">
      <c r="A33" s="6" t="inlineStr">
        <is>
          <t>Clase DN dominante (MSAVI 2024)</t>
        </is>
      </c>
      <c r="B33" s="7" t="inlineStr">
        <is>
          <t>DN 5 · &gt; 0.6139 (Vigor alto)</t>
        </is>
      </c>
      <c r="C33" s="6" t="inlineStr">
        <is>
          <t>N.° de polígonos MSAVI del bloque</t>
        </is>
      </c>
      <c r="D33" s="40" t="n">
        <v>67</v>
      </c>
      <c r="E33" s="8" t="n"/>
      <c r="F33" s="8" t="n"/>
    </row>
    <row r="34"/>
    <row r="35" ht="18" customHeight="1">
      <c r="A35" s="5" t="inlineStr">
        <is>
          <t>4. ECOSISTEMA Y ESTADO DE CONSERVACIÓN</t>
        </is>
      </c>
    </row>
    <row r="36">
      <c r="A36" s="6" t="inlineStr">
        <is>
          <t>Tipo de ecosistema (UP)</t>
        </is>
      </c>
      <c r="B36" s="7" t="inlineStr">
        <is>
          <t>Agroecosistema / Mosaico</t>
        </is>
      </c>
      <c r="C36" s="6" t="inlineStr">
        <is>
          <t>Superficie de ecosistema (ha)</t>
        </is>
      </c>
      <c r="D36" s="7" t="inlineStr">
        <is>
          <t>Por determinar</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Mixto / Mosaico</t>
        </is>
      </c>
      <c r="C38" s="6" t="inlineStr">
        <is>
          <t>Cobertura vegetal total — campo (%)</t>
        </is>
      </c>
      <c r="D38" s="7" t="inlineStr">
        <is>
          <t>Por determinar</t>
        </is>
      </c>
      <c r="E38" s="8" t="n"/>
      <c r="F38" s="8" t="n"/>
    </row>
    <row r="39">
      <c r="A39" s="6" t="inlineStr">
        <is>
          <t>Suelo desnudo — campo (%)</t>
        </is>
      </c>
      <c r="B39" s="7" t="inlineStr">
        <is>
          <t>Por determinar</t>
        </is>
      </c>
      <c r="C39" s="6" t="inlineStr">
        <is>
          <t>Regeneración natural</t>
        </is>
      </c>
      <c r="D39" s="7" t="inlineStr">
        <is>
          <t>Escasa (&lt;10 pl./100m²)</t>
        </is>
      </c>
      <c r="E39" s="8" t="n"/>
      <c r="F39" s="8" t="n"/>
    </row>
    <row r="40">
      <c r="A40" s="6" t="inlineStr">
        <is>
          <t>Nivel general de erosión</t>
        </is>
      </c>
      <c r="B40" s="7" t="inlineStr">
        <is>
          <t>Severa (cárcavas activas)</t>
        </is>
      </c>
      <c r="C40" s="6" t="inlineStr">
        <is>
          <t>N.° de cárcavas registradas</t>
        </is>
      </c>
      <c r="D40" s="7" t="n">
        <v>0</v>
      </c>
      <c r="E40" s="8" t="n"/>
      <c r="F40" s="8" t="n"/>
    </row>
    <row r="41">
      <c r="A41" s="6" t="inlineStr">
        <is>
          <t>Elenco florístico (n.° de taxones)</t>
        </is>
      </c>
      <c r="B41" s="7" t="n">
        <v>11</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Juan Domínguez e Ing. Pedro Talledo</t>
        </is>
      </c>
      <c r="C44" s="6" t="inlineStr">
        <is>
          <t>Fecha de evaluación</t>
        </is>
      </c>
      <c r="D44" s="7" t="inlineStr">
        <is>
          <t>2026-08-03</t>
        </is>
      </c>
      <c r="E44" s="8" t="n"/>
      <c r="F44" s="8" t="n"/>
    </row>
    <row r="45">
      <c r="A45" s="6" t="inlineStr">
        <is>
          <t>Hora de registro</t>
        </is>
      </c>
      <c r="B45" s="7" t="inlineStr">
        <is>
          <t>Por registrar</t>
        </is>
      </c>
      <c r="C45" s="6" t="inlineStr">
        <is>
          <t>Correlativo de ficha</t>
        </is>
      </c>
      <c r="D45" s="7" t="inlineStr">
        <is>
          <t>F-DT-01-40</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Por determinar</t>
        </is>
      </c>
      <c r="E47" s="8" t="n"/>
      <c r="F47" s="8" t="n"/>
    </row>
    <row r="48">
      <c r="A48" s="6" t="inlineStr">
        <is>
          <t>Estaciones fotográficas georreferenciadas</t>
        </is>
      </c>
      <c r="B48" s="7" t="inlineStr">
        <is>
          <t>Sin registro en la ficha DT</t>
        </is>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Ocupación productiva de laderas de fuerte pendiente sin prácticas de conservación de suelos, favorecida por la accesibilidad vial</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Alta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1" t="n"/>
      <c r="C57" s="41" t="n"/>
      <c r="D57" s="41" t="n"/>
      <c r="E57" s="41" t="n"/>
      <c r="F57" s="42"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0"/>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40</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11" t="inlineStr">
        <is>
          <t>&gt; 0.6139 · DN 5</t>
        </is>
      </c>
      <c r="B10" s="32" t="n">
        <v>18.2866</v>
      </c>
      <c r="C10" s="31">
        <f>ROUND(B10/$B$15*100,2)</f>
        <v/>
      </c>
      <c r="D10" s="12" t="inlineStr">
        <is>
          <t>Vigor alto</t>
        </is>
      </c>
      <c r="E10" s="12" t="inlineStr">
        <is>
          <t>Sobre umbral</t>
        </is>
      </c>
    </row>
    <row r="11">
      <c r="A11" s="13" t="inlineStr">
        <is>
          <t>0.4976 - 0.6139 · DN 4</t>
        </is>
      </c>
      <c r="B11" s="20" t="n">
        <v>9.4092</v>
      </c>
      <c r="C11" s="21">
        <f>ROUND(B11/$B$15*100,2)</f>
        <v/>
      </c>
      <c r="D11" s="14" t="inlineStr">
        <is>
          <t>Vigor moderado</t>
        </is>
      </c>
      <c r="E11" s="14" t="inlineStr">
        <is>
          <t>Sobre umbral</t>
        </is>
      </c>
    </row>
    <row r="12">
      <c r="A12" s="7" t="inlineStr">
        <is>
          <t>0.3813 - 0.4976 · DN 3</t>
        </is>
      </c>
      <c r="B12" s="18" t="n">
        <v>0.8276</v>
      </c>
      <c r="C12" s="19">
        <f>ROUND(B12/$B$15*100,2)</f>
        <v/>
      </c>
      <c r="D12" s="15" t="inlineStr">
        <is>
          <t>Vigor bajo</t>
        </is>
      </c>
      <c r="E12" s="15" t="inlineStr">
        <is>
          <t>BAJO umbral 0.4976</t>
        </is>
      </c>
    </row>
    <row r="13">
      <c r="A13" s="13" t="inlineStr">
        <is>
          <t>0.2650 - 0.3813 · DN 2</t>
        </is>
      </c>
      <c r="B13" s="20" t="n">
        <v>0</v>
      </c>
      <c r="C13" s="21">
        <f>ROUND(B13/$B$15*100,2)</f>
        <v/>
      </c>
      <c r="D13" s="14" t="inlineStr">
        <is>
          <t>Vigor muy bajo</t>
        </is>
      </c>
      <c r="E13" s="14" t="inlineStr">
        <is>
          <t>BAJO umbral 0.4976</t>
        </is>
      </c>
    </row>
    <row r="14">
      <c r="A14" s="7" t="inlineStr">
        <is>
          <t>&lt;= 0.2650 · DN 1</t>
        </is>
      </c>
      <c r="B14" s="18" t="n">
        <v>0</v>
      </c>
      <c r="C14" s="19">
        <f>ROUND(B14/$B$15*100,2)</f>
        <v/>
      </c>
      <c r="D14" s="15" t="inlineStr">
        <is>
          <t>Suelo desnudo / no vegetal</t>
        </is>
      </c>
      <c r="E14" s="15" t="inlineStr">
        <is>
          <t>BAJO umbral 0.4976</t>
        </is>
      </c>
    </row>
    <row r="15" ht="30" customHeight="1">
      <c r="A15" s="43" t="inlineStr">
        <is>
          <t>TOTAL CLASIFICADO MSAVI 2024</t>
        </is>
      </c>
      <c r="B15" s="44">
        <f>SUM(B10:B14)</f>
        <v/>
      </c>
      <c r="C15" s="45">
        <f>SUM(C10:C14)</f>
        <v/>
      </c>
      <c r="D15" s="43" t="inlineStr">
        <is>
          <t>Suma de la distribución areal · 67 polígonos</t>
        </is>
      </c>
      <c r="E15" s="43" t="inlineStr">
        <is>
          <t>—</t>
        </is>
      </c>
    </row>
    <row r="16" ht="30" customHeight="1">
      <c r="A16" s="46" t="inlineStr">
        <is>
          <t>Superficie SOBRE umbral 0.4976 (ha)</t>
        </is>
      </c>
      <c r="B16" s="47">
        <f>SUM(B10:B11)</f>
        <v/>
      </c>
      <c r="C16" s="48">
        <f>ROUND(B16/B15*100,2)</f>
        <v/>
      </c>
      <c r="D16" s="46" t="inlineStr">
        <is>
          <t>Vigor alto y moderado (DN 4 y DN 5)</t>
        </is>
      </c>
      <c r="E16" s="46" t="inlineStr">
        <is>
          <t>Sobre umbral 0.4976</t>
        </is>
      </c>
    </row>
    <row r="17" ht="30" customHeight="1">
      <c r="A17" s="46" t="inlineStr">
        <is>
          <t>Superficie BAJO umbral 0.4976 (ha) — brecha</t>
        </is>
      </c>
      <c r="B17" s="47">
        <f>SUM(B12:B14)</f>
        <v/>
      </c>
      <c r="C17" s="48">
        <f>ROUND(B17/B15*100,2)</f>
        <v/>
      </c>
      <c r="D17" s="46" t="inlineStr">
        <is>
          <t>Vigor bajo, muy bajo y suelo desnudo (DN 1 a DN 3)</t>
        </is>
      </c>
      <c r="E17" s="46" t="inlineStr">
        <is>
          <t>Base para el indicador de brecha (R.M. N.° 00213-2024-MINAM)</t>
        </is>
      </c>
    </row>
    <row r="18" ht="30" customHeight="1">
      <c r="A18" s="46" t="inlineStr">
        <is>
          <t>Superficie de catálogo (V5/V6) — contraste MSAVI</t>
        </is>
      </c>
      <c r="B18" s="47" t="n">
        <v>28.52</v>
      </c>
      <c r="C18" s="49" t="inlineStr">
        <is>
          <t>—</t>
        </is>
      </c>
      <c r="D18" s="46" t="inlineStr">
        <is>
          <t>Desviación planimétrica frente al catálogo</t>
        </is>
      </c>
      <c r="E18" s="46" t="inlineStr">
        <is>
          <t>+0.01 %</t>
        </is>
      </c>
    </row>
    <row r="19">
      <c r="A19" s="16" t="inlineStr">
        <is>
          <t>MSAVI 2024 — MEDIA DEL BLOQUE</t>
        </is>
      </c>
      <c r="B19" s="17" t="n">
        <v>0.640099</v>
      </c>
      <c r="C19" s="17" t="inlineStr">
        <is>
          <t>—</t>
        </is>
      </c>
      <c r="D19" s="17" t="inlineStr">
        <is>
          <t>Vigor alto · clase &gt; 0.6139</t>
        </is>
      </c>
      <c r="E19" s="17" t="inlineStr">
        <is>
          <t>Sobre umbral</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67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(0.6401) se conserva del catálogo maestro y es dato oficial; la fila resaltada indica la clase en la que cae dicha media. Los totales y porcentajes se calculan con fórmulas sobre las filas del cuadro.</t>
        </is>
      </c>
      <c r="B21" s="41" t="n"/>
      <c r="C21" s="41" t="n"/>
      <c r="D21" s="41" t="n"/>
      <c r="E21" s="42"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28.4008</v>
      </c>
      <c r="C25" s="19" t="n">
        <v>99.55</v>
      </c>
      <c r="D25" s="15" t="inlineStr">
        <is>
          <t>Dosel continuo, matorral denso o mosaico agroforestal</t>
        </is>
      </c>
      <c r="E25" s="15" t="inlineStr"/>
    </row>
    <row r="26">
      <c r="A26" s="13" t="inlineStr">
        <is>
          <t>Vegetación mediana</t>
        </is>
      </c>
      <c r="B26" s="20" t="n">
        <v>0.1286</v>
      </c>
      <c r="C26" s="21" t="n">
        <v>0.45</v>
      </c>
      <c r="D26" s="14" t="inlineStr">
        <is>
          <t>Pastizal cultivado, matorral ralo, parcelas agrícolas</t>
        </is>
      </c>
      <c r="E26" s="14" t="inlineStr"/>
    </row>
    <row r="27">
      <c r="A27" s="16" t="inlineStr">
        <is>
          <t>TOTAL CLASIFICADO</t>
        </is>
      </c>
      <c r="B27" s="22">
        <f>SUM(B25:B26)</f>
        <v/>
      </c>
      <c r="C27" s="23">
        <f>SUM(C25:C26)</f>
        <v/>
      </c>
      <c r="D27" s="17" t="inlineStr"/>
      <c r="E27" s="17" t="inlineStr"/>
    </row>
    <row r="28">
      <c r="A28" s="24" t="inlineStr">
        <is>
          <t>Superficie de catálogo (V5/V6)</t>
        </is>
      </c>
      <c r="B28" s="25" t="n">
        <v>28.52</v>
      </c>
      <c r="C28" s="25" t="inlineStr">
        <is>
          <t>—</t>
        </is>
      </c>
      <c r="D28" s="25" t="inlineStr">
        <is>
          <t>Desviación planimétrica frente al catálogo</t>
        </is>
      </c>
      <c r="E28" s="25" t="inlineStr">
        <is>
          <t>+0.03 %</t>
        </is>
      </c>
    </row>
    <row r="29"/>
    <row r="30" ht="72" customHeight="1">
      <c r="A30"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c r="B30" s="41" t="n"/>
      <c r="C30" s="41" t="n"/>
      <c r="D30" s="41" t="n"/>
      <c r="E30" s="42" t="n"/>
    </row>
  </sheetData>
  <mergeCells count="10">
    <mergeCell ref="A30:E30"/>
    <mergeCell ref="A21:E21"/>
    <mergeCell ref="A4:E4"/>
    <mergeCell ref="A2:E2"/>
    <mergeCell ref="A1:E1"/>
    <mergeCell ref="A23:E23"/>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40</t>
        </is>
      </c>
    </row>
    <row r="6" ht="24" customHeight="1">
      <c r="A6" s="4" t="inlineStr">
        <is>
          <t>Levantamiento del 2026-08-03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5" t="inlineStr">
        <is>
          <t>Punto de muestreo declarado en ficha DT</t>
        </is>
      </c>
      <c r="C10" s="26" t="n">
        <v>654137</v>
      </c>
      <c r="D10" s="26" t="n">
        <v>9424425</v>
      </c>
      <c r="E10" s="15" t="n">
        <v>0</v>
      </c>
      <c r="F10" s="15" t="inlineStr"/>
      <c r="G10" s="15" t="inlineStr">
        <is>
          <t>Coordenada consignada en F-DT-01</t>
        </is>
      </c>
    </row>
    <row r="11">
      <c r="A11" s="13" t="inlineStr">
        <is>
          <t>H-01</t>
        </is>
      </c>
      <c r="B11" s="14" t="inlineStr">
        <is>
          <t>Fuente de agua — Quebrada estacional</t>
        </is>
      </c>
      <c r="C11" s="27" t="inlineStr">
        <is>
          <t>Por determinar</t>
        </is>
      </c>
      <c r="D11" s="27" t="inlineStr">
        <is>
          <t>Por determinar</t>
        </is>
      </c>
      <c r="E11" s="14" t="inlineStr"/>
      <c r="F11" s="14" t="inlineStr">
        <is>
          <t>Estacional</t>
        </is>
      </c>
      <c r="G11" s="14" t="inlineStr">
        <is>
          <t>Quebrada s/n colindante</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654137</v>
      </c>
      <c r="C14" s="6" t="inlineStr">
        <is>
          <t>Centroide del bloque — UTM NORTE (m)</t>
        </is>
      </c>
      <c r="D14" s="7" t="n">
        <v>9424425</v>
      </c>
      <c r="E14" s="8" t="n"/>
      <c r="F14" s="8" t="n"/>
      <c r="G14" s="8" t="n"/>
      <c r="H14" s="8" t="n"/>
    </row>
    <row r="15">
      <c r="A15" s="6" t="inlineStr">
        <is>
          <t>N.° de estaciones fotográficas declaradas</t>
        </is>
      </c>
      <c r="B15" s="7" t="inlineStr">
        <is>
          <t>Sin registro en la ficha DT</t>
        </is>
      </c>
      <c r="C15" s="6" t="inlineStr">
        <is>
          <t>Estaciones dentro del polígono</t>
        </is>
      </c>
      <c r="D15" s="7" t="inlineStr">
        <is>
          <t>Por determinar</t>
        </is>
      </c>
      <c r="E15" s="8" t="n"/>
      <c r="F15" s="8" t="n"/>
      <c r="G15" s="8" t="n"/>
      <c r="H15" s="8" t="n"/>
    </row>
    <row r="17" ht="108"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Coordenadas correspondientes al CENTROIDE del polígono (Bloques V4/V5), no a un punto de muestreo GPS. Altitud GPS de campo 1390 msnm. Rango altitudinal según MDE: 1407-1656 msnm (amplitud 249 m); pendiente promedio 31.40%. Acceso: vía afirmada Los Ranchos – Chacchacal, margen derecha de una quebrada s/n.</t>
        </is>
      </c>
      <c r="B17" s="41" t="n"/>
      <c r="C17" s="41" t="n"/>
      <c r="D17" s="41" t="n"/>
      <c r="E17" s="41" t="n"/>
      <c r="F17" s="41" t="n"/>
      <c r="G17" s="42" t="n"/>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4"/>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C1081-Q9591 — BLOQUE 40</t>
        </is>
      </c>
    </row>
    <row r="6" ht="24" customHeight="1">
      <c r="A6" s="4" t="inlineStr">
        <is>
          <t>Distrito de Canchaque · Provincia de Huancabamba · Comparación de los bloques preliminares de intervención de la misma microcuenca</t>
        </is>
      </c>
    </row>
    <row r="7"/>
    <row r="8" ht="18" customHeight="1">
      <c r="A8" s="5" t="inlineStr">
        <is>
          <t>BLOQUES DE LA MICROCUENCA C1081-Q9591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66</t>
        </is>
      </c>
      <c r="B10" s="28" t="n">
        <v>102.34</v>
      </c>
      <c r="C10" s="19" t="n">
        <v>18.53</v>
      </c>
      <c r="D10" s="15" t="inlineStr">
        <is>
          <t>1171 – 1769</t>
        </is>
      </c>
      <c r="E10" s="15" t="n">
        <v>598</v>
      </c>
      <c r="F10" s="15" t="n">
        <v>31.55</v>
      </c>
      <c r="G10" s="18" t="n">
        <v>0.6403</v>
      </c>
      <c r="H10" s="19" t="n">
        <v>94.08</v>
      </c>
      <c r="I10" s="19" t="n">
        <v>8.84</v>
      </c>
    </row>
    <row r="11">
      <c r="A11" s="13" t="inlineStr">
        <is>
          <t>M30B5</t>
        </is>
      </c>
      <c r="B11" s="29" t="n">
        <v>90.90000000000001</v>
      </c>
      <c r="C11" s="21" t="n">
        <v>16.46</v>
      </c>
      <c r="D11" s="14" t="inlineStr">
        <is>
          <t>1782 – 2307</t>
        </is>
      </c>
      <c r="E11" s="14" t="n">
        <v>525</v>
      </c>
      <c r="F11" s="14" t="n">
        <v>21.23</v>
      </c>
      <c r="G11" s="20" t="n">
        <v>0.5564</v>
      </c>
      <c r="H11" s="21" t="n">
        <v>79.45999999999999</v>
      </c>
      <c r="I11" s="21" t="n">
        <v>33.03</v>
      </c>
    </row>
    <row r="12">
      <c r="A12" s="7" t="inlineStr">
        <is>
          <t>21</t>
        </is>
      </c>
      <c r="B12" s="28" t="n">
        <v>84.23</v>
      </c>
      <c r="C12" s="19" t="n">
        <v>15.25</v>
      </c>
      <c r="D12" s="15" t="inlineStr">
        <is>
          <t>1353 – 2004</t>
        </is>
      </c>
      <c r="E12" s="15" t="n">
        <v>651</v>
      </c>
      <c r="F12" s="15" t="n">
        <v>31.71</v>
      </c>
      <c r="G12" s="18" t="n">
        <v>0.6201</v>
      </c>
      <c r="H12" s="19" t="n">
        <v>89.39</v>
      </c>
      <c r="I12" s="19" t="n">
        <v>5.17</v>
      </c>
    </row>
    <row r="13">
      <c r="A13" s="13" t="inlineStr">
        <is>
          <t>28</t>
        </is>
      </c>
      <c r="B13" s="29" t="n">
        <v>52.97</v>
      </c>
      <c r="C13" s="21" t="n">
        <v>9.59</v>
      </c>
      <c r="D13" s="14" t="inlineStr">
        <is>
          <t>1462 – 1856</t>
        </is>
      </c>
      <c r="E13" s="14" t="n">
        <v>394</v>
      </c>
      <c r="F13" s="14" t="n">
        <v>30.36</v>
      </c>
      <c r="G13" s="20" t="n">
        <v>0.6394</v>
      </c>
      <c r="H13" s="21" t="n">
        <v>96.64</v>
      </c>
      <c r="I13" s="21" t="n">
        <v>0.93</v>
      </c>
    </row>
    <row r="14">
      <c r="A14" s="7" t="inlineStr">
        <is>
          <t>26</t>
        </is>
      </c>
      <c r="B14" s="28" t="n">
        <v>46.96</v>
      </c>
      <c r="C14" s="19" t="n">
        <v>8.5</v>
      </c>
      <c r="D14" s="15" t="inlineStr">
        <is>
          <t>1260 – 1855</t>
        </is>
      </c>
      <c r="E14" s="15" t="n">
        <v>595</v>
      </c>
      <c r="F14" s="15" t="n">
        <v>32.26</v>
      </c>
      <c r="G14" s="18" t="n">
        <v>0.6733</v>
      </c>
      <c r="H14" s="19" t="n">
        <v>97.29000000000001</v>
      </c>
      <c r="I14" s="19" t="n">
        <v>2.35</v>
      </c>
    </row>
    <row r="15">
      <c r="A15" s="13" t="inlineStr">
        <is>
          <t>60</t>
        </is>
      </c>
      <c r="B15" s="29" t="n">
        <v>40.13</v>
      </c>
      <c r="C15" s="21" t="n">
        <v>7.27</v>
      </c>
      <c r="D15" s="14" t="inlineStr">
        <is>
          <t>1638 – 2073</t>
        </is>
      </c>
      <c r="E15" s="14" t="n">
        <v>435</v>
      </c>
      <c r="F15" s="14" t="n">
        <v>32.67</v>
      </c>
      <c r="G15" s="20" t="n">
        <v>0.6745</v>
      </c>
      <c r="H15" s="21" t="n">
        <v>99.90000000000001</v>
      </c>
      <c r="I15" s="21" t="n">
        <v>0.61</v>
      </c>
    </row>
    <row r="16">
      <c r="A16" s="7" t="inlineStr">
        <is>
          <t>64</t>
        </is>
      </c>
      <c r="B16" s="28" t="n">
        <v>35.77</v>
      </c>
      <c r="C16" s="19" t="n">
        <v>6.48</v>
      </c>
      <c r="D16" s="15" t="inlineStr">
        <is>
          <t>2412 – 2651</t>
        </is>
      </c>
      <c r="E16" s="15" t="n">
        <v>239</v>
      </c>
      <c r="F16" s="15" t="n">
        <v>28.18</v>
      </c>
      <c r="G16" s="18" t="n">
        <v>0.5254</v>
      </c>
      <c r="H16" s="19" t="n">
        <v>78.22</v>
      </c>
      <c r="I16" s="19" t="n">
        <v>41.48</v>
      </c>
    </row>
    <row r="17">
      <c r="A17" s="13" t="inlineStr">
        <is>
          <t>37</t>
        </is>
      </c>
      <c r="B17" s="29" t="n">
        <v>35.49</v>
      </c>
      <c r="C17" s="21" t="n">
        <v>6.43</v>
      </c>
      <c r="D17" s="14" t="inlineStr">
        <is>
          <t>1184 – 1455</t>
        </is>
      </c>
      <c r="E17" s="14" t="n">
        <v>271</v>
      </c>
      <c r="F17" s="14" t="n">
        <v>23.59</v>
      </c>
      <c r="G17" s="20" t="n">
        <v>0.6588000000000001</v>
      </c>
      <c r="H17" s="21" t="n">
        <v>98.02</v>
      </c>
      <c r="I17" s="21" t="n">
        <v>1.92</v>
      </c>
    </row>
    <row r="18">
      <c r="A18" s="7" t="inlineStr">
        <is>
          <t>30</t>
        </is>
      </c>
      <c r="B18" s="28" t="n">
        <v>34.87</v>
      </c>
      <c r="C18" s="19" t="n">
        <v>6.31</v>
      </c>
      <c r="D18" s="15" t="inlineStr">
        <is>
          <t>1216 – 1541</t>
        </is>
      </c>
      <c r="E18" s="15" t="n">
        <v>325</v>
      </c>
      <c r="F18" s="15" t="n">
        <v>27.91</v>
      </c>
      <c r="G18" s="18" t="n">
        <v>0.6637999999999999</v>
      </c>
      <c r="H18" s="19" t="n">
        <v>99.38</v>
      </c>
      <c r="I18" s="19" t="n">
        <v>1.31</v>
      </c>
    </row>
    <row r="19">
      <c r="A19" s="11" t="inlineStr">
        <is>
          <t>► 40</t>
        </is>
      </c>
      <c r="B19" s="30" t="n">
        <v>28.52</v>
      </c>
      <c r="C19" s="31" t="n">
        <v>5.16</v>
      </c>
      <c r="D19" s="12" t="inlineStr">
        <is>
          <t>1407 – 1656</t>
        </is>
      </c>
      <c r="E19" s="12" t="n">
        <v>249</v>
      </c>
      <c r="F19" s="12" t="n">
        <v>31.4</v>
      </c>
      <c r="G19" s="32" t="n">
        <v>0.6401</v>
      </c>
      <c r="H19" s="31" t="n">
        <v>99.55</v>
      </c>
      <c r="I19" s="31" t="n">
        <v>2.9</v>
      </c>
    </row>
    <row r="20">
      <c r="A20" s="16" t="inlineStr">
        <is>
          <t>TOTAL / PROMEDIO</t>
        </is>
      </c>
      <c r="B20" s="33">
        <f>SUM(B10:B19)</f>
        <v/>
      </c>
      <c r="C20" s="23">
        <f>SUM(C10:C19)</f>
        <v/>
      </c>
      <c r="D20" s="17" t="inlineStr">
        <is>
          <t>1171 – 2651</t>
        </is>
      </c>
      <c r="E20" s="17" t="inlineStr"/>
      <c r="F20" s="17">
        <f>ROUND(AVERAGE(F10:F19),2)</f>
        <v/>
      </c>
      <c r="G20" s="22">
        <f>ROUND(AVERAGE(G10:G19),4)</f>
        <v/>
      </c>
      <c r="H20" s="23">
        <f>ROUND(AVERAGE(H10:H19),2)</f>
        <v/>
      </c>
      <c r="I20" s="23">
        <f>ROUND(AVERAGE(I10:I19),2)</f>
        <v/>
      </c>
    </row>
    <row r="21"/>
    <row r="22" ht="84" customHeight="1">
      <c r="A22" s="9" t="inlineStr">
        <is>
          <t>LECTURA INTRAMICROCUENCA. El bloque 40 ocupa el puesto 10 de 10 por superficie dentro de la microcuenca C1081-Q9591 (5.16 % de las 552.18 ha preliminares de la microcuenca). Su pendiente promedio (31.40 %, clase «25-50% (Mod. escarpado)») es la 6.ª más baja de 10 y se sitúa por encima del promedio de la microcuenca (29.09 %). Su MSAVI 2024 (0.6401) es el 6.º de 10 y queda por encima del promedio local (0.6292). Amplitud altitudinal del bloque: 249 m (1407–1656 msnm). El cuadro conserva todos los bloques catalogados en la microcuenca, incluidos los descartados en el tamizaje, para referencia del conjunto. Los bloques sin ficha DT figuran con sus parámetros de gabinete. BRECHA ESPECTRAL. El 2.90 % de la superficie del bloque (0.828 ha de 28.523 ha) se sitúa bajo el umbral MSAVI 0.4976, por debajo del promedio local de la microcuenca (9.85 %) calculado sobre los bloques con dato MSAVI disponible.</t>
        </is>
      </c>
      <c r="B22" s="41" t="n"/>
      <c r="C22" s="41" t="n"/>
      <c r="D22" s="41" t="n"/>
      <c r="E22" s="41" t="n"/>
      <c r="F22" s="41" t="n"/>
      <c r="G22" s="41" t="n"/>
      <c r="H22" s="42" t="n"/>
    </row>
    <row r="23"/>
    <row r="24" ht="60" customHeight="1">
      <c r="A24"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24" s="41" t="n"/>
      <c r="C24" s="41" t="n"/>
      <c r="D24" s="41" t="n"/>
      <c r="E24" s="41" t="n"/>
      <c r="F24" s="41" t="n"/>
      <c r="G24" s="41" t="n"/>
      <c r="H24" s="42" t="n"/>
    </row>
  </sheetData>
  <mergeCells count="9">
    <mergeCell ref="A1:I1"/>
    <mergeCell ref="A4:I4"/>
    <mergeCell ref="A3:I3"/>
    <mergeCell ref="A24:I24"/>
    <mergeCell ref="A2:I2"/>
    <mergeCell ref="A5:I5"/>
    <mergeCell ref="A8:I8"/>
    <mergeCell ref="A6:I6"/>
    <mergeCell ref="A22:I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3"/>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40</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«C1081-Q9591»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0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(28.529 ha) coincide con la de catálogo (28.52 ha) dentro del ±2 % (+0.03 %)</t>
        </is>
      </c>
      <c r="D12" s="35" t="inlineStr">
        <is>
          <t>CONFORME</t>
        </is>
      </c>
      <c r="E12" s="34" t="inlineStr">
        <is>
          <t>Sin acción: la segmentación valida la geometría del bloque.</t>
        </is>
      </c>
    </row>
    <row r="13" ht="48" customHeight="1">
      <c r="A13" s="36" t="inlineStr">
        <is>
          <t>D-04</t>
        </is>
      </c>
      <c r="B13" s="36" t="inlineStr">
        <is>
          <t>Rango altitudinal / piso ecológico</t>
        </is>
      </c>
      <c r="C13" s="36" t="inlineStr">
        <is>
          <t>La ficha DT declara «1000-1500 m (Quechua baja)»; el MDE sitúa el bloque entre 1407 y 1656 msnm, cuyo punto medio corresponde a «1500-2000 m (Quechua media)»</t>
        </is>
      </c>
      <c r="D13" s="12" t="inlineStr">
        <is>
          <t>NO SUSTANTIVA</t>
        </is>
      </c>
      <c r="E13" s="36" t="inlineStr">
        <is>
          <t>Se declara la divergencia. El bloque abarca más de un piso altitudinal cuando la amplitud supera el ancho de la clase; el registro de campo corresponde al sector recorrido.</t>
        </is>
      </c>
    </row>
    <row r="14" ht="48" customHeight="1">
      <c r="A14" s="34" t="inlineStr">
        <is>
          <t>D-05</t>
        </is>
      </c>
      <c r="B14" s="34" t="inlineStr">
        <is>
          <t>Elenco florístico</t>
        </is>
      </c>
      <c r="C14" s="34" t="inlineStr">
        <is>
          <t>La ficha registra 11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Centro poblado asociado</t>
        </is>
      </c>
      <c r="C15" s="36" t="inlineStr">
        <is>
          <t>La ficha DT declara «Chacchacal y Chorro Blanco»; el cruce INEI-Bloques V5 identifica 2 centro(s) poblado(s) en el bloque: CHACCHACAL, CHORRO BLANCO</t>
        </is>
      </c>
      <c r="D15" s="35" t="inlineStr">
        <is>
          <t>CONFORME</t>
        </is>
      </c>
      <c r="E15" s="36" t="inlineStr">
        <is>
          <t>Se conserva el registro de campo como referencia y se adopta el listado INEI para el diagnóstico social y el cálculo de población beneficiaria.</t>
        </is>
      </c>
    </row>
    <row r="16" ht="48" customHeight="1">
      <c r="A16" s="34" t="inlineStr">
        <is>
          <t>D-07</t>
        </is>
      </c>
      <c r="B16" s="34" t="inlineStr">
        <is>
          <t>Peligro integrado (MCA-AHP)</t>
        </is>
      </c>
      <c r="C16" s="34" t="inlineStr">
        <is>
          <t>El nivel de peligro integrado no está disponible en los insumos de este entregable</t>
        </is>
      </c>
      <c r="D16" s="37" t="inlineStr">
        <is>
          <t>SUSTANTIVA</t>
        </is>
      </c>
      <c r="E16" s="34" t="inlineStr">
        <is>
          <t>Debe tomarse del modelamiento de mesolocalización (PMM + EPH + PGI ponderados por AHP) antes de fijar la prioridad definitiva de intervención del bloque.</t>
        </is>
      </c>
    </row>
    <row r="17" ht="48" customHeight="1">
      <c r="A17" s="34" t="inlineStr">
        <is>
          <t>D-08</t>
        </is>
      </c>
      <c r="B17" s="34" t="inlineStr">
        <is>
          <t>Distribución areal MSAVI 2024</t>
        </is>
      </c>
      <c r="C17" s="34" t="inlineStr">
        <is>
          <t>La distribución por clase de MSAVI no figuraba en los insumos del entregable y se consignaba «Por determinar»; se incorpora la estadística zonal del ráster MSAVI clasificado (67 polígonos, 28.523 ha)</t>
        </is>
      </c>
      <c r="D17" s="37" t="inlineStr">
        <is>
          <t>CORREGIDO</t>
        </is>
      </c>
      <c r="E17" s="34"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18" ht="48" customHeight="1">
      <c r="A18" s="34" t="inlineStr">
        <is>
          <t>D-09</t>
        </is>
      </c>
      <c r="B18" s="34" t="inlineStr">
        <is>
          <t>Superficie MSAVI vs. catálogo</t>
        </is>
      </c>
      <c r="C18" s="34" t="inlineStr">
        <is>
          <t>La superficie total clasificada por el MSAVI 2024 (28.523 ha) frente a la de catálogo V5/V6 (28.520 ha): desviación de +0.01 %</t>
        </is>
      </c>
      <c r="D18" s="37" t="inlineStr">
        <is>
          <t>CONFORME</t>
        </is>
      </c>
      <c r="E18" s="34" t="inlineStr">
        <is>
          <t>Sin acción: la segmentación del ráster valida la geometría del bloque dentro del ±2 %.</t>
        </is>
      </c>
    </row>
    <row r="19" ht="48" customHeight="1">
      <c r="A19" s="34" t="inlineStr">
        <is>
          <t>D-10</t>
        </is>
      </c>
      <c r="B19" s="34" t="inlineStr">
        <is>
          <t>Media MSAVI vs. clase DN dominante</t>
        </is>
      </c>
      <c r="C19" s="34" t="inlineStr">
        <is>
          <t>La media del bloque (0.6401) cae en la clase «DN 5 · &gt; 0.6139 (Vigor alto)»; la clase de mayor superficie es «DN 5 · &gt; 0.6139 (Vigor alto)», con 64.11 % del bloque. Superficie bajo el umbral 0.4976: 0.828 ha (2.90 %)</t>
        </is>
      </c>
      <c r="D19" s="37" t="inlineStr">
        <is>
          <t>CONFORME</t>
        </is>
      </c>
      <c r="E19" s="34" t="inlineStr">
        <is>
          <t>Sin acción: la media del bloque y la clase de mayor superficie coinciden.</t>
        </is>
      </c>
    </row>
    <row r="20"/>
    <row r="21">
      <c r="A21" s="16" t="inlineStr">
        <is>
          <t>RESUMEN</t>
        </is>
      </c>
      <c r="B21" s="17" t="inlineStr">
        <is>
          <t>10 verificaciones</t>
        </is>
      </c>
      <c r="C21" s="17" t="inlineStr">
        <is>
          <t>CONFORME: 6 · CORREGIDO: 1 · NO SUSTANTIVA: 1 · SUSTANTIVA: 2</t>
        </is>
      </c>
      <c r="D21" s="17" t="inlineStr"/>
      <c r="E21" s="17" t="inlineStr"/>
    </row>
    <row r="22"/>
    <row r="23" ht="60" customHeight="1">
      <c r="A23"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23" s="41" t="n"/>
      <c r="C23" s="41" t="n"/>
      <c r="D23" s="41" t="n"/>
      <c r="E23" s="42" t="n"/>
    </row>
  </sheetData>
  <mergeCells count="8">
    <mergeCell ref="A4:E4"/>
    <mergeCell ref="A2:E2"/>
    <mergeCell ref="A5:E5"/>
    <mergeCell ref="A1:E1"/>
    <mergeCell ref="A23:E23"/>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40 — IN Piura</dc:title>
  <dc:subject>Diagnóstico Territorial por bloque de intervención</dc:subject>
  <dcterms:created xsi:type="dcterms:W3CDTF">2026-09-08T03:39:54Z</dcterms:created>
  <dcterms:modified xsi:type="dcterms:W3CDTF">2026-09-09T23:30:51Z</dcterms:modified>
</cp:coreProperties>
</file>