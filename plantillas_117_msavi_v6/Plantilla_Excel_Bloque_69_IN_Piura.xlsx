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69</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Molle y Hualanga Pampa (base logística natural: C.P. Laguna Grande)</t>
        </is>
      </c>
      <c r="C13" s="6" t="inlineStr">
        <is>
          <t>Comunidad campesina</t>
        </is>
      </c>
      <c r="D13" s="7" t="inlineStr">
        <is>
          <t>Por verificar (tamizaje predial pendiente)</t>
        </is>
      </c>
      <c r="E13" s="8" t="n"/>
      <c r="F13" s="8" t="n"/>
    </row>
    <row r="14">
      <c r="A14" s="6" t="inlineStr">
        <is>
          <t>Superficie de catálogo (V5/V6), ha</t>
        </is>
      </c>
      <c r="B14" s="7" t="n">
        <v>19.43</v>
      </c>
      <c r="C14" s="6" t="inlineStr">
        <is>
          <t>Fuente de superficie</t>
        </is>
      </c>
      <c r="D14" s="7" t="inlineStr">
        <is>
          <t>Catálogo maestro Bloques V5/V6</t>
        </is>
      </c>
      <c r="E14" s="8" t="n"/>
      <c r="F14" s="8" t="n"/>
    </row>
    <row r="15">
      <c r="A15" s="6" t="inlineStr">
        <is>
          <t>Centroide UTM ESTE (m)</t>
        </is>
      </c>
      <c r="B15" s="7" t="n">
        <v>663291</v>
      </c>
      <c r="C15" s="6" t="inlineStr">
        <is>
          <t>Centroide UTM NORTE (m)</t>
        </is>
      </c>
      <c r="D15" s="7" t="n">
        <v>9392332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1931</v>
      </c>
      <c r="C19" s="6" t="inlineStr">
        <is>
          <t>Altitud máxima (msnm)</t>
        </is>
      </c>
      <c r="D19" s="7" t="n">
        <v>2205</v>
      </c>
      <c r="E19" s="8" t="n"/>
      <c r="F19" s="8" t="n"/>
    </row>
    <row r="20">
      <c r="A20" s="6" t="inlineStr">
        <is>
          <t>Amplitud altitudinal (m)</t>
        </is>
      </c>
      <c r="B20" s="7" t="n">
        <v>274</v>
      </c>
      <c r="C20" s="6" t="inlineStr">
        <is>
          <t>Piso altitudinal dominante</t>
        </is>
      </c>
      <c r="D20" s="7" t="inlineStr">
        <is>
          <t>2000-2500 m (Quechua alta)</t>
        </is>
      </c>
      <c r="E20" s="8" t="n"/>
      <c r="F20" s="8" t="n"/>
    </row>
    <row r="21">
      <c r="A21" s="6" t="inlineStr">
        <is>
          <t>Pendiente promedio (%)</t>
        </is>
      </c>
      <c r="B21" s="7" t="n">
        <v>27.95</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0.4489</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(75.63 %)</t>
        </is>
      </c>
      <c r="E29" s="8" t="n"/>
      <c r="F29" s="8" t="n"/>
    </row>
    <row r="30">
      <c r="A30" s="6" t="inlineStr">
        <is>
          <t>Superficie clasificada NDVI 2025 (ha)</t>
        </is>
      </c>
      <c r="B30" s="7" t="n">
        <v>19.428</v>
      </c>
      <c r="C30" s="6" t="inlineStr">
        <is>
          <t>Desviación frente al catálogo (%)</t>
        </is>
      </c>
      <c r="D30" s="7" t="n">
        <v>-0.01</v>
      </c>
      <c r="E30" s="8" t="n"/>
      <c r="F30" s="8" t="n"/>
    </row>
    <row r="31">
      <c r="A31" s="6" t="inlineStr">
        <is>
          <t>Superficie clasificada MSAVI 2024 (ha)</t>
        </is>
      </c>
      <c r="B31" s="38" t="n">
        <v>19.425</v>
      </c>
      <c r="C31" s="6" t="inlineStr">
        <is>
          <t>Desviación MSAVI frente al catálogo (%)</t>
        </is>
      </c>
      <c r="D31" s="39" t="n">
        <v>-0.02</v>
      </c>
      <c r="E31" s="8" t="n"/>
      <c r="F31" s="8" t="n"/>
    </row>
    <row r="32">
      <c r="A32" s="6" t="inlineStr">
        <is>
          <t>Superficie bajo umbral MSAVI 0.4976 (ha)</t>
        </is>
      </c>
      <c r="B32" s="38" t="n">
        <v>15.788</v>
      </c>
      <c r="C32" s="6" t="inlineStr">
        <is>
          <t>% del bloque bajo umbral (brecha espectral)</t>
        </is>
      </c>
      <c r="D32" s="39" t="n">
        <v>81.28</v>
      </c>
      <c r="E32" s="8" t="n"/>
      <c r="F32" s="8" t="n"/>
    </row>
    <row r="33">
      <c r="A33" s="6" t="inlineStr">
        <is>
          <t>Clase DN dominante (MSAVI 2024)</t>
        </is>
      </c>
      <c r="B33" s="7" t="inlineStr">
        <is>
          <t>DN 3 · 0.3813 - 0.4976 (Vigor bajo)</t>
        </is>
      </c>
      <c r="C33" s="6" t="inlineStr">
        <is>
          <t>N.° de polígonos MSAVI del bloque</t>
        </is>
      </c>
      <c r="D33" s="40" t="n">
        <v>78</v>
      </c>
      <c r="E33" s="8" t="n"/>
      <c r="F33" s="8" t="n"/>
    </row>
    <row r="34"/>
    <row r="35" ht="18" customHeight="1">
      <c r="A35" s="5" t="inlineStr">
        <is>
          <t>4. ECOSISTEMA Y ESTADO DE CONSERVACIÓN</t>
        </is>
      </c>
    </row>
    <row r="36">
      <c r="A36" s="6" t="inlineStr">
        <is>
          <t>Tipo de ecosistema (UP)</t>
        </is>
      </c>
      <c r="B36" s="7" t="inlineStr">
        <is>
          <t>Matorral Andino semiárido (adscripción PRELIMINAR)</t>
        </is>
      </c>
      <c r="C36" s="6" t="inlineStr">
        <is>
          <t>Superficie de ecosistema (ha)</t>
        </is>
      </c>
      <c r="D36" s="7" t="inlineStr">
        <is>
          <t>Por determinar (intersección con capa nacional MINAM pendiente)</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75 - 85 (estimación visual)</t>
        </is>
      </c>
      <c r="E38" s="8" t="n"/>
      <c r="F38" s="8" t="n"/>
    </row>
    <row r="39">
      <c r="A39" s="6" t="inlineStr">
        <is>
          <t>Suelo desnudo — campo (%)</t>
        </is>
      </c>
      <c r="B39" s="7" t="inlineStr">
        <is>
          <t>10 - 20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Sin inventario</t>
        </is>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2026-08-21</t>
        </is>
      </c>
      <c r="E44" s="8" t="n"/>
      <c r="F44" s="8" t="n"/>
    </row>
    <row r="45">
      <c r="A45" s="6" t="inlineStr">
        <is>
          <t>Hora de registro</t>
        </is>
      </c>
      <c r="B45" s="7" t="inlineStr">
        <is>
          <t>11:50 - 12:01 h</t>
        </is>
      </c>
      <c r="C45" s="6" t="inlineStr">
        <is>
          <t>Correlativo de ficha</t>
        </is>
      </c>
      <c r="D45" s="7" t="inlineStr">
        <is>
          <t>F-DT-01-B69-2026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8</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Ganadería extensiva sin ordenamiento de carga ni calendario de pastoreo, sobre predios sin acuerdos de conservación</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1.6675</v>
      </c>
      <c r="C10" s="19">
        <f>ROUND(B10/$B$15*100,2)</f>
        <v>8.58</v>
      </c>
      <c r="D10" s="11" t="inlineStr">
        <is>
          <t>Vigor alto</t>
        </is>
      </c>
      <c r="E10" s="11" t="inlineStr">
        <is>
          <t>Sobre umbral</t>
        </is>
      </c>
    </row>
    <row r="11">
      <c r="A11" s="12" t="inlineStr">
        <is>
          <t>0.4976 - 0.6139 · DN 4</t>
        </is>
      </c>
      <c r="B11" s="20" t="n">
        <v>1.9698</v>
      </c>
      <c r="C11" s="21">
        <f>ROUND(B11/$B$15*100,2)</f>
        <v>10.14</v>
      </c>
      <c r="D11" s="13" t="inlineStr">
        <is>
          <t>Vigor moderado</t>
        </is>
      </c>
      <c r="E11" s="13" t="inlineStr">
        <is>
          <t>Sobre umbral</t>
        </is>
      </c>
    </row>
    <row r="12">
      <c r="A12" s="14" t="inlineStr">
        <is>
          <t>0.3813 - 0.4976 · DN 3</t>
        </is>
      </c>
      <c r="B12" s="32" t="n">
        <v>13.3116</v>
      </c>
      <c r="C12" s="31">
        <f>ROUND(B12/$B$15*100,2)</f>
        <v>68.53</v>
      </c>
      <c r="D12" s="15" t="inlineStr">
        <is>
          <t>Vigor bajo</t>
        </is>
      </c>
      <c r="E12" s="15" t="inlineStr">
        <is>
          <t>BAJO umbral 0.4976</t>
        </is>
      </c>
    </row>
    <row r="13">
      <c r="A13" s="12" t="inlineStr">
        <is>
          <t>0.2650 - 0.3813 · DN 2</t>
        </is>
      </c>
      <c r="B13" s="20" t="n">
        <v>2.4764</v>
      </c>
      <c r="C13" s="21">
        <f>ROUND(B13/$B$15*100,2)</f>
        <v>12.75</v>
      </c>
      <c r="D13" s="13" t="inlineStr">
        <is>
          <t>Vigor muy bajo</t>
        </is>
      </c>
      <c r="E13" s="13"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19.4253</v>
      </c>
      <c r="C15" s="45">
        <f>SUM(C10:C14)</f>
        <v>100.0</v>
      </c>
      <c r="D15" s="43" t="inlineStr">
        <is>
          <t>Suma de la distribución areal · 78 polígonos</t>
        </is>
      </c>
      <c r="E15" s="43" t="inlineStr">
        <is>
          <t>—</t>
        </is>
      </c>
    </row>
    <row r="16" ht="30" customHeight="1">
      <c r="A16" s="46" t="inlineStr">
        <is>
          <t>Superficie SOBRE umbral 0.4976 (ha)</t>
        </is>
      </c>
      <c r="B16" s="47">
        <f>SUM(B10:B11)</f>
        <v>3.6373</v>
      </c>
      <c r="C16" s="48">
        <f>ROUND(B16/B15*100,2)</f>
        <v>18.72</v>
      </c>
      <c r="D16" s="46" t="inlineStr">
        <is>
          <t>Vigor alto y moderado (DN 4 y DN 5)</t>
        </is>
      </c>
      <c r="E16" s="46" t="inlineStr">
        <is>
          <t>Sobre umbral 0.4976</t>
        </is>
      </c>
    </row>
    <row r="17" ht="30" customHeight="1">
      <c r="A17" s="46" t="inlineStr">
        <is>
          <t>Superficie BAJO umbral 0.4976 (ha) — brecha</t>
        </is>
      </c>
      <c r="B17" s="47">
        <f>SUM(B12:B14)</f>
        <v>15.788</v>
      </c>
      <c r="C17" s="48">
        <f>ROUND(B17/B15*100,2)</f>
        <v>81.28</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19.43</v>
      </c>
      <c r="C18" s="49" t="inlineStr">
        <is>
          <t>—</t>
        </is>
      </c>
      <c r="D18" s="46" t="inlineStr">
        <is>
          <t>Desviación planimétrica frente al catálogo</t>
        </is>
      </c>
      <c r="E18" s="46" t="inlineStr">
        <is>
          <t>-0.02 %</t>
        </is>
      </c>
    </row>
    <row r="19">
      <c r="A19" s="16" t="inlineStr">
        <is>
          <t>MSAVI 2024 — MEDIA DEL BLOQUE</t>
        </is>
      </c>
      <c r="B19" s="17" t="n">
        <v>0.448926</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(0.4489)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4.4524</v>
      </c>
      <c r="C25" s="19" t="n">
        <v>22.92</v>
      </c>
      <c r="D25" s="11" t="inlineStr">
        <is>
          <t>Dosel continuo, matorral denso o mosaico agroforestal</t>
        </is>
      </c>
      <c r="E25" s="11" t="inlineStr"/>
    </row>
    <row r="26">
      <c r="A26" s="12" t="inlineStr">
        <is>
          <t>Vegetación mediana</t>
        </is>
      </c>
      <c r="B26" s="20" t="n">
        <v>14.6938</v>
      </c>
      <c r="C26" s="21" t="n">
        <v>75.63</v>
      </c>
      <c r="D26" s="13" t="inlineStr">
        <is>
          <t>Pastizal cultivado, matorral ralo, parcelas agrícolas</t>
        </is>
      </c>
      <c r="E26" s="13" t="inlineStr"/>
    </row>
    <row r="27">
      <c r="A27" s="7" t="inlineStr">
        <is>
          <t>Vegetación ligera</t>
        </is>
      </c>
      <c r="B27" s="18" t="n">
        <v>0.2818</v>
      </c>
      <c r="C27" s="19" t="n">
        <v>1.45</v>
      </c>
      <c r="D27" s="11" t="inlineStr">
        <is>
          <t>Cobertura discontinua, suelo parcialmente expuesto</t>
        </is>
      </c>
      <c r="E27" s="11" t="inlineStr"/>
    </row>
    <row r="28">
      <c r="A28" s="16" t="inlineStr">
        <is>
          <t>TOTAL CLASIFICADO</t>
        </is>
      </c>
      <c r="B28" s="22">
        <f>SUM(B25:B27)</f>
        <v>19.428</v>
      </c>
      <c r="C28" s="23">
        <f>SUM(C25:C27)</f>
        <v>100.0</v>
      </c>
      <c r="D28" s="17" t="inlineStr"/>
      <c r="E28" s="17" t="inlineStr"/>
    </row>
    <row r="29">
      <c r="A29" s="24" t="inlineStr">
        <is>
          <t>Superficie de catálogo (V5/V6)</t>
        </is>
      </c>
      <c r="B29" s="25" t="n">
        <v>19.43</v>
      </c>
      <c r="C29" s="25" t="inlineStr">
        <is>
          <t>—</t>
        </is>
      </c>
      <c r="D29" s="25" t="inlineStr">
        <is>
          <t>Desviación planimétrica frente al catálogo</t>
        </is>
      </c>
      <c r="E29" s="25" t="inlineStr">
        <is>
          <t>-0.01 %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69</t>
        </is>
      </c>
    </row>
    <row r="6" ht="24" customHeight="1">
      <c r="A6" s="4" t="inlineStr">
        <is>
          <t>Levantamiento del 2026-08-21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663291</v>
      </c>
      <c r="D10" s="26" t="n">
        <v>9392332</v>
      </c>
      <c r="E10" s="11" t="n">
        <v>0</v>
      </c>
      <c r="F10" s="11" t="inlineStr"/>
      <c r="G10" s="11" t="inlineStr">
        <is>
          <t>Coordenada consignada en F-DT-01</t>
        </is>
      </c>
    </row>
    <row r="11">
      <c r="A11" s="12" t="inlineStr">
        <is>
          <t>H-01</t>
        </is>
      </c>
      <c r="B11" s="13" t="inlineStr">
        <is>
          <t>Fuente de agua — Quebrada estacional</t>
        </is>
      </c>
      <c r="C11" s="27" t="n">
        <v>663129</v>
      </c>
      <c r="D11" s="27" t="n">
        <v>9392553</v>
      </c>
      <c r="E11" s="13" t="n">
        <v>274</v>
      </c>
      <c r="F11" s="13" t="inlineStr">
        <is>
          <t>Estacional</t>
        </is>
      </c>
      <c r="G11" s="13" t="inlineStr">
        <is>
          <t>Vaguada al norte del bloque</t>
        </is>
      </c>
    </row>
    <row r="12">
      <c r="A12" s="7" t="inlineStr">
        <is>
          <t>H-02</t>
        </is>
      </c>
      <c r="B12" s="11" t="inlineStr">
        <is>
          <t>Fuente de agua — Otro (tubería de conducción)</t>
        </is>
      </c>
      <c r="C12" s="26" t="n">
        <v>663129</v>
      </c>
      <c r="D12" s="26" t="n">
        <v>9392553</v>
      </c>
      <c r="E12" s="11" t="n">
        <v>274</v>
      </c>
      <c r="F12" s="11" t="inlineStr">
        <is>
          <t>Permanente</t>
        </is>
      </c>
      <c r="G12" s="11" t="inlineStr">
        <is>
          <t>Tubería de conducción</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663291</v>
      </c>
      <c r="C15" s="6" t="inlineStr">
        <is>
          <t>Centroide del bloque — UTM NORTE (m)</t>
        </is>
      </c>
      <c r="D15" s="7" t="n">
        <v>9392332</v>
      </c>
      <c r="E15" s="8" t="n"/>
      <c r="F15" s="8" t="n"/>
      <c r="G15" s="8" t="n"/>
      <c r="H15" s="8" t="n"/>
    </row>
    <row r="16">
      <c r="A16" s="6" t="inlineStr">
        <is>
          <t>N.° de estaciones fotográficas declaradas</t>
        </is>
      </c>
      <c r="B16" s="7" t="n">
        <v>8</v>
      </c>
      <c r="C16" s="6" t="inlineStr">
        <is>
          <t>Estaciones dentro del polígono</t>
        </is>
      </c>
      <c r="D16" s="7" t="n">
        <v>0</v>
      </c>
      <c r="E16" s="8" t="n"/>
      <c r="F16" s="8" t="n"/>
      <c r="G16" s="8" t="n"/>
      <c r="H16" s="8" t="n"/>
    </row>
    <row r="17"/>
    <row r="18" ht="132"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promedio zonal 27.95% ≈ 15.62°. Centroide oficial (Bloques V4) 663 291 E · 9 392 332 N; centroide planimétrico 663 263 E · 9 392 365 N (Δ ≈ 43 m). Superficie planimétrica ≈18.036 ha frente a 19.428 ha (−7.2%). ADVERTENCIA: NINGUNA DE LAS OCHO ESTACIONES ROTULADAS «BLOQUE 69» CAYÓ DENTRO DEL POLÍGONO; las distancias van de 72 a 220 m. La caracterización fisiográfica procede de gabinete y del contexto observado en el corredor vial; EL INTERIOR DEL BLOQUE NO FUE VERIFICADO. Escarpes y desprendimientos registrados en los taludes de corte y en la vaguada del norte (E-03, E-08).</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69</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2" t="inlineStr">
        <is>
          <t>19</t>
        </is>
      </c>
      <c r="B11" s="29" t="n">
        <v>82.09</v>
      </c>
      <c r="C11" s="21" t="n">
        <v>17.06</v>
      </c>
      <c r="D11" s="13" t="inlineStr">
        <is>
          <t>2064 – 2503</t>
        </is>
      </c>
      <c r="E11" s="13" t="n">
        <v>439</v>
      </c>
      <c r="F11" s="13"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2" t="inlineStr">
        <is>
          <t>73</t>
        </is>
      </c>
      <c r="B13" s="29" t="n">
        <v>54.29</v>
      </c>
      <c r="C13" s="21" t="n">
        <v>11.28</v>
      </c>
      <c r="D13" s="13" t="inlineStr">
        <is>
          <t>1845 – 2305</t>
        </is>
      </c>
      <c r="E13" s="13" t="n">
        <v>460</v>
      </c>
      <c r="F13" s="13"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2" t="inlineStr">
        <is>
          <t>29</t>
        </is>
      </c>
      <c r="B15" s="29" t="n">
        <v>40.1</v>
      </c>
      <c r="C15" s="21" t="n">
        <v>8.33</v>
      </c>
      <c r="D15" s="13" t="inlineStr">
        <is>
          <t>2142 – 2391</t>
        </is>
      </c>
      <c r="E15" s="13" t="n">
        <v>249</v>
      </c>
      <c r="F15" s="13" t="n">
        <v>31.54</v>
      </c>
      <c r="G15" s="20" t="n">
        <v>0.5482</v>
      </c>
      <c r="H15" s="21" t="inlineStr">
        <is>
          <t>Por determinar</t>
        </is>
      </c>
      <c r="I15" s="13"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2" t="inlineStr">
        <is>
          <t>68</t>
        </is>
      </c>
      <c r="B17" s="29" t="n">
        <v>21.29</v>
      </c>
      <c r="C17" s="21" t="n">
        <v>4.42</v>
      </c>
      <c r="D17" s="13" t="inlineStr">
        <is>
          <t>2086 – 2374</t>
        </is>
      </c>
      <c r="E17" s="13" t="n">
        <v>288</v>
      </c>
      <c r="F17" s="13" t="n">
        <v>36.81</v>
      </c>
      <c r="G17" s="20" t="n">
        <v>0.483</v>
      </c>
      <c r="H17" s="21" t="inlineStr">
        <is>
          <t>Por determinar</t>
        </is>
      </c>
      <c r="I17" s="13" t="inlineStr">
        <is>
          <t>s/d</t>
        </is>
      </c>
    </row>
    <row r="18">
      <c r="A18" s="14" t="inlineStr">
        <is>
          <t>► 69</t>
        </is>
      </c>
      <c r="B18" s="30" t="n">
        <v>19.43</v>
      </c>
      <c r="C18" s="31" t="n">
        <v>4.04</v>
      </c>
      <c r="D18" s="15" t="inlineStr">
        <is>
          <t>1931 – 2205</t>
        </is>
      </c>
      <c r="E18" s="15" t="n">
        <v>274</v>
      </c>
      <c r="F18" s="15" t="n">
        <v>27.95</v>
      </c>
      <c r="G18" s="32" t="n">
        <v>0.4489</v>
      </c>
      <c r="H18" s="31" t="n">
        <v>22.92</v>
      </c>
      <c r="I18" s="31" t="n">
        <v>81.28</v>
      </c>
    </row>
    <row r="19">
      <c r="A19" s="12" t="inlineStr">
        <is>
          <t>53</t>
        </is>
      </c>
      <c r="B19" s="29" t="n">
        <v>13.06</v>
      </c>
      <c r="C19" s="21" t="n">
        <v>2.71</v>
      </c>
      <c r="D19" s="13" t="inlineStr">
        <is>
          <t>2235 – 2540</t>
        </is>
      </c>
      <c r="E19" s="13" t="n">
        <v>305</v>
      </c>
      <c r="F19" s="13"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481.17</v>
      </c>
      <c r="C21" s="23">
        <f>SUM(C10:C20)</f>
        <v>99.99</v>
      </c>
      <c r="D21" s="17" t="inlineStr">
        <is>
          <t>1218 – 2540</t>
        </is>
      </c>
      <c r="E21" s="17" t="inlineStr"/>
      <c r="F21" s="17">
        <f>ROUND(AVERAGE(F10:F20),2)</f>
        <v>29.39</v>
      </c>
      <c r="G21" s="22">
        <f>ROUND(AVERAGE(G10:G20),4)</f>
        <v>0.5435</v>
      </c>
      <c r="H21" s="23">
        <f>ROUND(AVERAGE(H10:H20),2)</f>
        <v>73.58</v>
      </c>
      <c r="I21" s="23">
        <f>ROUND(AVERAGE(I10:I20),2)</f>
        <v>32.8</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2" t="n"/>
    </row>
    <row r="23"/>
    <row r="24" ht="84" customHeight="1">
      <c r="A24" s="9" t="inlineStr">
        <is>
          <t>LECTURA INTRAMICROCUENCA. El bloque 69 ocupa el puesto 9 de 11 por superficie dentro de la microcuenca C1076-Q9592 (4.04 % de las 481.17 ha preliminares de la microcuenca). Su pendiente promedio (27.95 %, clase «25-50% (Mod. escarpado)») es la 5.ª más baja de 11 y se sitúa por debajo del promedio de la microcuenca (29.39 %). Su MSAVI 2024 (0.4489) es el 10.º de 11 y queda por debajo del promedio local (0.5435). Amplitud altitudinal del bloque: 274 m (1931–2205 msnm). El cuadro conserva todos los bloques catalogados en la microcuenca, incluidos los descartados en el tamizaje, para referencia del conjunto. Los bloques sin ficha DT figuran con sus parámetros de gabinete. BRECHA ESPECTRAL. El 81.28 % de la superficie del bloque (15.788 ha de 19.425 ha) se sitúa bajo el umbral MSAVI 0.4976, por encima del promedio local de la microcuenca (32.80 %)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C1076-Q9592)»;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(19.428 ha) coincide con la de catálogo (19.43 ha) dentro del ±2 % (-0.01 %)</t>
        </is>
      </c>
      <c r="D12" s="37"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5"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12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5"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«Molle y Hualanga Pampa (base logística natural: C.P. Laguna Grande)»; el cruce INEI-Bloques V5 identifica 2 centro(s) poblado(s) en el bloque: HUALANGA PAMPA, MOLLE</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Ficha DT</t>
        </is>
      </c>
      <c r="C18" s="34" t="inlineStr">
        <is>
          <t>La ficha consigna microcuenca C1076-Q9584; el catálogo maestro asigna al bloque 69 la microcuenca C1076-Q9592</t>
        </is>
      </c>
      <c r="D18" s="35" t="inlineStr">
        <is>
          <t>SUSTANTIVA</t>
        </is>
      </c>
      <c r="E18" s="34" t="inlineStr">
        <is>
          <t>Valor por defecto de la plantilla; se conserva el del catálogo</t>
        </is>
      </c>
    </row>
    <row r="19" ht="48" customHeight="1">
      <c r="A19" s="36" t="inlineStr">
        <is>
          <t>D-10</t>
        </is>
      </c>
      <c r="B19" s="36" t="inlineStr">
        <is>
          <t>F-DT-01</t>
        </is>
      </c>
      <c r="C19" s="36" t="inlineStr">
        <is>
          <t>NINGUNA de las 8 estaciones rotuladas «Bloque 69» cayó dentro del polígono (72 a 220 m de distancia)</t>
        </is>
      </c>
      <c r="D19" s="35" t="inlineStr">
        <is>
          <t>SUSTANTIVA</t>
        </is>
      </c>
      <c r="E19" s="36" t="inlineStr">
        <is>
          <t>El interior del bloque no fue verificado</t>
        </is>
      </c>
    </row>
    <row r="20" ht="48" customHeight="1">
      <c r="A20" s="34" t="inlineStr">
        <is>
          <t>D-11</t>
        </is>
      </c>
      <c r="B20" s="34" t="inlineStr">
        <is>
          <t>F-DT-01</t>
        </is>
      </c>
      <c r="C20" s="34" t="inlineStr">
        <is>
          <t>Superficie planimétrica 18.036 ha frente a 19.428 ha del catálogo (−7.2%); centroide con Δ ≈ 43 m</t>
        </is>
      </c>
      <c r="D20" s="35" t="inlineStr">
        <is>
          <t>SUSTANTIVA</t>
        </is>
      </c>
      <c r="E20" s="34" t="inlineStr">
        <is>
          <t>Conciliar geometría del polígono</t>
        </is>
      </c>
    </row>
    <row r="21" ht="48" customHeight="1">
      <c r="A21" s="36" t="inlineStr">
        <is>
          <t>D-12</t>
        </is>
      </c>
      <c r="B21" s="36" t="inlineStr">
        <is>
          <t>F-DT-02</t>
        </is>
      </c>
      <c r="C21" s="36" t="inlineStr">
        <is>
          <t>Inventario georreferenciado de cárcavas no ejecutado; el valor de «erosión laminar» consigna en realidad la superficie bajo umbral MSAVI</t>
        </is>
      </c>
      <c r="D21" s="35" t="inlineStr">
        <is>
          <t>SUSTANTIVA</t>
        </is>
      </c>
      <c r="E21" s="36" t="inlineStr">
        <is>
          <t>No confundir superficie bajo umbral MSAVI con erosión laminar medida</t>
        </is>
      </c>
    </row>
    <row r="22" ht="48" customHeight="1">
      <c r="A22" s="34" t="inlineStr">
        <is>
          <t>D-13</t>
        </is>
      </c>
      <c r="B22" s="34" t="inlineStr">
        <is>
          <t>F-DT-03</t>
        </is>
      </c>
      <c r="C22" s="34" t="inlineStr">
        <is>
          <t>6 de los 12 taxones carecen de género; ninguno con confirmación taxonómica</t>
        </is>
      </c>
      <c r="D22" s="35" t="inlineStr">
        <is>
          <t>SUSTANTIVA</t>
        </is>
      </c>
      <c r="E22" s="34" t="inlineStr">
        <is>
          <t>Colecta y determinación botánica pendientes</t>
        </is>
      </c>
    </row>
    <row r="23" ht="48" customHeight="1">
      <c r="A23" s="36" t="inlineStr">
        <is>
          <t>D-14</t>
        </is>
      </c>
      <c r="B23" s="36" t="inlineStr">
        <is>
          <t>F-DT-03</t>
        </is>
      </c>
      <c r="C23" s="36" t="inlineStr">
        <is>
          <t>Adscripción a Matorral Andino semiárido preliminar; bloques de menor cota de la misma microcuenca figuran como Bes-cm</t>
        </is>
      </c>
      <c r="D23" s="35" t="inlineStr">
        <is>
          <t>SUSTANTIVA</t>
        </is>
      </c>
      <c r="E23" s="36" t="inlineStr">
        <is>
          <t>La frontera altitudinal no está definida en el portafolio</t>
        </is>
      </c>
    </row>
    <row r="24" ht="48" customHeight="1">
      <c r="A24" s="34" t="inlineStr">
        <is>
          <t>D-15</t>
        </is>
      </c>
      <c r="B24" s="34" t="inlineStr">
        <is>
          <t>F-DT-03 / F-DT-04</t>
        </is>
      </c>
      <c r="C24" s="34" t="inlineStr">
        <is>
          <t>Cobertura vegetal total: estimación visual 75-85% frente al indicador MSAVI de 19%</t>
        </is>
      </c>
      <c r="D24" s="35" t="inlineStr">
        <is>
          <t>SUSTANTIVA</t>
        </is>
      </c>
      <c r="E24" s="34" t="inlineStr">
        <is>
          <t>Discrepancia a resolver</t>
        </is>
      </c>
    </row>
    <row r="25" ht="48" customHeight="1">
      <c r="A25" s="36" t="inlineStr">
        <is>
          <t>D-16</t>
        </is>
      </c>
      <c r="B25" s="36" t="inlineStr">
        <is>
          <t>F-DT-04</t>
        </is>
      </c>
      <c r="C25" s="36" t="inlineStr">
        <is>
          <t>Carga ganadera, densidad de cárcavas y frecuencia de quemas sin cuantificar</t>
        </is>
      </c>
      <c r="D25" s="35" t="inlineStr">
        <is>
          <t>SUSTANTIVA</t>
        </is>
      </c>
      <c r="E25" s="36" t="inlineStr">
        <is>
          <t>Vacíos de información de prioridad alta</t>
        </is>
      </c>
    </row>
    <row r="26" ht="48" customHeight="1">
      <c r="A26" s="34" t="inlineStr">
        <is>
          <t>D-17</t>
        </is>
      </c>
      <c r="B26" s="34" t="inlineStr">
        <is>
          <t>F-DT-05</t>
        </is>
      </c>
      <c r="C26" s="34" t="inlineStr">
        <is>
          <t>D-03: el catálogo «CP´s y Bloques V5» asocia Molle y Hualanga Pampa, pero la base logística natural es el C.P. Laguna Grande</t>
        </is>
      </c>
      <c r="D26" s="15" t="inlineStr">
        <is>
          <t>NO SUSTANTIVA</t>
        </is>
      </c>
      <c r="E26" s="34" t="inlineStr">
        <is>
          <t>Conciliar asociación CP-bloque</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(78 polígonos, 19.425 ha)</t>
        </is>
      </c>
      <c r="D27" s="15"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(19.425 ha) frente a la de catálogo V5/V6 (19.430 ha): desviación de -0.02 %</t>
        </is>
      </c>
      <c r="D28" s="15"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(0.4489) cae en la clase «DN 3 · 0.3813 - 0.4976 (Vigor bajo)»; la clase de mayor superficie es «DN 3 · 0.3813 - 0.4976 (Vigor bajo)», con 68.53 % del bloque. Superficie bajo el umbral 0.4976: 15.788 ha (81.28 %)</t>
        </is>
      </c>
      <c r="D29" s="15"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5 · CORREGIDO: 1 · NO SUSTANTIVA: 1 · SUSTANTIVA: 13</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1" t="n"/>
      <c r="C33" s="41" t="n"/>
      <c r="D33" s="41" t="n"/>
      <c r="E33" s="42"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69 — IN Piura</dc:title>
  <dc:subject>Diagnóstico Territorial por bloque de intervención</dc:subject>
  <dcterms:created xsi:type="dcterms:W3CDTF">2026-09-08T03:39:59Z</dcterms:created>
  <dcterms:modified xsi:type="dcterms:W3CDTF">2026-09-10T00:28:29Z</dcterms:modified>
</cp:coreProperties>
</file>