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6</t>
        </is>
      </c>
      <c r="C9" s="6" t="inlineStr">
        <is>
          <t>Microcuenca (catálogo)</t>
        </is>
      </c>
      <c r="D9" s="7" t="inlineStr">
        <is>
          <t>C1096-Q9547</t>
        </is>
      </c>
      <c r="E9" s="8" t="n"/>
      <c r="F9" s="8" t="n"/>
    </row>
    <row r="10">
      <c r="A10" s="6" t="inlineStr">
        <is>
          <t>Zona de planificación</t>
        </is>
      </c>
      <c r="B10" s="7" t="inlineStr">
        <is>
          <t>Z02</t>
        </is>
      </c>
      <c r="C10" s="6" t="inlineStr">
        <is>
          <t>Microcuenca declarada en ficha DT</t>
        </is>
      </c>
      <c r="D10" s="7" t="inlineStr">
        <is>
          <t>C1096-Q9547</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Guabal/Huabal (280 hab.); entorno: Nogal, Guanábano Alto, El Común de Pilán</t>
        </is>
      </c>
      <c r="C13" s="6" t="inlineStr">
        <is>
          <t>Comunidad campesina</t>
        </is>
      </c>
      <c r="D13" s="7" t="inlineStr">
        <is>
          <t>Por verificar</t>
        </is>
      </c>
      <c r="E13" s="8" t="n"/>
      <c r="F13" s="8" t="n"/>
    </row>
    <row r="14">
      <c r="A14" s="6" t="inlineStr">
        <is>
          <t>Superficie de catálogo (V5/V6), ha</t>
        </is>
      </c>
      <c r="B14" s="7" t="n">
        <v>168.41</v>
      </c>
      <c r="C14" s="6" t="inlineStr">
        <is>
          <t>Fuente de superficie</t>
        </is>
      </c>
      <c r="D14" s="7" t="inlineStr">
        <is>
          <t>Catálogo maestro Bloques V5/V6</t>
        </is>
      </c>
      <c r="E14" s="8" t="n"/>
      <c r="F14" s="8" t="n"/>
    </row>
    <row r="15">
      <c r="A15" s="6" t="inlineStr">
        <is>
          <t>Centroide UTM ESTE (m)</t>
        </is>
      </c>
      <c r="B15" s="7" t="n">
        <v>605636</v>
      </c>
      <c r="C15" s="6" t="inlineStr">
        <is>
          <t>Centroide UTM NORTE (m)</t>
        </is>
      </c>
      <c r="D15" s="7" t="n">
        <v>9455269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1398</v>
      </c>
      <c r="C19" s="6" t="inlineStr">
        <is>
          <t>Altitud máxima (msnm)</t>
        </is>
      </c>
      <c r="D19" s="7" t="n">
        <v>2016</v>
      </c>
      <c r="E19" s="8" t="n"/>
      <c r="F19" s="8" t="n"/>
    </row>
    <row r="20">
      <c r="A20" s="6" t="inlineStr">
        <is>
          <t>Amplitud altitudinal (m)</t>
        </is>
      </c>
      <c r="B20" s="7" t="n">
        <v>618</v>
      </c>
      <c r="C20" s="6" t="inlineStr">
        <is>
          <t>Piso altitudinal dominante</t>
        </is>
      </c>
      <c r="D20" s="7" t="inlineStr">
        <is>
          <t>1500-2000 m (Quechua media)</t>
        </is>
      </c>
      <c r="E20" s="8" t="n"/>
      <c r="F20" s="8" t="n"/>
    </row>
    <row r="21">
      <c r="A21" s="6" t="inlineStr">
        <is>
          <t>Pendiente promedio (%)</t>
        </is>
      </c>
      <c r="B21" s="7" t="n">
        <v>33.74</v>
      </c>
      <c r="C21" s="6" t="inlineStr">
        <is>
          <t>Pendiente promedio (grados)</t>
        </is>
      </c>
      <c r="D21" s="7" t="n">
        <v>18.6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0.5381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mediana (52.17 %)</t>
        </is>
      </c>
      <c r="E29" s="8" t="n"/>
      <c r="F29" s="8" t="n"/>
    </row>
    <row r="30">
      <c r="A30" s="6" t="inlineStr">
        <is>
          <t>Superficie clasificada NDVI 2025 (ha)</t>
        </is>
      </c>
      <c r="B30" s="7" t="n">
        <v>168.499</v>
      </c>
      <c r="C30" s="6" t="inlineStr">
        <is>
          <t>Desviación frente al catálogo (%)</t>
        </is>
      </c>
      <c r="D30" s="7" t="n">
        <v>0.05</v>
      </c>
      <c r="E30" s="8" t="n"/>
      <c r="F30" s="8" t="n"/>
    </row>
    <row r="31">
      <c r="A31" s="6" t="inlineStr">
        <is>
          <t>Superficie clasificada MSAVI 2024 (ha)</t>
        </is>
      </c>
      <c r="B31" s="38" t="n">
        <v>168.411</v>
      </c>
      <c r="C31" s="6" t="inlineStr">
        <is>
          <t>Desviación MSAVI frente al catálogo (%)</t>
        </is>
      </c>
      <c r="D31" s="39" t="n">
        <v>0</v>
      </c>
      <c r="E31" s="8" t="n"/>
      <c r="F31" s="8" t="n"/>
    </row>
    <row r="32">
      <c r="A32" s="6" t="inlineStr">
        <is>
          <t>Superficie bajo umbral MSAVI 0.4976 (ha)</t>
        </is>
      </c>
      <c r="B32" s="38" t="n">
        <v>59.635</v>
      </c>
      <c r="C32" s="6" t="inlineStr">
        <is>
          <t>% del bloque bajo umbral (brecha espectral)</t>
        </is>
      </c>
      <c r="D32" s="39" t="n">
        <v>35.41</v>
      </c>
      <c r="E32" s="8" t="n"/>
      <c r="F32" s="8" t="n"/>
    </row>
    <row r="33">
      <c r="A33" s="6" t="inlineStr">
        <is>
          <t>Clase DN dominante (MSAVI 2024)</t>
        </is>
      </c>
      <c r="B33" s="7" t="inlineStr">
        <is>
          <t>DN 4 · 0.4976 - 0.6139 (Vigor moderado)</t>
        </is>
      </c>
      <c r="C33" s="6" t="inlineStr">
        <is>
          <t>N.° de polígonos MSAVI del bloque</t>
        </is>
      </c>
      <c r="D33" s="40" t="n">
        <v>703</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Zona agrícola 164.24 ha (97.5%) + Bes-cm 4.17 ha (2.5%); total 168.41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1</v>
      </c>
      <c r="E40" s="8" t="n"/>
      <c r="F40" s="8" t="n"/>
    </row>
    <row r="41">
      <c r="A41" s="6" t="inlineStr">
        <is>
          <t>Elenco florístico (n.° de taxones)</t>
        </is>
      </c>
      <c r="B41" s="7" t="n">
        <v>13</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2026-06-23</t>
        </is>
      </c>
      <c r="E44" s="8" t="n"/>
      <c r="F44" s="8" t="n"/>
    </row>
    <row r="45">
      <c r="A45" s="6" t="inlineStr">
        <is>
          <t>Hora de registro</t>
        </is>
      </c>
      <c r="B45" s="7" t="inlineStr">
        <is>
          <t>11:03-11:48 a.m.</t>
        </is>
      </c>
      <c r="C45" s="6" t="inlineStr">
        <is>
          <t>Correlativo de ficha</t>
        </is>
      </c>
      <c r="D45" s="7" t="inlineStr">
        <is>
          <t>DT-06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t>
        </is>
      </c>
      <c r="E47" s="8" t="n"/>
      <c r="F47" s="8" t="n"/>
    </row>
    <row r="48">
      <c r="A48" s="6" t="inlineStr">
        <is>
          <t>Estaciones fotográficas georreferenciadas</t>
        </is>
      </c>
      <c r="B48" s="7" t="n">
        <v>35</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de subsistencia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31.6575</v>
      </c>
      <c r="C10" s="19">
        <f>ROUND(B10/$B$15*100,2)</f>
        <v/>
      </c>
      <c r="D10" s="11" t="inlineStr">
        <is>
          <t>Vigor alto</t>
        </is>
      </c>
      <c r="E10" s="11" t="inlineStr">
        <is>
          <t>Sobre umbral</t>
        </is>
      </c>
    </row>
    <row r="11">
      <c r="A11" s="12" t="inlineStr">
        <is>
          <t>0.4976 - 0.6139 · DN 4</t>
        </is>
      </c>
      <c r="B11" s="30" t="n">
        <v>77.1185</v>
      </c>
      <c r="C11" s="29">
        <f>ROUND(B11/$B$15*100,2)</f>
        <v/>
      </c>
      <c r="D11" s="13" t="inlineStr">
        <is>
          <t>Vigor moderado</t>
        </is>
      </c>
      <c r="E11" s="13" t="inlineStr">
        <is>
          <t>Sobre umbral</t>
        </is>
      </c>
    </row>
    <row r="12">
      <c r="A12" s="7" t="inlineStr">
        <is>
          <t>0.3813 - 0.4976 · DN 3</t>
        </is>
      </c>
      <c r="B12" s="18" t="n">
        <v>55.3534</v>
      </c>
      <c r="C12" s="19">
        <f>ROUND(B12/$B$15*100,2)</f>
        <v/>
      </c>
      <c r="D12" s="11" t="inlineStr">
        <is>
          <t>Vigor bajo</t>
        </is>
      </c>
      <c r="E12" s="11" t="inlineStr">
        <is>
          <t>BAJO umbral 0.4976</t>
        </is>
      </c>
    </row>
    <row r="13">
      <c r="A13" s="14" t="inlineStr">
        <is>
          <t>0.2650 - 0.3813 · DN 2</t>
        </is>
      </c>
      <c r="B13" s="20" t="n">
        <v>4.2168</v>
      </c>
      <c r="C13" s="21">
        <f>ROUND(B13/$B$15*100,2)</f>
        <v/>
      </c>
      <c r="D13" s="15" t="inlineStr">
        <is>
          <t>Vigor muy bajo</t>
        </is>
      </c>
      <c r="E13" s="15" t="inlineStr">
        <is>
          <t>BAJO umbral 0.4976</t>
        </is>
      </c>
    </row>
    <row r="14">
      <c r="A14" s="7" t="inlineStr">
        <is>
          <t>&lt;= 0.2650 · DN 1</t>
        </is>
      </c>
      <c r="B14" s="18" t="n">
        <v>0.0644</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703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168.41</v>
      </c>
      <c r="C18" s="49" t="inlineStr">
        <is>
          <t>—</t>
        </is>
      </c>
      <c r="D18" s="46" t="inlineStr">
        <is>
          <t>Desviación planimétrica frente al catálogo</t>
        </is>
      </c>
      <c r="E18" s="46" t="inlineStr">
        <is>
          <t>+0.00 %</t>
        </is>
      </c>
    </row>
    <row r="19">
      <c r="A19" s="16" t="inlineStr">
        <is>
          <t>MSAVI 2024 — MEDIA DEL BLOQUE</t>
        </is>
      </c>
      <c r="B19" s="17" t="n">
        <v>0.538144</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703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(0.5381)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67.59269999999999</v>
      </c>
      <c r="C25" s="19" t="n">
        <v>40.11</v>
      </c>
      <c r="D25" s="11" t="inlineStr">
        <is>
          <t>Dosel continuo, matorral denso o mosaico agroforestal</t>
        </is>
      </c>
      <c r="E25" s="11" t="inlineStr"/>
    </row>
    <row r="26">
      <c r="A26" s="14" t="inlineStr">
        <is>
          <t>Vegetación mediana</t>
        </is>
      </c>
      <c r="B26" s="20" t="n">
        <v>87.9057</v>
      </c>
      <c r="C26" s="21" t="n">
        <v>52.17</v>
      </c>
      <c r="D26" s="15" t="inlineStr">
        <is>
          <t>Pastizal cultivado, matorral ralo, parcelas agrícolas</t>
        </is>
      </c>
      <c r="E26" s="15" t="inlineStr"/>
    </row>
    <row r="27">
      <c r="A27" s="7" t="inlineStr">
        <is>
          <t>Vegetación ligera</t>
        </is>
      </c>
      <c r="B27" s="18" t="n">
        <v>12.7614</v>
      </c>
      <c r="C27" s="19" t="n">
        <v>7.57</v>
      </c>
      <c r="D27" s="11" t="inlineStr">
        <is>
          <t>Cobertura discontinua, suelo parcialmente expuesto</t>
        </is>
      </c>
      <c r="E27" s="11" t="inlineStr"/>
    </row>
    <row r="28">
      <c r="A28" s="14" t="inlineStr">
        <is>
          <t>Tierra desnuda</t>
        </is>
      </c>
      <c r="B28" s="20" t="n">
        <v>0.2388</v>
      </c>
      <c r="C28" s="21" t="n">
        <v>0.14</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168.41</v>
      </c>
      <c r="C30" s="25" t="inlineStr">
        <is>
          <t>—</t>
        </is>
      </c>
      <c r="D30" s="25" t="inlineStr">
        <is>
          <t>Desviación planimétrica frente al catálogo</t>
        </is>
      </c>
      <c r="E30" s="25" t="inlineStr">
        <is>
          <t>+0.05 %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40.11 % del polígono clasificado como «Vegetación alta» por el NDVI 2025; la observación de campo corresponde a una parcela o recorrido puntual y no es estadísticamente representativa de las 168.410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t>
        </is>
      </c>
    </row>
    <row r="6" ht="24" customHeight="1">
      <c r="A6" s="4" t="inlineStr">
        <is>
          <t>Levantamiento del 2026-06-23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606182</v>
      </c>
      <c r="D10" s="26" t="n">
        <v>9455199</v>
      </c>
      <c r="E10" s="11" t="n">
        <v>550.5</v>
      </c>
      <c r="F10" s="11" t="inlineStr"/>
      <c r="G10" s="11" t="inlineStr">
        <is>
          <t>Coordenada consignada en F-DT-01</t>
        </is>
      </c>
    </row>
    <row r="11">
      <c r="A11" s="14" t="inlineStr">
        <is>
          <t>C-01</t>
        </is>
      </c>
      <c r="B11" s="15" t="inlineStr">
        <is>
          <t>Rasgo erosivo — Cicatriz de suelo expuesto en talud</t>
        </is>
      </c>
      <c r="C11" s="27" t="n">
        <v>605992</v>
      </c>
      <c r="D11" s="27" t="n">
        <v>9455103</v>
      </c>
      <c r="E11" s="15" t="n">
        <v>392.8</v>
      </c>
      <c r="F11" s="15" t="inlineStr">
        <is>
          <t>Semi-activa</t>
        </is>
      </c>
      <c r="G11" s="15" t="inlineStr">
        <is>
          <t>Concentración natural de escorrentía</t>
        </is>
      </c>
    </row>
    <row r="12">
      <c r="A12" s="7" t="inlineStr">
        <is>
          <t>H-01</t>
        </is>
      </c>
      <c r="B12" s="11" t="inlineStr">
        <is>
          <t>Fuente de agua — Quebrada estacional</t>
        </is>
      </c>
      <c r="C12" s="26" t="n">
        <v>606300</v>
      </c>
      <c r="D12" s="26" t="n">
        <v>9455240</v>
      </c>
      <c r="E12" s="11" t="n">
        <v>664.6</v>
      </c>
      <c r="F12" s="11" t="inlineStr">
        <is>
          <t>Estacional (lluvias)</t>
        </is>
      </c>
      <c r="G12" s="11" t="inlineStr">
        <is>
          <t>Quebrada tributaria</t>
        </is>
      </c>
    </row>
    <row r="13">
      <c r="A13" s="14" t="inlineStr">
        <is>
          <t>H-02</t>
        </is>
      </c>
      <c r="B13" s="15" t="inlineStr">
        <is>
          <t>Fuente de agua — Río</t>
        </is>
      </c>
      <c r="C13" s="27" t="n">
        <v>607000</v>
      </c>
      <c r="D13" s="27" t="n">
        <v>9454800</v>
      </c>
      <c r="E13" s="15" t="n">
        <v>1442.4</v>
      </c>
      <c r="F13" s="15" t="inlineStr">
        <is>
          <t>Permanente</t>
        </is>
      </c>
      <c r="G13" s="15" t="inlineStr">
        <is>
          <t>Curso principal del sector</t>
        </is>
      </c>
    </row>
    <row r="14">
      <c r="A14" s="7" t="inlineStr">
        <is>
          <t>H-03</t>
        </is>
      </c>
      <c r="B14" s="11" t="inlineStr">
        <is>
          <t>Fuente de agua — Canal de riego</t>
        </is>
      </c>
      <c r="C14" s="26" t="n">
        <v>606131</v>
      </c>
      <c r="D14" s="26" t="n">
        <v>9455221</v>
      </c>
      <c r="E14" s="11" t="n">
        <v>497.3</v>
      </c>
      <c r="F14" s="11" t="inlineStr">
        <is>
          <t>Permanente</t>
        </is>
      </c>
      <c r="G14" s="11" t="inlineStr">
        <is>
          <t>Tubería/manguera de conducción</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605636</v>
      </c>
      <c r="C17" s="6" t="inlineStr">
        <is>
          <t>Centroide del bloque — UTM NORTE (m)</t>
        </is>
      </c>
      <c r="D17" s="7" t="n">
        <v>9455269</v>
      </c>
      <c r="E17" s="8" t="n"/>
      <c r="F17" s="8" t="n"/>
      <c r="G17" s="8" t="n"/>
      <c r="H17" s="8" t="n"/>
    </row>
    <row r="18">
      <c r="A18" s="6" t="inlineStr">
        <is>
          <t>N.° de estaciones fotográficas declaradas</t>
        </is>
      </c>
      <c r="B18" s="7" t="n">
        <v>35</v>
      </c>
      <c r="C18" s="6" t="inlineStr">
        <is>
          <t>Estaciones dentro del polígono</t>
        </is>
      </c>
      <c r="D18" s="7" t="inlineStr">
        <is>
          <t>Por determinar</t>
        </is>
      </c>
      <c r="E18" s="8" t="n"/>
      <c r="F18" s="8" t="n"/>
      <c r="G18" s="8" t="n"/>
      <c r="H18" s="8" t="n"/>
    </row>
    <row r="20" ht="96"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 app fotográfica no registró altitud GPS. Rango altitudinal del MDE; pendientes (media 51.1%, máx 74.5%) del perfil Google Earth. La pendiente máxima (74.5%) se aproxima al umbral de idoneidad del proyecto (75%). Forma de terreno, pendiente y exposición son juicio experto a escala de bloque.</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C1096-Q9547 — BLOQUE 6</t>
        </is>
      </c>
    </row>
    <row r="6" ht="24" customHeight="1">
      <c r="A6" s="4" t="inlineStr">
        <is>
          <t>Distrito de Frias · Provincia de Ayabaca · Comparación de los bloques preliminares de intervención de la misma microcuenca</t>
        </is>
      </c>
    </row>
    <row r="7"/>
    <row r="8" ht="18" customHeight="1">
      <c r="A8" s="5" t="inlineStr">
        <is>
          <t>BLOQUES DE LA MICROCUENCA C1096-Q9547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6</t>
        </is>
      </c>
      <c r="B10" s="28" t="n">
        <v>168.41</v>
      </c>
      <c r="C10" s="29" t="n">
        <v>53.36</v>
      </c>
      <c r="D10" s="13" t="inlineStr">
        <is>
          <t>1398 – 2016</t>
        </is>
      </c>
      <c r="E10" s="13" t="n">
        <v>618</v>
      </c>
      <c r="F10" s="13" t="n">
        <v>33.74</v>
      </c>
      <c r="G10" s="30" t="n">
        <v>0.5381</v>
      </c>
      <c r="H10" s="29" t="n">
        <v>40.11</v>
      </c>
      <c r="I10" s="29" t="n">
        <v>35.41</v>
      </c>
    </row>
    <row r="11">
      <c r="A11" s="14" t="inlineStr">
        <is>
          <t>M10B4</t>
        </is>
      </c>
      <c r="B11" s="31" t="n">
        <v>68.89</v>
      </c>
      <c r="C11" s="21" t="n">
        <v>21.83</v>
      </c>
      <c r="D11" s="15" t="inlineStr">
        <is>
          <t>170 – 313</t>
        </is>
      </c>
      <c r="E11" s="15" t="n">
        <v>143</v>
      </c>
      <c r="F11" s="15" t="n">
        <v>13.83</v>
      </c>
      <c r="G11" s="20" t="n">
        <v>0.3133</v>
      </c>
      <c r="H11" s="21" t="n">
        <v>0</v>
      </c>
      <c r="I11" s="21" t="n">
        <v>99.81</v>
      </c>
    </row>
    <row r="12">
      <c r="A12" s="7" t="inlineStr">
        <is>
          <t>25</t>
        </is>
      </c>
      <c r="B12" s="32" t="n">
        <v>53.48</v>
      </c>
      <c r="C12" s="19" t="n">
        <v>16.94</v>
      </c>
      <c r="D12" s="11" t="inlineStr">
        <is>
          <t>143 – 210</t>
        </is>
      </c>
      <c r="E12" s="11" t="n">
        <v>67</v>
      </c>
      <c r="F12" s="11" t="n">
        <v>11.68</v>
      </c>
      <c r="G12" s="18" t="n">
        <v>0.2565</v>
      </c>
      <c r="H12" s="19" t="inlineStr">
        <is>
          <t>Por determinar</t>
        </is>
      </c>
      <c r="I12" s="11" t="inlineStr">
        <is>
          <t>s/d</t>
        </is>
      </c>
    </row>
    <row r="13">
      <c r="A13" s="14" t="inlineStr">
        <is>
          <t>36</t>
        </is>
      </c>
      <c r="B13" s="31" t="n">
        <v>24.84</v>
      </c>
      <c r="C13" s="21" t="n">
        <v>7.87</v>
      </c>
      <c r="D13" s="15" t="inlineStr">
        <is>
          <t>1239 – 1476</t>
        </is>
      </c>
      <c r="E13" s="15" t="n">
        <v>237</v>
      </c>
      <c r="F13" s="15" t="n">
        <v>30.65</v>
      </c>
      <c r="G13" s="20" t="n">
        <v>0.5395</v>
      </c>
      <c r="H13" s="21" t="n">
        <v>49.11</v>
      </c>
      <c r="I13" s="21" t="n">
        <v>35.63</v>
      </c>
    </row>
    <row r="14">
      <c r="A14" s="16" t="inlineStr">
        <is>
          <t>TOTAL / PROMEDIO</t>
        </is>
      </c>
      <c r="B14" s="33">
        <f>SUM(B10:B13)</f>
        <v/>
      </c>
      <c r="C14" s="23">
        <f>SUM(C10:C13)</f>
        <v/>
      </c>
      <c r="D14" s="17" t="inlineStr">
        <is>
          <t>143 – 2016</t>
        </is>
      </c>
      <c r="E14" s="17" t="inlineStr"/>
      <c r="F14" s="17">
        <f>ROUND(AVERAGE(F10:F13),2)</f>
        <v/>
      </c>
      <c r="G14" s="22">
        <f>ROUND(AVERAGE(G10:G13),4)</f>
        <v/>
      </c>
      <c r="H14" s="23">
        <f>ROUND(AVERAGE(H10:H13),2)</f>
        <v/>
      </c>
      <c r="I14" s="23">
        <f>ROUND(AVERAGE(I10:I13),2)</f>
        <v/>
      </c>
    </row>
    <row r="15" ht="48" customHeight="1">
      <c r="A15" s="9" t="inlineStr">
        <is>
          <t>ALCANCE DE LOS PROMEDIOS. La fila TOTAL / PROMEDIO omite las celdas «Por determinar»: el promedio de VEGETACIÓN ALTA (NDVI 2025) se calcula sobre 3 de los 4 bloques; el bloque restante carece de estadística zonal de NDVI. Los totales de ÁREA y % de microcuenca sí comprenden la totalidad de los 4 bloques. No se estima ningún valor ausente.</t>
        </is>
      </c>
      <c r="B15" s="41" t="n"/>
      <c r="C15" s="41" t="n"/>
      <c r="D15" s="41" t="n"/>
      <c r="E15" s="41" t="n"/>
      <c r="F15" s="41" t="n"/>
      <c r="G15" s="41" t="n"/>
      <c r="H15" s="42" t="n"/>
    </row>
    <row r="16"/>
    <row r="17" ht="84" customHeight="1">
      <c r="A17" s="9" t="inlineStr">
        <is>
          <t>LECTURA INTRAMICROCUENCA. El bloque 6 ocupa el puesto 1 de 4 por superficie dentro de la microcuenca C1096-Q9547 (53.36 % de las 315.62 ha preliminares de la microcuenca). Su pendiente promedio (33.74 %, clase «25-50% (Mod. escarpado)») es la 4.ª más baja de 4 y se sitúa por encima del promedio de la microcuenca (22.48 %). Su MSAVI 2024 (0.5381) es el 2.º de 4 y queda por encima del promedio local (0.4119). Amplitud altitudinal del bloque: 618 m (1398–2016 msnm). El cuadro conserva todos los bloques catalogados en la microcuenca, incluidos los descartados en el tamizaje, para referencia del conjunto. Los bloques sin ficha DT figuran con sus parámetros de gabinete. BRECHA ESPECTRAL. El 35.41 % de la superficie del bloque (59.635 ha de 168.411 ha) se sitúa bajo el umbral MSAVI 0.4976, por debajo del promedio local de la microcuenca (56.95 %) calculado sobre los bloques con dato MSAVI disponible.</t>
        </is>
      </c>
      <c r="B17" s="41" t="n"/>
      <c r="C17" s="41" t="n"/>
      <c r="D17" s="41" t="n"/>
      <c r="E17" s="41" t="n"/>
      <c r="F17" s="41" t="n"/>
      <c r="G17" s="41" t="n"/>
      <c r="H17" s="42" t="n"/>
    </row>
    <row r="18"/>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1" t="n"/>
      <c r="C19" s="41" t="n"/>
      <c r="D19" s="41" t="n"/>
      <c r="E19" s="41" t="n"/>
      <c r="F19" s="41" t="n"/>
      <c r="G19" s="41" t="n"/>
      <c r="H19" s="42" t="n"/>
    </row>
  </sheetData>
  <mergeCells count="10">
    <mergeCell ref="A1:I1"/>
    <mergeCell ref="A4:I4"/>
    <mergeCell ref="A3:I3"/>
    <mergeCell ref="A15:I15"/>
    <mergeCell ref="A2:I2"/>
    <mergeCell ref="A19:I19"/>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«C1096-Q9547»</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550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(168.499 ha) coincide con la de catálogo (168.41 ha) dentro del ±2 % (+0.05 %)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«50-75% (Escarpado)»; la estadística zonal sobre el MDE arroja una pendiente promedio de 33.74 %, que corresponde a la clase «25-50% (Mod. escarpado)»</t>
        </is>
      </c>
      <c r="D13" s="13"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Altitud GPS del punto de muestreo</t>
        </is>
      </c>
      <c r="C14" s="34" t="inlineStr">
        <is>
          <t>La aplicación de captura no registró altitud GPS en campo</t>
        </is>
      </c>
      <c r="D14" s="13" t="inlineStr">
        <is>
          <t>NO SUSTANTIVA</t>
        </is>
      </c>
      <c r="E14" s="34" t="inlineStr">
        <is>
          <t>El rango altitudinal del bloque (1398–2016 msnm) y la pendiente promedio (33.74 %) se toman de la estadística zonal sobre el MDE, no de medición de campo. Se declara la fuente.</t>
        </is>
      </c>
    </row>
    <row r="15" ht="48" customHeight="1">
      <c r="A15" s="36" t="inlineStr">
        <is>
          <t>D-06</t>
        </is>
      </c>
      <c r="B15" s="36" t="inlineStr">
        <is>
          <t>Dimensiones del inventario de cárcavas</t>
        </is>
      </c>
      <c r="C15" s="36" t="inlineStr">
        <is>
          <t>Se registran 1 rasgos erosivos, pero longitud, profundidad y ancho no fueron medidos instrumentalmente</t>
        </is>
      </c>
      <c r="D15" s="13"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13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Centro poblado asociado</t>
        </is>
      </c>
      <c r="C17" s="36" t="inlineStr">
        <is>
          <t>La ficha DT declara «Guabal/Huabal (280 hab.); entorno: Nogal, Guanábano Alto, El Común de Pilán»; el cruce INEI-Bloques V5 identifica 3 centro(s) poblado(s) en el bloque: GUABAL, GUANABANO ALTO, NOGAL</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4" t="inlineStr">
        <is>
          <t>D-10</t>
        </is>
      </c>
      <c r="B19" s="34" t="inlineStr">
        <is>
          <t>Distribución areal MSAVI 2024</t>
        </is>
      </c>
      <c r="C19" s="34" t="inlineStr">
        <is>
          <t>La distribución por clase de MSAVI no figuraba en los insumos del entregable y se consignaba «Por determinar»; se incorpora la estadística zonal del ráster MSAVI clasificado (703 polígonos, 168.411 ha)</t>
        </is>
      </c>
      <c r="D19" s="37" t="inlineStr">
        <is>
          <t>CORREGIDO</t>
        </is>
      </c>
      <c r="E19"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0" ht="48" customHeight="1">
      <c r="A20" s="34" t="inlineStr">
        <is>
          <t>D-11</t>
        </is>
      </c>
      <c r="B20" s="34" t="inlineStr">
        <is>
          <t>Superficie MSAVI vs. catálogo</t>
        </is>
      </c>
      <c r="C20" s="34" t="inlineStr">
        <is>
          <t>La superficie total clasificada por el MSAVI 2024 (168.411 ha) frente a la de catálogo V5/V6 (168.410 ha): desviación de +0.00 %</t>
        </is>
      </c>
      <c r="D20" s="37" t="inlineStr">
        <is>
          <t>CONFORME</t>
        </is>
      </c>
      <c r="E20" s="34" t="inlineStr">
        <is>
          <t>Sin acción: la segmentación del ráster valida la geometría del bloque dentro del ±2 %.</t>
        </is>
      </c>
    </row>
    <row r="21" ht="48" customHeight="1">
      <c r="A21" s="34" t="inlineStr">
        <is>
          <t>D-12</t>
        </is>
      </c>
      <c r="B21" s="34" t="inlineStr">
        <is>
          <t>Media MSAVI vs. clase DN dominante</t>
        </is>
      </c>
      <c r="C21" s="34" t="inlineStr">
        <is>
          <t>La media del bloque (0.5381) cae en la clase «DN 4 · 0.4976 - 0.6139 (Vigor moderado)»; la clase de mayor superficie es «DN 4 · 0.4976 - 0.6139 (Vigor moderado)», con 45.79 % del bloque. Superficie bajo el umbral 0.4976: 59.635 ha (35.41 %)</t>
        </is>
      </c>
      <c r="D21" s="37" t="inlineStr">
        <is>
          <t>CONFORME</t>
        </is>
      </c>
      <c r="E21" s="34" t="inlineStr">
        <is>
          <t>Sin acción: la media del bloque y la clase de mayor superficie coinciden.</t>
        </is>
      </c>
    </row>
    <row r="22"/>
    <row r="23">
      <c r="A23" s="16" t="inlineStr">
        <is>
          <t>RESUMEN</t>
        </is>
      </c>
      <c r="B23" s="17" t="inlineStr">
        <is>
          <t>12 verificaciones</t>
        </is>
      </c>
      <c r="C23" s="17" t="inlineStr">
        <is>
          <t>CONFORME: 6 · CORREGIDO: 1 · NO SUSTANTIVA: 3 · SUSTANTIVA: 2</t>
        </is>
      </c>
      <c r="D23" s="17" t="inlineStr"/>
      <c r="E23" s="17" t="inlineStr"/>
    </row>
    <row r="24"/>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5" s="41" t="n"/>
      <c r="C25" s="41" t="n"/>
      <c r="D25" s="41" t="n"/>
      <c r="E25" s="42" t="n"/>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 — IN Piura</dc:title>
  <dc:subject>Diagnóstico Territorial por bloque de intervención</dc:subject>
  <dcterms:created xsi:type="dcterms:W3CDTF">2026-09-08T03:39:56Z</dcterms:created>
  <dcterms:modified xsi:type="dcterms:W3CDTF">2026-09-09T23:30:53Z</dcterms:modified>
</cp:coreProperties>
</file>