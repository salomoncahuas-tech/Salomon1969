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s>
  <definedNames/>
  <calcPr calcId="124519" fullCalcOnLoad="1"/>
</workbook>
</file>

<file path=xl/styles.xml><?xml version="1.0" encoding="utf-8"?>
<styleSheet xmlns="http://schemas.openxmlformats.org/spreadsheetml/2006/main">
  <numFmts count="2">
    <numFmt numFmtId="164" formatCode="0.0000"/>
    <numFmt numFmtId="165" formatCode="0.000"/>
  </numFmts>
  <fonts count="9">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s>
  <fills count="10">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D9E1F2"/>
      </patternFill>
    </fill>
    <fill>
      <patternFill patternType="solid">
        <fgColor rgb="00F8CBAD"/>
      </patternFill>
    </fill>
    <fill>
      <patternFill patternType="solid">
        <fgColor rgb="00C6E0B4"/>
      </patternFill>
    </fill>
  </fills>
  <borders count="7">
    <border>
      <left/>
      <right/>
      <top/>
      <bottom/>
      <diagonal/>
    </border>
    <border>
      <left style="thin">
        <color rgb="009C9C9C"/>
      </left>
      <right style="thin">
        <color rgb="009C9C9C"/>
      </right>
      <top style="thin">
        <color rgb="009C9C9C"/>
      </top>
      <bottom style="thin">
        <color rgb="009C9C9C"/>
      </bottom>
    </border>
    <border>
      <left/>
      <right/>
      <top style="thin">
        <color rgb="009C9C9C"/>
      </top>
      <bottom/>
      <diagonal/>
    </border>
    <border>
      <left/>
      <right style="thin">
        <color rgb="009C9C9C"/>
      </right>
      <top style="thin">
        <color rgb="009C9C9C"/>
      </top>
      <bottom/>
      <diagonal/>
    </border>
    <border>
      <left/>
      <right/>
      <top style="thin">
        <color rgb="009C9C9C"/>
      </top>
      <bottom style="thin">
        <color rgb="009C9C9C"/>
      </bottom>
      <diagonal/>
    </border>
    <border>
      <left/>
      <right style="thin">
        <color rgb="009C9C9C"/>
      </right>
      <top style="thin">
        <color rgb="009C9C9C"/>
      </top>
      <bottom style="thin">
        <color rgb="009C9C9C"/>
      </bottom>
      <diagonal/>
    </border>
    <border>
      <left style="thin">
        <color rgb="00B7C4BA"/>
      </left>
      <right style="thin">
        <color rgb="00B7C4BA"/>
      </right>
      <top style="thin">
        <color rgb="00B7C4BA"/>
      </top>
      <bottom style="thin">
        <color rgb="00B7C4BA"/>
      </bottom>
    </border>
  </borders>
  <cellStyleXfs count="1">
    <xf numFmtId="0" fontId="0" fillId="0" borderId="0"/>
  </cellStyleXfs>
  <cellXfs count="50">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6" fillId="0"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165" fontId="6" fillId="0"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6" fillId="4"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xf numFmtId="0" fontId="5" fillId="9" borderId="1" applyAlignment="1" pivotButton="0" quotePrefix="0" xfId="0">
      <alignment horizontal="center" vertical="center" wrapText="1"/>
    </xf>
    <xf numFmtId="165" fontId="6" fillId="0" borderId="1" applyAlignment="1" pivotButton="0" quotePrefix="0" xfId="0">
      <alignment horizontal="left" vertical="center" wrapText="1" indent="1"/>
    </xf>
    <xf numFmtId="2" fontId="6" fillId="0" borderId="1" applyAlignment="1" pivotButton="0" quotePrefix="0" xfId="0">
      <alignment horizontal="left" vertical="center" wrapText="1" indent="1"/>
    </xf>
    <xf numFmtId="1" fontId="6" fillId="0" borderId="1" applyAlignment="1" pivotButton="0" quotePrefix="0" xfId="0">
      <alignment horizontal="left" vertical="center" wrapText="1" indent="1"/>
    </xf>
    <xf numFmtId="0" fontId="0" fillId="0" borderId="4" pivotButton="0" quotePrefix="0" xfId="0"/>
    <xf numFmtId="0" fontId="0" fillId="0" borderId="5" pivotButton="0" quotePrefix="0" xfId="0"/>
    <xf numFmtId="0" fontId="5" fillId="4" borderId="6" applyAlignment="1" pivotButton="0" quotePrefix="0" xfId="0">
      <alignment horizontal="left" vertical="center" wrapText="1"/>
    </xf>
    <xf numFmtId="164" fontId="5" fillId="4" borderId="6" applyAlignment="1" pivotButton="0" quotePrefix="0" xfId="0">
      <alignment horizontal="center" vertical="center" wrapText="1"/>
    </xf>
    <xf numFmtId="2" fontId="5" fillId="4" borderId="6" applyAlignment="1" pivotButton="0" quotePrefix="0" xfId="0">
      <alignment horizontal="center" vertical="center" wrapText="1"/>
    </xf>
    <xf numFmtId="0" fontId="6" fillId="0" borderId="6" applyAlignment="1" pivotButton="0" quotePrefix="0" xfId="0">
      <alignment horizontal="left" vertical="center" wrapText="1"/>
    </xf>
    <xf numFmtId="164" fontId="6" fillId="0" borderId="6" applyAlignment="1" pivotButton="0" quotePrefix="0" xfId="0">
      <alignment horizontal="center" vertical="center" wrapText="1"/>
    </xf>
    <xf numFmtId="2" fontId="6" fillId="0" borderId="6" applyAlignment="1" pivotButton="0" quotePrefix="0" xfId="0">
      <alignment horizontal="center" vertical="center" wrapText="1"/>
    </xf>
    <xf numFmtId="0" fontId="6" fillId="0" borderId="6"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7"/>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M7B2</t>
        </is>
      </c>
    </row>
    <row r="6" ht="24" customHeight="1">
      <c r="A6" s="4" t="inlineStr">
        <is>
          <t>Diagnóstico Territorial — Plantilla DT Campo Check Validada V5 | Sistema de referencia: UTM WGS 84 Zona 17S (EPSG:32717)</t>
        </is>
      </c>
    </row>
    <row r="7"/>
    <row r="8" ht="18" customHeight="1">
      <c r="A8" s="5" t="inlineStr">
        <is>
          <t>1. IDENTIFICACIÓN Y LOCALIZACIÓN</t>
        </is>
      </c>
    </row>
    <row r="9">
      <c r="A9" s="6" t="inlineStr">
        <is>
          <t>Código del bloque</t>
        </is>
      </c>
      <c r="B9" s="7" t="inlineStr">
        <is>
          <t>M7B2</t>
        </is>
      </c>
      <c r="C9" s="6" t="inlineStr">
        <is>
          <t>Microcuenca (catálogo)</t>
        </is>
      </c>
      <c r="D9" s="7" t="inlineStr">
        <is>
          <t>C1076-Q9581</t>
        </is>
      </c>
      <c r="E9" s="8" t="n"/>
      <c r="F9" s="8" t="n"/>
    </row>
    <row r="10">
      <c r="A10" s="6" t="inlineStr">
        <is>
          <t>Zona de planificación</t>
        </is>
      </c>
      <c r="B10" s="7" t="inlineStr">
        <is>
          <t>Z07</t>
        </is>
      </c>
      <c r="C10" s="6" t="inlineStr">
        <is>
          <t>Microcuenca declarada en ficha DT</t>
        </is>
      </c>
      <c r="D10" s="7" t="inlineStr">
        <is>
          <t>C1076-Q9581</t>
        </is>
      </c>
      <c r="E10" s="8" t="n"/>
      <c r="F10" s="8" t="n"/>
    </row>
    <row r="11">
      <c r="A11" s="6" t="inlineStr">
        <is>
          <t>Departamento</t>
        </is>
      </c>
      <c r="B11" s="7" t="inlineStr">
        <is>
          <t>Piura</t>
        </is>
      </c>
      <c r="C11" s="6" t="inlineStr">
        <is>
          <t>Provincia</t>
        </is>
      </c>
      <c r="D11" s="7" t="inlineStr">
        <is>
          <t>Morropon</t>
        </is>
      </c>
      <c r="E11" s="8" t="n"/>
      <c r="F11" s="8" t="n"/>
    </row>
    <row r="12">
      <c r="A12" s="6" t="inlineStr">
        <is>
          <t>Distrito</t>
        </is>
      </c>
      <c r="B12" s="7" t="inlineStr">
        <is>
          <t>Salitral</t>
        </is>
      </c>
      <c r="C12" s="6" t="inlineStr">
        <is>
          <t>Capital distrital</t>
        </is>
      </c>
      <c r="D12" s="7" t="inlineStr">
        <is>
          <t>Salitral</t>
        </is>
      </c>
      <c r="E12" s="8" t="n"/>
      <c r="F12" s="8" t="n"/>
    </row>
    <row r="13">
      <c r="A13" s="6" t="inlineStr">
        <is>
          <t>Centro poblado asociado</t>
        </is>
      </c>
      <c r="B13" s="7" t="inlineStr">
        <is>
          <t>Buenos Aires</t>
        </is>
      </c>
      <c r="C13" s="6" t="inlineStr">
        <is>
          <t>Comunidad campesina</t>
        </is>
      </c>
      <c r="D13" s="7" t="inlineStr">
        <is>
          <t>No consignada</t>
        </is>
      </c>
      <c r="E13" s="8" t="n"/>
      <c r="F13" s="8" t="n"/>
    </row>
    <row r="14">
      <c r="A14" s="6" t="inlineStr">
        <is>
          <t>Superficie de catálogo (V5/V6), ha</t>
        </is>
      </c>
      <c r="B14" s="7" t="n">
        <v>115.38</v>
      </c>
      <c r="C14" s="6" t="inlineStr">
        <is>
          <t>Fuente de superficie</t>
        </is>
      </c>
      <c r="D14" s="7" t="inlineStr">
        <is>
          <t>Catálogo maestro Bloques V5/V6</t>
        </is>
      </c>
      <c r="E14" s="8" t="n"/>
      <c r="F14" s="8" t="n"/>
    </row>
    <row r="15">
      <c r="A15" s="6" t="inlineStr">
        <is>
          <t>Centroide UTM ESTE (m)</t>
        </is>
      </c>
      <c r="B15" s="7" t="n">
        <v>631438</v>
      </c>
      <c r="C15" s="6" t="inlineStr">
        <is>
          <t>Centroide UTM NORTE (m)</t>
        </is>
      </c>
      <c r="D15" s="7" t="n">
        <v>9403547</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7"/>
    <row r="18" ht="18" customHeight="1">
      <c r="A18" s="5" t="inlineStr">
        <is>
          <t>2. PARÁMETROS FÍSICOS (ESTADÍSTICA ZONAL SOBRE MDE)</t>
        </is>
      </c>
    </row>
    <row r="19">
      <c r="A19" s="6" t="inlineStr">
        <is>
          <t>Altitud mínima (msnm)</t>
        </is>
      </c>
      <c r="B19" s="7" t="n">
        <v>204</v>
      </c>
      <c r="C19" s="6" t="inlineStr">
        <is>
          <t>Altitud máxima (msnm)</t>
        </is>
      </c>
      <c r="D19" s="7" t="n">
        <v>362</v>
      </c>
      <c r="E19" s="8" t="n"/>
      <c r="F19" s="8" t="n"/>
    </row>
    <row r="20">
      <c r="A20" s="6" t="inlineStr">
        <is>
          <t>Amplitud altitudinal (m)</t>
        </is>
      </c>
      <c r="B20" s="7" t="n">
        <v>158</v>
      </c>
      <c r="C20" s="6" t="inlineStr">
        <is>
          <t>Piso altitudinal dominante</t>
        </is>
      </c>
      <c r="D20" s="7" t="inlineStr">
        <is>
          <t>&lt;1000 m (Yunga)</t>
        </is>
      </c>
      <c r="E20" s="8" t="n"/>
      <c r="F20" s="8" t="n"/>
    </row>
    <row r="21">
      <c r="A21" s="6" t="inlineStr">
        <is>
          <t>Pendiente promedio (%)</t>
        </is>
      </c>
      <c r="B21" s="7" t="n">
        <v>14.01</v>
      </c>
      <c r="C21" s="6" t="inlineStr">
        <is>
          <t>Pendiente promedio (grados)</t>
        </is>
      </c>
      <c r="D21" s="7" t="n">
        <v>8</v>
      </c>
      <c r="E21" s="8" t="n"/>
      <c r="F21" s="8" t="n"/>
    </row>
    <row r="22">
      <c r="A22" s="6" t="inlineStr">
        <is>
          <t>Clase de pendiente equivalente</t>
        </is>
      </c>
      <c r="B22" s="7" t="inlineStr">
        <is>
          <t>8-15% (Mod. inclinado)</t>
        </is>
      </c>
      <c r="C22" s="6" t="inlineStr">
        <is>
          <t>Rango de pendiente declarado en campo</t>
        </is>
      </c>
      <c r="D22" s="7" t="inlineStr">
        <is>
          <t>25-50% (Mod. escarpado)</t>
        </is>
      </c>
      <c r="E22" s="8" t="n"/>
      <c r="F22" s="8" t="n"/>
    </row>
    <row r="23">
      <c r="A23" s="6" t="inlineStr">
        <is>
          <t>Forma predominante del terreno</t>
        </is>
      </c>
      <c r="B23" s="7" t="inlineStr">
        <is>
          <t>Colinoso</t>
        </is>
      </c>
      <c r="C23" s="6" t="inlineStr">
        <is>
          <t>Posición fisiográfica</t>
        </is>
      </c>
      <c r="D23" s="7" t="inlineStr">
        <is>
          <t>Ladera media</t>
        </is>
      </c>
      <c r="E23" s="8" t="n"/>
      <c r="F23" s="8" t="n"/>
    </row>
    <row r="24">
      <c r="A24" s="6" t="inlineStr">
        <is>
          <t>Exposición / orientación</t>
        </is>
      </c>
      <c r="B24" s="7" t="inlineStr">
        <is>
          <t>Oeste</t>
        </is>
      </c>
      <c r="C24" s="6" t="inlineStr">
        <is>
          <t>Afloramientos rocosos</t>
        </is>
      </c>
      <c r="D24" s="7" t="inlineStr">
        <is>
          <t>No</t>
        </is>
      </c>
      <c r="E24" s="8" t="n"/>
      <c r="F24" s="8" t="n"/>
    </row>
    <row r="25">
      <c r="A25" s="6" t="inlineStr">
        <is>
          <t>Escarpes activos</t>
        </is>
      </c>
      <c r="B25" s="7" t="inlineStr">
        <is>
          <t>No</t>
        </is>
      </c>
      <c r="C25" s="6" t="inlineStr">
        <is>
          <t>Remociones en masa activas</t>
        </is>
      </c>
      <c r="D25" s="7" t="inlineStr">
        <is>
          <t>No</t>
        </is>
      </c>
      <c r="E25" s="8" t="n"/>
      <c r="F25" s="8" t="n"/>
    </row>
    <row r="26"/>
    <row r="27" ht="18" customHeight="1">
      <c r="A27" s="5" t="inlineStr">
        <is>
          <t>3. ÍNDICES DE VEGETACIÓN (SENTINEL-2)</t>
        </is>
      </c>
    </row>
    <row r="28">
      <c r="A28" s="6" t="inlineStr">
        <is>
          <t>MSAVI 2024 — media del bloque</t>
        </is>
      </c>
      <c r="B28" s="7" t="n">
        <v>0.2877</v>
      </c>
      <c r="C28" s="6" t="inlineStr">
        <is>
          <t>MSAVI 2024 — clase de la media</t>
        </is>
      </c>
      <c r="D28" s="7" t="inlineStr">
        <is>
          <t>0.2650 - 0.3813 (Vigor muy bajo)</t>
        </is>
      </c>
      <c r="E28" s="8" t="n"/>
      <c r="F28" s="8" t="n"/>
    </row>
    <row r="29">
      <c r="A29" s="6" t="inlineStr">
        <is>
          <t>Condición frente al umbral 0.4976</t>
        </is>
      </c>
      <c r="B29" s="7" t="inlineStr">
        <is>
          <t>BAJO umbral 0.4976</t>
        </is>
      </c>
      <c r="C29" s="6" t="inlineStr">
        <is>
          <t>NDVI mediana 2025 — clase modal</t>
        </is>
      </c>
      <c r="D29" s="7" t="inlineStr">
        <is>
          <t>Vegetación mediana (52.05 %)</t>
        </is>
      </c>
      <c r="E29" s="8" t="n"/>
      <c r="F29" s="8" t="n"/>
    </row>
    <row r="30">
      <c r="A30" s="6" t="inlineStr">
        <is>
          <t>Superficie clasificada NDVI 2025 (ha)</t>
        </is>
      </c>
      <c r="B30" s="7" t="n">
        <v>115.422</v>
      </c>
      <c r="C30" s="6" t="inlineStr">
        <is>
          <t>Desviación frente al catálogo (%)</t>
        </is>
      </c>
      <c r="D30" s="7" t="n">
        <v>0.04</v>
      </c>
      <c r="E30" s="8" t="n"/>
      <c r="F30" s="8" t="n"/>
    </row>
    <row r="31">
      <c r="A31" s="6" t="inlineStr">
        <is>
          <t>Superficie clasificada MSAVI 2024 (ha)</t>
        </is>
      </c>
      <c r="B31" s="38" t="n">
        <v>115.379</v>
      </c>
      <c r="C31" s="6" t="inlineStr">
        <is>
          <t>Desviación MSAVI frente al catálogo (%)</t>
        </is>
      </c>
      <c r="D31" s="39" t="n">
        <v>0</v>
      </c>
      <c r="E31" s="8" t="n"/>
      <c r="F31" s="8" t="n"/>
    </row>
    <row r="32">
      <c r="A32" s="6" t="inlineStr">
        <is>
          <t>Superficie bajo umbral MSAVI 0.4976 (ha)</t>
        </is>
      </c>
      <c r="B32" s="38" t="n">
        <v>114.899</v>
      </c>
      <c r="C32" s="6" t="inlineStr">
        <is>
          <t>% del bloque bajo umbral (brecha espectral)</t>
        </is>
      </c>
      <c r="D32" s="39" t="n">
        <v>99.58</v>
      </c>
      <c r="E32" s="8" t="n"/>
      <c r="F32" s="8" t="n"/>
    </row>
    <row r="33">
      <c r="A33" s="6" t="inlineStr">
        <is>
          <t>Clase DN dominante (MSAVI 2024)</t>
        </is>
      </c>
      <c r="B33" s="7" t="inlineStr">
        <is>
          <t>DN 2 · 0.2650 - 0.3813 (Vigor muy bajo)</t>
        </is>
      </c>
      <c r="C33" s="6" t="inlineStr">
        <is>
          <t>N.° de polígonos MSAVI del bloque</t>
        </is>
      </c>
      <c r="D33" s="40" t="n">
        <v>460</v>
      </c>
      <c r="E33" s="8" t="n"/>
      <c r="F33" s="8" t="n"/>
    </row>
    <row r="34"/>
    <row r="35" ht="18" customHeight="1">
      <c r="A35" s="5" t="inlineStr">
        <is>
          <t>4. ECOSISTEMA Y ESTADO DE CONSERVACIÓN</t>
        </is>
      </c>
    </row>
    <row r="36">
      <c r="A36" s="6" t="inlineStr">
        <is>
          <t>Tipo de ecosistema (UP)</t>
        </is>
      </c>
      <c r="B36" s="7" t="inlineStr">
        <is>
          <t>Bosque Estacionalmente Seco de Colina y Montaña (Bes-cm)</t>
        </is>
      </c>
      <c r="C36" s="6" t="inlineStr">
        <is>
          <t>Superficie de ecosistema (ha)</t>
        </is>
      </c>
      <c r="D36" s="7" t="inlineStr">
        <is>
          <t>514.36 ha DECLARADAS EN LA FICHA — VALOR ERRÓNEO: corresponde al bloque M6B2-1; el área real de M7B2 es 115.38 ha</t>
        </is>
      </c>
      <c r="E36" s="8" t="n"/>
      <c r="F36" s="8" t="n"/>
    </row>
    <row r="37">
      <c r="A37" s="6" t="inlineStr">
        <is>
          <t>Estado de conservación</t>
        </is>
      </c>
      <c r="B37" s="7" t="inlineStr">
        <is>
          <t>Medianamente alterado</t>
        </is>
      </c>
      <c r="C37" s="6" t="inlineStr">
        <is>
          <t>Uso actual dominante del suelo</t>
        </is>
      </c>
      <c r="D37" s="7" t="inlineStr">
        <is>
          <t>Pastoreo extensivo</t>
        </is>
      </c>
      <c r="E37" s="8" t="n"/>
      <c r="F37" s="8" t="n"/>
    </row>
    <row r="38">
      <c r="A38" s="6" t="inlineStr">
        <is>
          <t>Tipo de cobertura dominante</t>
        </is>
      </c>
      <c r="B38" s="7" t="inlineStr">
        <is>
          <t>Bosque denso (&gt;70%)</t>
        </is>
      </c>
      <c r="C38" s="6" t="inlineStr">
        <is>
          <t>Cobertura vegetal total — campo (%)</t>
        </is>
      </c>
      <c r="D38" s="7" t="inlineStr">
        <is>
          <t>Por determinar</t>
        </is>
      </c>
      <c r="E38" s="8" t="n"/>
      <c r="F38" s="8" t="n"/>
    </row>
    <row r="39">
      <c r="A39" s="6" t="inlineStr">
        <is>
          <t>Suelo desnudo — campo (%)</t>
        </is>
      </c>
      <c r="B39" s="7" t="n">
        <v>15</v>
      </c>
      <c r="C39" s="6" t="inlineStr">
        <is>
          <t>Regeneración natural</t>
        </is>
      </c>
      <c r="D39" s="7" t="inlineStr">
        <is>
          <t>Regular (10-50 pl./100m²)</t>
        </is>
      </c>
      <c r="E39" s="8" t="n"/>
      <c r="F39" s="8" t="n"/>
    </row>
    <row r="40">
      <c r="A40" s="6" t="inlineStr">
        <is>
          <t>Nivel general de erosión</t>
        </is>
      </c>
      <c r="B40" s="7" t="inlineStr">
        <is>
          <t>Ligera (laminar)</t>
        </is>
      </c>
      <c r="C40" s="6" t="inlineStr">
        <is>
          <t>N.° de cárcavas registradas</t>
        </is>
      </c>
      <c r="D40" s="7" t="n">
        <v>0</v>
      </c>
      <c r="E40" s="8" t="n"/>
      <c r="F40" s="8" t="n"/>
    </row>
    <row r="41">
      <c r="A41" s="6" t="inlineStr">
        <is>
          <t>Elenco florístico (n.° de taxones)</t>
        </is>
      </c>
      <c r="B41" s="7" t="n">
        <v>0</v>
      </c>
      <c r="C41" s="6" t="inlineStr">
        <is>
          <t>Estado sanitario</t>
        </is>
      </c>
      <c r="D41" s="7" t="inlineStr">
        <is>
          <t>Sano</t>
        </is>
      </c>
      <c r="E41" s="8" t="n"/>
      <c r="F41" s="8" t="n"/>
    </row>
    <row r="42"/>
    <row r="43" ht="18" customHeight="1">
      <c r="A43" s="5" t="inlineStr">
        <is>
          <t>5. RESPONSABLE Y MODALIDAD DE LA EVALUACIÓN</t>
        </is>
      </c>
    </row>
    <row r="44">
      <c r="A44" s="6" t="inlineStr">
        <is>
          <t>Responsable de la evaluación</t>
        </is>
      </c>
      <c r="B44" s="7" t="inlineStr">
        <is>
          <t>Juan Carlos Domínguez Varas</t>
        </is>
      </c>
      <c r="C44" s="6" t="inlineStr">
        <is>
          <t>Fecha de evaluación</t>
        </is>
      </c>
      <c r="D44" s="7" t="inlineStr">
        <is>
          <t>2026-05-21</t>
        </is>
      </c>
      <c r="E44" s="8" t="n"/>
      <c r="F44" s="8" t="n"/>
    </row>
    <row r="45">
      <c r="A45" s="6" t="inlineStr">
        <is>
          <t>Hora de registro</t>
        </is>
      </c>
      <c r="B45" s="7" t="inlineStr">
        <is>
          <t>14:00 - 14:15 h</t>
        </is>
      </c>
      <c r="C45" s="6" t="inlineStr">
        <is>
          <t>Correlativo de ficha</t>
        </is>
      </c>
      <c r="D45" s="7" t="inlineStr">
        <is>
          <t>Sin registro en ficha</t>
        </is>
      </c>
      <c r="E45" s="8" t="n"/>
      <c r="F45" s="8" t="n"/>
    </row>
    <row r="46">
      <c r="A46" s="6" t="inlineStr">
        <is>
          <t>Entidad</t>
        </is>
      </c>
      <c r="B46" s="7" t="inlineStr">
        <is>
          <t>ANIN - DIME - SESDI</t>
        </is>
      </c>
      <c r="C46" s="6" t="inlineStr">
        <is>
          <t>Fase del estudio</t>
        </is>
      </c>
      <c r="D46" s="7" t="inlineStr">
        <is>
          <t>Preinversión (Perfil) · Invierte.pe</t>
        </is>
      </c>
      <c r="E46" s="8" t="n"/>
      <c r="F46" s="8" t="n"/>
    </row>
    <row r="47">
      <c r="A47" s="6" t="inlineStr">
        <is>
          <t>Instrumento aplicado</t>
        </is>
      </c>
      <c r="B47" s="7" t="inlineStr">
        <is>
          <t>Fichas F-DT-01 a F-DT-05 (Plantilla V5)</t>
        </is>
      </c>
      <c r="C47" s="6" t="inlineStr">
        <is>
          <t>Parcela de muestreo</t>
        </is>
      </c>
      <c r="D47" s="7" t="inlineStr">
        <is>
          <t>Sin registro en ficha</t>
        </is>
      </c>
      <c r="E47" s="8" t="n"/>
      <c r="F47" s="8" t="n"/>
    </row>
    <row r="48">
      <c r="A48" s="6" t="inlineStr">
        <is>
          <t>Estaciones fotográficas georreferenciadas</t>
        </is>
      </c>
      <c r="B48" s="7" t="n">
        <v>0</v>
      </c>
      <c r="C48" s="6" t="inlineStr">
        <is>
          <t>Modalidad de acceso</t>
        </is>
      </c>
      <c r="D48" s="7" t="inlineStr">
        <is>
          <t>Vehicular + caminata &lt;30 min</t>
        </is>
      </c>
      <c r="E48" s="8" t="n"/>
      <c r="F48" s="8" t="n"/>
    </row>
    <row r="49"/>
    <row r="50" ht="18" customHeight="1">
      <c r="A50" s="5" t="inlineStr">
        <is>
          <t>6. SÍNTESIS PARA LA GESTIÓN DEL RIESGO EN CONTEXTO DE CAMBIO CLIMÁTICO</t>
        </is>
      </c>
    </row>
    <row r="51">
      <c r="A51" s="6" t="inlineStr">
        <is>
          <t>Causa subyacente principal</t>
        </is>
      </c>
      <c r="B51" s="7" t="inlineStr">
        <is>
          <t>Pastoreo de ganado caprino</t>
        </is>
      </c>
      <c r="C51" s="6" t="inlineStr">
        <is>
          <t>Velocidad de degradación</t>
        </is>
      </c>
      <c r="D51" s="7" t="inlineStr">
        <is>
          <t>Lenta</t>
        </is>
      </c>
      <c r="E51" s="8" t="n"/>
      <c r="F51" s="8" t="n"/>
    </row>
    <row r="52">
      <c r="A52" s="6" t="inlineStr">
        <is>
          <t>Reversibilidad técnica</t>
        </is>
      </c>
      <c r="B52" s="7" t="inlineStr">
        <is>
          <t>Totalmente reversible</t>
        </is>
      </c>
      <c r="C52" s="6" t="inlineStr">
        <is>
          <t>Urgencia de intervención</t>
        </is>
      </c>
      <c r="D52" s="7" t="inlineStr">
        <is>
          <t>Baja</t>
        </is>
      </c>
      <c r="E52" s="8" t="n"/>
      <c r="F52" s="8" t="n"/>
    </row>
    <row r="53">
      <c r="A53" s="6" t="inlineStr">
        <is>
          <t>Urgencia de control de erosión</t>
        </is>
      </c>
      <c r="B53" s="7" t="inlineStr">
        <is>
          <t>Baja</t>
        </is>
      </c>
      <c r="C53" s="6" t="inlineStr">
        <is>
          <t>Zona de recarga hídrica</t>
        </is>
      </c>
      <c r="D53" s="7" t="inlineStr">
        <is>
          <t>No</t>
        </is>
      </c>
      <c r="E53" s="8" t="n"/>
      <c r="F53" s="8" t="n"/>
    </row>
    <row r="54">
      <c r="A54" s="6" t="inlineStr">
        <is>
          <t>Peligro integrado preliminar (MCA-AHP)</t>
        </is>
      </c>
      <c r="B54" s="7" t="inlineStr">
        <is>
          <t>No disponible en los insumos; debe tomarse del modelamiento de mesolocalización</t>
        </is>
      </c>
      <c r="C54" s="6" t="inlineStr">
        <is>
          <t>Prioridad de intervención</t>
        </is>
      </c>
      <c r="D54" s="7" t="inlineStr">
        <is>
          <t>Por definir en mesolocalización</t>
        </is>
      </c>
      <c r="E54" s="8" t="n"/>
      <c r="F54" s="8" t="n"/>
    </row>
    <row r="55">
      <c r="A55" s="6" t="inlineStr">
        <is>
          <t>Estado de verificación de campo</t>
        </is>
      </c>
      <c r="B55" s="7" t="inlineStr">
        <is>
          <t>VERIFICADO</t>
        </is>
      </c>
      <c r="C55" s="6" t="inlineStr">
        <is>
          <t>Marco del indicador de brecha</t>
        </is>
      </c>
      <c r="D55" s="7" t="inlineStr">
        <is>
          <t>R.M. N.° 00213-2024-MINAM</t>
        </is>
      </c>
      <c r="E55" s="8" t="n"/>
      <c r="F55" s="8" t="n"/>
    </row>
    <row r="56"/>
    <row r="57" ht="72" customHeight="1">
      <c r="A57"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 La distribución areal por clase de MSAVI 2024 procede de la estadística zonal del ráster MSAVI clasificado (AREAS_MSAVI_BLOQUES_V6_REV_HSCM) y se detalla en la hoja «Cobertura MSAVI-NDVI»; la equivalencia entre el valor de clase DN y los umbrales del proyecto se declara en la nota metodológica de esa hoja.</t>
        </is>
      </c>
      <c r="B57" s="41" t="n"/>
      <c r="C57" s="41" t="n"/>
      <c r="D57" s="41" t="n"/>
      <c r="E57" s="41" t="n"/>
      <c r="F57" s="42" t="n"/>
    </row>
  </sheetData>
  <mergeCells count="13">
    <mergeCell ref="A2:F2"/>
    <mergeCell ref="A3:F3"/>
    <mergeCell ref="A1:F1"/>
    <mergeCell ref="A5:F5"/>
    <mergeCell ref="A27:F27"/>
    <mergeCell ref="A8:F8"/>
    <mergeCell ref="A6:F6"/>
    <mergeCell ref="A50:F50"/>
    <mergeCell ref="A35:F35"/>
    <mergeCell ref="A18:F18"/>
    <mergeCell ref="A4:F4"/>
    <mergeCell ref="A43:F43"/>
    <mergeCell ref="A57:F5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2"/>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M7B2</t>
        </is>
      </c>
    </row>
    <row r="6" ht="24" customHeight="1">
      <c r="A6" s="4" t="inlineStr">
        <is>
          <t>MSAVI 2024 y NDVI mediana 2025 (Sentinel-2, mosaico Piura) · Umbral de brecha del proyecto: MSAVI = 0.4976</t>
        </is>
      </c>
    </row>
    <row r="7"/>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7" t="inlineStr">
        <is>
          <t>&gt; 0.6139 · DN 5</t>
        </is>
      </c>
      <c r="B10" s="18" t="n">
        <v>0</v>
      </c>
      <c r="C10" s="19">
        <f>ROUND(B10/$B$15*100,2)</f>
        <v/>
      </c>
      <c r="D10" s="11" t="inlineStr">
        <is>
          <t>Vigor alto</t>
        </is>
      </c>
      <c r="E10" s="11" t="inlineStr">
        <is>
          <t>Sobre umbral</t>
        </is>
      </c>
    </row>
    <row r="11">
      <c r="A11" s="12" t="inlineStr">
        <is>
          <t>0.4976 - 0.6139 · DN 4</t>
        </is>
      </c>
      <c r="B11" s="20" t="n">
        <v>0.4799</v>
      </c>
      <c r="C11" s="21">
        <f>ROUND(B11/$B$15*100,2)</f>
        <v/>
      </c>
      <c r="D11" s="13" t="inlineStr">
        <is>
          <t>Vigor moderado</t>
        </is>
      </c>
      <c r="E11" s="13" t="inlineStr">
        <is>
          <t>Sobre umbral</t>
        </is>
      </c>
    </row>
    <row r="12">
      <c r="A12" s="7" t="inlineStr">
        <is>
          <t>0.3813 - 0.4976 · DN 3</t>
        </is>
      </c>
      <c r="B12" s="18" t="n">
        <v>2.1794</v>
      </c>
      <c r="C12" s="19">
        <f>ROUND(B12/$B$15*100,2)</f>
        <v/>
      </c>
      <c r="D12" s="11" t="inlineStr">
        <is>
          <t>Vigor bajo</t>
        </is>
      </c>
      <c r="E12" s="11" t="inlineStr">
        <is>
          <t>BAJO umbral 0.4976</t>
        </is>
      </c>
    </row>
    <row r="13">
      <c r="A13" s="14" t="inlineStr">
        <is>
          <t>0.2650 - 0.3813 · DN 2</t>
        </is>
      </c>
      <c r="B13" s="30" t="n">
        <v>78.1974</v>
      </c>
      <c r="C13" s="29">
        <f>ROUND(B13/$B$15*100,2)</f>
        <v/>
      </c>
      <c r="D13" s="15" t="inlineStr">
        <is>
          <t>Vigor muy bajo</t>
        </is>
      </c>
      <c r="E13" s="15" t="inlineStr">
        <is>
          <t>BAJO umbral 0.4976</t>
        </is>
      </c>
    </row>
    <row r="14">
      <c r="A14" s="7" t="inlineStr">
        <is>
          <t>&lt;= 0.2650 · DN 1</t>
        </is>
      </c>
      <c r="B14" s="18" t="n">
        <v>34.5222</v>
      </c>
      <c r="C14" s="19">
        <f>ROUND(B14/$B$15*100,2)</f>
        <v/>
      </c>
      <c r="D14" s="11" t="inlineStr">
        <is>
          <t>Suelo desnudo / no vegetal</t>
        </is>
      </c>
      <c r="E14" s="11" t="inlineStr">
        <is>
          <t>BAJO umbral 0.4976</t>
        </is>
      </c>
    </row>
    <row r="15" ht="30" customHeight="1">
      <c r="A15" s="43" t="inlineStr">
        <is>
          <t>TOTAL CLASIFICADO MSAVI 2024</t>
        </is>
      </c>
      <c r="B15" s="44">
        <f>SUM(B10:B14)</f>
        <v/>
      </c>
      <c r="C15" s="45">
        <f>SUM(C10:C14)</f>
        <v/>
      </c>
      <c r="D15" s="43" t="inlineStr">
        <is>
          <t>Suma de la distribución areal · 460 polígonos</t>
        </is>
      </c>
      <c r="E15" s="43" t="inlineStr">
        <is>
          <t>—</t>
        </is>
      </c>
    </row>
    <row r="16" ht="30" customHeight="1">
      <c r="A16" s="46" t="inlineStr">
        <is>
          <t>Superficie SOBRE umbral 0.4976 (ha)</t>
        </is>
      </c>
      <c r="B16" s="47">
        <f>SUM(B10:B11)</f>
        <v/>
      </c>
      <c r="C16" s="48">
        <f>ROUND(B16/B15*100,2)</f>
        <v/>
      </c>
      <c r="D16" s="46" t="inlineStr">
        <is>
          <t>Vigor alto y moderado (DN 4 y DN 5)</t>
        </is>
      </c>
      <c r="E16" s="46" t="inlineStr">
        <is>
          <t>Sobre umbral 0.4976</t>
        </is>
      </c>
    </row>
    <row r="17" ht="30" customHeight="1">
      <c r="A17" s="46" t="inlineStr">
        <is>
          <t>Superficie BAJO umbral 0.4976 (ha) — brecha</t>
        </is>
      </c>
      <c r="B17" s="47">
        <f>SUM(B12:B14)</f>
        <v/>
      </c>
      <c r="C17" s="48">
        <f>ROUND(B17/B15*100,2)</f>
        <v/>
      </c>
      <c r="D17" s="46" t="inlineStr">
        <is>
          <t>Vigor bajo, muy bajo y suelo desnudo (DN 1 a DN 3)</t>
        </is>
      </c>
      <c r="E17" s="46" t="inlineStr">
        <is>
          <t>Base para el indicador de brecha (R.M. N.° 00213-2024-MINAM)</t>
        </is>
      </c>
    </row>
    <row r="18" ht="30" customHeight="1">
      <c r="A18" s="46" t="inlineStr">
        <is>
          <t>Superficie de catálogo (V5/V6) — contraste MSAVI</t>
        </is>
      </c>
      <c r="B18" s="47" t="n">
        <v>115.38</v>
      </c>
      <c r="C18" s="49" t="inlineStr">
        <is>
          <t>—</t>
        </is>
      </c>
      <c r="D18" s="46" t="inlineStr">
        <is>
          <t>Desviación planimétrica frente al catálogo</t>
        </is>
      </c>
      <c r="E18" s="46" t="inlineStr">
        <is>
          <t>+0.00 %</t>
        </is>
      </c>
    </row>
    <row r="19">
      <c r="A19" s="16" t="inlineStr">
        <is>
          <t>MSAVI 2024 — MEDIA DEL BLOQUE</t>
        </is>
      </c>
      <c r="B19" s="17" t="n">
        <v>0.287689</v>
      </c>
      <c r="C19" s="17" t="inlineStr">
        <is>
          <t>—</t>
        </is>
      </c>
      <c r="D19" s="17" t="inlineStr">
        <is>
          <t>Vigor muy bajo · clase 0.2650 - 0.3813</t>
        </is>
      </c>
      <c r="E19" s="17" t="inlineStr">
        <is>
          <t>BAJO umbral 0.4976</t>
        </is>
      </c>
    </row>
    <row r="20"/>
    <row r="21" ht="72" customHeight="1">
      <c r="A21" s="9" t="inlineStr">
        <is>
          <t>NOTA METODOLÓGICA. La distribución areal por clase de MSAVI 2024 procede de la estadística zonal por polígono del ráster MSAVI clasificado (archivo AREAS_MSAVI_BLOQUES_V6_REV_HSCM.xlsx, hojas «Datos_Detalle» y «Resumen_por_Bloque»): 460 polígonos agregados para este bloque, con superficies obtenidas como Area_m2 / 10 000. El archivo fuente no documenta la semántica del valor de clase DN; la equivalencia DN 1 = clase inferior … DN 5 = clase superior se estableció por contraste con la media MSAVI 2024 del catálogo maestro de los 117 bloques (coeficiente de correlación 0.9965 y error absoluto medio 0.0091 al reconstruir la media con los puntos medios de clase; el orden inverso arroja correlación negativa), y debe ser confirmada por el especialista SIG del proyecto. La media del bloque (0.2877) se conserva del catálogo maestro y es dato oficial; la fila resaltada indica la clase en la que cae dicha media. Los totales y porcentajes se calculan con fórmulas sobre las filas del cuadro.</t>
        </is>
      </c>
      <c r="B21" s="41" t="n"/>
      <c r="C21" s="41" t="n"/>
      <c r="D21" s="41" t="n"/>
      <c r="E21" s="42" t="n"/>
    </row>
    <row r="22"/>
    <row r="23" ht="18" customHeight="1">
      <c r="A23" s="5" t="inlineStr">
        <is>
          <t>B. NDVI MEDIANA 2025 — DISTRIBUCIÓN AREAL (ESTADÍSTICA ZONAL)</t>
        </is>
      </c>
    </row>
    <row r="24" ht="28" customHeight="1">
      <c r="A24" s="10" t="inlineStr">
        <is>
          <t>Clase NDVI</t>
        </is>
      </c>
      <c r="B24" s="10" t="inlineStr">
        <is>
          <t>Superficie (ha)</t>
        </is>
      </c>
      <c r="C24" s="10" t="inlineStr">
        <is>
          <t>% del área clasificada</t>
        </is>
      </c>
      <c r="D24" s="10" t="inlineStr">
        <is>
          <t>Interpretación</t>
        </is>
      </c>
      <c r="E24" s="10" t="inlineStr">
        <is>
          <t>Observación</t>
        </is>
      </c>
    </row>
    <row r="25">
      <c r="A25" s="7" t="inlineStr">
        <is>
          <t>Vegetación alta</t>
        </is>
      </c>
      <c r="B25" s="18" t="n">
        <v>1.054</v>
      </c>
      <c r="C25" s="19" t="n">
        <v>0.91</v>
      </c>
      <c r="D25" s="11" t="inlineStr">
        <is>
          <t>Dosel continuo, matorral denso o mosaico agroforestal</t>
        </is>
      </c>
      <c r="E25" s="11" t="inlineStr"/>
    </row>
    <row r="26">
      <c r="A26" s="12" t="inlineStr">
        <is>
          <t>Vegetación mediana</t>
        </is>
      </c>
      <c r="B26" s="20" t="n">
        <v>60.0822</v>
      </c>
      <c r="C26" s="21" t="n">
        <v>52.05</v>
      </c>
      <c r="D26" s="13" t="inlineStr">
        <is>
          <t>Pastizal cultivado, matorral ralo, parcelas agrícolas</t>
        </is>
      </c>
      <c r="E26" s="13" t="inlineStr"/>
    </row>
    <row r="27">
      <c r="A27" s="7" t="inlineStr">
        <is>
          <t>Vegetación ligera</t>
        </is>
      </c>
      <c r="B27" s="18" t="n">
        <v>53.7375</v>
      </c>
      <c r="C27" s="19" t="n">
        <v>46.56</v>
      </c>
      <c r="D27" s="11" t="inlineStr">
        <is>
          <t>Cobertura discontinua, suelo parcialmente expuesto</t>
        </is>
      </c>
      <c r="E27" s="11" t="inlineStr"/>
    </row>
    <row r="28">
      <c r="A28" s="12" t="inlineStr">
        <is>
          <t>Tierra desnuda</t>
        </is>
      </c>
      <c r="B28" s="20" t="n">
        <v>0.5481</v>
      </c>
      <c r="C28" s="21" t="n">
        <v>0.47</v>
      </c>
      <c r="D28" s="13" t="inlineStr">
        <is>
          <t>Suelo desnudo, afloramientos, plataformas y taludes</t>
        </is>
      </c>
      <c r="E28" s="13" t="inlineStr"/>
    </row>
    <row r="29">
      <c r="A29" s="16" t="inlineStr">
        <is>
          <t>TOTAL CLASIFICADO</t>
        </is>
      </c>
      <c r="B29" s="22">
        <f>SUM(B25:B28)</f>
        <v/>
      </c>
      <c r="C29" s="23">
        <f>SUM(C25:C28)</f>
        <v/>
      </c>
      <c r="D29" s="17" t="inlineStr"/>
      <c r="E29" s="17" t="inlineStr"/>
    </row>
    <row r="30">
      <c r="A30" s="24" t="inlineStr">
        <is>
          <t>Superficie de catálogo (V5/V6)</t>
        </is>
      </c>
      <c r="B30" s="25" t="n">
        <v>115.38</v>
      </c>
      <c r="C30" s="25" t="inlineStr">
        <is>
          <t>—</t>
        </is>
      </c>
      <c r="D30" s="25" t="inlineStr">
        <is>
          <t>Desviación planimétrica frente al catálogo</t>
        </is>
      </c>
      <c r="E30" s="25" t="inlineStr">
        <is>
          <t>+0.04 %</t>
        </is>
      </c>
    </row>
    <row r="31"/>
    <row r="32" ht="72" customHeight="1">
      <c r="A32"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t>
        </is>
      </c>
      <c r="B32" s="41" t="n"/>
      <c r="C32" s="41" t="n"/>
      <c r="D32" s="41" t="n"/>
      <c r="E32" s="42" t="n"/>
    </row>
  </sheetData>
  <mergeCells count="10">
    <mergeCell ref="A21:E21"/>
    <mergeCell ref="A4:E4"/>
    <mergeCell ref="A2:E2"/>
    <mergeCell ref="A1:E1"/>
    <mergeCell ref="A23:E23"/>
    <mergeCell ref="A32:E32"/>
    <mergeCell ref="A5:E5"/>
    <mergeCell ref="A8:E8"/>
    <mergeCell ref="A6:E6"/>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6"/>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M7B2</t>
        </is>
      </c>
    </row>
    <row r="6" ht="24" customHeight="1">
      <c r="A6" s="4" t="inlineStr">
        <is>
          <t>Levantamiento del 2026-05-21 · Sistema de referencia UTM WGS 84 Zona 17S (EPSG:32717)</t>
        </is>
      </c>
    </row>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1" t="inlineStr">
        <is>
          <t>Punto de muestreo declarado en ficha DT</t>
        </is>
      </c>
      <c r="C10" s="26" t="n">
        <v>645575</v>
      </c>
      <c r="D10" s="26" t="n">
        <v>9416185</v>
      </c>
      <c r="E10" s="11" t="n">
        <v>18962.4</v>
      </c>
      <c r="F10" s="11" t="inlineStr"/>
      <c r="G10" s="11" t="inlineStr">
        <is>
          <t>Coordenada consignada en F-DT-01</t>
        </is>
      </c>
    </row>
    <row r="11">
      <c r="A11" s="16" t="inlineStr">
        <is>
          <t>TOTAL: 1 puntos</t>
        </is>
      </c>
      <c r="B11" s="17" t="inlineStr"/>
      <c r="C11" s="17" t="inlineStr"/>
      <c r="D11" s="17" t="inlineStr"/>
      <c r="E11" s="17" t="inlineStr"/>
      <c r="F11" s="17" t="inlineStr"/>
      <c r="G11" s="17" t="inlineStr"/>
    </row>
    <row r="13">
      <c r="A13" s="6" t="inlineStr">
        <is>
          <t>Centroide del bloque — UTM ESTE (m)</t>
        </is>
      </c>
      <c r="B13" s="7" t="n">
        <v>631438</v>
      </c>
      <c r="C13" s="6" t="inlineStr">
        <is>
          <t>Centroide del bloque — UTM NORTE (m)</t>
        </is>
      </c>
      <c r="D13" s="7" t="n">
        <v>9403547</v>
      </c>
      <c r="E13" s="8" t="n"/>
      <c r="F13" s="8" t="n"/>
      <c r="G13" s="8" t="n"/>
      <c r="H13" s="8" t="n"/>
    </row>
    <row r="14">
      <c r="A14" s="6" t="inlineStr">
        <is>
          <t>N.° de estaciones fotográficas declaradas</t>
        </is>
      </c>
      <c r="B14" s="7" t="n">
        <v>0</v>
      </c>
      <c r="C14" s="6" t="inlineStr">
        <is>
          <t>Estaciones dentro del polígono</t>
        </is>
      </c>
      <c r="D14" s="7" t="n">
        <v>0</v>
      </c>
      <c r="E14" s="8" t="n"/>
      <c r="F14" s="8" t="n"/>
      <c r="G14" s="8" t="n"/>
      <c r="H14" s="8" t="n"/>
    </row>
    <row r="16" ht="132" customHeight="1">
      <c r="A16"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AL MOMENTO DE LA EVALUACIÓN LA ACCESIBILIDAD AL BLOQUE ERA LIMITADA POR LA PRESENCIA DE TERRENOS DE CULTIVOS Y POTREROS DE PROPIETARIOS PRIVADOS. NO SE PUDO ACCEDER AL INTERIOR DEL BLOQUE (duración del registro: 15 minutos). ADVERTENCIA MAYOR: LA FICHA REPRODUCE ÍNTEGRAMENTE EL CONTENIDO DE LA FICHA DEL BLOQUE M6B2-1 (mismo paisaje —quebrada Q9566, microcuenca C1077—, mismas coberturas, misma superficie de ecosistema 514.36 ha, mismo UTM Este 645 575 · Norte 9 416 185 que no corresponde al centroide de M7B2, 631 438 · 9 403 550). EL CONTENIDO NO ES ESPECÍFICO DE ESTE BLOQUE.</t>
        </is>
      </c>
      <c r="B16" s="41" t="n"/>
      <c r="C16" s="41" t="n"/>
      <c r="D16" s="41" t="n"/>
      <c r="E16" s="41" t="n"/>
      <c r="F16" s="41" t="n"/>
      <c r="G16" s="42" t="n"/>
    </row>
  </sheetData>
  <mergeCells count="8">
    <mergeCell ref="A1:G1"/>
    <mergeCell ref="A8:G8"/>
    <mergeCell ref="A3:G3"/>
    <mergeCell ref="A6:G6"/>
    <mergeCell ref="A4:G4"/>
    <mergeCell ref="A2:G2"/>
    <mergeCell ref="A16:G16"/>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8"/>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 width="22" customWidth="1" min="9" max="9"/>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C1076-Q9581 — BLOQUE M7B2</t>
        </is>
      </c>
    </row>
    <row r="6" ht="24" customHeight="1">
      <c r="A6" s="4" t="inlineStr">
        <is>
          <t>Distrito de Salitral · Provincia de Morropon · Comparación de los bloques preliminares de intervención de la misma microcuenca</t>
        </is>
      </c>
    </row>
    <row r="7"/>
    <row r="8" ht="18" customHeight="1">
      <c r="A8" s="5" t="inlineStr">
        <is>
          <t>BLOQUES DE LA MICROCUENCA C1076-Q9581</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c r="I9" s="10" t="inlineStr">
        <is>
          <t>MSAVI — % bajo umbral 0.4976</t>
        </is>
      </c>
    </row>
    <row r="10">
      <c r="A10" s="7" t="inlineStr">
        <is>
          <t>M7B1</t>
        </is>
      </c>
      <c r="B10" s="27" t="n">
        <v>130.43</v>
      </c>
      <c r="C10" s="19" t="n">
        <v>32.38</v>
      </c>
      <c r="D10" s="11" t="inlineStr">
        <is>
          <t>183 – 357</t>
        </is>
      </c>
      <c r="E10" s="11" t="n">
        <v>174</v>
      </c>
      <c r="F10" s="11" t="n">
        <v>17.35</v>
      </c>
      <c r="G10" s="18" t="n">
        <v>0.3136</v>
      </c>
      <c r="H10" s="19" t="n">
        <v>4.28</v>
      </c>
      <c r="I10" s="19" t="n">
        <v>99.78</v>
      </c>
    </row>
    <row r="11">
      <c r="A11" s="14" t="inlineStr">
        <is>
          <t>► M7B2</t>
        </is>
      </c>
      <c r="B11" s="28" t="n">
        <v>115.38</v>
      </c>
      <c r="C11" s="29" t="n">
        <v>28.64</v>
      </c>
      <c r="D11" s="15" t="inlineStr">
        <is>
          <t>204 – 362</t>
        </is>
      </c>
      <c r="E11" s="15" t="n">
        <v>158</v>
      </c>
      <c r="F11" s="15" t="n">
        <v>14.01</v>
      </c>
      <c r="G11" s="30" t="n">
        <v>0.2877</v>
      </c>
      <c r="H11" s="29" t="n">
        <v>0.91</v>
      </c>
      <c r="I11" s="29" t="n">
        <v>99.58</v>
      </c>
    </row>
    <row r="12">
      <c r="A12" s="7" t="inlineStr">
        <is>
          <t>M7B6</t>
        </is>
      </c>
      <c r="B12" s="27" t="n">
        <v>91.29000000000001</v>
      </c>
      <c r="C12" s="19" t="n">
        <v>22.66</v>
      </c>
      <c r="D12" s="11" t="inlineStr">
        <is>
          <t>228 – 453</t>
        </is>
      </c>
      <c r="E12" s="11" t="n">
        <v>225</v>
      </c>
      <c r="F12" s="11" t="n">
        <v>16.87</v>
      </c>
      <c r="G12" s="18" t="n">
        <v>0.2878</v>
      </c>
      <c r="H12" s="19" t="n">
        <v>0.73</v>
      </c>
      <c r="I12" s="19" t="n">
        <v>99.95999999999999</v>
      </c>
    </row>
    <row r="13">
      <c r="A13" s="12" t="inlineStr">
        <is>
          <t>M7B3</t>
        </is>
      </c>
      <c r="B13" s="31" t="n">
        <v>65.73999999999999</v>
      </c>
      <c r="C13" s="21" t="n">
        <v>16.32</v>
      </c>
      <c r="D13" s="13" t="inlineStr">
        <is>
          <t>209 – 372</t>
        </is>
      </c>
      <c r="E13" s="13" t="n">
        <v>163</v>
      </c>
      <c r="F13" s="13" t="n">
        <v>19.61</v>
      </c>
      <c r="G13" s="20" t="n">
        <v>0.298</v>
      </c>
      <c r="H13" s="21" t="n">
        <v>1.32</v>
      </c>
      <c r="I13" s="21" t="n">
        <v>99.84999999999999</v>
      </c>
    </row>
    <row r="14">
      <c r="A14" s="16" t="inlineStr">
        <is>
          <t>TOTAL / PROMEDIO</t>
        </is>
      </c>
      <c r="B14" s="32">
        <f>SUM(B10:B13)</f>
        <v/>
      </c>
      <c r="C14" s="23">
        <f>SUM(C10:C13)</f>
        <v/>
      </c>
      <c r="D14" s="17" t="inlineStr">
        <is>
          <t>183 – 453</t>
        </is>
      </c>
      <c r="E14" s="17" t="inlineStr"/>
      <c r="F14" s="17">
        <f>ROUND(AVERAGE(F10:F13),2)</f>
        <v/>
      </c>
      <c r="G14" s="22">
        <f>ROUND(AVERAGE(G10:G13),4)</f>
        <v/>
      </c>
      <c r="H14" s="23">
        <f>ROUND(AVERAGE(H10:H13),2)</f>
        <v/>
      </c>
      <c r="I14" s="23">
        <f>ROUND(AVERAGE(I10:I13),2)</f>
        <v/>
      </c>
    </row>
    <row r="15"/>
    <row r="16" ht="84" customHeight="1">
      <c r="A16" s="9" t="inlineStr">
        <is>
          <t>LECTURA INTRAMICROCUENCA. El bloque M7B2 ocupa el puesto 2 de 4 por superficie dentro de la microcuenca C1076-Q9581 (28.64 % de las 402.84 ha preliminares de la microcuenca). Su pendiente promedio (14.01 %, clase «8-15% (Mod. inclinado)») es la 1.ª más baja de 4 y se sitúa por debajo del promedio de la microcuenca (16.96 %). Su MSAVI 2024 (0.2877) es el 4.º de 4 y queda por debajo del promedio local (0.2968). Amplitud altitudinal del bloque: 158 m (204–362 msnm). El cuadro conserva todos los bloques catalogados en la microcuenca, incluidos los descartados en el tamizaje, para referencia del conjunto. Los bloques sin ficha DT figuran con sus parámetros de gabinete. BRECHA ESPECTRAL. El 99.58 % de la superficie del bloque (114.899 ha de 115.379 ha) se sitúa bajo el umbral MSAVI 0.4976, por debajo del promedio local de la microcuenca (99.79 %) calculado sobre los bloques con dato MSAVI disponible.</t>
        </is>
      </c>
      <c r="B16" s="41" t="n"/>
      <c r="C16" s="41" t="n"/>
      <c r="D16" s="41" t="n"/>
      <c r="E16" s="41" t="n"/>
      <c r="F16" s="41" t="n"/>
      <c r="G16" s="41" t="n"/>
      <c r="H16" s="42" t="n"/>
    </row>
    <row r="17"/>
    <row r="18" ht="60" customHeight="1">
      <c r="A18"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 El porcentaje bajo el umbral MSAVI 0.4976 procede de la estadística zonal del ráster MSAVI 2024 clasificado (AREAS_MSAVI_BLOQUES_V6_REV_HSCM) y corresponde a la suma de las clases DN 1 a DN 3 sobre la superficie clasificada de cada bloque; «s/d» indica bloques del catálogo sin cobertura en ese archivo.</t>
        </is>
      </c>
      <c r="B18" s="41" t="n"/>
      <c r="C18" s="41" t="n"/>
      <c r="D18" s="41" t="n"/>
      <c r="E18" s="41" t="n"/>
      <c r="F18" s="41" t="n"/>
      <c r="G18" s="41" t="n"/>
      <c r="H18" s="42" t="n"/>
    </row>
  </sheetData>
  <mergeCells count="9">
    <mergeCell ref="A18:I18"/>
    <mergeCell ref="A4:I4"/>
    <mergeCell ref="A1:I1"/>
    <mergeCell ref="A3:I3"/>
    <mergeCell ref="A2:I2"/>
    <mergeCell ref="A16:I16"/>
    <mergeCell ref="A5:I5"/>
    <mergeCell ref="A8:I8"/>
    <mergeCell ref="A6:I6"/>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32"/>
  <sheetViews>
    <sheetView showGridLines="0" workbookViewId="0">
      <pane ySplit="6" topLeftCell="A7" activePane="bottomLeft" state="frozen"/>
      <selection pane="bottomLeft" activeCell="A1" sqref="A1"/>
    </sheetView>
  </sheetViews>
  <sheetFormatPr baseColWidth="8" defaultRowHeight="15"/>
  <cols>
    <col width="9" customWidth="1" min="1" max="1"/>
    <col width="32" customWidth="1" min="2" max="2"/>
    <col width="60" customWidth="1" min="3" max="3"/>
    <col width="18" customWidth="1" min="4" max="4"/>
    <col width="62"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CONTROL DE CONSISTENCIA DE LA INFORMACIÓN — BLOQUE M7B2</t>
        </is>
      </c>
    </row>
    <row r="6" ht="24" customHeight="1">
      <c r="A6" s="4" t="inlineStr">
        <is>
          <t>Discrepancias detectadas entre el registro de campo, los productos de gabinete y el catálogo maestro. Calificación: SUSTANTIVA / NO SUSTANTIVA / CORREGIDO / CONFORME.</t>
        </is>
      </c>
    </row>
    <row r="7"/>
    <row r="8" ht="18" customHeight="1">
      <c r="A8" s="5" t="inlineStr">
        <is>
          <t>DISCREPANCIAS Y VERIFICACIONES</t>
        </is>
      </c>
    </row>
    <row r="9" ht="28" customHeight="1">
      <c r="A9" s="10" t="inlineStr">
        <is>
          <t>Cód.</t>
        </is>
      </c>
      <c r="B9" s="10" t="inlineStr">
        <is>
          <t>Campo afectado</t>
        </is>
      </c>
      <c r="C9" s="10" t="inlineStr">
        <is>
          <t>Discrepancia observada</t>
        </is>
      </c>
      <c r="D9" s="10" t="inlineStr">
        <is>
          <t>Calificación</t>
        </is>
      </c>
      <c r="E9" s="10" t="inlineStr">
        <is>
          <t>Tratamiento adoptado</t>
        </is>
      </c>
    </row>
    <row r="10" ht="48" customHeight="1">
      <c r="A10" s="33" t="inlineStr">
        <is>
          <t>D-01</t>
        </is>
      </c>
      <c r="B10" s="33" t="inlineStr">
        <is>
          <t>Código de microcuenca</t>
        </is>
      </c>
      <c r="C10" s="33" t="inlineStr">
        <is>
          <t>Ficha DT y catálogo maestro coinciden en «C1076-Q9581»</t>
        </is>
      </c>
      <c r="D10" s="34" t="inlineStr">
        <is>
          <t>CONFORME</t>
        </is>
      </c>
      <c r="E10" s="33" t="inlineStr">
        <is>
          <t>Sin acción.</t>
        </is>
      </c>
    </row>
    <row r="11" ht="48" customHeight="1">
      <c r="A11" s="35" t="inlineStr">
        <is>
          <t>D-02</t>
        </is>
      </c>
      <c r="B11" s="35" t="inlineStr">
        <is>
          <t>UTM del punto de muestreo</t>
        </is>
      </c>
      <c r="C11" s="35" t="inlineStr">
        <is>
          <t>El punto de muestreo declarado (645575 E / 9416185 N) dista 18,962 m del centroide de catálogo (631438 E / 9403547 N), distancia incompatible con la superficie del bloque (115.38 ha)</t>
        </is>
      </c>
      <c r="D11" s="36" t="inlineStr">
        <is>
          <t>SUSTANTIVA</t>
        </is>
      </c>
      <c r="E11" s="35" t="inlineStr">
        <is>
          <t>Se declara la coordenada como POR VERIFICAR: puede corresponder a otro bloque o a un error de digitación. No se corrige de oficio.</t>
        </is>
      </c>
    </row>
    <row r="12" ht="48" customHeight="1">
      <c r="A12" s="33" t="inlineStr">
        <is>
          <t>D-03</t>
        </is>
      </c>
      <c r="B12" s="33" t="inlineStr">
        <is>
          <t>Superficie del polígono</t>
        </is>
      </c>
      <c r="C12" s="33" t="inlineStr">
        <is>
          <t>La superficie clasificada por el NDVI 2025 (115.422 ha) coincide con la de catálogo (115.38 ha) dentro del ±2 % (+0.04 %)</t>
        </is>
      </c>
      <c r="D12" s="34" t="inlineStr">
        <is>
          <t>CONFORME</t>
        </is>
      </c>
      <c r="E12" s="33" t="inlineStr">
        <is>
          <t>Sin acción: la segmentación valida la geometría del bloque.</t>
        </is>
      </c>
    </row>
    <row r="13" ht="48" customHeight="1">
      <c r="A13" s="35" t="inlineStr">
        <is>
          <t>D-04</t>
        </is>
      </c>
      <c r="B13" s="35" t="inlineStr">
        <is>
          <t>Rango de pendiente dominante</t>
        </is>
      </c>
      <c r="C13" s="35" t="inlineStr">
        <is>
          <t>La ficha DT declara «25-50% (Mod. escarpado)»; la estadística zonal sobre el MDE arroja una pendiente promedio de 14.01 %, que corresponde a la clase «8-15% (Mod. inclinado)»</t>
        </is>
      </c>
      <c r="D13" s="15" t="inlineStr">
        <is>
          <t>NO SUSTANTIVA</t>
        </is>
      </c>
      <c r="E13" s="35" t="inlineStr">
        <is>
          <t>Se conserva el registro de campo como observación de sector y se adopta el valor del MDE para el cálculo intramicrocuenca. La divergencia es esperable: el dato de campo es puntual y el del MDE es promedio del polígono.</t>
        </is>
      </c>
    </row>
    <row r="14" ht="48" customHeight="1">
      <c r="A14" s="33" t="inlineStr">
        <is>
          <t>D-05</t>
        </is>
      </c>
      <c r="B14" s="33" t="inlineStr">
        <is>
          <t>Elenco florístico</t>
        </is>
      </c>
      <c r="C14" s="33" t="inlineStr">
        <is>
          <t>La ficha registra 0 taxones, por debajo del mínimo de 15 que exige el formato V5</t>
        </is>
      </c>
      <c r="D14" s="36" t="inlineStr">
        <is>
          <t>SUSTANTIVA</t>
        </is>
      </c>
      <c r="E14" s="33" t="inlineStr">
        <is>
          <t>Registro florístico preliminar, sin colecta ni determinación botánica formal. Debe cerrarse con colecta botánica en la siguiente campaña.</t>
        </is>
      </c>
    </row>
    <row r="15" ht="48" customHeight="1">
      <c r="A15" s="35" t="inlineStr">
        <is>
          <t>D-06</t>
        </is>
      </c>
      <c r="B15" s="35" t="inlineStr">
        <is>
          <t>Representatividad del levantamiento</t>
        </is>
      </c>
      <c r="C15" s="35" t="inlineStr">
        <is>
          <t>Ninguna de las estaciones fotográficas georreferenciadas se localiza dentro del polígono del bloque</t>
        </is>
      </c>
      <c r="D15" s="36" t="inlineStr">
        <is>
          <t>SUSTANTIVA</t>
        </is>
      </c>
      <c r="E15" s="35" t="inlineStr">
        <is>
          <t>La verificación documenta el perímetro y la vista panorámica del bloque, no su interior. Los parámetros que exigen recorrido interno se consignan «Por determinar».</t>
        </is>
      </c>
    </row>
    <row r="16" ht="48" customHeight="1">
      <c r="A16" s="33" t="inlineStr">
        <is>
          <t>D-07</t>
        </is>
      </c>
      <c r="B16" s="33" t="inlineStr">
        <is>
          <t>Centro poblado asociado</t>
        </is>
      </c>
      <c r="C16" s="33" t="inlineStr">
        <is>
          <t>La ficha DT declara «Buenos Aires»; el cruce INEI-Bloques V5 identifica 1 centro(s) poblado(s) en el bloque: LA ALBERCA</t>
        </is>
      </c>
      <c r="D16" s="15" t="inlineStr">
        <is>
          <t>NO SUSTANTIVA</t>
        </is>
      </c>
      <c r="E16" s="33" t="inlineStr">
        <is>
          <t>Se conserva el registro de campo como referencia y se adopta el listado INEI para el diagnóstico social y el cálculo de población beneficiaria.</t>
        </is>
      </c>
    </row>
    <row r="17" ht="48" customHeight="1">
      <c r="A17" s="35" t="inlineStr">
        <is>
          <t>D-08</t>
        </is>
      </c>
      <c r="B17" s="35" t="inlineStr">
        <is>
          <t>Peligro integrado (MCA-AHP)</t>
        </is>
      </c>
      <c r="C17" s="35" t="inlineStr">
        <is>
          <t>El nivel de peligro integrado no está disponible en los insumos de este entregable</t>
        </is>
      </c>
      <c r="D17" s="36" t="inlineStr">
        <is>
          <t>SUSTANTIVA</t>
        </is>
      </c>
      <c r="E17" s="35" t="inlineStr">
        <is>
          <t>Debe tomarse del modelamiento de mesolocalización (PMM + EPH + PGI ponderados por AHP) antes de fijar la prioridad definitiva de intervención del bloque.</t>
        </is>
      </c>
    </row>
    <row r="18" ht="48" customHeight="1">
      <c r="A18" s="33" t="inlineStr">
        <is>
          <t>D-09</t>
        </is>
      </c>
      <c r="B18" s="33" t="inlineStr">
        <is>
          <t>Plan de Ingreso</t>
        </is>
      </c>
      <c r="C18" s="33" t="inlineStr">
        <is>
          <t>Altitud = 0 msnm (captura por defecto del aplicativo)</t>
        </is>
      </c>
      <c r="D18" s="37" t="inlineStr">
        <is>
          <t>CORREGIDO</t>
        </is>
      </c>
      <c r="E18" s="33" t="inlineStr">
        <is>
          <t>Se reemplaza por la altitud GPS de campo (200 msnm)</t>
        </is>
      </c>
    </row>
    <row r="19" ht="48" customHeight="1">
      <c r="A19" s="35" t="inlineStr">
        <is>
          <t>D-10</t>
        </is>
      </c>
      <c r="B19" s="35" t="inlineStr">
        <is>
          <t>Ficha DT</t>
        </is>
      </c>
      <c r="C19" s="35" t="inlineStr">
        <is>
          <t>EL CONTENIDO DE LA FICHA ES UNA COPIA DEL DE M6B2-1: mismo paisaje (quebrada Q9566, microcuenca C1077), mismas coberturas, misma superficie de ecosistema (514.36 ha) y mismo UTM (645 575 · 9 416 185)</t>
        </is>
      </c>
      <c r="D19" s="36" t="inlineStr">
        <is>
          <t>SUSTANTIVA</t>
        </is>
      </c>
      <c r="E19" s="35" t="inlineStr">
        <is>
          <t>LA FICHA NO ES VÁLIDA PARA ESTE BLOQUE: levantamiento propio indispensable</t>
        </is>
      </c>
    </row>
    <row r="20" ht="48" customHeight="1">
      <c r="A20" s="33" t="inlineStr">
        <is>
          <t>D-11</t>
        </is>
      </c>
      <c r="B20" s="33" t="inlineStr">
        <is>
          <t>Ficha DT</t>
        </is>
      </c>
      <c r="C20" s="33" t="inlineStr">
        <is>
          <t>El UTM de registro (645 575 · 9 416 185) dista ≈18 km del centroide de catálogo de M7B2 (631 438 · 9 403 550)</t>
        </is>
      </c>
      <c r="D20" s="36" t="inlineStr">
        <is>
          <t>SUSTANTIVA</t>
        </is>
      </c>
      <c r="E20" s="33" t="inlineStr">
        <is>
          <t>Georreferencia por reponer</t>
        </is>
      </c>
    </row>
    <row r="21" ht="48" customHeight="1">
      <c r="A21" s="35" t="inlineStr">
        <is>
          <t>D-12</t>
        </is>
      </c>
      <c r="B21" s="35" t="inlineStr">
        <is>
          <t>F-DT-03</t>
        </is>
      </c>
      <c r="C21" s="35" t="inlineStr">
        <is>
          <t>Superficie de ecosistema declarada 514.36 ha frente a las 115.38 ha reales del bloque</t>
        </is>
      </c>
      <c r="D21" s="36" t="inlineStr">
        <is>
          <t>SUSTANTIVA</t>
        </is>
      </c>
      <c r="E21" s="35" t="inlineStr">
        <is>
          <t>Valor erróneo heredado de M6B2-1</t>
        </is>
      </c>
    </row>
    <row r="22" ht="48" customHeight="1">
      <c r="A22" s="33" t="inlineStr">
        <is>
          <t>D-13</t>
        </is>
      </c>
      <c r="B22" s="33" t="inlineStr">
        <is>
          <t>F-DT-01</t>
        </is>
      </c>
      <c r="C22" s="33" t="inlineStr">
        <is>
          <t>No se pudo acceder al interior del bloque (registro de 15 minutos) por predios privados</t>
        </is>
      </c>
      <c r="D22" s="36" t="inlineStr">
        <is>
          <t>SUSTANTIVA</t>
        </is>
      </c>
      <c r="E22" s="33" t="inlineStr">
        <is>
          <t>Gestión predial previa indispensable</t>
        </is>
      </c>
    </row>
    <row r="23" ht="48" customHeight="1">
      <c r="A23" s="35" t="inlineStr">
        <is>
          <t>D-14</t>
        </is>
      </c>
      <c r="B23" s="35" t="inlineStr">
        <is>
          <t>F-DT-03</t>
        </is>
      </c>
      <c r="C23" s="35" t="inlineStr">
        <is>
          <t>Sin composición florística ni especies clave</t>
        </is>
      </c>
      <c r="D23" s="36" t="inlineStr">
        <is>
          <t>SUSTANTIVA</t>
        </is>
      </c>
      <c r="E23" s="35" t="inlineStr">
        <is>
          <t>Inventario pendiente en su totalidad</t>
        </is>
      </c>
    </row>
    <row r="24" ht="48" customHeight="1">
      <c r="A24" s="33" t="inlineStr">
        <is>
          <t>D-15</t>
        </is>
      </c>
      <c r="B24" s="33" t="inlineStr">
        <is>
          <t>F-DT-04</t>
        </is>
      </c>
      <c r="C24" s="33" t="inlineStr">
        <is>
          <t>Matriz de causas completamente vacía (16/16) y ningún indicador cuantitativo diligenciado</t>
        </is>
      </c>
      <c r="D24" s="36" t="inlineStr">
        <is>
          <t>SUSTANTIVA</t>
        </is>
      </c>
      <c r="E24" s="33" t="inlineStr">
        <is>
          <t>Levantamiento pendiente en su totalidad</t>
        </is>
      </c>
    </row>
    <row r="25" ht="48" customHeight="1">
      <c r="A25" s="35" t="inlineStr">
        <is>
          <t>D-16</t>
        </is>
      </c>
      <c r="B25" s="35" t="inlineStr">
        <is>
          <t>F-DT-05</t>
        </is>
      </c>
      <c r="C25" s="35" t="inlineStr">
        <is>
          <t>Inventario de fuentes de agua vacío</t>
        </is>
      </c>
      <c r="D25" s="36" t="inlineStr">
        <is>
          <t>SUSTANTIVA</t>
        </is>
      </c>
      <c r="E25" s="35" t="inlineStr">
        <is>
          <t>Levantamiento pendiente</t>
        </is>
      </c>
    </row>
    <row r="26" ht="48" customHeight="1">
      <c r="A26" s="35" t="inlineStr">
        <is>
          <t>D-17</t>
        </is>
      </c>
      <c r="B26" s="35" t="inlineStr">
        <is>
          <t>Distribución areal MSAVI 2024</t>
        </is>
      </c>
      <c r="C26" s="35" t="inlineStr">
        <is>
          <t>La distribución por clase de MSAVI no figuraba en los insumos del entregable y se consignaba «Por determinar»; se incorpora la estadística zonal del ráster MSAVI clasificado (460 polígonos, 115.379 ha)</t>
        </is>
      </c>
      <c r="D26" s="36" t="inlineStr">
        <is>
          <t>CORREGIDO</t>
        </is>
      </c>
      <c r="E26" s="35" t="inlineStr">
        <is>
          <t>Se completó la sección A de la hoja «Cobertura MSAVI-NDVI» con superficie y porcentaje por clase DN 1 a DN 5, totales, superficie sobre y bajo el umbral 0.4976 y contraste con el catálogo. La equivalencia DN → clase se sustenta en la nota metodológica de esa hoja (r = 0.9965, error absoluto medio = 0.0091, n = 117 bloques).</t>
        </is>
      </c>
    </row>
    <row r="27" ht="48" customHeight="1">
      <c r="A27" s="35" t="inlineStr">
        <is>
          <t>D-18</t>
        </is>
      </c>
      <c r="B27" s="35" t="inlineStr">
        <is>
          <t>Superficie MSAVI vs. catálogo</t>
        </is>
      </c>
      <c r="C27" s="35" t="inlineStr">
        <is>
          <t>La superficie total clasificada por el MSAVI 2024 (115.379 ha) frente a la de catálogo V5/V6 (115.380 ha): desviación de +0.00 %</t>
        </is>
      </c>
      <c r="D27" s="36" t="inlineStr">
        <is>
          <t>CONFORME</t>
        </is>
      </c>
      <c r="E27" s="35" t="inlineStr">
        <is>
          <t>Sin acción: la segmentación del ráster valida la geometría del bloque dentro del ±2 %.</t>
        </is>
      </c>
    </row>
    <row r="28" ht="48" customHeight="1">
      <c r="A28" s="35" t="inlineStr">
        <is>
          <t>D-19</t>
        </is>
      </c>
      <c r="B28" s="35" t="inlineStr">
        <is>
          <t>Media MSAVI vs. clase DN dominante</t>
        </is>
      </c>
      <c r="C28" s="35" t="inlineStr">
        <is>
          <t>La media del bloque (0.2877) cae en la clase «DN 2 · 0.2650 - 0.3813 (Vigor muy bajo)»; la clase de mayor superficie es «DN 2 · 0.2650 - 0.3813 (Vigor muy bajo)», con 67.77 % del bloque. Superficie bajo el umbral 0.4976: 114.899 ha (99.58 %)</t>
        </is>
      </c>
      <c r="D28" s="36" t="inlineStr">
        <is>
          <t>CONFORME</t>
        </is>
      </c>
      <c r="E28" s="35" t="inlineStr">
        <is>
          <t>Sin acción: la media del bloque y la clase de mayor superficie coinciden.</t>
        </is>
      </c>
    </row>
    <row r="29"/>
    <row r="30">
      <c r="A30" s="16" t="inlineStr">
        <is>
          <t>RESUMEN</t>
        </is>
      </c>
      <c r="B30" s="17" t="inlineStr">
        <is>
          <t>19 verificaciones</t>
        </is>
      </c>
      <c r="C30" s="17" t="inlineStr">
        <is>
          <t>CONFORME: 4 · CORREGIDO: 2 · NO SUSTANTIVA: 2 · SUSTANTIVA: 11</t>
        </is>
      </c>
      <c r="D30" s="17" t="inlineStr"/>
      <c r="E30" s="17" t="inlineStr"/>
    </row>
    <row r="31"/>
    <row r="32" ht="60" customHeight="1">
      <c r="A32" s="9" t="inlineStr">
        <is>
          <t>NOTA METODOLÓGICA. Este control se genera de forma reproducible cruzando la ficha DT del bloque (F-DT-01 a F-DT-05) con el catálogo maestro de bloques V5/V6, la estadística zonal de altitud y pendiente sobre el MDE, la estadística zonal del NDVI mediana 2025 y el cruce INEI-Bloques de centros poblados. Una calificación CONFORME acredita que la verificación se ejecutó y no arrojó discrepancia; no equivale a validación de campo del dato.</t>
        </is>
      </c>
      <c r="B32" s="41" t="n"/>
      <c r="C32" s="41" t="n"/>
      <c r="D32" s="41" t="n"/>
      <c r="E32" s="42" t="n"/>
    </row>
  </sheetData>
  <mergeCells count="8">
    <mergeCell ref="A4:E4"/>
    <mergeCell ref="A2:E2"/>
    <mergeCell ref="A5:E5"/>
    <mergeCell ref="A1:E1"/>
    <mergeCell ref="A32:E32"/>
    <mergeCell ref="A8:E8"/>
    <mergeCell ref="A6:E6"/>
    <mergeCell ref="A3:E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M7B2 — IN Piura</dc:title>
  <dc:subject>Diagnóstico Territorial por bloque de intervención</dc:subject>
  <dcterms:created xsi:type="dcterms:W3CDTF">2026-09-08T03:39:59Z</dcterms:created>
  <dcterms:modified xsi:type="dcterms:W3CDTF">2026-09-09T23:30:56Z</dcterms:modified>
</cp:coreProperties>
</file>