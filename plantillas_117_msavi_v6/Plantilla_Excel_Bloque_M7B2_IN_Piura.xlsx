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M7B2</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Buenos Aires</t>
        </is>
      </c>
      <c r="C13" s="6" t="inlineStr">
        <is>
          <t>Comunidad campesina</t>
        </is>
      </c>
      <c r="D13" s="7" t="inlineStr">
        <is>
          <t>No consignada</t>
        </is>
      </c>
      <c r="E13" s="8" t="n"/>
      <c r="F13" s="8" t="n"/>
    </row>
    <row r="14">
      <c r="A14" s="6" t="inlineStr">
        <is>
          <t>Superficie de catálogo (V5/V6), ha</t>
        </is>
      </c>
      <c r="B14" s="7" t="n">
        <v>115.38</v>
      </c>
      <c r="C14" s="6" t="inlineStr">
        <is>
          <t>Fuente de superficie</t>
        </is>
      </c>
      <c r="D14" s="7" t="inlineStr">
        <is>
          <t>Catálogo maestro Bloques V5/V6</t>
        </is>
      </c>
      <c r="E14" s="8" t="n"/>
      <c r="F14" s="8" t="n"/>
    </row>
    <row r="15">
      <c r="A15" s="6" t="inlineStr">
        <is>
          <t>Centroide UTM ESTE (m)</t>
        </is>
      </c>
      <c r="B15" s="7" t="n">
        <v>631438</v>
      </c>
      <c r="C15" s="6" t="inlineStr">
        <is>
          <t>Centroide UTM NORTE (m)</t>
        </is>
      </c>
      <c r="D15" s="7" t="n">
        <v>9403547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204</v>
      </c>
      <c r="C19" s="6" t="inlineStr">
        <is>
          <t>Altitud máxima (msnm)</t>
        </is>
      </c>
      <c r="D19" s="7" t="n">
        <v>362</v>
      </c>
      <c r="E19" s="8" t="n"/>
      <c r="F19" s="8" t="n"/>
    </row>
    <row r="20">
      <c r="A20" s="6" t="inlineStr">
        <is>
          <t>Amplitud altitudinal (m)</t>
        </is>
      </c>
      <c r="B20" s="7" t="n">
        <v>158</v>
      </c>
      <c r="C20" s="6" t="inlineStr">
        <is>
          <t>Piso altitudinal dominante</t>
        </is>
      </c>
      <c r="D20" s="7" t="inlineStr">
        <is>
          <t>&lt;1000 m (Yunga)</t>
        </is>
      </c>
      <c r="E20" s="8" t="n"/>
      <c r="F20" s="8" t="n"/>
    </row>
    <row r="21">
      <c r="A21" s="6" t="inlineStr">
        <is>
          <t>Pendiente promedio (%)</t>
        </is>
      </c>
      <c r="B21" s="7" t="n">
        <v>14.01</v>
      </c>
      <c r="C21" s="6" t="inlineStr">
        <is>
          <t>Pendiente promedio (grados)</t>
        </is>
      </c>
      <c r="D21" s="7" t="n">
        <v>8</v>
      </c>
      <c r="E21" s="8" t="n"/>
      <c r="F21" s="8" t="n"/>
    </row>
    <row r="22">
      <c r="A22" s="6" t="inlineStr">
        <is>
          <t>Clase de pendiente equivalente</t>
        </is>
      </c>
      <c r="B22" s="7" t="inlineStr">
        <is>
          <t>8-15% (Mod.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0.2877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(52.05 %)</t>
        </is>
      </c>
      <c r="E29" s="8" t="n"/>
      <c r="F29" s="8" t="n"/>
    </row>
    <row r="30">
      <c r="A30" s="6" t="inlineStr">
        <is>
          <t>Superficie clasificada NDVI 2025 (ha)</t>
        </is>
      </c>
      <c r="B30" s="7" t="n">
        <v>115.422</v>
      </c>
      <c r="C30" s="6" t="inlineStr">
        <is>
          <t>Desviación frente al catálogo (%)</t>
        </is>
      </c>
      <c r="D30" s="7" t="n">
        <v>0.04</v>
      </c>
      <c r="E30" s="8" t="n"/>
      <c r="F30" s="8" t="n"/>
    </row>
    <row r="31">
      <c r="A31" s="6" t="inlineStr">
        <is>
          <t>Superficie clasificada MSAVI 2024 (ha)</t>
        </is>
      </c>
      <c r="B31" s="38" t="n">
        <v>115.379</v>
      </c>
      <c r="C31" s="6" t="inlineStr">
        <is>
          <t>Desviación MSAVI frente al catálogo (%)</t>
        </is>
      </c>
      <c r="D31" s="39" t="n">
        <v>0</v>
      </c>
      <c r="E31" s="8" t="n"/>
      <c r="F31" s="8" t="n"/>
    </row>
    <row r="32">
      <c r="A32" s="6" t="inlineStr">
        <is>
          <t>Superficie bajo umbral MSAVI 0.4976 (ha)</t>
        </is>
      </c>
      <c r="B32" s="38" t="n">
        <v>114.899</v>
      </c>
      <c r="C32" s="6" t="inlineStr">
        <is>
          <t>% del bloque bajo umbral (brecha espectral)</t>
        </is>
      </c>
      <c r="D32" s="39" t="n">
        <v>99.58</v>
      </c>
      <c r="E32" s="8" t="n"/>
      <c r="F32" s="8" t="n"/>
    </row>
    <row r="33">
      <c r="A33" s="6" t="inlineStr">
        <is>
          <t>Clase DN dominante (MSAVI 2024)</t>
        </is>
      </c>
      <c r="B33" s="7" t="inlineStr">
        <is>
          <t>DN 2 · 0.2650 - 0.3813 (Vigor muy bajo)</t>
        </is>
      </c>
      <c r="C33" s="6" t="inlineStr">
        <is>
          <t>N.° de polígonos MSAVI del bloque</t>
        </is>
      </c>
      <c r="D33" s="40" t="n">
        <v>460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514.36 ha DECLARADAS EN LA FICHA — VALOR ERRÓNEO: corresponde al bloque M6B2-1; el área real de M7B2 es 115.38 ha</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denso (&gt;70%)</t>
        </is>
      </c>
      <c r="C38" s="6" t="inlineStr">
        <is>
          <t>Cobertura vegetal total — campo (%)</t>
        </is>
      </c>
      <c r="D38" s="7" t="inlineStr">
        <is>
          <t>Por determinar</t>
        </is>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Carlos Domínguez Varas</t>
        </is>
      </c>
      <c r="C44" s="6" t="inlineStr">
        <is>
          <t>Fecha de evaluación</t>
        </is>
      </c>
      <c r="D44" s="7" t="inlineStr">
        <is>
          <t>2026-05-21</t>
        </is>
      </c>
      <c r="E44" s="8" t="n"/>
      <c r="F44" s="8" t="n"/>
    </row>
    <row r="45">
      <c r="A45" s="6" t="inlineStr">
        <is>
          <t>Hora de registro</t>
        </is>
      </c>
      <c r="B45" s="7" t="inlineStr">
        <is>
          <t>14:00 - 14:15 h</t>
        </is>
      </c>
      <c r="C45" s="6" t="inlineStr">
        <is>
          <t>Correlativo de ficha</t>
        </is>
      </c>
      <c r="D45" s="7" t="inlineStr">
        <is>
          <t>Sin registro en ficha</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0.4799</v>
      </c>
      <c r="C11" s="21">
        <f>ROUND(B11/$B$15*100,2)</f>
        <v>0.42</v>
      </c>
      <c r="D11" s="13" t="inlineStr">
        <is>
          <t>Vigor moderado</t>
        </is>
      </c>
      <c r="E11" s="13" t="inlineStr">
        <is>
          <t>Sobre umbral</t>
        </is>
      </c>
    </row>
    <row r="12">
      <c r="A12" s="7" t="inlineStr">
        <is>
          <t>0.3813 - 0.4976 · DN 3</t>
        </is>
      </c>
      <c r="B12" s="18" t="n">
        <v>2.1794</v>
      </c>
      <c r="C12" s="19">
        <f>ROUND(B12/$B$15*100,2)</f>
        <v>1.89</v>
      </c>
      <c r="D12" s="11" t="inlineStr">
        <is>
          <t>Vigor bajo</t>
        </is>
      </c>
      <c r="E12" s="11" t="inlineStr">
        <is>
          <t>BAJO umbral 0.4976</t>
        </is>
      </c>
    </row>
    <row r="13">
      <c r="A13" s="14" t="inlineStr">
        <is>
          <t>0.2650 - 0.3813 · DN 2</t>
        </is>
      </c>
      <c r="B13" s="30" t="n">
        <v>78.1974</v>
      </c>
      <c r="C13" s="29">
        <f>ROUND(B13/$B$15*100,2)</f>
        <v>67.77</v>
      </c>
      <c r="D13" s="15" t="inlineStr">
        <is>
          <t>Vigor muy bajo</t>
        </is>
      </c>
      <c r="E13" s="15" t="inlineStr">
        <is>
          <t>BAJO umbral 0.4976</t>
        </is>
      </c>
    </row>
    <row r="14">
      <c r="A14" s="7" t="inlineStr">
        <is>
          <t>&lt;= 0.2650 · DN 1</t>
        </is>
      </c>
      <c r="B14" s="18" t="n">
        <v>34.5222</v>
      </c>
      <c r="C14" s="19">
        <f>ROUND(B14/$B$15*100,2)</f>
        <v>29.92</v>
      </c>
      <c r="D14" s="11" t="inlineStr">
        <is>
          <t>Suelo desnudo / no vegetal</t>
        </is>
      </c>
      <c r="E14" s="11" t="inlineStr">
        <is>
          <t>BAJO umbral 0.4976</t>
        </is>
      </c>
    </row>
    <row r="15" ht="30" customHeight="1">
      <c r="A15" s="43" t="inlineStr">
        <is>
          <t>TOTAL CLASIFICADO MSAVI 2024</t>
        </is>
      </c>
      <c r="B15" s="44">
        <f>SUM(B10:B14)</f>
        <v>115.3789</v>
      </c>
      <c r="C15" s="45">
        <f>SUM(C10:C14)</f>
        <v>100.0</v>
      </c>
      <c r="D15" s="43" t="inlineStr">
        <is>
          <t>Suma de la distribución areal · 460 polígonos</t>
        </is>
      </c>
      <c r="E15" s="43" t="inlineStr">
        <is>
          <t>—</t>
        </is>
      </c>
    </row>
    <row r="16" ht="30" customHeight="1">
      <c r="A16" s="46" t="inlineStr">
        <is>
          <t>Superficie SOBRE umbral 0.4976 (ha)</t>
        </is>
      </c>
      <c r="B16" s="47">
        <f>SUM(B10:B11)</f>
        <v>0.4799</v>
      </c>
      <c r="C16" s="48">
        <f>ROUND(B16/B15*100,2)</f>
        <v>0.42</v>
      </c>
      <c r="D16" s="46" t="inlineStr">
        <is>
          <t>Vigor alto y moderado (DN 4 y DN 5)</t>
        </is>
      </c>
      <c r="E16" s="46" t="inlineStr">
        <is>
          <t>Sobre umbral 0.4976</t>
        </is>
      </c>
    </row>
    <row r="17" ht="30" customHeight="1">
      <c r="A17" s="46" t="inlineStr">
        <is>
          <t>Superficie BAJO umbral 0.4976 (ha) — brecha</t>
        </is>
      </c>
      <c r="B17" s="47">
        <f>SUM(B12:B14)</f>
        <v>114.899</v>
      </c>
      <c r="C17" s="48">
        <f>ROUND(B17/B15*100,2)</f>
        <v>99.58</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115.38</v>
      </c>
      <c r="C18" s="49" t="inlineStr">
        <is>
          <t>—</t>
        </is>
      </c>
      <c r="D18" s="46" t="inlineStr">
        <is>
          <t>Desviación planimétrica frente al catálogo</t>
        </is>
      </c>
      <c r="E18" s="46" t="inlineStr">
        <is>
          <t>+0.00 %</t>
        </is>
      </c>
    </row>
    <row r="19">
      <c r="A19" s="16" t="inlineStr">
        <is>
          <t>MSAVI 2024 — MEDIA DEL BLOQUE</t>
        </is>
      </c>
      <c r="B19" s="17" t="n">
        <v>0.287689</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460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(0.2877)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1.054</v>
      </c>
      <c r="C25" s="19" t="n">
        <v>0.91</v>
      </c>
      <c r="D25" s="11" t="inlineStr">
        <is>
          <t>Dosel continuo, matorral denso o mosaico agroforestal</t>
        </is>
      </c>
      <c r="E25" s="11" t="inlineStr"/>
    </row>
    <row r="26">
      <c r="A26" s="12" t="inlineStr">
        <is>
          <t>Vegetación mediana</t>
        </is>
      </c>
      <c r="B26" s="20" t="n">
        <v>60.0822</v>
      </c>
      <c r="C26" s="21" t="n">
        <v>52.05</v>
      </c>
      <c r="D26" s="13" t="inlineStr">
        <is>
          <t>Pastizal cultivado, matorral ralo, parcelas agrícolas</t>
        </is>
      </c>
      <c r="E26" s="13" t="inlineStr"/>
    </row>
    <row r="27">
      <c r="A27" s="7" t="inlineStr">
        <is>
          <t>Vegetación ligera</t>
        </is>
      </c>
      <c r="B27" s="18" t="n">
        <v>53.7375</v>
      </c>
      <c r="C27" s="19" t="n">
        <v>46.56</v>
      </c>
      <c r="D27" s="11" t="inlineStr">
        <is>
          <t>Cobertura discontinua, suelo parcialmente expuesto</t>
        </is>
      </c>
      <c r="E27" s="11" t="inlineStr"/>
    </row>
    <row r="28">
      <c r="A28" s="12" t="inlineStr">
        <is>
          <t>Tierra desnuda</t>
        </is>
      </c>
      <c r="B28" s="20" t="n">
        <v>0.5481</v>
      </c>
      <c r="C28" s="21" t="n">
        <v>0.47</v>
      </c>
      <c r="D28" s="13" t="inlineStr">
        <is>
          <t>Suelo desnudo, afloramientos, plataformas y taludes</t>
        </is>
      </c>
      <c r="E28" s="13" t="inlineStr"/>
    </row>
    <row r="29">
      <c r="A29" s="16" t="inlineStr">
        <is>
          <t>TOTAL CLASIFICADO</t>
        </is>
      </c>
      <c r="B29" s="22">
        <f>SUM(B25:B28)</f>
        <v>115.4218</v>
      </c>
      <c r="C29" s="23">
        <f>SUM(C25:C28)</f>
        <v>99.99</v>
      </c>
      <c r="D29" s="17" t="inlineStr"/>
      <c r="E29" s="17" t="inlineStr"/>
    </row>
    <row r="30">
      <c r="A30" s="24" t="inlineStr">
        <is>
          <t>Superficie de catálogo (V5/V6)</t>
        </is>
      </c>
      <c r="B30" s="25" t="n">
        <v>115.38</v>
      </c>
      <c r="C30" s="25" t="inlineStr">
        <is>
          <t>—</t>
        </is>
      </c>
      <c r="D30" s="25" t="inlineStr">
        <is>
          <t>Desviación planimétrica frente al catálogo</t>
        </is>
      </c>
      <c r="E30" s="25" t="inlineStr">
        <is>
          <t>+0.04 %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M7B2</t>
        </is>
      </c>
    </row>
    <row r="6" ht="24" customHeight="1">
      <c r="A6" s="4" t="inlineStr">
        <is>
          <t>Levantamiento del 2026-05-21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9416185</v>
      </c>
      <c r="E10" s="11" t="n">
        <v>18962.4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2"/>
    <row r="13">
      <c r="A13" s="6" t="inlineStr">
        <is>
          <t>Centroide del bloque — UTM ESTE (m)</t>
        </is>
      </c>
      <c r="B13" s="7" t="n">
        <v>631438</v>
      </c>
      <c r="C13" s="6" t="inlineStr">
        <is>
          <t>Centroide del bloque — UTM NORTE (m)</t>
        </is>
      </c>
      <c r="D13" s="7" t="n">
        <v>9403547</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5"/>
    <row r="16" ht="132"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 MOMENTO DE LA EVALUACIÓN LA ACCESIBILIDAD AL BLOQUE ERA LIMITADA POR LA PRESENCIA DE TERRENOS DE CULTIVOS Y POTREROS DE PROPIETARIOS PRIVADOS. NO SE PUDO ACCEDER AL INTERIOR DEL BLOQUE (duración del registro: 15 minutos). ADVERTENCIA MAYOR: LA FICHA REPRODUCE ÍNTEGRAMENTE EL CONTENIDO DE LA FICHA DEL BLOQUE M6B2-1 (mismo paisaje —quebrada Q9566, microcuenca C1077—, mismas coberturas, misma superficie de ecosistema 514.36 ha, mismo UTM Este 645 575 · Norte 9 416 185 que no corresponde al centroide de M7B2, 631 438 · 9 403 550). EL CONTENIDO NO ES ESPECÍFICO DE ESTE BLOQUE.</t>
        </is>
      </c>
      <c r="B16" s="41" t="n"/>
      <c r="C16" s="41" t="n"/>
      <c r="D16" s="41" t="n"/>
      <c r="E16" s="41" t="n"/>
      <c r="F16" s="41" t="n"/>
      <c r="G16" s="42"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M7B2</t>
        </is>
      </c>
    </row>
    <row r="6" ht="24" customHeight="1">
      <c r="A6" s="4" t="inlineStr">
        <is>
          <t>Distrito de Salitral · Provincia de Morropon · Comparación de los bloques preliminares de intervención de la misma microcuenca</t>
        </is>
      </c>
    </row>
    <row r="7"/>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M7B1</t>
        </is>
      </c>
      <c r="B10" s="27" t="n">
        <v>130.43</v>
      </c>
      <c r="C10" s="19" t="n">
        <v>32.38</v>
      </c>
      <c r="D10" s="11" t="inlineStr">
        <is>
          <t>183 – 357</t>
        </is>
      </c>
      <c r="E10" s="11" t="n">
        <v>174</v>
      </c>
      <c r="F10" s="11" t="n">
        <v>17.35</v>
      </c>
      <c r="G10" s="18" t="n">
        <v>0.3136</v>
      </c>
      <c r="H10" s="19" t="n">
        <v>4.28</v>
      </c>
      <c r="I10" s="19" t="n">
        <v>99.78</v>
      </c>
    </row>
    <row r="11">
      <c r="A11" s="14" t="inlineStr">
        <is>
          <t>► M7B2</t>
        </is>
      </c>
      <c r="B11" s="28" t="n">
        <v>115.38</v>
      </c>
      <c r="C11" s="29" t="n">
        <v>28.64</v>
      </c>
      <c r="D11" s="15" t="inlineStr">
        <is>
          <t>204 – 362</t>
        </is>
      </c>
      <c r="E11" s="15" t="n">
        <v>158</v>
      </c>
      <c r="F11" s="15" t="n">
        <v>14.01</v>
      </c>
      <c r="G11" s="30" t="n">
        <v>0.2877</v>
      </c>
      <c r="H11" s="29" t="n">
        <v>0.91</v>
      </c>
      <c r="I11" s="29" t="n">
        <v>99.58</v>
      </c>
    </row>
    <row r="12">
      <c r="A12" s="7" t="inlineStr">
        <is>
          <t>M7B6</t>
        </is>
      </c>
      <c r="B12" s="27" t="n">
        <v>91.29000000000001</v>
      </c>
      <c r="C12" s="19" t="n">
        <v>22.66</v>
      </c>
      <c r="D12" s="11" t="inlineStr">
        <is>
          <t>228 – 453</t>
        </is>
      </c>
      <c r="E12" s="11" t="n">
        <v>225</v>
      </c>
      <c r="F12" s="11" t="n">
        <v>16.87</v>
      </c>
      <c r="G12" s="18" t="n">
        <v>0.2878</v>
      </c>
      <c r="H12" s="19" t="n">
        <v>0.73</v>
      </c>
      <c r="I12" s="19" t="n">
        <v>99.95999999999999</v>
      </c>
    </row>
    <row r="13">
      <c r="A13" s="12" t="inlineStr">
        <is>
          <t>M7B3</t>
        </is>
      </c>
      <c r="B13" s="31" t="n">
        <v>65.73999999999999</v>
      </c>
      <c r="C13" s="21" t="n">
        <v>16.32</v>
      </c>
      <c r="D13" s="13" t="inlineStr">
        <is>
          <t>209 – 372</t>
        </is>
      </c>
      <c r="E13" s="13" t="n">
        <v>163</v>
      </c>
      <c r="F13" s="13" t="n">
        <v>19.61</v>
      </c>
      <c r="G13" s="20" t="n">
        <v>0.298</v>
      </c>
      <c r="H13" s="21" t="n">
        <v>1.32</v>
      </c>
      <c r="I13" s="21" t="n">
        <v>99.84999999999999</v>
      </c>
    </row>
    <row r="14">
      <c r="A14" s="16" t="inlineStr">
        <is>
          <t>TOTAL / PROMEDIO</t>
        </is>
      </c>
      <c r="B14" s="32">
        <f>SUM(B10:B13)</f>
        <v>402.84</v>
      </c>
      <c r="C14" s="23">
        <f>SUM(C10:C13)</f>
        <v>100.0</v>
      </c>
      <c r="D14" s="17" t="inlineStr">
        <is>
          <t>183 – 453</t>
        </is>
      </c>
      <c r="E14" s="17" t="inlineStr"/>
      <c r="F14" s="17">
        <f>ROUND(AVERAGE(F10:F13),2)</f>
        <v>16.96</v>
      </c>
      <c r="G14" s="22">
        <f>ROUND(AVERAGE(G10:G13),4)</f>
        <v>0.2968</v>
      </c>
      <c r="H14" s="23">
        <f>ROUND(AVERAGE(H10:H13),2)</f>
        <v>1.81</v>
      </c>
      <c r="I14" s="23">
        <f>ROUND(AVERAGE(I10:I13),2)</f>
        <v>99.79</v>
      </c>
    </row>
    <row r="15"/>
    <row r="16" ht="84" customHeight="1">
      <c r="A16" s="9" t="inlineStr">
        <is>
          <t>LECTURA INTRAMICROCUENCA. El bloque M7B2 ocupa el puesto 2 de 4 por superficie dentro de la microcuenca C1076-Q9581 (28.64 % de las 402.84 ha preliminares de la microcuenca). Su pendiente promedio (14.01 %, clase «8-15% (Mod. inclinado)») es la 1.ª más baja de 4 y se sitúa por debajo del promedio de la microcuenca (16.96 %). Su MSAVI 2024 (0.2877) es el 4.º de 4 y queda por debajo del promedio local (0.2968). Amplitud altitudinal del bloque: 158 m (204–362 msnm). El cuadro conserva todos los bloques catalogados en la microcuenca, incluidos los descartados en el tamizaje, para referencia del conjunto. Los bloques sin ficha DT figuran con sus parámetros de gabinete. BRECHA ESPECTRAL. El 99.58 % de la superficie del bloque (114.899 ha de 115.379 ha) se sitúa bajo el umbral MSAVI 0.4976, por debajo del promedio local de la microcuenca (99.79 %) calculado sobre los bloques con dato MSAVI disponible.</t>
        </is>
      </c>
      <c r="B16" s="41" t="n"/>
      <c r="C16" s="41" t="n"/>
      <c r="D16" s="41" t="n"/>
      <c r="E16" s="41" t="n"/>
      <c r="F16" s="41" t="n"/>
      <c r="G16" s="41" t="n"/>
      <c r="H16" s="42" t="n"/>
    </row>
    <row r="17"/>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1" t="n"/>
      <c r="C18" s="41" t="n"/>
      <c r="D18" s="41" t="n"/>
      <c r="E18" s="41" t="n"/>
      <c r="F18" s="41" t="n"/>
      <c r="G18" s="41" t="n"/>
      <c r="H18" s="42" t="n"/>
    </row>
  </sheetData>
  <mergeCells count="9">
    <mergeCell ref="A18:I18"/>
    <mergeCell ref="A4:I4"/>
    <mergeCell ref="A1:I1"/>
    <mergeCell ref="A3:I3"/>
    <mergeCell ref="A2:I2"/>
    <mergeCell ref="A16:I16"/>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«C1076-Q9581»</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9416185 N) dista 18,962 m del centroide de catálogo (631438 E / 9403547 N), distancia incompatible con la superficie del bloque (115.38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(115.422 ha) coincide con la de catálogo (115.38 ha) dentro del ±2 % (+0.04 %)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14.01 %, que corresponde a la clase «8-15% (Mod.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0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«Buenos Aires»; el cruce INEI-Bloques V5 identifica 1 centro(s) poblado(s) en el bloque: LA ALBERCA</t>
        </is>
      </c>
      <c r="D16" s="15" t="inlineStr">
        <is>
          <t>NO SUSTANTIVA</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Plan de Ingreso</t>
        </is>
      </c>
      <c r="C18" s="33" t="inlineStr">
        <is>
          <t>Altitud = 0 msnm (captura por defecto del aplicativo)</t>
        </is>
      </c>
      <c r="D18" s="37" t="inlineStr">
        <is>
          <t>CORREGIDO</t>
        </is>
      </c>
      <c r="E18" s="33" t="inlineStr">
        <is>
          <t>Se reemplaza por la altitud GPS de campo (200 msnm)</t>
        </is>
      </c>
    </row>
    <row r="19" ht="48" customHeight="1">
      <c r="A19" s="35" t="inlineStr">
        <is>
          <t>D-10</t>
        </is>
      </c>
      <c r="B19" s="35" t="inlineStr">
        <is>
          <t>Ficha DT</t>
        </is>
      </c>
      <c r="C19" s="35" t="inlineStr">
        <is>
          <t>EL CONTENIDO DE LA FICHA ES UNA COPIA DEL DE M6B2-1: mismo paisaje (quebrada Q9566, microcuenca C1077), mismas coberturas, misma superficie de ecosistema (514.36 ha) y mismo UTM (645 575 · 9 416 185)</t>
        </is>
      </c>
      <c r="D19" s="36" t="inlineStr">
        <is>
          <t>SUSTANTIVA</t>
        </is>
      </c>
      <c r="E19" s="35" t="inlineStr">
        <is>
          <t>LA FICHA NO ES VÁLIDA PARA ESTE BLOQUE: levantamiento propio indispensable</t>
        </is>
      </c>
    </row>
    <row r="20" ht="48" customHeight="1">
      <c r="A20" s="33" t="inlineStr">
        <is>
          <t>D-11</t>
        </is>
      </c>
      <c r="B20" s="33" t="inlineStr">
        <is>
          <t>Ficha DT</t>
        </is>
      </c>
      <c r="C20" s="33" t="inlineStr">
        <is>
          <t>El UTM de registro (645 575 · 9 416 185) dista ≈18 km del centroide de catálogo de M7B2 (631 438 · 9 403 550)</t>
        </is>
      </c>
      <c r="D20" s="36" t="inlineStr">
        <is>
          <t>SUSTANTIVA</t>
        </is>
      </c>
      <c r="E20" s="33" t="inlineStr">
        <is>
          <t>Georreferencia por reponer</t>
        </is>
      </c>
    </row>
    <row r="21" ht="48" customHeight="1">
      <c r="A21" s="35" t="inlineStr">
        <is>
          <t>D-12</t>
        </is>
      </c>
      <c r="B21" s="35" t="inlineStr">
        <is>
          <t>F-DT-03</t>
        </is>
      </c>
      <c r="C21" s="35" t="inlineStr">
        <is>
          <t>Superficie de ecosistema declarada 514.36 ha frente a las 115.38 ha reales del bloque</t>
        </is>
      </c>
      <c r="D21" s="36" t="inlineStr">
        <is>
          <t>SUSTANTIVA</t>
        </is>
      </c>
      <c r="E21" s="35" t="inlineStr">
        <is>
          <t>Valor erróneo heredado de M6B2-1</t>
        </is>
      </c>
    </row>
    <row r="22" ht="48" customHeight="1">
      <c r="A22" s="33" t="inlineStr">
        <is>
          <t>D-13</t>
        </is>
      </c>
      <c r="B22" s="33" t="inlineStr">
        <is>
          <t>F-DT-01</t>
        </is>
      </c>
      <c r="C22" s="33" t="inlineStr">
        <is>
          <t>No se pudo acceder al interior del bloque (registro de 15 minutos) por predios privados</t>
        </is>
      </c>
      <c r="D22" s="36" t="inlineStr">
        <is>
          <t>SUSTANTIVA</t>
        </is>
      </c>
      <c r="E22" s="33" t="inlineStr">
        <is>
          <t>Gestión predial previa indispensable</t>
        </is>
      </c>
    </row>
    <row r="23" ht="48" customHeight="1">
      <c r="A23" s="35" t="inlineStr">
        <is>
          <t>D-14</t>
        </is>
      </c>
      <c r="B23" s="35" t="inlineStr">
        <is>
          <t>F-DT-03</t>
        </is>
      </c>
      <c r="C23" s="35" t="inlineStr">
        <is>
          <t>Sin composición florística ni especies clave</t>
        </is>
      </c>
      <c r="D23" s="36" t="inlineStr">
        <is>
          <t>SUSTANTIVA</t>
        </is>
      </c>
      <c r="E23" s="35" t="inlineStr">
        <is>
          <t>Inventario pendiente en su totalidad</t>
        </is>
      </c>
    </row>
    <row r="24" ht="48" customHeight="1">
      <c r="A24" s="33" t="inlineStr">
        <is>
          <t>D-15</t>
        </is>
      </c>
      <c r="B24" s="33" t="inlineStr">
        <is>
          <t>F-DT-04</t>
        </is>
      </c>
      <c r="C24" s="33" t="inlineStr">
        <is>
          <t>Matriz de causas completamente vacía (16/16) y ningún indicador cuantitativo diligenciado</t>
        </is>
      </c>
      <c r="D24" s="36" t="inlineStr">
        <is>
          <t>SUSTANTIVA</t>
        </is>
      </c>
      <c r="E24" s="33" t="inlineStr">
        <is>
          <t>Levantamiento pendiente en su totalidad</t>
        </is>
      </c>
    </row>
    <row r="25" ht="48" customHeight="1">
      <c r="A25" s="35" t="inlineStr">
        <is>
          <t>D-16</t>
        </is>
      </c>
      <c r="B25" s="35" t="inlineStr">
        <is>
          <t>F-DT-05</t>
        </is>
      </c>
      <c r="C25" s="35" t="inlineStr">
        <is>
          <t>Inventario de fuentes de agua vacío</t>
        </is>
      </c>
      <c r="D25" s="36" t="inlineStr">
        <is>
          <t>SUSTANTIVA</t>
        </is>
      </c>
      <c r="E25" s="35" t="inlineStr">
        <is>
          <t>Levantamiento pendiente</t>
        </is>
      </c>
    </row>
    <row r="26" ht="48" customHeight="1">
      <c r="A26" s="35" t="inlineStr">
        <is>
          <t>D-17</t>
        </is>
      </c>
      <c r="B26" s="35" t="inlineStr">
        <is>
          <t>Distribución areal MSAVI 2024</t>
        </is>
      </c>
      <c r="C26" s="35" t="inlineStr">
        <is>
          <t>La distribución por clase de MSAVI no figuraba en los insumos del entregable y se consignaba «Por determinar»; se incorpora la estadística zonal del ráster MSAVI clasificado (460 polígonos, 115.379 ha)</t>
        </is>
      </c>
      <c r="D26" s="36" t="inlineStr">
        <is>
          <t>CORREGIDO</t>
        </is>
      </c>
      <c r="E26"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5" t="inlineStr">
        <is>
          <t>D-18</t>
        </is>
      </c>
      <c r="B27" s="35" t="inlineStr">
        <is>
          <t>Superficie MSAVI vs. catálogo</t>
        </is>
      </c>
      <c r="C27" s="35" t="inlineStr">
        <is>
          <t>La superficie total clasificada por el MSAVI 2024 (115.379 ha) frente a la de catálogo V5/V6 (115.380 ha): desviación de +0.00 %</t>
        </is>
      </c>
      <c r="D27" s="36" t="inlineStr">
        <is>
          <t>CONFORME</t>
        </is>
      </c>
      <c r="E27" s="35" t="inlineStr">
        <is>
          <t>Sin acción: la segmentación del ráster valida la geometría del bloque dentro del ±2 %.</t>
        </is>
      </c>
    </row>
    <row r="28" ht="48" customHeight="1">
      <c r="A28" s="35" t="inlineStr">
        <is>
          <t>D-19</t>
        </is>
      </c>
      <c r="B28" s="35" t="inlineStr">
        <is>
          <t>Media MSAVI vs. clase DN dominante</t>
        </is>
      </c>
      <c r="C28" s="35" t="inlineStr">
        <is>
          <t>La media del bloque (0.2877) cae en la clase «DN 2 · 0.2650 - 0.3813 (Vigor muy bajo)»; la clase de mayor superficie es «DN 2 · 0.2650 - 0.3813 (Vigor muy bajo)», con 67.77 % del bloque. Superficie bajo el umbral 0.4976: 114.899 ha (99.58 %)</t>
        </is>
      </c>
      <c r="D28" s="36" t="inlineStr">
        <is>
          <t>CONFORME</t>
        </is>
      </c>
      <c r="E28" s="35" t="inlineStr">
        <is>
          <t>Sin acción: la media del bloque y la clase de mayor superficie coinciden.</t>
        </is>
      </c>
    </row>
    <row r="29"/>
    <row r="30">
      <c r="A30" s="16" t="inlineStr">
        <is>
          <t>RESUMEN</t>
        </is>
      </c>
      <c r="B30" s="17" t="inlineStr">
        <is>
          <t>19 verificaciones</t>
        </is>
      </c>
      <c r="C30" s="17" t="inlineStr">
        <is>
          <t>CONFORME: 4 · CORREGIDO: 2 · NO SUSTANTIVA: 2 · SUSTANTIVA: 11</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1" t="n"/>
      <c r="C32" s="41" t="n"/>
      <c r="D32" s="41" t="n"/>
      <c r="E32" s="42"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M7B2 — IN Piura</dc:title>
  <dc:subject>Diagnóstico Territorial por bloque de intervención</dc:subject>
  <dcterms:created xsi:type="dcterms:W3CDTF">2026-09-08T03:39:59Z</dcterms:created>
  <dcterms:modified xsi:type="dcterms:W3CDTF">2026-09-10T00:28:33Z</dcterms:modified>
</cp:coreProperties>
</file>