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27</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27</t>
        </is>
      </c>
      <c r="C9" s="6" t="inlineStr">
        <is>
          <t>Microcuenca (catálogo)</t>
        </is>
      </c>
      <c r="D9" s="7" t="inlineStr">
        <is>
          <t>C1096-Q9556</t>
        </is>
      </c>
      <c r="E9" s="8" t="n"/>
      <c r="F9" s="8" t="n"/>
    </row>
    <row r="10">
      <c r="A10" s="6" t="inlineStr">
        <is>
          <t>Zona de planificación</t>
        </is>
      </c>
      <c r="B10" s="7" t="inlineStr">
        <is>
          <t>Z02</t>
        </is>
      </c>
      <c r="C10" s="6" t="inlineStr">
        <is>
          <t>Microcuenca declarada en ficha DT</t>
        </is>
      </c>
      <c r="D10" s="7" t="inlineStr">
        <is>
          <t>C1096-Q9556</t>
        </is>
      </c>
      <c r="E10" s="8" t="n"/>
      <c r="F10" s="8" t="n"/>
    </row>
    <row r="11">
      <c r="A11" s="6" t="inlineStr">
        <is>
          <t>Departamento</t>
        </is>
      </c>
      <c r="B11" s="7" t="inlineStr">
        <is>
          <t>Piura</t>
        </is>
      </c>
      <c r="C11" s="6" t="inlineStr">
        <is>
          <t>Provincia</t>
        </is>
      </c>
      <c r="D11" s="7" t="inlineStr">
        <is>
          <t>Ayabaca</t>
        </is>
      </c>
      <c r="E11" s="8" t="n"/>
      <c r="F11" s="8" t="n"/>
    </row>
    <row r="12">
      <c r="A12" s="6" t="inlineStr">
        <is>
          <t>Distrito</t>
        </is>
      </c>
      <c r="B12" s="7" t="inlineStr">
        <is>
          <t>Frias</t>
        </is>
      </c>
      <c r="C12" s="6" t="inlineStr">
        <is>
          <t>Capital distrital</t>
        </is>
      </c>
      <c r="D12" s="7" t="inlineStr">
        <is>
          <t>Frias</t>
        </is>
      </c>
      <c r="E12" s="8" t="n"/>
      <c r="F12" s="8" t="n"/>
    </row>
    <row r="13">
      <c r="A13" s="6" t="inlineStr">
        <is>
          <t>Centro poblado asociado</t>
        </is>
      </c>
      <c r="B13" s="7" t="inlineStr">
        <is>
          <t>Nueva Esperanza de Misquis (83 hab.) · Linderos de Misquis (28 hab.)</t>
        </is>
      </c>
      <c r="C13" s="6" t="inlineStr">
        <is>
          <t>Comunidad campesina</t>
        </is>
      </c>
      <c r="D13" s="7" t="inlineStr">
        <is>
          <t>Por determinar</t>
        </is>
      </c>
      <c r="E13" s="8" t="n"/>
      <c r="F13" s="8" t="n"/>
    </row>
    <row r="14">
      <c r="A14" s="6" t="inlineStr">
        <is>
          <t>Superficie de catálogo (V5/V6), ha</t>
        </is>
      </c>
      <c r="B14" s="7" t="n">
        <v>78.15000000000001</v>
      </c>
      <c r="C14" s="6" t="inlineStr">
        <is>
          <t>Fuente de superficie</t>
        </is>
      </c>
      <c r="D14" s="7" t="inlineStr">
        <is>
          <t>Catálogo maestro Bloques V5/V6</t>
        </is>
      </c>
      <c r="E14" s="8" t="n"/>
      <c r="F14" s="8" t="n"/>
    </row>
    <row r="15">
      <c r="A15" s="6" t="inlineStr">
        <is>
          <t>Centroide UTM ESTE (m)</t>
        </is>
      </c>
      <c r="B15" s="7" t="n">
        <v>613302</v>
      </c>
      <c r="C15" s="6" t="inlineStr">
        <is>
          <t>Centroide UTM NORTE (m)</t>
        </is>
      </c>
      <c r="D15" s="7" t="n">
        <v>9450231</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1518</v>
      </c>
      <c r="C19" s="6" t="inlineStr">
        <is>
          <t>Altitud máxima (msnm)</t>
        </is>
      </c>
      <c r="D19" s="7" t="n">
        <v>1895</v>
      </c>
      <c r="E19" s="8" t="n"/>
      <c r="F19" s="8" t="n"/>
    </row>
    <row r="20">
      <c r="A20" s="6" t="inlineStr">
        <is>
          <t>Amplitud altitudinal (m)</t>
        </is>
      </c>
      <c r="B20" s="7" t="n">
        <v>377</v>
      </c>
      <c r="C20" s="6" t="inlineStr">
        <is>
          <t>Piso altitudinal dominante</t>
        </is>
      </c>
      <c r="D20" s="7" t="inlineStr">
        <is>
          <t>1500-2000 m (Quechua media)</t>
        </is>
      </c>
      <c r="E20" s="8" t="n"/>
      <c r="F20" s="8" t="n"/>
    </row>
    <row r="21">
      <c r="A21" s="6" t="inlineStr">
        <is>
          <t>Pendiente promedio (%)</t>
        </is>
      </c>
      <c r="B21" s="7" t="n">
        <v>30.25</v>
      </c>
      <c r="C21" s="6" t="inlineStr">
        <is>
          <t>Pendiente promedio (grados)</t>
        </is>
      </c>
      <c r="D21" s="7" t="n">
        <v>16.8</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Noroeste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0.5323</v>
      </c>
      <c r="C28" s="6" t="inlineStr">
        <is>
          <t>MSAVI 2024 — clase de la media</t>
        </is>
      </c>
      <c r="D28" s="7" t="inlineStr">
        <is>
          <t>0.4976 - 0.6139 (Vigor moderado)</t>
        </is>
      </c>
      <c r="E28" s="8" t="n"/>
      <c r="F28" s="8" t="n"/>
    </row>
    <row r="29">
      <c r="A29" s="6" t="inlineStr">
        <is>
          <t>Condición frente al umbral 0.4976</t>
        </is>
      </c>
      <c r="B29" s="7" t="inlineStr">
        <is>
          <t>Sobre umbral</t>
        </is>
      </c>
      <c r="C29" s="6" t="inlineStr">
        <is>
          <t>NDVI mediana 2025 — clase modal</t>
        </is>
      </c>
      <c r="D29" s="7" t="inlineStr">
        <is>
          <t>Vegetación alta (64.75 %)</t>
        </is>
      </c>
      <c r="E29" s="8" t="n"/>
      <c r="F29" s="8" t="n"/>
    </row>
    <row r="30">
      <c r="A30" s="6" t="inlineStr">
        <is>
          <t>Superficie clasificada NDVI 2025 (ha)</t>
        </is>
      </c>
      <c r="B30" s="7" t="n">
        <v>78.19199999999999</v>
      </c>
      <c r="C30" s="6" t="inlineStr">
        <is>
          <t>Desviación frente al catálogo (%)</t>
        </is>
      </c>
      <c r="D30" s="7" t="n">
        <v>0.05</v>
      </c>
      <c r="E30" s="8" t="n"/>
      <c r="F30" s="8" t="n"/>
    </row>
    <row r="31">
      <c r="A31" s="6" t="inlineStr">
        <is>
          <t>Superficie clasificada MSAVI 2024 (ha)</t>
        </is>
      </c>
      <c r="B31" s="38" t="n">
        <v>78.154</v>
      </c>
      <c r="C31" s="6" t="inlineStr">
        <is>
          <t>Desviación MSAVI frente al catálogo (%)</t>
        </is>
      </c>
      <c r="D31" s="39" t="n">
        <v>0.01</v>
      </c>
      <c r="E31" s="8" t="n"/>
      <c r="F31" s="8" t="n"/>
    </row>
    <row r="32">
      <c r="A32" s="6" t="inlineStr">
        <is>
          <t>Superficie bajo umbral MSAVI 0.4976 (ha)</t>
        </is>
      </c>
      <c r="B32" s="38" t="n">
        <v>29.306</v>
      </c>
      <c r="C32" s="6" t="inlineStr">
        <is>
          <t>% del bloque bajo umbral (brecha espectral)</t>
        </is>
      </c>
      <c r="D32" s="39" t="n">
        <v>37.5</v>
      </c>
      <c r="E32" s="8" t="n"/>
      <c r="F32" s="8" t="n"/>
    </row>
    <row r="33">
      <c r="A33" s="6" t="inlineStr">
        <is>
          <t>Clase DN dominante (MSAVI 2024)</t>
        </is>
      </c>
      <c r="B33" s="7" t="inlineStr">
        <is>
          <t>DN 4 · 0.4976 - 0.6139 (Vigor moderado)</t>
        </is>
      </c>
      <c r="C33" s="6" t="inlineStr">
        <is>
          <t>N.° de polígonos MSAVI del bloque</t>
        </is>
      </c>
      <c r="D33" s="40" t="n">
        <v>308</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78.15 ha (MINAM: Zona agrícola 100%)</t>
        </is>
      </c>
      <c r="E36" s="8" t="n"/>
      <c r="F36" s="8" t="n"/>
    </row>
    <row r="37">
      <c r="A37" s="6" t="inlineStr">
        <is>
          <t>Estado de conservación</t>
        </is>
      </c>
      <c r="B37" s="7" t="inlineStr">
        <is>
          <t>Muy alterado / Degradado</t>
        </is>
      </c>
      <c r="C37" s="6" t="inlineStr">
        <is>
          <t>Uso actual dominante del suelo</t>
        </is>
      </c>
      <c r="D37" s="7" t="inlineStr">
        <is>
          <t>Agricultura secano</t>
        </is>
      </c>
      <c r="E37" s="8" t="n"/>
      <c r="F37" s="8" t="n"/>
    </row>
    <row r="38">
      <c r="A38" s="6" t="inlineStr">
        <is>
          <t>Tipo de cobertura dominante</t>
        </is>
      </c>
      <c r="B38" s="7" t="inlineStr">
        <is>
          <t>Mixto / Mosaico</t>
        </is>
      </c>
      <c r="C38" s="6" t="inlineStr">
        <is>
          <t>Cobertura vegetal total — campo (%)</t>
        </is>
      </c>
      <c r="D38" s="7" t="n">
        <v>70</v>
      </c>
      <c r="E38" s="8" t="n"/>
      <c r="F38" s="8" t="n"/>
    </row>
    <row r="39">
      <c r="A39" s="6" t="inlineStr">
        <is>
          <t>Suelo desnudo — campo (%)</t>
        </is>
      </c>
      <c r="B39" s="7" t="n">
        <v>30</v>
      </c>
      <c r="C39" s="6" t="inlineStr">
        <is>
          <t>Regeneración natural</t>
        </is>
      </c>
      <c r="D39" s="7" t="inlineStr">
        <is>
          <t>Escasa (&lt;10 pl./100m²)</t>
        </is>
      </c>
      <c r="E39" s="8" t="n"/>
      <c r="F39" s="8" t="n"/>
    </row>
    <row r="40">
      <c r="A40" s="6" t="inlineStr">
        <is>
          <t>Nivel general de erosión</t>
        </is>
      </c>
      <c r="B40" s="7" t="inlineStr">
        <is>
          <t>Fuerte (cárcavas incipientes)</t>
        </is>
      </c>
      <c r="C40" s="6" t="inlineStr">
        <is>
          <t>N.° de cárcavas registradas</t>
        </is>
      </c>
      <c r="D40" s="7" t="n">
        <v>2</v>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 Cahuas Miller - ANIN/DIME-SESDI</t>
        </is>
      </c>
      <c r="C44" s="6" t="inlineStr">
        <is>
          <t>Fecha de evaluación</t>
        </is>
      </c>
      <c r="D44" s="7" t="inlineStr">
        <is>
          <t>2026-07-15</t>
        </is>
      </c>
      <c r="E44" s="8" t="n"/>
      <c r="F44" s="8" t="n"/>
    </row>
    <row r="45">
      <c r="A45" s="6" t="inlineStr">
        <is>
          <t>Hora de registro</t>
        </is>
      </c>
      <c r="B45" s="7" t="inlineStr">
        <is>
          <t>12:11 - 13:05 h</t>
        </is>
      </c>
      <c r="C45" s="6" t="inlineStr">
        <is>
          <t>Correlativo de ficha</t>
        </is>
      </c>
      <c r="D45" s="7" t="inlineStr">
        <is>
          <t>F-DT-01/B27/2026</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Recorrido de reconocimiento (sin parcela permanente)</t>
        </is>
      </c>
      <c r="E47" s="8" t="n"/>
      <c r="F47" s="8" t="n"/>
    </row>
    <row r="48">
      <c r="A48" s="6" t="inlineStr">
        <is>
          <t>Estaciones fotográficas georreferenciadas</t>
        </is>
      </c>
      <c r="B48" s="7" t="n">
        <v>11</v>
      </c>
      <c r="C48" s="6" t="inlineStr">
        <is>
          <t>Modalidad de acceso</t>
        </is>
      </c>
      <c r="D48" s="7" t="inlineStr">
        <is>
          <t>Vehicular 4x4 hasta el bloque</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por subsistencia agrícola sobre laderas de fuerte pendiente en ausencia de prácticas de conservación de suelos</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Media</t>
        </is>
      </c>
      <c r="E52" s="8" t="n"/>
      <c r="F52" s="8" t="n"/>
    </row>
    <row r="53">
      <c r="A53" s="6" t="inlineStr">
        <is>
          <t>Urgencia de control de erosión</t>
        </is>
      </c>
      <c r="B53" s="7" t="inlineStr">
        <is>
          <t>Media</t>
        </is>
      </c>
      <c r="C53" s="6" t="inlineStr">
        <is>
          <t>Zona de recarga hídrica</t>
        </is>
      </c>
      <c r="D53" s="7" t="inlineStr">
        <is>
          <t>Por determinar</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27</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12.3693</v>
      </c>
      <c r="C10" s="19">
        <f>ROUND(B10/$B$15*100,2)</f>
        <v>15.83</v>
      </c>
      <c r="D10" s="11" t="inlineStr">
        <is>
          <t>Vigor alto</t>
        </is>
      </c>
      <c r="E10" s="11" t="inlineStr">
        <is>
          <t>Sobre umbral</t>
        </is>
      </c>
    </row>
    <row r="11">
      <c r="A11" s="12" t="inlineStr">
        <is>
          <t>0.4976 - 0.6139 · DN 4</t>
        </is>
      </c>
      <c r="B11" s="32" t="n">
        <v>36.4791</v>
      </c>
      <c r="C11" s="31">
        <f>ROUND(B11/$B$15*100,2)</f>
        <v>46.68</v>
      </c>
      <c r="D11" s="13" t="inlineStr">
        <is>
          <t>Vigor moderado</t>
        </is>
      </c>
      <c r="E11" s="13" t="inlineStr">
        <is>
          <t>Sobre umbral</t>
        </is>
      </c>
    </row>
    <row r="12">
      <c r="A12" s="7" t="inlineStr">
        <is>
          <t>0.3813 - 0.4976 · DN 3</t>
        </is>
      </c>
      <c r="B12" s="18" t="n">
        <v>28.5017</v>
      </c>
      <c r="C12" s="19">
        <f>ROUND(B12/$B$15*100,2)</f>
        <v>36.47</v>
      </c>
      <c r="D12" s="11" t="inlineStr">
        <is>
          <t>Vigor bajo</t>
        </is>
      </c>
      <c r="E12" s="11" t="inlineStr">
        <is>
          <t>BAJO umbral 0.4976</t>
        </is>
      </c>
    </row>
    <row r="13">
      <c r="A13" s="14" t="inlineStr">
        <is>
          <t>0.2650 - 0.3813 · DN 2</t>
        </is>
      </c>
      <c r="B13" s="20" t="n">
        <v>0.8038999999999999</v>
      </c>
      <c r="C13" s="21">
        <f>ROUND(B13/$B$15*100,2)</f>
        <v>1.03</v>
      </c>
      <c r="D13" s="15" t="inlineStr">
        <is>
          <t>Vigor muy bajo</t>
        </is>
      </c>
      <c r="E13" s="15" t="inlineStr">
        <is>
          <t>BAJO umbral 0.4976</t>
        </is>
      </c>
    </row>
    <row r="14">
      <c r="A14" s="7" t="inlineStr">
        <is>
          <t>&lt;= 0.2650 · DN 1</t>
        </is>
      </c>
      <c r="B14" s="18" t="n">
        <v>0</v>
      </c>
      <c r="C14" s="19">
        <f>ROUND(B14/$B$15*100,2)</f>
        <v>0.0</v>
      </c>
      <c r="D14" s="11" t="inlineStr">
        <is>
          <t>Suelo desnudo / no vegetal</t>
        </is>
      </c>
      <c r="E14" s="11" t="inlineStr">
        <is>
          <t>BAJO umbral 0.4976</t>
        </is>
      </c>
    </row>
    <row r="15" ht="30" customHeight="1">
      <c r="A15" s="43" t="inlineStr">
        <is>
          <t>TOTAL CLASIFICADO MSAVI 2024</t>
        </is>
      </c>
      <c r="B15" s="44">
        <f>SUM(B10:B14)</f>
        <v>78.154</v>
      </c>
      <c r="C15" s="45">
        <f>SUM(C10:C14)</f>
        <v>100.01</v>
      </c>
      <c r="D15" s="43" t="inlineStr">
        <is>
          <t>Suma de la distribución areal · 308 polígonos</t>
        </is>
      </c>
      <c r="E15" s="43" t="inlineStr">
        <is>
          <t>—</t>
        </is>
      </c>
    </row>
    <row r="16" ht="30" customHeight="1">
      <c r="A16" s="46" t="inlineStr">
        <is>
          <t>Superficie SOBRE umbral 0.4976 (ha)</t>
        </is>
      </c>
      <c r="B16" s="47">
        <f>SUM(B10:B11)</f>
        <v>48.8484</v>
      </c>
      <c r="C16" s="48">
        <f>ROUND(B16/B15*100,2)</f>
        <v>62.5</v>
      </c>
      <c r="D16" s="46" t="inlineStr">
        <is>
          <t>Vigor alto y moderado (DN 4 y DN 5)</t>
        </is>
      </c>
      <c r="E16" s="46" t="inlineStr">
        <is>
          <t>Sobre umbral 0.4976</t>
        </is>
      </c>
    </row>
    <row r="17" ht="30" customHeight="1">
      <c r="A17" s="46" t="inlineStr">
        <is>
          <t>Superficie BAJO umbral 0.4976 (ha) — brecha</t>
        </is>
      </c>
      <c r="B17" s="47">
        <f>SUM(B12:B14)</f>
        <v>29.3056</v>
      </c>
      <c r="C17" s="48">
        <f>ROUND(B17/B15*100,2)</f>
        <v>37.5</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78.15000000000001</v>
      </c>
      <c r="C18" s="49" t="inlineStr">
        <is>
          <t>—</t>
        </is>
      </c>
      <c r="D18" s="46" t="inlineStr">
        <is>
          <t>Desviación planimétrica frente al catálogo</t>
        </is>
      </c>
      <c r="E18" s="46" t="inlineStr">
        <is>
          <t>+0.01 %</t>
        </is>
      </c>
    </row>
    <row r="19">
      <c r="A19" s="16" t="inlineStr">
        <is>
          <t>MSAVI 2024 — MEDIA DEL BLOQUE</t>
        </is>
      </c>
      <c r="B19" s="17" t="n">
        <v>0.53228</v>
      </c>
      <c r="C19" s="17" t="inlineStr">
        <is>
          <t>—</t>
        </is>
      </c>
      <c r="D19" s="17" t="inlineStr">
        <is>
          <t>Vigor moderado · clase 0.4976 - 0.6139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308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(0.5323)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50.633</v>
      </c>
      <c r="C25" s="19" t="n">
        <v>64.75</v>
      </c>
      <c r="D25" s="11" t="inlineStr">
        <is>
          <t>Dosel continuo, matorral denso o mosaico agroforestal</t>
        </is>
      </c>
      <c r="E25" s="11" t="inlineStr"/>
    </row>
    <row r="26">
      <c r="A26" s="14" t="inlineStr">
        <is>
          <t>Vegetación mediana</t>
        </is>
      </c>
      <c r="B26" s="20" t="n">
        <v>27.4158</v>
      </c>
      <c r="C26" s="21" t="n">
        <v>35.06</v>
      </c>
      <c r="D26" s="15" t="inlineStr">
        <is>
          <t>Pastizal cultivado, matorral ralo, parcelas agrícolas</t>
        </is>
      </c>
      <c r="E26" s="15" t="inlineStr"/>
    </row>
    <row r="27">
      <c r="A27" s="7" t="inlineStr">
        <is>
          <t>Vegetación ligera</t>
        </is>
      </c>
      <c r="B27" s="18" t="n">
        <v>0.1429</v>
      </c>
      <c r="C27" s="19" t="n">
        <v>0.18</v>
      </c>
      <c r="D27" s="11" t="inlineStr">
        <is>
          <t>Cobertura discontinua, suelo parcialmente expuesto</t>
        </is>
      </c>
      <c r="E27" s="11" t="inlineStr"/>
    </row>
    <row r="28">
      <c r="A28" s="16" t="inlineStr">
        <is>
          <t>TOTAL CLASIFICADO</t>
        </is>
      </c>
      <c r="B28" s="22">
        <f>SUM(B25:B27)</f>
        <v>78.1917</v>
      </c>
      <c r="C28" s="23">
        <f>SUM(C25:C27)</f>
        <v>99.99</v>
      </c>
      <c r="D28" s="17" t="inlineStr"/>
      <c r="E28" s="17" t="inlineStr"/>
    </row>
    <row r="29">
      <c r="A29" s="24" t="inlineStr">
        <is>
          <t>Superficie de catálogo (V5/V6)</t>
        </is>
      </c>
      <c r="B29" s="25" t="n">
        <v>78.15000000000001</v>
      </c>
      <c r="C29" s="25" t="inlineStr">
        <is>
          <t>—</t>
        </is>
      </c>
      <c r="D29" s="25" t="inlineStr">
        <is>
          <t>Desviación planimétrica frente al catálogo</t>
        </is>
      </c>
      <c r="E29" s="25" t="inlineStr">
        <is>
          <t>+0.05 %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70 % frente a un 64.75 % del polígono clasificado como «Vegetación alta» por el NDVI 2025; la observación de campo corresponde a una parcela o recorrido puntual y no es estadísticamente representativa de las 78.150 ha del bloque.</t>
        </is>
      </c>
      <c r="B31" s="41" t="n"/>
      <c r="C31" s="41" t="n"/>
      <c r="D31" s="41" t="n"/>
      <c r="E31" s="42"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0"/>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27</t>
        </is>
      </c>
    </row>
    <row r="6" ht="24" customHeight="1">
      <c r="A6" s="4" t="inlineStr">
        <is>
          <t>Levantamiento del 2026-07-15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613107</v>
      </c>
      <c r="D10" s="26" t="n">
        <v>9449781</v>
      </c>
      <c r="E10" s="11" t="n">
        <v>490.4</v>
      </c>
      <c r="F10" s="11" t="inlineStr"/>
      <c r="G10" s="11" t="inlineStr">
        <is>
          <t>Coordenada consignada en F-DT-01</t>
        </is>
      </c>
    </row>
    <row r="11">
      <c r="A11" s="14" t="inlineStr">
        <is>
          <t>CAR-01</t>
        </is>
      </c>
      <c r="B11" s="15" t="inlineStr">
        <is>
          <t>Rasgo erosivo — Por determinar</t>
        </is>
      </c>
      <c r="C11" s="27" t="n">
        <v>613133</v>
      </c>
      <c r="D11" s="27" t="n">
        <v>9449805</v>
      </c>
      <c r="E11" s="15" t="n">
        <v>458.3</v>
      </c>
      <c r="F11" s="15" t="inlineStr">
        <is>
          <t>Semi-activa</t>
        </is>
      </c>
      <c r="G11" s="15" t="inlineStr">
        <is>
          <t>Cambio de uso del suelo</t>
        </is>
      </c>
    </row>
    <row r="12">
      <c r="A12" s="7" t="inlineStr">
        <is>
          <t>CAR-02</t>
        </is>
      </c>
      <c r="B12" s="11" t="inlineStr">
        <is>
          <t>Rasgo erosivo — Por determinar</t>
        </is>
      </c>
      <c r="C12" s="26" t="n">
        <v>612473</v>
      </c>
      <c r="D12" s="26" t="n">
        <v>9449785</v>
      </c>
      <c r="E12" s="11" t="n">
        <v>941.4</v>
      </c>
      <c r="F12" s="11" t="inlineStr">
        <is>
          <t>Activa</t>
        </is>
      </c>
      <c r="G12" s="11" t="inlineStr">
        <is>
          <t>Caminos / huellas de ganado</t>
        </is>
      </c>
    </row>
    <row r="13">
      <c r="A13" s="14" t="inlineStr">
        <is>
          <t>B-02</t>
        </is>
      </c>
      <c r="B13" s="15" t="inlineStr">
        <is>
          <t>Especie clave — Salix sp. (Sauce)</t>
        </is>
      </c>
      <c r="C13" s="27" t="n">
        <v>612845</v>
      </c>
      <c r="D13" s="27" t="n">
        <v>9449778</v>
      </c>
      <c r="E13" s="15" t="n">
        <v>643.5</v>
      </c>
      <c r="F13" s="15" t="inlineStr">
        <is>
          <t>Indicadora de buen estado</t>
        </is>
      </c>
      <c r="G13" s="15" t="inlineStr">
        <is>
          <t>No aplica</t>
        </is>
      </c>
    </row>
    <row r="14">
      <c r="A14" s="7" t="inlineStr">
        <is>
          <t>B-03</t>
        </is>
      </c>
      <c r="B14" s="11" t="inlineStr">
        <is>
          <t>Especie clave — Rumex crispus (Lengua de vaca)</t>
        </is>
      </c>
      <c r="C14" s="26" t="n">
        <v>613111</v>
      </c>
      <c r="D14" s="26" t="n">
        <v>9449787</v>
      </c>
      <c r="E14" s="11" t="n">
        <v>483.3</v>
      </c>
      <c r="F14" s="11" t="inlineStr">
        <is>
          <t>Indicadora de perturbación</t>
        </is>
      </c>
      <c r="G14" s="11" t="inlineStr">
        <is>
          <t>No aplica</t>
        </is>
      </c>
    </row>
    <row r="15">
      <c r="A15" s="16" t="inlineStr">
        <is>
          <t>TOTAL: 5 puntos</t>
        </is>
      </c>
      <c r="B15" s="17" t="inlineStr"/>
      <c r="C15" s="17" t="inlineStr"/>
      <c r="D15" s="17" t="inlineStr"/>
      <c r="E15" s="17" t="inlineStr"/>
      <c r="F15" s="17" t="inlineStr"/>
      <c r="G15" s="17" t="inlineStr"/>
    </row>
    <row r="16"/>
    <row r="17">
      <c r="A17" s="6" t="inlineStr">
        <is>
          <t>Centroide del bloque — UTM ESTE (m)</t>
        </is>
      </c>
      <c r="B17" s="7" t="n">
        <v>613302</v>
      </c>
      <c r="C17" s="6" t="inlineStr">
        <is>
          <t>Centroide del bloque — UTM NORTE (m)</t>
        </is>
      </c>
      <c r="D17" s="7" t="n">
        <v>9450231</v>
      </c>
      <c r="E17" s="8" t="n"/>
      <c r="F17" s="8" t="n"/>
      <c r="G17" s="8" t="n"/>
      <c r="H17" s="8" t="n"/>
    </row>
    <row r="18">
      <c r="A18" s="6" t="inlineStr">
        <is>
          <t>N.° de estaciones fotográficas declaradas</t>
        </is>
      </c>
      <c r="B18" s="7" t="n">
        <v>11</v>
      </c>
      <c r="C18" s="6" t="inlineStr">
        <is>
          <t>Estaciones dentro del polígono</t>
        </is>
      </c>
      <c r="D18" s="7" t="inlineStr">
        <is>
          <t>Por determinar</t>
        </is>
      </c>
      <c r="E18" s="8" t="n"/>
      <c r="F18" s="8" t="n"/>
      <c r="G18" s="8" t="n"/>
      <c r="H18" s="8" t="n"/>
    </row>
    <row r="19"/>
    <row r="20" ht="108" customHeight="1">
      <c r="A20"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Altitud GPS no registrada; el rango altitudinal se sustenta en el perfil Google Earth del acceso (1519-1805 msnm; media 1628 m; pendiente media 26.9%, máxima 52.2% sobre 1.04 km). Recorrido de reconocimiento de ~700 m en sentido E-O, no cubre la totalidad del polígono (78.15 ha). Los escarpes registrados corresponden a taludes de corte de camino y a cabeceras de cárcava.</t>
        </is>
      </c>
      <c r="B20" s="41" t="n"/>
      <c r="C20" s="41" t="n"/>
      <c r="D20" s="41" t="n"/>
      <c r="E20" s="41" t="n"/>
      <c r="F20" s="41" t="n"/>
      <c r="G20" s="42" t="n"/>
    </row>
  </sheetData>
  <mergeCells count="8">
    <mergeCell ref="A1:G1"/>
    <mergeCell ref="A8:G8"/>
    <mergeCell ref="A3:G3"/>
    <mergeCell ref="A6:G6"/>
    <mergeCell ref="A4:G4"/>
    <mergeCell ref="A20:G20"/>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C1096-Q9556 — BLOQUE 27</t>
        </is>
      </c>
    </row>
    <row r="6" ht="24" customHeight="1">
      <c r="A6" s="4" t="inlineStr">
        <is>
          <t>Distrito de Frias · Provincia de Ayabaca · Comparación de los bloques preliminares de intervención de la misma microcuenca</t>
        </is>
      </c>
    </row>
    <row r="7"/>
    <row r="8" ht="18" customHeight="1">
      <c r="A8" s="5" t="inlineStr">
        <is>
          <t>BLOQUES DE LA MICROCUENCA C1096-Q9556</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M17B7</t>
        </is>
      </c>
      <c r="B10" s="28" t="n">
        <v>258.84</v>
      </c>
      <c r="C10" s="19" t="n">
        <v>29.57</v>
      </c>
      <c r="D10" s="11" t="inlineStr">
        <is>
          <t>553 – 1517</t>
        </is>
      </c>
      <c r="E10" s="11" t="n">
        <v>964</v>
      </c>
      <c r="F10" s="11" t="n">
        <v>29.82</v>
      </c>
      <c r="G10" s="18" t="n">
        <v>0.5087</v>
      </c>
      <c r="H10" s="19" t="n">
        <v>58.63</v>
      </c>
      <c r="I10" s="19" t="n">
        <v>48.4</v>
      </c>
    </row>
    <row r="11">
      <c r="A11" s="14" t="inlineStr">
        <is>
          <t>M17B4</t>
        </is>
      </c>
      <c r="B11" s="29" t="n">
        <v>124.71</v>
      </c>
      <c r="C11" s="21" t="n">
        <v>14.25</v>
      </c>
      <c r="D11" s="15" t="inlineStr">
        <is>
          <t>294 – 629</t>
        </is>
      </c>
      <c r="E11" s="15" t="n">
        <v>335</v>
      </c>
      <c r="F11" s="15" t="n">
        <v>18.69</v>
      </c>
      <c r="G11" s="20" t="n">
        <v>0.4235</v>
      </c>
      <c r="H11" s="21" t="n">
        <v>3.97</v>
      </c>
      <c r="I11" s="21" t="n">
        <v>91.94</v>
      </c>
    </row>
    <row r="12">
      <c r="A12" s="7" t="inlineStr">
        <is>
          <t>M17B6</t>
        </is>
      </c>
      <c r="B12" s="28" t="n">
        <v>106.54</v>
      </c>
      <c r="C12" s="19" t="n">
        <v>12.17</v>
      </c>
      <c r="D12" s="11" t="inlineStr">
        <is>
          <t>403 – 1049</t>
        </is>
      </c>
      <c r="E12" s="11" t="n">
        <v>646</v>
      </c>
      <c r="F12" s="11" t="n">
        <v>23.42</v>
      </c>
      <c r="G12" s="18" t="n">
        <v>0.4464</v>
      </c>
      <c r="H12" s="19" t="n">
        <v>18.53</v>
      </c>
      <c r="I12" s="19" t="n">
        <v>81.81999999999999</v>
      </c>
    </row>
    <row r="13">
      <c r="A13" s="14" t="inlineStr">
        <is>
          <t>22</t>
        </is>
      </c>
      <c r="B13" s="29" t="n">
        <v>79.33</v>
      </c>
      <c r="C13" s="21" t="n">
        <v>9.06</v>
      </c>
      <c r="D13" s="15" t="inlineStr">
        <is>
          <t>235 – 596</t>
        </is>
      </c>
      <c r="E13" s="15" t="n">
        <v>361</v>
      </c>
      <c r="F13" s="15" t="n">
        <v>22.51</v>
      </c>
      <c r="G13" s="20" t="n">
        <v>0.4232</v>
      </c>
      <c r="H13" s="21" t="n">
        <v>0.32</v>
      </c>
      <c r="I13" s="21" t="n">
        <v>93.29000000000001</v>
      </c>
    </row>
    <row r="14">
      <c r="A14" s="12" t="inlineStr">
        <is>
          <t>► 27</t>
        </is>
      </c>
      <c r="B14" s="30" t="n">
        <v>78.15000000000001</v>
      </c>
      <c r="C14" s="31" t="n">
        <v>8.93</v>
      </c>
      <c r="D14" s="13" t="inlineStr">
        <is>
          <t>1518 – 1895</t>
        </is>
      </c>
      <c r="E14" s="13" t="n">
        <v>377</v>
      </c>
      <c r="F14" s="13" t="n">
        <v>30.25</v>
      </c>
      <c r="G14" s="32" t="n">
        <v>0.5323</v>
      </c>
      <c r="H14" s="31" t="n">
        <v>64.75</v>
      </c>
      <c r="I14" s="31" t="n">
        <v>37.5</v>
      </c>
    </row>
    <row r="15">
      <c r="A15" s="14" t="inlineStr">
        <is>
          <t>M17B10</t>
        </is>
      </c>
      <c r="B15" s="29" t="n">
        <v>75.36</v>
      </c>
      <c r="C15" s="21" t="n">
        <v>8.609999999999999</v>
      </c>
      <c r="D15" s="15" t="inlineStr">
        <is>
          <t>466 – 902</t>
        </is>
      </c>
      <c r="E15" s="15" t="n">
        <v>436</v>
      </c>
      <c r="F15" s="15" t="n">
        <v>25.94</v>
      </c>
      <c r="G15" s="20" t="n">
        <v>0.4725</v>
      </c>
      <c r="H15" s="21" t="n">
        <v>29.2</v>
      </c>
      <c r="I15" s="21" t="n">
        <v>73.33</v>
      </c>
    </row>
    <row r="16">
      <c r="A16" s="7" t="inlineStr">
        <is>
          <t>M17B5</t>
        </is>
      </c>
      <c r="B16" s="28" t="n">
        <v>74.03</v>
      </c>
      <c r="C16" s="19" t="n">
        <v>8.460000000000001</v>
      </c>
      <c r="D16" s="11" t="inlineStr">
        <is>
          <t>794 – 1317</t>
        </is>
      </c>
      <c r="E16" s="11" t="n">
        <v>523</v>
      </c>
      <c r="F16" s="11" t="n">
        <v>27.42</v>
      </c>
      <c r="G16" s="18" t="n">
        <v>0.5482</v>
      </c>
      <c r="H16" s="19" t="n">
        <v>61.34</v>
      </c>
      <c r="I16" s="19" t="n">
        <v>28.94</v>
      </c>
    </row>
    <row r="17">
      <c r="A17" s="14" t="inlineStr">
        <is>
          <t>M17B1</t>
        </is>
      </c>
      <c r="B17" s="29" t="n">
        <v>42.45</v>
      </c>
      <c r="C17" s="21" t="n">
        <v>4.85</v>
      </c>
      <c r="D17" s="15" t="inlineStr">
        <is>
          <t>177 – 313</t>
        </is>
      </c>
      <c r="E17" s="15" t="n">
        <v>136</v>
      </c>
      <c r="F17" s="15" t="n">
        <v>14.73</v>
      </c>
      <c r="G17" s="20" t="n">
        <v>0.3323</v>
      </c>
      <c r="H17" s="21" t="n">
        <v>0</v>
      </c>
      <c r="I17" s="21" t="n">
        <v>99.84</v>
      </c>
    </row>
    <row r="18">
      <c r="A18" s="7" t="inlineStr">
        <is>
          <t>32</t>
        </is>
      </c>
      <c r="B18" s="28" t="n">
        <v>35.83</v>
      </c>
      <c r="C18" s="19" t="n">
        <v>4.09</v>
      </c>
      <c r="D18" s="11" t="inlineStr">
        <is>
          <t>197 – 269</t>
        </is>
      </c>
      <c r="E18" s="11" t="n">
        <v>72</v>
      </c>
      <c r="F18" s="11" t="n">
        <v>12.87</v>
      </c>
      <c r="G18" s="18" t="n">
        <v>0.3716</v>
      </c>
      <c r="H18" s="19" t="inlineStr">
        <is>
          <t>Por determinar</t>
        </is>
      </c>
      <c r="I18" s="11" t="inlineStr">
        <is>
          <t>s/d</t>
        </is>
      </c>
    </row>
    <row r="19">
      <c r="A19" s="16" t="inlineStr">
        <is>
          <t>TOTAL / PROMEDIO</t>
        </is>
      </c>
      <c r="B19" s="33">
        <f>SUM(B10:B18)</f>
        <v>875.24</v>
      </c>
      <c r="C19" s="23">
        <f>SUM(C10:C18)</f>
        <v>99.99</v>
      </c>
      <c r="D19" s="17" t="inlineStr">
        <is>
          <t>177 – 1895</t>
        </is>
      </c>
      <c r="E19" s="17" t="inlineStr"/>
      <c r="F19" s="17">
        <f>ROUND(AVERAGE(F10:F18),2)</f>
        <v>22.85</v>
      </c>
      <c r="G19" s="22">
        <f>ROUND(AVERAGE(G10:G18),4)</f>
        <v>0.451</v>
      </c>
      <c r="H19" s="23">
        <f>ROUND(AVERAGE(H10:H18),2)</f>
        <v>29.59</v>
      </c>
      <c r="I19" s="23">
        <f>ROUND(AVERAGE(I10:I18),2)</f>
        <v>69.38</v>
      </c>
    </row>
    <row r="20" ht="48" customHeight="1">
      <c r="A20" s="9" t="inlineStr">
        <is>
          <t>ALCANCE DE LOS PROMEDIOS. La fila TOTAL / PROMEDIO omite las celdas «Por determinar»: el promedio de VEGETACIÓN ALTA (NDVI 2025) se calcula sobre 8 de los 9 bloques; el bloque restante carece de estadística zonal de NDVI. Los totales de ÁREA y % de microcuenca sí comprenden la totalidad de los 9 bloques. No se estima ningún valor ausente.</t>
        </is>
      </c>
      <c r="B20" s="41" t="n"/>
      <c r="C20" s="41" t="n"/>
      <c r="D20" s="41" t="n"/>
      <c r="E20" s="41" t="n"/>
      <c r="F20" s="41" t="n"/>
      <c r="G20" s="41" t="n"/>
      <c r="H20" s="42" t="n"/>
    </row>
    <row r="21"/>
    <row r="22" ht="84" customHeight="1">
      <c r="A22" s="9" t="inlineStr">
        <is>
          <t>LECTURA INTRAMICROCUENCA. El bloque 27 ocupa el puesto 5 de 9 por superficie dentro de la microcuenca C1096-Q9556 (8.93 % de las 875.24 ha preliminares de la microcuenca). Su pendiente promedio (30.25 %, clase «25-50% (Mod. escarpado)») es la 9.ª más baja de 9 y se sitúa por encima del promedio de la microcuenca (22.85 %). Su MSAVI 2024 (0.5323) es el 2.º de 9 y queda por encima del promedio local (0.4510). Amplitud altitudinal del bloque: 377 m (1518–1895 msnm). El cuadro conserva todos los bloques catalogados en la microcuenca, incluidos los descartados en el tamizaje, para referencia del conjunto. Los bloques sin ficha DT figuran con sus parámetros de gabinete. BRECHA ESPECTRAL. El 37.50 % de la superficie del bloque (29.306 ha de 78.154 ha) se sitúa bajo el umbral MSAVI 0.4976, por debajo del promedio local de la microcuenca (69.38 %)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10">
    <mergeCell ref="A1:I1"/>
    <mergeCell ref="A4:I4"/>
    <mergeCell ref="A3:I3"/>
    <mergeCell ref="A20:I20"/>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5"/>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27</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«C1096-Q9556»</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490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(78.192 ha) coincide con la de catálogo (78.15 ha) dentro del ±2 % (+0.05 %)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70 % de cobertura vegetal en campo; el NDVI mediana 2025 clasifica 99.99 % del polígono en clases de vegetación</t>
        </is>
      </c>
      <c r="D13" s="13"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Altitud GPS del punto de muestreo</t>
        </is>
      </c>
      <c r="C14" s="34" t="inlineStr">
        <is>
          <t>La aplicación de captura no registró altitud GPS en campo</t>
        </is>
      </c>
      <c r="D14" s="13" t="inlineStr">
        <is>
          <t>NO SUSTANTIVA</t>
        </is>
      </c>
      <c r="E14" s="34" t="inlineStr">
        <is>
          <t>El rango altitudinal del bloque (1518–1895 msnm) y la pendiente promedio (30.25 %) se toman de la estadística zonal sobre el MDE, no de medición de campo. Se declara la fuente.</t>
        </is>
      </c>
    </row>
    <row r="15" ht="48" customHeight="1">
      <c r="A15" s="36" t="inlineStr">
        <is>
          <t>D-06</t>
        </is>
      </c>
      <c r="B15" s="36" t="inlineStr">
        <is>
          <t>Dimensiones del inventario de cárcavas</t>
        </is>
      </c>
      <c r="C15" s="36" t="inlineStr">
        <is>
          <t>Se registran 2 rasgos erosivos, pero longitud, profundidad y ancho no fueron medidos instrumentalmente</t>
        </is>
      </c>
      <c r="D15" s="13" t="inlineStr">
        <is>
          <t>NO SUSTANTIVA</t>
        </is>
      </c>
      <c r="E15" s="36" t="inlineStr">
        <is>
          <t>El conteo registrado no debe usarse para calcular densidad de cárcavas por hectárea. Pendiente de levantamiento con GPS submétrico.</t>
        </is>
      </c>
    </row>
    <row r="16" ht="48" customHeight="1">
      <c r="A16" s="34" t="inlineStr">
        <is>
          <t>D-07</t>
        </is>
      </c>
      <c r="B16" s="34" t="inlineStr">
        <is>
          <t>Elenco florístico</t>
        </is>
      </c>
      <c r="C16" s="34" t="inlineStr">
        <is>
          <t>La ficha registra 12 taxones, por debajo del mínimo de 15 que exige el formato V5</t>
        </is>
      </c>
      <c r="D16" s="37" t="inlineStr">
        <is>
          <t>SUSTANTIVA</t>
        </is>
      </c>
      <c r="E16" s="34" t="inlineStr">
        <is>
          <t>Registro florístico preliminar, sin colecta ni determinación botánica formal. Debe cerrarse con colecta botánica en la siguiente campaña.</t>
        </is>
      </c>
    </row>
    <row r="17" ht="48" customHeight="1">
      <c r="A17" s="36" t="inlineStr">
        <is>
          <t>D-08</t>
        </is>
      </c>
      <c r="B17" s="36" t="inlineStr">
        <is>
          <t>Centro poblado asociado</t>
        </is>
      </c>
      <c r="C17" s="36" t="inlineStr">
        <is>
          <t>La ficha DT declara «Nueva Esperanza de Misquis (83 hab.) · Linderos de Misquis (28 hab.)»; el cruce INEI-Bloques V5 identifica 2 centro(s) poblado(s) en el bloque: LINDEROS DE MISQUIS, NUEVA ESPERANZA DE MISQUIS</t>
        </is>
      </c>
      <c r="D17" s="35" t="inlineStr">
        <is>
          <t>CONFORME</t>
        </is>
      </c>
      <c r="E17" s="36" t="inlineStr">
        <is>
          <t>Se conserva el registro de campo como referencia y se adopta el listado INEI para el diagnóstico social y el cálculo de población beneficiaria.</t>
        </is>
      </c>
    </row>
    <row r="18" ht="48" customHeight="1">
      <c r="A18" s="34" t="inlineStr">
        <is>
          <t>D-09</t>
        </is>
      </c>
      <c r="B18" s="34" t="inlineStr">
        <is>
          <t>Peligro integrado (MCA-AHP)</t>
        </is>
      </c>
      <c r="C18" s="34" t="inlineStr">
        <is>
          <t>El nivel de peligro integrado no está disponible en los insumos de este entregable</t>
        </is>
      </c>
      <c r="D18" s="37" t="inlineStr">
        <is>
          <t>SUSTANTIVA</t>
        </is>
      </c>
      <c r="E18" s="34" t="inlineStr">
        <is>
          <t>Debe tomarse del modelamiento de mesolocalización (PMM + EPH + PGI ponderados por AHP) antes de fijar la prioridad definitiva de intervención del bloque.</t>
        </is>
      </c>
    </row>
    <row r="19" ht="48" customHeight="1">
      <c r="A19" s="34" t="inlineStr">
        <is>
          <t>D-10</t>
        </is>
      </c>
      <c r="B19" s="34" t="inlineStr">
        <is>
          <t>Distribución areal MSAVI 2024</t>
        </is>
      </c>
      <c r="C19" s="34" t="inlineStr">
        <is>
          <t>La distribución por clase de MSAVI no figuraba en los insumos del entregable y se consignaba «Por determinar»; se incorpora la estadística zonal del ráster MSAVI clasificado (308 polígonos, 78.154 ha)</t>
        </is>
      </c>
      <c r="D19" s="37" t="inlineStr">
        <is>
          <t>CORREGIDO</t>
        </is>
      </c>
      <c r="E19"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0" ht="48" customHeight="1">
      <c r="A20" s="34" t="inlineStr">
        <is>
          <t>D-11</t>
        </is>
      </c>
      <c r="B20" s="34" t="inlineStr">
        <is>
          <t>Superficie MSAVI vs. catálogo</t>
        </is>
      </c>
      <c r="C20" s="34" t="inlineStr">
        <is>
          <t>La superficie total clasificada por el MSAVI 2024 (78.154 ha) frente a la de catálogo V5/V6 (78.150 ha): desviación de +0.01 %</t>
        </is>
      </c>
      <c r="D20" s="37" t="inlineStr">
        <is>
          <t>CONFORME</t>
        </is>
      </c>
      <c r="E20" s="34" t="inlineStr">
        <is>
          <t>Sin acción: la segmentación del ráster valida la geometría del bloque dentro del ±2 %.</t>
        </is>
      </c>
    </row>
    <row r="21" ht="48" customHeight="1">
      <c r="A21" s="34" t="inlineStr">
        <is>
          <t>D-12</t>
        </is>
      </c>
      <c r="B21" s="34" t="inlineStr">
        <is>
          <t>Media MSAVI vs. clase DN dominante</t>
        </is>
      </c>
      <c r="C21" s="34" t="inlineStr">
        <is>
          <t>La media del bloque (0.5323) cae en la clase «DN 4 · 0.4976 - 0.6139 (Vigor moderado)»; la clase de mayor superficie es «DN 4 · 0.4976 - 0.6139 (Vigor moderado)», con 46.68 % del bloque. Superficie bajo el umbral 0.4976: 29.306 ha (37.50 %)</t>
        </is>
      </c>
      <c r="D21" s="37" t="inlineStr">
        <is>
          <t>CONFORME</t>
        </is>
      </c>
      <c r="E21" s="34" t="inlineStr">
        <is>
          <t>Sin acción: la media del bloque y la clase de mayor superficie coinciden.</t>
        </is>
      </c>
    </row>
    <row r="22"/>
    <row r="23">
      <c r="A23" s="16" t="inlineStr">
        <is>
          <t>RESUMEN</t>
        </is>
      </c>
      <c r="B23" s="17" t="inlineStr">
        <is>
          <t>12 verificaciones</t>
        </is>
      </c>
      <c r="C23" s="17" t="inlineStr">
        <is>
          <t>CONFORME: 6 · CORREGIDO: 1 · NO SUSTANTIVA: 3 · SUSTANTIVA: 2</t>
        </is>
      </c>
      <c r="D23" s="17" t="inlineStr"/>
      <c r="E23" s="17" t="inlineStr"/>
    </row>
    <row r="24"/>
    <row r="25" ht="60" customHeight="1">
      <c r="A25"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5" s="41" t="n"/>
      <c r="C25" s="41" t="n"/>
      <c r="D25" s="41" t="n"/>
      <c r="E25" s="42" t="n"/>
    </row>
  </sheetData>
  <mergeCells count="8">
    <mergeCell ref="A4:E4"/>
    <mergeCell ref="A2:E2"/>
    <mergeCell ref="A25:E25"/>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27 — IN Piura</dc:title>
  <dc:subject>Diagnóstico Territorial por bloque de intervención</dc:subject>
  <dcterms:created xsi:type="dcterms:W3CDTF">2026-09-08T03:39:56Z</dcterms:created>
  <dcterms:modified xsi:type="dcterms:W3CDTF">2026-09-10T00:28:26Z</dcterms:modified>
</cp:coreProperties>
</file>