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78</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Tasajeras</t>
        </is>
      </c>
      <c r="C13" s="6" t="inlineStr">
        <is>
          <t>Comunidad campesina</t>
        </is>
      </c>
      <c r="D13" s="7" t="inlineStr">
        <is>
          <t>No aplica (predios de propiedad privada)</t>
        </is>
      </c>
      <c r="E13" s="8" t="n"/>
      <c r="F13" s="8" t="n"/>
    </row>
    <row r="14">
      <c r="A14" s="6" t="inlineStr">
        <is>
          <t>Superficie de catálogo (V5/V6), ha</t>
        </is>
      </c>
      <c r="B14" s="7" t="n">
        <v>35.1</v>
      </c>
      <c r="C14" s="6" t="inlineStr">
        <is>
          <t>Fuente de superficie</t>
        </is>
      </c>
      <c r="D14" s="7" t="inlineStr">
        <is>
          <t>Catálogo maestro Bloques V5/V6</t>
        </is>
      </c>
      <c r="E14" s="8" t="n"/>
      <c r="F14" s="8" t="n"/>
    </row>
    <row r="15">
      <c r="A15" s="6" t="inlineStr">
        <is>
          <t>Centroide UTM ESTE (m)</t>
        </is>
      </c>
      <c r="B15" s="7" t="n">
        <v>619630</v>
      </c>
      <c r="C15" s="6" t="inlineStr">
        <is>
          <t>Centroide UTM NORTE (m)</t>
        </is>
      </c>
      <c r="D15" s="7" t="n">
        <v>9440043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1908</v>
      </c>
      <c r="C19" s="6" t="inlineStr">
        <is>
          <t>Altitud máxima (msnm)</t>
        </is>
      </c>
      <c r="D19" s="7" t="n">
        <v>2236</v>
      </c>
      <c r="E19" s="8" t="n"/>
      <c r="F19" s="8" t="n"/>
    </row>
    <row r="20">
      <c r="A20" s="6" t="inlineStr">
        <is>
          <t>Amplitud altitudinal (m)</t>
        </is>
      </c>
      <c r="B20" s="7" t="n">
        <v>328</v>
      </c>
      <c r="C20" s="6" t="inlineStr">
        <is>
          <t>Piso altitudinal dominante</t>
        </is>
      </c>
      <c r="D20" s="7" t="inlineStr">
        <is>
          <t>2000-2500 m (Quechua alta)</t>
        </is>
      </c>
      <c r="E20" s="8" t="n"/>
      <c r="F20" s="8" t="n"/>
    </row>
    <row r="21">
      <c r="A21" s="6" t="inlineStr">
        <is>
          <t>Pendiente promedio (%)</t>
        </is>
      </c>
      <c r="B21" s="7" t="n">
        <v>30.64</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0.7074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(89.33 %)</t>
        </is>
      </c>
      <c r="E29" s="8" t="n"/>
      <c r="F29" s="8" t="n"/>
    </row>
    <row r="30">
      <c r="A30" s="6" t="inlineStr">
        <is>
          <t>Superficie clasificada NDVI 2025 (ha)</t>
        </is>
      </c>
      <c r="B30" s="7" t="n">
        <v>35.116</v>
      </c>
      <c r="C30" s="6" t="inlineStr">
        <is>
          <t>Desviación frente al catálogo (%)</t>
        </is>
      </c>
      <c r="D30" s="7" t="n">
        <v>0.04</v>
      </c>
      <c r="E30" s="8" t="n"/>
      <c r="F30" s="8" t="n"/>
    </row>
    <row r="31">
      <c r="A31" s="6" t="inlineStr">
        <is>
          <t>Superficie clasificada MSAVI 2024 (ha)</t>
        </is>
      </c>
      <c r="B31" s="39" t="n">
        <v>35.1</v>
      </c>
      <c r="C31" s="6" t="inlineStr">
        <is>
          <t>Desviación MSAVI frente al catálogo (%)</t>
        </is>
      </c>
      <c r="D31" s="40" t="n">
        <v>0</v>
      </c>
      <c r="E31" s="8" t="n"/>
      <c r="F31" s="8" t="n"/>
    </row>
    <row r="32">
      <c r="A32" s="6" t="inlineStr">
        <is>
          <t>Superficie bajo umbral MSAVI 0.4976 (ha)</t>
        </is>
      </c>
      <c r="B32" s="39" t="n">
        <v>0.62</v>
      </c>
      <c r="C32" s="6" t="inlineStr">
        <is>
          <t>% del bloque bajo umbral (brecha espectral)</t>
        </is>
      </c>
      <c r="D32" s="40" t="n">
        <v>1.77</v>
      </c>
      <c r="E32" s="8" t="n"/>
      <c r="F32" s="8" t="n"/>
    </row>
    <row r="33">
      <c r="A33" s="6" t="inlineStr">
        <is>
          <t>Clase DN dominante (MSAVI 2024)</t>
        </is>
      </c>
      <c r="B33" s="7" t="inlineStr">
        <is>
          <t>DN 5 · &gt; 0.6139 (Vigor alto)</t>
        </is>
      </c>
      <c r="C33" s="6" t="inlineStr">
        <is>
          <t>N.° de polígonos MSAVI del bloque</t>
        </is>
      </c>
      <c r="D33" s="41" t="n">
        <v>44</v>
      </c>
      <c r="E33" s="8" t="n"/>
      <c r="F33" s="8" t="n"/>
    </row>
    <row r="34"/>
    <row r="35" ht="18" customHeight="1">
      <c r="A35" s="5" t="inlineStr">
        <is>
          <t>4. ECOSISTEMA Y ESTADO DE CONSERVACIÓN</t>
        </is>
      </c>
    </row>
    <row r="36">
      <c r="A36" s="6" t="inlineStr">
        <is>
          <t>Tipo de ecosistema (UP)</t>
        </is>
      </c>
      <c r="B36" s="7" t="inlineStr">
        <is>
          <t>Matorral Andino húmedo (con mosaico de zona agrícola, según Intersecc_BloquesV4_Ecosistemas)</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inlineStr">
        <is>
          <t>Por determinar</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 Talledo Hernández; Ing. J.C. Domínguez Varas</t>
        </is>
      </c>
      <c r="C44" s="6" t="inlineStr">
        <is>
          <t>Fecha de evaluación</t>
        </is>
      </c>
      <c r="D44" s="7" t="inlineStr">
        <is>
          <t>2026-06-17</t>
        </is>
      </c>
      <c r="E44" s="8" t="n"/>
      <c r="F44" s="8" t="n"/>
    </row>
    <row r="45">
      <c r="A45" s="6" t="inlineStr">
        <is>
          <t>Hora de registro</t>
        </is>
      </c>
      <c r="B45" s="7" t="inlineStr">
        <is>
          <t>11:10 - 12:07 h</t>
        </is>
      </c>
      <c r="C45" s="6" t="inlineStr">
        <is>
          <t>Correlativo de ficha</t>
        </is>
      </c>
      <c r="D45" s="7" t="inlineStr">
        <is>
          <t>DT-78-01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Reconocimiento por transecto (recorrido GPS Garmin 66sr); sin parcela fija establecida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29.6353</v>
      </c>
      <c r="C10" s="31">
        <f>ROUND(B10/$B$15*100,2)</f>
        <v>84.43</v>
      </c>
      <c r="D10" s="12" t="inlineStr">
        <is>
          <t>Vigor alto</t>
        </is>
      </c>
      <c r="E10" s="12" t="inlineStr">
        <is>
          <t>Sobre umbral</t>
        </is>
      </c>
    </row>
    <row r="11">
      <c r="A11" s="13" t="inlineStr">
        <is>
          <t>0.4976 - 0.6139 · DN 4</t>
        </is>
      </c>
      <c r="B11" s="20" t="n">
        <v>4.8451</v>
      </c>
      <c r="C11" s="21">
        <f>ROUND(B11/$B$15*100,2)</f>
        <v>13.8</v>
      </c>
      <c r="D11" s="14" t="inlineStr">
        <is>
          <t>Vigor moderado</t>
        </is>
      </c>
      <c r="E11" s="14" t="inlineStr">
        <is>
          <t>Sobre umbral</t>
        </is>
      </c>
    </row>
    <row r="12">
      <c r="A12" s="7" t="inlineStr">
        <is>
          <t>0.3813 - 0.4976 · DN 3</t>
        </is>
      </c>
      <c r="B12" s="18" t="n">
        <v>0.5998</v>
      </c>
      <c r="C12" s="19">
        <f>ROUND(B12/$B$15*100,2)</f>
        <v>1.71</v>
      </c>
      <c r="D12" s="15" t="inlineStr">
        <is>
          <t>Vigor bajo</t>
        </is>
      </c>
      <c r="E12" s="15" t="inlineStr">
        <is>
          <t>BAJO umbral 0.4976</t>
        </is>
      </c>
    </row>
    <row r="13">
      <c r="A13" s="13" t="inlineStr">
        <is>
          <t>0.2650 - 0.3813 · DN 2</t>
        </is>
      </c>
      <c r="B13" s="20" t="n">
        <v>0.0198</v>
      </c>
      <c r="C13" s="21">
        <f>ROUND(B13/$B$15*100,2)</f>
        <v>0.06</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4" t="inlineStr">
        <is>
          <t>TOTAL CLASIFICADO MSAVI 2024</t>
        </is>
      </c>
      <c r="B15" s="45">
        <f>SUM(B10:B14)</f>
        <v>35.1</v>
      </c>
      <c r="C15" s="46">
        <f>SUM(C10:C14)</f>
        <v>100.0</v>
      </c>
      <c r="D15" s="44" t="inlineStr">
        <is>
          <t>Suma de la distribución areal · 44 polígonos</t>
        </is>
      </c>
      <c r="E15" s="44" t="inlineStr">
        <is>
          <t>—</t>
        </is>
      </c>
    </row>
    <row r="16" ht="30" customHeight="1">
      <c r="A16" s="47" t="inlineStr">
        <is>
          <t>Superficie SOBRE umbral 0.4976 (ha)</t>
        </is>
      </c>
      <c r="B16" s="48">
        <f>SUM(B10:B11)</f>
        <v>34.4804</v>
      </c>
      <c r="C16" s="49">
        <f>ROUND(B16/B15*100,2)</f>
        <v>98.23</v>
      </c>
      <c r="D16" s="47" t="inlineStr">
        <is>
          <t>Vigor alto y moderado (DN 4 y DN 5)</t>
        </is>
      </c>
      <c r="E16" s="47" t="inlineStr">
        <is>
          <t>Sobre umbral 0.4976</t>
        </is>
      </c>
    </row>
    <row r="17" ht="30" customHeight="1">
      <c r="A17" s="47" t="inlineStr">
        <is>
          <t>Superficie BAJO umbral 0.4976 (ha) — brecha</t>
        </is>
      </c>
      <c r="B17" s="48">
        <f>SUM(B12:B14)</f>
        <v>0.6196</v>
      </c>
      <c r="C17" s="49">
        <f>ROUND(B17/B15*100,2)</f>
        <v>1.77</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35.1</v>
      </c>
      <c r="C18" s="50" t="inlineStr">
        <is>
          <t>—</t>
        </is>
      </c>
      <c r="D18" s="47" t="inlineStr">
        <is>
          <t>Desviación planimétrica frente al catálogo</t>
        </is>
      </c>
      <c r="E18" s="47" t="inlineStr">
        <is>
          <t>+0.00 %</t>
        </is>
      </c>
    </row>
    <row r="19">
      <c r="A19" s="16" t="inlineStr">
        <is>
          <t>MSAVI 2024 — MEDIA DEL BLOQUE</t>
        </is>
      </c>
      <c r="B19" s="17" t="n">
        <v>0.707402</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(0.7074)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31.3699</v>
      </c>
      <c r="C25" s="19" t="n">
        <v>89.33</v>
      </c>
      <c r="D25" s="15" t="inlineStr">
        <is>
          <t>Dosel continuo, matorral denso o mosaico agroforestal</t>
        </is>
      </c>
      <c r="E25" s="15" t="inlineStr"/>
    </row>
    <row r="26">
      <c r="A26" s="13" t="inlineStr">
        <is>
          <t>Vegetación mediana</t>
        </is>
      </c>
      <c r="B26" s="20" t="n">
        <v>3.5187</v>
      </c>
      <c r="C26" s="21" t="n">
        <v>10.02</v>
      </c>
      <c r="D26" s="14" t="inlineStr">
        <is>
          <t>Pastizal cultivado, matorral ralo, parcelas agrícolas</t>
        </is>
      </c>
      <c r="E26" s="14" t="inlineStr"/>
    </row>
    <row r="27">
      <c r="A27" s="7" t="inlineStr">
        <is>
          <t>Vegetación ligera</t>
        </is>
      </c>
      <c r="B27" s="18" t="n">
        <v>0.2271</v>
      </c>
      <c r="C27" s="19" t="n">
        <v>0.65</v>
      </c>
      <c r="D27" s="15" t="inlineStr">
        <is>
          <t>Cobertura discontinua, suelo parcialmente expuesto</t>
        </is>
      </c>
      <c r="E27" s="15" t="inlineStr"/>
    </row>
    <row r="28">
      <c r="A28" s="16" t="inlineStr">
        <is>
          <t>TOTAL CLASIFICADO</t>
        </is>
      </c>
      <c r="B28" s="22">
        <f>SUM(B25:B27)</f>
        <v>35.1157</v>
      </c>
      <c r="C28" s="23">
        <f>SUM(C25:C27)</f>
        <v>100.0</v>
      </c>
      <c r="D28" s="17" t="inlineStr"/>
      <c r="E28" s="17" t="inlineStr"/>
    </row>
    <row r="29">
      <c r="A29" s="24" t="inlineStr">
        <is>
          <t>Superficie de catálogo (V5/V6)</t>
        </is>
      </c>
      <c r="B29" s="25" t="n">
        <v>35.1</v>
      </c>
      <c r="C29" s="25" t="inlineStr">
        <is>
          <t>—</t>
        </is>
      </c>
      <c r="D29" s="25" t="inlineStr">
        <is>
          <t>Desviación planimétrica frente al catálogo</t>
        </is>
      </c>
      <c r="E29" s="25" t="inlineStr">
        <is>
          <t>+0.04 %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89.33 % del polígono clasificado como «Vegetación alta» por el NDVI 2025; la observación de campo corresponde a una parcela o recorrido puntual y no es estadísticamente representativa de las 35.100 ha del bloque.</t>
        </is>
      </c>
      <c r="B31" s="42" t="n"/>
      <c r="C31" s="42" t="n"/>
      <c r="D31" s="42" t="n"/>
      <c r="E31" s="43"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78</t>
        </is>
      </c>
    </row>
    <row r="6" ht="24" customHeight="1">
      <c r="A6" s="4" t="inlineStr">
        <is>
          <t>Levantamiento del 2026-06-17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619630</v>
      </c>
      <c r="D10" s="26" t="n">
        <v>9440043</v>
      </c>
      <c r="E10" s="15" t="n">
        <v>0</v>
      </c>
      <c r="F10" s="15" t="inlineStr"/>
      <c r="G10" s="15" t="inlineStr">
        <is>
          <t>Coordenada consignada en F-DT-01</t>
        </is>
      </c>
    </row>
    <row r="11">
      <c r="A11" s="13" t="inlineStr">
        <is>
          <t>H-01</t>
        </is>
      </c>
      <c r="B11" s="14" t="inlineStr">
        <is>
          <t>Fuente de agua — Manantial / Puquio</t>
        </is>
      </c>
      <c r="C11" s="27" t="n">
        <v>618998</v>
      </c>
      <c r="D11" s="27" t="n">
        <v>9439919</v>
      </c>
      <c r="E11" s="14" t="n">
        <v>644</v>
      </c>
      <c r="F11" s="14" t="inlineStr">
        <is>
          <t>Permanente</t>
        </is>
      </c>
      <c r="G11" s="14" t="inlineStr">
        <is>
          <t>Manantial con captación rústica</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619630</v>
      </c>
      <c r="C14" s="6" t="inlineStr">
        <is>
          <t>Centroide del bloque — UTM NORTE (m)</t>
        </is>
      </c>
      <c r="D14" s="7" t="n">
        <v>9440043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6"/>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COBERTURA VEGETAL DENSA (MSAVI 2024 mayoritariamente &gt;0.61). La inestabilidad observada se concentra en los CORTES DE TALUD DE LA VÍA VECINAL PI-799 (raíces expuestas, erosión incipiente). Se observan rodados/bloques aislados cerca del manantial (no afloramientos de roca). Reptación de suelo y deslizamientos antiguos: NO evidenciados en el recorrido; se mencionan únicamente como posibilidad en laderas sobrepastoreadas (verificación pendiente). Altitud del bloque 1 898-2 207 msnm; pendiente media ~43%, máxima ~54% (perfil Google Earth).</t>
        </is>
      </c>
      <c r="B17" s="42" t="n"/>
      <c r="C17" s="42" t="n"/>
      <c r="D17" s="42" t="n"/>
      <c r="E17" s="42" t="n"/>
      <c r="F17" s="42" t="n"/>
      <c r="G17" s="43"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78</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7" t="inlineStr">
        <is>
          <t>17</t>
        </is>
      </c>
      <c r="B12" s="28" t="n">
        <v>96.08</v>
      </c>
      <c r="C12" s="19" t="n">
        <v>11.25</v>
      </c>
      <c r="D12" s="15" t="inlineStr">
        <is>
          <t>1253 – 1880</t>
        </is>
      </c>
      <c r="E12" s="15" t="n">
        <v>627</v>
      </c>
      <c r="F12" s="15" t="n">
        <v>35.56</v>
      </c>
      <c r="G12" s="18" t="n">
        <v>0.6479</v>
      </c>
      <c r="H12" s="19" t="n">
        <v>88.68000000000001</v>
      </c>
      <c r="I12" s="19"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7" t="inlineStr">
        <is>
          <t>82</t>
        </is>
      </c>
      <c r="B18" s="28" t="n">
        <v>35.66</v>
      </c>
      <c r="C18" s="19" t="n">
        <v>4.18</v>
      </c>
      <c r="D18" s="15" t="inlineStr">
        <is>
          <t>1796 – 2098</t>
        </is>
      </c>
      <c r="E18" s="15" t="n">
        <v>302</v>
      </c>
      <c r="F18" s="15" t="n">
        <v>23.55</v>
      </c>
      <c r="G18" s="18" t="n">
        <v>0.6283</v>
      </c>
      <c r="H18" s="19" t="n">
        <v>90.06999999999999</v>
      </c>
      <c r="I18" s="19" t="n">
        <v>12.67</v>
      </c>
    </row>
    <row r="19">
      <c r="A19" s="11" t="inlineStr">
        <is>
          <t>► 78</t>
        </is>
      </c>
      <c r="B19" s="30" t="n">
        <v>35.1</v>
      </c>
      <c r="C19" s="31" t="n">
        <v>4.11</v>
      </c>
      <c r="D19" s="12" t="inlineStr">
        <is>
          <t>1908 – 2236</t>
        </is>
      </c>
      <c r="E19" s="12" t="n">
        <v>328</v>
      </c>
      <c r="F19" s="12" t="n">
        <v>30.64</v>
      </c>
      <c r="G19" s="32" t="n">
        <v>0.7074</v>
      </c>
      <c r="H19" s="31" t="n">
        <v>89.33</v>
      </c>
      <c r="I19" s="3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3" t="inlineStr">
        <is>
          <t>59</t>
        </is>
      </c>
      <c r="B21" s="29"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78 ocupa el puesto 10 de 12 por superficie dentro de la microcuenca C1086-Q9570 (4.11 % de las 853.87 ha preliminares de la microcuenca). Su pendiente promedio (30.64 %, clase «25-50% (Mod. escarpado)») es la 9.ª más baja de 12 y se sitúa por encima del promedio de la microcuenca (28.51 %). Su MSAVI 2024 (0.7074) es el 1.º de 12 y queda por encima del promedio local (0.5993). Amplitud altitudinal del bloque: 328 m (1908–2236 msnm). El cuadro conserva todos los bloques catalogados en la microcuenca, incluidos los descartados en el tamizaje, para referencia del conjunto. Los bloques sin ficha DT figuran con sus parámetros de gabinete. BRECHA ESPECTRAL. El 1.77 % de la superficie del bloque (0.620 ha de 35.100 ha) se sitúa bajo el umbral MSAVI 0.4976, por debajo del promedio local de la microcuenca (19.14 %) calculado sobre los bloques con dato MSAVI disponible.</t>
        </is>
      </c>
      <c r="B24" s="42" t="n"/>
      <c r="C24" s="42" t="n"/>
      <c r="D24" s="42" t="n"/>
      <c r="E24" s="42" t="n"/>
      <c r="F24" s="42" t="n"/>
      <c r="G24" s="42" t="n"/>
      <c r="H24" s="43"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2" t="n"/>
      <c r="C26" s="42" t="n"/>
      <c r="D26" s="42" t="n"/>
      <c r="E26" s="42" t="n"/>
      <c r="F26" s="42" t="n"/>
      <c r="G26" s="42" t="n"/>
      <c r="H26" s="43"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(35.116 ha) coincide con la de catálogo (35.1 ha) dentro del ±2 % (+0.04 %)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0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«Tasajeras»; el cruce INEI-Bloques V5 identifica 1 centro(s) poblado(s) en el bloque: TASAJERAS</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Plan de Ingreso</t>
        </is>
      </c>
      <c r="C17" s="36" t="inlineStr">
        <is>
          <t>Altitud = 0 msnm (captura por defecto del aplicativo)</t>
        </is>
      </c>
      <c r="D17" s="38" t="inlineStr">
        <is>
          <t>CORREGIDO</t>
        </is>
      </c>
      <c r="E17" s="36" t="inlineStr">
        <is>
          <t>Se reemplaza por la altitud GPS de campo (2000 msnm)</t>
        </is>
      </c>
    </row>
    <row r="18" ht="48" customHeight="1">
      <c r="A18" s="34" t="inlineStr">
        <is>
          <t>D-09</t>
        </is>
      </c>
      <c r="B18" s="34" t="inlineStr">
        <is>
          <t>F-DT-03</t>
        </is>
      </c>
      <c r="C18" s="34" t="inlineStr">
        <is>
          <t>Superficie de ecosistema, coberturas por estrato, alturas y DAP sin medición</t>
        </is>
      </c>
      <c r="D18" s="12" t="inlineStr">
        <is>
          <t>NO SUSTANTIVA</t>
        </is>
      </c>
      <c r="E18" s="34" t="inlineStr">
        <is>
          <t>Pendientes de parcelas de muestreo (10x10 m)</t>
        </is>
      </c>
    </row>
    <row r="19" ht="48" customHeight="1">
      <c r="A19" s="36" t="inlineStr">
        <is>
          <t>D-10</t>
        </is>
      </c>
      <c r="B19" s="36" t="inlineStr">
        <is>
          <t>F-DT-03</t>
        </is>
      </c>
      <c r="C19" s="36" t="inlineStr">
        <is>
          <t>Identificaciones botánicas preliminares; se recomienda herborización (MOL-UNALM o HUT)</t>
        </is>
      </c>
      <c r="D19" s="12" t="inlineStr">
        <is>
          <t>NO SUSTANTIVA</t>
        </is>
      </c>
      <c r="E19" s="36" t="inlineStr">
        <is>
          <t>Determinación formal pendiente</t>
        </is>
      </c>
    </row>
    <row r="20" ht="48" customHeight="1">
      <c r="A20" s="34" t="inlineStr">
        <is>
          <t>D-11</t>
        </is>
      </c>
      <c r="B20" s="34" t="inlineStr">
        <is>
          <t>F-DT-04</t>
        </is>
      </c>
      <c r="C20" s="34" t="inlineStr">
        <is>
          <t>Indicadores de suelo desnudo, carga ganadera, % pendiente &gt;50% y frecuencia de quemas no cuantificados</t>
        </is>
      </c>
      <c r="D20" s="12" t="inlineStr">
        <is>
          <t>NO SUSTANTIVA</t>
        </is>
      </c>
      <c r="E20" s="34" t="inlineStr">
        <is>
          <t>Medición complementaria pendiente</t>
        </is>
      </c>
    </row>
    <row r="21" ht="48" customHeight="1">
      <c r="A21" s="36" t="inlineStr">
        <is>
          <t>D-12</t>
        </is>
      </c>
      <c r="B21" s="36" t="inlineStr">
        <is>
          <t>F-DT-01</t>
        </is>
      </c>
      <c r="C21" s="36" t="inlineStr">
        <is>
          <t>Reptación y deslizamientos antiguos: «No» corresponde a no evidenciados en el recorrido, no a ausencia verificada</t>
        </is>
      </c>
      <c r="D21" s="12" t="inlineStr">
        <is>
          <t>NO SUSTANTIVA</t>
        </is>
      </c>
      <c r="E21" s="36" t="inlineStr">
        <is>
          <t>Declarado en la propia ficha</t>
        </is>
      </c>
    </row>
    <row r="22" ht="48" customHeight="1">
      <c r="A22" s="36" t="inlineStr">
        <is>
          <t>D-13</t>
        </is>
      </c>
      <c r="B22" s="36" t="inlineStr">
        <is>
          <t>Distribución areal MSAVI 2024</t>
        </is>
      </c>
      <c r="C22" s="36" t="inlineStr">
        <is>
          <t>La distribución por clase de MSAVI no figuraba en los insumos del entregable y se consignaba «Por determinar»; se incorpora la estadística zonal del ráster MSAVI clasificado (44 polígonos, 35.100 ha)</t>
        </is>
      </c>
      <c r="D22" s="12" t="inlineStr">
        <is>
          <t>CORREGIDO</t>
        </is>
      </c>
      <c r="E22"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3" ht="48" customHeight="1">
      <c r="A23" s="36" t="inlineStr">
        <is>
          <t>D-14</t>
        </is>
      </c>
      <c r="B23" s="36" t="inlineStr">
        <is>
          <t>Superficie MSAVI vs. catálogo</t>
        </is>
      </c>
      <c r="C23" s="36" t="inlineStr">
        <is>
          <t>La superficie total clasificada por el MSAVI 2024 (35.100 ha) frente a la de catálogo V5/V6 (35.100 ha): desviación de +0.00 %</t>
        </is>
      </c>
      <c r="D23" s="12" t="inlineStr">
        <is>
          <t>CONFORME</t>
        </is>
      </c>
      <c r="E23" s="36" t="inlineStr">
        <is>
          <t>Sin acción: la segmentación del ráster valida la geometría del bloque dentro del ±2 %.</t>
        </is>
      </c>
    </row>
    <row r="24" ht="48" customHeight="1">
      <c r="A24" s="36" t="inlineStr">
        <is>
          <t>D-15</t>
        </is>
      </c>
      <c r="B24" s="36" t="inlineStr">
        <is>
          <t>Media MSAVI vs. clase DN dominante</t>
        </is>
      </c>
      <c r="C24" s="36" t="inlineStr">
        <is>
          <t>La media del bloque (0.7074) cae en la clase «DN 5 · &gt; 0.6139 (Vigor alto)»; la clase de mayor superficie es «DN 5 · &gt; 0.6139 (Vigor alto)», con 84.43 % del bloque. Superficie bajo el umbral 0.4976: 0.620 ha (1.77 %)</t>
        </is>
      </c>
      <c r="D24" s="12" t="inlineStr">
        <is>
          <t>CONFORME</t>
        </is>
      </c>
      <c r="E24" s="36" t="inlineStr">
        <is>
          <t>Sin acción: la media del bloque y la clase de mayor superficie coinciden.</t>
        </is>
      </c>
    </row>
    <row r="25"/>
    <row r="26">
      <c r="A26" s="16" t="inlineStr">
        <is>
          <t>RESUMEN</t>
        </is>
      </c>
      <c r="B26" s="17" t="inlineStr">
        <is>
          <t>15 verificaciones</t>
        </is>
      </c>
      <c r="C26" s="17" t="inlineStr">
        <is>
          <t>CONFORME: 6 · CORREGIDO: 2 · NO SUSTANTIVA: 5 · SUSTANTIVA: 2</t>
        </is>
      </c>
      <c r="D26" s="17" t="inlineStr"/>
      <c r="E26" s="17" t="inlineStr"/>
    </row>
    <row r="27"/>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42" t="n"/>
      <c r="C28" s="42" t="n"/>
      <c r="D28" s="42" t="n"/>
      <c r="E28" s="43"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78 — IN Piura</dc:title>
  <dc:subject>Diagnóstico Territorial por bloque de intervención</dc:subject>
  <dcterms:created xsi:type="dcterms:W3CDTF">2026-09-08T03:39:57Z</dcterms:created>
  <dcterms:modified xsi:type="dcterms:W3CDTF">2026-09-10T00:28:29Z</dcterms:modified>
</cp:coreProperties>
</file>