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4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M20B1</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M20B1</t>
        </is>
      </c>
      <c r="C9" s="6" t="inlineStr">
        <is>
          <t>Microcuenca (catálogo)</t>
        </is>
      </c>
      <c r="D9" s="7" t="inlineStr">
        <is>
          <t>C1076-Q9585</t>
        </is>
      </c>
      <c r="E9" s="8" t="n"/>
      <c r="F9" s="8" t="n"/>
    </row>
    <row r="10">
      <c r="A10" s="6" t="inlineStr">
        <is>
          <t>Zona de planificación</t>
        </is>
      </c>
      <c r="B10" s="7" t="inlineStr">
        <is>
          <t>Z12</t>
        </is>
      </c>
      <c r="C10" s="6" t="inlineStr">
        <is>
          <t>Microcuenca declarada en ficha DT</t>
        </is>
      </c>
      <c r="D10" s="7" t="inlineStr">
        <is>
          <t>C1076-Q9584 (valor por defecto de la plantilla; el catálogo asigna al bloque la microcuenca C1076-Q9585)</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San Miguel de El Faique</t>
        </is>
      </c>
      <c r="C12" s="6" t="inlineStr">
        <is>
          <t>Capital distrital</t>
        </is>
      </c>
      <c r="D12" s="7" t="inlineStr">
        <is>
          <t>San Miguel de El Faique</t>
        </is>
      </c>
      <c r="E12" s="8" t="n"/>
      <c r="F12" s="8" t="n"/>
    </row>
    <row r="13">
      <c r="A13" s="6" t="inlineStr">
        <is>
          <t>Centro poblado asociado</t>
        </is>
      </c>
      <c r="B13" s="7" t="inlineStr">
        <is>
          <t>Las Huacas</t>
        </is>
      </c>
      <c r="C13" s="6" t="inlineStr">
        <is>
          <t>Comunidad campesina</t>
        </is>
      </c>
      <c r="D13" s="7" t="inlineStr">
        <is>
          <t>No consignada</t>
        </is>
      </c>
      <c r="E13" s="8" t="n"/>
      <c r="F13" s="8" t="n"/>
    </row>
    <row r="14">
      <c r="A14" s="6" t="inlineStr">
        <is>
          <t>Superficie de catálogo (V5/V6), ha</t>
        </is>
      </c>
      <c r="B14" s="7" t="n">
        <v>279.68</v>
      </c>
      <c r="C14" s="6" t="inlineStr">
        <is>
          <t>Fuente de superficie</t>
        </is>
      </c>
      <c r="D14" s="7" t="inlineStr">
        <is>
          <t>Catálogo maestro Bloques V5/V6</t>
        </is>
      </c>
      <c r="E14" s="8" t="n"/>
      <c r="F14" s="8" t="n"/>
    </row>
    <row r="15">
      <c r="A15" s="6" t="inlineStr">
        <is>
          <t>Centroide UTM ESTE (m)</t>
        </is>
      </c>
      <c r="B15" s="7" t="n">
        <v>641196</v>
      </c>
      <c r="C15" s="6" t="inlineStr">
        <is>
          <t>Centroide UTM NORTE (m)</t>
        </is>
      </c>
      <c r="D15" s="7" t="n">
        <v>9398710</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249</v>
      </c>
      <c r="C19" s="6" t="inlineStr">
        <is>
          <t>Altitud máxima (msnm)</t>
        </is>
      </c>
      <c r="D19" s="7" t="n">
        <v>525</v>
      </c>
      <c r="E19" s="8" t="n"/>
      <c r="F19" s="8" t="n"/>
    </row>
    <row r="20">
      <c r="A20" s="6" t="inlineStr">
        <is>
          <t>Amplitud altitudinal (m)</t>
        </is>
      </c>
      <c r="B20" s="7" t="n">
        <v>276</v>
      </c>
      <c r="C20" s="6" t="inlineStr">
        <is>
          <t>Piso altitudinal dominante</t>
        </is>
      </c>
      <c r="D20" s="7" t="inlineStr">
        <is>
          <t>&lt;1000 m (Yunga)</t>
        </is>
      </c>
      <c r="E20" s="8" t="n"/>
      <c r="F20" s="8" t="n"/>
    </row>
    <row r="21">
      <c r="A21" s="6" t="inlineStr">
        <is>
          <t>Pendiente promedio (%)</t>
        </is>
      </c>
      <c r="B21" s="7" t="n">
        <v>15.53</v>
      </c>
      <c r="C21" s="6" t="inlineStr">
        <is>
          <t>Pendiente promedio (grados)</t>
        </is>
      </c>
      <c r="D21" s="7" t="n">
        <v>8.800000000000001</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baja</t>
        </is>
      </c>
      <c r="E23" s="8" t="n"/>
      <c r="F23" s="8" t="n"/>
    </row>
    <row r="24">
      <c r="A24" s="6" t="inlineStr">
        <is>
          <t>Exposición / orientación</t>
        </is>
      </c>
      <c r="B24" s="7" t="inlineStr">
        <is>
          <t>Noroeste</t>
        </is>
      </c>
      <c r="C24" s="6" t="inlineStr">
        <is>
          <t>Afloramientos rocosos</t>
        </is>
      </c>
      <c r="D24" s="7" t="inlineStr">
        <is>
          <t>No</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0.3553</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mediana (54.60 %)</t>
        </is>
      </c>
      <c r="E29" s="8" t="n"/>
      <c r="F29" s="8" t="n"/>
    </row>
    <row r="30">
      <c r="A30" s="6" t="inlineStr">
        <is>
          <t>Superficie clasificada NDVI 2025 (ha)</t>
        </is>
      </c>
      <c r="B30" s="7" t="n">
        <v>279.766</v>
      </c>
      <c r="C30" s="6" t="inlineStr">
        <is>
          <t>Desviación frente al catálogo (%)</t>
        </is>
      </c>
      <c r="D30" s="7" t="n">
        <v>0.03</v>
      </c>
      <c r="E30" s="8" t="n"/>
      <c r="F30" s="8" t="n"/>
    </row>
    <row r="31">
      <c r="A31" s="6" t="inlineStr">
        <is>
          <t>Superficie clasificada MSAVI 2024 (ha)</t>
        </is>
      </c>
      <c r="B31" s="36" t="n">
        <v>279.68</v>
      </c>
      <c r="C31" s="6" t="inlineStr">
        <is>
          <t>Desviación MSAVI frente al catálogo (%)</t>
        </is>
      </c>
      <c r="D31" s="37" t="n">
        <v>0</v>
      </c>
      <c r="E31" s="8" t="n"/>
      <c r="F31" s="8" t="n"/>
    </row>
    <row r="32">
      <c r="A32" s="6" t="inlineStr">
        <is>
          <t>Superficie bajo umbral MSAVI 0.4976 (ha)</t>
        </is>
      </c>
      <c r="B32" s="36" t="n">
        <v>271.804</v>
      </c>
      <c r="C32" s="6" t="inlineStr">
        <is>
          <t>% del bloque bajo umbral (brecha espectral)</t>
        </is>
      </c>
      <c r="D32" s="37" t="n">
        <v>97.18000000000001</v>
      </c>
      <c r="E32" s="8" t="n"/>
      <c r="F32" s="8" t="n"/>
    </row>
    <row r="33">
      <c r="A33" s="6" t="inlineStr">
        <is>
          <t>Clase DN dominante (MSAVI 2024)</t>
        </is>
      </c>
      <c r="B33" s="7" t="inlineStr">
        <is>
          <t>DN 2 · 0.2650 - 0.3813 (Vigor muy bajo)</t>
        </is>
      </c>
      <c r="C33" s="6" t="inlineStr">
        <is>
          <t>N.° de polígonos MSAVI del bloque</t>
        </is>
      </c>
      <c r="D33" s="38" t="n">
        <v>792</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200 ha de 279.68 ha del bloque (71.5%); el 28.5% restante no fue asignado a ecosistema en la ficha</t>
        </is>
      </c>
      <c r="E36" s="8" t="n"/>
      <c r="F36" s="8" t="n"/>
    </row>
    <row r="37">
      <c r="A37" s="6" t="inlineStr">
        <is>
          <t>Estado de conservación</t>
        </is>
      </c>
      <c r="B37" s="7" t="inlineStr">
        <is>
          <t>Medianamente alterado</t>
        </is>
      </c>
      <c r="C37" s="6" t="inlineStr">
        <is>
          <t>Uso actual dominante del suelo</t>
        </is>
      </c>
      <c r="D37" s="7" t="inlineStr">
        <is>
          <t>Pastoreo extensivo</t>
        </is>
      </c>
      <c r="E37" s="8" t="n"/>
      <c r="F37" s="8" t="n"/>
    </row>
    <row r="38">
      <c r="A38" s="6" t="inlineStr">
        <is>
          <t>Tipo de cobertura dominante</t>
        </is>
      </c>
      <c r="B38" s="7" t="inlineStr">
        <is>
          <t>Bosque denso (&gt;70%)</t>
        </is>
      </c>
      <c r="C38" s="6" t="inlineStr">
        <is>
          <t>Cobertura vegetal total — campo (%)</t>
        </is>
      </c>
      <c r="D38" s="7" t="n">
        <v>80</v>
      </c>
      <c r="E38" s="8" t="n"/>
      <c r="F38" s="8" t="n"/>
    </row>
    <row r="39">
      <c r="A39" s="6" t="inlineStr">
        <is>
          <t>Suelo desnudo — campo (%)</t>
        </is>
      </c>
      <c r="B39" s="7" t="n">
        <v>10</v>
      </c>
      <c r="C39" s="6" t="inlineStr">
        <is>
          <t>Regeneración natural</t>
        </is>
      </c>
      <c r="D39" s="7" t="inlineStr">
        <is>
          <t>Por determinar</t>
        </is>
      </c>
      <c r="E39" s="8" t="n"/>
      <c r="F39" s="8" t="n"/>
    </row>
    <row r="40">
      <c r="A40" s="6" t="inlineStr">
        <is>
          <t>Nivel general de erosión</t>
        </is>
      </c>
      <c r="B40" s="7" t="inlineStr">
        <is>
          <t>Moderada (surcos)</t>
        </is>
      </c>
      <c r="C40" s="6" t="inlineStr">
        <is>
          <t>N.° de cárcavas registradas</t>
        </is>
      </c>
      <c r="D40" s="7" t="n">
        <v>0</v>
      </c>
      <c r="E40" s="8" t="n"/>
      <c r="F40" s="8" t="n"/>
    </row>
    <row r="41">
      <c r="A41" s="6" t="inlineStr">
        <is>
          <t>Elenco florístico (n.° de taxones)</t>
        </is>
      </c>
      <c r="B41" s="7" t="n">
        <v>7</v>
      </c>
      <c r="C41" s="6" t="inlineStr">
        <is>
          <t>Estado sanitario</t>
        </is>
      </c>
      <c r="D41" s="7" t="inlineStr">
        <is>
          <t>Por determinar</t>
        </is>
      </c>
      <c r="E41" s="8" t="n"/>
      <c r="F41" s="8" t="n"/>
    </row>
    <row r="42"/>
    <row r="43" ht="18" customHeight="1">
      <c r="A43" s="5" t="inlineStr">
        <is>
          <t>5. RESPONSABLE Y MODALIDAD DE LA EVALUACIÓN</t>
        </is>
      </c>
    </row>
    <row r="44">
      <c r="A44" s="6" t="inlineStr">
        <is>
          <t>Responsable de la evaluación</t>
        </is>
      </c>
      <c r="B44" s="7" t="inlineStr">
        <is>
          <t>Ing. Juan Domínguez</t>
        </is>
      </c>
      <c r="C44" s="6" t="inlineStr">
        <is>
          <t>Fecha de evaluación</t>
        </is>
      </c>
      <c r="D44" s="7" t="inlineStr">
        <is>
          <t>2026-08-04</t>
        </is>
      </c>
      <c r="E44" s="8" t="n"/>
      <c r="F44" s="8" t="n"/>
    </row>
    <row r="45">
      <c r="A45" s="6" t="inlineStr">
        <is>
          <t>Hora de registro</t>
        </is>
      </c>
      <c r="B45" s="7" t="inlineStr">
        <is>
          <t>15:00 h</t>
        </is>
      </c>
      <c r="C45" s="6" t="inlineStr">
        <is>
          <t>Correlativo de ficha</t>
        </is>
      </c>
      <c r="D45" s="7" t="inlineStr">
        <is>
          <t>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Por determinar</t>
        </is>
      </c>
      <c r="E47" s="8" t="n"/>
      <c r="F47" s="8" t="n"/>
    </row>
    <row r="48">
      <c r="A48" s="6" t="inlineStr">
        <is>
          <t>Estaciones fotográficas georreferenciadas</t>
        </is>
      </c>
      <c r="B48" s="7" t="n">
        <v>0</v>
      </c>
      <c r="C48" s="6" t="inlineStr">
        <is>
          <t>Modalidad de acceso</t>
        </is>
      </c>
      <c r="D48" s="7" t="inlineStr">
        <is>
          <t>Vehicular + caminata</t>
        </is>
      </c>
      <c r="E48" s="8" t="n"/>
      <c r="F48" s="8" t="n"/>
    </row>
    <row r="49"/>
    <row r="50" ht="18" customHeight="1">
      <c r="A50" s="5" t="inlineStr">
        <is>
          <t>6. SÍNTESIS PARA LA GESTIÓN DEL RIESGO EN CONTEXTO DE CAMBIO CLIMÁTICO</t>
        </is>
      </c>
    </row>
    <row r="51">
      <c r="A51" s="6" t="inlineStr">
        <is>
          <t>Causa subyacente principal</t>
        </is>
      </c>
      <c r="B51" s="7" t="inlineStr">
        <is>
          <t>No consignada en el formato de campo</t>
        </is>
      </c>
      <c r="C51" s="6" t="inlineStr">
        <is>
          <t>Velocidad de degradación</t>
        </is>
      </c>
      <c r="D51" s="7" t="inlineStr">
        <is>
          <t>Lenta</t>
        </is>
      </c>
      <c r="E51" s="8" t="n"/>
      <c r="F51" s="8" t="n"/>
    </row>
    <row r="52">
      <c r="A52" s="6" t="inlineStr">
        <is>
          <t>Reversibilidad técnica</t>
        </is>
      </c>
      <c r="B52" s="7" t="inlineStr">
        <is>
          <t>Totalmente reversible</t>
        </is>
      </c>
      <c r="C52" s="6" t="inlineStr">
        <is>
          <t>Urgencia de intervención</t>
        </is>
      </c>
      <c r="D52" s="7" t="inlineStr">
        <is>
          <t>Baja</t>
        </is>
      </c>
      <c r="E52" s="8" t="n"/>
      <c r="F52" s="8" t="n"/>
    </row>
    <row r="53">
      <c r="A53" s="6" t="inlineStr">
        <is>
          <t>Urgencia de control de erosión</t>
        </is>
      </c>
      <c r="B53" s="7" t="inlineStr">
        <is>
          <t>Media</t>
        </is>
      </c>
      <c r="C53" s="6" t="inlineStr">
        <is>
          <t>Zona de recarga hídrica</t>
        </is>
      </c>
      <c r="D53" s="7" t="inlineStr">
        <is>
          <t>Por determinar</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39" t="n"/>
      <c r="C57" s="39" t="n"/>
      <c r="D57" s="39" t="n"/>
      <c r="E57" s="39" t="n"/>
      <c r="F57" s="40"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M20B1</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0.268</v>
      </c>
      <c r="C10" s="19">
        <f>ROUND(B10/$B$15*100,2)</f>
        <v>0.1</v>
      </c>
      <c r="D10" s="11" t="inlineStr">
        <is>
          <t>Vigor alto</t>
        </is>
      </c>
      <c r="E10" s="11" t="inlineStr">
        <is>
          <t>Sobre umbral</t>
        </is>
      </c>
    </row>
    <row r="11">
      <c r="A11" s="12" t="inlineStr">
        <is>
          <t>0.4976 - 0.6139 · DN 4</t>
        </is>
      </c>
      <c r="B11" s="20" t="n">
        <v>7.608</v>
      </c>
      <c r="C11" s="21">
        <f>ROUND(B11/$B$15*100,2)</f>
        <v>2.72</v>
      </c>
      <c r="D11" s="13" t="inlineStr">
        <is>
          <t>Vigor moderado</t>
        </is>
      </c>
      <c r="E11" s="13" t="inlineStr">
        <is>
          <t>Sobre umbral</t>
        </is>
      </c>
    </row>
    <row r="12">
      <c r="A12" s="7" t="inlineStr">
        <is>
          <t>0.3813 - 0.4976 · DN 3</t>
        </is>
      </c>
      <c r="B12" s="18" t="n">
        <v>81.5479</v>
      </c>
      <c r="C12" s="19">
        <f>ROUND(B12/$B$15*100,2)</f>
        <v>29.16</v>
      </c>
      <c r="D12" s="11" t="inlineStr">
        <is>
          <t>Vigor bajo</t>
        </is>
      </c>
      <c r="E12" s="11" t="inlineStr">
        <is>
          <t>BAJO umbral 0.4976</t>
        </is>
      </c>
    </row>
    <row r="13">
      <c r="A13" s="14" t="inlineStr">
        <is>
          <t>0.2650 - 0.3813 · DN 2</t>
        </is>
      </c>
      <c r="B13" s="29" t="n">
        <v>174.7069</v>
      </c>
      <c r="C13" s="28">
        <f>ROUND(B13/$B$15*100,2)</f>
        <v>62.47</v>
      </c>
      <c r="D13" s="15" t="inlineStr">
        <is>
          <t>Vigor muy bajo</t>
        </is>
      </c>
      <c r="E13" s="15" t="inlineStr">
        <is>
          <t>BAJO umbral 0.4976</t>
        </is>
      </c>
    </row>
    <row r="14">
      <c r="A14" s="7" t="inlineStr">
        <is>
          <t>&lt;= 0.2650 · DN 1</t>
        </is>
      </c>
      <c r="B14" s="18" t="n">
        <v>15.5494</v>
      </c>
      <c r="C14" s="19">
        <f>ROUND(B14/$B$15*100,2)</f>
        <v>5.56</v>
      </c>
      <c r="D14" s="11" t="inlineStr">
        <is>
          <t>Suelo desnudo / no vegetal</t>
        </is>
      </c>
      <c r="E14" s="11" t="inlineStr">
        <is>
          <t>BAJO umbral 0.4976</t>
        </is>
      </c>
    </row>
    <row r="15" ht="30" customHeight="1">
      <c r="A15" s="41" t="inlineStr">
        <is>
          <t>TOTAL CLASIFICADO MSAVI 2024</t>
        </is>
      </c>
      <c r="B15" s="42">
        <f>SUM(B10:B14)</f>
        <v>279.6802</v>
      </c>
      <c r="C15" s="43">
        <f>SUM(C10:C14)</f>
        <v>100.01</v>
      </c>
      <c r="D15" s="41" t="inlineStr">
        <is>
          <t>Suma de la distribución areal · 792 polígonos</t>
        </is>
      </c>
      <c r="E15" s="41" t="inlineStr">
        <is>
          <t>—</t>
        </is>
      </c>
    </row>
    <row r="16" ht="30" customHeight="1">
      <c r="A16" s="44" t="inlineStr">
        <is>
          <t>Superficie SOBRE umbral 0.4976 (ha)</t>
        </is>
      </c>
      <c r="B16" s="45">
        <f>SUM(B10:B11)</f>
        <v>7.876</v>
      </c>
      <c r="C16" s="46">
        <f>ROUND(B16/B15*100,2)</f>
        <v>2.82</v>
      </c>
      <c r="D16" s="44" t="inlineStr">
        <is>
          <t>Vigor alto y moderado (DN 4 y DN 5)</t>
        </is>
      </c>
      <c r="E16" s="44" t="inlineStr">
        <is>
          <t>Sobre umbral 0.4976</t>
        </is>
      </c>
    </row>
    <row r="17" ht="30" customHeight="1">
      <c r="A17" s="44" t="inlineStr">
        <is>
          <t>Superficie BAJO umbral 0.4976 (ha) — brecha</t>
        </is>
      </c>
      <c r="B17" s="45">
        <f>SUM(B12:B14)</f>
        <v>271.8042</v>
      </c>
      <c r="C17" s="46">
        <f>ROUND(B17/B15*100,2)</f>
        <v>97.18</v>
      </c>
      <c r="D17" s="44" t="inlineStr">
        <is>
          <t>Vigor bajo, muy bajo y suelo desnudo (DN 1 a DN 3)</t>
        </is>
      </c>
      <c r="E17" s="44" t="inlineStr">
        <is>
          <t>Base para el indicador de brecha (R.M. N.° 00213-2024-MINAM)</t>
        </is>
      </c>
    </row>
    <row r="18" ht="30" customHeight="1">
      <c r="A18" s="44" t="inlineStr">
        <is>
          <t>Superficie de catálogo (V5/V6) — contraste MSAVI</t>
        </is>
      </c>
      <c r="B18" s="45" t="n">
        <v>279.68</v>
      </c>
      <c r="C18" s="47" t="inlineStr">
        <is>
          <t>—</t>
        </is>
      </c>
      <c r="D18" s="44" t="inlineStr">
        <is>
          <t>Desviación planimétrica frente al catálogo</t>
        </is>
      </c>
      <c r="E18" s="44" t="inlineStr">
        <is>
          <t>+0.00 %</t>
        </is>
      </c>
    </row>
    <row r="19">
      <c r="A19" s="16" t="inlineStr">
        <is>
          <t>MSAVI 2024 — MEDIA DEL BLOQUE</t>
        </is>
      </c>
      <c r="B19" s="17" t="n">
        <v>0.355329</v>
      </c>
      <c r="C19" s="17" t="inlineStr">
        <is>
          <t>—</t>
        </is>
      </c>
      <c r="D19" s="17" t="inlineStr">
        <is>
          <t>Vigor muy bajo · clase 0.2650 - 0.3813</t>
        </is>
      </c>
      <c r="E19" s="17" t="inlineStr">
        <is>
          <t>BAJO umbral 0.4976</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792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(0.3553) se conserva del catálogo maestro y es dato oficial; la fila resaltada indica la clase en la que cae dicha media. Los totales y porcentajes se calculan con fórmulas sobre las filas del cuadro.</t>
        </is>
      </c>
      <c r="B21" s="39" t="n"/>
      <c r="C21" s="39" t="n"/>
      <c r="D21" s="39" t="n"/>
      <c r="E21" s="40"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25.0792</v>
      </c>
      <c r="C25" s="19" t="n">
        <v>8.960000000000001</v>
      </c>
      <c r="D25" s="11" t="inlineStr">
        <is>
          <t>Dosel continuo, matorral denso o mosaico agroforestal</t>
        </is>
      </c>
      <c r="E25" s="11" t="inlineStr"/>
    </row>
    <row r="26">
      <c r="A26" s="12" t="inlineStr">
        <is>
          <t>Vegetación mediana</t>
        </is>
      </c>
      <c r="B26" s="20" t="n">
        <v>152.7429</v>
      </c>
      <c r="C26" s="21" t="n">
        <v>54.6</v>
      </c>
      <c r="D26" s="13" t="inlineStr">
        <is>
          <t>Pastizal cultivado, matorral ralo, parcelas agrícolas</t>
        </is>
      </c>
      <c r="E26" s="13" t="inlineStr"/>
    </row>
    <row r="27">
      <c r="A27" s="7" t="inlineStr">
        <is>
          <t>Vegetación ligera</t>
        </is>
      </c>
      <c r="B27" s="18" t="n">
        <v>100.3404</v>
      </c>
      <c r="C27" s="19" t="n">
        <v>35.87</v>
      </c>
      <c r="D27" s="11" t="inlineStr">
        <is>
          <t>Cobertura discontinua, suelo parcialmente expuesto</t>
        </is>
      </c>
      <c r="E27" s="11" t="inlineStr"/>
    </row>
    <row r="28">
      <c r="A28" s="12" t="inlineStr">
        <is>
          <t>Tierra desnuda</t>
        </is>
      </c>
      <c r="B28" s="20" t="n">
        <v>1.6031</v>
      </c>
      <c r="C28" s="21" t="n">
        <v>0.57</v>
      </c>
      <c r="D28" s="13" t="inlineStr">
        <is>
          <t>Suelo desnudo, afloramientos, plataformas y taludes</t>
        </is>
      </c>
      <c r="E28" s="13" t="inlineStr"/>
    </row>
    <row r="29">
      <c r="A29" s="16" t="inlineStr">
        <is>
          <t>TOTAL CLASIFICADO</t>
        </is>
      </c>
      <c r="B29" s="22">
        <f>SUM(B25:B28)</f>
        <v>279.7656</v>
      </c>
      <c r="C29" s="23">
        <f>SUM(C25:C28)</f>
        <v>100.0</v>
      </c>
      <c r="D29" s="17" t="inlineStr"/>
      <c r="E29" s="17" t="inlineStr"/>
    </row>
    <row r="30">
      <c r="A30" s="24" t="inlineStr">
        <is>
          <t>Superficie de catálogo (V5/V6)</t>
        </is>
      </c>
      <c r="B30" s="25" t="n">
        <v>279.68</v>
      </c>
      <c r="C30" s="25" t="inlineStr">
        <is>
          <t>—</t>
        </is>
      </c>
      <c r="D30" s="25" t="inlineStr">
        <is>
          <t>Desviación planimétrica frente al catálogo</t>
        </is>
      </c>
      <c r="E30" s="25" t="inlineStr">
        <is>
          <t>+0.03 %</t>
        </is>
      </c>
    </row>
    <row r="31"/>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80 % frente a un 8.96 % del polígono clasificado como «Vegetación alta» por el NDVI 2025; la observación de campo corresponde a una parcela o recorrido puntual y no es estadísticamente representativa de las 279.680 ha del bloque.</t>
        </is>
      </c>
      <c r="B32" s="39" t="n"/>
      <c r="C32" s="39" t="n"/>
      <c r="D32" s="39" t="n"/>
      <c r="E32" s="40"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M20B1</t>
        </is>
      </c>
    </row>
    <row r="6" ht="24" customHeight="1">
      <c r="A6" s="4" t="inlineStr">
        <is>
          <t>Levantamiento del 2026-08-04 · Sistema de referencia UTM WGS 84 Zona 17S (EPSG:32717)</t>
        </is>
      </c>
    </row>
    <row r="7"/>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638996</v>
      </c>
      <c r="D10" s="26" t="n">
        <v>9399186</v>
      </c>
      <c r="E10" s="11" t="n">
        <v>2250.9</v>
      </c>
      <c r="F10" s="11" t="inlineStr"/>
      <c r="G10" s="11" t="inlineStr">
        <is>
          <t>Coordenada consignada en F-DT-01</t>
        </is>
      </c>
    </row>
    <row r="11">
      <c r="A11" s="16" t="inlineStr">
        <is>
          <t>TOTAL: 1 puntos</t>
        </is>
      </c>
      <c r="B11" s="17" t="inlineStr"/>
      <c r="C11" s="17" t="inlineStr"/>
      <c r="D11" s="17" t="inlineStr"/>
      <c r="E11" s="17" t="inlineStr"/>
      <c r="F11" s="17" t="inlineStr"/>
      <c r="G11" s="17" t="inlineStr"/>
    </row>
    <row r="12"/>
    <row r="13">
      <c r="A13" s="6" t="inlineStr">
        <is>
          <t>Centroide del bloque — UTM ESTE (m)</t>
        </is>
      </c>
      <c r="B13" s="7" t="n">
        <v>641196</v>
      </c>
      <c r="C13" s="6" t="inlineStr">
        <is>
          <t>Centroide del bloque — UTM NORTE (m)</t>
        </is>
      </c>
      <c r="D13" s="7" t="n">
        <v>9398710</v>
      </c>
      <c r="E13" s="8" t="n"/>
      <c r="F13" s="8" t="n"/>
      <c r="G13" s="8" t="n"/>
      <c r="H13" s="8" t="n"/>
    </row>
    <row r="14">
      <c r="A14" s="6" t="inlineStr">
        <is>
          <t>N.° de estaciones fotográficas declaradas</t>
        </is>
      </c>
      <c r="B14" s="7" t="n">
        <v>0</v>
      </c>
      <c r="C14" s="6" t="inlineStr">
        <is>
          <t>Estaciones dentro del polígono</t>
        </is>
      </c>
      <c r="D14" s="7" t="n">
        <v>0</v>
      </c>
      <c r="E14" s="8" t="n"/>
      <c r="F14" s="8" t="n"/>
      <c r="G14" s="8" t="n"/>
      <c r="H14" s="8" t="n"/>
    </row>
    <row r="15"/>
    <row r="16" ht="96"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No se registran indicadores de inestabilidad de laderas: las cinco variables evaluadas (afloramientos rocosos, escarpes, reptación, deslizamientos y remociones en masa) fueron marcadas como "No".</t>
        </is>
      </c>
      <c r="B16" s="39" t="n"/>
      <c r="C16" s="39" t="n"/>
      <c r="D16" s="39" t="n"/>
      <c r="E16" s="39" t="n"/>
      <c r="F16" s="39" t="n"/>
      <c r="G16" s="40" t="n"/>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C1076-Q9585 — BLOQUE M20B1</t>
        </is>
      </c>
    </row>
    <row r="6" ht="24" customHeight="1">
      <c r="A6" s="4" t="inlineStr">
        <is>
          <t>Distrito de San Miguel de El Faique · Provincia de Huancabamba · Comparación de los bloques preliminares de intervención de la misma microcuenca</t>
        </is>
      </c>
    </row>
    <row r="7"/>
    <row r="8" ht="18" customHeight="1">
      <c r="A8" s="5" t="inlineStr">
        <is>
          <t>BLOQUES DE LA MICROCUENCA C1076-Q9585</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14" t="inlineStr">
        <is>
          <t>► M20B1</t>
        </is>
      </c>
      <c r="B10" s="27" t="n">
        <v>279.68</v>
      </c>
      <c r="C10" s="28" t="n">
        <v>96.91</v>
      </c>
      <c r="D10" s="15" t="inlineStr">
        <is>
          <t>249 – 525</t>
        </is>
      </c>
      <c r="E10" s="15" t="n">
        <v>276</v>
      </c>
      <c r="F10" s="15" t="n">
        <v>15.53</v>
      </c>
      <c r="G10" s="29" t="n">
        <v>0.3553</v>
      </c>
      <c r="H10" s="28" t="n">
        <v>8.960000000000001</v>
      </c>
      <c r="I10" s="28" t="n">
        <v>97.18000000000001</v>
      </c>
    </row>
    <row r="11">
      <c r="A11" s="12" t="inlineStr">
        <is>
          <t>81</t>
        </is>
      </c>
      <c r="B11" s="30" t="n">
        <v>8.93</v>
      </c>
      <c r="C11" s="21" t="n">
        <v>3.09</v>
      </c>
      <c r="D11" s="13" t="inlineStr">
        <is>
          <t>272 – 371</t>
        </is>
      </c>
      <c r="E11" s="13" t="n">
        <v>99</v>
      </c>
      <c r="F11" s="13" t="n">
        <v>16.05</v>
      </c>
      <c r="G11" s="20" t="n">
        <v>0.2747</v>
      </c>
      <c r="H11" s="21" t="n">
        <v>0</v>
      </c>
      <c r="I11" s="21" t="n">
        <v>100</v>
      </c>
    </row>
    <row r="12">
      <c r="A12" s="16" t="inlineStr">
        <is>
          <t>TOTAL / PROMEDIO</t>
        </is>
      </c>
      <c r="B12" s="31">
        <f>SUM(B10:B11)</f>
        <v>288.61</v>
      </c>
      <c r="C12" s="23">
        <f>SUM(C10:C11)</f>
        <v>100.0</v>
      </c>
      <c r="D12" s="17" t="inlineStr">
        <is>
          <t>249 – 525</t>
        </is>
      </c>
      <c r="E12" s="17" t="inlineStr"/>
      <c r="F12" s="17">
        <f>ROUND(AVERAGE(F10:F11),2)</f>
        <v>15.79</v>
      </c>
      <c r="G12" s="22">
        <f>ROUND(AVERAGE(G10:G11),4)</f>
        <v>0.315</v>
      </c>
      <c r="H12" s="23">
        <f>ROUND(AVERAGE(H10:H11),2)</f>
        <v>4.48</v>
      </c>
      <c r="I12" s="23">
        <f>ROUND(AVERAGE(I10:I11),2)</f>
        <v>98.59</v>
      </c>
    </row>
    <row r="13"/>
    <row r="14" ht="84" customHeight="1">
      <c r="A14" s="9" t="inlineStr">
        <is>
          <t>LECTURA INTRAMICROCUENCA. El bloque M20B1 ocupa el puesto 1 de 2 por superficie dentro de la microcuenca C1076-Q9585 (96.91 % de las 288.61 ha preliminares de la microcuenca). Su pendiente promedio (15.53 %, clase «15-25% (Fuert. inclinado)») es la 1.ª más baja de 2 y se sitúa por debajo del promedio de la microcuenca (15.79 %). Su MSAVI 2024 (0.3553) es el 1.º de 2 y queda por encima del promedio local (0.3150). Amplitud altitudinal del bloque: 276 m (249–525 msnm). El cuadro conserva todos los bloques catalogados en la microcuenca, incluidos los descartados en el tamizaje, para referencia del conjunto. Los bloques sin ficha DT figuran con sus parámetros de gabinete. BRECHA ESPECTRAL. El 97.18 % de la superficie del bloque (271.804 ha de 279.680 ha) se sitúa bajo el umbral MSAVI 0.4976, por debajo del promedio local de la microcuenca (98.59 %) calculado sobre los bloques con dato MSAVI disponible.</t>
        </is>
      </c>
      <c r="B14" s="39" t="n"/>
      <c r="C14" s="39" t="n"/>
      <c r="D14" s="39" t="n"/>
      <c r="E14" s="39" t="n"/>
      <c r="F14" s="39" t="n"/>
      <c r="G14" s="39" t="n"/>
      <c r="H14" s="40" t="n"/>
    </row>
    <row r="15"/>
    <row r="16" ht="60" customHeight="1">
      <c r="A1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6" s="39" t="n"/>
      <c r="C16" s="39" t="n"/>
      <c r="D16" s="39" t="n"/>
      <c r="E16" s="39" t="n"/>
      <c r="F16" s="39" t="n"/>
      <c r="G16" s="39" t="n"/>
      <c r="H16" s="40" t="n"/>
    </row>
  </sheetData>
  <mergeCells count="9">
    <mergeCell ref="A1:I1"/>
    <mergeCell ref="A4:I4"/>
    <mergeCell ref="A3:I3"/>
    <mergeCell ref="A2:I2"/>
    <mergeCell ref="A16:I16"/>
    <mergeCell ref="A14:I14"/>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M20B1</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2" t="inlineStr">
        <is>
          <t>D-01</t>
        </is>
      </c>
      <c r="B10" s="32" t="inlineStr">
        <is>
          <t>Código de microcuenca</t>
        </is>
      </c>
      <c r="C10" s="32" t="inlineStr">
        <is>
          <t>La ficha DT declara «C1076-Q9584 (valor por defecto de la plantilla; el catálogo asigna al bloque la microcuenca C1076-Q9585)»; el catálogo maestro V5/V6 asigna el bloque a «C1076-Q9585»</t>
        </is>
      </c>
      <c r="D10" s="33" t="inlineStr">
        <is>
          <t>SUSTANTIVA</t>
        </is>
      </c>
      <c r="E10" s="32" t="inlineStr">
        <is>
          <t>Se conserva el código del catálogo maestro para todo cálculo intramicrocuenca. La declaración de la ficha debe corregirse en la siguiente versión del formato V5.</t>
        </is>
      </c>
    </row>
    <row r="11" ht="48" customHeight="1">
      <c r="A11" s="34" t="inlineStr">
        <is>
          <t>D-02</t>
        </is>
      </c>
      <c r="B11" s="34" t="inlineStr">
        <is>
          <t>UTM del punto de muestreo</t>
        </is>
      </c>
      <c r="C11" s="34" t="inlineStr">
        <is>
          <t>El punto de muestreo declarado (638996 E / 9399186 N) dista 2,251 m del centroide de catálogo (641196 E / 9398710 N), distancia incompatible con la superficie del bloque (279.68 ha)</t>
        </is>
      </c>
      <c r="D11" s="33" t="inlineStr">
        <is>
          <t>SUSTANTIVA</t>
        </is>
      </c>
      <c r="E11" s="34" t="inlineStr">
        <is>
          <t>Se declara la coordenada como POR VERIFICAR: puede corresponder a otro bloque o a un error de digitación. No se corrige de oficio.</t>
        </is>
      </c>
    </row>
    <row r="12" ht="48" customHeight="1">
      <c r="A12" s="32" t="inlineStr">
        <is>
          <t>D-03</t>
        </is>
      </c>
      <c r="B12" s="32" t="inlineStr">
        <is>
          <t>Superficie del polígono</t>
        </is>
      </c>
      <c r="C12" s="32" t="inlineStr">
        <is>
          <t>La superficie clasificada por el NDVI 2025 (279.766 ha) coincide con la de catálogo (279.68 ha) dentro del ±2 % (+0.03 %)</t>
        </is>
      </c>
      <c r="D12" s="35" t="inlineStr">
        <is>
          <t>CONFORME</t>
        </is>
      </c>
      <c r="E12" s="32" t="inlineStr">
        <is>
          <t>Sin acción: la segmentación valida la geometría del bloque.</t>
        </is>
      </c>
    </row>
    <row r="13" ht="48" customHeight="1">
      <c r="A13" s="34" t="inlineStr">
        <is>
          <t>D-04</t>
        </is>
      </c>
      <c r="B13" s="34" t="inlineStr">
        <is>
          <t>Rango de pendiente dominante</t>
        </is>
      </c>
      <c r="C13" s="34" t="inlineStr">
        <is>
          <t>La ficha DT declara «25-50% (Mod. escarpado)»; la estadística zonal sobre el MDE arroja una pendiente promedio de 15.53 %, que corresponde a la clase «15-25% (Fuert. inclinado)»</t>
        </is>
      </c>
      <c r="D13" s="15" t="inlineStr">
        <is>
          <t>NO SUSTANTIVA</t>
        </is>
      </c>
      <c r="E13" s="34"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2" t="inlineStr">
        <is>
          <t>D-05</t>
        </is>
      </c>
      <c r="B14" s="32" t="inlineStr">
        <is>
          <t>Cobertura vegetal total</t>
        </is>
      </c>
      <c r="C14" s="32" t="inlineStr">
        <is>
          <t>La ficha DT estima 80 % de cobertura vegetal en campo; el NDVI mediana 2025 clasifica 99.43 % del polígono en clases de vegetación</t>
        </is>
      </c>
      <c r="D14" s="15" t="inlineStr">
        <is>
          <t>NO SUSTANTIVA</t>
        </is>
      </c>
      <c r="E14" s="32"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4" t="inlineStr">
        <is>
          <t>D-06</t>
        </is>
      </c>
      <c r="B15" s="34" t="inlineStr">
        <is>
          <t>Elenco florístico</t>
        </is>
      </c>
      <c r="C15" s="34" t="inlineStr">
        <is>
          <t>La ficha registra 7 taxones, por debajo del mínimo de 15 que exige el formato V5</t>
        </is>
      </c>
      <c r="D15" s="33" t="inlineStr">
        <is>
          <t>SUSTANTIVA</t>
        </is>
      </c>
      <c r="E15" s="34" t="inlineStr">
        <is>
          <t>Registro florístico preliminar, sin colecta ni determinación botánica formal. Debe cerrarse con colecta botánica en la siguiente campaña.</t>
        </is>
      </c>
    </row>
    <row r="16" ht="48" customHeight="1">
      <c r="A16" s="32" t="inlineStr">
        <is>
          <t>D-07</t>
        </is>
      </c>
      <c r="B16" s="32" t="inlineStr">
        <is>
          <t>Representatividad del levantamiento</t>
        </is>
      </c>
      <c r="C16" s="32" t="inlineStr">
        <is>
          <t>Ninguna de las estaciones fotográficas georreferenciadas se localiza dentro del polígono del bloque</t>
        </is>
      </c>
      <c r="D16" s="33" t="inlineStr">
        <is>
          <t>SUSTANTIVA</t>
        </is>
      </c>
      <c r="E16" s="32" t="inlineStr">
        <is>
          <t>La verificación documenta el perímetro y la vista panorámica del bloque, no su interior. Los parámetros que exigen recorrido interno se consignan «Por determinar».</t>
        </is>
      </c>
    </row>
    <row r="17" ht="48" customHeight="1">
      <c r="A17" s="34" t="inlineStr">
        <is>
          <t>D-08</t>
        </is>
      </c>
      <c r="B17" s="34" t="inlineStr">
        <is>
          <t>Centro poblado asociado</t>
        </is>
      </c>
      <c r="C17" s="34" t="inlineStr">
        <is>
          <t>La ficha DT declara «Las Huacas»; el cruce INEI-Bloques V5 identifica 1 centro(s) poblado(s) en el bloque: LAS HUACAS</t>
        </is>
      </c>
      <c r="D17" s="35" t="inlineStr">
        <is>
          <t>CONFORME</t>
        </is>
      </c>
      <c r="E17" s="34" t="inlineStr">
        <is>
          <t>Se conserva el registro de campo como referencia y se adopta el listado INEI para el diagnóstico social y el cálculo de población beneficiaria.</t>
        </is>
      </c>
    </row>
    <row r="18" ht="48" customHeight="1">
      <c r="A18" s="32" t="inlineStr">
        <is>
          <t>D-09</t>
        </is>
      </c>
      <c r="B18" s="32" t="inlineStr">
        <is>
          <t>Peligro integrado (MCA-AHP)</t>
        </is>
      </c>
      <c r="C18" s="32" t="inlineStr">
        <is>
          <t>El nivel de peligro integrado no está disponible en los insumos de este entregable</t>
        </is>
      </c>
      <c r="D18" s="33" t="inlineStr">
        <is>
          <t>SUSTANTIVA</t>
        </is>
      </c>
      <c r="E18" s="32" t="inlineStr">
        <is>
          <t>Debe tomarse del modelamiento de mesolocalización (PMM + EPH + PGI ponderados por AHP) antes de fijar la prioridad definitiva de intervención del bloque.</t>
        </is>
      </c>
    </row>
    <row r="19" ht="48" customHeight="1">
      <c r="A19" s="34" t="inlineStr">
        <is>
          <t>D-10</t>
        </is>
      </c>
      <c r="B19" s="34" t="inlineStr">
        <is>
          <t>F-DT-01</t>
        </is>
      </c>
      <c r="C19" s="34" t="inlineStr">
        <is>
          <t>La microcuenca declarada (C1076-Q9584) corresponde al valor por defecto de la plantilla; el catálogo asigna al bloque la microcuenca C1076-Q9585</t>
        </is>
      </c>
      <c r="D19" s="33" t="inlineStr">
        <is>
          <t>SUSTANTIVA</t>
        </is>
      </c>
      <c r="E19" s="34" t="inlineStr">
        <is>
          <t>Se conserva la declaración de la ficha y se anota el valor del catálogo; corresponde ratificar en gabinete</t>
        </is>
      </c>
    </row>
    <row r="20" ht="48" customHeight="1">
      <c r="A20" s="32" t="inlineStr">
        <is>
          <t>D-11</t>
        </is>
      </c>
      <c r="B20" s="32" t="inlineStr">
        <is>
          <t>F-DT-02</t>
        </is>
      </c>
      <c r="C20" s="32" t="inlineStr">
        <is>
          <t>ANEXO 01 sin ficha F-DT-02 firmada</t>
        </is>
      </c>
      <c r="D20" s="33" t="inlineStr">
        <is>
          <t>SUSTANTIVA</t>
        </is>
      </c>
      <c r="E20" s="32" t="inlineStr">
        <is>
          <t>Los datos de erosión provienen de la narrativa del informe; requiere levantamiento de la ficha firmada</t>
        </is>
      </c>
    </row>
    <row r="21" ht="48" customHeight="1">
      <c r="A21" s="34" t="inlineStr">
        <is>
          <t>D-12</t>
        </is>
      </c>
      <c r="B21" s="34" t="inlineStr">
        <is>
          <t>F-DT-02 / F-DT-04</t>
        </is>
      </c>
      <c r="C21" s="34" t="inlineStr">
        <is>
          <t>D-06: la F-DT-04 declara densidad de cárcavas = 1 N.°/ha mientras la narrativa indica que "no se identifican cárcavas desarrolladas"</t>
        </is>
      </c>
      <c r="D21" s="33" t="inlineStr">
        <is>
          <t>SUSTANTIVA</t>
        </is>
      </c>
      <c r="E21" s="34" t="inlineStr">
        <is>
          <t>Se adopta 0 cárcavas (observación directa); corresponde verificación de campo</t>
        </is>
      </c>
    </row>
    <row r="22" ht="48" customHeight="1">
      <c r="A22" s="32" t="inlineStr">
        <is>
          <t>D-13</t>
        </is>
      </c>
      <c r="B22" s="32" t="inlineStr">
        <is>
          <t>F-DT-03</t>
        </is>
      </c>
      <c r="C22" s="32" t="inlineStr">
        <is>
          <t>D-05: altura dominante 8 m y DAP 30 cm son inconsistentes con la descripción narrativa (&lt;8 m y &lt;20 cm)</t>
        </is>
      </c>
      <c r="D22" s="33" t="inlineStr">
        <is>
          <t>SUSTANTIVA</t>
        </is>
      </c>
      <c r="E22" s="32" t="inlineStr">
        <is>
          <t>Se conservan ambos registros sin promediar; corresponde re-medición en parcela</t>
        </is>
      </c>
    </row>
    <row r="23" ht="48" customHeight="1">
      <c r="A23" s="34" t="inlineStr">
        <is>
          <t>D-14</t>
        </is>
      </c>
      <c r="B23" s="34" t="inlineStr">
        <is>
          <t>F-DT-03</t>
        </is>
      </c>
      <c r="C23" s="34" t="inlineStr">
        <is>
          <t>Sección 5 de la ficha en blanco; sólo 7 taxones de los 15 previstos</t>
        </is>
      </c>
      <c r="D23" s="15" t="inlineStr">
        <is>
          <t>NO SUSTANTIVA</t>
        </is>
      </c>
      <c r="E23" s="34" t="inlineStr">
        <is>
          <t>Se declara como registro incompleto</t>
        </is>
      </c>
    </row>
    <row r="24" ht="48" customHeight="1">
      <c r="A24" s="32" t="inlineStr">
        <is>
          <t>D-15</t>
        </is>
      </c>
      <c r="B24" s="32" t="inlineStr">
        <is>
          <t>F-DT-05</t>
        </is>
      </c>
      <c r="C24" s="32" t="inlineStr">
        <is>
          <t>ANEXO 01 sin ficha F-DT-05; inventario hídrico vacío</t>
        </is>
      </c>
      <c r="D24" s="33" t="inlineStr">
        <is>
          <t>SUSTANTIVA</t>
        </is>
      </c>
      <c r="E24" s="32" t="inlineStr">
        <is>
          <t>Sin registro de fuentes de agua; requiere levantamiento complementario</t>
        </is>
      </c>
    </row>
    <row r="25" ht="48" customHeight="1">
      <c r="A25" s="34" t="inlineStr">
        <is>
          <t>D-16</t>
        </is>
      </c>
      <c r="B25" s="34" t="inlineStr">
        <is>
          <t>F-DT-04</t>
        </is>
      </c>
      <c r="C25" s="34" t="inlineStr">
        <is>
          <t>La ficha recomienda redelimitar el bloque priorizando las áreas próximas a los centros poblados</t>
        </is>
      </c>
      <c r="D25" s="15" t="inlineStr">
        <is>
          <t>NO SUSTANTIVA</t>
        </is>
      </c>
      <c r="E25" s="34" t="inlineStr">
        <is>
          <t>Se eleva la recomendación a la Subdirección de Estudios de Inversión</t>
        </is>
      </c>
    </row>
    <row r="26" ht="48" customHeight="1">
      <c r="A26" s="34" t="inlineStr">
        <is>
          <t>D-17</t>
        </is>
      </c>
      <c r="B26" s="34" t="inlineStr">
        <is>
          <t>Distribución areal MSAVI 2024</t>
        </is>
      </c>
      <c r="C26" s="34" t="inlineStr">
        <is>
          <t>La distribución por clase de MSAVI no figuraba en los insumos del entregable y se consignaba «Por determinar»; se incorpora la estadística zonal del ráster MSAVI clasificado (792 polígonos, 279.680 ha)</t>
        </is>
      </c>
      <c r="D26" s="15" t="inlineStr">
        <is>
          <t>CORREGIDO</t>
        </is>
      </c>
      <c r="E26" s="34"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7" ht="48" customHeight="1">
      <c r="A27" s="34" t="inlineStr">
        <is>
          <t>D-18</t>
        </is>
      </c>
      <c r="B27" s="34" t="inlineStr">
        <is>
          <t>Superficie MSAVI vs. catálogo</t>
        </is>
      </c>
      <c r="C27" s="34" t="inlineStr">
        <is>
          <t>La superficie total clasificada por el MSAVI 2024 (279.680 ha) frente a la de catálogo V5/V6 (279.680 ha): desviación de +0.00 %</t>
        </is>
      </c>
      <c r="D27" s="15" t="inlineStr">
        <is>
          <t>CONFORME</t>
        </is>
      </c>
      <c r="E27" s="34" t="inlineStr">
        <is>
          <t>Sin acción: la segmentación del ráster valida la geometría del bloque dentro del ±2 %.</t>
        </is>
      </c>
    </row>
    <row r="28" ht="48" customHeight="1">
      <c r="A28" s="34" t="inlineStr">
        <is>
          <t>D-19</t>
        </is>
      </c>
      <c r="B28" s="34" t="inlineStr">
        <is>
          <t>Media MSAVI vs. clase DN dominante</t>
        </is>
      </c>
      <c r="C28" s="34" t="inlineStr">
        <is>
          <t>La media del bloque (0.3553) cae en la clase «DN 2 · 0.2650 - 0.3813 (Vigor muy bajo)»; la clase de mayor superficie es «DN 2 · 0.2650 - 0.3813 (Vigor muy bajo)», con 62.47 % del bloque. Superficie bajo el umbral 0.4976: 271.804 ha (97.18 %)</t>
        </is>
      </c>
      <c r="D28" s="15" t="inlineStr">
        <is>
          <t>CONFORME</t>
        </is>
      </c>
      <c r="E28" s="34" t="inlineStr">
        <is>
          <t>Sin acción: la media del bloque y la clase de mayor superficie coinciden.</t>
        </is>
      </c>
    </row>
    <row r="29"/>
    <row r="30">
      <c r="A30" s="16" t="inlineStr">
        <is>
          <t>RESUMEN</t>
        </is>
      </c>
      <c r="B30" s="17" t="inlineStr">
        <is>
          <t>19 verificaciones</t>
        </is>
      </c>
      <c r="C30" s="17" t="inlineStr">
        <is>
          <t>CONFORME: 4 · CORREGIDO: 1 · NO SUSTANTIVA: 4 · SUSTANTIVA: 10</t>
        </is>
      </c>
      <c r="D30" s="17" t="inlineStr"/>
      <c r="E30" s="17" t="inlineStr"/>
    </row>
    <row r="31"/>
    <row r="32" ht="60" customHeight="1">
      <c r="A32"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2" s="39" t="n"/>
      <c r="C32" s="39" t="n"/>
      <c r="D32" s="39" t="n"/>
      <c r="E32" s="40" t="n"/>
    </row>
  </sheetData>
  <mergeCells count="8">
    <mergeCell ref="A4:E4"/>
    <mergeCell ref="A2:E2"/>
    <mergeCell ref="A5:E5"/>
    <mergeCell ref="A1:E1"/>
    <mergeCell ref="A32:E32"/>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M20B1 — IN Piura</dc:title>
  <dc:subject>Diagnóstico Territorial por bloque de intervención</dc:subject>
  <dcterms:created xsi:type="dcterms:W3CDTF">2026-09-08T03:39:58Z</dcterms:created>
  <dcterms:modified xsi:type="dcterms:W3CDTF">2026-09-10T00:28:31Z</dcterms:modified>
</cp:coreProperties>
</file>