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87</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87</t>
        </is>
      </c>
      <c r="C9" s="6" t="inlineStr">
        <is>
          <t>Microcuenca (catálogo)</t>
        </is>
      </c>
      <c r="D9" s="7" t="inlineStr">
        <is>
          <t>C1081-Q9583</t>
        </is>
      </c>
      <c r="E9" s="8" t="n"/>
      <c r="F9" s="8" t="n"/>
    </row>
    <row r="10">
      <c r="A10" s="6" t="inlineStr">
        <is>
          <t>Zona de planificación</t>
        </is>
      </c>
      <c r="B10" s="7" t="inlineStr">
        <is>
          <t>Z08</t>
        </is>
      </c>
      <c r="C10" s="6" t="inlineStr">
        <is>
          <t>Microcuenca declarada en ficha DT</t>
        </is>
      </c>
      <c r="D10" s="7" t="inlineStr">
        <is>
          <t>C1081-Q9583</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Dotor (C.P. Dotor / Caserío Dotor)</t>
        </is>
      </c>
      <c r="C13" s="6" t="inlineStr">
        <is>
          <t>Comunidad campesina</t>
        </is>
      </c>
      <c r="D13" s="7" t="inlineStr">
        <is>
          <t>En blanco (no consignada)</t>
        </is>
      </c>
      <c r="E13" s="8" t="n"/>
      <c r="F13" s="8" t="n"/>
    </row>
    <row r="14">
      <c r="A14" s="6" t="inlineStr">
        <is>
          <t>Superficie de catálogo (V5/V6), ha</t>
        </is>
      </c>
      <c r="B14" s="7" t="n">
        <v>62.219</v>
      </c>
      <c r="C14" s="6" t="inlineStr">
        <is>
          <t>Fuente de superficie</t>
        </is>
      </c>
      <c r="D14" s="7" t="inlineStr">
        <is>
          <t>Catálogo maestro Bloques V5/V6</t>
        </is>
      </c>
      <c r="E14" s="8" t="n"/>
      <c r="F14" s="8" t="n"/>
    </row>
    <row r="15">
      <c r="A15" s="6" t="inlineStr">
        <is>
          <t>Centroide UTM ESTE (m)</t>
        </is>
      </c>
      <c r="B15" s="7" t="n">
        <v>642882</v>
      </c>
      <c r="C15" s="6" t="inlineStr">
        <is>
          <t>Centroide UTM NORTE (m)</t>
        </is>
      </c>
      <c r="D15" s="7" t="n">
        <v>9411123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0</v>
      </c>
      <c r="C19" s="6" t="inlineStr">
        <is>
          <t>Altitud máxima (msnm)</t>
        </is>
      </c>
      <c r="D19" s="7" t="n">
        <v>0</v>
      </c>
      <c r="E19" s="8" t="n"/>
      <c r="F19" s="8" t="n"/>
    </row>
    <row r="20">
      <c r="A20" s="6" t="inlineStr">
        <is>
          <t>Amplitud altitudinal (m)</t>
        </is>
      </c>
      <c r="B20" s="7" t="n">
        <v>0</v>
      </c>
      <c r="C20" s="6" t="inlineStr">
        <is>
          <t>Piso altitudinal dominante</t>
        </is>
      </c>
      <c r="D20" s="7" t="inlineStr">
        <is>
          <t>&lt;1000 m (Yunga)</t>
        </is>
      </c>
      <c r="E20" s="8" t="n"/>
      <c r="F20" s="8" t="n"/>
    </row>
    <row r="21">
      <c r="A21" s="6" t="inlineStr">
        <is>
          <t>Pendiente promedio (%)</t>
        </is>
      </c>
      <c r="B21" s="7" t="n">
        <v>0</v>
      </c>
      <c r="C21" s="6" t="inlineStr">
        <is>
          <t>Pendiente promedio (grados)</t>
        </is>
      </c>
      <c r="D21" s="7" t="n">
        <v>0</v>
      </c>
      <c r="E21" s="8" t="n"/>
      <c r="F21" s="8" t="n"/>
    </row>
    <row r="22">
      <c r="A22" s="6" t="inlineStr">
        <is>
          <t>Clase de pendiente equivalente</t>
        </is>
      </c>
      <c r="B22" s="7" t="inlineStr">
        <is>
          <t>0-8% (Plano-lig. inclinado)</t>
        </is>
      </c>
      <c r="C22" s="6" t="inlineStr">
        <is>
          <t>Rango de pendiente declarado en campo</t>
        </is>
      </c>
      <c r="D22" s="7" t="inlineStr">
        <is>
          <t>8-15% (Mod. inclinado)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0.2487</v>
      </c>
      <c r="C28" s="6" t="inlineStr">
        <is>
          <t>MSAVI 2024 — clase de la media</t>
        </is>
      </c>
      <c r="D28" s="7" t="inlineStr">
        <is>
          <t>&lt;= 0.2650 (Suelo desnudo / no vegetal)</t>
        </is>
      </c>
      <c r="E28" s="8" t="n"/>
      <c r="F28" s="8" t="n"/>
    </row>
    <row r="29">
      <c r="A29" s="6" t="inlineStr">
        <is>
          <t>Condición frente al umbral 0.4976</t>
        </is>
      </c>
      <c r="B29" s="7" t="inlineStr">
        <is>
          <t>BAJO umbral 0.4976</t>
        </is>
      </c>
      <c r="C29" s="6" t="inlineStr">
        <is>
          <t>NDVI mediana 2025 — clase modal</t>
        </is>
      </c>
      <c r="D29" s="7" t="inlineStr">
        <is>
          <t>Vegetación ligera (63.62 %)</t>
        </is>
      </c>
      <c r="E29" s="8" t="n"/>
      <c r="F29" s="8" t="n"/>
    </row>
    <row r="30">
      <c r="A30" s="6" t="inlineStr">
        <is>
          <t>Superficie clasificada NDVI 2025 (ha)</t>
        </is>
      </c>
      <c r="B30" s="7" t="n">
        <v>62.237</v>
      </c>
      <c r="C30" s="6" t="inlineStr">
        <is>
          <t>Desviación frente al catálogo (%)</t>
        </is>
      </c>
      <c r="D30" s="7" t="n">
        <v>0.03</v>
      </c>
      <c r="E30" s="8" t="n"/>
      <c r="F30" s="8" t="n"/>
    </row>
    <row r="31">
      <c r="A31" s="6" t="inlineStr">
        <is>
          <t>Superficie clasificada MSAVI 2024 (ha)</t>
        </is>
      </c>
      <c r="B31" s="38" t="n">
        <v>62.219</v>
      </c>
      <c r="C31" s="6" t="inlineStr">
        <is>
          <t>Desviación MSAVI frente al catálogo (%)</t>
        </is>
      </c>
      <c r="D31" s="39" t="n">
        <v>0</v>
      </c>
      <c r="E31" s="8" t="n"/>
      <c r="F31" s="8" t="n"/>
    </row>
    <row r="32">
      <c r="A32" s="6" t="inlineStr">
        <is>
          <t>Superficie bajo umbral MSAVI 0.4976 (ha)</t>
        </is>
      </c>
      <c r="B32" s="38" t="n">
        <v>62.045</v>
      </c>
      <c r="C32" s="6" t="inlineStr">
        <is>
          <t>% del bloque bajo umbral (brecha espectral)</t>
        </is>
      </c>
      <c r="D32" s="39" t="n">
        <v>99.72</v>
      </c>
      <c r="E32" s="8" t="n"/>
      <c r="F32" s="8" t="n"/>
    </row>
    <row r="33">
      <c r="A33" s="6" t="inlineStr">
        <is>
          <t>Clase DN dominante (MSAVI 2024)</t>
        </is>
      </c>
      <c r="B33" s="7" t="inlineStr">
        <is>
          <t>DN 1 · &lt;= 0.2650 (Suelo desnudo / no vegetal)</t>
        </is>
      </c>
      <c r="C33" s="6" t="inlineStr">
        <is>
          <t>N.° de polígonos MSAVI del bloque</t>
        </is>
      </c>
      <c r="D33" s="40" t="n">
        <v>307</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 — asignación POR VERIFICAR</t>
        </is>
      </c>
      <c r="C36" s="6" t="inlineStr">
        <is>
          <t>Superficie de ecosistema (ha)</t>
        </is>
      </c>
      <c r="D36" s="7" t="inlineStr">
        <is>
          <t>62.237 ha (100% del bloque)</t>
        </is>
      </c>
      <c r="E36" s="8" t="n"/>
      <c r="F36" s="8" t="n"/>
    </row>
    <row r="37">
      <c r="A37" s="6" t="inlineStr">
        <is>
          <t>Estado de conservación</t>
        </is>
      </c>
      <c r="B37" s="7" t="inlineStr">
        <is>
          <t>Muy alterado / Degradado</t>
        </is>
      </c>
      <c r="C37" s="6" t="inlineStr">
        <is>
          <t>Uso actual dominante del suelo</t>
        </is>
      </c>
      <c r="D37" s="7" t="inlineStr">
        <is>
          <t>Pastoreo extensivo</t>
        </is>
      </c>
      <c r="E37" s="8" t="n"/>
      <c r="F37" s="8" t="n"/>
    </row>
    <row r="38">
      <c r="A38" s="6" t="inlineStr">
        <is>
          <t>Tipo de cobertura dominante</t>
        </is>
      </c>
      <c r="B38" s="7" t="inlineStr">
        <is>
          <t>Matorral ralo</t>
        </is>
      </c>
      <c r="C38" s="6" t="inlineStr">
        <is>
          <t>Cobertura vegetal total — campo (%)</t>
        </is>
      </c>
      <c r="D38" s="7" t="n">
        <v>10</v>
      </c>
      <c r="E38" s="8" t="n"/>
      <c r="F38" s="8" t="n"/>
    </row>
    <row r="39">
      <c r="A39" s="6" t="inlineStr">
        <is>
          <t>Suelo desnudo — campo (%)</t>
        </is>
      </c>
      <c r="B39" s="7" t="n">
        <v>68</v>
      </c>
      <c r="C39" s="6" t="inlineStr">
        <is>
          <t>Regeneración natural</t>
        </is>
      </c>
      <c r="D39" s="7" t="inlineStr">
        <is>
          <t>Escasa (&lt;10 pl./100m²)</t>
        </is>
      </c>
      <c r="E39" s="8" t="n"/>
      <c r="F39" s="8" t="n"/>
    </row>
    <row r="40">
      <c r="A40" s="6" t="inlineStr">
        <is>
          <t>Nivel general de erosión</t>
        </is>
      </c>
      <c r="B40" s="7" t="inlineStr">
        <is>
          <t>Moderada (surcos)</t>
        </is>
      </c>
      <c r="C40" s="6" t="inlineStr">
        <is>
          <t>N.° de cárcavas registradas</t>
        </is>
      </c>
      <c r="D40" s="7" t="inlineStr">
        <is>
          <t>No inventariadas</t>
        </is>
      </c>
      <c r="E40" s="8" t="n"/>
      <c r="F40" s="8" t="n"/>
    </row>
    <row r="41">
      <c r="A41" s="6" t="inlineStr">
        <is>
          <t>Elenco florístico (n.° de taxones)</t>
        </is>
      </c>
      <c r="B41" s="7" t="n">
        <v>15</v>
      </c>
      <c r="C41" s="6" t="inlineStr">
        <is>
          <t>Estado sanitario</t>
        </is>
      </c>
      <c r="D41" s="7" t="inlineStr">
        <is>
          <t>En blanco (sin mediciones)</t>
        </is>
      </c>
      <c r="E41" s="8" t="n"/>
      <c r="F41" s="8" t="n"/>
    </row>
    <row r="42"/>
    <row r="43" ht="18" customHeight="1">
      <c r="A43" s="5" t="inlineStr">
        <is>
          <t>5. RESPONSABLE Y MODALIDAD DE LA EVALUACIÓN</t>
        </is>
      </c>
    </row>
    <row r="44">
      <c r="A44" s="6" t="inlineStr">
        <is>
          <t>Responsable de la evaluación</t>
        </is>
      </c>
      <c r="B44" s="7" t="inlineStr">
        <is>
          <t>Brigada de campo IN Piura — nominación POR CONFIRMAR (parte diario)</t>
        </is>
      </c>
      <c r="C44" s="6" t="inlineStr">
        <is>
          <t>Fecha de evaluación</t>
        </is>
      </c>
      <c r="D44" s="7" t="inlineStr">
        <is>
          <t>2026-08-14</t>
        </is>
      </c>
      <c r="E44" s="8" t="n"/>
      <c r="F44" s="8" t="n"/>
    </row>
    <row r="45">
      <c r="A45" s="6" t="inlineStr">
        <is>
          <t>Hora de registro</t>
        </is>
      </c>
      <c r="B45" s="7" t="inlineStr">
        <is>
          <t>12:45 h</t>
        </is>
      </c>
      <c r="C45" s="6" t="inlineStr">
        <is>
          <t>Correlativo de ficha</t>
        </is>
      </c>
      <c r="D45" s="7" t="inlineStr">
        <is>
          <t>F-DT-01-B87-2026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instalada — fotointerpretación de ortofoto RPAS</t>
        </is>
      </c>
      <c r="E47" s="8" t="n"/>
      <c r="F47" s="8" t="n"/>
    </row>
    <row r="48">
      <c r="A48" s="6" t="inlineStr">
        <is>
          <t>Estaciones fotográficas georreferenciadas</t>
        </is>
      </c>
      <c r="B48" s="7" t="n">
        <v>1</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Ausencia de un régimen de manejo del pastizal y de reglas de uso claras sobre el bosque seco de uso común</t>
        </is>
      </c>
      <c r="C51" s="6" t="inlineStr">
        <is>
          <t>Velocidad de degradación</t>
        </is>
      </c>
      <c r="D51" s="7" t="inlineStr">
        <is>
          <t>EN BLANCO — no se dispone de serie Theil-Sen (TAU) ni de MSAVI multianual</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En blanco (sin mediciones)</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87</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0.0</v>
      </c>
      <c r="D10" s="11" t="inlineStr">
        <is>
          <t>Vigor alto</t>
        </is>
      </c>
      <c r="E10" s="11" t="inlineStr">
        <is>
          <t>Sobre umbral</t>
        </is>
      </c>
    </row>
    <row r="11">
      <c r="A11" s="12" t="inlineStr">
        <is>
          <t>0.4976 - 0.6139 · DN 4</t>
        </is>
      </c>
      <c r="B11" s="20" t="n">
        <v>0.1741</v>
      </c>
      <c r="C11" s="21">
        <f>ROUND(B11/$B$15*100,2)</f>
        <v>0.28</v>
      </c>
      <c r="D11" s="13" t="inlineStr">
        <is>
          <t>Vigor moderado</t>
        </is>
      </c>
      <c r="E11" s="13" t="inlineStr">
        <is>
          <t>Sobre umbral</t>
        </is>
      </c>
    </row>
    <row r="12">
      <c r="A12" s="7" t="inlineStr">
        <is>
          <t>0.3813 - 0.4976 · DN 3</t>
        </is>
      </c>
      <c r="B12" s="18" t="n">
        <v>0.8069</v>
      </c>
      <c r="C12" s="19">
        <f>ROUND(B12/$B$15*100,2)</f>
        <v>1.3</v>
      </c>
      <c r="D12" s="11" t="inlineStr">
        <is>
          <t>Vigor bajo</t>
        </is>
      </c>
      <c r="E12" s="11" t="inlineStr">
        <is>
          <t>BAJO umbral 0.4976</t>
        </is>
      </c>
    </row>
    <row r="13">
      <c r="A13" s="12" t="inlineStr">
        <is>
          <t>0.2650 - 0.3813 · DN 2</t>
        </is>
      </c>
      <c r="B13" s="20" t="n">
        <v>10.3668</v>
      </c>
      <c r="C13" s="21">
        <f>ROUND(B13/$B$15*100,2)</f>
        <v>16.66</v>
      </c>
      <c r="D13" s="13" t="inlineStr">
        <is>
          <t>Vigor muy bajo</t>
        </is>
      </c>
      <c r="E13" s="13" t="inlineStr">
        <is>
          <t>BAJO umbral 0.4976</t>
        </is>
      </c>
    </row>
    <row r="14">
      <c r="A14" s="14" t="inlineStr">
        <is>
          <t>&lt;= 0.2650 · DN 1</t>
        </is>
      </c>
      <c r="B14" s="32" t="n">
        <v>50.8714</v>
      </c>
      <c r="C14" s="31">
        <f>ROUND(B14/$B$15*100,2)</f>
        <v>81.76</v>
      </c>
      <c r="D14" s="15" t="inlineStr">
        <is>
          <t>Suelo desnudo / no vegetal</t>
        </is>
      </c>
      <c r="E14" s="15" t="inlineStr">
        <is>
          <t>BAJO umbral 0.4976</t>
        </is>
      </c>
    </row>
    <row r="15" ht="30" customHeight="1">
      <c r="A15" s="43" t="inlineStr">
        <is>
          <t>TOTAL CLASIFICADO MSAVI 2024</t>
        </is>
      </c>
      <c r="B15" s="44">
        <f>SUM(B10:B14)</f>
        <v>62.2192</v>
      </c>
      <c r="C15" s="45">
        <f>SUM(C10:C14)</f>
        <v>100.0</v>
      </c>
      <c r="D15" s="43" t="inlineStr">
        <is>
          <t>Suma de la distribución areal · 307 polígonos</t>
        </is>
      </c>
      <c r="E15" s="43" t="inlineStr">
        <is>
          <t>—</t>
        </is>
      </c>
    </row>
    <row r="16" ht="30" customHeight="1">
      <c r="A16" s="46" t="inlineStr">
        <is>
          <t>Superficie SOBRE umbral 0.4976 (ha)</t>
        </is>
      </c>
      <c r="B16" s="47">
        <f>SUM(B10:B11)</f>
        <v>0.1741</v>
      </c>
      <c r="C16" s="48">
        <f>ROUND(B16/B15*100,2)</f>
        <v>0.28</v>
      </c>
      <c r="D16" s="46" t="inlineStr">
        <is>
          <t>Vigor alto y moderado (DN 4 y DN 5)</t>
        </is>
      </c>
      <c r="E16" s="46" t="inlineStr">
        <is>
          <t>Sobre umbral 0.4976</t>
        </is>
      </c>
    </row>
    <row r="17" ht="30" customHeight="1">
      <c r="A17" s="46" t="inlineStr">
        <is>
          <t>Superficie BAJO umbral 0.4976 (ha) — brecha</t>
        </is>
      </c>
      <c r="B17" s="47">
        <f>SUM(B12:B14)</f>
        <v>62.0451</v>
      </c>
      <c r="C17" s="48">
        <f>ROUND(B17/B15*100,2)</f>
        <v>99.72</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62.219</v>
      </c>
      <c r="C18" s="49" t="inlineStr">
        <is>
          <t>—</t>
        </is>
      </c>
      <c r="D18" s="46" t="inlineStr">
        <is>
          <t>Desviación planimétrica frente al catálogo</t>
        </is>
      </c>
      <c r="E18" s="46" t="inlineStr">
        <is>
          <t>+0.00 %</t>
        </is>
      </c>
    </row>
    <row r="19">
      <c r="A19" s="16" t="inlineStr">
        <is>
          <t>MSAVI 2024 — MEDIA DEL BLOQUE</t>
        </is>
      </c>
      <c r="B19" s="17" t="n">
        <v>0.248718</v>
      </c>
      <c r="C19" s="17" t="inlineStr">
        <is>
          <t>—</t>
        </is>
      </c>
      <c r="D19" s="17" t="inlineStr">
        <is>
          <t>Suelo desnudo / no vegetal · clase &lt;= 0.2650</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307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(0.2487)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0.2097</v>
      </c>
      <c r="C25" s="19" t="n">
        <v>0.34</v>
      </c>
      <c r="D25" s="11" t="inlineStr">
        <is>
          <t>Dosel continuo, matorral denso o mosaico agroforestal</t>
        </is>
      </c>
      <c r="E25" s="11" t="inlineStr"/>
    </row>
    <row r="26">
      <c r="A26" s="12" t="inlineStr">
        <is>
          <t>Vegetación mediana</t>
        </is>
      </c>
      <c r="B26" s="20" t="n">
        <v>1.4991</v>
      </c>
      <c r="C26" s="21" t="n">
        <v>2.41</v>
      </c>
      <c r="D26" s="13" t="inlineStr">
        <is>
          <t>Pastizal cultivado, matorral ralo, parcelas agrícolas</t>
        </is>
      </c>
      <c r="E26" s="13" t="inlineStr"/>
    </row>
    <row r="27">
      <c r="A27" s="7" t="inlineStr">
        <is>
          <t>Vegetación ligera</t>
        </is>
      </c>
      <c r="B27" s="18" t="n">
        <v>39.596</v>
      </c>
      <c r="C27" s="19" t="n">
        <v>63.62</v>
      </c>
      <c r="D27" s="11" t="inlineStr">
        <is>
          <t>Cobertura discontinua, suelo parcialmente expuesto</t>
        </is>
      </c>
      <c r="E27" s="11" t="inlineStr"/>
    </row>
    <row r="28">
      <c r="A28" s="12" t="inlineStr">
        <is>
          <t>Tierra desnuda</t>
        </is>
      </c>
      <c r="B28" s="20" t="n">
        <v>20.9328</v>
      </c>
      <c r="C28" s="21" t="n">
        <v>33.63</v>
      </c>
      <c r="D28" s="13" t="inlineStr">
        <is>
          <t>Suelo desnudo, afloramientos, plataformas y taludes</t>
        </is>
      </c>
      <c r="E28" s="13" t="inlineStr"/>
    </row>
    <row r="29">
      <c r="A29" s="16" t="inlineStr">
        <is>
          <t>TOTAL CLASIFICADO</t>
        </is>
      </c>
      <c r="B29" s="22">
        <f>SUM(B25:B28)</f>
        <v>62.2376</v>
      </c>
      <c r="C29" s="23">
        <f>SUM(C25:C28)</f>
        <v>100.0</v>
      </c>
      <c r="D29" s="17" t="inlineStr"/>
      <c r="E29" s="17" t="inlineStr"/>
    </row>
    <row r="30">
      <c r="A30" s="24" t="inlineStr">
        <is>
          <t>Superficie de catálogo (V5/V6)</t>
        </is>
      </c>
      <c r="B30" s="25" t="n">
        <v>62.219</v>
      </c>
      <c r="C30" s="25" t="inlineStr">
        <is>
          <t>—</t>
        </is>
      </c>
      <c r="D30" s="25" t="inlineStr">
        <is>
          <t>Desviación planimétrica frente al catálogo</t>
        </is>
      </c>
      <c r="E30" s="25" t="inlineStr">
        <is>
          <t>+0.03 %</t>
        </is>
      </c>
    </row>
    <row r="31"/>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10 % frente a un 0.34 % del polígono clasificado como «Vegetación alta» por el NDVI 2025; la observación de campo corresponde a una parcela o recorrido puntual y no es estadísticamente representativa de las 62.219 ha del bloque.</t>
        </is>
      </c>
      <c r="B32" s="41" t="n"/>
      <c r="C32" s="41" t="n"/>
      <c r="D32" s="41" t="n"/>
      <c r="E32" s="42"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87</t>
        </is>
      </c>
    </row>
    <row r="6" ht="24" customHeight="1">
      <c r="A6" s="4" t="inlineStr">
        <is>
          <t>Levantamiento del 2026-08-14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17827.6</v>
      </c>
      <c r="F10" s="11" t="inlineStr"/>
      <c r="G10" s="11" t="inlineStr">
        <is>
          <t>Coordenada consignada en F-DT-01</t>
        </is>
      </c>
    </row>
    <row r="11">
      <c r="A11" s="12" t="inlineStr">
        <is>
          <t>F-01</t>
        </is>
      </c>
      <c r="B11" s="13" t="inlineStr">
        <is>
          <t>Estación fotográfica</t>
        </is>
      </c>
      <c r="C11" s="27" t="n">
        <v>642479</v>
      </c>
      <c r="D11" s="27" t="n">
        <v>9411311</v>
      </c>
      <c r="E11" s="13" t="n">
        <v>444.7</v>
      </c>
      <c r="F11" s="13" t="inlineStr"/>
      <c r="G11" s="13" t="inlineStr">
        <is>
          <t>Registro fotográfico georreferenciado</t>
        </is>
      </c>
    </row>
    <row r="12">
      <c r="A12" s="7" t="inlineStr">
        <is>
          <t>H-01</t>
        </is>
      </c>
      <c r="B12" s="11" t="inlineStr">
        <is>
          <t>Fuente de agua — Quebrada estacional</t>
        </is>
      </c>
      <c r="C12" s="26" t="inlineStr">
        <is>
          <t>En blanco (sin mediciones)</t>
        </is>
      </c>
      <c r="D12" s="26" t="inlineStr">
        <is>
          <t>En blanco (sin mediciones)</t>
        </is>
      </c>
      <c r="E12" s="11" t="inlineStr"/>
      <c r="F12" s="11" t="inlineStr">
        <is>
          <t>Estacional</t>
        </is>
      </c>
      <c r="G12" s="11" t="inlineStr">
        <is>
          <t>Cauce que delimita los bloques</t>
        </is>
      </c>
    </row>
    <row r="13">
      <c r="A13" s="16" t="inlineStr">
        <is>
          <t>TOTAL: 3 puntos</t>
        </is>
      </c>
      <c r="B13" s="17" t="inlineStr"/>
      <c r="C13" s="17" t="inlineStr"/>
      <c r="D13" s="17" t="inlineStr"/>
      <c r="E13" s="17" t="inlineStr"/>
      <c r="F13" s="17" t="inlineStr"/>
      <c r="G13" s="17" t="inlineStr"/>
    </row>
    <row r="14"/>
    <row r="15">
      <c r="A15" s="6" t="inlineStr">
        <is>
          <t>Centroide del bloque — UTM ESTE (m)</t>
        </is>
      </c>
      <c r="B15" s="7" t="n">
        <v>642882</v>
      </c>
      <c r="C15" s="6" t="inlineStr">
        <is>
          <t>Centroide del bloque — UTM NORTE (m)</t>
        </is>
      </c>
      <c r="D15" s="7" t="n">
        <v>9411123</v>
      </c>
      <c r="E15" s="8" t="n"/>
      <c r="F15" s="8" t="n"/>
      <c r="G15" s="8" t="n"/>
      <c r="H15" s="8" t="n"/>
    </row>
    <row r="16">
      <c r="A16" s="6" t="inlineStr">
        <is>
          <t>N.° de estaciones fotográficas declaradas</t>
        </is>
      </c>
      <c r="B16" s="7" t="n">
        <v>1</v>
      </c>
      <c r="C16" s="6" t="inlineStr">
        <is>
          <t>Estaciones dentro del polígono</t>
        </is>
      </c>
      <c r="D16" s="7" t="n">
        <v>0</v>
      </c>
      <c r="E16" s="8" t="n"/>
      <c r="F16" s="8" t="n"/>
      <c r="G16" s="8" t="n"/>
      <c r="H16" s="8" t="n"/>
    </row>
    <row r="17"/>
    <row r="18" ht="204"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ALCANCE DE LA EVIDENCIA. El bloque 87 NO cuenta con fichas F-DT-01 a F-DT-05 levantadas en campo. El llenado se sustenta en: (i) registro fotográfico georreferenciado del 14-08-2026, 12:45 h, en 642 479 E / 9 411 311 N, azimut 104°; (ii) ortofotos RPAS del ámbito de los bloques 85-87; (iii) cartografía MSAVI 2024 y NDVI mediana 2025; (iv) imagen Google Earth/Airbus 09-11-2023 y perfil de elevación. LOS CAMPOS SIN SUSTENTO DOCUMENTAL SE DEJAN EN BLANCO DE FORMA DELIBERADA. POSICIÓN DEL PUNTO FOTOGRÁFICO: la restitución lo sitúa ≈23 m AL OESTE del límite occidental del polígono, sobre el corredor de la vía afirmada que separa los bloques 85 y 87. EL REGISTRO ES PERIMETRAL: representa la orla del bloque, no su interior. PARÁMETROS GEOESPACIALES: altitud y pendiente NO figuran en el archivo de estadística zonal del DEM (no incluye los bloques 81 ni 83-87). Valores referenciales de perfil Google Earth sobre transecto O-E de 540 m: 254-325 msnm, pendiente media 13.2%, máxima 21.2%. CENTROIDE: el bloque no figura en «Centroides Bloques.xls»; centroide referencial por segmentación 642 813 E / 9 411 179 N. Superficie por segmentación ráster 60.98 ha frente a 62.237 ha del catálogo V6 (−2.0%). ATENCIÓN: el UTM del punto de registro (645 575 · 9 393 500) es el valor por defecto de la plantilla.</t>
        </is>
      </c>
      <c r="B18" s="41" t="n"/>
      <c r="C18" s="41" t="n"/>
      <c r="D18" s="41" t="n"/>
      <c r="E18" s="41" t="n"/>
      <c r="F18" s="41" t="n"/>
      <c r="G18" s="42"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C1081-Q9583 — BLOQUE 87</t>
        </is>
      </c>
    </row>
    <row r="6" ht="24" customHeight="1">
      <c r="A6" s="4" t="inlineStr">
        <is>
          <t>Distrito de San Juan de Bigote · Provincia de Morropon · Comparación de los bloques preliminares de intervención de la misma microcuenca</t>
        </is>
      </c>
    </row>
    <row r="7"/>
    <row r="8" ht="18" customHeight="1">
      <c r="A8" s="5" t="inlineStr">
        <is>
          <t>BLOQUES DE LA MICROCUENCA C1081-Q9583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M11B3</t>
        </is>
      </c>
      <c r="B10" s="28" t="n">
        <v>106.03</v>
      </c>
      <c r="C10" s="19" t="n">
        <v>26.64</v>
      </c>
      <c r="D10" s="11" t="inlineStr">
        <is>
          <t>278 – 477</t>
        </is>
      </c>
      <c r="E10" s="11" t="n">
        <v>199</v>
      </c>
      <c r="F10" s="11" t="n">
        <v>18.11</v>
      </c>
      <c r="G10" s="18" t="n">
        <v>0.3956</v>
      </c>
      <c r="H10" s="19" t="n">
        <v>21.16</v>
      </c>
      <c r="I10" s="19" t="n">
        <v>88.87</v>
      </c>
    </row>
    <row r="11">
      <c r="A11" s="12" t="inlineStr">
        <is>
          <t>24</t>
        </is>
      </c>
      <c r="B11" s="29" t="n">
        <v>90.16</v>
      </c>
      <c r="C11" s="21" t="n">
        <v>22.65</v>
      </c>
      <c r="D11" s="13" t="inlineStr">
        <is>
          <t>1319 – 1887</t>
        </is>
      </c>
      <c r="E11" s="13" t="n">
        <v>568</v>
      </c>
      <c r="F11" s="13" t="n">
        <v>32.98</v>
      </c>
      <c r="G11" s="20" t="n">
        <v>0.6748</v>
      </c>
      <c r="H11" s="21" t="n">
        <v>98.51000000000001</v>
      </c>
      <c r="I11" s="21" t="n">
        <v>2.29</v>
      </c>
    </row>
    <row r="12">
      <c r="A12" s="14" t="inlineStr">
        <is>
          <t>► 87</t>
        </is>
      </c>
      <c r="B12" s="30" t="n">
        <v>62.219</v>
      </c>
      <c r="C12" s="31" t="n">
        <v>15.63</v>
      </c>
      <c r="D12" s="15" t="inlineStr">
        <is>
          <t>Por determinar</t>
        </is>
      </c>
      <c r="E12" s="15" t="inlineStr">
        <is>
          <t>Por determinar</t>
        </is>
      </c>
      <c r="F12" s="15" t="inlineStr">
        <is>
          <t>Por determinar</t>
        </is>
      </c>
      <c r="G12" s="32" t="n">
        <v>0.2487</v>
      </c>
      <c r="H12" s="31" t="n">
        <v>0.34</v>
      </c>
      <c r="I12" s="31" t="n">
        <v>99.72</v>
      </c>
    </row>
    <row r="13">
      <c r="A13" s="12" t="inlineStr">
        <is>
          <t>63</t>
        </is>
      </c>
      <c r="B13" s="29" t="n">
        <v>50.46</v>
      </c>
      <c r="C13" s="21" t="n">
        <v>12.68</v>
      </c>
      <c r="D13" s="13" t="inlineStr">
        <is>
          <t>1508 – 2080</t>
        </is>
      </c>
      <c r="E13" s="13" t="n">
        <v>572</v>
      </c>
      <c r="F13" s="13" t="n">
        <v>35.5</v>
      </c>
      <c r="G13" s="20" t="n">
        <v>0.6036</v>
      </c>
      <c r="H13" s="21" t="n">
        <v>99.2</v>
      </c>
      <c r="I13" s="21" t="n">
        <v>2.95</v>
      </c>
    </row>
    <row r="14">
      <c r="A14" s="7" t="inlineStr">
        <is>
          <t>86</t>
        </is>
      </c>
      <c r="B14" s="28" t="n">
        <v>30.001</v>
      </c>
      <c r="C14" s="19" t="n">
        <v>7.54</v>
      </c>
      <c r="D14" s="11" t="inlineStr">
        <is>
          <t>Por determinar</t>
        </is>
      </c>
      <c r="E14" s="11" t="inlineStr">
        <is>
          <t>Por determinar</t>
        </is>
      </c>
      <c r="F14" s="11" t="inlineStr">
        <is>
          <t>Por determinar</t>
        </is>
      </c>
      <c r="G14" s="18" t="n">
        <v>0.2735</v>
      </c>
      <c r="H14" s="19" t="n">
        <v>1.05</v>
      </c>
      <c r="I14" s="19" t="n">
        <v>99.62</v>
      </c>
    </row>
    <row r="15">
      <c r="A15" s="12" t="inlineStr">
        <is>
          <t>83</t>
        </is>
      </c>
      <c r="B15" s="29" t="n">
        <v>24.344</v>
      </c>
      <c r="C15" s="21" t="n">
        <v>6.12</v>
      </c>
      <c r="D15" s="13" t="inlineStr">
        <is>
          <t>Por determinar</t>
        </is>
      </c>
      <c r="E15" s="13" t="inlineStr">
        <is>
          <t>Por determinar</t>
        </is>
      </c>
      <c r="F15" s="13" t="inlineStr">
        <is>
          <t>Por determinar</t>
        </is>
      </c>
      <c r="G15" s="20" t="n">
        <v>0.3055</v>
      </c>
      <c r="H15" s="21" t="n">
        <v>2.88</v>
      </c>
      <c r="I15" s="21" t="n">
        <v>99.39</v>
      </c>
    </row>
    <row r="16">
      <c r="A16" s="7" t="inlineStr">
        <is>
          <t>77</t>
        </is>
      </c>
      <c r="B16" s="28" t="n">
        <v>17.82</v>
      </c>
      <c r="C16" s="19" t="n">
        <v>4.48</v>
      </c>
      <c r="D16" s="11" t="inlineStr">
        <is>
          <t>242 – 346</t>
        </is>
      </c>
      <c r="E16" s="11" t="n">
        <v>104</v>
      </c>
      <c r="F16" s="11" t="n">
        <v>13.71</v>
      </c>
      <c r="G16" s="18" t="n">
        <v>0.2725</v>
      </c>
      <c r="H16" s="19" t="n">
        <v>0.11</v>
      </c>
      <c r="I16" s="19" t="n">
        <v>99.78</v>
      </c>
    </row>
    <row r="17">
      <c r="A17" s="12" t="inlineStr">
        <is>
          <t>85</t>
        </is>
      </c>
      <c r="B17" s="29" t="n">
        <v>11.906</v>
      </c>
      <c r="C17" s="21" t="n">
        <v>2.99</v>
      </c>
      <c r="D17" s="13" t="inlineStr">
        <is>
          <t>Por determinar</t>
        </is>
      </c>
      <c r="E17" s="13" t="inlineStr">
        <is>
          <t>Por determinar</t>
        </is>
      </c>
      <c r="F17" s="13" t="inlineStr">
        <is>
          <t>Por determinar</t>
        </is>
      </c>
      <c r="G17" s="20" t="n">
        <v>0.2289</v>
      </c>
      <c r="H17" s="21" t="n">
        <v>0</v>
      </c>
      <c r="I17" s="21" t="n">
        <v>100</v>
      </c>
    </row>
    <row r="18">
      <c r="A18" s="7" t="inlineStr">
        <is>
          <t>84</t>
        </is>
      </c>
      <c r="B18" s="28" t="n">
        <v>5.097</v>
      </c>
      <c r="C18" s="19" t="n">
        <v>1.28</v>
      </c>
      <c r="D18" s="11" t="inlineStr">
        <is>
          <t>Por determinar</t>
        </is>
      </c>
      <c r="E18" s="11" t="inlineStr">
        <is>
          <t>Por determinar</t>
        </is>
      </c>
      <c r="F18" s="11" t="inlineStr">
        <is>
          <t>Por determinar</t>
        </is>
      </c>
      <c r="G18" s="18" t="n">
        <v>0.2516</v>
      </c>
      <c r="H18" s="19" t="n">
        <v>0</v>
      </c>
      <c r="I18" s="19" t="n">
        <v>100</v>
      </c>
    </row>
    <row r="19">
      <c r="A19" s="16" t="inlineStr">
        <is>
          <t>TOTAL / PROMEDIO</t>
        </is>
      </c>
      <c r="B19" s="33">
        <f>SUM(B10:B18)</f>
        <v>398.037</v>
      </c>
      <c r="C19" s="23">
        <f>SUM(C10:C18)</f>
        <v>100.01</v>
      </c>
      <c r="D19" s="17" t="inlineStr">
        <is>
          <t>242 – 2080</t>
        </is>
      </c>
      <c r="E19" s="17" t="inlineStr"/>
      <c r="F19" s="17">
        <f>ROUND(AVERAGE(F10:F18),2)</f>
        <v>25.07</v>
      </c>
      <c r="G19" s="22">
        <f>ROUND(AVERAGE(G10:G18),4)</f>
        <v>0.3616</v>
      </c>
      <c r="H19" s="23">
        <f>ROUND(AVERAGE(H10:H18),2)</f>
        <v>24.81</v>
      </c>
      <c r="I19" s="23">
        <f>ROUND(AVERAGE(I10:I18),2)</f>
        <v>76.96</v>
      </c>
    </row>
    <row r="20" ht="48" customHeight="1">
      <c r="A20" s="9" t="inlineStr">
        <is>
          <t>ALCANCE DE LOS PROMEDIOS. La fila TOTAL / PROMEDIO omite las celdas «Por determinar»: los promedios de PENDIENTE y MSAVI 2024 se calculan sobre 4 de los 9 bloques de la microcuenca; los 5 bloques restantes carecen de dato derivado del MDE. Los totales de ÁREA y % de microcuenca sí comprenden la totalidad de los 9 bloques. No se estima ningún valor ausente.</t>
        </is>
      </c>
      <c r="B20" s="41" t="n"/>
      <c r="C20" s="41" t="n"/>
      <c r="D20" s="41" t="n"/>
      <c r="E20" s="41" t="n"/>
      <c r="F20" s="41" t="n"/>
      <c r="G20" s="41" t="n"/>
      <c r="H20" s="42" t="n"/>
    </row>
    <row r="21"/>
    <row r="22" ht="48" customHeight="1">
      <c r="A22" s="9" t="inlineStr">
        <is>
          <t>LECTURA INTRAMICROCUENCA. El bloque 87 ocupa el puesto 3 de 9 por superficie dentro de la microcuenca C1081-Q9583 (15.63 % de las 398.04 ha preliminares de la microcuenca). El cuadro conserva todos los bloques catalogados en la microcuenca, incluidos los descartados en el tamizaje, para referencia del conjunto. Los bloques sin ficha DT figuran con sus parámetros de gabinete. BRECHA ESPECTRAL. El 99.72 % de la superficie del bloque (62.045 ha de 62.219 ha) se sitúa bajo el umbral MSAVI 0.4976, por encima del promedio local de la microcuenca (76.96 %) calculado sobre los bloques con dato MSAVI disponible.</t>
        </is>
      </c>
      <c r="B22" s="41" t="n"/>
      <c r="C22" s="41" t="n"/>
      <c r="D22" s="41" t="n"/>
      <c r="E22" s="41" t="n"/>
      <c r="F22" s="41" t="n"/>
      <c r="G22" s="41" t="n"/>
      <c r="H22" s="42" t="n"/>
    </row>
    <row r="23"/>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1" t="n"/>
      <c r="C24" s="41" t="n"/>
      <c r="D24" s="41" t="n"/>
      <c r="E24" s="41" t="n"/>
      <c r="F24" s="41" t="n"/>
      <c r="G24" s="41" t="n"/>
      <c r="H24" s="42" t="n"/>
    </row>
  </sheetData>
  <mergeCells count="10">
    <mergeCell ref="A1:I1"/>
    <mergeCell ref="A4:I4"/>
    <mergeCell ref="A3:I3"/>
    <mergeCell ref="A20:I20"/>
    <mergeCell ref="A24:I24"/>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87</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«C1081-Q9583»</t>
        </is>
      </c>
      <c r="D10" s="35" t="inlineStr">
        <is>
          <t>CONFORME</t>
        </is>
      </c>
      <c r="E10" s="34" t="inlineStr">
        <is>
          <t>Sin acción.</t>
        </is>
      </c>
    </row>
    <row r="11" ht="48" customHeight="1">
      <c r="A11" s="36" t="inlineStr">
        <is>
          <t>D-02</t>
        </is>
      </c>
      <c r="B11" s="36" t="inlineStr">
        <is>
          <t>UTM del punto de muestreo</t>
        </is>
      </c>
      <c r="C11" s="36" t="inlineStr">
        <is>
          <t>El punto de muestreo declarado (645575 E / 9393500 N) dista 17,828 m del centroide de catálogo (642882 E / 9411123 N), distancia incompatible con la superficie del bloque (62.219 ha)</t>
        </is>
      </c>
      <c r="D11" s="37"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(62.237 ha) coincide con la de catálogo (62.219 ha) dentro del ±2 % (+0.03 %)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«8-15% (Mod. inclinado)»; la estadística zonal sobre el MDE arroja una pendiente promedio de 0.00 %, que corresponde a la clase «0-8% (Plano-lig.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10 % de cobertura vegetal en campo; el NDVI mediana 2025 clasifica 66.37 %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Peligro integrado (MCA-AHP)</t>
        </is>
      </c>
      <c r="C16" s="34" t="inlineStr">
        <is>
          <t>El nivel de peligro integrado no está disponible en los insumos de este entregable</t>
        </is>
      </c>
      <c r="D16" s="37" t="inlineStr">
        <is>
          <t>SUSTANTIVA</t>
        </is>
      </c>
      <c r="E16" s="34" t="inlineStr">
        <is>
          <t>Debe tomarse del modelamiento de mesolocalización (PMM + EPH + PGI ponderados por AHP) antes de fijar la prioridad definitiva de intervención del bloque.</t>
        </is>
      </c>
    </row>
    <row r="17" ht="48" customHeight="1">
      <c r="A17" s="36" t="inlineStr">
        <is>
          <t>D-08</t>
        </is>
      </c>
      <c r="B17" s="36" t="inlineStr">
        <is>
          <t>F-DT-01</t>
        </is>
      </c>
      <c r="C17" s="36" t="inlineStr">
        <is>
          <t>Ninguna ficha F-DT fue levantada en campo; el llenado se sustenta en registro fotográfico, ortofotos RPAS y cartografía</t>
        </is>
      </c>
      <c r="D17" s="37" t="inlineStr">
        <is>
          <t>SUSTANTIVA</t>
        </is>
      </c>
      <c r="E17" s="36" t="inlineStr">
        <is>
          <t>Levantamiento de campo pendiente</t>
        </is>
      </c>
    </row>
    <row r="18" ht="48" customHeight="1">
      <c r="A18" s="34" t="inlineStr">
        <is>
          <t>D-09</t>
        </is>
      </c>
      <c r="B18" s="34" t="inlineStr">
        <is>
          <t>F-DT-01</t>
        </is>
      </c>
      <c r="C18" s="34" t="inlineStr">
        <is>
          <t>El punto fotográfico se sitúa ≈23 m al OESTE del límite del polígono: el registro es PERIMETRAL</t>
        </is>
      </c>
      <c r="D18" s="37" t="inlineStr">
        <is>
          <t>SUSTANTIVA</t>
        </is>
      </c>
      <c r="E18" s="34" t="inlineStr">
        <is>
          <t>El interior del bloque no fue verificado</t>
        </is>
      </c>
    </row>
    <row r="19" ht="48" customHeight="1">
      <c r="A19" s="36" t="inlineStr">
        <is>
          <t>D-10</t>
        </is>
      </c>
      <c r="B19" s="36" t="inlineStr">
        <is>
          <t>F-DT-01</t>
        </is>
      </c>
      <c r="C19" s="36" t="inlineStr">
        <is>
          <t>Altitud y pendiente no figuran en el archivo de estadística zonal del DEM (excluye los bloques 81 y 83-87)</t>
        </is>
      </c>
      <c r="D19" s="37" t="inlineStr">
        <is>
          <t>SUSTANTIVA</t>
        </is>
      </c>
      <c r="E19" s="36" t="inlineStr">
        <is>
          <t>Calcular estadística zonal para estos bloques</t>
        </is>
      </c>
    </row>
    <row r="20" ht="48" customHeight="1">
      <c r="A20" s="34" t="inlineStr">
        <is>
          <t>D-11</t>
        </is>
      </c>
      <c r="B20" s="34" t="inlineStr">
        <is>
          <t>F-DT-01</t>
        </is>
      </c>
      <c r="C20" s="34" t="inlineStr">
        <is>
          <t>El bloque no figura en «Centroides Bloques.xls»; centroide referencial por segmentación; superficie ráster 60.98 ha vs. 62.237 ha del catálogo (−2.0%)</t>
        </is>
      </c>
      <c r="D20" s="15" t="inlineStr">
        <is>
          <t>NO SUSTANTIVA</t>
        </is>
      </c>
      <c r="E20" s="34" t="inlineStr">
        <is>
          <t>Diferencia atribuible a la resolución del ráster</t>
        </is>
      </c>
    </row>
    <row r="21" ht="48" customHeight="1">
      <c r="A21" s="36" t="inlineStr">
        <is>
          <t>D-12</t>
        </is>
      </c>
      <c r="B21" s="36" t="inlineStr">
        <is>
          <t>Ficha DT</t>
        </is>
      </c>
      <c r="C21" s="36" t="inlineStr">
        <is>
          <t>UTM del punto de registro (645 575 · 9 393 500) = valor por defecto de la plantilla</t>
        </is>
      </c>
      <c r="D21" s="37" t="inlineStr">
        <is>
          <t>SUSTANTIVA</t>
        </is>
      </c>
      <c r="E21" s="36" t="inlineStr">
        <is>
          <t>Georreferencia por reponer</t>
        </is>
      </c>
    </row>
    <row r="22" ht="48" customHeight="1">
      <c r="A22" s="34" t="inlineStr">
        <is>
          <t>D-13</t>
        </is>
      </c>
      <c r="B22" s="34" t="inlineStr">
        <is>
          <t>F-DT-02</t>
        </is>
      </c>
      <c r="C22" s="34" t="inlineStr">
        <is>
          <t>Inventario de cárcavas no ejecutado</t>
        </is>
      </c>
      <c r="D22" s="37" t="inlineStr">
        <is>
          <t>SUSTANTIVA</t>
        </is>
      </c>
      <c r="E22" s="34" t="inlineStr">
        <is>
          <t>La ausencia de registro no equivale a ausencia del proceso</t>
        </is>
      </c>
    </row>
    <row r="23" ht="48" customHeight="1">
      <c r="A23" s="36" t="inlineStr">
        <is>
          <t>D-14</t>
        </is>
      </c>
      <c r="B23" s="36" t="inlineStr">
        <is>
          <t>F-DT-03</t>
        </is>
      </c>
      <c r="C23" s="36" t="inlineStr">
        <is>
          <t>Lista florística comunicada por la Subdirección; no procede de muestreo por parcela</t>
        </is>
      </c>
      <c r="D23" s="37" t="inlineStr">
        <is>
          <t>SUSTANTIVA</t>
        </is>
      </c>
      <c r="E23" s="36" t="inlineStr">
        <is>
          <t>Colecta y determinación botánica pendientes</t>
        </is>
      </c>
    </row>
    <row r="24" ht="48" customHeight="1">
      <c r="A24" s="34" t="inlineStr">
        <is>
          <t>D-15</t>
        </is>
      </c>
      <c r="B24" s="34" t="inlineStr">
        <is>
          <t>F-DT-04</t>
        </is>
      </c>
      <c r="C24" s="34" t="inlineStr">
        <is>
          <t>Tala para leña y quema de renovación altamente probables pero no consignadas por falta de evidencia</t>
        </is>
      </c>
      <c r="D24" s="15" t="inlineStr">
        <is>
          <t>NO SUSTANTIVA</t>
        </is>
      </c>
      <c r="E24" s="34" t="inlineStr">
        <is>
          <t>Verificar en campo y con el diagnóstico social</t>
        </is>
      </c>
    </row>
    <row r="25" ht="48" customHeight="1">
      <c r="A25" s="36" t="inlineStr">
        <is>
          <t>D-16</t>
        </is>
      </c>
      <c r="B25" s="36" t="inlineStr">
        <is>
          <t>F-DT-04</t>
        </is>
      </c>
      <c r="C25" s="36" t="inlineStr">
        <is>
          <t>Velocidad de degradación en blanco (falta serie TAU y MSAVI multianual)</t>
        </is>
      </c>
      <c r="D25" s="37" t="inlineStr">
        <is>
          <t>SUSTANTIVA</t>
        </is>
      </c>
      <c r="E25" s="36" t="inlineStr">
        <is>
          <t>Procesar serie temporal</t>
        </is>
      </c>
    </row>
    <row r="26" ht="48" customHeight="1">
      <c r="A26" s="34" t="inlineStr">
        <is>
          <t>D-17</t>
        </is>
      </c>
      <c r="B26" s="34" t="inlineStr">
        <is>
          <t>F-DT-05</t>
        </is>
      </c>
      <c r="C26" s="34" t="inlineStr">
        <is>
          <t>Elementos expuestos en el entorno inmediato: C.P. Dotor, I.E., viviendas y atractivos «Bosque de Piedras Dotor» y «Piedra del descanso»</t>
        </is>
      </c>
      <c r="D26" s="37" t="inlineStr">
        <is>
          <t>SUSTANTIVA</t>
        </is>
      </c>
      <c r="E26" s="34" t="inlineStr">
        <is>
          <t>Tamizaje predial y consulta SIGDA (Ministerio de Cultura) antes de comprometer metas físicas</t>
        </is>
      </c>
    </row>
    <row r="27" ht="48" customHeight="1">
      <c r="A27" s="34" t="inlineStr">
        <is>
          <t>D-18</t>
        </is>
      </c>
      <c r="B27" s="34" t="inlineStr">
        <is>
          <t>Distribución areal MSAVI 2024</t>
        </is>
      </c>
      <c r="C27" s="34" t="inlineStr">
        <is>
          <t>La distribución por clase de MSAVI no figuraba en los insumos del entregable y se consignaba «Por determinar»; se incorpora la estadística zonal del ráster MSAVI clasificado (307 polígonos, 62.219 ha)</t>
        </is>
      </c>
      <c r="D27" s="37" t="inlineStr">
        <is>
          <t>CORREGIDO</t>
        </is>
      </c>
      <c r="E27" s="34"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8" ht="48" customHeight="1">
      <c r="A28" s="34" t="inlineStr">
        <is>
          <t>D-19</t>
        </is>
      </c>
      <c r="B28" s="34" t="inlineStr">
        <is>
          <t>Superficie MSAVI vs. catálogo</t>
        </is>
      </c>
      <c r="C28" s="34" t="inlineStr">
        <is>
          <t>La superficie total clasificada por el MSAVI 2024 (62.219 ha) frente a la de catálogo V5/V6 (62.219 ha): desviación de +0.00 %</t>
        </is>
      </c>
      <c r="D28" s="37" t="inlineStr">
        <is>
          <t>CONFORME</t>
        </is>
      </c>
      <c r="E28" s="34" t="inlineStr">
        <is>
          <t>Sin acción: la segmentación del ráster valida la geometría del bloque dentro del ±2 %.</t>
        </is>
      </c>
    </row>
    <row r="29" ht="48" customHeight="1">
      <c r="A29" s="34" t="inlineStr">
        <is>
          <t>D-20</t>
        </is>
      </c>
      <c r="B29" s="34" t="inlineStr">
        <is>
          <t>Media MSAVI vs. clase DN dominante</t>
        </is>
      </c>
      <c r="C29" s="34" t="inlineStr">
        <is>
          <t>La media del bloque (0.2487) cae en la clase «DN 1 · &lt;= 0.2650 (Suelo desnudo / no vegetal)»; la clase de mayor superficie es «DN 1 · &lt;= 0.2650 (Suelo desnudo / no vegetal)», con 81.76 % del bloque. Superficie bajo el umbral 0.4976: 62.045 ha (99.72 %)</t>
        </is>
      </c>
      <c r="D29" s="37" t="inlineStr">
        <is>
          <t>CONFORME</t>
        </is>
      </c>
      <c r="E29" s="34" t="inlineStr">
        <is>
          <t>Sin acción: la media del bloque y la clase de mayor superficie coinciden.</t>
        </is>
      </c>
    </row>
    <row r="30"/>
    <row r="31">
      <c r="A31" s="16" t="inlineStr">
        <is>
          <t>RESUMEN</t>
        </is>
      </c>
      <c r="B31" s="17" t="inlineStr">
        <is>
          <t>20 verificaciones</t>
        </is>
      </c>
      <c r="C31" s="17" t="inlineStr">
        <is>
          <t>CONFORME: 4 · CORREGIDO: 1 · NO SUSTANTIVA: 4 · SUSTANTIVA: 11</t>
        </is>
      </c>
      <c r="D31" s="17" t="inlineStr"/>
      <c r="E31" s="17" t="inlineStr"/>
    </row>
    <row r="32"/>
    <row r="33" ht="60" customHeight="1">
      <c r="A33"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3" s="41" t="n"/>
      <c r="C33" s="41" t="n"/>
      <c r="D33" s="41" t="n"/>
      <c r="E33" s="42" t="n"/>
    </row>
  </sheetData>
  <mergeCells count="8">
    <mergeCell ref="A4:E4"/>
    <mergeCell ref="A2:E2"/>
    <mergeCell ref="A33:E33"/>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87 — IN Piura</dc:title>
  <dc:subject>Diagnóstico Territorial por bloque de intervención</dc:subject>
  <dcterms:created xsi:type="dcterms:W3CDTF">2026-09-08T03:39:57Z</dcterms:created>
  <dcterms:modified xsi:type="dcterms:W3CDTF">2026-09-10T00:28:30Z</dcterms:modified>
</cp:coreProperties>
</file>