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Yumbe · Cruz Roja</t>
        </is>
      </c>
      <c r="C13" s="6" t="inlineStr">
        <is>
          <t>Comunidad campesina</t>
        </is>
      </c>
      <c r="D13" s="7" t="inlineStr">
        <is>
          <t>Por verificar</t>
        </is>
      </c>
      <c r="E13" s="8" t="n"/>
      <c r="F13" s="8" t="n"/>
    </row>
    <row r="14">
      <c r="A14" s="6" t="inlineStr">
        <is>
          <t>Superficie de catálogo (V5/V6), ha</t>
        </is>
      </c>
      <c r="B14" s="7" t="n">
        <v>28.83</v>
      </c>
      <c r="C14" s="6" t="inlineStr">
        <is>
          <t>Fuente de superficie</t>
        </is>
      </c>
      <c r="D14" s="7" t="inlineStr">
        <is>
          <t>Catálogo maestro Bloques V5/V6</t>
        </is>
      </c>
      <c r="E14" s="8" t="n"/>
      <c r="F14" s="8" t="n"/>
    </row>
    <row r="15">
      <c r="A15" s="6" t="inlineStr">
        <is>
          <t>Centroide UTM ESTE (m)</t>
        </is>
      </c>
      <c r="B15" s="7" t="n">
        <v>657160</v>
      </c>
      <c r="C15" s="6" t="inlineStr">
        <is>
          <t>Centroide UTM NORTE (m)</t>
        </is>
      </c>
      <c r="D15" s="7" t="n">
        <v>9373050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2180</v>
      </c>
      <c r="C19" s="6" t="inlineStr">
        <is>
          <t>Altitud máxima (msnm)</t>
        </is>
      </c>
      <c r="D19" s="7" t="n">
        <v>2491</v>
      </c>
      <c r="E19" s="8" t="n"/>
      <c r="F19" s="8" t="n"/>
    </row>
    <row r="20">
      <c r="A20" s="6" t="inlineStr">
        <is>
          <t>Amplitud altitudinal (m)</t>
        </is>
      </c>
      <c r="B20" s="7" t="n">
        <v>311</v>
      </c>
      <c r="C20" s="6" t="inlineStr">
        <is>
          <t>Piso altitudinal dominante</t>
        </is>
      </c>
      <c r="D20" s="7" t="inlineStr">
        <is>
          <t>2000-2500 m (Quechua alta)</t>
        </is>
      </c>
      <c r="E20" s="8" t="n"/>
      <c r="F20" s="8" t="n"/>
    </row>
    <row r="21">
      <c r="A21" s="6" t="inlineStr">
        <is>
          <t>Pendiente promedio (%)</t>
        </is>
      </c>
      <c r="B21" s="7" t="n">
        <v>32.9</v>
      </c>
      <c r="C21" s="6" t="inlineStr">
        <is>
          <t>Pendiente promedio (grados)</t>
        </is>
      </c>
      <c r="D21" s="7" t="n">
        <v>18.2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0.5931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(78.73 %)</t>
        </is>
      </c>
      <c r="E29" s="8" t="n"/>
      <c r="F29" s="8" t="n"/>
    </row>
    <row r="30">
      <c r="A30" s="6" t="inlineStr">
        <is>
          <t>Superficie clasificada NDVI 2025 (ha)</t>
        </is>
      </c>
      <c r="B30" s="7" t="n">
        <v>28.835</v>
      </c>
      <c r="C30" s="6" t="inlineStr">
        <is>
          <t>Desviación frente al catálogo (%)</t>
        </is>
      </c>
      <c r="D30" s="7" t="n">
        <v>0.02</v>
      </c>
      <c r="E30" s="8" t="n"/>
      <c r="F30" s="8" t="n"/>
    </row>
    <row r="31">
      <c r="A31" s="6" t="inlineStr">
        <is>
          <t>Superficie clasificada MSAVI 2024 (ha)</t>
        </is>
      </c>
      <c r="B31" s="38" t="n">
        <v>28.83</v>
      </c>
      <c r="C31" s="6" t="inlineStr">
        <is>
          <t>Desviación MSAVI frente al catálogo (%)</t>
        </is>
      </c>
      <c r="D31" s="39" t="n">
        <v>0</v>
      </c>
      <c r="E31" s="8" t="n"/>
      <c r="F31" s="8" t="n"/>
    </row>
    <row r="32">
      <c r="A32" s="6" t="inlineStr">
        <is>
          <t>Superficie bajo umbral MSAVI 0.4976 (ha)</t>
        </is>
      </c>
      <c r="B32" s="38" t="n">
        <v>4.868</v>
      </c>
      <c r="C32" s="6" t="inlineStr">
        <is>
          <t>% del bloque bajo umbral (brecha espectral)</t>
        </is>
      </c>
      <c r="D32" s="39" t="n">
        <v>16.88</v>
      </c>
      <c r="E32" s="8" t="n"/>
      <c r="F32" s="8" t="n"/>
    </row>
    <row r="33">
      <c r="A33" s="6" t="inlineStr">
        <is>
          <t>Clase DN dominante (MSAVI 2024)</t>
        </is>
      </c>
      <c r="B33" s="7" t="inlineStr">
        <is>
          <t>DN 5 · &gt; 0.6139 (Vigor alto)</t>
        </is>
      </c>
      <c r="C33" s="6" t="inlineStr">
        <is>
          <t>N.° de polígonos MSAVI del bloque</t>
        </is>
      </c>
      <c r="D33" s="40" t="n">
        <v>150</v>
      </c>
      <c r="E33" s="8" t="n"/>
      <c r="F33" s="8" t="n"/>
    </row>
    <row r="34"/>
    <row r="35" ht="18" customHeight="1">
      <c r="A35" s="5" t="inlineStr">
        <is>
          <t>4. ECOSISTEMA Y ESTADO DE CONSERVACIÓN</t>
        </is>
      </c>
    </row>
    <row r="36">
      <c r="A36" s="6" t="inlineStr">
        <is>
          <t>Tipo de ecosistema (UP)</t>
        </is>
      </c>
      <c r="B36" s="7" t="inlineStr">
        <is>
          <t>Matorral Andino subhúmedo (lectura de campo; confrontar con REPORTE_ECOSISTEMAS_BLOQUES_V5)</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En blanco (no verificado)</t>
        </is>
      </c>
      <c r="C39" s="6" t="inlineStr">
        <is>
          <t>Regeneración natural</t>
        </is>
      </c>
      <c r="D39" s="7" t="inlineStr">
        <is>
          <t>En blanco (no verificado)</t>
        </is>
      </c>
      <c r="E39" s="8" t="n"/>
      <c r="F39" s="8" t="n"/>
    </row>
    <row r="40">
      <c r="A40" s="6" t="inlineStr">
        <is>
          <t>Nivel general de erosión</t>
        </is>
      </c>
      <c r="B40" s="7" t="inlineStr">
        <is>
          <t>Severa (cárcavas activas) — síntesis: Fuerte (cárcavas incipientes)</t>
        </is>
      </c>
      <c r="C40" s="6" t="inlineStr">
        <is>
          <t>N.° de cárcavas registradas</t>
        </is>
      </c>
      <c r="D40" s="7" t="n">
        <v>1</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verificar</t>
        </is>
      </c>
      <c r="C44" s="6" t="inlineStr">
        <is>
          <t>Fecha de evaluación</t>
        </is>
      </c>
      <c r="D44" s="7" t="inlineStr">
        <is>
          <t>2026-08-19</t>
        </is>
      </c>
      <c r="E44" s="8" t="n"/>
      <c r="F44" s="8" t="n"/>
    </row>
    <row r="45">
      <c r="A45" s="6" t="inlineStr">
        <is>
          <t>Hora de registro</t>
        </is>
      </c>
      <c r="B45" s="7" t="inlineStr">
        <is>
          <t>11:40 - 11:46 h</t>
        </is>
      </c>
      <c r="C45" s="6" t="inlineStr">
        <is>
          <t>Correlativo de ficha</t>
        </is>
      </c>
      <c r="D45" s="7" t="inlineStr">
        <is>
          <t>F-DT-01/B80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11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Sustitución del ecosistema natural por un mosaico agro-silvo-pastoril de especies introducidas, acelerada por la reciente apertura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14.2956</v>
      </c>
      <c r="C10" s="19">
        <f>ROUND(B10/$B$15*100,2)</f>
        <v/>
      </c>
      <c r="D10" s="11" t="inlineStr">
        <is>
          <t>Vigor alto</t>
        </is>
      </c>
      <c r="E10" s="11" t="inlineStr">
        <is>
          <t>Sobre umbral</t>
        </is>
      </c>
    </row>
    <row r="11">
      <c r="A11" s="12" t="inlineStr">
        <is>
          <t>0.4976 - 0.6139 · DN 4</t>
        </is>
      </c>
      <c r="B11" s="32" t="n">
        <v>9.667</v>
      </c>
      <c r="C11" s="31">
        <f>ROUND(B11/$B$15*100,2)</f>
        <v/>
      </c>
      <c r="D11" s="13" t="inlineStr">
        <is>
          <t>Vigor moderado</t>
        </is>
      </c>
      <c r="E11" s="13" t="inlineStr">
        <is>
          <t>Sobre umbral</t>
        </is>
      </c>
    </row>
    <row r="12">
      <c r="A12" s="7" t="inlineStr">
        <is>
          <t>0.3813 - 0.4976 · DN 3</t>
        </is>
      </c>
      <c r="B12" s="18" t="n">
        <v>3.9394</v>
      </c>
      <c r="C12" s="19">
        <f>ROUND(B12/$B$15*100,2)</f>
        <v/>
      </c>
      <c r="D12" s="11" t="inlineStr">
        <is>
          <t>Vigor bajo</t>
        </is>
      </c>
      <c r="E12" s="11" t="inlineStr">
        <is>
          <t>BAJO umbral 0.4976</t>
        </is>
      </c>
    </row>
    <row r="13">
      <c r="A13" s="14" t="inlineStr">
        <is>
          <t>0.2650 - 0.3813 · DN 2</t>
        </is>
      </c>
      <c r="B13" s="20" t="n">
        <v>0.8687</v>
      </c>
      <c r="C13" s="21">
        <f>ROUND(B13/$B$15*100,2)</f>
        <v/>
      </c>
      <c r="D13" s="15" t="inlineStr">
        <is>
          <t>Vigor muy bajo</t>
        </is>
      </c>
      <c r="E13" s="15" t="inlineStr">
        <is>
          <t>BAJO umbral 0.4976</t>
        </is>
      </c>
    </row>
    <row r="14">
      <c r="A14" s="7" t="inlineStr">
        <is>
          <t>&lt;= 0.2650 · DN 1</t>
        </is>
      </c>
      <c r="B14" s="18" t="n">
        <v>0.0594</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150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28.83</v>
      </c>
      <c r="C18" s="49" t="inlineStr">
        <is>
          <t>—</t>
        </is>
      </c>
      <c r="D18" s="46" t="inlineStr">
        <is>
          <t>Desviación planimétrica frente al catálogo</t>
        </is>
      </c>
      <c r="E18" s="46" t="inlineStr">
        <is>
          <t>+0.00 %</t>
        </is>
      </c>
    </row>
    <row r="19">
      <c r="A19" s="16" t="inlineStr">
        <is>
          <t>MSAVI 2024 — MEDIA DEL BLOQUE</t>
        </is>
      </c>
      <c r="B19" s="17" t="n">
        <v>0.593069</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150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(0.5931)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22.7018</v>
      </c>
      <c r="C25" s="19" t="n">
        <v>78.73</v>
      </c>
      <c r="D25" s="11" t="inlineStr">
        <is>
          <t>Dosel continuo, matorral denso o mosaico agroforestal</t>
        </is>
      </c>
      <c r="E25" s="11" t="inlineStr"/>
    </row>
    <row r="26">
      <c r="A26" s="14" t="inlineStr">
        <is>
          <t>Vegetación mediana</t>
        </is>
      </c>
      <c r="B26" s="20" t="n">
        <v>5.1677</v>
      </c>
      <c r="C26" s="21" t="n">
        <v>17.92</v>
      </c>
      <c r="D26" s="15" t="inlineStr">
        <is>
          <t>Pastizal cultivado, matorral ralo, parcelas agrícolas</t>
        </is>
      </c>
      <c r="E26" s="15" t="inlineStr"/>
    </row>
    <row r="27">
      <c r="A27" s="7" t="inlineStr">
        <is>
          <t>Vegetación ligera</t>
        </is>
      </c>
      <c r="B27" s="18" t="n">
        <v>0.7979000000000001</v>
      </c>
      <c r="C27" s="19" t="n">
        <v>2.77</v>
      </c>
      <c r="D27" s="11" t="inlineStr">
        <is>
          <t>Cobertura discontinua, suelo parcialmente expuesto</t>
        </is>
      </c>
      <c r="E27" s="11" t="inlineStr"/>
    </row>
    <row r="28">
      <c r="A28" s="14" t="inlineStr">
        <is>
          <t>Tierra desnuda</t>
        </is>
      </c>
      <c r="B28" s="20" t="n">
        <v>0.1681</v>
      </c>
      <c r="C28" s="21" t="n">
        <v>0.58</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28.83</v>
      </c>
      <c r="C30" s="25" t="inlineStr">
        <is>
          <t>—</t>
        </is>
      </c>
      <c r="D30" s="25" t="inlineStr">
        <is>
          <t>Desviación planimétrica frente al catálogo</t>
        </is>
      </c>
      <c r="E30" s="25" t="inlineStr">
        <is>
          <t>+0.02 %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80</t>
        </is>
      </c>
    </row>
    <row r="6" ht="24" customHeight="1">
      <c r="A6" s="4" t="inlineStr">
        <is>
          <t>Levantamiento del 2026-08-19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657095</v>
      </c>
      <c r="D10" s="26" t="n">
        <v>9373326</v>
      </c>
      <c r="E10" s="11" t="n">
        <v>283.6</v>
      </c>
      <c r="F10" s="11" t="inlineStr"/>
      <c r="G10" s="11" t="inlineStr">
        <is>
          <t>Coordenada consignada en F-DT-01</t>
        </is>
      </c>
    </row>
    <row r="11">
      <c r="A11" s="14" t="inlineStr">
        <is>
          <t>E-02</t>
        </is>
      </c>
      <c r="B11" s="15" t="inlineStr">
        <is>
          <t>Estación fotográfica</t>
        </is>
      </c>
      <c r="C11" s="27" t="n">
        <v>656960</v>
      </c>
      <c r="D11" s="27" t="n">
        <v>9373369</v>
      </c>
      <c r="E11" s="15" t="n">
        <v>376.5</v>
      </c>
      <c r="F11" s="15" t="inlineStr"/>
      <c r="G11" s="15" t="inlineStr">
        <is>
          <t>Registro fotográfico georreferenciado</t>
        </is>
      </c>
    </row>
    <row r="12">
      <c r="A12" s="7" t="inlineStr">
        <is>
          <t>E-04</t>
        </is>
      </c>
      <c r="B12" s="11" t="inlineStr">
        <is>
          <t>Estación fotográfica</t>
        </is>
      </c>
      <c r="C12" s="26" t="n">
        <v>657092</v>
      </c>
      <c r="D12" s="26" t="n">
        <v>9373324</v>
      </c>
      <c r="E12" s="11" t="n">
        <v>282.3</v>
      </c>
      <c r="F12" s="11" t="inlineStr"/>
      <c r="G12" s="11" t="inlineStr">
        <is>
          <t>Registro fotográfico georreferenciado</t>
        </is>
      </c>
    </row>
    <row r="13">
      <c r="A13" s="14" t="inlineStr">
        <is>
          <t>E-05</t>
        </is>
      </c>
      <c r="B13" s="15" t="inlineStr">
        <is>
          <t>Estación fotográfica</t>
        </is>
      </c>
      <c r="C13" s="27" t="n">
        <v>657095</v>
      </c>
      <c r="D13" s="27" t="n">
        <v>9373326</v>
      </c>
      <c r="E13" s="15" t="n">
        <v>283.6</v>
      </c>
      <c r="F13" s="15" t="inlineStr"/>
      <c r="G13" s="15" t="inlineStr">
        <is>
          <t>Registro fotográfico georreferenciado</t>
        </is>
      </c>
    </row>
    <row r="14">
      <c r="A14" s="7" t="inlineStr">
        <is>
          <t>E-08</t>
        </is>
      </c>
      <c r="B14" s="11" t="inlineStr">
        <is>
          <t>Estación fotográfica</t>
        </is>
      </c>
      <c r="C14" s="26" t="n">
        <v>657714</v>
      </c>
      <c r="D14" s="26" t="n">
        <v>9373163</v>
      </c>
      <c r="E14" s="11" t="n">
        <v>565.4</v>
      </c>
      <c r="F14" s="11" t="inlineStr"/>
      <c r="G14" s="11" t="inlineStr">
        <is>
          <t>Registro fotográfico georreferenciado</t>
        </is>
      </c>
    </row>
    <row r="15">
      <c r="A15" s="14" t="inlineStr">
        <is>
          <t>C-01</t>
        </is>
      </c>
      <c r="B15" s="15" t="inlineStr">
        <is>
          <t>Rasgo erosivo — Cárcava profunda (&gt;2 m)</t>
        </is>
      </c>
      <c r="C15" s="27" t="n">
        <v>656968</v>
      </c>
      <c r="D15" s="27" t="n">
        <v>9373395</v>
      </c>
      <c r="E15" s="15" t="n">
        <v>394.8</v>
      </c>
      <c r="F15" s="15" t="inlineStr">
        <is>
          <t>Activa</t>
        </is>
      </c>
      <c r="G15" s="15" t="inlineStr">
        <is>
          <t>Concentración natural de escorrentía</t>
        </is>
      </c>
    </row>
    <row r="16">
      <c r="A16" s="7" t="inlineStr">
        <is>
          <t>H-01</t>
        </is>
      </c>
      <c r="B16" s="11" t="inlineStr">
        <is>
          <t>Fuente de agua — Quebrada estacional</t>
        </is>
      </c>
      <c r="C16" s="26" t="n">
        <v>656960</v>
      </c>
      <c r="D16" s="26" t="n">
        <v>9373371</v>
      </c>
      <c r="E16" s="11" t="n">
        <v>378.2</v>
      </c>
      <c r="F16" s="11" t="inlineStr">
        <is>
          <t>Intermitente</t>
        </is>
      </c>
      <c r="G16" s="11" t="inlineStr">
        <is>
          <t>Canal encajonado con agua encharcada en agosto</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657160</v>
      </c>
      <c r="C19" s="6" t="inlineStr">
        <is>
          <t>Centroide del bloque — UTM NORTE (m)</t>
        </is>
      </c>
      <c r="D19" s="7" t="n">
        <v>9373050</v>
      </c>
      <c r="E19" s="8" t="n"/>
      <c r="F19" s="8" t="n"/>
      <c r="G19" s="8" t="n"/>
      <c r="H19" s="8" t="n"/>
    </row>
    <row r="20">
      <c r="A20" s="6" t="inlineStr">
        <is>
          <t>N.° de estaciones fotográficas declaradas</t>
        </is>
      </c>
      <c r="B20" s="7" t="n">
        <v>11</v>
      </c>
      <c r="C20" s="6" t="inlineStr">
        <is>
          <t>Estaciones dentro del polígono</t>
        </is>
      </c>
      <c r="D20" s="7" t="n">
        <v>0</v>
      </c>
      <c r="E20" s="8" t="n"/>
      <c r="F20" s="8" t="n"/>
      <c r="G20" s="8" t="n"/>
      <c r="H20" s="8" t="n"/>
    </row>
    <row r="22" ht="144"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ONCE TOMAS FOTOGRÁFICAS DEL 19-08-2026 SE LOCALIZAN FUERA DEL POLÍGONO, entre 22.7 y 150.7 m de su límite (media 62 m), medidas por transformada de distancia sobre el polígono extraído del plano MSAVI y georreferenciado por su grilla UTM (tolerancia ±10-15 m). Superficie reconstruida sobre plano 29.360 ha frente a 28.830 ha del catálogo (+1.8%); centroide medido 657 156 E / 9 373 038 N frente al de catálogo 657 160 E / 9 373 050 N (Δ ≈ 13 m). Extensión E-O ≈ 867 m; N-S ≈ 573 m. Escarpes activos y remoción en masa ACREDITADOS FOTOGRÁFICAMENTE en el sector noroccidental (E-01 a E-03) y en los taludes de corte de la trocha (E-04 a E-11). Altitud GPS no registrada en el sello fotográfico.</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80</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4" t="inlineStr">
        <is>
          <t>8</t>
        </is>
      </c>
      <c r="B11" s="29" t="n">
        <v>126.95</v>
      </c>
      <c r="C11" s="21" t="n">
        <v>24.23</v>
      </c>
      <c r="D11" s="15" t="inlineStr">
        <is>
          <t>1504 – 1970</t>
        </is>
      </c>
      <c r="E11" s="15" t="n">
        <v>466</v>
      </c>
      <c r="F11" s="15"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20</t>
        </is>
      </c>
      <c r="B13" s="29" t="n">
        <v>81.33</v>
      </c>
      <c r="C13" s="21" t="n">
        <v>15.52</v>
      </c>
      <c r="D13" s="15" t="inlineStr">
        <is>
          <t>1217 – 1607</t>
        </is>
      </c>
      <c r="E13" s="15" t="n">
        <v>390</v>
      </c>
      <c r="F13" s="15" t="n">
        <v>24.54</v>
      </c>
      <c r="G13" s="20" t="n">
        <v>0.4851</v>
      </c>
      <c r="H13" s="21" t="n">
        <v>52.44</v>
      </c>
      <c r="I13" s="21" t="n">
        <v>59.23</v>
      </c>
    </row>
    <row r="14">
      <c r="A14" s="12" t="inlineStr">
        <is>
          <t>► 80</t>
        </is>
      </c>
      <c r="B14" s="30" t="n">
        <v>28.83</v>
      </c>
      <c r="C14" s="31" t="n">
        <v>5.5</v>
      </c>
      <c r="D14" s="13" t="inlineStr">
        <is>
          <t>2180 – 2491</t>
        </is>
      </c>
      <c r="E14" s="13" t="n">
        <v>311</v>
      </c>
      <c r="F14" s="13" t="n">
        <v>32.9</v>
      </c>
      <c r="G14" s="32" t="n">
        <v>0.5931</v>
      </c>
      <c r="H14" s="31" t="n">
        <v>78.73</v>
      </c>
      <c r="I14" s="31" t="n">
        <v>16.88</v>
      </c>
    </row>
    <row r="15">
      <c r="A15" s="14" t="inlineStr">
        <is>
          <t>51</t>
        </is>
      </c>
      <c r="B15" s="29" t="n">
        <v>22.93</v>
      </c>
      <c r="C15" s="21" t="n">
        <v>4.38</v>
      </c>
      <c r="D15" s="15" t="inlineStr">
        <is>
          <t>1734 – 2018</t>
        </is>
      </c>
      <c r="E15" s="15" t="n">
        <v>284</v>
      </c>
      <c r="F15" s="15"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4" t="inlineStr">
        <is>
          <t>71</t>
        </is>
      </c>
      <c r="B17" s="29" t="n">
        <v>10.67</v>
      </c>
      <c r="C17" s="21" t="n">
        <v>2.04</v>
      </c>
      <c r="D17" s="15" t="inlineStr">
        <is>
          <t>1478 – 1609</t>
        </is>
      </c>
      <c r="E17" s="15" t="n">
        <v>131</v>
      </c>
      <c r="F17" s="15"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19"/>
    <row r="20" ht="84" customHeight="1">
      <c r="A20" s="9" t="inlineStr">
        <is>
          <t>LECTURA INTRAMICROCUENCA. El bloque 80 ocupa el puesto 5 de 8 por superficie dentro de la microcuenca C1076-Q9593 (5.50 % de las 523.87 ha preliminares de la microcuenca). Su pendiente promedio (32.90 %, clase «25-50% (Mod. escarpado)») es la 8.ª más baja de 8 y se sitúa por encima del promedio de la microcuenca (28.06 %). Su MSAVI 2024 (0.5931) es el 2.º de 8 y queda por encima del promedio local (0.5477). Amplitud altitudinal del bloque: 311 m (2180–2491 msnm). El cuadro conserva todos los bloques catalogados en la microcuenca, incluidos los descartados en el tamizaje, para referencia del conjunto. Los bloques sin ficha DT figuran con sus parámetros de gabinete. BRECHA ESPECTRAL. El 16.88 % de la superficie del bloque (4.868 ha de 28.830 ha) se sitúa bajo el umbral MSAVI 0.4976, por debajo del promedio local de la microcuenca (31.88 %) calculado sobre los bloques con dato MSAVI disponible.</t>
        </is>
      </c>
      <c r="B20" s="41" t="n"/>
      <c r="C20" s="41" t="n"/>
      <c r="D20" s="41" t="n"/>
      <c r="E20" s="41" t="n"/>
      <c r="F20" s="41" t="n"/>
      <c r="G20" s="41" t="n"/>
      <c r="H20" s="42"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2"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284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(28.835 ha) coincide con la de catálogo (28.83 ha) dentro del ±2 % (+0.02 %)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10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«Yumbe · Cruz Roja»; el cruce INEI-Bloques V5 identifica 2 centro(s) poblado(s) en el bloque: CRUZ ROJA, YUMBE</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Las 11 tomas fotográficas se localizan FUERA del polígono (22.7 a 150.7 m, media 62 m)</t>
        </is>
      </c>
      <c r="D17" s="37" t="inlineStr">
        <is>
          <t>SUSTANTIVA</t>
        </is>
      </c>
      <c r="E17" s="36" t="inlineStr">
        <is>
          <t>La caracterización corresponde al entorno inmediato, no al interior</t>
        </is>
      </c>
    </row>
    <row r="18" ht="48" customHeight="1">
      <c r="A18" s="34" t="inlineStr">
        <is>
          <t>D-09</t>
        </is>
      </c>
      <c r="B18" s="34" t="inlineStr">
        <is>
          <t>F-DT-01</t>
        </is>
      </c>
      <c r="C18" s="34" t="inlineStr">
        <is>
          <t>Superficie reconstruida sobre plano 29.360 ha frente a 28.830 ha del catálogo (+1.8%); centroide con Δ ≈ 13 m</t>
        </is>
      </c>
      <c r="D18" s="13" t="inlineStr">
        <is>
          <t>NO SUSTANTIVA</t>
        </is>
      </c>
      <c r="E18" s="34" t="inlineStr">
        <is>
          <t>Dentro de la tolerancia de digitalización declarada (±10-15 m)</t>
        </is>
      </c>
    </row>
    <row r="19" ht="48" customHeight="1">
      <c r="A19" s="36" t="inlineStr">
        <is>
          <t>D-10</t>
        </is>
      </c>
      <c r="B19" s="36" t="inlineStr">
        <is>
          <t>F-DT-02</t>
        </is>
      </c>
      <c r="C19" s="36" t="inlineStr">
        <is>
          <t>Nivel general de erosión «Severa» frente a síntesis «Fuerte»: dos calificaciones distintas en la misma ficha</t>
        </is>
      </c>
      <c r="D19" s="13" t="inlineStr">
        <is>
          <t>NO SUSTANTIVA</t>
        </is>
      </c>
      <c r="E19" s="36" t="inlineStr">
        <is>
          <t>Resolver en la carga definitiva</t>
        </is>
      </c>
    </row>
    <row r="20" ht="48" customHeight="1">
      <c r="A20" s="34" t="inlineStr">
        <is>
          <t>D-11</t>
        </is>
      </c>
      <c r="B20" s="34" t="inlineStr">
        <is>
          <t>F-DT-02</t>
        </is>
      </c>
      <c r="C20" s="34" t="inlineStr">
        <is>
          <t>Causa de C-01 consignada como concentración natural; debe verificarse la contribución de la plataforma de la trocha aguas arriba</t>
        </is>
      </c>
      <c r="D20" s="37" t="inlineStr">
        <is>
          <t>SUSTANTIVA</t>
        </is>
      </c>
      <c r="E20" s="34" t="inlineStr">
        <is>
          <t>Verificación pendiente</t>
        </is>
      </c>
    </row>
    <row r="21" ht="48" customHeight="1">
      <c r="A21" s="36" t="inlineStr">
        <is>
          <t>D-12</t>
        </is>
      </c>
      <c r="B21" s="36" t="inlineStr">
        <is>
          <t>F-DT-03</t>
        </is>
      </c>
      <c r="C21" s="36" t="inlineStr">
        <is>
          <t>Lista florística de 10 registros frente al mínimo de 15; 6 de 10 taxones son introducidos o cultivos</t>
        </is>
      </c>
      <c r="D21" s="37" t="inlineStr">
        <is>
          <t>SUSTANTIVA</t>
        </is>
      </c>
      <c r="E21" s="36" t="inlineStr">
        <is>
          <t>Colecta botánica pendiente; excluir cultivos del área efectiva</t>
        </is>
      </c>
    </row>
    <row r="22" ht="48" customHeight="1">
      <c r="A22" s="34" t="inlineStr">
        <is>
          <t>D-13</t>
        </is>
      </c>
      <c r="B22" s="34" t="inlineStr">
        <is>
          <t>F-DT-03</t>
        </is>
      </c>
      <c r="C22" s="34" t="inlineStr">
        <is>
          <t>Adscripción a Matorral Andino subhúmedo frente a Bes-cm en bloques vecinos de la misma microcuenca</t>
        </is>
      </c>
      <c r="D22" s="37" t="inlineStr">
        <is>
          <t>SUSTANTIVA</t>
        </is>
      </c>
      <c r="E22" s="34" t="inlineStr">
        <is>
          <t>Confrontar con REPORTE_ECOSISTEMAS_BLOQUES_V5</t>
        </is>
      </c>
    </row>
    <row r="23" ht="48" customHeight="1">
      <c r="A23" s="36" t="inlineStr">
        <is>
          <t>D-14</t>
        </is>
      </c>
      <c r="B23" s="36" t="inlineStr">
        <is>
          <t>F-DT-04</t>
        </is>
      </c>
      <c r="C23" s="36" t="inlineStr">
        <is>
          <t>7 de los 8 indicadores cuantitativos sin valor</t>
        </is>
      </c>
      <c r="D23" s="37" t="inlineStr">
        <is>
          <t>SUSTANTIVA</t>
        </is>
      </c>
      <c r="E23" s="36" t="inlineStr">
        <is>
          <t>Cuantificación pendiente</t>
        </is>
      </c>
    </row>
    <row r="24" ht="48" customHeight="1">
      <c r="A24" s="34" t="inlineStr">
        <is>
          <t>D-15</t>
        </is>
      </c>
      <c r="B24" s="34" t="inlineStr">
        <is>
          <t>F-DT-05</t>
        </is>
      </c>
      <c r="C24" s="34" t="inlineStr">
        <is>
          <t>Agua encharcada en agosto sugiere régimen más persistente que el estacional declarado</t>
        </is>
      </c>
      <c r="D24" s="13" t="inlineStr">
        <is>
          <t>NO SUSTANTIVA</t>
        </is>
      </c>
      <c r="E24" s="34" t="inlineStr">
        <is>
          <t>Verificar régimen hídrico</t>
        </is>
      </c>
    </row>
    <row r="25" ht="48" customHeight="1">
      <c r="A25" s="36" t="inlineStr">
        <is>
          <t>D-16</t>
        </is>
      </c>
      <c r="B25" s="36" t="inlineStr">
        <is>
          <t>Ficha DT</t>
        </is>
      </c>
      <c r="C25" s="36" t="inlineStr">
        <is>
          <t>Evaluador no consignado</t>
        </is>
      </c>
      <c r="D25" s="13" t="inlineStr">
        <is>
          <t>NO SUSTANTIVA</t>
        </is>
      </c>
      <c r="E25" s="36" t="inlineStr">
        <is>
          <t>Por verificar</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(150 polígonos, 28.830 ha)</t>
        </is>
      </c>
      <c r="D26" s="13"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(28.830 ha) frente a la de catálogo V5/V6 (28.830 ha): desviación de +0.00 %</t>
        </is>
      </c>
      <c r="D27" s="13"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(0.5931) cae en la clase «DN 4 · 0.4976 - 0.6139 (Vigor moderado)»; la clase de mayor superficie es «DN 5 · &gt; 0.6139 (Vigor alto)», con 49.59 % del bloque. Superficie bajo el umbral 0.4976: 4.868 ha (16.88 %)</t>
        </is>
      </c>
      <c r="D28" s="13" t="inlineStr">
        <is>
          <t>NO SUSTANTIVA</t>
        </is>
      </c>
      <c r="E28" s="36" t="inlineStr">
        <is>
          <t>Se declara la divergencia: en bloques de distribución asimétrica la media puede caer en una clase distinta de la modal. Para el dimensionamiento de metas físicas debe usarse la distribución areal, no la media.</t>
        </is>
      </c>
    </row>
    <row r="29"/>
    <row r="30">
      <c r="A30" s="16" t="inlineStr">
        <is>
          <t>RESUMEN</t>
        </is>
      </c>
      <c r="B30" s="17" t="inlineStr">
        <is>
          <t>19 verificaciones</t>
        </is>
      </c>
      <c r="C30" s="17" t="inlineStr">
        <is>
          <t>CONFORME: 5 · CORREGIDO: 1 · NO SUSTANTIVA: 5 · SUSTANTIVA: 8</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1" t="n"/>
      <c r="C32" s="41" t="n"/>
      <c r="D32" s="41" t="n"/>
      <c r="E32" s="42"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80 — IN Piura</dc:title>
  <dc:subject>Diagnóstico Territorial por bloque de intervención</dc:subject>
  <dcterms:created xsi:type="dcterms:W3CDTF">2026-09-08T03:39:57Z</dcterms:created>
  <dcterms:modified xsi:type="dcterms:W3CDTF">2026-09-09T23:30:53Z</dcterms:modified>
</cp:coreProperties>
</file>