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s>
  <borders count="7">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
      <left style="thin">
        <color rgb="00B7C4BA"/>
      </left>
      <right style="thin">
        <color rgb="00B7C4BA"/>
      </right>
      <top style="thin">
        <color rgb="00B7C4BA"/>
      </top>
      <bottom style="thin">
        <color rgb="00B7C4BA"/>
      </bottom>
    </border>
  </borders>
  <cellStyleXfs count="1">
    <xf numFmtId="0" fontId="0" fillId="0" borderId="0"/>
  </cellStyleXfs>
  <cellXfs count="50">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165" fontId="6" fillId="0" borderId="1" applyAlignment="1" pivotButton="0" quotePrefix="0" xfId="0">
      <alignment horizontal="left" vertical="center" wrapText="1" indent="1"/>
    </xf>
    <xf numFmtId="2" fontId="6" fillId="0" borderId="1" applyAlignment="1" pivotButton="0" quotePrefix="0" xfId="0">
      <alignment horizontal="left" vertical="center" wrapText="1" indent="1"/>
    </xf>
    <xf numFmtId="1" fontId="6" fillId="0" borderId="1" applyAlignment="1" pivotButton="0" quotePrefix="0" xfId="0">
      <alignment horizontal="left" vertical="center" wrapText="1" indent="1"/>
    </xf>
    <xf numFmtId="0" fontId="0" fillId="0" borderId="4" pivotButton="0" quotePrefix="0" xfId="0"/>
    <xf numFmtId="0" fontId="0" fillId="0" borderId="5" pivotButton="0" quotePrefix="0" xfId="0"/>
    <xf numFmtId="0" fontId="5" fillId="4" borderId="6" applyAlignment="1" pivotButton="0" quotePrefix="0" xfId="0">
      <alignment horizontal="left" vertical="center" wrapText="1"/>
    </xf>
    <xf numFmtId="164" fontId="5" fillId="4" borderId="6" applyAlignment="1" pivotButton="0" quotePrefix="0" xfId="0">
      <alignment horizontal="center" vertical="center" wrapText="1"/>
    </xf>
    <xf numFmtId="2" fontId="5" fillId="4" borderId="6" applyAlignment="1" pivotButton="0" quotePrefix="0" xfId="0">
      <alignment horizontal="center" vertical="center" wrapText="1"/>
    </xf>
    <xf numFmtId="0" fontId="6" fillId="0" borderId="6" applyAlignment="1" pivotButton="0" quotePrefix="0" xfId="0">
      <alignment horizontal="left" vertical="center" wrapText="1"/>
    </xf>
    <xf numFmtId="164" fontId="6" fillId="0" borderId="6" applyAlignment="1" pivotButton="0" quotePrefix="0" xfId="0">
      <alignment horizontal="center" vertical="center" wrapText="1"/>
    </xf>
    <xf numFmtId="2" fontId="6" fillId="0" borderId="6" applyAlignment="1" pivotButton="0" quotePrefix="0" xfId="0">
      <alignment horizontal="center" vertical="center" wrapText="1"/>
    </xf>
    <xf numFmtId="0" fontId="6" fillId="0" borderId="6"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7"/>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80</t>
        </is>
      </c>
    </row>
    <row r="6" ht="24" customHeight="1">
      <c r="A6" s="4" t="inlineStr">
        <is>
          <t>Diagnóstico Territorial — Plantilla DT Campo Check Validada V5 | Sistema de referencia: UTM WGS 84 Zona 17S (EPSG:32717)</t>
        </is>
      </c>
    </row>
    <row r="7"/>
    <row r="8" ht="18" customHeight="1">
      <c r="A8" s="5" t="inlineStr">
        <is>
          <t>1. IDENTIFICACIÓN Y LOCALIZACIÓN</t>
        </is>
      </c>
    </row>
    <row r="9">
      <c r="A9" s="6" t="inlineStr">
        <is>
          <t>Código del bloque</t>
        </is>
      </c>
      <c r="B9" s="7" t="inlineStr">
        <is>
          <t>80</t>
        </is>
      </c>
      <c r="C9" s="6" t="inlineStr">
        <is>
          <t>Microcuenca (catálogo)</t>
        </is>
      </c>
      <c r="D9" s="7" t="inlineStr">
        <is>
          <t>C1076-Q9593</t>
        </is>
      </c>
      <c r="E9" s="8" t="n"/>
      <c r="F9" s="8" t="n"/>
    </row>
    <row r="10">
      <c r="A10" s="6" t="inlineStr">
        <is>
          <t>Zona de planificación</t>
        </is>
      </c>
      <c r="B10" s="7" t="inlineStr">
        <is>
          <t>Z14</t>
        </is>
      </c>
      <c r="C10" s="6" t="inlineStr">
        <is>
          <t>Microcuenca declarada en ficha DT</t>
        </is>
      </c>
      <c r="D10" s="7" t="inlineStr">
        <is>
          <t>C1076-Q9593</t>
        </is>
      </c>
      <c r="E10" s="8" t="n"/>
      <c r="F10" s="8" t="n"/>
    </row>
    <row r="11">
      <c r="A11" s="6" t="inlineStr">
        <is>
          <t>Departamento</t>
        </is>
      </c>
      <c r="B11" s="7" t="inlineStr">
        <is>
          <t>Piura</t>
        </is>
      </c>
      <c r="C11" s="6" t="inlineStr">
        <is>
          <t>Provincia</t>
        </is>
      </c>
      <c r="D11" s="7" t="inlineStr">
        <is>
          <t>Huancabamba</t>
        </is>
      </c>
      <c r="E11" s="8" t="n"/>
      <c r="F11" s="8" t="n"/>
    </row>
    <row r="12">
      <c r="A12" s="6" t="inlineStr">
        <is>
          <t>Distrito</t>
        </is>
      </c>
      <c r="B12" s="7" t="inlineStr">
        <is>
          <t>Huarmaca</t>
        </is>
      </c>
      <c r="C12" s="6" t="inlineStr">
        <is>
          <t>Capital distrital</t>
        </is>
      </c>
      <c r="D12" s="7" t="inlineStr">
        <is>
          <t>Huarmaca</t>
        </is>
      </c>
      <c r="E12" s="8" t="n"/>
      <c r="F12" s="8" t="n"/>
    </row>
    <row r="13">
      <c r="A13" s="6" t="inlineStr">
        <is>
          <t>Centro poblado asociado</t>
        </is>
      </c>
      <c r="B13" s="7" t="inlineStr">
        <is>
          <t>Yumbe · Cruz Roja</t>
        </is>
      </c>
      <c r="C13" s="6" t="inlineStr">
        <is>
          <t>Comunidad campesina</t>
        </is>
      </c>
      <c r="D13" s="7" t="inlineStr">
        <is>
          <t>Por verificar</t>
        </is>
      </c>
      <c r="E13" s="8" t="n"/>
      <c r="F13" s="8" t="n"/>
    </row>
    <row r="14">
      <c r="A14" s="6" t="inlineStr">
        <is>
          <t>Superficie de catálogo (V5/V6), ha</t>
        </is>
      </c>
      <c r="B14" s="7" t="n">
        <v>28.83</v>
      </c>
      <c r="C14" s="6" t="inlineStr">
        <is>
          <t>Fuente de superficie</t>
        </is>
      </c>
      <c r="D14" s="7" t="inlineStr">
        <is>
          <t>Catálogo maestro Bloques V5/V6</t>
        </is>
      </c>
      <c r="E14" s="8" t="n"/>
      <c r="F14" s="8" t="n"/>
    </row>
    <row r="15">
      <c r="A15" s="6" t="inlineStr">
        <is>
          <t>Centroide UTM ESTE (m)</t>
        </is>
      </c>
      <c r="B15" s="7" t="n">
        <v>657160</v>
      </c>
      <c r="C15" s="6" t="inlineStr">
        <is>
          <t>Centroide UTM NORTE (m)</t>
        </is>
      </c>
      <c r="D15" s="7" t="n">
        <v>9373050</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2180</v>
      </c>
      <c r="C19" s="6" t="inlineStr">
        <is>
          <t>Altitud máxima (msnm)</t>
        </is>
      </c>
      <c r="D19" s="7" t="n">
        <v>2491</v>
      </c>
      <c r="E19" s="8" t="n"/>
      <c r="F19" s="8" t="n"/>
    </row>
    <row r="20">
      <c r="A20" s="6" t="inlineStr">
        <is>
          <t>Amplitud altitudinal (m)</t>
        </is>
      </c>
      <c r="B20" s="7" t="n">
        <v>311</v>
      </c>
      <c r="C20" s="6" t="inlineStr">
        <is>
          <t>Piso altitudinal dominante</t>
        </is>
      </c>
      <c r="D20" s="7" t="inlineStr">
        <is>
          <t>2000-2500 m (Quechua alta)</t>
        </is>
      </c>
      <c r="E20" s="8" t="n"/>
      <c r="F20" s="8" t="n"/>
    </row>
    <row r="21">
      <c r="A21" s="6" t="inlineStr">
        <is>
          <t>Pendiente promedio (%)</t>
        </is>
      </c>
      <c r="B21" s="7" t="n">
        <v>32.9</v>
      </c>
      <c r="C21" s="6" t="inlineStr">
        <is>
          <t>Pendiente promedio (grados)</t>
        </is>
      </c>
      <c r="D21" s="7" t="n">
        <v>18.2</v>
      </c>
      <c r="E21" s="8" t="n"/>
      <c r="F21" s="8" t="n"/>
    </row>
    <row r="22">
      <c r="A22" s="6" t="inlineStr">
        <is>
          <t>Clase de pendiente equivalente</t>
        </is>
      </c>
      <c r="B22" s="7" t="inlineStr">
        <is>
          <t>25-50% (Mod. escarpado)</t>
        </is>
      </c>
      <c r="C22" s="6" t="inlineStr">
        <is>
          <t>Rango de pendiente declarado en campo</t>
        </is>
      </c>
      <c r="D22" s="7" t="inlineStr">
        <is>
          <t>25-50% (Mod. escarpado)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Norte</t>
        </is>
      </c>
      <c r="C24" s="6" t="inlineStr">
        <is>
          <t>Afloramientos rocosos</t>
        </is>
      </c>
      <c r="D24" s="7" t="inlineStr">
        <is>
          <t>Sí</t>
        </is>
      </c>
      <c r="E24" s="8" t="n"/>
      <c r="F24" s="8" t="n"/>
    </row>
    <row r="25">
      <c r="A25" s="6" t="inlineStr">
        <is>
          <t>Escarpes activos</t>
        </is>
      </c>
      <c r="B25" s="7" t="inlineStr">
        <is>
          <t>Sí</t>
        </is>
      </c>
      <c r="C25" s="6" t="inlineStr">
        <is>
          <t>Remociones en masa activas</t>
        </is>
      </c>
      <c r="D25" s="7" t="inlineStr">
        <is>
          <t>Sí</t>
        </is>
      </c>
      <c r="E25" s="8" t="n"/>
      <c r="F25" s="8" t="n"/>
    </row>
    <row r="26"/>
    <row r="27" ht="18" customHeight="1">
      <c r="A27" s="5" t="inlineStr">
        <is>
          <t>3. ÍNDICES DE VEGETACIÓN (SENTINEL-2)</t>
        </is>
      </c>
    </row>
    <row r="28">
      <c r="A28" s="6" t="inlineStr">
        <is>
          <t>MSAVI 2024 — media del bloque</t>
        </is>
      </c>
      <c r="B28" s="7" t="n">
        <v>0.5931</v>
      </c>
      <c r="C28" s="6" t="inlineStr">
        <is>
          <t>MSAVI 2024 — clase de la media</t>
        </is>
      </c>
      <c r="D28" s="7" t="inlineStr">
        <is>
          <t>0.4976 - 0.6139 (Vigor moderado)</t>
        </is>
      </c>
      <c r="E28" s="8" t="n"/>
      <c r="F28" s="8" t="n"/>
    </row>
    <row r="29">
      <c r="A29" s="6" t="inlineStr">
        <is>
          <t>Condición frente al umbral 0.4976</t>
        </is>
      </c>
      <c r="B29" s="7" t="inlineStr">
        <is>
          <t>Sobre umbral</t>
        </is>
      </c>
      <c r="C29" s="6" t="inlineStr">
        <is>
          <t>NDVI mediana 2025 — clase modal</t>
        </is>
      </c>
      <c r="D29" s="7" t="inlineStr">
        <is>
          <t>Vegetación alta (78.73 %)</t>
        </is>
      </c>
      <c r="E29" s="8" t="n"/>
      <c r="F29" s="8" t="n"/>
    </row>
    <row r="30">
      <c r="A30" s="6" t="inlineStr">
        <is>
          <t>Superficie clasificada NDVI 2025 (ha)</t>
        </is>
      </c>
      <c r="B30" s="7" t="n">
        <v>28.835</v>
      </c>
      <c r="C30" s="6" t="inlineStr">
        <is>
          <t>Desviación frente al catálogo (%)</t>
        </is>
      </c>
      <c r="D30" s="7" t="n">
        <v>0.02</v>
      </c>
      <c r="E30" s="8" t="n"/>
      <c r="F30" s="8" t="n"/>
    </row>
    <row r="31">
      <c r="A31" s="6" t="inlineStr">
        <is>
          <t>Superficie clasificada MSAVI 2024 (ha)</t>
        </is>
      </c>
      <c r="B31" s="38" t="n">
        <v>28.83</v>
      </c>
      <c r="C31" s="6" t="inlineStr">
        <is>
          <t>Desviación MSAVI frente al catálogo (%)</t>
        </is>
      </c>
      <c r="D31" s="39" t="n">
        <v>0</v>
      </c>
      <c r="E31" s="8" t="n"/>
      <c r="F31" s="8" t="n"/>
    </row>
    <row r="32">
      <c r="A32" s="6" t="inlineStr">
        <is>
          <t>Superficie bajo umbral MSAVI 0.4976 (ha)</t>
        </is>
      </c>
      <c r="B32" s="38" t="n">
        <v>4.868</v>
      </c>
      <c r="C32" s="6" t="inlineStr">
        <is>
          <t>% del bloque bajo umbral (brecha espectral)</t>
        </is>
      </c>
      <c r="D32" s="39" t="n">
        <v>16.88</v>
      </c>
      <c r="E32" s="8" t="n"/>
      <c r="F32" s="8" t="n"/>
    </row>
    <row r="33">
      <c r="A33" s="6" t="inlineStr">
        <is>
          <t>Clase DN dominante (MSAVI 2024)</t>
        </is>
      </c>
      <c r="B33" s="7" t="inlineStr">
        <is>
          <t>DN 5 · &gt; 0.6139 (Vigor alto)</t>
        </is>
      </c>
      <c r="C33" s="6" t="inlineStr">
        <is>
          <t>N.° de polígonos MSAVI del bloque</t>
        </is>
      </c>
      <c r="D33" s="40" t="n">
        <v>150</v>
      </c>
      <c r="E33" s="8" t="n"/>
      <c r="F33" s="8" t="n"/>
    </row>
    <row r="34"/>
    <row r="35" ht="18" customHeight="1">
      <c r="A35" s="5" t="inlineStr">
        <is>
          <t>4. ECOSISTEMA Y ESTADO DE CONSERVACIÓN</t>
        </is>
      </c>
    </row>
    <row r="36">
      <c r="A36" s="6" t="inlineStr">
        <is>
          <t>Tipo de ecosistema (UP)</t>
        </is>
      </c>
      <c r="B36" s="7" t="inlineStr">
        <is>
          <t>Matorral Andino subhúmedo (lectura de campo; confrontar con REPORTE_ECOSISTEMAS_BLOQUES_V5)</t>
        </is>
      </c>
      <c r="C36" s="6" t="inlineStr">
        <is>
          <t>Superficie de ecosistema (ha)</t>
        </is>
      </c>
      <c r="D36" s="7" t="inlineStr">
        <is>
          <t>Por determinar</t>
        </is>
      </c>
      <c r="E36" s="8" t="n"/>
      <c r="F36" s="8" t="n"/>
    </row>
    <row r="37">
      <c r="A37" s="6" t="inlineStr">
        <is>
          <t>Estado de conservación</t>
        </is>
      </c>
      <c r="B37" s="7" t="inlineStr">
        <is>
          <t>Alterado (intervención marcada)</t>
        </is>
      </c>
      <c r="C37" s="6" t="inlineStr">
        <is>
          <t>Uso actual dominante del suelo</t>
        </is>
      </c>
      <c r="D37" s="7" t="inlineStr">
        <is>
          <t>Uso mixto</t>
        </is>
      </c>
      <c r="E37" s="8" t="n"/>
      <c r="F37" s="8" t="n"/>
    </row>
    <row r="38">
      <c r="A38" s="6" t="inlineStr">
        <is>
          <t>Tipo de cobertura dominante</t>
        </is>
      </c>
      <c r="B38" s="7" t="inlineStr">
        <is>
          <t>Mixto / Mosaico</t>
        </is>
      </c>
      <c r="C38" s="6" t="inlineStr">
        <is>
          <t>Cobertura vegetal total — campo (%)</t>
        </is>
      </c>
      <c r="D38" s="7" t="inlineStr">
        <is>
          <t>Por determinar</t>
        </is>
      </c>
      <c r="E38" s="8" t="n"/>
      <c r="F38" s="8" t="n"/>
    </row>
    <row r="39">
      <c r="A39" s="6" t="inlineStr">
        <is>
          <t>Suelo desnudo — campo (%)</t>
        </is>
      </c>
      <c r="B39" s="7" t="inlineStr">
        <is>
          <t>En blanco (no verificado)</t>
        </is>
      </c>
      <c r="C39" s="6" t="inlineStr">
        <is>
          <t>Regeneración natural</t>
        </is>
      </c>
      <c r="D39" s="7" t="inlineStr">
        <is>
          <t>En blanco (no verificado)</t>
        </is>
      </c>
      <c r="E39" s="8" t="n"/>
      <c r="F39" s="8" t="n"/>
    </row>
    <row r="40">
      <c r="A40" s="6" t="inlineStr">
        <is>
          <t>Nivel general de erosión</t>
        </is>
      </c>
      <c r="B40" s="7" t="inlineStr">
        <is>
          <t>Severa (cárcavas activas) — síntesis: Fuerte (cárcavas incipientes)</t>
        </is>
      </c>
      <c r="C40" s="6" t="inlineStr">
        <is>
          <t>N.° de cárcavas registradas</t>
        </is>
      </c>
      <c r="D40" s="7" t="n">
        <v>1</v>
      </c>
      <c r="E40" s="8" t="n"/>
      <c r="F40" s="8" t="n"/>
    </row>
    <row r="41">
      <c r="A41" s="6" t="inlineStr">
        <is>
          <t>Elenco florístico (n.° de taxones)</t>
        </is>
      </c>
      <c r="B41" s="7" t="n">
        <v>10</v>
      </c>
      <c r="C41" s="6" t="inlineStr">
        <is>
          <t>Estado sanitario</t>
        </is>
      </c>
      <c r="D41" s="7" t="inlineStr">
        <is>
          <t>Sano</t>
        </is>
      </c>
      <c r="E41" s="8" t="n"/>
      <c r="F41" s="8" t="n"/>
    </row>
    <row r="42"/>
    <row r="43" ht="18" customHeight="1">
      <c r="A43" s="5" t="inlineStr">
        <is>
          <t>5. RESPONSABLE Y MODALIDAD DE LA EVALUACIÓN</t>
        </is>
      </c>
    </row>
    <row r="44">
      <c r="A44" s="6" t="inlineStr">
        <is>
          <t>Responsable de la evaluación</t>
        </is>
      </c>
      <c r="B44" s="7" t="inlineStr">
        <is>
          <t>Por verificar</t>
        </is>
      </c>
      <c r="C44" s="6" t="inlineStr">
        <is>
          <t>Fecha de evaluación</t>
        </is>
      </c>
      <c r="D44" s="7" t="inlineStr">
        <is>
          <t>2026-08-19</t>
        </is>
      </c>
      <c r="E44" s="8" t="n"/>
      <c r="F44" s="8" t="n"/>
    </row>
    <row r="45">
      <c r="A45" s="6" t="inlineStr">
        <is>
          <t>Hora de registro</t>
        </is>
      </c>
      <c r="B45" s="7" t="inlineStr">
        <is>
          <t>11:40 - 11:46 h</t>
        </is>
      </c>
      <c r="C45" s="6" t="inlineStr">
        <is>
          <t>Correlativo de ficha</t>
        </is>
      </c>
      <c r="D45" s="7" t="inlineStr">
        <is>
          <t>F-DT-01/B80</t>
        </is>
      </c>
      <c r="E45" s="8" t="n"/>
      <c r="F45" s="8" t="n"/>
    </row>
    <row r="46">
      <c r="A46" s="6" t="inlineStr">
        <is>
          <t>Entidad</t>
        </is>
      </c>
      <c r="B46" s="7" t="inlineStr">
        <is>
          <t>ANIN - DIME - SESDI</t>
        </is>
      </c>
      <c r="C46" s="6" t="inlineStr">
        <is>
          <t>Fase del estudio</t>
        </is>
      </c>
      <c r="D46" s="7" t="inlineStr">
        <is>
          <t>Preinversión (Perfil) · Invierte.pe</t>
        </is>
      </c>
      <c r="E46" s="8" t="n"/>
      <c r="F46" s="8" t="n"/>
    </row>
    <row r="47">
      <c r="A47" s="6" t="inlineStr">
        <is>
          <t>Instrumento aplicado</t>
        </is>
      </c>
      <c r="B47" s="7" t="inlineStr">
        <is>
          <t>Fichas F-DT-01 a F-DT-05 (Plantilla V5)</t>
        </is>
      </c>
      <c r="C47" s="6" t="inlineStr">
        <is>
          <t>Parcela de muestreo</t>
        </is>
      </c>
      <c r="D47" s="7" t="inlineStr">
        <is>
          <t>No instalada</t>
        </is>
      </c>
      <c r="E47" s="8" t="n"/>
      <c r="F47" s="8" t="n"/>
    </row>
    <row r="48">
      <c r="A48" s="6" t="inlineStr">
        <is>
          <t>Estaciones fotográficas georreferenciadas</t>
        </is>
      </c>
      <c r="B48" s="7" t="n">
        <v>11</v>
      </c>
      <c r="C48" s="6" t="inlineStr">
        <is>
          <t>Modalidad de acceso</t>
        </is>
      </c>
      <c r="D48" s="7" t="inlineStr">
        <is>
          <t>Vehicular 4x4 hasta el bloque</t>
        </is>
      </c>
      <c r="E48" s="8" t="n"/>
      <c r="F48" s="8" t="n"/>
    </row>
    <row r="49"/>
    <row r="50" ht="18" customHeight="1">
      <c r="A50" s="5" t="inlineStr">
        <is>
          <t>6. SÍNTESIS PARA LA GESTIÓN DEL RIESGO EN CONTEXTO DE CAMBIO CLIMÁTICO</t>
        </is>
      </c>
    </row>
    <row r="51">
      <c r="A51" s="6" t="inlineStr">
        <is>
          <t>Causa subyacente principal</t>
        </is>
      </c>
      <c r="B51" s="7" t="inlineStr">
        <is>
          <t>Sustitución del ecosistema natural por un mosaico agro-silvo-pastoril de especies introducidas, acelerada por la reciente apertura vial</t>
        </is>
      </c>
      <c r="C51" s="6" t="inlineStr">
        <is>
          <t>Velocidad de degradación</t>
        </is>
      </c>
      <c r="D51" s="7" t="inlineStr">
        <is>
          <t>Moderada</t>
        </is>
      </c>
      <c r="E51" s="8" t="n"/>
      <c r="F51" s="8" t="n"/>
    </row>
    <row r="52">
      <c r="A52" s="6" t="inlineStr">
        <is>
          <t>Reversibilidad técnica</t>
        </is>
      </c>
      <c r="B52" s="7" t="inlineStr">
        <is>
          <t>Parcialmente reversible</t>
        </is>
      </c>
      <c r="C52" s="6" t="inlineStr">
        <is>
          <t>Urgencia de intervención</t>
        </is>
      </c>
      <c r="D52" s="7" t="inlineStr">
        <is>
          <t>Alta</t>
        </is>
      </c>
      <c r="E52" s="8" t="n"/>
      <c r="F52" s="8" t="n"/>
    </row>
    <row r="53">
      <c r="A53" s="6" t="inlineStr">
        <is>
          <t>Urgencia de control de erosión</t>
        </is>
      </c>
      <c r="B53" s="7" t="inlineStr">
        <is>
          <t>Alta</t>
        </is>
      </c>
      <c r="C53" s="6" t="inlineStr">
        <is>
          <t>Zona de recarga hídrica</t>
        </is>
      </c>
      <c r="D53" s="7" t="inlineStr">
        <is>
          <t>Sí</t>
        </is>
      </c>
      <c r="E53" s="8" t="n"/>
      <c r="F53" s="8" t="n"/>
    </row>
    <row r="54">
      <c r="A54" s="6" t="inlineStr">
        <is>
          <t>Peligro integrado preliminar (MCA-AHP)</t>
        </is>
      </c>
      <c r="B54" s="7" t="inlineStr">
        <is>
          <t>No disponible en los insumos; debe tomarse del modelamiento de mesolocalización</t>
        </is>
      </c>
      <c r="C54" s="6" t="inlineStr">
        <is>
          <t>Prioridad de intervención</t>
        </is>
      </c>
      <c r="D54" s="7" t="inlineStr">
        <is>
          <t>Por definir en mesolocalización</t>
        </is>
      </c>
      <c r="E54" s="8" t="n"/>
      <c r="F54" s="8" t="n"/>
    </row>
    <row r="55">
      <c r="A55" s="6" t="inlineStr">
        <is>
          <t>Estado de verificación de campo</t>
        </is>
      </c>
      <c r="B55" s="7" t="inlineStr">
        <is>
          <t>VERIFICADO</t>
        </is>
      </c>
      <c r="C55" s="6" t="inlineStr">
        <is>
          <t>Marco del indicador de brecha</t>
        </is>
      </c>
      <c r="D55" s="7" t="inlineStr">
        <is>
          <t>R.M. N.° 00213-2024-MINAM</t>
        </is>
      </c>
      <c r="E55" s="8" t="n"/>
      <c r="F55" s="8" t="n"/>
    </row>
    <row r="56"/>
    <row r="57" ht="72" customHeight="1">
      <c r="A57"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 La distribución areal por clase de MSAVI 2024 procede de la estadística zonal del ráster MSAVI clasificado (AREAS_MSAVI_BLOQUES_V6_REV_HSCM) y se detalla en la hoja «Cobertura MSAVI-NDVI»; la equivalencia entre el valor de clase DN y los umbrales del proyecto se declara en la nota metodológica de esa hoja.</t>
        </is>
      </c>
      <c r="B57" s="41" t="n"/>
      <c r="C57" s="41" t="n"/>
      <c r="D57" s="41" t="n"/>
      <c r="E57" s="41" t="n"/>
      <c r="F57" s="42" t="n"/>
    </row>
  </sheetData>
  <mergeCells count="13">
    <mergeCell ref="A2:F2"/>
    <mergeCell ref="A3:F3"/>
    <mergeCell ref="A1:F1"/>
    <mergeCell ref="A5:F5"/>
    <mergeCell ref="A27:F27"/>
    <mergeCell ref="A8:F8"/>
    <mergeCell ref="A6:F6"/>
    <mergeCell ref="A50:F50"/>
    <mergeCell ref="A35:F35"/>
    <mergeCell ref="A18:F18"/>
    <mergeCell ref="A4:F4"/>
    <mergeCell ref="A43:F43"/>
    <mergeCell ref="A57:F5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2"/>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80</t>
        </is>
      </c>
    </row>
    <row r="6" ht="24" customHeight="1">
      <c r="A6" s="4" t="inlineStr">
        <is>
          <t>MSAVI 2024 y NDVI mediana 2025 (Sentinel-2, mosaico Piura) · Umbral de brecha del proyecto: MSAVI = 0.4976</t>
        </is>
      </c>
    </row>
    <row r="7"/>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 · DN 5</t>
        </is>
      </c>
      <c r="B10" s="18" t="n">
        <v>14.2956</v>
      </c>
      <c r="C10" s="19">
        <f>ROUND(B10/$B$15*100,2)</f>
        <v>49.59</v>
      </c>
      <c r="D10" s="11" t="inlineStr">
        <is>
          <t>Vigor alto</t>
        </is>
      </c>
      <c r="E10" s="11" t="inlineStr">
        <is>
          <t>Sobre umbral</t>
        </is>
      </c>
    </row>
    <row r="11">
      <c r="A11" s="12" t="inlineStr">
        <is>
          <t>0.4976 - 0.6139 · DN 4</t>
        </is>
      </c>
      <c r="B11" s="32" t="n">
        <v>9.667</v>
      </c>
      <c r="C11" s="31">
        <f>ROUND(B11/$B$15*100,2)</f>
        <v>33.53</v>
      </c>
      <c r="D11" s="13" t="inlineStr">
        <is>
          <t>Vigor moderado</t>
        </is>
      </c>
      <c r="E11" s="13" t="inlineStr">
        <is>
          <t>Sobre umbral</t>
        </is>
      </c>
    </row>
    <row r="12">
      <c r="A12" s="7" t="inlineStr">
        <is>
          <t>0.3813 - 0.4976 · DN 3</t>
        </is>
      </c>
      <c r="B12" s="18" t="n">
        <v>3.9394</v>
      </c>
      <c r="C12" s="19">
        <f>ROUND(B12/$B$15*100,2)</f>
        <v>13.66</v>
      </c>
      <c r="D12" s="11" t="inlineStr">
        <is>
          <t>Vigor bajo</t>
        </is>
      </c>
      <c r="E12" s="11" t="inlineStr">
        <is>
          <t>BAJO umbral 0.4976</t>
        </is>
      </c>
    </row>
    <row r="13">
      <c r="A13" s="14" t="inlineStr">
        <is>
          <t>0.2650 - 0.3813 · DN 2</t>
        </is>
      </c>
      <c r="B13" s="20" t="n">
        <v>0.8687</v>
      </c>
      <c r="C13" s="21">
        <f>ROUND(B13/$B$15*100,2)</f>
        <v>3.01</v>
      </c>
      <c r="D13" s="15" t="inlineStr">
        <is>
          <t>Vigor muy bajo</t>
        </is>
      </c>
      <c r="E13" s="15" t="inlineStr">
        <is>
          <t>BAJO umbral 0.4976</t>
        </is>
      </c>
    </row>
    <row r="14">
      <c r="A14" s="7" t="inlineStr">
        <is>
          <t>&lt;= 0.2650 · DN 1</t>
        </is>
      </c>
      <c r="B14" s="18" t="n">
        <v>0.0594</v>
      </c>
      <c r="C14" s="19">
        <f>ROUND(B14/$B$15*100,2)</f>
        <v>0.21</v>
      </c>
      <c r="D14" s="11" t="inlineStr">
        <is>
          <t>Suelo desnudo / no vegetal</t>
        </is>
      </c>
      <c r="E14" s="11" t="inlineStr">
        <is>
          <t>BAJO umbral 0.4976</t>
        </is>
      </c>
    </row>
    <row r="15" ht="30" customHeight="1">
      <c r="A15" s="43" t="inlineStr">
        <is>
          <t>TOTAL CLASIFICADO MSAVI 2024</t>
        </is>
      </c>
      <c r="B15" s="44">
        <f>SUM(B10:B14)</f>
        <v>28.8301</v>
      </c>
      <c r="C15" s="45">
        <f>SUM(C10:C14)</f>
        <v>100.0</v>
      </c>
      <c r="D15" s="43" t="inlineStr">
        <is>
          <t>Suma de la distribución areal · 150 polígonos</t>
        </is>
      </c>
      <c r="E15" s="43" t="inlineStr">
        <is>
          <t>—</t>
        </is>
      </c>
    </row>
    <row r="16" ht="30" customHeight="1">
      <c r="A16" s="46" t="inlineStr">
        <is>
          <t>Superficie SOBRE umbral 0.4976 (ha)</t>
        </is>
      </c>
      <c r="B16" s="47">
        <f>SUM(B10:B11)</f>
        <v>23.9626</v>
      </c>
      <c r="C16" s="48">
        <f>ROUND(B16/B15*100,2)</f>
        <v>83.12</v>
      </c>
      <c r="D16" s="46" t="inlineStr">
        <is>
          <t>Vigor alto y moderado (DN 4 y DN 5)</t>
        </is>
      </c>
      <c r="E16" s="46" t="inlineStr">
        <is>
          <t>Sobre umbral 0.4976</t>
        </is>
      </c>
    </row>
    <row r="17" ht="30" customHeight="1">
      <c r="A17" s="46" t="inlineStr">
        <is>
          <t>Superficie BAJO umbral 0.4976 (ha) — brecha</t>
        </is>
      </c>
      <c r="B17" s="47">
        <f>SUM(B12:B14)</f>
        <v>4.8675</v>
      </c>
      <c r="C17" s="48">
        <f>ROUND(B17/B15*100,2)</f>
        <v>16.88</v>
      </c>
      <c r="D17" s="46" t="inlineStr">
        <is>
          <t>Vigor bajo, muy bajo y suelo desnudo (DN 1 a DN 3)</t>
        </is>
      </c>
      <c r="E17" s="46" t="inlineStr">
        <is>
          <t>Base para el indicador de brecha (R.M. N.° 00213-2024-MINAM)</t>
        </is>
      </c>
    </row>
    <row r="18" ht="30" customHeight="1">
      <c r="A18" s="46" t="inlineStr">
        <is>
          <t>Superficie de catálogo (V5/V6) — contraste MSAVI</t>
        </is>
      </c>
      <c r="B18" s="47" t="n">
        <v>28.83</v>
      </c>
      <c r="C18" s="49" t="inlineStr">
        <is>
          <t>—</t>
        </is>
      </c>
      <c r="D18" s="46" t="inlineStr">
        <is>
          <t>Desviación planimétrica frente al catálogo</t>
        </is>
      </c>
      <c r="E18" s="46" t="inlineStr">
        <is>
          <t>+0.00 %</t>
        </is>
      </c>
    </row>
    <row r="19">
      <c r="A19" s="16" t="inlineStr">
        <is>
          <t>MSAVI 2024 — MEDIA DEL BLOQUE</t>
        </is>
      </c>
      <c r="B19" s="17" t="n">
        <v>0.593069</v>
      </c>
      <c r="C19" s="17" t="inlineStr">
        <is>
          <t>—</t>
        </is>
      </c>
      <c r="D19" s="17" t="inlineStr">
        <is>
          <t>Vigor moderado · clase 0.4976 - 0.6139</t>
        </is>
      </c>
      <c r="E19" s="17" t="inlineStr">
        <is>
          <t>Sobre umbral</t>
        </is>
      </c>
    </row>
    <row r="20"/>
    <row r="21" ht="72" customHeight="1">
      <c r="A21" s="9" t="inlineStr">
        <is>
          <t>NOTA METODOLÓGICA. La distribución areal por clase de MSAVI 2024 procede de la estadística zonal por polígono del ráster MSAVI clasificado (archivo AREAS_MSAVI_BLOQUES_V6_REV_HSCM.xlsx, hojas «Datos_Detalle» y «Resumen_por_Bloque»): 150 polígonos agregados para este bloque, con superficies obtenidas como Area_m2 / 10 000. El archivo fuente no documenta la semántica del valor de clase DN; la equivalencia DN 1 = clase inferior … DN 5 = clase superior se estableció por contraste con la media MSAVI 2024 del catálogo maestro de los 117 bloques (coeficiente de correlación 0.9965 y error absoluto medio 0.0091 al reconstruir la media con los puntos medios de clase; el orden inverso arroja correlación negativa), y debe ser confirmada por el especialista SIG del proyecto. La media del bloque (0.5931) se conserva del catálogo maestro y es dato oficial; la fila resaltada indica la clase en la que cae dicha media. Los totales y porcentajes se calculan con fórmulas sobre las filas del cuadro.</t>
        </is>
      </c>
      <c r="B21" s="41" t="n"/>
      <c r="C21" s="41" t="n"/>
      <c r="D21" s="41" t="n"/>
      <c r="E21" s="42" t="n"/>
    </row>
    <row r="22"/>
    <row r="23" ht="18" customHeight="1">
      <c r="A23" s="5" t="inlineStr">
        <is>
          <t>B. NDVI MEDIANA 2025 — DISTRIBUCIÓN AREAL (ESTADÍSTICA ZONAL)</t>
        </is>
      </c>
    </row>
    <row r="24" ht="28" customHeight="1">
      <c r="A24" s="10" t="inlineStr">
        <is>
          <t>Clase NDVI</t>
        </is>
      </c>
      <c r="B24" s="10" t="inlineStr">
        <is>
          <t>Superficie (ha)</t>
        </is>
      </c>
      <c r="C24" s="10" t="inlineStr">
        <is>
          <t>% del área clasificada</t>
        </is>
      </c>
      <c r="D24" s="10" t="inlineStr">
        <is>
          <t>Interpretación</t>
        </is>
      </c>
      <c r="E24" s="10" t="inlineStr">
        <is>
          <t>Observación</t>
        </is>
      </c>
    </row>
    <row r="25">
      <c r="A25" s="7" t="inlineStr">
        <is>
          <t>Vegetación alta</t>
        </is>
      </c>
      <c r="B25" s="18" t="n">
        <v>22.7018</v>
      </c>
      <c r="C25" s="19" t="n">
        <v>78.73</v>
      </c>
      <c r="D25" s="11" t="inlineStr">
        <is>
          <t>Dosel continuo, matorral denso o mosaico agroforestal</t>
        </is>
      </c>
      <c r="E25" s="11" t="inlineStr"/>
    </row>
    <row r="26">
      <c r="A26" s="14" t="inlineStr">
        <is>
          <t>Vegetación mediana</t>
        </is>
      </c>
      <c r="B26" s="20" t="n">
        <v>5.1677</v>
      </c>
      <c r="C26" s="21" t="n">
        <v>17.92</v>
      </c>
      <c r="D26" s="15" t="inlineStr">
        <is>
          <t>Pastizal cultivado, matorral ralo, parcelas agrícolas</t>
        </is>
      </c>
      <c r="E26" s="15" t="inlineStr"/>
    </row>
    <row r="27">
      <c r="A27" s="7" t="inlineStr">
        <is>
          <t>Vegetación ligera</t>
        </is>
      </c>
      <c r="B27" s="18" t="n">
        <v>0.7979000000000001</v>
      </c>
      <c r="C27" s="19" t="n">
        <v>2.77</v>
      </c>
      <c r="D27" s="11" t="inlineStr">
        <is>
          <t>Cobertura discontinua, suelo parcialmente expuesto</t>
        </is>
      </c>
      <c r="E27" s="11" t="inlineStr"/>
    </row>
    <row r="28">
      <c r="A28" s="14" t="inlineStr">
        <is>
          <t>Tierra desnuda</t>
        </is>
      </c>
      <c r="B28" s="20" t="n">
        <v>0.1681</v>
      </c>
      <c r="C28" s="21" t="n">
        <v>0.58</v>
      </c>
      <c r="D28" s="15" t="inlineStr">
        <is>
          <t>Suelo desnudo, afloramientos, plataformas y taludes</t>
        </is>
      </c>
      <c r="E28" s="15" t="inlineStr"/>
    </row>
    <row r="29">
      <c r="A29" s="16" t="inlineStr">
        <is>
          <t>TOTAL CLASIFICADO</t>
        </is>
      </c>
      <c r="B29" s="22">
        <f>SUM(B25:B28)</f>
        <v>28.8355</v>
      </c>
      <c r="C29" s="23">
        <f>SUM(C25:C28)</f>
        <v>100.0</v>
      </c>
      <c r="D29" s="17" t="inlineStr"/>
      <c r="E29" s="17" t="inlineStr"/>
    </row>
    <row r="30">
      <c r="A30" s="24" t="inlineStr">
        <is>
          <t>Superficie de catálogo (V5/V6)</t>
        </is>
      </c>
      <c r="B30" s="25" t="n">
        <v>28.83</v>
      </c>
      <c r="C30" s="25" t="inlineStr">
        <is>
          <t>—</t>
        </is>
      </c>
      <c r="D30" s="25" t="inlineStr">
        <is>
          <t>Desviación planimétrica frente al catálogo</t>
        </is>
      </c>
      <c r="E30" s="25" t="inlineStr">
        <is>
          <t>+0.02 %</t>
        </is>
      </c>
    </row>
    <row r="31"/>
    <row r="32" ht="72" customHeight="1">
      <c r="A32"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t>
        </is>
      </c>
      <c r="B32" s="41" t="n"/>
      <c r="C32" s="41" t="n"/>
      <c r="D32" s="41" t="n"/>
      <c r="E32" s="42" t="n"/>
    </row>
  </sheetData>
  <mergeCells count="10">
    <mergeCell ref="A21:E21"/>
    <mergeCell ref="A4:E4"/>
    <mergeCell ref="A2:E2"/>
    <mergeCell ref="A1:E1"/>
    <mergeCell ref="A23:E23"/>
    <mergeCell ref="A32:E32"/>
    <mergeCell ref="A5:E5"/>
    <mergeCell ref="A8:E8"/>
    <mergeCell ref="A6:E6"/>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2"/>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80</t>
        </is>
      </c>
    </row>
    <row r="6" ht="24" customHeight="1">
      <c r="A6" s="4" t="inlineStr">
        <is>
          <t>Levantamiento del 2026-08-19 · Sistema de referencia UTM WGS 84 Zona 17S (EPSG:32717)</t>
        </is>
      </c>
    </row>
    <row r="7"/>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657095</v>
      </c>
      <c r="D10" s="26" t="n">
        <v>9373326</v>
      </c>
      <c r="E10" s="11" t="n">
        <v>283.6</v>
      </c>
      <c r="F10" s="11" t="inlineStr"/>
      <c r="G10" s="11" t="inlineStr">
        <is>
          <t>Coordenada consignada en F-DT-01</t>
        </is>
      </c>
    </row>
    <row r="11">
      <c r="A11" s="14" t="inlineStr">
        <is>
          <t>E-02</t>
        </is>
      </c>
      <c r="B11" s="15" t="inlineStr">
        <is>
          <t>Estación fotográfica</t>
        </is>
      </c>
      <c r="C11" s="27" t="n">
        <v>656960</v>
      </c>
      <c r="D11" s="27" t="n">
        <v>9373369</v>
      </c>
      <c r="E11" s="15" t="n">
        <v>376.5</v>
      </c>
      <c r="F11" s="15" t="inlineStr"/>
      <c r="G11" s="15" t="inlineStr">
        <is>
          <t>Registro fotográfico georreferenciado</t>
        </is>
      </c>
    </row>
    <row r="12">
      <c r="A12" s="7" t="inlineStr">
        <is>
          <t>E-04</t>
        </is>
      </c>
      <c r="B12" s="11" t="inlineStr">
        <is>
          <t>Estación fotográfica</t>
        </is>
      </c>
      <c r="C12" s="26" t="n">
        <v>657092</v>
      </c>
      <c r="D12" s="26" t="n">
        <v>9373324</v>
      </c>
      <c r="E12" s="11" t="n">
        <v>282.3</v>
      </c>
      <c r="F12" s="11" t="inlineStr"/>
      <c r="G12" s="11" t="inlineStr">
        <is>
          <t>Registro fotográfico georreferenciado</t>
        </is>
      </c>
    </row>
    <row r="13">
      <c r="A13" s="14" t="inlineStr">
        <is>
          <t>E-05</t>
        </is>
      </c>
      <c r="B13" s="15" t="inlineStr">
        <is>
          <t>Estación fotográfica</t>
        </is>
      </c>
      <c r="C13" s="27" t="n">
        <v>657095</v>
      </c>
      <c r="D13" s="27" t="n">
        <v>9373326</v>
      </c>
      <c r="E13" s="15" t="n">
        <v>283.6</v>
      </c>
      <c r="F13" s="15" t="inlineStr"/>
      <c r="G13" s="15" t="inlineStr">
        <is>
          <t>Registro fotográfico georreferenciado</t>
        </is>
      </c>
    </row>
    <row r="14">
      <c r="A14" s="7" t="inlineStr">
        <is>
          <t>E-08</t>
        </is>
      </c>
      <c r="B14" s="11" t="inlineStr">
        <is>
          <t>Estación fotográfica</t>
        </is>
      </c>
      <c r="C14" s="26" t="n">
        <v>657714</v>
      </c>
      <c r="D14" s="26" t="n">
        <v>9373163</v>
      </c>
      <c r="E14" s="11" t="n">
        <v>565.4</v>
      </c>
      <c r="F14" s="11" t="inlineStr"/>
      <c r="G14" s="11" t="inlineStr">
        <is>
          <t>Registro fotográfico georreferenciado</t>
        </is>
      </c>
    </row>
    <row r="15">
      <c r="A15" s="14" t="inlineStr">
        <is>
          <t>C-01</t>
        </is>
      </c>
      <c r="B15" s="15" t="inlineStr">
        <is>
          <t>Rasgo erosivo — Cárcava profunda (&gt;2 m)</t>
        </is>
      </c>
      <c r="C15" s="27" t="n">
        <v>656968</v>
      </c>
      <c r="D15" s="27" t="n">
        <v>9373395</v>
      </c>
      <c r="E15" s="15" t="n">
        <v>394.8</v>
      </c>
      <c r="F15" s="15" t="inlineStr">
        <is>
          <t>Activa</t>
        </is>
      </c>
      <c r="G15" s="15" t="inlineStr">
        <is>
          <t>Concentración natural de escorrentía</t>
        </is>
      </c>
    </row>
    <row r="16">
      <c r="A16" s="7" t="inlineStr">
        <is>
          <t>H-01</t>
        </is>
      </c>
      <c r="B16" s="11" t="inlineStr">
        <is>
          <t>Fuente de agua — Quebrada estacional</t>
        </is>
      </c>
      <c r="C16" s="26" t="n">
        <v>656960</v>
      </c>
      <c r="D16" s="26" t="n">
        <v>9373371</v>
      </c>
      <c r="E16" s="11" t="n">
        <v>378.2</v>
      </c>
      <c r="F16" s="11" t="inlineStr">
        <is>
          <t>Intermitente</t>
        </is>
      </c>
      <c r="G16" s="11" t="inlineStr">
        <is>
          <t>Canal encajonado con agua encharcada en agosto</t>
        </is>
      </c>
    </row>
    <row r="17">
      <c r="A17" s="16" t="inlineStr">
        <is>
          <t>TOTAL: 7 puntos</t>
        </is>
      </c>
      <c r="B17" s="17" t="inlineStr"/>
      <c r="C17" s="17" t="inlineStr"/>
      <c r="D17" s="17" t="inlineStr"/>
      <c r="E17" s="17" t="inlineStr"/>
      <c r="F17" s="17" t="inlineStr"/>
      <c r="G17" s="17" t="inlineStr"/>
    </row>
    <row r="18"/>
    <row r="19">
      <c r="A19" s="6" t="inlineStr">
        <is>
          <t>Centroide del bloque — UTM ESTE (m)</t>
        </is>
      </c>
      <c r="B19" s="7" t="n">
        <v>657160</v>
      </c>
      <c r="C19" s="6" t="inlineStr">
        <is>
          <t>Centroide del bloque — UTM NORTE (m)</t>
        </is>
      </c>
      <c r="D19" s="7" t="n">
        <v>9373050</v>
      </c>
      <c r="E19" s="8" t="n"/>
      <c r="F19" s="8" t="n"/>
      <c r="G19" s="8" t="n"/>
      <c r="H19" s="8" t="n"/>
    </row>
    <row r="20">
      <c r="A20" s="6" t="inlineStr">
        <is>
          <t>N.° de estaciones fotográficas declaradas</t>
        </is>
      </c>
      <c r="B20" s="7" t="n">
        <v>11</v>
      </c>
      <c r="C20" s="6" t="inlineStr">
        <is>
          <t>Estaciones dentro del polígono</t>
        </is>
      </c>
      <c r="D20" s="7" t="n">
        <v>0</v>
      </c>
      <c r="E20" s="8" t="n"/>
      <c r="F20" s="8" t="n"/>
      <c r="G20" s="8" t="n"/>
      <c r="H20" s="8" t="n"/>
    </row>
    <row r="21"/>
    <row r="22" ht="144" customHeight="1">
      <c r="A22"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LAS ONCE TOMAS FOTOGRÁFICAS DEL 19-08-2026 SE LOCALIZAN FUERA DEL POLÍGONO, entre 22.7 y 150.7 m de su límite (media 62 m), medidas por transformada de distancia sobre el polígono extraído del plano MSAVI y georreferenciado por su grilla UTM (tolerancia ±10-15 m). Superficie reconstruida sobre plano 29.360 ha frente a 28.830 ha del catálogo (+1.8%); centroide medido 657 156 E / 9 373 038 N frente al de catálogo 657 160 E / 9 373 050 N (Δ ≈ 13 m). Extensión E-O ≈ 867 m; N-S ≈ 573 m. Escarpes activos y remoción en masa ACREDITADOS FOTOGRÁFICAMENTE en el sector noroccidental (E-01 a E-03) y en los taludes de corte de la trocha (E-04 a E-11). Altitud GPS no registrada en el sello fotográfico.</t>
        </is>
      </c>
      <c r="B22" s="41" t="n"/>
      <c r="C22" s="41" t="n"/>
      <c r="D22" s="41" t="n"/>
      <c r="E22" s="41" t="n"/>
      <c r="F22" s="41" t="n"/>
      <c r="G22" s="42" t="n"/>
    </row>
  </sheetData>
  <mergeCells count="8">
    <mergeCell ref="A1:G1"/>
    <mergeCell ref="A8:G8"/>
    <mergeCell ref="A3:G3"/>
    <mergeCell ref="A6:G6"/>
    <mergeCell ref="A22:G22"/>
    <mergeCell ref="A4:G4"/>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2"/>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 width="22" customWidth="1" min="9" max="9"/>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C1076-Q9593 — BLOQUE 80</t>
        </is>
      </c>
    </row>
    <row r="6" ht="24" customHeight="1">
      <c r="A6" s="4" t="inlineStr">
        <is>
          <t>Distrito de Huarmaca · Provincia de Huancabamba · Comparación de los bloques preliminares de intervención de la misma microcuenca</t>
        </is>
      </c>
    </row>
    <row r="7"/>
    <row r="8" ht="18" customHeight="1">
      <c r="A8" s="5" t="inlineStr">
        <is>
          <t>BLOQUES DE LA MICROCUENCA C1076-Q9593</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c r="I9" s="10" t="inlineStr">
        <is>
          <t>MSAVI — % bajo umbral 0.4976</t>
        </is>
      </c>
    </row>
    <row r="10">
      <c r="A10" s="7" t="inlineStr">
        <is>
          <t>10</t>
        </is>
      </c>
      <c r="B10" s="28" t="n">
        <v>150.21</v>
      </c>
      <c r="C10" s="19" t="n">
        <v>28.67</v>
      </c>
      <c r="D10" s="11" t="inlineStr">
        <is>
          <t>912 – 1510</t>
        </is>
      </c>
      <c r="E10" s="11" t="n">
        <v>598</v>
      </c>
      <c r="F10" s="11" t="n">
        <v>27.39</v>
      </c>
      <c r="G10" s="18" t="n">
        <v>0.5465</v>
      </c>
      <c r="H10" s="19" t="n">
        <v>85.18000000000001</v>
      </c>
      <c r="I10" s="19" t="n">
        <v>28.51</v>
      </c>
    </row>
    <row r="11">
      <c r="A11" s="14" t="inlineStr">
        <is>
          <t>8</t>
        </is>
      </c>
      <c r="B11" s="29" t="n">
        <v>126.95</v>
      </c>
      <c r="C11" s="21" t="n">
        <v>24.23</v>
      </c>
      <c r="D11" s="15" t="inlineStr">
        <is>
          <t>1504 – 1970</t>
        </is>
      </c>
      <c r="E11" s="15" t="n">
        <v>466</v>
      </c>
      <c r="F11" s="15" t="n">
        <v>29.85</v>
      </c>
      <c r="G11" s="20" t="n">
        <v>0.5548</v>
      </c>
      <c r="H11" s="21" t="n">
        <v>72.25</v>
      </c>
      <c r="I11" s="21" t="n">
        <v>28.4</v>
      </c>
    </row>
    <row r="12">
      <c r="A12" s="7" t="inlineStr">
        <is>
          <t>16</t>
        </is>
      </c>
      <c r="B12" s="28" t="n">
        <v>83.33</v>
      </c>
      <c r="C12" s="19" t="n">
        <v>15.91</v>
      </c>
      <c r="D12" s="11" t="inlineStr">
        <is>
          <t>1349 – 1746</t>
        </is>
      </c>
      <c r="E12" s="11" t="n">
        <v>397</v>
      </c>
      <c r="F12" s="11" t="n">
        <v>22.34</v>
      </c>
      <c r="G12" s="18" t="n">
        <v>0.6284</v>
      </c>
      <c r="H12" s="19" t="n">
        <v>94.13</v>
      </c>
      <c r="I12" s="19" t="n">
        <v>7.3</v>
      </c>
    </row>
    <row r="13">
      <c r="A13" s="14" t="inlineStr">
        <is>
          <t>20</t>
        </is>
      </c>
      <c r="B13" s="29" t="n">
        <v>81.33</v>
      </c>
      <c r="C13" s="21" t="n">
        <v>15.52</v>
      </c>
      <c r="D13" s="15" t="inlineStr">
        <is>
          <t>1217 – 1607</t>
        </is>
      </c>
      <c r="E13" s="15" t="n">
        <v>390</v>
      </c>
      <c r="F13" s="15" t="n">
        <v>24.54</v>
      </c>
      <c r="G13" s="20" t="n">
        <v>0.4851</v>
      </c>
      <c r="H13" s="21" t="n">
        <v>52.44</v>
      </c>
      <c r="I13" s="21" t="n">
        <v>59.23</v>
      </c>
    </row>
    <row r="14">
      <c r="A14" s="12" t="inlineStr">
        <is>
          <t>► 80</t>
        </is>
      </c>
      <c r="B14" s="30" t="n">
        <v>28.83</v>
      </c>
      <c r="C14" s="31" t="n">
        <v>5.5</v>
      </c>
      <c r="D14" s="13" t="inlineStr">
        <is>
          <t>2180 – 2491</t>
        </is>
      </c>
      <c r="E14" s="13" t="n">
        <v>311</v>
      </c>
      <c r="F14" s="13" t="n">
        <v>32.9</v>
      </c>
      <c r="G14" s="32" t="n">
        <v>0.5931</v>
      </c>
      <c r="H14" s="31" t="n">
        <v>78.73</v>
      </c>
      <c r="I14" s="31" t="n">
        <v>16.88</v>
      </c>
    </row>
    <row r="15">
      <c r="A15" s="14" t="inlineStr">
        <is>
          <t>51</t>
        </is>
      </c>
      <c r="B15" s="29" t="n">
        <v>22.93</v>
      </c>
      <c r="C15" s="21" t="n">
        <v>4.38</v>
      </c>
      <c r="D15" s="15" t="inlineStr">
        <is>
          <t>1734 – 2018</t>
        </is>
      </c>
      <c r="E15" s="15" t="n">
        <v>284</v>
      </c>
      <c r="F15" s="15" t="n">
        <v>31.74</v>
      </c>
      <c r="G15" s="20" t="n">
        <v>0.5238</v>
      </c>
      <c r="H15" s="21" t="n">
        <v>69.45999999999999</v>
      </c>
      <c r="I15" s="21" t="n">
        <v>34.63</v>
      </c>
    </row>
    <row r="16">
      <c r="A16" s="7" t="inlineStr">
        <is>
          <t>76</t>
        </is>
      </c>
      <c r="B16" s="28" t="n">
        <v>19.62</v>
      </c>
      <c r="C16" s="19" t="n">
        <v>3.75</v>
      </c>
      <c r="D16" s="11" t="inlineStr">
        <is>
          <t>1647 – 1838</t>
        </is>
      </c>
      <c r="E16" s="11" t="n">
        <v>191</v>
      </c>
      <c r="F16" s="11" t="n">
        <v>26.25</v>
      </c>
      <c r="G16" s="18" t="n">
        <v>0.4925</v>
      </c>
      <c r="H16" s="19" t="n">
        <v>46.27</v>
      </c>
      <c r="I16" s="19" t="n">
        <v>54.14</v>
      </c>
    </row>
    <row r="17">
      <c r="A17" s="14" t="inlineStr">
        <is>
          <t>71</t>
        </is>
      </c>
      <c r="B17" s="29" t="n">
        <v>10.67</v>
      </c>
      <c r="C17" s="21" t="n">
        <v>2.04</v>
      </c>
      <c r="D17" s="15" t="inlineStr">
        <is>
          <t>1478 – 1609</t>
        </is>
      </c>
      <c r="E17" s="15" t="n">
        <v>131</v>
      </c>
      <c r="F17" s="15" t="n">
        <v>29.45</v>
      </c>
      <c r="G17" s="20" t="n">
        <v>0.5571</v>
      </c>
      <c r="H17" s="21" t="n">
        <v>81.37</v>
      </c>
      <c r="I17" s="21" t="n">
        <v>25.94</v>
      </c>
    </row>
    <row r="18">
      <c r="A18" s="16" t="inlineStr">
        <is>
          <t>TOTAL / PROMEDIO</t>
        </is>
      </c>
      <c r="B18" s="33">
        <f>SUM(B10:B17)</f>
        <v>523.87</v>
      </c>
      <c r="C18" s="23">
        <f>SUM(C10:C17)</f>
        <v>100.0</v>
      </c>
      <c r="D18" s="17" t="inlineStr">
        <is>
          <t>912 – 2491</t>
        </is>
      </c>
      <c r="E18" s="17" t="inlineStr"/>
      <c r="F18" s="17">
        <f>ROUND(AVERAGE(F10:F17),2)</f>
        <v>28.06</v>
      </c>
      <c r="G18" s="22">
        <f>ROUND(AVERAGE(G10:G17),4)</f>
        <v>0.5477</v>
      </c>
      <c r="H18" s="23">
        <f>ROUND(AVERAGE(H10:H17),2)</f>
        <v>72.48</v>
      </c>
      <c r="I18" s="23">
        <f>ROUND(AVERAGE(I10:I17),2)</f>
        <v>31.88</v>
      </c>
    </row>
    <row r="19"/>
    <row r="20" ht="84" customHeight="1">
      <c r="A20" s="9" t="inlineStr">
        <is>
          <t>LECTURA INTRAMICROCUENCA. El bloque 80 ocupa el puesto 5 de 8 por superficie dentro de la microcuenca C1076-Q9593 (5.50 % de las 523.87 ha preliminares de la microcuenca). Su pendiente promedio (32.90 %, clase «25-50% (Mod. escarpado)») es la 8.ª más baja de 8 y se sitúa por encima del promedio de la microcuenca (28.06 %). Su MSAVI 2024 (0.5931) es el 2.º de 8 y queda por encima del promedio local (0.5477). Amplitud altitudinal del bloque: 311 m (2180–2491 msnm). El cuadro conserva todos los bloques catalogados en la microcuenca, incluidos los descartados en el tamizaje, para referencia del conjunto. Los bloques sin ficha DT figuran con sus parámetros de gabinete. BRECHA ESPECTRAL. El 16.88 % de la superficie del bloque (4.868 ha de 28.830 ha) se sitúa bajo el umbral MSAVI 0.4976, por debajo del promedio local de la microcuenca (31.88 %) calculado sobre los bloques con dato MSAVI disponible.</t>
        </is>
      </c>
      <c r="B20" s="41" t="n"/>
      <c r="C20" s="41" t="n"/>
      <c r="D20" s="41" t="n"/>
      <c r="E20" s="41" t="n"/>
      <c r="F20" s="41" t="n"/>
      <c r="G20" s="41" t="n"/>
      <c r="H20" s="42" t="n"/>
    </row>
    <row r="21"/>
    <row r="22" ht="60" customHeight="1">
      <c r="A22"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 El porcentaje bajo el umbral MSAVI 0.4976 procede de la estadística zonal del ráster MSAVI 2024 clasificado (AREAS_MSAVI_BLOQUES_V6_REV_HSCM) y corresponde a la suma de las clases DN 1 a DN 3 sobre la superficie clasificada de cada bloque; «s/d» indica bloques del catálogo sin cobertura en ese archivo.</t>
        </is>
      </c>
      <c r="B22" s="41" t="n"/>
      <c r="C22" s="41" t="n"/>
      <c r="D22" s="41" t="n"/>
      <c r="E22" s="41" t="n"/>
      <c r="F22" s="41" t="n"/>
      <c r="G22" s="41" t="n"/>
      <c r="H22" s="42" t="n"/>
    </row>
  </sheetData>
  <mergeCells count="9">
    <mergeCell ref="A1:I1"/>
    <mergeCell ref="A4:I4"/>
    <mergeCell ref="A3:I3"/>
    <mergeCell ref="A20:I20"/>
    <mergeCell ref="A2:I2"/>
    <mergeCell ref="A5:I5"/>
    <mergeCell ref="A8:I8"/>
    <mergeCell ref="A6:I6"/>
    <mergeCell ref="A22:I2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2"/>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80</t>
        </is>
      </c>
    </row>
    <row r="6" ht="24" customHeight="1">
      <c r="A6" s="4" t="inlineStr">
        <is>
          <t>Discrepancias detectadas entre el registro de campo, los productos de gabinete y el catálogo maestro. Calificación: SUSTANTIVA / NO SUSTANTIVA / CORREGIDO / CONFORME.</t>
        </is>
      </c>
    </row>
    <row r="7"/>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4" t="inlineStr">
        <is>
          <t>D-01</t>
        </is>
      </c>
      <c r="B10" s="34" t="inlineStr">
        <is>
          <t>Código de microcuenca</t>
        </is>
      </c>
      <c r="C10" s="34" t="inlineStr">
        <is>
          <t>Ficha DT y catálogo maestro coinciden en «C1076-Q9593»</t>
        </is>
      </c>
      <c r="D10" s="35" t="inlineStr">
        <is>
          <t>CONFORME</t>
        </is>
      </c>
      <c r="E10" s="34" t="inlineStr">
        <is>
          <t>Sin acción.</t>
        </is>
      </c>
    </row>
    <row r="11" ht="48" customHeight="1">
      <c r="A11" s="36" t="inlineStr">
        <is>
          <t>D-02</t>
        </is>
      </c>
      <c r="B11" s="36" t="inlineStr">
        <is>
          <t>UTM del punto de muestreo</t>
        </is>
      </c>
      <c r="C11" s="36" t="inlineStr">
        <is>
          <t>El punto de muestreo declarado dista 284 m del centroide de catálogo, compatible con la extensión del bloque</t>
        </is>
      </c>
      <c r="D11" s="35" t="inlineStr">
        <is>
          <t>CONFORME</t>
        </is>
      </c>
      <c r="E11" s="36" t="inlineStr">
        <is>
          <t>Sin acción.</t>
        </is>
      </c>
    </row>
    <row r="12" ht="48" customHeight="1">
      <c r="A12" s="34" t="inlineStr">
        <is>
          <t>D-03</t>
        </is>
      </c>
      <c r="B12" s="34" t="inlineStr">
        <is>
          <t>Superficie del polígono</t>
        </is>
      </c>
      <c r="C12" s="34" t="inlineStr">
        <is>
          <t>La superficie clasificada por el NDVI 2025 (28.835 ha) coincide con la de catálogo (28.83 ha) dentro del ±2 % (+0.02 %)</t>
        </is>
      </c>
      <c r="D12" s="35" t="inlineStr">
        <is>
          <t>CONFORME</t>
        </is>
      </c>
      <c r="E12" s="34" t="inlineStr">
        <is>
          <t>Sin acción: la segmentación valida la geometría del bloque.</t>
        </is>
      </c>
    </row>
    <row r="13" ht="48" customHeight="1">
      <c r="A13" s="36" t="inlineStr">
        <is>
          <t>D-04</t>
        </is>
      </c>
      <c r="B13" s="36" t="inlineStr">
        <is>
          <t>Elenco florístico</t>
        </is>
      </c>
      <c r="C13" s="36" t="inlineStr">
        <is>
          <t>La ficha registra 10 taxones, por debajo del mínimo de 15 que exige el formato V5</t>
        </is>
      </c>
      <c r="D13" s="37" t="inlineStr">
        <is>
          <t>SUSTANTIVA</t>
        </is>
      </c>
      <c r="E13" s="36" t="inlineStr">
        <is>
          <t>Registro florístico preliminar, sin colecta ni determinación botánica formal. Debe cerrarse con colecta botánica en la siguiente campaña.</t>
        </is>
      </c>
    </row>
    <row r="14" ht="48" customHeight="1">
      <c r="A14" s="34" t="inlineStr">
        <is>
          <t>D-05</t>
        </is>
      </c>
      <c r="B14" s="34" t="inlineStr">
        <is>
          <t>Representatividad del levantamiento</t>
        </is>
      </c>
      <c r="C14" s="34" t="inlineStr">
        <is>
          <t>Ninguna de las estaciones fotográficas georreferenciadas se localiza dentro del polígono del bloque</t>
        </is>
      </c>
      <c r="D14" s="37" t="inlineStr">
        <is>
          <t>SUSTANTIVA</t>
        </is>
      </c>
      <c r="E14" s="34" t="inlineStr">
        <is>
          <t>La verificación documenta el perímetro y la vista panorámica del bloque, no su interior. Los parámetros que exigen recorrido interno se consignan «Por determinar».</t>
        </is>
      </c>
    </row>
    <row r="15" ht="48" customHeight="1">
      <c r="A15" s="36" t="inlineStr">
        <is>
          <t>D-06</t>
        </is>
      </c>
      <c r="B15" s="36" t="inlineStr">
        <is>
          <t>Centro poblado asociado</t>
        </is>
      </c>
      <c r="C15" s="36" t="inlineStr">
        <is>
          <t>La ficha DT declara «Yumbe · Cruz Roja»; el cruce INEI-Bloques V5 identifica 2 centro(s) poblado(s) en el bloque: CRUZ ROJA, YUMBE</t>
        </is>
      </c>
      <c r="D15" s="35" t="inlineStr">
        <is>
          <t>CONFORME</t>
        </is>
      </c>
      <c r="E15" s="36" t="inlineStr">
        <is>
          <t>Se conserva el registro de campo como referencia y se adopta el listado INEI para el diagnóstico social y el cálculo de población beneficiaria.</t>
        </is>
      </c>
    </row>
    <row r="16" ht="48" customHeight="1">
      <c r="A16" s="34" t="inlineStr">
        <is>
          <t>D-07</t>
        </is>
      </c>
      <c r="B16" s="34" t="inlineStr">
        <is>
          <t>Peligro integrado (MCA-AHP)</t>
        </is>
      </c>
      <c r="C16" s="34" t="inlineStr">
        <is>
          <t>El nivel de peligro integrado no está disponible en los insumos de este entregable</t>
        </is>
      </c>
      <c r="D16" s="37" t="inlineStr">
        <is>
          <t>SUSTANTIVA</t>
        </is>
      </c>
      <c r="E16" s="34" t="inlineStr">
        <is>
          <t>Debe tomarse del modelamiento de mesolocalización (PMM + EPH + PGI ponderados por AHP) antes de fijar la prioridad definitiva de intervención del bloque.</t>
        </is>
      </c>
    </row>
    <row r="17" ht="48" customHeight="1">
      <c r="A17" s="36" t="inlineStr">
        <is>
          <t>D-08</t>
        </is>
      </c>
      <c r="B17" s="36" t="inlineStr">
        <is>
          <t>F-DT-01</t>
        </is>
      </c>
      <c r="C17" s="36" t="inlineStr">
        <is>
          <t>Las 11 tomas fotográficas se localizan FUERA del polígono (22.7 a 150.7 m, media 62 m)</t>
        </is>
      </c>
      <c r="D17" s="37" t="inlineStr">
        <is>
          <t>SUSTANTIVA</t>
        </is>
      </c>
      <c r="E17" s="36" t="inlineStr">
        <is>
          <t>La caracterización corresponde al entorno inmediato, no al interior</t>
        </is>
      </c>
    </row>
    <row r="18" ht="48" customHeight="1">
      <c r="A18" s="34" t="inlineStr">
        <is>
          <t>D-09</t>
        </is>
      </c>
      <c r="B18" s="34" t="inlineStr">
        <is>
          <t>F-DT-01</t>
        </is>
      </c>
      <c r="C18" s="34" t="inlineStr">
        <is>
          <t>Superficie reconstruida sobre plano 29.360 ha frente a 28.830 ha del catálogo (+1.8%); centroide con Δ ≈ 13 m</t>
        </is>
      </c>
      <c r="D18" s="13" t="inlineStr">
        <is>
          <t>NO SUSTANTIVA</t>
        </is>
      </c>
      <c r="E18" s="34" t="inlineStr">
        <is>
          <t>Dentro de la tolerancia de digitalización declarada (±10-15 m)</t>
        </is>
      </c>
    </row>
    <row r="19" ht="48" customHeight="1">
      <c r="A19" s="36" t="inlineStr">
        <is>
          <t>D-10</t>
        </is>
      </c>
      <c r="B19" s="36" t="inlineStr">
        <is>
          <t>F-DT-02</t>
        </is>
      </c>
      <c r="C19" s="36" t="inlineStr">
        <is>
          <t>Nivel general de erosión «Severa» frente a síntesis «Fuerte»: dos calificaciones distintas en la misma ficha</t>
        </is>
      </c>
      <c r="D19" s="13" t="inlineStr">
        <is>
          <t>NO SUSTANTIVA</t>
        </is>
      </c>
      <c r="E19" s="36" t="inlineStr">
        <is>
          <t>Resolver en la carga definitiva</t>
        </is>
      </c>
    </row>
    <row r="20" ht="48" customHeight="1">
      <c r="A20" s="34" t="inlineStr">
        <is>
          <t>D-11</t>
        </is>
      </c>
      <c r="B20" s="34" t="inlineStr">
        <is>
          <t>F-DT-02</t>
        </is>
      </c>
      <c r="C20" s="34" t="inlineStr">
        <is>
          <t>Causa de C-01 consignada como concentración natural; debe verificarse la contribución de la plataforma de la trocha aguas arriba</t>
        </is>
      </c>
      <c r="D20" s="37" t="inlineStr">
        <is>
          <t>SUSTANTIVA</t>
        </is>
      </c>
      <c r="E20" s="34" t="inlineStr">
        <is>
          <t>Verificación pendiente</t>
        </is>
      </c>
    </row>
    <row r="21" ht="48" customHeight="1">
      <c r="A21" s="36" t="inlineStr">
        <is>
          <t>D-12</t>
        </is>
      </c>
      <c r="B21" s="36" t="inlineStr">
        <is>
          <t>F-DT-03</t>
        </is>
      </c>
      <c r="C21" s="36" t="inlineStr">
        <is>
          <t>Lista florística de 10 registros frente al mínimo de 15; 6 de 10 taxones son introducidos o cultivos</t>
        </is>
      </c>
      <c r="D21" s="37" t="inlineStr">
        <is>
          <t>SUSTANTIVA</t>
        </is>
      </c>
      <c r="E21" s="36" t="inlineStr">
        <is>
          <t>Colecta botánica pendiente; excluir cultivos del área efectiva</t>
        </is>
      </c>
    </row>
    <row r="22" ht="48" customHeight="1">
      <c r="A22" s="34" t="inlineStr">
        <is>
          <t>D-13</t>
        </is>
      </c>
      <c r="B22" s="34" t="inlineStr">
        <is>
          <t>F-DT-03</t>
        </is>
      </c>
      <c r="C22" s="34" t="inlineStr">
        <is>
          <t>Adscripción a Matorral Andino subhúmedo frente a Bes-cm en bloques vecinos de la misma microcuenca</t>
        </is>
      </c>
      <c r="D22" s="37" t="inlineStr">
        <is>
          <t>SUSTANTIVA</t>
        </is>
      </c>
      <c r="E22" s="34" t="inlineStr">
        <is>
          <t>Confrontar con REPORTE_ECOSISTEMAS_BLOQUES_V5</t>
        </is>
      </c>
    </row>
    <row r="23" ht="48" customHeight="1">
      <c r="A23" s="36" t="inlineStr">
        <is>
          <t>D-14</t>
        </is>
      </c>
      <c r="B23" s="36" t="inlineStr">
        <is>
          <t>F-DT-04</t>
        </is>
      </c>
      <c r="C23" s="36" t="inlineStr">
        <is>
          <t>7 de los 8 indicadores cuantitativos sin valor</t>
        </is>
      </c>
      <c r="D23" s="37" t="inlineStr">
        <is>
          <t>SUSTANTIVA</t>
        </is>
      </c>
      <c r="E23" s="36" t="inlineStr">
        <is>
          <t>Cuantificación pendiente</t>
        </is>
      </c>
    </row>
    <row r="24" ht="48" customHeight="1">
      <c r="A24" s="34" t="inlineStr">
        <is>
          <t>D-15</t>
        </is>
      </c>
      <c r="B24" s="34" t="inlineStr">
        <is>
          <t>F-DT-05</t>
        </is>
      </c>
      <c r="C24" s="34" t="inlineStr">
        <is>
          <t>Agua encharcada en agosto sugiere régimen más persistente que el estacional declarado</t>
        </is>
      </c>
      <c r="D24" s="13" t="inlineStr">
        <is>
          <t>NO SUSTANTIVA</t>
        </is>
      </c>
      <c r="E24" s="34" t="inlineStr">
        <is>
          <t>Verificar régimen hídrico</t>
        </is>
      </c>
    </row>
    <row r="25" ht="48" customHeight="1">
      <c r="A25" s="36" t="inlineStr">
        <is>
          <t>D-16</t>
        </is>
      </c>
      <c r="B25" s="36" t="inlineStr">
        <is>
          <t>Ficha DT</t>
        </is>
      </c>
      <c r="C25" s="36" t="inlineStr">
        <is>
          <t>Evaluador no consignado</t>
        </is>
      </c>
      <c r="D25" s="13" t="inlineStr">
        <is>
          <t>NO SUSTANTIVA</t>
        </is>
      </c>
      <c r="E25" s="36" t="inlineStr">
        <is>
          <t>Por verificar</t>
        </is>
      </c>
    </row>
    <row r="26" ht="48" customHeight="1">
      <c r="A26" s="36" t="inlineStr">
        <is>
          <t>D-17</t>
        </is>
      </c>
      <c r="B26" s="36" t="inlineStr">
        <is>
          <t>Distribución areal MSAVI 2024</t>
        </is>
      </c>
      <c r="C26" s="36" t="inlineStr">
        <is>
          <t>La distribución por clase de MSAVI no figuraba en los insumos del entregable y se consignaba «Por determinar»; se incorpora la estadística zonal del ráster MSAVI clasificado (150 polígonos, 28.830 ha)</t>
        </is>
      </c>
      <c r="D26" s="13" t="inlineStr">
        <is>
          <t>CORREGIDO</t>
        </is>
      </c>
      <c r="E26" s="36" t="inlineStr">
        <is>
          <t>Se completó la sección A de la hoja «Cobertura MSAVI-NDVI» con superficie y porcentaje por clase DN 1 a DN 5, totales, superficie sobre y bajo el umbral 0.4976 y contraste con el catálogo. La equivalencia DN → clase se sustenta en la nota metodológica de esa hoja (r = 0.9965, error absoluto medio = 0.0091, n = 117 bloques).</t>
        </is>
      </c>
    </row>
    <row r="27" ht="48" customHeight="1">
      <c r="A27" s="36" t="inlineStr">
        <is>
          <t>D-18</t>
        </is>
      </c>
      <c r="B27" s="36" t="inlineStr">
        <is>
          <t>Superficie MSAVI vs. catálogo</t>
        </is>
      </c>
      <c r="C27" s="36" t="inlineStr">
        <is>
          <t>La superficie total clasificada por el MSAVI 2024 (28.830 ha) frente a la de catálogo V5/V6 (28.830 ha): desviación de +0.00 %</t>
        </is>
      </c>
      <c r="D27" s="13" t="inlineStr">
        <is>
          <t>CONFORME</t>
        </is>
      </c>
      <c r="E27" s="36" t="inlineStr">
        <is>
          <t>Sin acción: la segmentación del ráster valida la geometría del bloque dentro del ±2 %.</t>
        </is>
      </c>
    </row>
    <row r="28" ht="48" customHeight="1">
      <c r="A28" s="36" t="inlineStr">
        <is>
          <t>D-19</t>
        </is>
      </c>
      <c r="B28" s="36" t="inlineStr">
        <is>
          <t>Media MSAVI vs. clase DN dominante</t>
        </is>
      </c>
      <c r="C28" s="36" t="inlineStr">
        <is>
          <t>La media del bloque (0.5931) cae en la clase «DN 4 · 0.4976 - 0.6139 (Vigor moderado)»; la clase de mayor superficie es «DN 5 · &gt; 0.6139 (Vigor alto)», con 49.59 % del bloque. Superficie bajo el umbral 0.4976: 4.868 ha (16.88 %)</t>
        </is>
      </c>
      <c r="D28" s="13" t="inlineStr">
        <is>
          <t>NO SUSTANTIVA</t>
        </is>
      </c>
      <c r="E28" s="36" t="inlineStr">
        <is>
          <t>Se declara la divergencia: en bloques de distribución asimétrica la media puede caer en una clase distinta de la modal. Para el dimensionamiento de metas físicas debe usarse la distribución areal, no la media.</t>
        </is>
      </c>
    </row>
    <row r="29"/>
    <row r="30">
      <c r="A30" s="16" t="inlineStr">
        <is>
          <t>RESUMEN</t>
        </is>
      </c>
      <c r="B30" s="17" t="inlineStr">
        <is>
          <t>19 verificaciones</t>
        </is>
      </c>
      <c r="C30" s="17" t="inlineStr">
        <is>
          <t>CONFORME: 5 · CORREGIDO: 1 · NO SUSTANTIVA: 5 · SUSTANTIVA: 8</t>
        </is>
      </c>
      <c r="D30" s="17" t="inlineStr"/>
      <c r="E30" s="17" t="inlineStr"/>
    </row>
    <row r="31"/>
    <row r="32" ht="60" customHeight="1">
      <c r="A32"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c r="B32" s="41" t="n"/>
      <c r="C32" s="41" t="n"/>
      <c r="D32" s="41" t="n"/>
      <c r="E32" s="42" t="n"/>
    </row>
  </sheetData>
  <mergeCells count="8">
    <mergeCell ref="A4:E4"/>
    <mergeCell ref="A2:E2"/>
    <mergeCell ref="A5:E5"/>
    <mergeCell ref="A1:E1"/>
    <mergeCell ref="A32:E32"/>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80 — IN Piura</dc:title>
  <dc:subject>Diagnóstico Territorial por bloque de intervención</dc:subject>
  <dcterms:created xsi:type="dcterms:W3CDTF">2026-09-08T03:39:57Z</dcterms:created>
  <dcterms:modified xsi:type="dcterms:W3CDTF">2026-09-10T00:28:30Z</dcterms:modified>
</cp:coreProperties>
</file>