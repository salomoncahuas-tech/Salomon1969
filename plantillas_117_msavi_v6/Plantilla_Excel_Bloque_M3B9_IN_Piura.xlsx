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M3B9</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M3B9</t>
        </is>
      </c>
      <c r="C9" s="6" t="inlineStr">
        <is>
          <t>Microcuenca (catálogo)</t>
        </is>
      </c>
      <c r="D9" s="7" t="inlineStr">
        <is>
          <t>C1081-Q9582</t>
        </is>
      </c>
      <c r="E9" s="8" t="n"/>
      <c r="F9" s="8" t="n"/>
    </row>
    <row r="10">
      <c r="A10" s="6" t="inlineStr">
        <is>
          <t>Zona de planificación</t>
        </is>
      </c>
      <c r="B10" s="7" t="inlineStr">
        <is>
          <t>Z07</t>
        </is>
      </c>
      <c r="C10" s="6" t="inlineStr">
        <is>
          <t>Microcuenca declarada en ficha DT</t>
        </is>
      </c>
      <c r="D10" s="7" t="inlineStr">
        <is>
          <t>C1081-Q9582</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Salitral</t>
        </is>
      </c>
      <c r="C12" s="6" t="inlineStr">
        <is>
          <t>Capital distrital</t>
        </is>
      </c>
      <c r="D12" s="7" t="inlineStr">
        <is>
          <t>Salitral</t>
        </is>
      </c>
      <c r="E12" s="8" t="n"/>
      <c r="F12" s="8" t="n"/>
    </row>
    <row r="13">
      <c r="A13" s="6" t="inlineStr">
        <is>
          <t>Centro poblado asociado</t>
        </is>
      </c>
      <c r="B13" s="7" t="inlineStr">
        <is>
          <t>CP Tórtola / CP San Pedro</t>
        </is>
      </c>
      <c r="C13" s="6" t="inlineStr">
        <is>
          <t>Comunidad campesina</t>
        </is>
      </c>
      <c r="D13" s="7" t="inlineStr">
        <is>
          <t>No aplica</t>
        </is>
      </c>
      <c r="E13" s="8" t="n"/>
      <c r="F13" s="8" t="n"/>
    </row>
    <row r="14">
      <c r="A14" s="6" t="inlineStr">
        <is>
          <t>Superficie de catálogo (V5/V6), ha</t>
        </is>
      </c>
      <c r="B14" s="7" t="n">
        <v>294.2</v>
      </c>
      <c r="C14" s="6" t="inlineStr">
        <is>
          <t>Fuente de superficie</t>
        </is>
      </c>
      <c r="D14" s="7" t="inlineStr">
        <is>
          <t>Catálogo maestro Bloques V5/V6</t>
        </is>
      </c>
      <c r="E14" s="8" t="n"/>
      <c r="F14" s="8" t="n"/>
    </row>
    <row r="15">
      <c r="A15" s="6" t="inlineStr">
        <is>
          <t>Centroide UTM ESTE (m)</t>
        </is>
      </c>
      <c r="B15" s="7" t="n">
        <v>629338</v>
      </c>
      <c r="C15" s="6" t="inlineStr">
        <is>
          <t>Centroide UTM NORTE (m)</t>
        </is>
      </c>
      <c r="D15" s="7" t="n">
        <v>9413305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189</v>
      </c>
      <c r="C19" s="6" t="inlineStr">
        <is>
          <t>Altitud máxima (msnm)</t>
        </is>
      </c>
      <c r="D19" s="7" t="n">
        <v>497</v>
      </c>
      <c r="E19" s="8" t="n"/>
      <c r="F19" s="8" t="n"/>
    </row>
    <row r="20">
      <c r="A20" s="6" t="inlineStr">
        <is>
          <t>Amplitud altitudinal (m)</t>
        </is>
      </c>
      <c r="B20" s="7" t="n">
        <v>308</v>
      </c>
      <c r="C20" s="6" t="inlineStr">
        <is>
          <t>Piso altitudinal dominante</t>
        </is>
      </c>
      <c r="D20" s="7" t="inlineStr">
        <is>
          <t>&lt;1000 m (Yunga)</t>
        </is>
      </c>
      <c r="E20" s="8" t="n"/>
      <c r="F20" s="8" t="n"/>
    </row>
    <row r="21">
      <c r="A21" s="6" t="inlineStr">
        <is>
          <t>Pendiente promedio (%)</t>
        </is>
      </c>
      <c r="B21" s="7" t="n">
        <v>17.69</v>
      </c>
      <c r="C21" s="6" t="inlineStr">
        <is>
          <t>Pendiente promedio (grados)</t>
        </is>
      </c>
      <c r="D21" s="7" t="n">
        <v>10</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0.3214</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(46.51 %)</t>
        </is>
      </c>
      <c r="E29" s="8" t="n"/>
      <c r="F29" s="8" t="n"/>
    </row>
    <row r="30">
      <c r="A30" s="6" t="inlineStr">
        <is>
          <t>Superficie clasificada NDVI 2025 (ha)</t>
        </is>
      </c>
      <c r="B30" s="7" t="n">
        <v>294.318</v>
      </c>
      <c r="C30" s="6" t="inlineStr">
        <is>
          <t>Desviación frente al catálogo (%)</t>
        </is>
      </c>
      <c r="D30" s="7" t="n">
        <v>0.04</v>
      </c>
      <c r="E30" s="8" t="n"/>
      <c r="F30" s="8" t="n"/>
    </row>
    <row r="31">
      <c r="A31" s="6" t="inlineStr">
        <is>
          <t>Superficie clasificada MSAVI 2024 (ha)</t>
        </is>
      </c>
      <c r="B31" s="39" t="n">
        <v>294.204</v>
      </c>
      <c r="C31" s="6" t="inlineStr">
        <is>
          <t>Desviación MSAVI frente al catálogo (%)</t>
        </is>
      </c>
      <c r="D31" s="40" t="n">
        <v>0</v>
      </c>
      <c r="E31" s="8" t="n"/>
      <c r="F31" s="8" t="n"/>
    </row>
    <row r="32">
      <c r="A32" s="6" t="inlineStr">
        <is>
          <t>Superficie bajo umbral MSAVI 0.4976 (ha)</t>
        </is>
      </c>
      <c r="B32" s="39" t="n">
        <v>292.427</v>
      </c>
      <c r="C32" s="6" t="inlineStr">
        <is>
          <t>% del bloque bajo umbral (brecha espectral)</t>
        </is>
      </c>
      <c r="D32" s="40" t="n">
        <v>99.40000000000001</v>
      </c>
      <c r="E32" s="8" t="n"/>
      <c r="F32" s="8" t="n"/>
    </row>
    <row r="33">
      <c r="A33" s="6" t="inlineStr">
        <is>
          <t>Clase DN dominante (MSAVI 2024)</t>
        </is>
      </c>
      <c r="B33" s="7" t="inlineStr">
        <is>
          <t>DN 2 · 0.2650 - 0.3813 (Vigor muy bajo)</t>
        </is>
      </c>
      <c r="C33" s="6" t="inlineStr">
        <is>
          <t>N.° de polígonos MSAVI del bloque</t>
        </is>
      </c>
      <c r="D33" s="41" t="n">
        <v>1076</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≈290 ha (99% del bloque)</t>
        </is>
      </c>
      <c r="E36" s="8" t="n"/>
      <c r="F36" s="8" t="n"/>
    </row>
    <row r="37">
      <c r="A37" s="6" t="inlineStr">
        <is>
          <t>Estado de conservación</t>
        </is>
      </c>
      <c r="B37" s="7" t="inlineStr">
        <is>
          <t>Alterado (intervención marcada)</t>
        </is>
      </c>
      <c r="C37" s="6" t="inlineStr">
        <is>
          <t>Uso actual dominante del suelo</t>
        </is>
      </c>
      <c r="D37" s="7" t="inlineStr">
        <is>
          <t>Pastoreo extensivo</t>
        </is>
      </c>
      <c r="E37" s="8" t="n"/>
      <c r="F37" s="8" t="n"/>
    </row>
    <row r="38">
      <c r="A38" s="6" t="inlineStr">
        <is>
          <t>Tipo de cobertura dominante</t>
        </is>
      </c>
      <c r="B38" s="7" t="inlineStr">
        <is>
          <t>Matorral ralo</t>
        </is>
      </c>
      <c r="C38" s="6" t="inlineStr">
        <is>
          <t>Cobertura vegetal total — campo (%)</t>
        </is>
      </c>
      <c r="D38" s="7" t="n">
        <v>45</v>
      </c>
      <c r="E38" s="8" t="n"/>
      <c r="F38" s="8" t="n"/>
    </row>
    <row r="39">
      <c r="A39" s="6" t="inlineStr">
        <is>
          <t>Suelo desnudo — campo (%)</t>
        </is>
      </c>
      <c r="B39" s="7" t="n">
        <v>42</v>
      </c>
      <c r="C39" s="6" t="inlineStr">
        <is>
          <t>Regeneración natural</t>
        </is>
      </c>
      <c r="D39" s="7" t="inlineStr">
        <is>
          <t>Escasa (&lt;10 pl./100m²)</t>
        </is>
      </c>
      <c r="E39" s="8" t="n"/>
      <c r="F39" s="8" t="n"/>
    </row>
    <row r="40">
      <c r="A40" s="6" t="inlineStr">
        <is>
          <t>Nivel general de erosión</t>
        </is>
      </c>
      <c r="B40" s="7" t="inlineStr">
        <is>
          <t>Fuerte (cárcavas incipientes) — estimado</t>
        </is>
      </c>
      <c r="C40" s="6" t="inlineStr">
        <is>
          <t>N.° de cárcavas registradas</t>
        </is>
      </c>
      <c r="D40" s="7" t="inlineStr">
        <is>
          <t>0 = no inventariadas</t>
        </is>
      </c>
      <c r="E40" s="8" t="n"/>
      <c r="F40" s="8" t="n"/>
    </row>
    <row r="41">
      <c r="A41" s="6" t="inlineStr">
        <is>
          <t>Elenco florístico (n.° de taxones)</t>
        </is>
      </c>
      <c r="B41" s="7" t="n">
        <v>10</v>
      </c>
      <c r="C41" s="6" t="inlineStr">
        <is>
          <t>Estado sanitario</t>
        </is>
      </c>
      <c r="D41" s="7" t="inlineStr">
        <is>
          <t>Daño mecánico</t>
        </is>
      </c>
      <c r="E41" s="8" t="n"/>
      <c r="F41" s="8" t="n"/>
    </row>
    <row r="42"/>
    <row r="43" ht="18" customHeight="1">
      <c r="A43" s="5" t="inlineStr">
        <is>
          <t>5. RESPONSABLE Y MODALIDAD DE LA EVALUACIÓN</t>
        </is>
      </c>
    </row>
    <row r="44">
      <c r="A44" s="6" t="inlineStr">
        <is>
          <t>Responsable de la evaluación</t>
        </is>
      </c>
      <c r="B44" s="7" t="inlineStr">
        <is>
          <t>Ing. H. Cahuas Miller</t>
        </is>
      </c>
      <c r="C44" s="6" t="inlineStr">
        <is>
          <t>Fecha de evaluación</t>
        </is>
      </c>
      <c r="D44" s="7" t="inlineStr">
        <is>
          <t>2026-05-19</t>
        </is>
      </c>
      <c r="E44" s="8" t="n"/>
      <c r="F44" s="8" t="n"/>
    </row>
    <row r="45">
      <c r="A45" s="6" t="inlineStr">
        <is>
          <t>Hora de registro</t>
        </is>
      </c>
      <c r="B45" s="7" t="inlineStr">
        <is>
          <t>10:30 h</t>
        </is>
      </c>
      <c r="C45" s="6" t="inlineStr">
        <is>
          <t>Correlativo de ficha</t>
        </is>
      </c>
      <c r="D45" s="7" t="inlineStr">
        <is>
          <t>DT-M3B9-001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se estableció parcela (observación a distancia)</t>
        </is>
      </c>
      <c r="E47" s="8" t="n"/>
      <c r="F47" s="8" t="n"/>
    </row>
    <row r="48">
      <c r="A48" s="6" t="inlineStr">
        <is>
          <t>Estaciones fotográficas georreferenciadas</t>
        </is>
      </c>
      <c r="B48" s="7" t="n">
        <v>0</v>
      </c>
      <c r="C48" s="6" t="inlineStr">
        <is>
          <t>Modalidad de acceso</t>
        </is>
      </c>
      <c r="D48" s="7" t="inlineStr">
        <is>
          <t>Vehicular + caminata &gt;90 min</t>
        </is>
      </c>
      <c r="E48" s="8" t="n"/>
      <c r="F48" s="8" t="n"/>
    </row>
    <row r="49"/>
    <row r="50" ht="18" customHeight="1">
      <c r="A50" s="5" t="inlineStr">
        <is>
          <t>6. SÍNTESIS PARA LA GESTIÓN DEL RIESGO EN CONTEXTO DE CAMBIO CLIMÁTICO</t>
        </is>
      </c>
    </row>
    <row r="51">
      <c r="A51" s="6" t="inlineStr">
        <is>
          <t>Causa subyacente principal</t>
        </is>
      </c>
      <c r="B51" s="7" t="inlineStr">
        <is>
          <t>Pobreza rural; ausencia de gobernanza forestal y de mecanismos MERESE</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M3B9</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0.0891</v>
      </c>
      <c r="C10" s="19">
        <f>ROUND(B10/$B$15*100,2)</f>
        <v>0.03</v>
      </c>
      <c r="D10" s="11" t="inlineStr">
        <is>
          <t>Vigor alto</t>
        </is>
      </c>
      <c r="E10" s="11" t="inlineStr">
        <is>
          <t>Sobre umbral</t>
        </is>
      </c>
    </row>
    <row r="11">
      <c r="A11" s="12" t="inlineStr">
        <is>
          <t>0.4976 - 0.6139 · DN 4</t>
        </is>
      </c>
      <c r="B11" s="20" t="n">
        <v>1.6881</v>
      </c>
      <c r="C11" s="21">
        <f>ROUND(B11/$B$15*100,2)</f>
        <v>0.57</v>
      </c>
      <c r="D11" s="13" t="inlineStr">
        <is>
          <t>Vigor moderado</t>
        </is>
      </c>
      <c r="E11" s="13" t="inlineStr">
        <is>
          <t>Sobre umbral</t>
        </is>
      </c>
    </row>
    <row r="12">
      <c r="A12" s="7" t="inlineStr">
        <is>
          <t>0.3813 - 0.4976 · DN 3</t>
        </is>
      </c>
      <c r="B12" s="18" t="n">
        <v>50.9822</v>
      </c>
      <c r="C12" s="19">
        <f>ROUND(B12/$B$15*100,2)</f>
        <v>17.33</v>
      </c>
      <c r="D12" s="11" t="inlineStr">
        <is>
          <t>Vigor bajo</t>
        </is>
      </c>
      <c r="E12" s="11" t="inlineStr">
        <is>
          <t>BAJO umbral 0.4976</t>
        </is>
      </c>
    </row>
    <row r="13">
      <c r="A13" s="14" t="inlineStr">
        <is>
          <t>0.2650 - 0.3813 · DN 2</t>
        </is>
      </c>
      <c r="B13" s="31" t="n">
        <v>177.7869</v>
      </c>
      <c r="C13" s="30">
        <f>ROUND(B13/$B$15*100,2)</f>
        <v>60.43</v>
      </c>
      <c r="D13" s="15" t="inlineStr">
        <is>
          <t>Vigor muy bajo</t>
        </is>
      </c>
      <c r="E13" s="15" t="inlineStr">
        <is>
          <t>BAJO umbral 0.4976</t>
        </is>
      </c>
    </row>
    <row r="14">
      <c r="A14" s="7" t="inlineStr">
        <is>
          <t>&lt;= 0.2650 · DN 1</t>
        </is>
      </c>
      <c r="B14" s="18" t="n">
        <v>63.658</v>
      </c>
      <c r="C14" s="19">
        <f>ROUND(B14/$B$15*100,2)</f>
        <v>21.64</v>
      </c>
      <c r="D14" s="11" t="inlineStr">
        <is>
          <t>Suelo desnudo / no vegetal</t>
        </is>
      </c>
      <c r="E14" s="11" t="inlineStr">
        <is>
          <t>BAJO umbral 0.4976</t>
        </is>
      </c>
    </row>
    <row r="15" ht="30" customHeight="1">
      <c r="A15" s="44" t="inlineStr">
        <is>
          <t>TOTAL CLASIFICADO MSAVI 2024</t>
        </is>
      </c>
      <c r="B15" s="45">
        <f>SUM(B10:B14)</f>
        <v>294.2043</v>
      </c>
      <c r="C15" s="46">
        <f>SUM(C10:C14)</f>
        <v>100.0</v>
      </c>
      <c r="D15" s="44" t="inlineStr">
        <is>
          <t>Suma de la distribución areal · 1 076 polígonos</t>
        </is>
      </c>
      <c r="E15" s="44" t="inlineStr">
        <is>
          <t>—</t>
        </is>
      </c>
    </row>
    <row r="16" ht="30" customHeight="1">
      <c r="A16" s="47" t="inlineStr">
        <is>
          <t>Superficie SOBRE umbral 0.4976 (ha)</t>
        </is>
      </c>
      <c r="B16" s="48">
        <f>SUM(B10:B11)</f>
        <v>1.7772</v>
      </c>
      <c r="C16" s="49">
        <f>ROUND(B16/B15*100,2)</f>
        <v>0.6</v>
      </c>
      <c r="D16" s="47" t="inlineStr">
        <is>
          <t>Vigor alto y moderado (DN 4 y DN 5)</t>
        </is>
      </c>
      <c r="E16" s="47" t="inlineStr">
        <is>
          <t>Sobre umbral 0.4976</t>
        </is>
      </c>
    </row>
    <row r="17" ht="30" customHeight="1">
      <c r="A17" s="47" t="inlineStr">
        <is>
          <t>Superficie BAJO umbral 0.4976 (ha) — brecha</t>
        </is>
      </c>
      <c r="B17" s="48">
        <f>SUM(B12:B14)</f>
        <v>292.4271</v>
      </c>
      <c r="C17" s="49">
        <f>ROUND(B17/B15*100,2)</f>
        <v>99.4</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294.2</v>
      </c>
      <c r="C18" s="50" t="inlineStr">
        <is>
          <t>—</t>
        </is>
      </c>
      <c r="D18" s="47" t="inlineStr">
        <is>
          <t>Desviación planimétrica frente al catálogo</t>
        </is>
      </c>
      <c r="E18" s="47" t="inlineStr">
        <is>
          <t>+0.00 %</t>
        </is>
      </c>
    </row>
    <row r="19">
      <c r="A19" s="16" t="inlineStr">
        <is>
          <t>MSAVI 2024 — MEDIA DEL BLOQUE</t>
        </is>
      </c>
      <c r="B19" s="17" t="n">
        <v>0.321386</v>
      </c>
      <c r="C19" s="17" t="inlineStr">
        <is>
          <t>—</t>
        </is>
      </c>
      <c r="D19" s="17" t="inlineStr">
        <is>
          <t>Vigor muy bajo · clase 0.2650 - 0.3813</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1 076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(0.3214) se conserva del catálogo maestro y es dato oficial; la fila resaltada indica la clase en la que cae dicha media. Los totales y porcentajes se calculan con fórmulas sobre las filas del cuadro.</t>
        </is>
      </c>
      <c r="B21" s="42" t="n"/>
      <c r="C21" s="42" t="n"/>
      <c r="D21" s="42" t="n"/>
      <c r="E21" s="43"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9.245799999999999</v>
      </c>
      <c r="C25" s="19" t="n">
        <v>3.14</v>
      </c>
      <c r="D25" s="11" t="inlineStr">
        <is>
          <t>Dosel continuo, matorral denso o mosaico agroforestal</t>
        </is>
      </c>
      <c r="E25" s="11" t="inlineStr"/>
    </row>
    <row r="26">
      <c r="A26" s="12" t="inlineStr">
        <is>
          <t>Vegetación mediana</t>
        </is>
      </c>
      <c r="B26" s="20" t="n">
        <v>124.2163</v>
      </c>
      <c r="C26" s="21" t="n">
        <v>42.2</v>
      </c>
      <c r="D26" s="13" t="inlineStr">
        <is>
          <t>Pastizal cultivado, matorral ralo, parcelas agrícolas</t>
        </is>
      </c>
      <c r="E26" s="13" t="inlineStr"/>
    </row>
    <row r="27">
      <c r="A27" s="7" t="inlineStr">
        <is>
          <t>Vegetación ligera</t>
        </is>
      </c>
      <c r="B27" s="18" t="n">
        <v>136.8966</v>
      </c>
      <c r="C27" s="19" t="n">
        <v>46.51</v>
      </c>
      <c r="D27" s="11" t="inlineStr">
        <is>
          <t>Cobertura discontinua, suelo parcialmente expuesto</t>
        </is>
      </c>
      <c r="E27" s="11" t="inlineStr"/>
    </row>
    <row r="28">
      <c r="A28" s="12" t="inlineStr">
        <is>
          <t>Tierra desnuda</t>
        </is>
      </c>
      <c r="B28" s="20" t="n">
        <v>23.9588</v>
      </c>
      <c r="C28" s="21" t="n">
        <v>8.140000000000001</v>
      </c>
      <c r="D28" s="13" t="inlineStr">
        <is>
          <t>Suelo desnudo, afloramientos, plataformas y taludes</t>
        </is>
      </c>
      <c r="E28" s="13" t="inlineStr"/>
    </row>
    <row r="29">
      <c r="A29" s="16" t="inlineStr">
        <is>
          <t>TOTAL CLASIFICADO</t>
        </is>
      </c>
      <c r="B29" s="22">
        <f>SUM(B25:B28)</f>
        <v>294.3175</v>
      </c>
      <c r="C29" s="23">
        <f>SUM(C25:C28)</f>
        <v>99.99</v>
      </c>
      <c r="D29" s="17" t="inlineStr"/>
      <c r="E29" s="17" t="inlineStr"/>
    </row>
    <row r="30">
      <c r="A30" s="24" t="inlineStr">
        <is>
          <t>Superficie de catálogo (V5/V6)</t>
        </is>
      </c>
      <c r="B30" s="25" t="n">
        <v>294.2</v>
      </c>
      <c r="C30" s="25" t="inlineStr">
        <is>
          <t>—</t>
        </is>
      </c>
      <c r="D30" s="25" t="inlineStr">
        <is>
          <t>Desviación planimétrica frente al catálogo</t>
        </is>
      </c>
      <c r="E30" s="25" t="inlineStr">
        <is>
          <t>+0.04 %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45 % frente a un 3.14 % del polígono clasificado como «Vegetación alta» por el NDVI 2025; la observación de campo corresponde a una parcela o recorrido puntual y no es estadísticamente representativa de las 294.200 ha del bloque.</t>
        </is>
      </c>
      <c r="B32" s="42" t="n"/>
      <c r="C32" s="42" t="n"/>
      <c r="D32" s="42" t="n"/>
      <c r="E32" s="43"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M3B9</t>
        </is>
      </c>
    </row>
    <row r="6" ht="24" customHeight="1">
      <c r="A6" s="4" t="inlineStr">
        <is>
          <t>Levantamiento del 2026-05-19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628351</v>
      </c>
      <c r="D10" s="26" t="n">
        <v>9411709</v>
      </c>
      <c r="E10" s="11" t="n">
        <v>1876.5</v>
      </c>
      <c r="F10" s="11" t="inlineStr"/>
      <c r="G10" s="11" t="inlineStr">
        <is>
          <t>Coordenada consignada en F-DT-01</t>
        </is>
      </c>
    </row>
    <row r="11">
      <c r="A11" s="12" t="inlineStr">
        <is>
          <t>H-01</t>
        </is>
      </c>
      <c r="B11" s="13" t="inlineStr">
        <is>
          <t>Fuente de agua — Río</t>
        </is>
      </c>
      <c r="C11" s="27" t="n">
        <v>628418</v>
      </c>
      <c r="D11" s="27" t="n">
        <v>9411155</v>
      </c>
      <c r="E11" s="13" t="n">
        <v>2338.6</v>
      </c>
      <c r="F11" s="13" t="inlineStr">
        <is>
          <t>Permanente</t>
        </is>
      </c>
      <c r="G11" s="13" t="inlineStr">
        <is>
          <t>Río Seco — cauce estacional</t>
        </is>
      </c>
    </row>
    <row r="12">
      <c r="A12" s="16" t="inlineStr">
        <is>
          <t>TOTAL: 2 puntos</t>
        </is>
      </c>
      <c r="B12" s="17" t="inlineStr"/>
      <c r="C12" s="17" t="inlineStr"/>
      <c r="D12" s="17" t="inlineStr"/>
      <c r="E12" s="17" t="inlineStr"/>
      <c r="F12" s="17" t="inlineStr"/>
      <c r="G12" s="17" t="inlineStr"/>
    </row>
    <row r="13"/>
    <row r="14">
      <c r="A14" s="6" t="inlineStr">
        <is>
          <t>Centroide del bloque — UTM ESTE (m)</t>
        </is>
      </c>
      <c r="B14" s="7" t="n">
        <v>629338</v>
      </c>
      <c r="C14" s="6" t="inlineStr">
        <is>
          <t>Centroide del bloque — UTM NORTE (m)</t>
        </is>
      </c>
      <c r="D14" s="7" t="n">
        <v>9413305</v>
      </c>
      <c r="E14" s="8" t="n"/>
      <c r="F14" s="8" t="n"/>
      <c r="G14" s="8" t="n"/>
      <c r="H14" s="8" t="n"/>
    </row>
    <row r="15">
      <c r="A15" s="6" t="inlineStr">
        <is>
          <t>N.° de estaciones fotográficas declaradas</t>
        </is>
      </c>
      <c r="B15" s="7" t="n">
        <v>0</v>
      </c>
      <c r="C15" s="6" t="inlineStr">
        <is>
          <t>Estaciones dentro del polígono</t>
        </is>
      </c>
      <c r="D15" s="7" t="n">
        <v>0</v>
      </c>
      <c r="E15" s="8" t="n"/>
      <c r="F15" s="8" t="n"/>
      <c r="G15" s="8" t="n"/>
      <c r="H15" s="8" t="n"/>
    </row>
    <row r="16"/>
    <row r="17" ht="108"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NO SE INGRESÓ AL BLOQUE. OBSERVACIONES DESDE EL CP TÓRTOLA (628 351 E · 9 411 709 N), a ≈1.9 km al SO del centroide catastral (629 338 E · 9 413 300 N). Acompañante: Sr. Fidel Rodríguez Jiménez. Pendientes 25-48% (Google Earth). Altitud 188-415 msnm. TODA LA CARACTERIZACIÓN ES DE OBSERVACIÓN A DISTANCIA Y GABINETE.</t>
        </is>
      </c>
      <c r="B17" s="42" t="n"/>
      <c r="C17" s="42" t="n"/>
      <c r="D17" s="42" t="n"/>
      <c r="E17" s="42" t="n"/>
      <c r="F17" s="42" t="n"/>
      <c r="G17" s="43" t="n"/>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C1081-Q9582 — BLOQUE M3B9</t>
        </is>
      </c>
    </row>
    <row r="6" ht="24" customHeight="1">
      <c r="A6" s="4" t="inlineStr">
        <is>
          <t>Distrito de Salitral · Provincia de Morropon · Comparación de los bloques preliminares de intervención de la misma microcuenca</t>
        </is>
      </c>
    </row>
    <row r="7"/>
    <row r="8" ht="18" customHeight="1">
      <c r="A8" s="5" t="inlineStr">
        <is>
          <t>BLOQUES DE LA MICROCUENCA C1081-Q9582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M3B8</t>
        </is>
      </c>
      <c r="B10" s="28" t="n">
        <v>565.58</v>
      </c>
      <c r="C10" s="19" t="n">
        <v>44.83</v>
      </c>
      <c r="D10" s="11" t="inlineStr">
        <is>
          <t>195 – 562</t>
        </is>
      </c>
      <c r="E10" s="11" t="n">
        <v>367</v>
      </c>
      <c r="F10" s="11" t="n">
        <v>13.65</v>
      </c>
      <c r="G10" s="18" t="n">
        <v>0.2934</v>
      </c>
      <c r="H10" s="19" t="n">
        <v>3.19</v>
      </c>
      <c r="I10" s="19" t="n">
        <v>99.40000000000001</v>
      </c>
    </row>
    <row r="11">
      <c r="A11" s="14" t="inlineStr">
        <is>
          <t>► M3B9</t>
        </is>
      </c>
      <c r="B11" s="29" t="n">
        <v>294.2</v>
      </c>
      <c r="C11" s="30" t="n">
        <v>23.32</v>
      </c>
      <c r="D11" s="15" t="inlineStr">
        <is>
          <t>189 – 497</t>
        </is>
      </c>
      <c r="E11" s="15" t="n">
        <v>308</v>
      </c>
      <c r="F11" s="15" t="n">
        <v>17.69</v>
      </c>
      <c r="G11" s="31" t="n">
        <v>0.3214</v>
      </c>
      <c r="H11" s="30" t="n">
        <v>3.14</v>
      </c>
      <c r="I11" s="30" t="n">
        <v>99.40000000000001</v>
      </c>
    </row>
    <row r="12">
      <c r="A12" s="7" t="inlineStr">
        <is>
          <t>M3B7</t>
        </is>
      </c>
      <c r="B12" s="28" t="n">
        <v>122.95</v>
      </c>
      <c r="C12" s="19" t="n">
        <v>9.75</v>
      </c>
      <c r="D12" s="11" t="inlineStr">
        <is>
          <t>238 – 447</t>
        </is>
      </c>
      <c r="E12" s="11" t="n">
        <v>209</v>
      </c>
      <c r="F12" s="11" t="n">
        <v>18.21</v>
      </c>
      <c r="G12" s="18" t="n">
        <v>0.3707</v>
      </c>
      <c r="H12" s="19" t="n">
        <v>8</v>
      </c>
      <c r="I12" s="19" t="n">
        <v>95.93000000000001</v>
      </c>
    </row>
    <row r="13">
      <c r="A13" s="12" t="inlineStr">
        <is>
          <t>M3B3</t>
        </is>
      </c>
      <c r="B13" s="32" t="n">
        <v>84.81999999999999</v>
      </c>
      <c r="C13" s="21" t="n">
        <v>6.72</v>
      </c>
      <c r="D13" s="13" t="inlineStr">
        <is>
          <t>194 – 375</t>
        </is>
      </c>
      <c r="E13" s="13" t="n">
        <v>181</v>
      </c>
      <c r="F13" s="13" t="n">
        <v>18.87</v>
      </c>
      <c r="G13" s="20" t="n">
        <v>0.2985</v>
      </c>
      <c r="H13" s="21" t="n">
        <v>0.59</v>
      </c>
      <c r="I13" s="21" t="n">
        <v>99.89</v>
      </c>
    </row>
    <row r="14">
      <c r="A14" s="7" t="inlineStr">
        <is>
          <t>M3B1</t>
        </is>
      </c>
      <c r="B14" s="28" t="n">
        <v>80.98</v>
      </c>
      <c r="C14" s="19" t="n">
        <v>6.42</v>
      </c>
      <c r="D14" s="11" t="inlineStr">
        <is>
          <t>184 – 395</t>
        </is>
      </c>
      <c r="E14" s="11" t="n">
        <v>211</v>
      </c>
      <c r="F14" s="11" t="n">
        <v>19.4</v>
      </c>
      <c r="G14" s="18" t="n">
        <v>0.3239</v>
      </c>
      <c r="H14" s="19" t="n">
        <v>1.37</v>
      </c>
      <c r="I14" s="19" t="n">
        <v>99.83</v>
      </c>
    </row>
    <row r="15">
      <c r="A15" s="12" t="inlineStr">
        <is>
          <t>M3B6</t>
        </is>
      </c>
      <c r="B15" s="32" t="n">
        <v>60.35</v>
      </c>
      <c r="C15" s="21" t="n">
        <v>4.78</v>
      </c>
      <c r="D15" s="13" t="inlineStr">
        <is>
          <t>235 – 499</t>
        </is>
      </c>
      <c r="E15" s="13" t="n">
        <v>264</v>
      </c>
      <c r="F15" s="13" t="n">
        <v>23.39</v>
      </c>
      <c r="G15" s="20" t="n">
        <v>0.3425</v>
      </c>
      <c r="H15" s="21" t="n">
        <v>1.08</v>
      </c>
      <c r="I15" s="21" t="n">
        <v>99.73999999999999</v>
      </c>
    </row>
    <row r="16">
      <c r="A16" s="7" t="inlineStr">
        <is>
          <t>M3B5</t>
        </is>
      </c>
      <c r="B16" s="28" t="n">
        <v>52.74</v>
      </c>
      <c r="C16" s="19" t="n">
        <v>4.18</v>
      </c>
      <c r="D16" s="11" t="inlineStr">
        <is>
          <t>221 – 401</t>
        </is>
      </c>
      <c r="E16" s="11" t="n">
        <v>180</v>
      </c>
      <c r="F16" s="11" t="n">
        <v>18.94</v>
      </c>
      <c r="G16" s="18" t="n">
        <v>0.283</v>
      </c>
      <c r="H16" s="19" t="n">
        <v>0.13</v>
      </c>
      <c r="I16" s="19" t="n">
        <v>99.89</v>
      </c>
    </row>
    <row r="17">
      <c r="A17" s="16" t="inlineStr">
        <is>
          <t>TOTAL / PROMEDIO</t>
        </is>
      </c>
      <c r="B17" s="33">
        <f>SUM(B10:B16)</f>
        <v>1261.62</v>
      </c>
      <c r="C17" s="23">
        <f>SUM(C10:C16)</f>
        <v>100.0</v>
      </c>
      <c r="D17" s="17" t="inlineStr">
        <is>
          <t>184 – 562</t>
        </is>
      </c>
      <c r="E17" s="17" t="inlineStr"/>
      <c r="F17" s="17">
        <f>ROUND(AVERAGE(F10:F16),2)</f>
        <v>18.59</v>
      </c>
      <c r="G17" s="22">
        <f>ROUND(AVERAGE(G10:G16),4)</f>
        <v>0.3191</v>
      </c>
      <c r="H17" s="23">
        <f>ROUND(AVERAGE(H10:H16),2)</f>
        <v>2.5</v>
      </c>
      <c r="I17" s="23">
        <f>ROUND(AVERAGE(I10:I16),2)</f>
        <v>99.15</v>
      </c>
    </row>
    <row r="18"/>
    <row r="19" ht="84" customHeight="1">
      <c r="A19" s="9" t="inlineStr">
        <is>
          <t>LECTURA INTRAMICROCUENCA. El bloque M3B9 ocupa el puesto 2 de 7 por superficie dentro de la microcuenca C1081-Q9582 (23.32 % de las 1261.62 ha preliminares de la microcuenca). Su pendiente promedio (17.69 %, clase «15-25% (Fuert. inclinado)») es la 2.ª más baja de 7 y se sitúa por debajo del promedio de la microcuenca (18.59 %). Su MSAVI 2024 (0.3214) es el 4.º de 7 y queda por encima del promedio local (0.3190). Amplitud altitudinal del bloque: 308 m (189–497 msnm). El cuadro conserva todos los bloques catalogados en la microcuenca, incluidos los descartados en el tamizaje, para referencia del conjunto. Los bloques sin ficha DT figuran con sus parámetros de gabinete. BRECHA ESPECTRAL. El 99.40 % de la superficie del bloque (292.427 ha de 294.204 ha) se sitúa bajo el umbral MSAVI 0.4976, por encima del promedio local de la microcuenca (99.15 %) calculado sobre los bloques con dato MSAVI disponible.</t>
        </is>
      </c>
      <c r="B19" s="42" t="n"/>
      <c r="C19" s="42" t="n"/>
      <c r="D19" s="42" t="n"/>
      <c r="E19" s="42" t="n"/>
      <c r="F19" s="42" t="n"/>
      <c r="G19" s="42" t="n"/>
      <c r="H19" s="43" t="n"/>
    </row>
    <row r="20"/>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1" s="42" t="n"/>
      <c r="C21" s="42" t="n"/>
      <c r="D21" s="42" t="n"/>
      <c r="E21" s="42" t="n"/>
      <c r="F21" s="42" t="n"/>
      <c r="G21" s="42" t="n"/>
      <c r="H21" s="43" t="n"/>
    </row>
  </sheetData>
  <mergeCells count="9">
    <mergeCell ref="A1:I1"/>
    <mergeCell ref="A4:I4"/>
    <mergeCell ref="A3:I3"/>
    <mergeCell ref="A21:I21"/>
    <mergeCell ref="A2:I2"/>
    <mergeCell ref="A19:I19"/>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M3B9</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«C1081-Q9582»</t>
        </is>
      </c>
      <c r="D10" s="35" t="inlineStr">
        <is>
          <t>CONFORME</t>
        </is>
      </c>
      <c r="E10" s="34" t="inlineStr">
        <is>
          <t>Sin acción.</t>
        </is>
      </c>
    </row>
    <row r="11" ht="48" customHeight="1">
      <c r="A11" s="36" t="inlineStr">
        <is>
          <t>D-02</t>
        </is>
      </c>
      <c r="B11" s="36" t="inlineStr">
        <is>
          <t>UTM del punto de muestreo</t>
        </is>
      </c>
      <c r="C11" s="36" t="inlineStr">
        <is>
          <t>El punto de muestreo declarado (628351 E / 9411709 N) dista 1,876 m del centroide de catálogo (629338 E / 9413305 N), distancia incompatible con la superficie del bloque (294.2 ha)</t>
        </is>
      </c>
      <c r="D11" s="37" t="inlineStr">
        <is>
          <t>SUSTANTIVA</t>
        </is>
      </c>
      <c r="E11" s="36" t="inlineStr">
        <is>
          <t>Se declara la coordenada como POR VERIFICAR: puede corresponder a otro bloque o a un error de digitación. No se corrige de oficio.</t>
        </is>
      </c>
    </row>
    <row r="12" ht="48" customHeight="1">
      <c r="A12" s="34" t="inlineStr">
        <is>
          <t>D-03</t>
        </is>
      </c>
      <c r="B12" s="34" t="inlineStr">
        <is>
          <t>Superficie del polígono</t>
        </is>
      </c>
      <c r="C12" s="34" t="inlineStr">
        <is>
          <t>La superficie clasificada por el NDVI 2025 (294.318 ha) coincide con la de catálogo (294.2 ha) dentro del ±2 % (+0.04 %)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«25-50% (Mod. escarpado)»; la estadística zonal sobre el MDE arroja una pendiente promedio de 17.69 %, que corresponde a la clase «15-25% (Fuert. inclinado)»</t>
        </is>
      </c>
      <c r="D13" s="15"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45 % de cobertura vegetal en campo; el NDVI mediana 2025 clasifica 91.85 % del polígono en clases de vegetación</t>
        </is>
      </c>
      <c r="D14" s="15"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Elenco florístico</t>
        </is>
      </c>
      <c r="C15" s="36" t="inlineStr">
        <is>
          <t>La ficha registra 10 taxones, por debajo del mínimo de 15 que exige el formato V5</t>
        </is>
      </c>
      <c r="D15" s="37" t="inlineStr">
        <is>
          <t>SUSTANTIVA</t>
        </is>
      </c>
      <c r="E15" s="36" t="inlineStr">
        <is>
          <t>Registro florístico preliminar, sin colecta ni determinación botánica formal. Debe cerrarse con colecta botánica en la siguiente campaña.</t>
        </is>
      </c>
    </row>
    <row r="16" ht="48" customHeight="1">
      <c r="A16" s="34" t="inlineStr">
        <is>
          <t>D-07</t>
        </is>
      </c>
      <c r="B16" s="34" t="inlineStr">
        <is>
          <t>Representatividad del levantamiento</t>
        </is>
      </c>
      <c r="C16" s="34" t="inlineStr">
        <is>
          <t>Ninguna de las estaciones fotográficas georreferenciadas se localiza dentro del polígono del bloque</t>
        </is>
      </c>
      <c r="D16" s="37" t="inlineStr">
        <is>
          <t>SUSTANTIVA</t>
        </is>
      </c>
      <c r="E16" s="34" t="inlineStr">
        <is>
          <t>La verificación documenta el perímetro y la vista panorámica del bloque, no su interior. Los parámetros que exigen recorrido interno se consignan «Por determinar».</t>
        </is>
      </c>
    </row>
    <row r="17" ht="48" customHeight="1">
      <c r="A17" s="36" t="inlineStr">
        <is>
          <t>D-08</t>
        </is>
      </c>
      <c r="B17" s="36" t="inlineStr">
        <is>
          <t>Centro poblado asociado</t>
        </is>
      </c>
      <c r="C17" s="36" t="inlineStr">
        <is>
          <t>La ficha DT declara «CP Tórtola / CP San Pedro»; el cruce INEI-Bloques V5 identifica 1 centro(s) poblado(s) en el bloque: TORTOLA</t>
        </is>
      </c>
      <c r="D17" s="15" t="inlineStr">
        <is>
          <t>NO SUSTANTIVA</t>
        </is>
      </c>
      <c r="E17" s="36" t="inlineStr">
        <is>
          <t>Se conserva el registro de campo como referencia y se adopta el listado INEI para el diagnóstico social y el cálculo de población beneficiaria.</t>
        </is>
      </c>
    </row>
    <row r="18" ht="48" customHeight="1">
      <c r="A18" s="34" t="inlineStr">
        <is>
          <t>D-09</t>
        </is>
      </c>
      <c r="B18" s="34" t="inlineStr">
        <is>
          <t>Peligro integrado (MCA-AHP)</t>
        </is>
      </c>
      <c r="C18" s="34" t="inlineStr">
        <is>
          <t>El nivel de peligro integrado no está disponible en los insumos de este entregable</t>
        </is>
      </c>
      <c r="D18" s="37" t="inlineStr">
        <is>
          <t>SUSTANTIVA</t>
        </is>
      </c>
      <c r="E18" s="34" t="inlineStr">
        <is>
          <t>Debe tomarse del modelamiento de mesolocalización (PMM + EPH + PGI ponderados por AHP) antes de fijar la prioridad definitiva de intervención del bloque.</t>
        </is>
      </c>
    </row>
    <row r="19" ht="48" customHeight="1">
      <c r="A19" s="36" t="inlineStr">
        <is>
          <t>D-10</t>
        </is>
      </c>
      <c r="B19" s="36" t="inlineStr">
        <is>
          <t>Plan de Ingreso</t>
        </is>
      </c>
      <c r="C19" s="36" t="inlineStr">
        <is>
          <t>Altitud = 0 msnm (captura por defecto del aplicativo)</t>
        </is>
      </c>
      <c r="D19" s="38" t="inlineStr">
        <is>
          <t>CORREGIDO</t>
        </is>
      </c>
      <c r="E19" s="36" t="inlineStr">
        <is>
          <t>Se reemplaza por el rango observado 188-415 msnm</t>
        </is>
      </c>
    </row>
    <row r="20" ht="48" customHeight="1">
      <c r="A20" s="34" t="inlineStr">
        <is>
          <t>D-11</t>
        </is>
      </c>
      <c r="B20" s="34" t="inlineStr">
        <is>
          <t>F-DT-01</t>
        </is>
      </c>
      <c r="C20" s="34" t="inlineStr">
        <is>
          <t>NO SE INGRESÓ AL BLOQUE: toda la caracterización procede de observación a distancia desde el CP Tórtola y de gabinete</t>
        </is>
      </c>
      <c r="D20" s="37" t="inlineStr">
        <is>
          <t>SUSTANTIVA</t>
        </is>
      </c>
      <c r="E20" s="34" t="inlineStr">
        <is>
          <t>Verificación directa pendiente en su totalidad</t>
        </is>
      </c>
    </row>
    <row r="21" ht="48" customHeight="1">
      <c r="A21" s="36" t="inlineStr">
        <is>
          <t>D-12</t>
        </is>
      </c>
      <c r="B21" s="36" t="inlineStr">
        <is>
          <t>F-DT-02</t>
        </is>
      </c>
      <c r="C21" s="36" t="inlineStr">
        <is>
          <t>Inventario de cárcavas no ejecutado; % de bloque afectado estimado POR ANALOGÍA con M3B1</t>
        </is>
      </c>
      <c r="D21" s="37" t="inlineStr">
        <is>
          <t>SUSTANTIVA</t>
        </is>
      </c>
      <c r="E21" s="36" t="inlineStr">
        <is>
          <t>Estimación por analogía, no medición</t>
        </is>
      </c>
    </row>
    <row r="22" ht="48" customHeight="1">
      <c r="A22" s="34" t="inlineStr">
        <is>
          <t>D-13</t>
        </is>
      </c>
      <c r="B22" s="34" t="inlineStr">
        <is>
          <t>F-DT-03</t>
        </is>
      </c>
      <c r="C22" s="34" t="inlineStr">
        <is>
          <t>Inventario florístico referencial por analogía con M3B1/M3B8 e información de poblador local (10 taxones)</t>
        </is>
      </c>
      <c r="D22" s="37" t="inlineStr">
        <is>
          <t>SUSTANTIVA</t>
        </is>
      </c>
      <c r="E22" s="34" t="inlineStr">
        <is>
          <t>Requiere validación con parcelas de muestreo in situ</t>
        </is>
      </c>
    </row>
    <row r="23" ht="48" customHeight="1">
      <c r="A23" s="36" t="inlineStr">
        <is>
          <t>D-14</t>
        </is>
      </c>
      <c r="B23" s="36" t="inlineStr">
        <is>
          <t>F-DT-03</t>
        </is>
      </c>
      <c r="C23" s="36" t="inlineStr">
        <is>
          <t>Categorías de amenaza (Hualtaco VU, Palo Santo LC) distintas de las usadas en el resto del portafolio (CR/EN)</t>
        </is>
      </c>
      <c r="D23" s="37" t="inlineStr">
        <is>
          <t>SUSTANTIVA</t>
        </is>
      </c>
      <c r="E23" s="36" t="inlineStr">
        <is>
          <t>Homogeneizar criterio de categorización</t>
        </is>
      </c>
    </row>
    <row r="24" ht="48" customHeight="1">
      <c r="A24" s="34" t="inlineStr">
        <is>
          <t>D-15</t>
        </is>
      </c>
      <c r="B24" s="34" t="inlineStr">
        <is>
          <t>F-DT-04</t>
        </is>
      </c>
      <c r="C24" s="34" t="inlineStr">
        <is>
          <t>Varios indicadores expresados como rangos y no como valores puntuales; carga ganadera sin valor numérico</t>
        </is>
      </c>
      <c r="D24" s="15" t="inlineStr">
        <is>
          <t>NO SUSTANTIVA</t>
        </is>
      </c>
      <c r="E24" s="34" t="inlineStr">
        <is>
          <t>Normalizar el registro</t>
        </is>
      </c>
    </row>
    <row r="25" ht="48" customHeight="1">
      <c r="A25" s="36" t="inlineStr">
        <is>
          <t>D-16</t>
        </is>
      </c>
      <c r="B25" s="36" t="inlineStr">
        <is>
          <t>F-DT-05</t>
        </is>
      </c>
      <c r="C25" s="36" t="inlineStr">
        <is>
          <t>Acceso con caminata &gt;90 min o acémila; puente badén solo para vehículos menores</t>
        </is>
      </c>
      <c r="D25" s="37" t="inlineStr">
        <is>
          <t>SUSTANTIVA</t>
        </is>
      </c>
      <c r="E25" s="36" t="inlineStr">
        <is>
          <t>Factor logístico crítico para 294.20 ha: dimensionar en cronograma y presupuesto</t>
        </is>
      </c>
    </row>
    <row r="26" ht="48" customHeight="1">
      <c r="A26" s="36" t="inlineStr">
        <is>
          <t>D-17</t>
        </is>
      </c>
      <c r="B26" s="36" t="inlineStr">
        <is>
          <t>Distribución areal MSAVI 2024</t>
        </is>
      </c>
      <c r="C26" s="36" t="inlineStr">
        <is>
          <t>La distribución por clase de MSAVI no figuraba en los insumos del entregable y se consignaba «Por determinar»; se incorpora la estadística zonal del ráster MSAVI clasificado (1 076 polígonos, 294.204 ha)</t>
        </is>
      </c>
      <c r="D26" s="37" t="inlineStr">
        <is>
          <t>CORREGIDO</t>
        </is>
      </c>
      <c r="E26"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7" ht="48" customHeight="1">
      <c r="A27" s="36" t="inlineStr">
        <is>
          <t>D-18</t>
        </is>
      </c>
      <c r="B27" s="36" t="inlineStr">
        <is>
          <t>Superficie MSAVI vs. catálogo</t>
        </is>
      </c>
      <c r="C27" s="36" t="inlineStr">
        <is>
          <t>La superficie total clasificada por el MSAVI 2024 (294.204 ha) frente a la de catálogo V5/V6 (294.200 ha): desviación de +0.00 %</t>
        </is>
      </c>
      <c r="D27" s="37" t="inlineStr">
        <is>
          <t>CONFORME</t>
        </is>
      </c>
      <c r="E27" s="36" t="inlineStr">
        <is>
          <t>Sin acción: la segmentación del ráster valida la geometría del bloque dentro del ±2 %.</t>
        </is>
      </c>
    </row>
    <row r="28" ht="48" customHeight="1">
      <c r="A28" s="36" t="inlineStr">
        <is>
          <t>D-19</t>
        </is>
      </c>
      <c r="B28" s="36" t="inlineStr">
        <is>
          <t>Media MSAVI vs. clase DN dominante</t>
        </is>
      </c>
      <c r="C28" s="36" t="inlineStr">
        <is>
          <t>La media del bloque (0.3214) cae en la clase «DN 2 · 0.2650 - 0.3813 (Vigor muy bajo)»; la clase de mayor superficie es «DN 2 · 0.2650 - 0.3813 (Vigor muy bajo)», con 60.43 % del bloque. Superficie bajo el umbral 0.4976: 292.427 ha (99.40 %)</t>
        </is>
      </c>
      <c r="D28" s="37" t="inlineStr">
        <is>
          <t>CONFORME</t>
        </is>
      </c>
      <c r="E28" s="36" t="inlineStr">
        <is>
          <t>Sin acción: la media del bloque y la clase de mayor superficie coinciden.</t>
        </is>
      </c>
    </row>
    <row r="29"/>
    <row r="30">
      <c r="A30" s="16" t="inlineStr">
        <is>
          <t>RESUMEN</t>
        </is>
      </c>
      <c r="B30" s="17" t="inlineStr">
        <is>
          <t>19 verificaciones</t>
        </is>
      </c>
      <c r="C30" s="17" t="inlineStr">
        <is>
          <t>CONFORME: 4 · CORREGIDO: 2 · NO SUSTANTIVA: 4 · SUSTANTIVA: 9</t>
        </is>
      </c>
      <c r="D30" s="17" t="inlineStr"/>
      <c r="E30" s="17" t="inlineStr"/>
    </row>
    <row r="31"/>
    <row r="32" ht="60" customHeight="1">
      <c r="A32"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2" s="42" t="n"/>
      <c r="C32" s="42" t="n"/>
      <c r="D32" s="42" t="n"/>
      <c r="E32" s="43" t="n"/>
    </row>
  </sheetData>
  <mergeCells count="8">
    <mergeCell ref="A4:E4"/>
    <mergeCell ref="A2:E2"/>
    <mergeCell ref="A5:E5"/>
    <mergeCell ref="A1:E1"/>
    <mergeCell ref="A32:E32"/>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M3B9 — IN Piura</dc:title>
  <dc:subject>Diagnóstico Territorial por bloque de intervención</dc:subject>
  <dcterms:created xsi:type="dcterms:W3CDTF">2026-09-08T03:39:58Z</dcterms:created>
  <dcterms:modified xsi:type="dcterms:W3CDTF">2026-09-10T00:28:32Z</dcterms:modified>
</cp:coreProperties>
</file>