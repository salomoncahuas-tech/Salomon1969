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M19B7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Faique</t>
        </is>
      </c>
      <c r="C13" s="6" t="inlineStr">
        <is>
          <t>Comunidad campesina</t>
        </is>
      </c>
      <c r="D13" s="7" t="inlineStr">
        <is>
          <t>Propiedad privada; caserío y predios dispersos</t>
        </is>
      </c>
      <c r="E13" s="8" t="n"/>
      <c r="F13" s="8" t="n"/>
    </row>
    <row r="14">
      <c r="A14" s="6" t="inlineStr">
        <is>
          <t>Superficie de catálogo (V5/V6), ha</t>
        </is>
      </c>
      <c r="B14" s="7" t="n">
        <v>34.17</v>
      </c>
      <c r="C14" s="6" t="inlineStr">
        <is>
          <t>Fuente de superficie</t>
        </is>
      </c>
      <c r="D14" s="7" t="inlineStr">
        <is>
          <t>Catálogo maestro Bloques V5/V6</t>
        </is>
      </c>
      <c r="E14" s="8" t="n"/>
      <c r="F14" s="8" t="n"/>
    </row>
    <row r="15">
      <c r="A15" s="6" t="inlineStr">
        <is>
          <t>Centroide UTM ESTE (m)</t>
        </is>
      </c>
      <c r="B15" s="7" t="n">
        <v>620770</v>
      </c>
      <c r="C15" s="6" t="inlineStr">
        <is>
          <t>Centroide UTM NORTE (m)</t>
        </is>
      </c>
      <c r="D15" s="7" t="n">
        <v>9436562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1213</v>
      </c>
      <c r="C19" s="6" t="inlineStr">
        <is>
          <t>Altitud máxima (msnm)</t>
        </is>
      </c>
      <c r="D19" s="7" t="n">
        <v>1578</v>
      </c>
      <c r="E19" s="8" t="n"/>
      <c r="F19" s="8" t="n"/>
    </row>
    <row r="20">
      <c r="A20" s="6" t="inlineStr">
        <is>
          <t>Amplitud altitudinal (m)</t>
        </is>
      </c>
      <c r="B20" s="7" t="n">
        <v>365</v>
      </c>
      <c r="C20" s="6" t="inlineStr">
        <is>
          <t>Piso altitudinal dominante</t>
        </is>
      </c>
      <c r="D20" s="7" t="inlineStr">
        <is>
          <t>1000-1500 m (Quechua baja)</t>
        </is>
      </c>
      <c r="E20" s="8" t="n"/>
      <c r="F20" s="8" t="n"/>
    </row>
    <row r="21">
      <c r="A21" s="6" t="inlineStr">
        <is>
          <t>Pendiente promedio (%)</t>
        </is>
      </c>
      <c r="B21" s="7" t="n">
        <v>28.15</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 (reportado como posible, no concluyente)</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0.5919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(78.52 %)</t>
        </is>
      </c>
      <c r="E29" s="8" t="n"/>
      <c r="F29" s="8" t="n"/>
    </row>
    <row r="30">
      <c r="A30" s="6" t="inlineStr">
        <is>
          <t>Superficie clasificada NDVI 2025 (ha)</t>
        </is>
      </c>
      <c r="B30" s="7" t="n">
        <v>34.186</v>
      </c>
      <c r="C30" s="6" t="inlineStr">
        <is>
          <t>Desviación frente al catálogo (%)</t>
        </is>
      </c>
      <c r="D30" s="7" t="n">
        <v>0.05</v>
      </c>
      <c r="E30" s="8" t="n"/>
      <c r="F30" s="8" t="n"/>
    </row>
    <row r="31">
      <c r="A31" s="6" t="inlineStr">
        <is>
          <t>Superficie clasificada MSAVI 2024 (ha)</t>
        </is>
      </c>
      <c r="B31" s="39" t="n">
        <v>34.171</v>
      </c>
      <c r="C31" s="6" t="inlineStr">
        <is>
          <t>Desviación MSAVI frente al catálogo (%)</t>
        </is>
      </c>
      <c r="D31" s="40" t="n">
        <v>0</v>
      </c>
      <c r="E31" s="8" t="n"/>
      <c r="F31" s="8" t="n"/>
    </row>
    <row r="32">
      <c r="A32" s="6" t="inlineStr">
        <is>
          <t>Superficie bajo umbral MSAVI 0.4976 (ha)</t>
        </is>
      </c>
      <c r="B32" s="39" t="n">
        <v>1.998</v>
      </c>
      <c r="C32" s="6" t="inlineStr">
        <is>
          <t>% del bloque bajo umbral (brecha espectral)</t>
        </is>
      </c>
      <c r="D32" s="40" t="n">
        <v>5.85</v>
      </c>
      <c r="E32" s="8" t="n"/>
      <c r="F32" s="8" t="n"/>
    </row>
    <row r="33">
      <c r="A33" s="6" t="inlineStr">
        <is>
          <t>Clase DN dominante (MSAVI 2024)</t>
        </is>
      </c>
      <c r="B33" s="7" t="inlineStr">
        <is>
          <t>DN 4 · 0.4976 - 0.6139 (Vigor moderado)</t>
        </is>
      </c>
      <c r="C33" s="6" t="inlineStr">
        <is>
          <t>N.° de polígonos MSAVI del bloque</t>
        </is>
      </c>
      <c r="D33" s="41" t="n">
        <v>103</v>
      </c>
      <c r="E33" s="8" t="n"/>
      <c r="F33" s="8" t="n"/>
    </row>
    <row r="34"/>
    <row r="35" ht="18" customHeight="1">
      <c r="A35" s="5" t="inlineStr">
        <is>
          <t>4. ECOSISTEMA Y ESTADO DE CONSERVACIÓN</t>
        </is>
      </c>
    </row>
    <row r="36">
      <c r="A36" s="6" t="inlineStr">
        <is>
          <t>Tipo de ecosistema (UP)</t>
        </is>
      </c>
      <c r="B36" s="7" t="inlineStr">
        <is>
          <t>Agroecosistema / Mosaico (con relicto de Bes-cm como ecosistema secundario)</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60 - 80 (estimación)</t>
        </is>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No inventariadas</t>
        </is>
      </c>
      <c r="E40" s="8" t="n"/>
      <c r="F40" s="8" t="n"/>
    </row>
    <row r="41">
      <c r="A41" s="6" t="inlineStr">
        <is>
          <t>Elenco florístico (n.° de taxones)</t>
        </is>
      </c>
      <c r="B41" s="7" t="n">
        <v>9</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 Especialista en Infraestructura Verde, ANIN/DIME-SESDI</t>
        </is>
      </c>
      <c r="C44" s="6" t="inlineStr">
        <is>
          <t>Fecha de evaluación</t>
        </is>
      </c>
      <c r="D44" s="7" t="inlineStr">
        <is>
          <t>2026-06-17</t>
        </is>
      </c>
      <c r="E44" s="8" t="n"/>
      <c r="F44" s="8" t="n"/>
    </row>
    <row r="45">
      <c r="A45" s="6" t="inlineStr">
        <is>
          <t>Hora de registro</t>
        </is>
      </c>
      <c r="B45" s="7" t="inlineStr">
        <is>
          <t>16:52 h</t>
        </is>
      </c>
      <c r="C45" s="6" t="inlineStr">
        <is>
          <t>Correlativo de ficha</t>
        </is>
      </c>
      <c r="D45" s="7" t="inlineStr">
        <is>
          <t>F-DT/M19B7/2026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y apertura/expansión vial sin medidas de control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11.894</v>
      </c>
      <c r="C10" s="19">
        <f>ROUND(B10/$B$15*100,2)</f>
        <v/>
      </c>
      <c r="D10" s="11" t="inlineStr">
        <is>
          <t>Vigor alto</t>
        </is>
      </c>
      <c r="E10" s="11" t="inlineStr">
        <is>
          <t>Sobre umbral</t>
        </is>
      </c>
    </row>
    <row r="11">
      <c r="A11" s="12" t="inlineStr">
        <is>
          <t>0.4976 - 0.6139 · DN 4</t>
        </is>
      </c>
      <c r="B11" s="32" t="n">
        <v>20.2785</v>
      </c>
      <c r="C11" s="31">
        <f>ROUND(B11/$B$15*100,2)</f>
        <v/>
      </c>
      <c r="D11" s="13" t="inlineStr">
        <is>
          <t>Vigor moderado</t>
        </is>
      </c>
      <c r="E11" s="13" t="inlineStr">
        <is>
          <t>Sobre umbral</t>
        </is>
      </c>
    </row>
    <row r="12">
      <c r="A12" s="7" t="inlineStr">
        <is>
          <t>0.3813 - 0.4976 · DN 3</t>
        </is>
      </c>
      <c r="B12" s="18" t="n">
        <v>1.9983</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103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34.17</v>
      </c>
      <c r="C18" s="50" t="inlineStr">
        <is>
          <t>—</t>
        </is>
      </c>
      <c r="D18" s="47" t="inlineStr">
        <is>
          <t>Desviación planimétrica frente al catálogo</t>
        </is>
      </c>
      <c r="E18" s="47" t="inlineStr">
        <is>
          <t>+0.00 %</t>
        </is>
      </c>
    </row>
    <row r="19">
      <c r="A19" s="16" t="inlineStr">
        <is>
          <t>MSAVI 2024 — MEDIA DEL BLOQUE</t>
        </is>
      </c>
      <c r="B19" s="17" t="n">
        <v>0.591921</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(0.5919)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26.8444</v>
      </c>
      <c r="C25" s="19" t="n">
        <v>78.52</v>
      </c>
      <c r="D25" s="11" t="inlineStr">
        <is>
          <t>Dosel continuo, matorral denso o mosaico agroforestal</t>
        </is>
      </c>
      <c r="E25" s="11" t="inlineStr"/>
    </row>
    <row r="26">
      <c r="A26" s="14" t="inlineStr">
        <is>
          <t>Vegetación mediana</t>
        </is>
      </c>
      <c r="B26" s="20" t="n">
        <v>6.8651</v>
      </c>
      <c r="C26" s="21" t="n">
        <v>20.08</v>
      </c>
      <c r="D26" s="15" t="inlineStr">
        <is>
          <t>Pastizal cultivado, matorral ralo, parcelas agrícolas</t>
        </is>
      </c>
      <c r="E26" s="15" t="inlineStr"/>
    </row>
    <row r="27">
      <c r="A27" s="7" t="inlineStr">
        <is>
          <t>Vegetación ligera</t>
        </is>
      </c>
      <c r="B27" s="18" t="n">
        <v>0.4763</v>
      </c>
      <c r="C27" s="19" t="n">
        <v>1.39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34.17</v>
      </c>
      <c r="C29" s="25" t="inlineStr">
        <is>
          <t>—</t>
        </is>
      </c>
      <c r="D29" s="25" t="inlineStr">
        <is>
          <t>Desviación planimétrica frente al catálogo</t>
        </is>
      </c>
      <c r="E29" s="25" t="inlineStr">
        <is>
          <t>+0.05 %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M19B7</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620775</v>
      </c>
      <c r="D10" s="26" t="n">
        <v>9436581</v>
      </c>
      <c r="E10" s="11" t="n">
        <v>19.6</v>
      </c>
      <c r="F10" s="11" t="inlineStr"/>
      <c r="G10" s="11" t="inlineStr">
        <is>
          <t>Coordenada consignada en F-DT-01</t>
        </is>
      </c>
    </row>
    <row r="11">
      <c r="A11" s="14" t="inlineStr">
        <is>
          <t>H-01</t>
        </is>
      </c>
      <c r="B11" s="15" t="inlineStr">
        <is>
          <t>Fuente de agua — Quebrada estacional</t>
        </is>
      </c>
      <c r="C11" s="27" t="n">
        <v>620458</v>
      </c>
      <c r="D11" s="27" t="n">
        <v>9436638</v>
      </c>
      <c r="E11" s="15" t="n">
        <v>321.1</v>
      </c>
      <c r="F11" s="15" t="inlineStr">
        <is>
          <t>Estacional</t>
        </is>
      </c>
      <c r="G11" s="15" t="inlineStr">
        <is>
          <t>Quebrada que diseca el bloque; vegetación riparia densa en cauce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620770</v>
      </c>
      <c r="C14" s="6" t="inlineStr">
        <is>
          <t>Centroide del bloque — UTM NORTE (m)</t>
        </is>
      </c>
      <c r="D14" s="7" t="n">
        <v>9436562</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colinoso a montañoso en el C.P. El Faique (Santo Domingo). MATERIAL PARENTAL: ROCA INTRUSIVA PROFUNDAMENTE METEORIZADA (SAPROLITO/GRUS) CON BLOQUES GRANÍTICOS POR EXFOLIACIÓN. PENDIENTE MEDIA 42.8% / MÁXIMA 65.6%. CAÍDA DE BLOQUES/ROCAS CONFIRMADA; escarpes activos y reptación reportados como «POSIBLES, NO CONCLUYENTES» (por verificar en campo profundizado).</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M19B7</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12" t="inlineStr">
        <is>
          <t>► M19B7</t>
        </is>
      </c>
      <c r="B20" s="30" t="n">
        <v>34.17</v>
      </c>
      <c r="C20" s="31" t="n">
        <v>4</v>
      </c>
      <c r="D20" s="13" t="inlineStr">
        <is>
          <t>1213 – 1578</t>
        </is>
      </c>
      <c r="E20" s="13" t="n">
        <v>365</v>
      </c>
      <c r="F20" s="13" t="n">
        <v>28.15</v>
      </c>
      <c r="G20" s="32" t="n">
        <v>0.5919</v>
      </c>
      <c r="H20" s="31" t="n">
        <v>78.52</v>
      </c>
      <c r="I20" s="31"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M19B7 ocupa el puesto 11 de 12 por superficie dentro de la microcuenca C1086-Q9570 (4.00 % de las 853.87 ha preliminares de la microcuenca). Su pendiente promedio (28.15 %, clase «25-50% (Mod. escarpado)») es la 7.ª más baja de 12 y se sitúa por debajo del promedio de la microcuenca (28.51 %). Su MSAVI 2024 (0.5919) es el 8.º de 12 y queda por debajo del promedio local (0.5993). Amplitud altitudinal del bloque: 365 m (1213–1578 msnm). El cuadro conserva todos los bloques catalogados en la microcuenca, incluidos los descartados en el tamizaje, para referencia del conjunto. Los bloques sin ficha DT figuran con sus parámetros de gabinete. BRECHA ESPECTRAL. El 5.85 % de la superficie del bloque (1.998 ha de 34.171 ha) se sitúa bajo el umbral MSAVI 0.4976, por debajo del promedio local de la microcuenca (19.14 %) calculado sobre los bloques con dato MSAVI disponible.</t>
        </is>
      </c>
      <c r="B24" s="42" t="n"/>
      <c r="C24" s="42" t="n"/>
      <c r="D24" s="42" t="n"/>
      <c r="E24" s="42" t="n"/>
      <c r="F24" s="42" t="n"/>
      <c r="G24" s="42" t="n"/>
      <c r="H24" s="43"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3"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M19B7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(34.186 ha) coincide con la de catálogo (34.17 ha) dentro del ±2 % (+0.05 %)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No inventariadas rasgos erosivos, pero longitud, profundidad y ancho no fueron medidos instrumentalmente</t>
        </is>
      </c>
      <c r="D13" s="13"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9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«El Faique»; el cruce INEI-Bloques V5 identifica 1 centro(s) poblado(s) en el bloque: EL FAIQUE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(1350 msnm)</t>
        </is>
      </c>
    </row>
    <row r="19" ht="48" customHeight="1">
      <c r="A19" s="36" t="inlineStr">
        <is>
          <t>D-10</t>
        </is>
      </c>
      <c r="B19" s="36" t="inlineStr">
        <is>
          <t>F-DT-01</t>
        </is>
      </c>
      <c r="C19" s="36" t="inlineStr">
        <is>
          <t>Escarpes activos y reptación reportados como «posibles, no concluyentes»</t>
        </is>
      </c>
      <c r="D19" s="37" t="inlineStr">
        <is>
          <t>SUSTANTIVA</t>
        </is>
      </c>
      <c r="E19" s="36" t="inlineStr">
        <is>
          <t>Verificación en campo profundizado pendiente</t>
        </is>
      </c>
    </row>
    <row r="20" ht="48" customHeight="1">
      <c r="A20" s="34" t="inlineStr">
        <is>
          <t>D-11</t>
        </is>
      </c>
      <c r="B20" s="34" t="inlineStr">
        <is>
          <t>F-DT-02</t>
        </is>
      </c>
      <c r="C20" s="34" t="inlineStr">
        <is>
          <t>Inventario georreferenciado de cárcavas pendiente pese a calificar la urgencia de control como Alta</t>
        </is>
      </c>
      <c r="D20" s="37" t="inlineStr">
        <is>
          <t>SUSTANTIVA</t>
        </is>
      </c>
      <c r="E20" s="34" t="inlineStr">
        <is>
          <t>Levantamiento prioritario</t>
        </is>
      </c>
    </row>
    <row r="21" ht="48" customHeight="1">
      <c r="A21" s="36" t="inlineStr">
        <is>
          <t>D-12</t>
        </is>
      </c>
      <c r="B21" s="36" t="inlineStr">
        <is>
          <t>F-DT-03</t>
        </is>
      </c>
      <c r="C21" s="36" t="inlineStr">
        <is>
          <t>EL ECOSISTEMA SE CLASIFICA COMO AGROECOSISTEMA/MOSAICO, no como ecosistema natural</t>
        </is>
      </c>
      <c r="D21" s="37" t="inlineStr">
        <is>
          <t>SUSTANTIVA</t>
        </is>
      </c>
      <c r="E21" s="36" t="inlineStr">
        <is>
          <t>El área efectiva de intervención debe determinarse tras el tamizaje predial</t>
        </is>
      </c>
    </row>
    <row r="22" ht="48" customHeight="1">
      <c r="A22" s="34" t="inlineStr">
        <is>
          <t>D-13</t>
        </is>
      </c>
      <c r="B22" s="34" t="inlineStr">
        <is>
          <t>F-DT-03</t>
        </is>
      </c>
      <c r="C22" s="34" t="inlineStr">
        <is>
          <t>El estrato «Suculenta/Cactácea» no tiene equivalente en la lista del formato</t>
        </is>
      </c>
      <c r="D22" s="13" t="inlineStr">
        <is>
          <t>NO SUSTANTIVA</t>
        </is>
      </c>
      <c r="E22" s="34" t="inlineStr">
        <is>
          <t>Ajustar la lista de estratos de la plantilla</t>
        </is>
      </c>
    </row>
    <row r="23" ht="48" customHeight="1">
      <c r="A23" s="36" t="inlineStr">
        <is>
          <t>D-14</t>
        </is>
      </c>
      <c r="B23" s="36" t="inlineStr">
        <is>
          <t>F-DT-03</t>
        </is>
      </c>
      <c r="C23" s="36" t="inlineStr">
        <is>
          <t>Coberturas por estrato, DAP, alturas y superficie de ecosistema sin registrar; solo 9 taxones</t>
        </is>
      </c>
      <c r="D23" s="37" t="inlineStr">
        <is>
          <t>SUSTANTIVA</t>
        </is>
      </c>
      <c r="E23" s="36" t="inlineStr">
        <is>
          <t>Inventario florístico pendiente</t>
        </is>
      </c>
    </row>
    <row r="24" ht="48" customHeight="1">
      <c r="A24" s="34" t="inlineStr">
        <is>
          <t>D-15</t>
        </is>
      </c>
      <c r="B24" s="34" t="inlineStr">
        <is>
          <t>F-DT-04</t>
        </is>
      </c>
      <c r="C24" s="34" t="inlineStr">
        <is>
          <t>Ninguno de los 8 indicadores cuantitativos fue diligenciado; intensidad, extensión y antigüedad sin cuantificar</t>
        </is>
      </c>
      <c r="D24" s="37" t="inlineStr">
        <is>
          <t>SUSTANTIVA</t>
        </is>
      </c>
      <c r="E24" s="34" t="inlineStr">
        <is>
          <t>Cuantificación pendiente</t>
        </is>
      </c>
    </row>
    <row r="25" ht="48" customHeight="1">
      <c r="A25" s="36" t="inlineStr">
        <is>
          <t>D-16</t>
        </is>
      </c>
      <c r="B25" s="36" t="inlineStr">
        <is>
          <t>F-DT-04</t>
        </is>
      </c>
      <c r="C25" s="36" t="inlineStr">
        <is>
          <t>Peligros preliminares por juicio de experto: PMM Alto, EPH Alto, PGI Medio</t>
        </is>
      </c>
      <c r="D25" s="13" t="inlineStr">
        <is>
          <t>NO SUSTANTIVA</t>
        </is>
      </c>
      <c r="E25" s="36" t="inlineStr">
        <is>
          <t>No sustituyen el Peligro Integrado por AHP</t>
        </is>
      </c>
    </row>
    <row r="26" ht="48" customHeight="1">
      <c r="A26" s="34" t="inlineStr">
        <is>
          <t>D-17</t>
        </is>
      </c>
      <c r="B26" s="34" t="inlineStr">
        <is>
          <t>F-DT-01 / F-DT-02</t>
        </is>
      </c>
      <c r="C26" s="34" t="inlineStr">
        <is>
          <t>Material parental de saprolito/grus de baja cohesión con caída de bloques confirmada y pendiente máxima 65.6%</t>
        </is>
      </c>
      <c r="D26" s="37" t="inlineStr">
        <is>
          <t>SUSTANTIVA</t>
        </is>
      </c>
      <c r="E26" s="34" t="inlineStr">
        <is>
          <t>Alta susceptibilidad a movimientos en masa: priorizar obras de estabilización complementarias</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(103 polígonos, 34.171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(34.171 ha) frente a la de catálogo V5/V6 (34.170 ha): desviación de +0.00 %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(0.5919) cae en la clase «DN 4 · 0.4976 - 0.6139 (Vigor moderado)»; la clase de mayor superficie es «DN 4 · 0.4976 - 0.6139 (Vigor moderado)», con 59.34 % del bloque. Superficie bajo el umbral 0.4976: 1.998 ha (5.85 %)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3 · SUSTANTIVA: 9</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M19B7 — IN Piura</dc:title>
  <dc:subject>Diagnóstico Territorial por bloque de intervención</dc:subject>
  <dcterms:created xsi:type="dcterms:W3CDTF">2026-09-08T03:39:53Z</dcterms:created>
  <dcterms:modified xsi:type="dcterms:W3CDTF">2026-09-09T23:30:55Z</dcterms:modified>
</cp:coreProperties>
</file>