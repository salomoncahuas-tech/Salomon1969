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M2B1</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M2B1</t>
        </is>
      </c>
      <c r="C9" s="6" t="inlineStr">
        <is>
          <t>Microcuenca (catálogo)</t>
        </is>
      </c>
      <c r="D9" s="7" t="inlineStr">
        <is>
          <t>C1076-Q9584</t>
        </is>
      </c>
      <c r="E9" s="8" t="n"/>
      <c r="F9" s="8" t="n"/>
    </row>
    <row r="10">
      <c r="A10" s="6" t="inlineStr">
        <is>
          <t>Zona de planificación</t>
        </is>
      </c>
      <c r="B10" s="7" t="inlineStr">
        <is>
          <t>Z07</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Santa Rosa de Serrán</t>
        </is>
      </c>
      <c r="C13" s="6" t="inlineStr">
        <is>
          <t>Comunidad campesina</t>
        </is>
      </c>
      <c r="D13" s="7" t="inlineStr">
        <is>
          <t>No aplica (predominio predial privado)</t>
        </is>
      </c>
      <c r="E13" s="8" t="n"/>
      <c r="F13" s="8" t="n"/>
    </row>
    <row r="14">
      <c r="A14" s="6" t="inlineStr">
        <is>
          <t>Superficie de catálogo (V5/V6), ha</t>
        </is>
      </c>
      <c r="B14" s="7" t="n">
        <v>81.79000000000001</v>
      </c>
      <c r="C14" s="6" t="inlineStr">
        <is>
          <t>Fuente de superficie</t>
        </is>
      </c>
      <c r="D14" s="7" t="inlineStr">
        <is>
          <t>Catálogo maestro Bloques V5/V6</t>
        </is>
      </c>
      <c r="E14" s="8" t="n"/>
      <c r="F14" s="8" t="n"/>
    </row>
    <row r="15">
      <c r="A15" s="6" t="inlineStr">
        <is>
          <t>Centroide UTM ESTE (m)</t>
        </is>
      </c>
      <c r="B15" s="7" t="n">
        <v>635876</v>
      </c>
      <c r="C15" s="6" t="inlineStr">
        <is>
          <t>Centroide UTM NORTE (m)</t>
        </is>
      </c>
      <c r="D15" s="7" t="n">
        <v>9397941</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235</v>
      </c>
      <c r="C19" s="6" t="inlineStr">
        <is>
          <t>Altitud máxima (msnm)</t>
        </is>
      </c>
      <c r="D19" s="7" t="n">
        <v>446</v>
      </c>
      <c r="E19" s="8" t="n"/>
      <c r="F19" s="8" t="n"/>
    </row>
    <row r="20">
      <c r="A20" s="6" t="inlineStr">
        <is>
          <t>Amplitud altitudinal (m)</t>
        </is>
      </c>
      <c r="B20" s="7" t="n">
        <v>211</v>
      </c>
      <c r="C20" s="6" t="inlineStr">
        <is>
          <t>Piso altitudinal dominante</t>
        </is>
      </c>
      <c r="D20" s="7" t="inlineStr">
        <is>
          <t>&lt;1000 m (Yunga)</t>
        </is>
      </c>
      <c r="E20" s="8" t="n"/>
      <c r="F20" s="8" t="n"/>
    </row>
    <row r="21">
      <c r="A21" s="6" t="inlineStr">
        <is>
          <t>Pendiente promedio (%)</t>
        </is>
      </c>
      <c r="B21" s="7" t="n">
        <v>17.48</v>
      </c>
      <c r="C21" s="6" t="inlineStr">
        <is>
          <t>Pendiente promedio (grados)</t>
        </is>
      </c>
      <c r="D21" s="7" t="n">
        <v>9.9</v>
      </c>
      <c r="E21" s="8" t="n"/>
      <c r="F21" s="8" t="n"/>
    </row>
    <row r="22">
      <c r="A22" s="6" t="inlineStr">
        <is>
          <t>Clase de pendiente equivalente</t>
        </is>
      </c>
      <c r="B22" s="7" t="inlineStr">
        <is>
          <t>15-25% (Fuert. inclinado)</t>
        </is>
      </c>
      <c r="C22" s="6" t="inlineStr">
        <is>
          <t>Rango de pendiente declarado en campo</t>
        </is>
      </c>
      <c r="D22" s="7" t="inlineStr">
        <is>
          <t>15-35% (según narrativa de la ficha)</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Este-Noreste (hacia el valle del río Huarmaca)</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0.2984</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(54.58 %)</t>
        </is>
      </c>
      <c r="E29" s="8" t="n"/>
      <c r="F29" s="8" t="n"/>
    </row>
    <row r="30">
      <c r="A30" s="6" t="inlineStr">
        <is>
          <t>Superficie clasificada NDVI 2025 (ha)</t>
        </is>
      </c>
      <c r="B30" s="7" t="n">
        <v>81.82299999999999</v>
      </c>
      <c r="C30" s="6" t="inlineStr">
        <is>
          <t>Desviación frente al catálogo (%)</t>
        </is>
      </c>
      <c r="D30" s="7" t="n">
        <v>0.04</v>
      </c>
      <c r="E30" s="8" t="n"/>
      <c r="F30" s="8" t="n"/>
    </row>
    <row r="31">
      <c r="A31" s="6" t="inlineStr">
        <is>
          <t>Superficie clasificada MSAVI 2024 (ha)</t>
        </is>
      </c>
      <c r="B31" s="39" t="n">
        <v>81.795</v>
      </c>
      <c r="C31" s="6" t="inlineStr">
        <is>
          <t>Desviación MSAVI frente al catálogo (%)</t>
        </is>
      </c>
      <c r="D31" s="40" t="n">
        <v>0.01</v>
      </c>
      <c r="E31" s="8" t="n"/>
      <c r="F31" s="8" t="n"/>
    </row>
    <row r="32">
      <c r="A32" s="6" t="inlineStr">
        <is>
          <t>Superficie bajo umbral MSAVI 0.4976 (ha)</t>
        </is>
      </c>
      <c r="B32" s="39" t="n">
        <v>81.795</v>
      </c>
      <c r="C32" s="6" t="inlineStr">
        <is>
          <t>% del bloque bajo umbral (brecha espectral)</t>
        </is>
      </c>
      <c r="D32" s="40" t="n">
        <v>100</v>
      </c>
      <c r="E32" s="8" t="n"/>
      <c r="F32" s="8" t="n"/>
    </row>
    <row r="33">
      <c r="A33" s="6" t="inlineStr">
        <is>
          <t>Clase DN dominante (MSAVI 2024)</t>
        </is>
      </c>
      <c r="B33" s="7" t="inlineStr">
        <is>
          <t>DN 2 · 0.2650 - 0.3813 (Vigor muy bajo)</t>
        </is>
      </c>
      <c r="C33" s="6" t="inlineStr">
        <is>
          <t>N.° de polígonos MSAVI del bloque</t>
        </is>
      </c>
      <c r="D33" s="41" t="n">
        <v>255</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81.79 ha (100% del bloque)</t>
        </is>
      </c>
      <c r="E36" s="8" t="n"/>
      <c r="F36" s="8" t="n"/>
    </row>
    <row r="37">
      <c r="A37" s="6" t="inlineStr">
        <is>
          <t>Estado de conservación</t>
        </is>
      </c>
      <c r="B37" s="7" t="inlineStr">
        <is>
          <t>Alterado (intervención marcada)</t>
        </is>
      </c>
      <c r="C37" s="6" t="inlineStr">
        <is>
          <t>Uso actual dominante del suelo</t>
        </is>
      </c>
      <c r="D37" s="7" t="inlineStr">
        <is>
          <t>Pastoreo extensivo</t>
        </is>
      </c>
      <c r="E37" s="8" t="n"/>
      <c r="F37" s="8" t="n"/>
    </row>
    <row r="38">
      <c r="A38" s="6" t="inlineStr">
        <is>
          <t>Tipo de cobertura dominante</t>
        </is>
      </c>
      <c r="B38" s="7" t="inlineStr">
        <is>
          <t>Matorral ralo</t>
        </is>
      </c>
      <c r="C38" s="6" t="inlineStr">
        <is>
          <t>Cobertura vegetal total — campo (%)</t>
        </is>
      </c>
      <c r="D38" s="7" t="n">
        <v>55</v>
      </c>
      <c r="E38" s="8" t="n"/>
      <c r="F38" s="8" t="n"/>
    </row>
    <row r="39">
      <c r="A39" s="6" t="inlineStr">
        <is>
          <t>Suelo desnudo — campo (%)</t>
        </is>
      </c>
      <c r="B39" s="7" t="n">
        <v>40</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4</v>
      </c>
      <c r="E40" s="8" t="n"/>
      <c r="F40" s="8" t="n"/>
    </row>
    <row r="41">
      <c r="A41" s="6" t="inlineStr">
        <is>
          <t>Elenco florístico (n.° de taxones)</t>
        </is>
      </c>
      <c r="B41" s="7" t="n">
        <v>11</v>
      </c>
      <c r="C41" s="6" t="inlineStr">
        <is>
          <t>Estado sanitario</t>
        </is>
      </c>
      <c r="D41" s="7" t="inlineStr">
        <is>
          <t>Sin registro en ficha</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2026-05-19</t>
        </is>
      </c>
      <c r="E44" s="8" t="n"/>
      <c r="F44" s="8" t="n"/>
    </row>
    <row r="45">
      <c r="A45" s="6" t="inlineStr">
        <is>
          <t>Hora de registro</t>
        </is>
      </c>
      <c r="B45" s="7" t="inlineStr">
        <is>
          <t>08:45 h</t>
        </is>
      </c>
      <c r="C45" s="6" t="inlineStr">
        <is>
          <t>Correlativo de ficha</t>
        </is>
      </c>
      <c r="D45" s="7" t="inlineStr">
        <is>
          <t>F-DT-M2B1-01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Pobreza rural + ausencia de planes de manejo del ecosistema + débil control territorial municipal frente a la habilitación urbana</t>
        </is>
      </c>
      <c r="C51" s="6" t="inlineStr">
        <is>
          <t>Velocidad de degradación</t>
        </is>
      </c>
      <c r="D51" s="7" t="inlineStr">
        <is>
          <t>Moderada (implícita)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M2B1</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0.0</v>
      </c>
      <c r="D10" s="11" t="inlineStr">
        <is>
          <t>Vigor alto</t>
        </is>
      </c>
      <c r="E10" s="11" t="inlineStr">
        <is>
          <t>Sobre umbral</t>
        </is>
      </c>
    </row>
    <row r="11">
      <c r="A11" s="12" t="inlineStr">
        <is>
          <t>0.4976 - 0.6139 · DN 4</t>
        </is>
      </c>
      <c r="B11" s="20" t="n">
        <v>0</v>
      </c>
      <c r="C11" s="21">
        <f>ROUND(B11/$B$15*100,2)</f>
        <v>0.0</v>
      </c>
      <c r="D11" s="13" t="inlineStr">
        <is>
          <t>Vigor moderado</t>
        </is>
      </c>
      <c r="E11" s="13" t="inlineStr">
        <is>
          <t>Sobre umbral</t>
        </is>
      </c>
    </row>
    <row r="12">
      <c r="A12" s="7" t="inlineStr">
        <is>
          <t>0.3813 - 0.4976 · DN 3</t>
        </is>
      </c>
      <c r="B12" s="18" t="n">
        <v>3.4644</v>
      </c>
      <c r="C12" s="19">
        <f>ROUND(B12/$B$15*100,2)</f>
        <v>4.24</v>
      </c>
      <c r="D12" s="11" t="inlineStr">
        <is>
          <t>Vigor bajo</t>
        </is>
      </c>
      <c r="E12" s="11" t="inlineStr">
        <is>
          <t>BAJO umbral 0.4976</t>
        </is>
      </c>
    </row>
    <row r="13">
      <c r="A13" s="14" t="inlineStr">
        <is>
          <t>0.2650 - 0.3813 · DN 2</t>
        </is>
      </c>
      <c r="B13" s="32" t="n">
        <v>56.1201</v>
      </c>
      <c r="C13" s="31">
        <f>ROUND(B13/$B$15*100,2)</f>
        <v>68.61</v>
      </c>
      <c r="D13" s="15" t="inlineStr">
        <is>
          <t>Vigor muy bajo</t>
        </is>
      </c>
      <c r="E13" s="15" t="inlineStr">
        <is>
          <t>BAJO umbral 0.4976</t>
        </is>
      </c>
    </row>
    <row r="14">
      <c r="A14" s="7" t="inlineStr">
        <is>
          <t>&lt;= 0.2650 · DN 1</t>
        </is>
      </c>
      <c r="B14" s="18" t="n">
        <v>22.2104</v>
      </c>
      <c r="C14" s="19">
        <f>ROUND(B14/$B$15*100,2)</f>
        <v>27.15</v>
      </c>
      <c r="D14" s="11" t="inlineStr">
        <is>
          <t>Suelo desnudo / no vegetal</t>
        </is>
      </c>
      <c r="E14" s="11" t="inlineStr">
        <is>
          <t>BAJO umbral 0.4976</t>
        </is>
      </c>
    </row>
    <row r="15" ht="30" customHeight="1">
      <c r="A15" s="44" t="inlineStr">
        <is>
          <t>TOTAL CLASIFICADO MSAVI 2024</t>
        </is>
      </c>
      <c r="B15" s="45">
        <f>SUM(B10:B14)</f>
        <v>81.7949</v>
      </c>
      <c r="C15" s="46">
        <f>SUM(C10:C14)</f>
        <v>100.0</v>
      </c>
      <c r="D15" s="44" t="inlineStr">
        <is>
          <t>Suma de la distribución areal · 255 polígonos</t>
        </is>
      </c>
      <c r="E15" s="44" t="inlineStr">
        <is>
          <t>—</t>
        </is>
      </c>
    </row>
    <row r="16" ht="30" customHeight="1">
      <c r="A16" s="47" t="inlineStr">
        <is>
          <t>Superficie SOBRE umbral 0.4976 (ha)</t>
        </is>
      </c>
      <c r="B16" s="48">
        <f>SUM(B10:B11)</f>
        <v>0.0</v>
      </c>
      <c r="C16" s="49">
        <f>ROUND(B16/B15*100,2)</f>
        <v>0.0</v>
      </c>
      <c r="D16" s="47" t="inlineStr">
        <is>
          <t>Vigor alto y moderado (DN 4 y DN 5)</t>
        </is>
      </c>
      <c r="E16" s="47" t="inlineStr">
        <is>
          <t>Sobre umbral 0.4976</t>
        </is>
      </c>
    </row>
    <row r="17" ht="30" customHeight="1">
      <c r="A17" s="47" t="inlineStr">
        <is>
          <t>Superficie BAJO umbral 0.4976 (ha) — brecha</t>
        </is>
      </c>
      <c r="B17" s="48">
        <f>SUM(B12:B14)</f>
        <v>81.7949</v>
      </c>
      <c r="C17" s="49">
        <f>ROUND(B17/B15*100,2)</f>
        <v>100.0</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81.79000000000001</v>
      </c>
      <c r="C18" s="50" t="inlineStr">
        <is>
          <t>—</t>
        </is>
      </c>
      <c r="D18" s="47" t="inlineStr">
        <is>
          <t>Desviación planimétrica frente al catálogo</t>
        </is>
      </c>
      <c r="E18" s="47" t="inlineStr">
        <is>
          <t>+0.01 %</t>
        </is>
      </c>
    </row>
    <row r="19">
      <c r="A19" s="16" t="inlineStr">
        <is>
          <t>MSAVI 2024 — MEDIA DEL BLOQUE</t>
        </is>
      </c>
      <c r="B19" s="17" t="n">
        <v>0.29836</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255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(0.2984)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0.0297</v>
      </c>
      <c r="C25" s="19" t="n">
        <v>0.04</v>
      </c>
      <c r="D25" s="11" t="inlineStr">
        <is>
          <t>Dosel continuo, matorral denso o mosaico agroforestal</t>
        </is>
      </c>
      <c r="E25" s="11" t="inlineStr"/>
    </row>
    <row r="26">
      <c r="A26" s="12" t="inlineStr">
        <is>
          <t>Vegetación mediana</t>
        </is>
      </c>
      <c r="B26" s="20" t="n">
        <v>36.9266</v>
      </c>
      <c r="C26" s="21" t="n">
        <v>45.13</v>
      </c>
      <c r="D26" s="13" t="inlineStr">
        <is>
          <t>Pastizal cultivado, matorral ralo, parcelas agrícolas</t>
        </is>
      </c>
      <c r="E26" s="13" t="inlineStr"/>
    </row>
    <row r="27">
      <c r="A27" s="7" t="inlineStr">
        <is>
          <t>Vegetación ligera</t>
        </is>
      </c>
      <c r="B27" s="18" t="n">
        <v>44.6572</v>
      </c>
      <c r="C27" s="19" t="n">
        <v>54.58</v>
      </c>
      <c r="D27" s="11" t="inlineStr">
        <is>
          <t>Cobertura discontinua, suelo parcialmente expuesto</t>
        </is>
      </c>
      <c r="E27" s="11" t="inlineStr"/>
    </row>
    <row r="28">
      <c r="A28" s="12" t="inlineStr">
        <is>
          <t>Tierra desnuda</t>
        </is>
      </c>
      <c r="B28" s="20" t="n">
        <v>0.2094</v>
      </c>
      <c r="C28" s="21" t="n">
        <v>0.26</v>
      </c>
      <c r="D28" s="13" t="inlineStr">
        <is>
          <t>Suelo desnudo, afloramientos, plataformas y taludes</t>
        </is>
      </c>
      <c r="E28" s="13" t="inlineStr"/>
    </row>
    <row r="29">
      <c r="A29" s="16" t="inlineStr">
        <is>
          <t>TOTAL CLASIFICADO</t>
        </is>
      </c>
      <c r="B29" s="22">
        <f>SUM(B25:B28)</f>
        <v>81.8229</v>
      </c>
      <c r="C29" s="23">
        <f>SUM(C25:C28)</f>
        <v>100.01</v>
      </c>
      <c r="D29" s="17" t="inlineStr"/>
      <c r="E29" s="17" t="inlineStr"/>
    </row>
    <row r="30">
      <c r="A30" s="24" t="inlineStr">
        <is>
          <t>Superficie de catálogo (V5/V6)</t>
        </is>
      </c>
      <c r="B30" s="25" t="n">
        <v>81.79000000000001</v>
      </c>
      <c r="C30" s="25" t="inlineStr">
        <is>
          <t>—</t>
        </is>
      </c>
      <c r="D30" s="25" t="inlineStr">
        <is>
          <t>Desviación planimétrica frente al catálogo</t>
        </is>
      </c>
      <c r="E30" s="25" t="inlineStr">
        <is>
          <t>+0.04 %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55 % frente a un 0.04 % del polígono clasificado como «Vegetación alta» por el NDVI 2025; la observación de campo corresponde a una parcela o recorrido puntual y no es estadísticamente representativa de las 81.790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5"/>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M2B1</t>
        </is>
      </c>
    </row>
    <row r="6" ht="24" customHeight="1">
      <c r="A6" s="4" t="inlineStr">
        <is>
          <t>Levantamiento del 2026-05-19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636128</v>
      </c>
      <c r="D10" s="26" t="n">
        <v>9398519</v>
      </c>
      <c r="E10" s="11" t="n">
        <v>630.5</v>
      </c>
      <c r="F10" s="11" t="inlineStr"/>
      <c r="G10" s="11" t="inlineStr">
        <is>
          <t>Coordenada consignada en F-DT-01</t>
        </is>
      </c>
    </row>
    <row r="11">
      <c r="A11" s="12" t="inlineStr">
        <is>
          <t>C-01</t>
        </is>
      </c>
      <c r="B11" s="13" t="inlineStr">
        <is>
          <t>Rasgo erosivo — Surco (&lt;30 cm) — 55 m, 0.25 m prof., 0.45 m ancho</t>
        </is>
      </c>
      <c r="C11" s="27" t="n">
        <v>636120</v>
      </c>
      <c r="D11" s="27" t="n">
        <v>9398525</v>
      </c>
      <c r="E11" s="13" t="n">
        <v>632.9</v>
      </c>
      <c r="F11" s="13" t="inlineStr">
        <is>
          <t>Activa</t>
        </is>
      </c>
      <c r="G11" s="13" t="inlineStr">
        <is>
          <t>Sobrepastoreo</t>
        </is>
      </c>
    </row>
    <row r="12">
      <c r="A12" s="7" t="inlineStr">
        <is>
          <t>C-02</t>
        </is>
      </c>
      <c r="B12" s="11" t="inlineStr">
        <is>
          <t>Rasgo erosivo — Cárcava incipiente — 75 m, 0.6 m prof., 1.2 m ancho</t>
        </is>
      </c>
      <c r="C12" s="26" t="n">
        <v>636160</v>
      </c>
      <c r="D12" s="26" t="n">
        <v>9398550</v>
      </c>
      <c r="E12" s="11" t="n">
        <v>672</v>
      </c>
      <c r="F12" s="11" t="inlineStr">
        <is>
          <t>Activa</t>
        </is>
      </c>
      <c r="G12" s="11" t="inlineStr">
        <is>
          <t>Sobrepastoreo</t>
        </is>
      </c>
    </row>
    <row r="13">
      <c r="A13" s="12" t="inlineStr">
        <is>
          <t>C-03</t>
        </is>
      </c>
      <c r="B13" s="13" t="inlineStr">
        <is>
          <t>Rasgo erosivo — Surco (&lt;30 cm) — 65 m, 0.9 m prof., 2.1 m ancho</t>
        </is>
      </c>
      <c r="C13" s="27" t="n">
        <v>636079</v>
      </c>
      <c r="D13" s="27" t="n">
        <v>9399152</v>
      </c>
      <c r="E13" s="13" t="n">
        <v>1227.9</v>
      </c>
      <c r="F13" s="13" t="inlineStr">
        <is>
          <t>Activa</t>
        </is>
      </c>
      <c r="G13" s="13" t="inlineStr">
        <is>
          <t>Concentración natural de escorrentía</t>
        </is>
      </c>
    </row>
    <row r="14">
      <c r="A14" s="7" t="inlineStr">
        <is>
          <t>C-04</t>
        </is>
      </c>
      <c r="B14" s="11" t="inlineStr">
        <is>
          <t>Rasgo erosivo — Cárcava incipiente — 40 m, 0.2 m prof., 0.35 m ancho</t>
        </is>
      </c>
      <c r="C14" s="26" t="n">
        <v>636316</v>
      </c>
      <c r="D14" s="26" t="n">
        <v>9398321</v>
      </c>
      <c r="E14" s="11" t="n">
        <v>581.4</v>
      </c>
      <c r="F14" s="11" t="inlineStr">
        <is>
          <t>Activa</t>
        </is>
      </c>
      <c r="G14" s="11" t="inlineStr">
        <is>
          <t>Otro</t>
        </is>
      </c>
    </row>
    <row r="15">
      <c r="A15" s="12" t="inlineStr">
        <is>
          <t>H-01</t>
        </is>
      </c>
      <c r="B15" s="13" t="inlineStr">
        <is>
          <t>Fuente de agua — Río</t>
        </is>
      </c>
      <c r="C15" s="27" t="n">
        <v>636500</v>
      </c>
      <c r="D15" s="27" t="n">
        <v>9398100</v>
      </c>
      <c r="E15" s="13" t="n">
        <v>643.9</v>
      </c>
      <c r="F15" s="13" t="inlineStr">
        <is>
          <t>Permanente</t>
        </is>
      </c>
      <c r="G15" s="13" t="inlineStr">
        <is>
          <t>Río Huarmaca — colindante</t>
        </is>
      </c>
    </row>
    <row r="16">
      <c r="A16" s="7" t="inlineStr">
        <is>
          <t>H-02</t>
        </is>
      </c>
      <c r="B16" s="11" t="inlineStr">
        <is>
          <t>Fuente de agua — Quebrada estacional</t>
        </is>
      </c>
      <c r="C16" s="26" t="n">
        <v>636120</v>
      </c>
      <c r="D16" s="26" t="n">
        <v>9398525</v>
      </c>
      <c r="E16" s="11" t="n">
        <v>632.9</v>
      </c>
      <c r="F16" s="11" t="inlineStr">
        <is>
          <t>Estacional</t>
        </is>
      </c>
      <c r="G16" s="11" t="inlineStr">
        <is>
          <t>Quebrada interna sin nombre</t>
        </is>
      </c>
    </row>
    <row r="17">
      <c r="A17" s="12" t="inlineStr">
        <is>
          <t>H-03</t>
        </is>
      </c>
      <c r="B17" s="13" t="inlineStr">
        <is>
          <t>Fuente de agua — Quebrada estacional</t>
        </is>
      </c>
      <c r="C17" s="27" t="n">
        <v>636045</v>
      </c>
      <c r="D17" s="27" t="n">
        <v>9399100</v>
      </c>
      <c r="E17" s="13" t="n">
        <v>1171.3</v>
      </c>
      <c r="F17" s="13" t="inlineStr">
        <is>
          <t>Estacional</t>
        </is>
      </c>
      <c r="G17" s="13" t="inlineStr">
        <is>
          <t>Quebrada N — desemboca en el CP Serrán</t>
        </is>
      </c>
    </row>
    <row r="18">
      <c r="A18" s="7" t="inlineStr">
        <is>
          <t>H-04</t>
        </is>
      </c>
      <c r="B18" s="11" t="inlineStr">
        <is>
          <t>Fuente de agua — Reservorio / Represa</t>
        </is>
      </c>
      <c r="C18" s="26" t="n">
        <v>636151</v>
      </c>
      <c r="D18" s="26" t="n">
        <v>9398547</v>
      </c>
      <c r="E18" s="11" t="n">
        <v>665.5</v>
      </c>
      <c r="F18" s="11" t="inlineStr">
        <is>
          <t>Permanente</t>
        </is>
      </c>
      <c r="G18" s="11" t="inlineStr">
        <is>
          <t>Reservorio JASS Serrán (cota 285 msnm)</t>
        </is>
      </c>
    </row>
    <row r="19">
      <c r="A19" s="12" t="inlineStr">
        <is>
          <t>H-05</t>
        </is>
      </c>
      <c r="B19" s="13" t="inlineStr">
        <is>
          <t>Fuente de agua — Quebrada Garabo</t>
        </is>
      </c>
      <c r="C19" s="27" t="n">
        <v>636150</v>
      </c>
      <c r="D19" s="27" t="n">
        <v>9396800</v>
      </c>
      <c r="E19" s="13" t="n">
        <v>1173.4</v>
      </c>
      <c r="F19" s="13" t="inlineStr">
        <is>
          <t>Permanente</t>
        </is>
      </c>
      <c r="G19" s="13" t="inlineStr">
        <is>
          <t>Quebrada Garabo al sur; riesgo de huaicos</t>
        </is>
      </c>
    </row>
    <row r="20">
      <c r="A20" s="16" t="inlineStr">
        <is>
          <t>TOTAL: 10 puntos</t>
        </is>
      </c>
      <c r="B20" s="17" t="inlineStr"/>
      <c r="C20" s="17" t="inlineStr"/>
      <c r="D20" s="17" t="inlineStr"/>
      <c r="E20" s="17" t="inlineStr"/>
      <c r="F20" s="17" t="inlineStr"/>
      <c r="G20" s="17" t="inlineStr"/>
    </row>
    <row r="21"/>
    <row r="22">
      <c r="A22" s="6" t="inlineStr">
        <is>
          <t>Centroide del bloque — UTM ESTE (m)</t>
        </is>
      </c>
      <c r="B22" s="7" t="n">
        <v>635876</v>
      </c>
      <c r="C22" s="6" t="inlineStr">
        <is>
          <t>Centroide del bloque — UTM NORTE (m)</t>
        </is>
      </c>
      <c r="D22" s="7" t="n">
        <v>9397941</v>
      </c>
      <c r="E22" s="8" t="n"/>
      <c r="F22" s="8" t="n"/>
      <c r="G22" s="8" t="n"/>
      <c r="H22" s="8" t="n"/>
    </row>
    <row r="23">
      <c r="A23" s="6" t="inlineStr">
        <is>
          <t>N.° de estaciones fotográficas declaradas</t>
        </is>
      </c>
      <c r="B23" s="7" t="n">
        <v>0</v>
      </c>
      <c r="C23" s="6" t="inlineStr">
        <is>
          <t>Estaciones dentro del polígono</t>
        </is>
      </c>
      <c r="D23" s="7" t="n">
        <v>0</v>
      </c>
      <c r="E23" s="8" t="n"/>
      <c r="F23" s="8" t="n"/>
      <c r="G23" s="8" t="n"/>
      <c r="H23" s="8" t="n"/>
    </row>
    <row r="24"/>
    <row r="25" ht="132" customHeight="1">
      <c r="A25"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Fisiografía característica de borde de cuenca seca interandina: colinas bajas de pendiente moderada a fuerte (15-35%), expuestas al sector E-NE hacia el valle del río Huarmaca. LITOLOGÍA: pizarras y lutitas grises a rojizas FUERTEMENTE METEORIZADAS (Grupo Salas / Complejo del Marañón) con fragmentos angulosos sueltos. No se observaron deslizamientos activos durante la visita; sin embargo, LA SUSCEPTIBILIDAD A MOVIMIENTOS SOMEROS Y FLUJOS DE DETRITOS DURANTE EVENTOS EXTREMOS ASOCIADOS AL FEN COSTERO ES ALTA, evidenciada por terracillas de pisoteo, escarpes incipientes y por el depósito grueso del cauce activo del río Huarmaca colindante.</t>
        </is>
      </c>
      <c r="B25" s="42" t="n"/>
      <c r="C25" s="42" t="n"/>
      <c r="D25" s="42" t="n"/>
      <c r="E25" s="42" t="n"/>
      <c r="F25" s="42" t="n"/>
      <c r="G25" s="43" t="n"/>
    </row>
  </sheetData>
  <mergeCells count="8">
    <mergeCell ref="A1:G1"/>
    <mergeCell ref="A8:G8"/>
    <mergeCell ref="A3:G3"/>
    <mergeCell ref="A6:G6"/>
    <mergeCell ref="A4:G4"/>
    <mergeCell ref="A2:G2"/>
    <mergeCell ref="A25:G25"/>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M2B1</t>
        </is>
      </c>
    </row>
    <row r="6" ht="24" customHeight="1">
      <c r="A6" s="4" t="inlineStr">
        <is>
          <t>Distrito de Salitral · Provincia de Morropon · Comparación de los bloques preliminares de intervención de la misma microcuenca</t>
        </is>
      </c>
    </row>
    <row r="7"/>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t>
        </is>
      </c>
      <c r="B10" s="28" t="n">
        <v>1370.96</v>
      </c>
      <c r="C10" s="19" t="n">
        <v>77.31999999999999</v>
      </c>
      <c r="D10" s="11" t="inlineStr">
        <is>
          <t>291 – 1204</t>
        </is>
      </c>
      <c r="E10" s="11" t="n">
        <v>913</v>
      </c>
      <c r="F10" s="11" t="n">
        <v>21.39</v>
      </c>
      <c r="G10" s="18" t="n">
        <v>0.4545</v>
      </c>
      <c r="H10" s="19" t="inlineStr">
        <is>
          <t>Por determinar</t>
        </is>
      </c>
      <c r="I10" s="11" t="inlineStr">
        <is>
          <t>s/d</t>
        </is>
      </c>
    </row>
    <row r="11">
      <c r="A11" s="12" t="inlineStr">
        <is>
          <t>7</t>
        </is>
      </c>
      <c r="B11" s="29" t="n">
        <v>173.43</v>
      </c>
      <c r="C11" s="21" t="n">
        <v>9.779999999999999</v>
      </c>
      <c r="D11" s="13" t="inlineStr">
        <is>
          <t>257 – 577</t>
        </is>
      </c>
      <c r="E11" s="13" t="n">
        <v>320</v>
      </c>
      <c r="F11" s="13" t="n">
        <v>18.59</v>
      </c>
      <c r="G11" s="20" t="n">
        <v>0.3753</v>
      </c>
      <c r="H11" s="21" t="inlineStr">
        <is>
          <t>Por determinar</t>
        </is>
      </c>
      <c r="I11" s="13" t="inlineStr">
        <is>
          <t>s/d</t>
        </is>
      </c>
    </row>
    <row r="12">
      <c r="A12" s="7" t="inlineStr">
        <is>
          <t>M2B8</t>
        </is>
      </c>
      <c r="B12" s="28" t="n">
        <v>116.1</v>
      </c>
      <c r="C12" s="19" t="n">
        <v>6.55</v>
      </c>
      <c r="D12" s="11" t="inlineStr">
        <is>
          <t>244 – 673</t>
        </is>
      </c>
      <c r="E12" s="11" t="n">
        <v>429</v>
      </c>
      <c r="F12" s="11" t="n">
        <v>19.24</v>
      </c>
      <c r="G12" s="18" t="n">
        <v>0.3752</v>
      </c>
      <c r="H12" s="19" t="n">
        <v>16.64</v>
      </c>
      <c r="I12" s="19" t="n">
        <v>92.31</v>
      </c>
    </row>
    <row r="13">
      <c r="A13" s="14" t="inlineStr">
        <is>
          <t>► M2B1</t>
        </is>
      </c>
      <c r="B13" s="30" t="n">
        <v>81.79000000000001</v>
      </c>
      <c r="C13" s="31" t="n">
        <v>4.61</v>
      </c>
      <c r="D13" s="15" t="inlineStr">
        <is>
          <t>235 – 446</t>
        </is>
      </c>
      <c r="E13" s="15" t="n">
        <v>211</v>
      </c>
      <c r="F13" s="15" t="n">
        <v>17.48</v>
      </c>
      <c r="G13" s="32" t="n">
        <v>0.2984</v>
      </c>
      <c r="H13" s="31" t="n">
        <v>0.04</v>
      </c>
      <c r="I13" s="31" t="n">
        <v>100</v>
      </c>
    </row>
    <row r="14">
      <c r="A14" s="7" t="inlineStr">
        <is>
          <t>M2B5</t>
        </is>
      </c>
      <c r="B14" s="28" t="n">
        <v>30.91</v>
      </c>
      <c r="C14" s="19" t="n">
        <v>1.74</v>
      </c>
      <c r="D14" s="11" t="inlineStr">
        <is>
          <t>68 – 322</t>
        </is>
      </c>
      <c r="E14" s="11" t="n">
        <v>254</v>
      </c>
      <c r="F14" s="11" t="n">
        <v>8.32</v>
      </c>
      <c r="G14" s="18" t="n">
        <v>0.3047</v>
      </c>
      <c r="H14" s="19" t="n">
        <v>5.14</v>
      </c>
      <c r="I14" s="19" t="n">
        <v>99.03</v>
      </c>
    </row>
    <row r="15">
      <c r="A15" s="16" t="inlineStr">
        <is>
          <t>TOTAL / PROMEDIO</t>
        </is>
      </c>
      <c r="B15" s="33">
        <f>SUM(B10:B14)</f>
        <v>1773.19</v>
      </c>
      <c r="C15" s="23">
        <f>SUM(C10:C14)</f>
        <v>100.0</v>
      </c>
      <c r="D15" s="17" t="inlineStr">
        <is>
          <t>68 – 1204</t>
        </is>
      </c>
      <c r="E15" s="17" t="inlineStr"/>
      <c r="F15" s="17">
        <f>ROUND(AVERAGE(F10:F14),2)</f>
        <v>17.0</v>
      </c>
      <c r="G15" s="22">
        <f>ROUND(AVERAGE(G10:G14),4)</f>
        <v>0.3616</v>
      </c>
      <c r="H15" s="23">
        <f>ROUND(AVERAGE(H10:H14),2)</f>
        <v>7.27</v>
      </c>
      <c r="I15" s="23">
        <f>ROUND(AVERAGE(I10:I14),2)</f>
        <v>97.11</v>
      </c>
    </row>
    <row r="16" ht="48" customHeight="1">
      <c r="A16" s="9" t="inlineStr">
        <is>
          <t>ALCANCE DE LOS PROMEDIOS. La fila TOTAL / PROMEDIO omite las celdas «Por determinar»: el promedio de VEGETACIÓN ALTA (NDVI 2025) se calcula sobre 3 de los 5 bloques; los 2 bloques restantes carecen de estadística zonal de NDVI. Los totales de ÁREA y % de microcuenca sí comprenden la totalidad de los 5 bloques. No se estima ningún valor ausente.</t>
        </is>
      </c>
      <c r="B16" s="42" t="n"/>
      <c r="C16" s="42" t="n"/>
      <c r="D16" s="42" t="n"/>
      <c r="E16" s="42" t="n"/>
      <c r="F16" s="42" t="n"/>
      <c r="G16" s="42" t="n"/>
      <c r="H16" s="43" t="n"/>
    </row>
    <row r="17"/>
    <row r="18" ht="84" customHeight="1">
      <c r="A18" s="9" t="inlineStr">
        <is>
          <t>LECTURA INTRAMICROCUENCA. El bloque M2B1 ocupa el puesto 4 de 5 por superficie dentro de la microcuenca C1076-Q9584 (4.61 % de las 1773.19 ha preliminares de la microcuenca). Su pendiente promedio (17.48 %, clase «15-25% (Fuert. inclinado)») es la 2.ª más baja de 5 y se sitúa por encima del promedio de la microcuenca (17.00 %). Su MSAVI 2024 (0.2984) es el 5.º de 5 y queda por debajo del promedio local (0.3616). Amplitud altitudinal del bloque: 211 m (235–446 msnm). El cuadro conserva todos los bloques catalogados en la microcuenca, incluidos los descartados en el tamizaje, para referencia del conjunto. Los bloques sin ficha DT figuran con sus parámetros de gabinete. BRECHA ESPECTRAL. El 100.00 % de la superficie del bloque (81.795 ha de 81.795 ha) se sitúa bajo el umbral MSAVI 0.4976, por encima del promedio local de la microcuenca (97.12 %) calculado sobre los bloques con dato MSAVI disponible.</t>
        </is>
      </c>
      <c r="B18" s="42" t="n"/>
      <c r="C18" s="42" t="n"/>
      <c r="D18" s="42" t="n"/>
      <c r="E18" s="42" t="n"/>
      <c r="F18" s="42" t="n"/>
      <c r="G18" s="42" t="n"/>
      <c r="H18" s="43" t="n"/>
    </row>
    <row r="19"/>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2" t="n"/>
      <c r="C20" s="42" t="n"/>
      <c r="D20" s="42" t="n"/>
      <c r="E20" s="42" t="n"/>
      <c r="F20" s="42" t="n"/>
      <c r="G20" s="42" t="n"/>
      <c r="H20" s="43" t="n"/>
    </row>
  </sheetData>
  <mergeCells count="10">
    <mergeCell ref="A18:I18"/>
    <mergeCell ref="A4:I4"/>
    <mergeCell ref="A1:I1"/>
    <mergeCell ref="A3:I3"/>
    <mergeCell ref="A20:I20"/>
    <mergeCell ref="A2:I2"/>
    <mergeCell ref="A16:I16"/>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M2B1</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630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(81.823 ha) coincide con la de catálogo (81.79 ha) dentro del ±2 % (+0.04 %)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«15-35% (según narrativa de la ficha)»; la estadística zonal sobre el MDE arroja una pendiente promedio de 17.48 %, que corresponde a la clase «15-25% (Fuert.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55 % de cobertura vegetal en campo; el NDVI mediana 2025 clasifica 99.75 %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Elenco florístico</t>
        </is>
      </c>
      <c r="C15" s="36" t="inlineStr">
        <is>
          <t>La ficha registra 11 taxones, por debajo del mínimo de 15 que exige el formato V5</t>
        </is>
      </c>
      <c r="D15" s="37" t="inlineStr">
        <is>
          <t>SUSTANTIVA</t>
        </is>
      </c>
      <c r="E15" s="36" t="inlineStr">
        <is>
          <t>Registro florístico preliminar, sin colecta ni determinación botánica formal. Debe cerrarse con colecta botánica en la siguiente campaña.</t>
        </is>
      </c>
    </row>
    <row r="16" ht="48" customHeight="1">
      <c r="A16" s="34" t="inlineStr">
        <is>
          <t>D-07</t>
        </is>
      </c>
      <c r="B16" s="34" t="inlineStr">
        <is>
          <t>Representatividad del levantamiento</t>
        </is>
      </c>
      <c r="C16" s="34" t="inlineStr">
        <is>
          <t>Ninguna de las estaciones fotográficas georreferenciadas se localiza dentro del polígono del bloque</t>
        </is>
      </c>
      <c r="D16" s="37" t="inlineStr">
        <is>
          <t>SUSTANTIVA</t>
        </is>
      </c>
      <c r="E16" s="34" t="inlineStr">
        <is>
          <t>La verificación documenta el perímetro y la vista panorámica del bloque, no su interior. Los parámetros que exigen recorrido interno se consignan «Por determinar».</t>
        </is>
      </c>
    </row>
    <row r="17" ht="48" customHeight="1">
      <c r="A17" s="36" t="inlineStr">
        <is>
          <t>D-08</t>
        </is>
      </c>
      <c r="B17" s="36" t="inlineStr">
        <is>
          <t>Centro poblado asociado</t>
        </is>
      </c>
      <c r="C17" s="36" t="inlineStr">
        <is>
          <t>La ficha DT declara «Santa Rosa de Serrán»; el cruce INEI-Bloques V5 identifica 1 centro(s) poblado(s) en el bloque: SANTA ROSA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6" t="inlineStr">
        <is>
          <t>D-10</t>
        </is>
      </c>
      <c r="B19" s="36" t="inlineStr">
        <is>
          <t>Plan de Ingreso</t>
        </is>
      </c>
      <c r="C19" s="36" t="inlineStr">
        <is>
          <t>Altitud = 0 msnm (captura por defecto del aplicativo)</t>
        </is>
      </c>
      <c r="D19" s="38" t="inlineStr">
        <is>
          <t>CORREGIDO</t>
        </is>
      </c>
      <c r="E19" s="36" t="inlineStr">
        <is>
          <t>Se reemplaza por la altitud GPS de campo (290 msnm)</t>
        </is>
      </c>
    </row>
    <row r="20" ht="48" customHeight="1">
      <c r="A20" s="34" t="inlineStr">
        <is>
          <t>D-11</t>
        </is>
      </c>
      <c r="B20" s="34" t="inlineStr">
        <is>
          <t>F-DT-01</t>
        </is>
      </c>
      <c r="C20" s="34" t="inlineStr">
        <is>
          <t>Rango de pendiente no consignado en el campo de lista; la narrativa declara 15-35%</t>
        </is>
      </c>
      <c r="D20" s="15" t="inlineStr">
        <is>
          <t>NO SUSTANTIVA</t>
        </is>
      </c>
      <c r="E20" s="34" t="inlineStr">
        <is>
          <t>Completar el campo con la clase correspondiente</t>
        </is>
      </c>
    </row>
    <row r="21" ht="48" customHeight="1">
      <c r="A21" s="36" t="inlineStr">
        <is>
          <t>D-12</t>
        </is>
      </c>
      <c r="B21" s="36" t="inlineStr">
        <is>
          <t>F-DT-02</t>
        </is>
      </c>
      <c r="C21" s="36" t="inlineStr">
        <is>
          <t>C-03 se rotula «Surco (&lt;30 cm)» pero declara 0.9 m de profundidad y 2.1 m de ancho</t>
        </is>
      </c>
      <c r="D21" s="37" t="inlineStr">
        <is>
          <t>SUSTANTIVA</t>
        </is>
      </c>
      <c r="E21" s="36" t="inlineStr">
        <is>
          <t>Tipología incompatible con las dimensiones: reclasificar</t>
        </is>
      </c>
    </row>
    <row r="22" ht="48" customHeight="1">
      <c r="A22" s="34" t="inlineStr">
        <is>
          <t>D-13</t>
        </is>
      </c>
      <c r="B22" s="34" t="inlineStr">
        <is>
          <t>F-DT-03</t>
        </is>
      </c>
      <c r="C22" s="34" t="inlineStr">
        <is>
          <t>Cobertura de hojarasca: la ficha registra una fecha (2026-08-10) en lugar de un porcentaje</t>
        </is>
      </c>
      <c r="D22" s="37" t="inlineStr">
        <is>
          <t>SUSTANTIVA</t>
        </is>
      </c>
      <c r="E22" s="34" t="inlineStr">
        <is>
          <t>Dato corrupto: relevar</t>
        </is>
      </c>
    </row>
    <row r="23" ht="48" customHeight="1">
      <c r="A23" s="36" t="inlineStr">
        <is>
          <t>D-14</t>
        </is>
      </c>
      <c r="B23" s="36" t="inlineStr">
        <is>
          <t>F-DT-03</t>
        </is>
      </c>
      <c r="C23" s="36" t="inlineStr">
        <is>
          <t>Categoría UICN del Hualtaco consignada VU, frente a CR/EN en otros bloques del proyecto</t>
        </is>
      </c>
      <c r="D23" s="37" t="inlineStr">
        <is>
          <t>SUSTANTIVA</t>
        </is>
      </c>
      <c r="E23" s="36" t="inlineStr">
        <is>
          <t>Homogeneizar criterio de categorización en todo el portafolio</t>
        </is>
      </c>
    </row>
    <row r="24" ht="48" customHeight="1">
      <c r="A24" s="34" t="inlineStr">
        <is>
          <t>D-15</t>
        </is>
      </c>
      <c r="B24" s="34" t="inlineStr">
        <is>
          <t>F-DT-04</t>
        </is>
      </c>
      <c r="C24" s="34" t="inlineStr">
        <is>
          <t>Urgencia de intervención declarada «Media» frente a urgencia de control de erosión «Alta» y presión urbana calificada de crítica</t>
        </is>
      </c>
      <c r="D24" s="37" t="inlineStr">
        <is>
          <t>SUSTANTIVA</t>
        </is>
      </c>
      <c r="E24" s="34" t="inlineStr">
        <is>
          <t>Revisar calificación</t>
        </is>
      </c>
    </row>
    <row r="25" ht="48" customHeight="1">
      <c r="A25" s="36" t="inlineStr">
        <is>
          <t>D-16</t>
        </is>
      </c>
      <c r="B25" s="36" t="inlineStr">
        <is>
          <t>F-DT-04</t>
        </is>
      </c>
      <c r="C25" s="36" t="inlineStr">
        <is>
          <t>EXPANSIÓN URBANA AUTORIZADA por la Municipalidad de Salitral en el flanco NE (lotes Mz.H1-Lt.1 y Mz.A1-Lt.2) sobre franja antes ecosistémica</t>
        </is>
      </c>
      <c r="D25" s="37" t="inlineStr">
        <is>
          <t>SUSTANTIVA</t>
        </is>
      </c>
      <c r="E25" s="36" t="inlineStr">
        <is>
          <t>Gestión urgente con la Municipalidad Distrital y el GORE Piura; asegurar tamizaje predial definitivo</t>
        </is>
      </c>
    </row>
    <row r="26" ht="48" customHeight="1">
      <c r="A26" s="34" t="inlineStr">
        <is>
          <t>D-17</t>
        </is>
      </c>
      <c r="B26" s="34" t="inlineStr">
        <is>
          <t>F-DT-05</t>
        </is>
      </c>
      <c r="C26" s="34" t="inlineStr">
        <is>
          <t>Vínculo hidrológico directo con la captación de la JASS Santa Rosa de Serrán</t>
        </is>
      </c>
      <c r="D26" s="37" t="inlineStr">
        <is>
          <t>SUSTANTIVA</t>
        </is>
      </c>
      <c r="E26" s="34" t="inlineStr">
        <is>
          <t>Oportunidad para MERESE: incorporar a la línea de gobernanza</t>
        </is>
      </c>
    </row>
    <row r="27" ht="48" customHeight="1">
      <c r="A27" s="34" t="inlineStr">
        <is>
          <t>D-18</t>
        </is>
      </c>
      <c r="B27" s="34" t="inlineStr">
        <is>
          <t>Distribución areal MSAVI 2024</t>
        </is>
      </c>
      <c r="C27" s="34" t="inlineStr">
        <is>
          <t>La distribución por clase de MSAVI no figuraba en los insumos del entregable y se consignaba «Por determinar»; se incorpora la estadística zonal del ráster MSAVI clasificado (255 polígonos, 81.795 ha)</t>
        </is>
      </c>
      <c r="D27" s="37" t="inlineStr">
        <is>
          <t>CORREGIDO</t>
        </is>
      </c>
      <c r="E27"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8" ht="48" customHeight="1">
      <c r="A28" s="34" t="inlineStr">
        <is>
          <t>D-19</t>
        </is>
      </c>
      <c r="B28" s="34" t="inlineStr">
        <is>
          <t>Superficie MSAVI vs. catálogo</t>
        </is>
      </c>
      <c r="C28" s="34" t="inlineStr">
        <is>
          <t>La superficie total clasificada por el MSAVI 2024 (81.795 ha) frente a la de catálogo V5/V6 (81.790 ha): desviación de +0.01 %</t>
        </is>
      </c>
      <c r="D28" s="37" t="inlineStr">
        <is>
          <t>CONFORME</t>
        </is>
      </c>
      <c r="E28" s="34" t="inlineStr">
        <is>
          <t>Sin acción: la segmentación del ráster valida la geometría del bloque dentro del ±2 %.</t>
        </is>
      </c>
    </row>
    <row r="29" ht="48" customHeight="1">
      <c r="A29" s="34" t="inlineStr">
        <is>
          <t>D-20</t>
        </is>
      </c>
      <c r="B29" s="34" t="inlineStr">
        <is>
          <t>Media MSAVI vs. clase DN dominante</t>
        </is>
      </c>
      <c r="C29" s="34" t="inlineStr">
        <is>
          <t>La media del bloque (0.2984) cae en la clase «DN 2 · 0.2650 - 0.3813 (Vigor muy bajo)»; la clase de mayor superficie es «DN 2 · 0.2650 - 0.3813 (Vigor muy bajo)», con 68.61 % del bloque. Superficie bajo el umbral 0.4976: 81.795 ha (100.00 %)</t>
        </is>
      </c>
      <c r="D29" s="37" t="inlineStr">
        <is>
          <t>CONFORME</t>
        </is>
      </c>
      <c r="E29" s="34" t="inlineStr">
        <is>
          <t>Sin acción: la media del bloque y la clase de mayor superficie coinciden.</t>
        </is>
      </c>
    </row>
    <row r="30"/>
    <row r="31">
      <c r="A31" s="16" t="inlineStr">
        <is>
          <t>RESUMEN</t>
        </is>
      </c>
      <c r="B31" s="17" t="inlineStr">
        <is>
          <t>20 verificaciones</t>
        </is>
      </c>
      <c r="C31" s="17" t="inlineStr">
        <is>
          <t>CONFORME: 6 · CORREGIDO: 2 · NO SUSTANTIVA: 3 · SUSTANTIVA: 9</t>
        </is>
      </c>
      <c r="D31" s="17" t="inlineStr"/>
      <c r="E31" s="17" t="inlineStr"/>
    </row>
    <row r="32"/>
    <row r="33" ht="60" customHeight="1">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42" t="n"/>
      <c r="C33" s="42" t="n"/>
      <c r="D33" s="42" t="n"/>
      <c r="E33" s="43"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M2B1 — IN Piura</dc:title>
  <dc:subject>Diagnóstico Territorial por bloque de intervención</dc:subject>
  <dcterms:created xsi:type="dcterms:W3CDTF">2026-09-08T03:39:58Z</dcterms:created>
  <dcterms:modified xsi:type="dcterms:W3CDTF">2026-09-10T00:28:32Z</dcterms:modified>
</cp:coreProperties>
</file>